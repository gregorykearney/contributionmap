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egkearney/Documents/Spending Project/'Quant Analysis/Additional States/Kansas/"/>
    </mc:Choice>
  </mc:AlternateContent>
  <xr:revisionPtr revIDLastSave="0" documentId="13_ncr:1_{9A6E3F16-8071-1B4D-B87D-6C10550735B4}" xr6:coauthVersionLast="47" xr6:coauthVersionMax="47" xr10:uidLastSave="{00000000-0000-0000-0000-000000000000}"/>
  <bookViews>
    <workbookView xWindow="900" yWindow="780" windowWidth="31920" windowHeight="20320" xr2:uid="{C2643D15-144E-F34F-9E1A-E10BE8F400CA}"/>
  </bookViews>
  <sheets>
    <sheet name="Summary" sheetId="11" r:id="rId1"/>
    <sheet name="Yearly Data --&gt;" sheetId="14" r:id="rId2"/>
    <sheet name="2023" sheetId="2" r:id="rId3"/>
    <sheet name="2022" sheetId="3" r:id="rId4"/>
    <sheet name="2021" sheetId="4" r:id="rId5"/>
    <sheet name="2020" sheetId="5" r:id="rId6"/>
    <sheet name="2019" sheetId="6" r:id="rId7"/>
    <sheet name="2018" sheetId="7" r:id="rId8"/>
    <sheet name="2017" sheetId="8" r:id="rId9"/>
    <sheet name="2016" sheetId="9" r:id="rId10"/>
    <sheet name="2015" sheetId="10" r:id="rId11"/>
    <sheet name="NCES Match --&gt;" sheetId="16" r:id="rId12"/>
    <sheet name="LEAID Match" sheetId="15" r:id="rId13"/>
  </sheets>
  <definedNames>
    <definedName name="_xlnm._FilterDatabase" localSheetId="0" hidden="1">Summary!$A$1:$J$2979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1" l="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8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341" i="11"/>
  <c r="K342" i="11"/>
  <c r="K343" i="11"/>
  <c r="K344" i="11"/>
  <c r="K345" i="11"/>
  <c r="K346" i="11"/>
  <c r="K347" i="11"/>
  <c r="K348" i="11"/>
  <c r="K349" i="11"/>
  <c r="K350" i="11"/>
  <c r="K351" i="11"/>
  <c r="K352" i="11"/>
  <c r="K353" i="11"/>
  <c r="K354" i="11"/>
  <c r="K355" i="11"/>
  <c r="K356" i="11"/>
  <c r="K357" i="11"/>
  <c r="K358" i="11"/>
  <c r="K359" i="11"/>
  <c r="K360" i="11"/>
  <c r="K361" i="11"/>
  <c r="K362" i="11"/>
  <c r="K363" i="11"/>
  <c r="K364" i="11"/>
  <c r="K365" i="11"/>
  <c r="K366" i="11"/>
  <c r="K367" i="11"/>
  <c r="K368" i="11"/>
  <c r="K369" i="11"/>
  <c r="K370" i="11"/>
  <c r="K371" i="11"/>
  <c r="K372" i="11"/>
  <c r="K373" i="11"/>
  <c r="K374" i="11"/>
  <c r="K375" i="11"/>
  <c r="K376" i="11"/>
  <c r="K377" i="11"/>
  <c r="K378" i="11"/>
  <c r="K379" i="11"/>
  <c r="K380" i="11"/>
  <c r="K381" i="11"/>
  <c r="K382" i="11"/>
  <c r="K383" i="11"/>
  <c r="K384" i="11"/>
  <c r="K385" i="11"/>
  <c r="K386" i="11"/>
  <c r="K387" i="11"/>
  <c r="K388" i="11"/>
  <c r="K389" i="11"/>
  <c r="K390" i="11"/>
  <c r="K391" i="11"/>
  <c r="K392" i="11"/>
  <c r="K393" i="11"/>
  <c r="K394" i="11"/>
  <c r="K395" i="11"/>
  <c r="K396" i="11"/>
  <c r="K397" i="11"/>
  <c r="K398" i="11"/>
  <c r="K399" i="11"/>
  <c r="K400" i="11"/>
  <c r="K401" i="11"/>
  <c r="K402" i="11"/>
  <c r="K403" i="11"/>
  <c r="K404" i="11"/>
  <c r="K405" i="11"/>
  <c r="K406" i="11"/>
  <c r="K407" i="11"/>
  <c r="K408" i="11"/>
  <c r="K409" i="11"/>
  <c r="K410" i="11"/>
  <c r="K411" i="11"/>
  <c r="K412" i="11"/>
  <c r="K413" i="11"/>
  <c r="K414" i="11"/>
  <c r="K415" i="11"/>
  <c r="K416" i="11"/>
  <c r="K417" i="11"/>
  <c r="K418" i="11"/>
  <c r="K419" i="11"/>
  <c r="K420" i="11"/>
  <c r="K421" i="11"/>
  <c r="K422" i="11"/>
  <c r="K423" i="11"/>
  <c r="K424" i="11"/>
  <c r="K425" i="11"/>
  <c r="K426" i="11"/>
  <c r="K427" i="11"/>
  <c r="K428" i="11"/>
  <c r="K429" i="11"/>
  <c r="K430" i="11"/>
  <c r="K431" i="11"/>
  <c r="K432" i="11"/>
  <c r="K433" i="11"/>
  <c r="K434" i="11"/>
  <c r="K435" i="11"/>
  <c r="K436" i="11"/>
  <c r="K437" i="11"/>
  <c r="K438" i="11"/>
  <c r="K439" i="11"/>
  <c r="K440" i="11"/>
  <c r="K441" i="11"/>
  <c r="K442" i="11"/>
  <c r="K443" i="11"/>
  <c r="K444" i="11"/>
  <c r="K445" i="11"/>
  <c r="K446" i="11"/>
  <c r="K447" i="11"/>
  <c r="K448" i="11"/>
  <c r="K449" i="11"/>
  <c r="K450" i="11"/>
  <c r="K451" i="11"/>
  <c r="K452" i="11"/>
  <c r="K453" i="11"/>
  <c r="K454" i="11"/>
  <c r="K455" i="11"/>
  <c r="K456" i="11"/>
  <c r="K457" i="11"/>
  <c r="K458" i="11"/>
  <c r="K459" i="11"/>
  <c r="K460" i="11"/>
  <c r="K461" i="11"/>
  <c r="K462" i="11"/>
  <c r="K463" i="11"/>
  <c r="K464" i="11"/>
  <c r="K465" i="11"/>
  <c r="K466" i="11"/>
  <c r="K467" i="11"/>
  <c r="K468" i="11"/>
  <c r="K469" i="11"/>
  <c r="K470" i="11"/>
  <c r="K471" i="11"/>
  <c r="K472" i="11"/>
  <c r="K473" i="11"/>
  <c r="K474" i="11"/>
  <c r="K475" i="11"/>
  <c r="K476" i="11"/>
  <c r="K477" i="11"/>
  <c r="K478" i="11"/>
  <c r="K479" i="11"/>
  <c r="K480" i="11"/>
  <c r="K481" i="11"/>
  <c r="K482" i="11"/>
  <c r="K483" i="11"/>
  <c r="K484" i="11"/>
  <c r="K485" i="11"/>
  <c r="K486" i="11"/>
  <c r="K487" i="11"/>
  <c r="K488" i="11"/>
  <c r="K489" i="11"/>
  <c r="K490" i="11"/>
  <c r="K491" i="11"/>
  <c r="K492" i="11"/>
  <c r="K493" i="11"/>
  <c r="K494" i="11"/>
  <c r="K495" i="11"/>
  <c r="K496" i="11"/>
  <c r="K497" i="11"/>
  <c r="K498" i="11"/>
  <c r="K499" i="11"/>
  <c r="K500" i="11"/>
  <c r="K501" i="11"/>
  <c r="K502" i="11"/>
  <c r="K503" i="11"/>
  <c r="K504" i="11"/>
  <c r="K505" i="11"/>
  <c r="K506" i="11"/>
  <c r="K507" i="11"/>
  <c r="K508" i="11"/>
  <c r="K509" i="11"/>
  <c r="K510" i="11"/>
  <c r="K511" i="11"/>
  <c r="K512" i="11"/>
  <c r="K513" i="11"/>
  <c r="K514" i="11"/>
  <c r="K515" i="11"/>
  <c r="K516" i="11"/>
  <c r="K517" i="11"/>
  <c r="K518" i="11"/>
  <c r="K519" i="11"/>
  <c r="K520" i="11"/>
  <c r="K521" i="11"/>
  <c r="K522" i="11"/>
  <c r="K523" i="11"/>
  <c r="K524" i="11"/>
  <c r="K525" i="11"/>
  <c r="K526" i="11"/>
  <c r="K527" i="11"/>
  <c r="K528" i="11"/>
  <c r="K529" i="11"/>
  <c r="K530" i="11"/>
  <c r="K531" i="11"/>
  <c r="K532" i="11"/>
  <c r="K533" i="11"/>
  <c r="K534" i="11"/>
  <c r="K535" i="11"/>
  <c r="K536" i="11"/>
  <c r="K537" i="11"/>
  <c r="K538" i="11"/>
  <c r="K539" i="11"/>
  <c r="K540" i="11"/>
  <c r="K541" i="11"/>
  <c r="K542" i="11"/>
  <c r="K543" i="11"/>
  <c r="K544" i="11"/>
  <c r="K545" i="11"/>
  <c r="K546" i="11"/>
  <c r="K547" i="11"/>
  <c r="K548" i="11"/>
  <c r="K549" i="11"/>
  <c r="K550" i="11"/>
  <c r="K551" i="11"/>
  <c r="K552" i="11"/>
  <c r="K553" i="11"/>
  <c r="K554" i="11"/>
  <c r="K555" i="11"/>
  <c r="K556" i="11"/>
  <c r="K557" i="11"/>
  <c r="K558" i="11"/>
  <c r="K559" i="11"/>
  <c r="K560" i="11"/>
  <c r="K561" i="11"/>
  <c r="K562" i="11"/>
  <c r="K563" i="11"/>
  <c r="K564" i="11"/>
  <c r="K565" i="11"/>
  <c r="K566" i="11"/>
  <c r="K567" i="11"/>
  <c r="K568" i="11"/>
  <c r="K569" i="11"/>
  <c r="K570" i="11"/>
  <c r="K571" i="11"/>
  <c r="K572" i="11"/>
  <c r="K573" i="11"/>
  <c r="K574" i="11"/>
  <c r="K575" i="11"/>
  <c r="K576" i="11"/>
  <c r="K577" i="11"/>
  <c r="K578" i="11"/>
  <c r="K579" i="11"/>
  <c r="K580" i="11"/>
  <c r="K581" i="11"/>
  <c r="K582" i="11"/>
  <c r="K583" i="11"/>
  <c r="K584" i="11"/>
  <c r="K585" i="11"/>
  <c r="K586" i="11"/>
  <c r="K587" i="11"/>
  <c r="K588" i="11"/>
  <c r="K589" i="11"/>
  <c r="K590" i="11"/>
  <c r="K591" i="11"/>
  <c r="K592" i="11"/>
  <c r="K593" i="11"/>
  <c r="K594" i="11"/>
  <c r="K595" i="11"/>
  <c r="K596" i="11"/>
  <c r="K597" i="11"/>
  <c r="K598" i="11"/>
  <c r="K599" i="11"/>
  <c r="K600" i="11"/>
  <c r="K601" i="11"/>
  <c r="K602" i="11"/>
  <c r="K603" i="11"/>
  <c r="K604" i="11"/>
  <c r="K605" i="11"/>
  <c r="K606" i="11"/>
  <c r="K607" i="11"/>
  <c r="K608" i="11"/>
  <c r="K609" i="11"/>
  <c r="K610" i="11"/>
  <c r="K611" i="11"/>
  <c r="K612" i="11"/>
  <c r="K613" i="11"/>
  <c r="K614" i="11"/>
  <c r="K615" i="11"/>
  <c r="K616" i="11"/>
  <c r="K617" i="11"/>
  <c r="K618" i="11"/>
  <c r="K619" i="11"/>
  <c r="K620" i="11"/>
  <c r="K621" i="11"/>
  <c r="K622" i="11"/>
  <c r="K623" i="11"/>
  <c r="K624" i="11"/>
  <c r="K625" i="11"/>
  <c r="K626" i="11"/>
  <c r="K627" i="11"/>
  <c r="K628" i="11"/>
  <c r="K629" i="11"/>
  <c r="K630" i="11"/>
  <c r="K631" i="11"/>
  <c r="K632" i="11"/>
  <c r="K633" i="11"/>
  <c r="K634" i="11"/>
  <c r="K635" i="11"/>
  <c r="K636" i="11"/>
  <c r="K637" i="11"/>
  <c r="K638" i="11"/>
  <c r="K639" i="11"/>
  <c r="K640" i="11"/>
  <c r="K641" i="11"/>
  <c r="K642" i="11"/>
  <c r="K643" i="11"/>
  <c r="K644" i="11"/>
  <c r="K645" i="11"/>
  <c r="K646" i="11"/>
  <c r="K647" i="11"/>
  <c r="K648" i="11"/>
  <c r="K649" i="11"/>
  <c r="K650" i="11"/>
  <c r="K651" i="11"/>
  <c r="K652" i="11"/>
  <c r="K653" i="11"/>
  <c r="K654" i="11"/>
  <c r="K655" i="11"/>
  <c r="K656" i="11"/>
  <c r="K657" i="11"/>
  <c r="K658" i="11"/>
  <c r="K659" i="11"/>
  <c r="K660" i="11"/>
  <c r="K661" i="11"/>
  <c r="K662" i="11"/>
  <c r="K663" i="11"/>
  <c r="K664" i="11"/>
  <c r="K665" i="11"/>
  <c r="K666" i="11"/>
  <c r="K667" i="11"/>
  <c r="K668" i="11"/>
  <c r="K669" i="11"/>
  <c r="K670" i="11"/>
  <c r="K671" i="11"/>
  <c r="K672" i="11"/>
  <c r="K673" i="11"/>
  <c r="K674" i="11"/>
  <c r="K675" i="11"/>
  <c r="K676" i="11"/>
  <c r="K677" i="11"/>
  <c r="K678" i="11"/>
  <c r="K679" i="11"/>
  <c r="K680" i="11"/>
  <c r="K681" i="11"/>
  <c r="K682" i="11"/>
  <c r="K683" i="11"/>
  <c r="K684" i="11"/>
  <c r="K685" i="11"/>
  <c r="K686" i="11"/>
  <c r="K687" i="11"/>
  <c r="K688" i="11"/>
  <c r="K689" i="11"/>
  <c r="K690" i="11"/>
  <c r="K691" i="11"/>
  <c r="K692" i="11"/>
  <c r="K693" i="11"/>
  <c r="K694" i="11"/>
  <c r="K695" i="11"/>
  <c r="K696" i="11"/>
  <c r="K697" i="11"/>
  <c r="K698" i="11"/>
  <c r="K699" i="11"/>
  <c r="K700" i="11"/>
  <c r="K701" i="11"/>
  <c r="K702" i="11"/>
  <c r="K703" i="11"/>
  <c r="K704" i="11"/>
  <c r="K705" i="11"/>
  <c r="K706" i="11"/>
  <c r="K707" i="11"/>
  <c r="K708" i="11"/>
  <c r="K709" i="11"/>
  <c r="K710" i="11"/>
  <c r="K711" i="11"/>
  <c r="K712" i="11"/>
  <c r="K713" i="11"/>
  <c r="K714" i="11"/>
  <c r="K715" i="11"/>
  <c r="K716" i="11"/>
  <c r="K717" i="11"/>
  <c r="K718" i="11"/>
  <c r="K719" i="11"/>
  <c r="K720" i="11"/>
  <c r="K721" i="11"/>
  <c r="K722" i="11"/>
  <c r="K723" i="11"/>
  <c r="K724" i="11"/>
  <c r="K725" i="11"/>
  <c r="K726" i="11"/>
  <c r="K727" i="11"/>
  <c r="K728" i="11"/>
  <c r="K729" i="11"/>
  <c r="K730" i="11"/>
  <c r="K731" i="11"/>
  <c r="K732" i="11"/>
  <c r="K733" i="11"/>
  <c r="K734" i="11"/>
  <c r="K735" i="11"/>
  <c r="K736" i="11"/>
  <c r="K737" i="11"/>
  <c r="K738" i="11"/>
  <c r="K739" i="11"/>
  <c r="K740" i="11"/>
  <c r="K741" i="11"/>
  <c r="K742" i="11"/>
  <c r="K743" i="11"/>
  <c r="K744" i="11"/>
  <c r="K745" i="11"/>
  <c r="K746" i="11"/>
  <c r="K747" i="11"/>
  <c r="K748" i="11"/>
  <c r="K749" i="11"/>
  <c r="K750" i="11"/>
  <c r="K751" i="11"/>
  <c r="K752" i="11"/>
  <c r="K753" i="11"/>
  <c r="K754" i="11"/>
  <c r="K755" i="11"/>
  <c r="K756" i="11"/>
  <c r="K757" i="11"/>
  <c r="K758" i="11"/>
  <c r="K759" i="11"/>
  <c r="K760" i="11"/>
  <c r="K761" i="11"/>
  <c r="K762" i="11"/>
  <c r="K763" i="11"/>
  <c r="K764" i="11"/>
  <c r="K765" i="11"/>
  <c r="K766" i="11"/>
  <c r="K767" i="11"/>
  <c r="K768" i="11"/>
  <c r="K769" i="11"/>
  <c r="K770" i="11"/>
  <c r="K771" i="11"/>
  <c r="K772" i="11"/>
  <c r="K773" i="11"/>
  <c r="K774" i="11"/>
  <c r="K775" i="11"/>
  <c r="K776" i="11"/>
  <c r="K777" i="11"/>
  <c r="K778" i="11"/>
  <c r="K779" i="11"/>
  <c r="K780" i="11"/>
  <c r="K781" i="11"/>
  <c r="K782" i="11"/>
  <c r="K783" i="11"/>
  <c r="K784" i="11"/>
  <c r="K785" i="11"/>
  <c r="K786" i="11"/>
  <c r="K787" i="11"/>
  <c r="K788" i="11"/>
  <c r="K789" i="11"/>
  <c r="K790" i="11"/>
  <c r="K791" i="11"/>
  <c r="K792" i="11"/>
  <c r="K793" i="11"/>
  <c r="K794" i="11"/>
  <c r="K795" i="11"/>
  <c r="K796" i="11"/>
  <c r="K797" i="11"/>
  <c r="K798" i="11"/>
  <c r="K799" i="11"/>
  <c r="K800" i="11"/>
  <c r="K801" i="11"/>
  <c r="K802" i="11"/>
  <c r="K803" i="11"/>
  <c r="K804" i="11"/>
  <c r="K805" i="11"/>
  <c r="K806" i="11"/>
  <c r="K807" i="11"/>
  <c r="K808" i="11"/>
  <c r="K809" i="11"/>
  <c r="K810" i="11"/>
  <c r="K811" i="11"/>
  <c r="K812" i="11"/>
  <c r="K813" i="11"/>
  <c r="K814" i="11"/>
  <c r="K815" i="11"/>
  <c r="K816" i="11"/>
  <c r="K817" i="11"/>
  <c r="K818" i="11"/>
  <c r="K819" i="11"/>
  <c r="K820" i="11"/>
  <c r="K821" i="11"/>
  <c r="K822" i="11"/>
  <c r="K823" i="11"/>
  <c r="K824" i="11"/>
  <c r="K825" i="11"/>
  <c r="K826" i="11"/>
  <c r="K827" i="11"/>
  <c r="K828" i="11"/>
  <c r="K829" i="11"/>
  <c r="K830" i="11"/>
  <c r="K831" i="11"/>
  <c r="K832" i="11"/>
  <c r="K833" i="11"/>
  <c r="K834" i="11"/>
  <c r="K835" i="11"/>
  <c r="K836" i="11"/>
  <c r="K837" i="11"/>
  <c r="K838" i="11"/>
  <c r="K839" i="11"/>
  <c r="K840" i="11"/>
  <c r="K841" i="11"/>
  <c r="K842" i="11"/>
  <c r="K843" i="11"/>
  <c r="K844" i="11"/>
  <c r="K845" i="11"/>
  <c r="K846" i="11"/>
  <c r="K847" i="11"/>
  <c r="K848" i="11"/>
  <c r="K849" i="11"/>
  <c r="K850" i="11"/>
  <c r="K851" i="11"/>
  <c r="K852" i="11"/>
  <c r="K853" i="11"/>
  <c r="K854" i="11"/>
  <c r="K855" i="11"/>
  <c r="K856" i="11"/>
  <c r="K857" i="11"/>
  <c r="K858" i="11"/>
  <c r="K859" i="11"/>
  <c r="K860" i="11"/>
  <c r="K861" i="11"/>
  <c r="K862" i="11"/>
  <c r="K863" i="11"/>
  <c r="K864" i="11"/>
  <c r="K865" i="11"/>
  <c r="K866" i="11"/>
  <c r="K867" i="11"/>
  <c r="K868" i="11"/>
  <c r="K869" i="11"/>
  <c r="K870" i="11"/>
  <c r="K871" i="11"/>
  <c r="K872" i="11"/>
  <c r="K873" i="11"/>
  <c r="K874" i="11"/>
  <c r="K875" i="11"/>
  <c r="K876" i="11"/>
  <c r="K877" i="11"/>
  <c r="K878" i="11"/>
  <c r="K879" i="11"/>
  <c r="K880" i="11"/>
  <c r="K881" i="11"/>
  <c r="K882" i="11"/>
  <c r="K883" i="11"/>
  <c r="K884" i="11"/>
  <c r="K885" i="11"/>
  <c r="K886" i="11"/>
  <c r="K887" i="11"/>
  <c r="K888" i="11"/>
  <c r="K889" i="11"/>
  <c r="K890" i="11"/>
  <c r="K891" i="11"/>
  <c r="K892" i="11"/>
  <c r="K893" i="11"/>
  <c r="K894" i="11"/>
  <c r="K895" i="11"/>
  <c r="K896" i="11"/>
  <c r="K897" i="11"/>
  <c r="K898" i="11"/>
  <c r="K899" i="11"/>
  <c r="K900" i="11"/>
  <c r="K901" i="11"/>
  <c r="K902" i="11"/>
  <c r="K903" i="11"/>
  <c r="K904" i="11"/>
  <c r="K905" i="11"/>
  <c r="K906" i="11"/>
  <c r="K907" i="11"/>
  <c r="K908" i="11"/>
  <c r="K909" i="11"/>
  <c r="K910" i="11"/>
  <c r="K911" i="11"/>
  <c r="K912" i="11"/>
  <c r="K913" i="11"/>
  <c r="K914" i="11"/>
  <c r="K915" i="11"/>
  <c r="K916" i="11"/>
  <c r="K917" i="11"/>
  <c r="K918" i="11"/>
  <c r="K919" i="11"/>
  <c r="K920" i="11"/>
  <c r="K921" i="11"/>
  <c r="K922" i="11"/>
  <c r="K923" i="11"/>
  <c r="K924" i="11"/>
  <c r="K925" i="11"/>
  <c r="K926" i="11"/>
  <c r="K927" i="11"/>
  <c r="K928" i="11"/>
  <c r="K929" i="11"/>
  <c r="K930" i="11"/>
  <c r="K931" i="11"/>
  <c r="K932" i="11"/>
  <c r="K933" i="11"/>
  <c r="K934" i="11"/>
  <c r="K935" i="11"/>
  <c r="K936" i="11"/>
  <c r="K937" i="11"/>
  <c r="K938" i="11"/>
  <c r="K939" i="11"/>
  <c r="K940" i="11"/>
  <c r="K941" i="11"/>
  <c r="K942" i="11"/>
  <c r="K943" i="11"/>
  <c r="K944" i="11"/>
  <c r="K945" i="11"/>
  <c r="K946" i="11"/>
  <c r="K947" i="11"/>
  <c r="K948" i="11"/>
  <c r="K949" i="11"/>
  <c r="K950" i="11"/>
  <c r="K951" i="11"/>
  <c r="K952" i="11"/>
  <c r="K953" i="11"/>
  <c r="K954" i="11"/>
  <c r="K955" i="11"/>
  <c r="K956" i="11"/>
  <c r="K957" i="11"/>
  <c r="K958" i="11"/>
  <c r="K959" i="11"/>
  <c r="K960" i="11"/>
  <c r="K961" i="11"/>
  <c r="K962" i="11"/>
  <c r="K963" i="11"/>
  <c r="K964" i="11"/>
  <c r="K965" i="11"/>
  <c r="K966" i="11"/>
  <c r="K967" i="11"/>
  <c r="K968" i="11"/>
  <c r="K969" i="11"/>
  <c r="K970" i="11"/>
  <c r="K971" i="11"/>
  <c r="K972" i="11"/>
  <c r="K973" i="11"/>
  <c r="K974" i="11"/>
  <c r="K975" i="11"/>
  <c r="K976" i="11"/>
  <c r="K977" i="11"/>
  <c r="K978" i="11"/>
  <c r="K979" i="11"/>
  <c r="K980" i="11"/>
  <c r="K981" i="11"/>
  <c r="K982" i="11"/>
  <c r="K983" i="11"/>
  <c r="K984" i="11"/>
  <c r="K985" i="11"/>
  <c r="K986" i="11"/>
  <c r="K987" i="11"/>
  <c r="K988" i="11"/>
  <c r="K989" i="11"/>
  <c r="K990" i="11"/>
  <c r="K991" i="11"/>
  <c r="K992" i="11"/>
  <c r="K993" i="11"/>
  <c r="K994" i="11"/>
  <c r="K995" i="11"/>
  <c r="K996" i="11"/>
  <c r="K997" i="11"/>
  <c r="K998" i="11"/>
  <c r="K999" i="11"/>
  <c r="K1000" i="11"/>
  <c r="K1001" i="11"/>
  <c r="K1002" i="11"/>
  <c r="K1003" i="11"/>
  <c r="K1004" i="11"/>
  <c r="K1005" i="11"/>
  <c r="K1006" i="11"/>
  <c r="K1007" i="11"/>
  <c r="K1008" i="11"/>
  <c r="K1009" i="11"/>
  <c r="K1010" i="11"/>
  <c r="K1011" i="11"/>
  <c r="K1012" i="11"/>
  <c r="K1013" i="11"/>
  <c r="K1014" i="11"/>
  <c r="K1015" i="11"/>
  <c r="K1016" i="11"/>
  <c r="K1017" i="11"/>
  <c r="K1018" i="11"/>
  <c r="K1019" i="11"/>
  <c r="K1020" i="11"/>
  <c r="K1021" i="11"/>
  <c r="K1022" i="11"/>
  <c r="K1023" i="11"/>
  <c r="K1024" i="11"/>
  <c r="K1025" i="11"/>
  <c r="K1026" i="11"/>
  <c r="K1027" i="11"/>
  <c r="K1028" i="11"/>
  <c r="K1029" i="11"/>
  <c r="K1030" i="11"/>
  <c r="K1031" i="11"/>
  <c r="K1032" i="11"/>
  <c r="K1033" i="11"/>
  <c r="K1034" i="11"/>
  <c r="K1035" i="11"/>
  <c r="K1036" i="11"/>
  <c r="K1037" i="11"/>
  <c r="K1038" i="11"/>
  <c r="K1039" i="11"/>
  <c r="K1040" i="11"/>
  <c r="K1041" i="11"/>
  <c r="K1042" i="11"/>
  <c r="K1043" i="11"/>
  <c r="K1044" i="11"/>
  <c r="K1045" i="11"/>
  <c r="K1046" i="11"/>
  <c r="K1047" i="11"/>
  <c r="K1048" i="11"/>
  <c r="K1049" i="11"/>
  <c r="K1050" i="11"/>
  <c r="K1051" i="11"/>
  <c r="K1052" i="11"/>
  <c r="K1053" i="11"/>
  <c r="K1054" i="11"/>
  <c r="K1055" i="11"/>
  <c r="K1056" i="11"/>
  <c r="K1057" i="11"/>
  <c r="K1058" i="11"/>
  <c r="K1059" i="11"/>
  <c r="K1060" i="11"/>
  <c r="K1061" i="11"/>
  <c r="K1062" i="11"/>
  <c r="K1063" i="11"/>
  <c r="K1064" i="11"/>
  <c r="K1065" i="11"/>
  <c r="K1066" i="11"/>
  <c r="K1067" i="11"/>
  <c r="K1068" i="11"/>
  <c r="K1069" i="11"/>
  <c r="K1070" i="11"/>
  <c r="K1071" i="11"/>
  <c r="K1072" i="11"/>
  <c r="K1073" i="11"/>
  <c r="K1074" i="11"/>
  <c r="K1075" i="11"/>
  <c r="K1076" i="11"/>
  <c r="K1077" i="11"/>
  <c r="K1078" i="11"/>
  <c r="K1079" i="11"/>
  <c r="K1080" i="11"/>
  <c r="K1081" i="11"/>
  <c r="K1082" i="11"/>
  <c r="K1083" i="11"/>
  <c r="K1084" i="11"/>
  <c r="K1085" i="11"/>
  <c r="K1086" i="11"/>
  <c r="K1087" i="11"/>
  <c r="K1088" i="11"/>
  <c r="K1089" i="11"/>
  <c r="K1090" i="11"/>
  <c r="K1091" i="11"/>
  <c r="K1092" i="11"/>
  <c r="K1093" i="11"/>
  <c r="K1094" i="11"/>
  <c r="K1095" i="11"/>
  <c r="K1096" i="11"/>
  <c r="K1097" i="11"/>
  <c r="K1098" i="11"/>
  <c r="K1099" i="11"/>
  <c r="K1100" i="11"/>
  <c r="K1101" i="11"/>
  <c r="K1102" i="11"/>
  <c r="K1103" i="11"/>
  <c r="K1104" i="11"/>
  <c r="K1105" i="11"/>
  <c r="K1106" i="11"/>
  <c r="K1107" i="11"/>
  <c r="K1108" i="11"/>
  <c r="K1109" i="11"/>
  <c r="K1110" i="11"/>
  <c r="K1111" i="11"/>
  <c r="K1112" i="11"/>
  <c r="K1113" i="11"/>
  <c r="K1114" i="11"/>
  <c r="K1115" i="11"/>
  <c r="K1116" i="11"/>
  <c r="K1117" i="11"/>
  <c r="K1118" i="11"/>
  <c r="K1119" i="11"/>
  <c r="K1120" i="11"/>
  <c r="K1121" i="11"/>
  <c r="K1122" i="11"/>
  <c r="K1123" i="11"/>
  <c r="K1124" i="11"/>
  <c r="K1125" i="11"/>
  <c r="K1126" i="11"/>
  <c r="K1127" i="11"/>
  <c r="K1128" i="11"/>
  <c r="K1129" i="11"/>
  <c r="K1130" i="11"/>
  <c r="K1131" i="11"/>
  <c r="K1132" i="11"/>
  <c r="K1133" i="11"/>
  <c r="K1134" i="11"/>
  <c r="K1135" i="11"/>
  <c r="K1136" i="11"/>
  <c r="K1137" i="11"/>
  <c r="K1138" i="11"/>
  <c r="K1139" i="11"/>
  <c r="K1140" i="11"/>
  <c r="K1141" i="11"/>
  <c r="K1142" i="11"/>
  <c r="K1143" i="11"/>
  <c r="K1144" i="11"/>
  <c r="K1145" i="11"/>
  <c r="K1146" i="11"/>
  <c r="K1147" i="11"/>
  <c r="K1148" i="11"/>
  <c r="K1149" i="11"/>
  <c r="K1150" i="11"/>
  <c r="K1151" i="11"/>
  <c r="K1152" i="11"/>
  <c r="K1153" i="11"/>
  <c r="K1154" i="11"/>
  <c r="K1155" i="11"/>
  <c r="K1156" i="11"/>
  <c r="K1157" i="11"/>
  <c r="K1158" i="11"/>
  <c r="K1159" i="11"/>
  <c r="K1160" i="11"/>
  <c r="K1161" i="11"/>
  <c r="K1162" i="11"/>
  <c r="K1163" i="11"/>
  <c r="K1164" i="11"/>
  <c r="K1165" i="11"/>
  <c r="K1166" i="11"/>
  <c r="K1167" i="11"/>
  <c r="K1168" i="11"/>
  <c r="K1169" i="11"/>
  <c r="K1170" i="11"/>
  <c r="K1171" i="11"/>
  <c r="K1172" i="11"/>
  <c r="K1173" i="11"/>
  <c r="K1174" i="11"/>
  <c r="K1175" i="11"/>
  <c r="K1176" i="11"/>
  <c r="K1177" i="11"/>
  <c r="K1178" i="11"/>
  <c r="K1179" i="11"/>
  <c r="K1180" i="11"/>
  <c r="K1181" i="11"/>
  <c r="K1182" i="11"/>
  <c r="K1183" i="11"/>
  <c r="K1184" i="11"/>
  <c r="K1185" i="11"/>
  <c r="K1186" i="11"/>
  <c r="K1187" i="11"/>
  <c r="K1188" i="11"/>
  <c r="K1189" i="11"/>
  <c r="K1190" i="11"/>
  <c r="K1191" i="11"/>
  <c r="K1192" i="11"/>
  <c r="K1193" i="11"/>
  <c r="K1194" i="11"/>
  <c r="K1195" i="11"/>
  <c r="K1196" i="11"/>
  <c r="K1197" i="11"/>
  <c r="K1198" i="11"/>
  <c r="K1199" i="11"/>
  <c r="K1200" i="11"/>
  <c r="K1201" i="11"/>
  <c r="K1202" i="11"/>
  <c r="K1203" i="11"/>
  <c r="K1204" i="11"/>
  <c r="K1205" i="11"/>
  <c r="K1206" i="11"/>
  <c r="K1207" i="11"/>
  <c r="K1208" i="11"/>
  <c r="K1209" i="11"/>
  <c r="K1210" i="11"/>
  <c r="K1211" i="11"/>
  <c r="K1212" i="11"/>
  <c r="K1213" i="11"/>
  <c r="K1214" i="11"/>
  <c r="K1215" i="11"/>
  <c r="K1216" i="11"/>
  <c r="K1217" i="11"/>
  <c r="K1218" i="11"/>
  <c r="K1219" i="11"/>
  <c r="K1220" i="11"/>
  <c r="K1221" i="11"/>
  <c r="K1222" i="11"/>
  <c r="K1223" i="11"/>
  <c r="K1224" i="11"/>
  <c r="K1225" i="11"/>
  <c r="K1226" i="11"/>
  <c r="K1227" i="11"/>
  <c r="K1228" i="11"/>
  <c r="K1229" i="11"/>
  <c r="K1230" i="11"/>
  <c r="K1231" i="11"/>
  <c r="K1232" i="11"/>
  <c r="K1233" i="11"/>
  <c r="K1234" i="11"/>
  <c r="K1235" i="11"/>
  <c r="K1236" i="11"/>
  <c r="K1237" i="11"/>
  <c r="K1238" i="11"/>
  <c r="K1239" i="11"/>
  <c r="K1240" i="11"/>
  <c r="K1241" i="11"/>
  <c r="K1242" i="11"/>
  <c r="K1243" i="11"/>
  <c r="K1244" i="11"/>
  <c r="K1245" i="11"/>
  <c r="K1246" i="11"/>
  <c r="K1247" i="11"/>
  <c r="K1248" i="11"/>
  <c r="K1249" i="11"/>
  <c r="K1250" i="11"/>
  <c r="K1251" i="11"/>
  <c r="K1252" i="11"/>
  <c r="K1253" i="11"/>
  <c r="K1254" i="11"/>
  <c r="K1255" i="11"/>
  <c r="K1256" i="11"/>
  <c r="K1257" i="11"/>
  <c r="K1258" i="11"/>
  <c r="K1259" i="11"/>
  <c r="K1260" i="11"/>
  <c r="K1261" i="11"/>
  <c r="K1262" i="11"/>
  <c r="K1263" i="11"/>
  <c r="K1264" i="11"/>
  <c r="K1265" i="11"/>
  <c r="K1266" i="11"/>
  <c r="K1267" i="11"/>
  <c r="K1268" i="11"/>
  <c r="K1269" i="11"/>
  <c r="K1270" i="11"/>
  <c r="K1271" i="11"/>
  <c r="K1272" i="11"/>
  <c r="K1273" i="11"/>
  <c r="K1274" i="11"/>
  <c r="K1275" i="11"/>
  <c r="K1276" i="11"/>
  <c r="K1277" i="11"/>
  <c r="K1278" i="11"/>
  <c r="K1279" i="11"/>
  <c r="K1280" i="11"/>
  <c r="K1281" i="11"/>
  <c r="K1282" i="11"/>
  <c r="K1283" i="11"/>
  <c r="K1284" i="11"/>
  <c r="K1285" i="11"/>
  <c r="K1286" i="11"/>
  <c r="K1287" i="11"/>
  <c r="K1288" i="11"/>
  <c r="K1289" i="11"/>
  <c r="K1290" i="11"/>
  <c r="K1291" i="11"/>
  <c r="K1292" i="11"/>
  <c r="K1293" i="11"/>
  <c r="K1294" i="11"/>
  <c r="K1295" i="11"/>
  <c r="K1296" i="11"/>
  <c r="K1297" i="11"/>
  <c r="K1298" i="11"/>
  <c r="K1299" i="11"/>
  <c r="K1300" i="11"/>
  <c r="K1301" i="11"/>
  <c r="K1302" i="11"/>
  <c r="K1303" i="11"/>
  <c r="K1304" i="11"/>
  <c r="K1305" i="11"/>
  <c r="K1306" i="11"/>
  <c r="K1307" i="11"/>
  <c r="K1308" i="11"/>
  <c r="K1309" i="11"/>
  <c r="K1310" i="11"/>
  <c r="K1311" i="11"/>
  <c r="K1312" i="11"/>
  <c r="K1313" i="11"/>
  <c r="K1314" i="11"/>
  <c r="K1315" i="11"/>
  <c r="K1316" i="11"/>
  <c r="K1317" i="11"/>
  <c r="K1318" i="11"/>
  <c r="K1319" i="11"/>
  <c r="K1320" i="11"/>
  <c r="K1321" i="11"/>
  <c r="K1322" i="11"/>
  <c r="K1323" i="11"/>
  <c r="K1324" i="11"/>
  <c r="K1325" i="11"/>
  <c r="K1326" i="11"/>
  <c r="K1327" i="11"/>
  <c r="K1328" i="11"/>
  <c r="K1329" i="11"/>
  <c r="K1330" i="11"/>
  <c r="K1331" i="11"/>
  <c r="K1332" i="11"/>
  <c r="K1333" i="11"/>
  <c r="K1334" i="11"/>
  <c r="K1335" i="11"/>
  <c r="K1336" i="11"/>
  <c r="K1337" i="11"/>
  <c r="K1338" i="11"/>
  <c r="K1339" i="11"/>
  <c r="K1340" i="11"/>
  <c r="K1341" i="11"/>
  <c r="K1342" i="11"/>
  <c r="K1343" i="11"/>
  <c r="K1344" i="11"/>
  <c r="K1345" i="11"/>
  <c r="K1346" i="11"/>
  <c r="K1347" i="11"/>
  <c r="K1348" i="11"/>
  <c r="K1349" i="11"/>
  <c r="K1350" i="11"/>
  <c r="K1351" i="11"/>
  <c r="K1352" i="11"/>
  <c r="K1353" i="11"/>
  <c r="K1354" i="11"/>
  <c r="K1355" i="11"/>
  <c r="K1356" i="11"/>
  <c r="K1357" i="11"/>
  <c r="K1358" i="11"/>
  <c r="K1359" i="11"/>
  <c r="K1360" i="11"/>
  <c r="K1361" i="11"/>
  <c r="K1362" i="11"/>
  <c r="K1363" i="11"/>
  <c r="K1364" i="11"/>
  <c r="K1365" i="11"/>
  <c r="K1366" i="11"/>
  <c r="K1367" i="11"/>
  <c r="K1368" i="11"/>
  <c r="K1369" i="11"/>
  <c r="K1370" i="11"/>
  <c r="K1371" i="11"/>
  <c r="K1372" i="11"/>
  <c r="K1373" i="11"/>
  <c r="K1374" i="11"/>
  <c r="K1375" i="11"/>
  <c r="K1376" i="11"/>
  <c r="K1377" i="11"/>
  <c r="K1378" i="11"/>
  <c r="K1379" i="11"/>
  <c r="K1380" i="11"/>
  <c r="K1381" i="11"/>
  <c r="K1382" i="11"/>
  <c r="K1383" i="11"/>
  <c r="K1384" i="11"/>
  <c r="K1385" i="11"/>
  <c r="K1386" i="11"/>
  <c r="K1387" i="11"/>
  <c r="K1388" i="11"/>
  <c r="K1389" i="11"/>
  <c r="K1390" i="11"/>
  <c r="K1391" i="11"/>
  <c r="K1392" i="11"/>
  <c r="K1393" i="11"/>
  <c r="K1394" i="11"/>
  <c r="K1395" i="11"/>
  <c r="K1396" i="11"/>
  <c r="K1397" i="11"/>
  <c r="K1398" i="11"/>
  <c r="K1399" i="11"/>
  <c r="K1400" i="11"/>
  <c r="K1401" i="11"/>
  <c r="K1402" i="11"/>
  <c r="K1403" i="11"/>
  <c r="K1404" i="11"/>
  <c r="K1405" i="11"/>
  <c r="K1406" i="11"/>
  <c r="K1407" i="11"/>
  <c r="K1408" i="11"/>
  <c r="K1409" i="11"/>
  <c r="K1410" i="11"/>
  <c r="K1411" i="11"/>
  <c r="K1412" i="11"/>
  <c r="K1413" i="11"/>
  <c r="K1414" i="11"/>
  <c r="K1415" i="11"/>
  <c r="K1416" i="11"/>
  <c r="K1417" i="11"/>
  <c r="K1418" i="11"/>
  <c r="K1419" i="11"/>
  <c r="K1420" i="11"/>
  <c r="K1421" i="11"/>
  <c r="K1422" i="11"/>
  <c r="K1423" i="11"/>
  <c r="K1424" i="11"/>
  <c r="K1425" i="11"/>
  <c r="K1426" i="11"/>
  <c r="K1427" i="11"/>
  <c r="K1428" i="11"/>
  <c r="K1429" i="11"/>
  <c r="K1430" i="11"/>
  <c r="K1431" i="11"/>
  <c r="K1432" i="11"/>
  <c r="K1433" i="11"/>
  <c r="K1434" i="11"/>
  <c r="K1435" i="11"/>
  <c r="K1436" i="11"/>
  <c r="K1437" i="11"/>
  <c r="K1438" i="11"/>
  <c r="K1439" i="11"/>
  <c r="K1440" i="11"/>
  <c r="K1441" i="11"/>
  <c r="K1442" i="11"/>
  <c r="K1443" i="11"/>
  <c r="K1444" i="11"/>
  <c r="K1445" i="11"/>
  <c r="K1446" i="11"/>
  <c r="K1447" i="11"/>
  <c r="K1448" i="11"/>
  <c r="K1449" i="11"/>
  <c r="K1450" i="11"/>
  <c r="K1451" i="11"/>
  <c r="K1452" i="11"/>
  <c r="K1453" i="11"/>
  <c r="K1454" i="11"/>
  <c r="K1455" i="11"/>
  <c r="K1456" i="11"/>
  <c r="K1457" i="11"/>
  <c r="K1458" i="11"/>
  <c r="K1459" i="11"/>
  <c r="K1460" i="11"/>
  <c r="K1461" i="11"/>
  <c r="K1462" i="11"/>
  <c r="K1463" i="11"/>
  <c r="K1464" i="11"/>
  <c r="K1465" i="11"/>
  <c r="K1466" i="11"/>
  <c r="K1467" i="11"/>
  <c r="K1468" i="11"/>
  <c r="K1469" i="11"/>
  <c r="K1470" i="11"/>
  <c r="K1471" i="11"/>
  <c r="K1472" i="11"/>
  <c r="K1473" i="11"/>
  <c r="K1474" i="11"/>
  <c r="K1475" i="11"/>
  <c r="K1476" i="11"/>
  <c r="K1477" i="11"/>
  <c r="K1478" i="11"/>
  <c r="K1479" i="11"/>
  <c r="K1480" i="11"/>
  <c r="K1481" i="11"/>
  <c r="K1482" i="11"/>
  <c r="K1483" i="11"/>
  <c r="K1484" i="11"/>
  <c r="K1485" i="11"/>
  <c r="K1486" i="11"/>
  <c r="K1487" i="11"/>
  <c r="K1488" i="11"/>
  <c r="K1489" i="11"/>
  <c r="K1490" i="11"/>
  <c r="K1491" i="11"/>
  <c r="K1492" i="11"/>
  <c r="K1493" i="11"/>
  <c r="K1494" i="11"/>
  <c r="K1495" i="11"/>
  <c r="K1496" i="11"/>
  <c r="K1497" i="11"/>
  <c r="K1498" i="11"/>
  <c r="K1499" i="11"/>
  <c r="K1500" i="11"/>
  <c r="K1501" i="11"/>
  <c r="K1502" i="11"/>
  <c r="K1503" i="11"/>
  <c r="K1504" i="11"/>
  <c r="K1505" i="11"/>
  <c r="K1506" i="11"/>
  <c r="K1507" i="11"/>
  <c r="K1508" i="11"/>
  <c r="K1509" i="11"/>
  <c r="K1510" i="11"/>
  <c r="K1511" i="11"/>
  <c r="K1512" i="11"/>
  <c r="K1513" i="11"/>
  <c r="K1514" i="11"/>
  <c r="K1515" i="11"/>
  <c r="K1516" i="11"/>
  <c r="K1517" i="11"/>
  <c r="K1518" i="11"/>
  <c r="K1519" i="11"/>
  <c r="K1520" i="11"/>
  <c r="K1521" i="11"/>
  <c r="K1522" i="11"/>
  <c r="K1523" i="11"/>
  <c r="K1524" i="11"/>
  <c r="K1525" i="11"/>
  <c r="K1526" i="11"/>
  <c r="K1527" i="11"/>
  <c r="K1528" i="11"/>
  <c r="K1529" i="11"/>
  <c r="K1530" i="11"/>
  <c r="K1531" i="11"/>
  <c r="K1532" i="11"/>
  <c r="K1533" i="11"/>
  <c r="K1534" i="11"/>
  <c r="K1535" i="11"/>
  <c r="K1536" i="11"/>
  <c r="K1537" i="11"/>
  <c r="K1538" i="11"/>
  <c r="K1539" i="11"/>
  <c r="K1540" i="11"/>
  <c r="K1541" i="11"/>
  <c r="K1542" i="11"/>
  <c r="K1543" i="11"/>
  <c r="K1544" i="11"/>
  <c r="K1545" i="11"/>
  <c r="K1546" i="11"/>
  <c r="K1547" i="11"/>
  <c r="K1548" i="11"/>
  <c r="K1549" i="11"/>
  <c r="K1550" i="11"/>
  <c r="K1551" i="11"/>
  <c r="K1552" i="11"/>
  <c r="K1553" i="11"/>
  <c r="K1554" i="11"/>
  <c r="K1555" i="11"/>
  <c r="K1556" i="11"/>
  <c r="K1557" i="11"/>
  <c r="K1558" i="11"/>
  <c r="K1559" i="11"/>
  <c r="K1560" i="11"/>
  <c r="K1561" i="11"/>
  <c r="K1562" i="11"/>
  <c r="K1563" i="11"/>
  <c r="K1564" i="11"/>
  <c r="K1565" i="11"/>
  <c r="K1566" i="11"/>
  <c r="K1567" i="11"/>
  <c r="K1568" i="11"/>
  <c r="K1569" i="11"/>
  <c r="K1570" i="11"/>
  <c r="K1571" i="11"/>
  <c r="K1572" i="11"/>
  <c r="K1573" i="11"/>
  <c r="K1574" i="11"/>
  <c r="K1575" i="11"/>
  <c r="K1576" i="11"/>
  <c r="K1577" i="11"/>
  <c r="K1578" i="11"/>
  <c r="K1579" i="11"/>
  <c r="K1580" i="11"/>
  <c r="K1581" i="11"/>
  <c r="K1582" i="11"/>
  <c r="K1583" i="11"/>
  <c r="K1584" i="11"/>
  <c r="K1585" i="11"/>
  <c r="K1586" i="11"/>
  <c r="K1587" i="11"/>
  <c r="K1588" i="11"/>
  <c r="K1589" i="11"/>
  <c r="K1590" i="11"/>
  <c r="K1591" i="11"/>
  <c r="K1592" i="11"/>
  <c r="K1593" i="11"/>
  <c r="K1594" i="11"/>
  <c r="K1595" i="11"/>
  <c r="K1596" i="11"/>
  <c r="K1597" i="11"/>
  <c r="K1598" i="11"/>
  <c r="K1599" i="11"/>
  <c r="K1600" i="11"/>
  <c r="K1601" i="11"/>
  <c r="K1602" i="11"/>
  <c r="K1603" i="11"/>
  <c r="K1604" i="11"/>
  <c r="K1605" i="11"/>
  <c r="K1606" i="11"/>
  <c r="K1607" i="11"/>
  <c r="K1608" i="11"/>
  <c r="K1609" i="11"/>
  <c r="K1610" i="11"/>
  <c r="K1611" i="11"/>
  <c r="K1612" i="11"/>
  <c r="K1613" i="11"/>
  <c r="K1614" i="11"/>
  <c r="K1615" i="11"/>
  <c r="K1616" i="11"/>
  <c r="K1617" i="11"/>
  <c r="K1618" i="11"/>
  <c r="K1619" i="11"/>
  <c r="K1620" i="11"/>
  <c r="K1621" i="11"/>
  <c r="K1622" i="11"/>
  <c r="K1623" i="11"/>
  <c r="K1624" i="11"/>
  <c r="K1625" i="11"/>
  <c r="K1626" i="11"/>
  <c r="K1627" i="11"/>
  <c r="K1628" i="11"/>
  <c r="K1629" i="11"/>
  <c r="K1630" i="11"/>
  <c r="K1631" i="11"/>
  <c r="K1632" i="11"/>
  <c r="K1633" i="11"/>
  <c r="K1634" i="11"/>
  <c r="K1635" i="11"/>
  <c r="K1636" i="11"/>
  <c r="K1637" i="11"/>
  <c r="K1638" i="11"/>
  <c r="K1639" i="11"/>
  <c r="K1640" i="11"/>
  <c r="K1641" i="11"/>
  <c r="K1642" i="11"/>
  <c r="K1643" i="11"/>
  <c r="K1644" i="11"/>
  <c r="K1645" i="11"/>
  <c r="K1646" i="11"/>
  <c r="K1647" i="11"/>
  <c r="K1648" i="11"/>
  <c r="K1649" i="11"/>
  <c r="K1650" i="11"/>
  <c r="K1651" i="11"/>
  <c r="K1652" i="11"/>
  <c r="K1653" i="11"/>
  <c r="K1654" i="11"/>
  <c r="K1655" i="11"/>
  <c r="K1656" i="11"/>
  <c r="K1657" i="11"/>
  <c r="K1658" i="11"/>
  <c r="K1659" i="11"/>
  <c r="K1660" i="11"/>
  <c r="K1661" i="11"/>
  <c r="K1662" i="11"/>
  <c r="K1663" i="11"/>
  <c r="K1664" i="11"/>
  <c r="K1665" i="11"/>
  <c r="K1666" i="11"/>
  <c r="K1667" i="11"/>
  <c r="K1668" i="11"/>
  <c r="K1669" i="11"/>
  <c r="K1670" i="11"/>
  <c r="K1671" i="11"/>
  <c r="K1672" i="11"/>
  <c r="K1673" i="11"/>
  <c r="K1674" i="11"/>
  <c r="K1675" i="11"/>
  <c r="K1676" i="11"/>
  <c r="K1677" i="11"/>
  <c r="K1678" i="11"/>
  <c r="K1679" i="11"/>
  <c r="K1680" i="11"/>
  <c r="K1681" i="11"/>
  <c r="K1682" i="11"/>
  <c r="K1683" i="11"/>
  <c r="K1684" i="11"/>
  <c r="K1685" i="11"/>
  <c r="K1686" i="11"/>
  <c r="K1687" i="11"/>
  <c r="K1688" i="11"/>
  <c r="K1689" i="11"/>
  <c r="K1690" i="11"/>
  <c r="K1691" i="11"/>
  <c r="K1692" i="11"/>
  <c r="K1693" i="11"/>
  <c r="K1694" i="11"/>
  <c r="K1695" i="11"/>
  <c r="K1696" i="11"/>
  <c r="K1697" i="11"/>
  <c r="K1698" i="11"/>
  <c r="K1699" i="11"/>
  <c r="K1700" i="11"/>
  <c r="K1701" i="11"/>
  <c r="K1702" i="11"/>
  <c r="K1703" i="11"/>
  <c r="K1704" i="11"/>
  <c r="K1705" i="11"/>
  <c r="K1706" i="11"/>
  <c r="K1707" i="11"/>
  <c r="K1708" i="11"/>
  <c r="K1709" i="11"/>
  <c r="K1710" i="11"/>
  <c r="K1711" i="11"/>
  <c r="K1712" i="11"/>
  <c r="K1713" i="11"/>
  <c r="K1714" i="11"/>
  <c r="K1715" i="11"/>
  <c r="K1716" i="11"/>
  <c r="K1717" i="11"/>
  <c r="K1718" i="11"/>
  <c r="K1719" i="11"/>
  <c r="K1720" i="11"/>
  <c r="K1721" i="11"/>
  <c r="K1722" i="11"/>
  <c r="K1723" i="11"/>
  <c r="K1724" i="11"/>
  <c r="K1725" i="11"/>
  <c r="K1726" i="11"/>
  <c r="K1727" i="11"/>
  <c r="K1728" i="11"/>
  <c r="K1729" i="11"/>
  <c r="K1730" i="11"/>
  <c r="K1731" i="11"/>
  <c r="K1732" i="11"/>
  <c r="K1733" i="11"/>
  <c r="K1734" i="11"/>
  <c r="K1735" i="11"/>
  <c r="K1736" i="11"/>
  <c r="K1737" i="11"/>
  <c r="K1738" i="11"/>
  <c r="K1739" i="11"/>
  <c r="K1740" i="11"/>
  <c r="K1741" i="11"/>
  <c r="K1742" i="11"/>
  <c r="K1743" i="11"/>
  <c r="K1744" i="11"/>
  <c r="K1745" i="11"/>
  <c r="K1746" i="11"/>
  <c r="K1747" i="11"/>
  <c r="K1748" i="11"/>
  <c r="K1749" i="11"/>
  <c r="K1750" i="11"/>
  <c r="K1751" i="11"/>
  <c r="K1752" i="11"/>
  <c r="K1753" i="11"/>
  <c r="K1754" i="11"/>
  <c r="K1755" i="11"/>
  <c r="K1756" i="11"/>
  <c r="K1757" i="11"/>
  <c r="K1758" i="11"/>
  <c r="K1759" i="11"/>
  <c r="K1760" i="11"/>
  <c r="K1761" i="11"/>
  <c r="K1762" i="11"/>
  <c r="K1763" i="11"/>
  <c r="K1764" i="11"/>
  <c r="K1765" i="11"/>
  <c r="K1766" i="11"/>
  <c r="K1767" i="11"/>
  <c r="K1768" i="11"/>
  <c r="K1769" i="11"/>
  <c r="K1770" i="11"/>
  <c r="K1771" i="11"/>
  <c r="K1772" i="11"/>
  <c r="K1773" i="11"/>
  <c r="K1774" i="11"/>
  <c r="K1775" i="11"/>
  <c r="K1776" i="11"/>
  <c r="K1777" i="11"/>
  <c r="K1778" i="11"/>
  <c r="K1779" i="11"/>
  <c r="K1780" i="11"/>
  <c r="K1781" i="11"/>
  <c r="K1782" i="11"/>
  <c r="K1783" i="11"/>
  <c r="K1784" i="11"/>
  <c r="K1785" i="11"/>
  <c r="K1786" i="11"/>
  <c r="K1787" i="11"/>
  <c r="K1788" i="11"/>
  <c r="K1789" i="11"/>
  <c r="K1790" i="11"/>
  <c r="K1791" i="11"/>
  <c r="K1792" i="11"/>
  <c r="K1793" i="11"/>
  <c r="K1794" i="11"/>
  <c r="K1795" i="11"/>
  <c r="K1796" i="11"/>
  <c r="K1797" i="11"/>
  <c r="K1798" i="11"/>
  <c r="K1799" i="11"/>
  <c r="K1800" i="11"/>
  <c r="K1801" i="11"/>
  <c r="K1802" i="11"/>
  <c r="K1803" i="11"/>
  <c r="K1804" i="11"/>
  <c r="K1805" i="11"/>
  <c r="K1806" i="11"/>
  <c r="K1807" i="11"/>
  <c r="K1808" i="11"/>
  <c r="K1809" i="11"/>
  <c r="K1810" i="11"/>
  <c r="K1811" i="11"/>
  <c r="K1812" i="11"/>
  <c r="K1813" i="11"/>
  <c r="K1814" i="11"/>
  <c r="K1815" i="11"/>
  <c r="K1816" i="11"/>
  <c r="K1817" i="11"/>
  <c r="K1818" i="11"/>
  <c r="K1819" i="11"/>
  <c r="K1820" i="11"/>
  <c r="K1821" i="11"/>
  <c r="K1822" i="11"/>
  <c r="K1823" i="11"/>
  <c r="K1824" i="11"/>
  <c r="K1825" i="11"/>
  <c r="K1826" i="11"/>
  <c r="K1827" i="11"/>
  <c r="K1828" i="11"/>
  <c r="K1829" i="11"/>
  <c r="K1830" i="11"/>
  <c r="K1831" i="11"/>
  <c r="K1832" i="11"/>
  <c r="K1833" i="11"/>
  <c r="K1834" i="11"/>
  <c r="K1835" i="11"/>
  <c r="K1836" i="11"/>
  <c r="K1837" i="11"/>
  <c r="K1838" i="11"/>
  <c r="K1839" i="11"/>
  <c r="K1840" i="11"/>
  <c r="K1841" i="11"/>
  <c r="K1842" i="11"/>
  <c r="K1843" i="11"/>
  <c r="K1844" i="11"/>
  <c r="K1845" i="11"/>
  <c r="K1846" i="11"/>
  <c r="K1847" i="11"/>
  <c r="K1848" i="11"/>
  <c r="K1849" i="11"/>
  <c r="K1850" i="11"/>
  <c r="K1851" i="11"/>
  <c r="K1852" i="11"/>
  <c r="K1853" i="11"/>
  <c r="K1854" i="11"/>
  <c r="K1855" i="11"/>
  <c r="K1856" i="11"/>
  <c r="K1857" i="11"/>
  <c r="K1858" i="11"/>
  <c r="K1859" i="11"/>
  <c r="K1860" i="11"/>
  <c r="K1861" i="11"/>
  <c r="K1862" i="11"/>
  <c r="K1863" i="11"/>
  <c r="K1864" i="11"/>
  <c r="K1865" i="11"/>
  <c r="K1866" i="11"/>
  <c r="K1867" i="11"/>
  <c r="K1868" i="11"/>
  <c r="K1869" i="11"/>
  <c r="K1870" i="11"/>
  <c r="K1871" i="11"/>
  <c r="K1872" i="11"/>
  <c r="K1873" i="11"/>
  <c r="K1874" i="11"/>
  <c r="K1875" i="11"/>
  <c r="K1876" i="11"/>
  <c r="K1877" i="11"/>
  <c r="K1878" i="11"/>
  <c r="K1879" i="11"/>
  <c r="K1880" i="11"/>
  <c r="K1881" i="11"/>
  <c r="K1882" i="11"/>
  <c r="K1883" i="11"/>
  <c r="K1884" i="11"/>
  <c r="K1885" i="11"/>
  <c r="K1886" i="11"/>
  <c r="K1887" i="11"/>
  <c r="K1888" i="11"/>
  <c r="K1889" i="11"/>
  <c r="K1890" i="11"/>
  <c r="K1891" i="11"/>
  <c r="K1892" i="11"/>
  <c r="K1893" i="11"/>
  <c r="K1894" i="11"/>
  <c r="K1895" i="11"/>
  <c r="K1896" i="11"/>
  <c r="K1897" i="11"/>
  <c r="K1898" i="11"/>
  <c r="K1899" i="11"/>
  <c r="K1900" i="11"/>
  <c r="K1901" i="11"/>
  <c r="K1902" i="11"/>
  <c r="K1903" i="11"/>
  <c r="K1904" i="11"/>
  <c r="K1905" i="11"/>
  <c r="K1906" i="11"/>
  <c r="K1907" i="11"/>
  <c r="K1908" i="11"/>
  <c r="K1909" i="11"/>
  <c r="K1910" i="11"/>
  <c r="K1911" i="11"/>
  <c r="K1912" i="11"/>
  <c r="K1913" i="11"/>
  <c r="K1914" i="11"/>
  <c r="K1915" i="11"/>
  <c r="K1916" i="11"/>
  <c r="K1917" i="11"/>
  <c r="K1918" i="11"/>
  <c r="K1919" i="11"/>
  <c r="K1920" i="11"/>
  <c r="K1921" i="11"/>
  <c r="K1922" i="11"/>
  <c r="K1923" i="11"/>
  <c r="K1924" i="11"/>
  <c r="K1925" i="11"/>
  <c r="K1926" i="11"/>
  <c r="K1927" i="11"/>
  <c r="K1928" i="11"/>
  <c r="K1929" i="11"/>
  <c r="K1930" i="11"/>
  <c r="K1931" i="11"/>
  <c r="K1932" i="11"/>
  <c r="K1933" i="11"/>
  <c r="K1934" i="11"/>
  <c r="K1935" i="11"/>
  <c r="K1936" i="11"/>
  <c r="K1937" i="11"/>
  <c r="K1938" i="11"/>
  <c r="K1939" i="11"/>
  <c r="K1940" i="11"/>
  <c r="K1941" i="11"/>
  <c r="K1942" i="11"/>
  <c r="K1943" i="11"/>
  <c r="K1944" i="11"/>
  <c r="K1945" i="11"/>
  <c r="K1946" i="11"/>
  <c r="K1947" i="11"/>
  <c r="K1948" i="11"/>
  <c r="K1949" i="11"/>
  <c r="K1950" i="11"/>
  <c r="K1951" i="11"/>
  <c r="K1952" i="11"/>
  <c r="K1953" i="11"/>
  <c r="K1954" i="11"/>
  <c r="K1955" i="11"/>
  <c r="K1956" i="11"/>
  <c r="K1957" i="11"/>
  <c r="K1958" i="11"/>
  <c r="K1959" i="11"/>
  <c r="K1960" i="11"/>
  <c r="K1961" i="11"/>
  <c r="K1962" i="11"/>
  <c r="K1963" i="11"/>
  <c r="K1964" i="11"/>
  <c r="K1965" i="11"/>
  <c r="K1966" i="11"/>
  <c r="K1967" i="11"/>
  <c r="K1968" i="11"/>
  <c r="K1969" i="11"/>
  <c r="K1970" i="11"/>
  <c r="K1971" i="11"/>
  <c r="K1972" i="11"/>
  <c r="K1973" i="11"/>
  <c r="K1974" i="11"/>
  <c r="K1975" i="11"/>
  <c r="K1976" i="11"/>
  <c r="K1977" i="11"/>
  <c r="K1978" i="11"/>
  <c r="K1979" i="11"/>
  <c r="K1980" i="11"/>
  <c r="K1981" i="11"/>
  <c r="K1982" i="11"/>
  <c r="K1983" i="11"/>
  <c r="K1984" i="11"/>
  <c r="K1985" i="11"/>
  <c r="K1986" i="11"/>
  <c r="K1987" i="11"/>
  <c r="K1988" i="11"/>
  <c r="K1989" i="11"/>
  <c r="K1990" i="11"/>
  <c r="K1991" i="11"/>
  <c r="K1992" i="11"/>
  <c r="K1993" i="11"/>
  <c r="K1994" i="11"/>
  <c r="K1995" i="11"/>
  <c r="K1996" i="11"/>
  <c r="K1997" i="11"/>
  <c r="K1998" i="11"/>
  <c r="K1999" i="11"/>
  <c r="K2000" i="11"/>
  <c r="K2001" i="11"/>
  <c r="K2002" i="11"/>
  <c r="K2003" i="11"/>
  <c r="K2004" i="11"/>
  <c r="K2005" i="11"/>
  <c r="K2006" i="11"/>
  <c r="K2007" i="11"/>
  <c r="K2008" i="11"/>
  <c r="K2009" i="11"/>
  <c r="K2010" i="11"/>
  <c r="K2011" i="11"/>
  <c r="K2012" i="11"/>
  <c r="K2013" i="11"/>
  <c r="K2014" i="11"/>
  <c r="K2015" i="11"/>
  <c r="K2016" i="11"/>
  <c r="K2017" i="11"/>
  <c r="K2018" i="11"/>
  <c r="K2019" i="11"/>
  <c r="K2020" i="11"/>
  <c r="K2021" i="11"/>
  <c r="K2022" i="11"/>
  <c r="K2023" i="11"/>
  <c r="K2024" i="11"/>
  <c r="K2025" i="11"/>
  <c r="K2026" i="11"/>
  <c r="K2027" i="11"/>
  <c r="K2028" i="11"/>
  <c r="K2029" i="11"/>
  <c r="K2030" i="11"/>
  <c r="K2031" i="11"/>
  <c r="K2032" i="11"/>
  <c r="K2033" i="11"/>
  <c r="K2034" i="11"/>
  <c r="K2035" i="11"/>
  <c r="K2036" i="11"/>
  <c r="K2037" i="11"/>
  <c r="K2038" i="11"/>
  <c r="K2039" i="11"/>
  <c r="K2040" i="11"/>
  <c r="K2041" i="11"/>
  <c r="K2042" i="11"/>
  <c r="K2043" i="11"/>
  <c r="K2044" i="11"/>
  <c r="K2045" i="11"/>
  <c r="K2046" i="11"/>
  <c r="K2047" i="11"/>
  <c r="K2048" i="11"/>
  <c r="K2049" i="11"/>
  <c r="K2050" i="11"/>
  <c r="K2051" i="11"/>
  <c r="K2052" i="11"/>
  <c r="K2053" i="11"/>
  <c r="K2054" i="11"/>
  <c r="K2055" i="11"/>
  <c r="K2056" i="11"/>
  <c r="K2057" i="11"/>
  <c r="K2058" i="11"/>
  <c r="K2059" i="11"/>
  <c r="K2060" i="11"/>
  <c r="K2061" i="11"/>
  <c r="K2062" i="11"/>
  <c r="K2063" i="11"/>
  <c r="K2064" i="11"/>
  <c r="K2065" i="11"/>
  <c r="K2066" i="11"/>
  <c r="K2067" i="11"/>
  <c r="K2068" i="11"/>
  <c r="K2069" i="11"/>
  <c r="K2070" i="11"/>
  <c r="K2071" i="11"/>
  <c r="K2072" i="11"/>
  <c r="K2073" i="11"/>
  <c r="K2074" i="11"/>
  <c r="K2075" i="11"/>
  <c r="K2076" i="11"/>
  <c r="K2077" i="11"/>
  <c r="K2078" i="11"/>
  <c r="K2079" i="11"/>
  <c r="K2080" i="11"/>
  <c r="K2081" i="11"/>
  <c r="K2082" i="11"/>
  <c r="K2083" i="11"/>
  <c r="K2084" i="11"/>
  <c r="K2085" i="11"/>
  <c r="K2086" i="11"/>
  <c r="K2087" i="11"/>
  <c r="K2088" i="11"/>
  <c r="K2089" i="11"/>
  <c r="K2090" i="11"/>
  <c r="K2091" i="11"/>
  <c r="K2092" i="11"/>
  <c r="K2093" i="11"/>
  <c r="K2094" i="11"/>
  <c r="K2095" i="11"/>
  <c r="K2096" i="11"/>
  <c r="K2097" i="11"/>
  <c r="K2098" i="11"/>
  <c r="K2099" i="11"/>
  <c r="K2100" i="11"/>
  <c r="K2101" i="11"/>
  <c r="K2102" i="11"/>
  <c r="K2103" i="11"/>
  <c r="K2104" i="11"/>
  <c r="K2105" i="11"/>
  <c r="K2106" i="11"/>
  <c r="K2107" i="11"/>
  <c r="K2108" i="11"/>
  <c r="K2109" i="11"/>
  <c r="K2110" i="11"/>
  <c r="K2111" i="11"/>
  <c r="K2112" i="11"/>
  <c r="K2113" i="11"/>
  <c r="K2114" i="11"/>
  <c r="K2115" i="11"/>
  <c r="K2116" i="11"/>
  <c r="K2117" i="11"/>
  <c r="K2118" i="11"/>
  <c r="K2119" i="11"/>
  <c r="K2120" i="11"/>
  <c r="K2121" i="11"/>
  <c r="K2122" i="11"/>
  <c r="K2123" i="11"/>
  <c r="K2124" i="11"/>
  <c r="K2125" i="11"/>
  <c r="K2126" i="11"/>
  <c r="K2127" i="11"/>
  <c r="K2128" i="11"/>
  <c r="K2129" i="11"/>
  <c r="K2130" i="11"/>
  <c r="K2131" i="11"/>
  <c r="K2132" i="11"/>
  <c r="K2133" i="11"/>
  <c r="K2134" i="11"/>
  <c r="K2135" i="11"/>
  <c r="K2136" i="11"/>
  <c r="K2137" i="11"/>
  <c r="K2138" i="11"/>
  <c r="K2139" i="11"/>
  <c r="K2140" i="11"/>
  <c r="K2141" i="11"/>
  <c r="K2142" i="11"/>
  <c r="K2143" i="11"/>
  <c r="K2144" i="11"/>
  <c r="K2145" i="11"/>
  <c r="K2146" i="11"/>
  <c r="K2147" i="11"/>
  <c r="K2148" i="11"/>
  <c r="K2149" i="11"/>
  <c r="K2150" i="11"/>
  <c r="K2151" i="11"/>
  <c r="K2152" i="11"/>
  <c r="K2153" i="11"/>
  <c r="K2154" i="11"/>
  <c r="K2155" i="11"/>
  <c r="K2156" i="11"/>
  <c r="K2157" i="11"/>
  <c r="K2158" i="11"/>
  <c r="K2159" i="11"/>
  <c r="K2160" i="11"/>
  <c r="K2161" i="11"/>
  <c r="K2162" i="11"/>
  <c r="K2163" i="11"/>
  <c r="K2164" i="11"/>
  <c r="K2165" i="11"/>
  <c r="K2166" i="11"/>
  <c r="K2167" i="11"/>
  <c r="K2168" i="11"/>
  <c r="K2169" i="11"/>
  <c r="K2170" i="11"/>
  <c r="K2171" i="11"/>
  <c r="K2172" i="11"/>
  <c r="K2173" i="11"/>
  <c r="K2174" i="11"/>
  <c r="K2175" i="11"/>
  <c r="K2176" i="11"/>
  <c r="K2177" i="11"/>
  <c r="K2178" i="11"/>
  <c r="K2179" i="11"/>
  <c r="K2180" i="11"/>
  <c r="K2181" i="11"/>
  <c r="K2182" i="11"/>
  <c r="K2183" i="11"/>
  <c r="K2184" i="11"/>
  <c r="K2185" i="11"/>
  <c r="K2186" i="11"/>
  <c r="K2187" i="11"/>
  <c r="K2188" i="11"/>
  <c r="K2189" i="11"/>
  <c r="K2190" i="11"/>
  <c r="K2191" i="11"/>
  <c r="K2192" i="11"/>
  <c r="K2193" i="11"/>
  <c r="K2194" i="11"/>
  <c r="K2195" i="11"/>
  <c r="K2196" i="11"/>
  <c r="K2197" i="11"/>
  <c r="K2198" i="11"/>
  <c r="K2199" i="11"/>
  <c r="K2200" i="11"/>
  <c r="K2201" i="11"/>
  <c r="K2202" i="11"/>
  <c r="K2203" i="11"/>
  <c r="K2204" i="11"/>
  <c r="K2205" i="11"/>
  <c r="K2206" i="11"/>
  <c r="K2207" i="11"/>
  <c r="K2208" i="11"/>
  <c r="K2209" i="11"/>
  <c r="K2210" i="11"/>
  <c r="K2211" i="11"/>
  <c r="K2212" i="11"/>
  <c r="K2213" i="11"/>
  <c r="K2214" i="11"/>
  <c r="K2215" i="11"/>
  <c r="K2216" i="11"/>
  <c r="K2217" i="11"/>
  <c r="K2218" i="11"/>
  <c r="K2219" i="11"/>
  <c r="K2220" i="11"/>
  <c r="K2221" i="11"/>
  <c r="K2222" i="11"/>
  <c r="K2223" i="11"/>
  <c r="K2224" i="11"/>
  <c r="K2225" i="11"/>
  <c r="K2226" i="11"/>
  <c r="K2227" i="11"/>
  <c r="K2228" i="11"/>
  <c r="K2229" i="11"/>
  <c r="K2230" i="11"/>
  <c r="K2231" i="11"/>
  <c r="K2232" i="11"/>
  <c r="K2233" i="11"/>
  <c r="K2234" i="11"/>
  <c r="K2235" i="11"/>
  <c r="K2236" i="11"/>
  <c r="K2237" i="11"/>
  <c r="K2238" i="11"/>
  <c r="K2239" i="11"/>
  <c r="K2240" i="11"/>
  <c r="K2241" i="11"/>
  <c r="K2242" i="11"/>
  <c r="K2243" i="11"/>
  <c r="K2244" i="11"/>
  <c r="K2245" i="11"/>
  <c r="K2246" i="11"/>
  <c r="K2247" i="11"/>
  <c r="K2248" i="11"/>
  <c r="K2249" i="11"/>
  <c r="K2250" i="11"/>
  <c r="K2251" i="11"/>
  <c r="K2252" i="11"/>
  <c r="K2253" i="11"/>
  <c r="K2254" i="11"/>
  <c r="K2255" i="11"/>
  <c r="K2256" i="11"/>
  <c r="K2257" i="11"/>
  <c r="K2258" i="11"/>
  <c r="K2259" i="11"/>
  <c r="K2260" i="11"/>
  <c r="K2261" i="11"/>
  <c r="K2262" i="11"/>
  <c r="K2263" i="11"/>
  <c r="K2264" i="11"/>
  <c r="K2265" i="11"/>
  <c r="K2266" i="11"/>
  <c r="K2267" i="11"/>
  <c r="K2268" i="11"/>
  <c r="K2269" i="11"/>
  <c r="K2270" i="11"/>
  <c r="K2271" i="11"/>
  <c r="K2272" i="11"/>
  <c r="K2273" i="11"/>
  <c r="K2274" i="11"/>
  <c r="K2275" i="11"/>
  <c r="K2276" i="11"/>
  <c r="K2277" i="11"/>
  <c r="K2278" i="11"/>
  <c r="K2279" i="11"/>
  <c r="K2280" i="11"/>
  <c r="K2281" i="11"/>
  <c r="K2282" i="11"/>
  <c r="K2283" i="11"/>
  <c r="K2284" i="11"/>
  <c r="K2285" i="11"/>
  <c r="K2286" i="11"/>
  <c r="K2287" i="11"/>
  <c r="K2288" i="11"/>
  <c r="K2289" i="11"/>
  <c r="K2290" i="11"/>
  <c r="K2291" i="11"/>
  <c r="K2292" i="11"/>
  <c r="K2293" i="11"/>
  <c r="K2294" i="11"/>
  <c r="K2295" i="11"/>
  <c r="K2296" i="11"/>
  <c r="K2297" i="11"/>
  <c r="K2298" i="11"/>
  <c r="K2299" i="11"/>
  <c r="K2300" i="11"/>
  <c r="K2301" i="11"/>
  <c r="K2302" i="11"/>
  <c r="K2303" i="11"/>
  <c r="K2304" i="11"/>
  <c r="K2305" i="11"/>
  <c r="K2306" i="11"/>
  <c r="K2307" i="11"/>
  <c r="K2308" i="11"/>
  <c r="K2309" i="11"/>
  <c r="K2310" i="11"/>
  <c r="K2311" i="11"/>
  <c r="K2312" i="11"/>
  <c r="K2313" i="11"/>
  <c r="K2314" i="11"/>
  <c r="K2315" i="11"/>
  <c r="K2316" i="11"/>
  <c r="K2317" i="11"/>
  <c r="K2318" i="11"/>
  <c r="K2319" i="11"/>
  <c r="K2320" i="11"/>
  <c r="K2321" i="11"/>
  <c r="K2322" i="11"/>
  <c r="K2323" i="11"/>
  <c r="K2324" i="11"/>
  <c r="K2325" i="11"/>
  <c r="K2326" i="11"/>
  <c r="K2327" i="11"/>
  <c r="K2328" i="11"/>
  <c r="K2329" i="11"/>
  <c r="K2330" i="11"/>
  <c r="K2331" i="11"/>
  <c r="K2332" i="11"/>
  <c r="K2333" i="11"/>
  <c r="K2334" i="11"/>
  <c r="K2335" i="11"/>
  <c r="K2336" i="11"/>
  <c r="K2337" i="11"/>
  <c r="K2338" i="11"/>
  <c r="K2339" i="11"/>
  <c r="K2340" i="11"/>
  <c r="K2341" i="11"/>
  <c r="K2342" i="11"/>
  <c r="K2343" i="11"/>
  <c r="K2344" i="11"/>
  <c r="K2345" i="11"/>
  <c r="K2346" i="11"/>
  <c r="K2347" i="11"/>
  <c r="K2348" i="11"/>
  <c r="K2349" i="11"/>
  <c r="K2350" i="11"/>
  <c r="K2351" i="11"/>
  <c r="K2352" i="11"/>
  <c r="K2353" i="11"/>
  <c r="K2354" i="11"/>
  <c r="K2355" i="11"/>
  <c r="K2356" i="11"/>
  <c r="K2357" i="11"/>
  <c r="K2358" i="11"/>
  <c r="K2359" i="11"/>
  <c r="K2360" i="11"/>
  <c r="K2361" i="11"/>
  <c r="K2362" i="11"/>
  <c r="K2363" i="11"/>
  <c r="K2364" i="11"/>
  <c r="K2365" i="11"/>
  <c r="K2366" i="11"/>
  <c r="K2367" i="11"/>
  <c r="K2368" i="11"/>
  <c r="K2369" i="11"/>
  <c r="K2370" i="11"/>
  <c r="K2371" i="11"/>
  <c r="K2372" i="11"/>
  <c r="K2373" i="11"/>
  <c r="K2374" i="11"/>
  <c r="K2375" i="11"/>
  <c r="K2376" i="11"/>
  <c r="K2377" i="11"/>
  <c r="K2378" i="11"/>
  <c r="K2379" i="11"/>
  <c r="K2380" i="11"/>
  <c r="K2381" i="11"/>
  <c r="K2382" i="11"/>
  <c r="K2383" i="11"/>
  <c r="K2384" i="11"/>
  <c r="K2385" i="11"/>
  <c r="K2386" i="11"/>
  <c r="K2387" i="11"/>
  <c r="K2388" i="11"/>
  <c r="K2389" i="11"/>
  <c r="K2390" i="11"/>
  <c r="K2391" i="11"/>
  <c r="K2392" i="11"/>
  <c r="K2393" i="11"/>
  <c r="K2394" i="11"/>
  <c r="K2395" i="11"/>
  <c r="K2396" i="11"/>
  <c r="K2397" i="11"/>
  <c r="K2398" i="11"/>
  <c r="K2399" i="11"/>
  <c r="K2400" i="11"/>
  <c r="K2401" i="11"/>
  <c r="K2402" i="11"/>
  <c r="K2403" i="11"/>
  <c r="K2404" i="11"/>
  <c r="K2405" i="11"/>
  <c r="K2406" i="11"/>
  <c r="K2407" i="11"/>
  <c r="K2408" i="11"/>
  <c r="K2409" i="11"/>
  <c r="K2410" i="11"/>
  <c r="K2411" i="11"/>
  <c r="K2412" i="11"/>
  <c r="K2413" i="11"/>
  <c r="K2414" i="11"/>
  <c r="K2415" i="11"/>
  <c r="K2416" i="11"/>
  <c r="K2417" i="11"/>
  <c r="K2418" i="11"/>
  <c r="K2419" i="11"/>
  <c r="K2420" i="11"/>
  <c r="K2421" i="11"/>
  <c r="K2422" i="11"/>
  <c r="K2423" i="11"/>
  <c r="K2424" i="11"/>
  <c r="K2425" i="11"/>
  <c r="K2426" i="11"/>
  <c r="K2427" i="11"/>
  <c r="K2428" i="11"/>
  <c r="K2429" i="11"/>
  <c r="K2430" i="11"/>
  <c r="K2431" i="11"/>
  <c r="K2432" i="11"/>
  <c r="K2433" i="11"/>
  <c r="K2434" i="11"/>
  <c r="K2435" i="11"/>
  <c r="K2436" i="11"/>
  <c r="K2437" i="11"/>
  <c r="K2438" i="11"/>
  <c r="K2439" i="11"/>
  <c r="K2440" i="11"/>
  <c r="K2441" i="11"/>
  <c r="K2442" i="11"/>
  <c r="K2443" i="11"/>
  <c r="K2444" i="11"/>
  <c r="K2445" i="11"/>
  <c r="K2446" i="11"/>
  <c r="K2447" i="11"/>
  <c r="K2448" i="11"/>
  <c r="K2449" i="11"/>
  <c r="K2450" i="11"/>
  <c r="K2451" i="11"/>
  <c r="K2452" i="11"/>
  <c r="K2453" i="11"/>
  <c r="K2454" i="11"/>
  <c r="K2455" i="11"/>
  <c r="K2456" i="11"/>
  <c r="K2457" i="11"/>
  <c r="K2458" i="11"/>
  <c r="K2459" i="11"/>
  <c r="K2460" i="11"/>
  <c r="K2461" i="11"/>
  <c r="K2462" i="11"/>
  <c r="K2463" i="11"/>
  <c r="K2464" i="11"/>
  <c r="K2465" i="11"/>
  <c r="K2466" i="11"/>
  <c r="K2467" i="11"/>
  <c r="K2468" i="11"/>
  <c r="K2469" i="11"/>
  <c r="K2470" i="11"/>
  <c r="K2471" i="11"/>
  <c r="K2472" i="11"/>
  <c r="K2473" i="11"/>
  <c r="K2474" i="11"/>
  <c r="K2475" i="11"/>
  <c r="K2476" i="11"/>
  <c r="K2477" i="11"/>
  <c r="K2478" i="11"/>
  <c r="K2479" i="11"/>
  <c r="K2480" i="11"/>
  <c r="K2481" i="11"/>
  <c r="K2482" i="11"/>
  <c r="K2483" i="11"/>
  <c r="K2484" i="11"/>
  <c r="K2485" i="11"/>
  <c r="K2486" i="11"/>
  <c r="K2487" i="11"/>
  <c r="K2488" i="11"/>
  <c r="K2489" i="11"/>
  <c r="K2490" i="11"/>
  <c r="K2491" i="11"/>
  <c r="K2492" i="11"/>
  <c r="K2493" i="11"/>
  <c r="K2494" i="11"/>
  <c r="K2495" i="11"/>
  <c r="K2496" i="11"/>
  <c r="K2497" i="11"/>
  <c r="K2498" i="11"/>
  <c r="K2499" i="11"/>
  <c r="K2500" i="11"/>
  <c r="K2501" i="11"/>
  <c r="K2502" i="11"/>
  <c r="K2503" i="11"/>
  <c r="K2504" i="11"/>
  <c r="K2505" i="11"/>
  <c r="K2506" i="11"/>
  <c r="K2507" i="11"/>
  <c r="K2508" i="11"/>
  <c r="K2509" i="11"/>
  <c r="K2510" i="11"/>
  <c r="K2511" i="11"/>
  <c r="K2512" i="11"/>
  <c r="K2513" i="11"/>
  <c r="K2514" i="11"/>
  <c r="K2515" i="11"/>
  <c r="K2516" i="11"/>
  <c r="K2517" i="11"/>
  <c r="K2518" i="11"/>
  <c r="K2519" i="11"/>
  <c r="K2520" i="11"/>
  <c r="K2521" i="11"/>
  <c r="K2522" i="11"/>
  <c r="K2523" i="11"/>
  <c r="K2524" i="11"/>
  <c r="K2525" i="11"/>
  <c r="K2526" i="11"/>
  <c r="K2527" i="11"/>
  <c r="K2528" i="11"/>
  <c r="K2529" i="11"/>
  <c r="K2530" i="11"/>
  <c r="K2531" i="11"/>
  <c r="K2532" i="11"/>
  <c r="K2533" i="11"/>
  <c r="K2534" i="11"/>
  <c r="K2535" i="11"/>
  <c r="K2536" i="11"/>
  <c r="K2537" i="11"/>
  <c r="K2538" i="11"/>
  <c r="K2539" i="11"/>
  <c r="K2540" i="11"/>
  <c r="K2541" i="11"/>
  <c r="K2542" i="11"/>
  <c r="K2543" i="11"/>
  <c r="K2544" i="11"/>
  <c r="K2545" i="11"/>
  <c r="K2546" i="11"/>
  <c r="K2547" i="11"/>
  <c r="K2548" i="11"/>
  <c r="K2549" i="11"/>
  <c r="K2550" i="11"/>
  <c r="K2551" i="11"/>
  <c r="K2552" i="11"/>
  <c r="K2553" i="11"/>
  <c r="K2554" i="11"/>
  <c r="K2555" i="11"/>
  <c r="K2556" i="11"/>
  <c r="K2557" i="11"/>
  <c r="K2558" i="11"/>
  <c r="K2559" i="11"/>
  <c r="K2560" i="11"/>
  <c r="K2561" i="11"/>
  <c r="K2562" i="11"/>
  <c r="K2563" i="11"/>
  <c r="K2564" i="11"/>
  <c r="K2565" i="11"/>
  <c r="K2566" i="11"/>
  <c r="K2567" i="11"/>
  <c r="K2568" i="11"/>
  <c r="K2569" i="11"/>
  <c r="K2570" i="11"/>
  <c r="K2571" i="11"/>
  <c r="K2572" i="11"/>
  <c r="K2573" i="11"/>
  <c r="K2574" i="11"/>
  <c r="K2575" i="11"/>
  <c r="K2576" i="11"/>
  <c r="K2577" i="11"/>
  <c r="K2578" i="11"/>
  <c r="K2579" i="11"/>
  <c r="K2580" i="11"/>
  <c r="K2581" i="11"/>
  <c r="K2582" i="11"/>
  <c r="K2583" i="11"/>
  <c r="K2584" i="11"/>
  <c r="K2585" i="11"/>
  <c r="K2586" i="11"/>
  <c r="K2587" i="11"/>
  <c r="K2588" i="11"/>
  <c r="K2589" i="11"/>
  <c r="K2590" i="11"/>
  <c r="K2591" i="11"/>
  <c r="K2592" i="11"/>
  <c r="K2593" i="11"/>
  <c r="K2594" i="11"/>
  <c r="K2595" i="11"/>
  <c r="K2596" i="11"/>
  <c r="K2597" i="11"/>
  <c r="K2598" i="11"/>
  <c r="K2599" i="11"/>
  <c r="K2600" i="11"/>
  <c r="K2601" i="11"/>
  <c r="K2602" i="11"/>
  <c r="K2603" i="11"/>
  <c r="K2604" i="11"/>
  <c r="K2605" i="11"/>
  <c r="K2606" i="11"/>
  <c r="K2607" i="11"/>
  <c r="K2608" i="11"/>
  <c r="K2609" i="11"/>
  <c r="K2610" i="11"/>
  <c r="K2611" i="11"/>
  <c r="K2612" i="11"/>
  <c r="K2613" i="11"/>
  <c r="K2614" i="11"/>
  <c r="K2615" i="11"/>
  <c r="K2616" i="11"/>
  <c r="K2617" i="11"/>
  <c r="K2618" i="11"/>
  <c r="K2619" i="11"/>
  <c r="K2620" i="11"/>
  <c r="K2621" i="11"/>
  <c r="K2622" i="11"/>
  <c r="K2623" i="11"/>
  <c r="K2624" i="11"/>
  <c r="K2625" i="11"/>
  <c r="K2626" i="11"/>
  <c r="K2627" i="11"/>
  <c r="K2628" i="11"/>
  <c r="K2629" i="11"/>
  <c r="K2630" i="11"/>
  <c r="K2631" i="11"/>
  <c r="K2632" i="11"/>
  <c r="K2633" i="11"/>
  <c r="K2634" i="11"/>
  <c r="K2635" i="11"/>
  <c r="K2636" i="11"/>
  <c r="K2637" i="11"/>
  <c r="K2638" i="11"/>
  <c r="K2639" i="11"/>
  <c r="K2640" i="11"/>
  <c r="K2641" i="11"/>
  <c r="K2642" i="11"/>
  <c r="K2643" i="11"/>
  <c r="K2644" i="11"/>
  <c r="K2645" i="11"/>
  <c r="K2646" i="11"/>
  <c r="K2647" i="11"/>
  <c r="K2648" i="11"/>
  <c r="K2649" i="11"/>
  <c r="K2650" i="11"/>
  <c r="K2651" i="11"/>
  <c r="K2652" i="11"/>
  <c r="K2653" i="11"/>
  <c r="K2654" i="11"/>
  <c r="K2655" i="11"/>
  <c r="K2656" i="11"/>
  <c r="K2657" i="11"/>
  <c r="K2658" i="11"/>
  <c r="K2659" i="11"/>
  <c r="K2660" i="11"/>
  <c r="K2661" i="11"/>
  <c r="K2662" i="11"/>
  <c r="K2663" i="11"/>
  <c r="K2664" i="11"/>
  <c r="K2665" i="11"/>
  <c r="K2666" i="11"/>
  <c r="K2667" i="11"/>
  <c r="K2668" i="11"/>
  <c r="K2669" i="11"/>
  <c r="K2670" i="11"/>
  <c r="K2671" i="11"/>
  <c r="K2672" i="11"/>
  <c r="K2673" i="11"/>
  <c r="K2674" i="11"/>
  <c r="K2675" i="11"/>
  <c r="K2676" i="11"/>
  <c r="K2677" i="11"/>
  <c r="K2678" i="11"/>
  <c r="K2679" i="11"/>
  <c r="K2680" i="11"/>
  <c r="K2681" i="11"/>
  <c r="K2682" i="11"/>
  <c r="K2683" i="11"/>
  <c r="K2684" i="11"/>
  <c r="K2685" i="11"/>
  <c r="K2686" i="11"/>
  <c r="K2687" i="11"/>
  <c r="K2688" i="11"/>
  <c r="K2689" i="11"/>
  <c r="K2690" i="11"/>
  <c r="K2691" i="11"/>
  <c r="K2692" i="11"/>
  <c r="K2693" i="11"/>
  <c r="K2694" i="11"/>
  <c r="K2695" i="11"/>
  <c r="K2696" i="11"/>
  <c r="K2697" i="11"/>
  <c r="K2698" i="11"/>
  <c r="K2699" i="11"/>
  <c r="K2700" i="11"/>
  <c r="K2701" i="11"/>
  <c r="K2702" i="11"/>
  <c r="K2703" i="11"/>
  <c r="K2704" i="11"/>
  <c r="K2705" i="11"/>
  <c r="K2706" i="11"/>
  <c r="K2707" i="11"/>
  <c r="K2708" i="11"/>
  <c r="K2709" i="11"/>
  <c r="K2710" i="11"/>
  <c r="K2711" i="11"/>
  <c r="K2712" i="11"/>
  <c r="K2713" i="11"/>
  <c r="K2714" i="11"/>
  <c r="K2715" i="11"/>
  <c r="K2716" i="11"/>
  <c r="K2717" i="11"/>
  <c r="K2718" i="11"/>
  <c r="K2719" i="11"/>
  <c r="K2720" i="11"/>
  <c r="K2721" i="11"/>
  <c r="K2722" i="11"/>
  <c r="K2723" i="11"/>
  <c r="K2724" i="11"/>
  <c r="K2725" i="11"/>
  <c r="K2726" i="11"/>
  <c r="K2727" i="11"/>
  <c r="K2728" i="11"/>
  <c r="K2729" i="11"/>
  <c r="K2730" i="11"/>
  <c r="K2731" i="11"/>
  <c r="K2732" i="11"/>
  <c r="K2733" i="11"/>
  <c r="K2734" i="11"/>
  <c r="K2735" i="11"/>
  <c r="K2736" i="11"/>
  <c r="K2737" i="11"/>
  <c r="K2738" i="11"/>
  <c r="K2739" i="11"/>
  <c r="K2740" i="11"/>
  <c r="K2741" i="11"/>
  <c r="K2742" i="11"/>
  <c r="K2743" i="11"/>
  <c r="K2744" i="11"/>
  <c r="K2745" i="11"/>
  <c r="K2746" i="11"/>
  <c r="K2747" i="11"/>
  <c r="K2748" i="11"/>
  <c r="K2749" i="11"/>
  <c r="K2750" i="11"/>
  <c r="K2751" i="11"/>
  <c r="K2752" i="11"/>
  <c r="K2753" i="11"/>
  <c r="K2754" i="11"/>
  <c r="K2755" i="11"/>
  <c r="K2756" i="11"/>
  <c r="K2757" i="11"/>
  <c r="K2758" i="11"/>
  <c r="K2759" i="11"/>
  <c r="K2760" i="11"/>
  <c r="K2761" i="11"/>
  <c r="K2762" i="11"/>
  <c r="K2763" i="11"/>
  <c r="K2764" i="11"/>
  <c r="K2765" i="11"/>
  <c r="K2766" i="11"/>
  <c r="K2767" i="11"/>
  <c r="K2768" i="11"/>
  <c r="K2769" i="11"/>
  <c r="K2770" i="11"/>
  <c r="K2771" i="11"/>
  <c r="K2772" i="11"/>
  <c r="K2773" i="11"/>
  <c r="K2774" i="11"/>
  <c r="K2775" i="11"/>
  <c r="K2776" i="11"/>
  <c r="K2777" i="11"/>
  <c r="K2778" i="11"/>
  <c r="K2779" i="11"/>
  <c r="K2780" i="11"/>
  <c r="K2781" i="11"/>
  <c r="K2782" i="11"/>
  <c r="K2783" i="11"/>
  <c r="K2784" i="11"/>
  <c r="K2785" i="11"/>
  <c r="K2786" i="11"/>
  <c r="K2787" i="11"/>
  <c r="K2788" i="11"/>
  <c r="K2789" i="11"/>
  <c r="K2790" i="11"/>
  <c r="K2791" i="11"/>
  <c r="K2792" i="11"/>
  <c r="K2793" i="11"/>
  <c r="K2794" i="11"/>
  <c r="K2795" i="11"/>
  <c r="K2796" i="11"/>
  <c r="K2797" i="11"/>
  <c r="K2798" i="11"/>
  <c r="K2799" i="11"/>
  <c r="K2800" i="11"/>
  <c r="K2801" i="11"/>
  <c r="K2802" i="11"/>
  <c r="K2803" i="11"/>
  <c r="K2804" i="11"/>
  <c r="K2805" i="11"/>
  <c r="K2806" i="11"/>
  <c r="K2807" i="11"/>
  <c r="K2808" i="11"/>
  <c r="K2809" i="11"/>
  <c r="K2810" i="11"/>
  <c r="K2811" i="11"/>
  <c r="K2812" i="11"/>
  <c r="K2813" i="11"/>
  <c r="K2814" i="11"/>
  <c r="K2815" i="11"/>
  <c r="K2816" i="11"/>
  <c r="K2817" i="11"/>
  <c r="K2818" i="11"/>
  <c r="K2819" i="11"/>
  <c r="K2820" i="11"/>
  <c r="K2821" i="11"/>
  <c r="K2822" i="11"/>
  <c r="K2823" i="11"/>
  <c r="K2824" i="11"/>
  <c r="K2825" i="11"/>
  <c r="K2826" i="11"/>
  <c r="K2827" i="11"/>
  <c r="K2828" i="11"/>
  <c r="K2829" i="11"/>
  <c r="K2830" i="11"/>
  <c r="K2831" i="11"/>
  <c r="K2832" i="11"/>
  <c r="K2833" i="11"/>
  <c r="K2834" i="11"/>
  <c r="K2835" i="11"/>
  <c r="K2836" i="11"/>
  <c r="K2837" i="11"/>
  <c r="K2838" i="11"/>
  <c r="K2839" i="11"/>
  <c r="K2840" i="11"/>
  <c r="K2841" i="11"/>
  <c r="K2842" i="11"/>
  <c r="K2843" i="11"/>
  <c r="K2844" i="11"/>
  <c r="K2845" i="11"/>
  <c r="K2846" i="11"/>
  <c r="K2847" i="11"/>
  <c r="K2848" i="11"/>
  <c r="K2849" i="11"/>
  <c r="K2850" i="11"/>
  <c r="K2851" i="11"/>
  <c r="K2852" i="11"/>
  <c r="K2853" i="11"/>
  <c r="K2854" i="11"/>
  <c r="K2855" i="11"/>
  <c r="K2856" i="11"/>
  <c r="K2857" i="11"/>
  <c r="K2858" i="11"/>
  <c r="K2859" i="11"/>
  <c r="K2860" i="11"/>
  <c r="K2861" i="11"/>
  <c r="K2862" i="11"/>
  <c r="K2863" i="11"/>
  <c r="K2864" i="11"/>
  <c r="K2865" i="11"/>
  <c r="K2866" i="11"/>
  <c r="K2867" i="11"/>
  <c r="K2868" i="11"/>
  <c r="K2869" i="11"/>
  <c r="K2870" i="11"/>
  <c r="K2871" i="11"/>
  <c r="K2872" i="11"/>
  <c r="K2873" i="11"/>
  <c r="K2874" i="11"/>
  <c r="K2875" i="11"/>
  <c r="K2876" i="11"/>
  <c r="K2877" i="11"/>
  <c r="K2878" i="11"/>
  <c r="K2879" i="11"/>
  <c r="K2880" i="11"/>
  <c r="K2881" i="11"/>
  <c r="K2882" i="11"/>
  <c r="K2883" i="11"/>
  <c r="K2884" i="11"/>
  <c r="K2885" i="11"/>
  <c r="K2886" i="11"/>
  <c r="K2887" i="11"/>
  <c r="K2888" i="11"/>
  <c r="K2889" i="11"/>
  <c r="K2890" i="11"/>
  <c r="K2891" i="11"/>
  <c r="K2892" i="11"/>
  <c r="K2893" i="11"/>
  <c r="K2894" i="11"/>
  <c r="K2895" i="11"/>
  <c r="K2896" i="11"/>
  <c r="K2897" i="11"/>
  <c r="K2898" i="11"/>
  <c r="K2899" i="11"/>
  <c r="K2900" i="11"/>
  <c r="K2901" i="11"/>
  <c r="K2902" i="11"/>
  <c r="K2903" i="11"/>
  <c r="K2904" i="11"/>
  <c r="K2905" i="11"/>
  <c r="K2906" i="11"/>
  <c r="K2907" i="11"/>
  <c r="K2908" i="11"/>
  <c r="K2909" i="11"/>
  <c r="K2910" i="11"/>
  <c r="K2911" i="11"/>
  <c r="K2912" i="11"/>
  <c r="K2913" i="11"/>
  <c r="K2914" i="11"/>
  <c r="K2915" i="11"/>
  <c r="K2916" i="11"/>
  <c r="K2917" i="11"/>
  <c r="K2918" i="11"/>
  <c r="K2919" i="11"/>
  <c r="K2920" i="11"/>
  <c r="K2921" i="11"/>
  <c r="K2922" i="11"/>
  <c r="K2923" i="11"/>
  <c r="K2924" i="11"/>
  <c r="K2925" i="11"/>
  <c r="K2926" i="11"/>
  <c r="K2927" i="11"/>
  <c r="K2928" i="11"/>
  <c r="K2929" i="11"/>
  <c r="K2930" i="11"/>
  <c r="K2931" i="11"/>
  <c r="K2932" i="11"/>
  <c r="K2933" i="11"/>
  <c r="K2934" i="11"/>
  <c r="K2935" i="11"/>
  <c r="K2936" i="11"/>
  <c r="K2937" i="11"/>
  <c r="K2938" i="11"/>
  <c r="K2939" i="11"/>
  <c r="K2940" i="11"/>
  <c r="K2941" i="11"/>
  <c r="K2942" i="11"/>
  <c r="K2943" i="11"/>
  <c r="K2944" i="11"/>
  <c r="K2945" i="11"/>
  <c r="K2946" i="11"/>
  <c r="K2947" i="11"/>
  <c r="K2948" i="11"/>
  <c r="K2949" i="11"/>
  <c r="K2950" i="11"/>
  <c r="K2951" i="11"/>
  <c r="K2952" i="11"/>
  <c r="K2953" i="11"/>
  <c r="K2954" i="11"/>
  <c r="K2955" i="11"/>
  <c r="K2956" i="11"/>
  <c r="K2957" i="11"/>
  <c r="K2958" i="11"/>
  <c r="K2959" i="11"/>
  <c r="K2960" i="11"/>
  <c r="K2961" i="11"/>
  <c r="K2962" i="11"/>
  <c r="K2963" i="11"/>
  <c r="K2964" i="11"/>
  <c r="K2965" i="11"/>
  <c r="K2966" i="11"/>
  <c r="K2967" i="11"/>
  <c r="K2968" i="11"/>
  <c r="K2969" i="11"/>
  <c r="K2970" i="11"/>
  <c r="K2971" i="11"/>
  <c r="K2972" i="11"/>
  <c r="K2973" i="11"/>
  <c r="K2974" i="11"/>
  <c r="K2975" i="11"/>
  <c r="K2976" i="11"/>
  <c r="K2977" i="11"/>
  <c r="K2978" i="11"/>
  <c r="K2979" i="11"/>
  <c r="K2980" i="11"/>
  <c r="K2981" i="11"/>
  <c r="K2982" i="11"/>
  <c r="K2983" i="11"/>
  <c r="K2984" i="11"/>
  <c r="K2985" i="11"/>
  <c r="K2986" i="11"/>
  <c r="K2987" i="11"/>
  <c r="K2988" i="11"/>
  <c r="K2989" i="11"/>
  <c r="K2990" i="11"/>
  <c r="K2991" i="11"/>
  <c r="K2992" i="11"/>
  <c r="K2993" i="11"/>
  <c r="K2994" i="11"/>
  <c r="K2995" i="11"/>
  <c r="K2996" i="11"/>
  <c r="K2997" i="11"/>
  <c r="K2998" i="11"/>
  <c r="K2999" i="11"/>
  <c r="K3000" i="11"/>
  <c r="K3001" i="11"/>
  <c r="K3002" i="11"/>
  <c r="K3003" i="11"/>
  <c r="K3004" i="11"/>
  <c r="K3005" i="11"/>
  <c r="K3006" i="11"/>
  <c r="K3007" i="11"/>
  <c r="K3008" i="11"/>
  <c r="K3009" i="11"/>
  <c r="K3010" i="11"/>
  <c r="K3011" i="11"/>
  <c r="K3012" i="11"/>
  <c r="K3013" i="11"/>
  <c r="K3014" i="11"/>
  <c r="K3015" i="11"/>
  <c r="K3016" i="11"/>
  <c r="K3017" i="11"/>
  <c r="K3018" i="11"/>
  <c r="K3019" i="11"/>
  <c r="K3020" i="11"/>
  <c r="K3021" i="11"/>
  <c r="K3022" i="11"/>
  <c r="K3023" i="11"/>
  <c r="K3024" i="11"/>
  <c r="K3025" i="11"/>
  <c r="K3026" i="11"/>
  <c r="K3027" i="11"/>
  <c r="K3028" i="11"/>
  <c r="K3029" i="11"/>
  <c r="K2" i="1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2" i="2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2" i="9"/>
  <c r="J41" i="9"/>
  <c r="H3" i="9"/>
  <c r="J3" i="9" s="1"/>
  <c r="H4" i="9"/>
  <c r="J4" i="9" s="1"/>
  <c r="H5" i="9"/>
  <c r="J5" i="9" s="1"/>
  <c r="H6" i="9"/>
  <c r="J6" i="9" s="1"/>
  <c r="H11" i="9"/>
  <c r="J11" i="9" s="1"/>
  <c r="H17" i="9"/>
  <c r="J17" i="9" s="1"/>
  <c r="H25" i="9"/>
  <c r="J25" i="9" s="1"/>
  <c r="H29" i="9"/>
  <c r="J29" i="9" s="1"/>
  <c r="H41" i="9"/>
  <c r="H43" i="9"/>
  <c r="J43" i="9" s="1"/>
  <c r="H49" i="9"/>
  <c r="J49" i="9" s="1"/>
  <c r="H51" i="9"/>
  <c r="J51" i="9" s="1"/>
  <c r="H68" i="9"/>
  <c r="J68" i="9" s="1"/>
  <c r="H75" i="9"/>
  <c r="J75" i="9" s="1"/>
  <c r="H81" i="9"/>
  <c r="J81" i="9" s="1"/>
  <c r="H89" i="9"/>
  <c r="J89" i="9" s="1"/>
  <c r="H93" i="9"/>
  <c r="J93" i="9" s="1"/>
  <c r="H107" i="9"/>
  <c r="J107" i="9" s="1"/>
  <c r="H113" i="9"/>
  <c r="J113" i="9" s="1"/>
  <c r="H115" i="9"/>
  <c r="J115" i="9" s="1"/>
  <c r="H139" i="9"/>
  <c r="J139" i="9" s="1"/>
  <c r="H145" i="9"/>
  <c r="J145" i="9" s="1"/>
  <c r="H153" i="9"/>
  <c r="J153" i="9" s="1"/>
  <c r="H171" i="9"/>
  <c r="J171" i="9" s="1"/>
  <c r="H177" i="9"/>
  <c r="J177" i="9" s="1"/>
  <c r="H179" i="9"/>
  <c r="J179" i="9" s="1"/>
  <c r="H203" i="9"/>
  <c r="J203" i="9" s="1"/>
  <c r="H209" i="9"/>
  <c r="J209" i="9" s="1"/>
  <c r="H217" i="9"/>
  <c r="J217" i="9" s="1"/>
  <c r="H235" i="9"/>
  <c r="J235" i="9" s="1"/>
  <c r="H241" i="9"/>
  <c r="J241" i="9" s="1"/>
  <c r="H243" i="9"/>
  <c r="J243" i="9" s="1"/>
  <c r="H267" i="9"/>
  <c r="J267" i="9" s="1"/>
  <c r="H273" i="9"/>
  <c r="J273" i="9" s="1"/>
  <c r="H281" i="9"/>
  <c r="J281" i="9" s="1"/>
  <c r="H299" i="9"/>
  <c r="J299" i="9" s="1"/>
  <c r="H305" i="9"/>
  <c r="J305" i="9" s="1"/>
  <c r="H307" i="9"/>
  <c r="J307" i="9" s="1"/>
  <c r="H337" i="9"/>
  <c r="J337" i="9" s="1"/>
  <c r="G3" i="9"/>
  <c r="G4" i="9"/>
  <c r="G5" i="9"/>
  <c r="G6" i="9"/>
  <c r="G7" i="9"/>
  <c r="H7" i="9" s="1"/>
  <c r="J7" i="9" s="1"/>
  <c r="G8" i="9"/>
  <c r="H8" i="9" s="1"/>
  <c r="J8" i="9" s="1"/>
  <c r="G9" i="9"/>
  <c r="H9" i="9" s="1"/>
  <c r="J9" i="9" s="1"/>
  <c r="G10" i="9"/>
  <c r="H10" i="9" s="1"/>
  <c r="J10" i="9" s="1"/>
  <c r="G11" i="9"/>
  <c r="G12" i="9"/>
  <c r="H12" i="9" s="1"/>
  <c r="J12" i="9" s="1"/>
  <c r="G13" i="9"/>
  <c r="H13" i="9" s="1"/>
  <c r="J13" i="9" s="1"/>
  <c r="G14" i="9"/>
  <c r="H14" i="9" s="1"/>
  <c r="J14" i="9" s="1"/>
  <c r="G15" i="9"/>
  <c r="H15" i="9" s="1"/>
  <c r="J15" i="9" s="1"/>
  <c r="G16" i="9"/>
  <c r="H16" i="9" s="1"/>
  <c r="J16" i="9" s="1"/>
  <c r="G17" i="9"/>
  <c r="G18" i="9"/>
  <c r="H18" i="9" s="1"/>
  <c r="J18" i="9" s="1"/>
  <c r="G19" i="9"/>
  <c r="H19" i="9" s="1"/>
  <c r="J19" i="9" s="1"/>
  <c r="G20" i="9"/>
  <c r="H20" i="9" s="1"/>
  <c r="J20" i="9" s="1"/>
  <c r="G21" i="9"/>
  <c r="H21" i="9" s="1"/>
  <c r="J21" i="9" s="1"/>
  <c r="G22" i="9"/>
  <c r="H22" i="9" s="1"/>
  <c r="J22" i="9" s="1"/>
  <c r="G23" i="9"/>
  <c r="H23" i="9" s="1"/>
  <c r="J23" i="9" s="1"/>
  <c r="G24" i="9"/>
  <c r="H24" i="9" s="1"/>
  <c r="J24" i="9" s="1"/>
  <c r="G25" i="9"/>
  <c r="G26" i="9"/>
  <c r="H26" i="9" s="1"/>
  <c r="J26" i="9" s="1"/>
  <c r="G27" i="9"/>
  <c r="H27" i="9" s="1"/>
  <c r="J27" i="9" s="1"/>
  <c r="G28" i="9"/>
  <c r="H28" i="9" s="1"/>
  <c r="J28" i="9" s="1"/>
  <c r="G29" i="9"/>
  <c r="G30" i="9"/>
  <c r="H30" i="9" s="1"/>
  <c r="J30" i="9" s="1"/>
  <c r="G31" i="9"/>
  <c r="H31" i="9" s="1"/>
  <c r="J31" i="9" s="1"/>
  <c r="G32" i="9"/>
  <c r="H32" i="9" s="1"/>
  <c r="J32" i="9" s="1"/>
  <c r="G33" i="9"/>
  <c r="H33" i="9" s="1"/>
  <c r="J33" i="9" s="1"/>
  <c r="G34" i="9"/>
  <c r="H34" i="9" s="1"/>
  <c r="J34" i="9" s="1"/>
  <c r="G35" i="9"/>
  <c r="H35" i="9" s="1"/>
  <c r="J35" i="9" s="1"/>
  <c r="G36" i="9"/>
  <c r="H36" i="9" s="1"/>
  <c r="J36" i="9" s="1"/>
  <c r="G37" i="9"/>
  <c r="H37" i="9" s="1"/>
  <c r="J37" i="9" s="1"/>
  <c r="G38" i="9"/>
  <c r="H38" i="9" s="1"/>
  <c r="J38" i="9" s="1"/>
  <c r="G39" i="9"/>
  <c r="H39" i="9" s="1"/>
  <c r="J39" i="9" s="1"/>
  <c r="G40" i="9"/>
  <c r="H40" i="9" s="1"/>
  <c r="J40" i="9" s="1"/>
  <c r="G41" i="9"/>
  <c r="G42" i="9"/>
  <c r="H42" i="9" s="1"/>
  <c r="J42" i="9" s="1"/>
  <c r="G43" i="9"/>
  <c r="G44" i="9"/>
  <c r="H44" i="9" s="1"/>
  <c r="J44" i="9" s="1"/>
  <c r="G45" i="9"/>
  <c r="H45" i="9" s="1"/>
  <c r="J45" i="9" s="1"/>
  <c r="G46" i="9"/>
  <c r="H46" i="9" s="1"/>
  <c r="J46" i="9" s="1"/>
  <c r="G47" i="9"/>
  <c r="H47" i="9" s="1"/>
  <c r="J47" i="9" s="1"/>
  <c r="G48" i="9"/>
  <c r="H48" i="9" s="1"/>
  <c r="J48" i="9" s="1"/>
  <c r="G49" i="9"/>
  <c r="G50" i="9"/>
  <c r="H50" i="9" s="1"/>
  <c r="J50" i="9" s="1"/>
  <c r="G51" i="9"/>
  <c r="G52" i="9"/>
  <c r="H52" i="9" s="1"/>
  <c r="J52" i="9" s="1"/>
  <c r="G53" i="9"/>
  <c r="H53" i="9" s="1"/>
  <c r="J53" i="9" s="1"/>
  <c r="G54" i="9"/>
  <c r="H54" i="9" s="1"/>
  <c r="J54" i="9" s="1"/>
  <c r="G55" i="9"/>
  <c r="H55" i="9" s="1"/>
  <c r="J55" i="9" s="1"/>
  <c r="G56" i="9"/>
  <c r="H56" i="9" s="1"/>
  <c r="J56" i="9" s="1"/>
  <c r="G57" i="9"/>
  <c r="H57" i="9" s="1"/>
  <c r="J57" i="9" s="1"/>
  <c r="G58" i="9"/>
  <c r="H58" i="9" s="1"/>
  <c r="J58" i="9" s="1"/>
  <c r="G59" i="9"/>
  <c r="H59" i="9" s="1"/>
  <c r="J59" i="9" s="1"/>
  <c r="G60" i="9"/>
  <c r="H60" i="9" s="1"/>
  <c r="J60" i="9" s="1"/>
  <c r="G61" i="9"/>
  <c r="H61" i="9" s="1"/>
  <c r="J61" i="9" s="1"/>
  <c r="G62" i="9"/>
  <c r="H62" i="9" s="1"/>
  <c r="J62" i="9" s="1"/>
  <c r="G63" i="9"/>
  <c r="H63" i="9" s="1"/>
  <c r="J63" i="9" s="1"/>
  <c r="G64" i="9"/>
  <c r="H64" i="9" s="1"/>
  <c r="J64" i="9" s="1"/>
  <c r="G65" i="9"/>
  <c r="H65" i="9" s="1"/>
  <c r="J65" i="9" s="1"/>
  <c r="G66" i="9"/>
  <c r="H66" i="9" s="1"/>
  <c r="J66" i="9" s="1"/>
  <c r="G67" i="9"/>
  <c r="H67" i="9" s="1"/>
  <c r="J67" i="9" s="1"/>
  <c r="G68" i="9"/>
  <c r="G69" i="9"/>
  <c r="H69" i="9" s="1"/>
  <c r="J69" i="9" s="1"/>
  <c r="G70" i="9"/>
  <c r="H70" i="9" s="1"/>
  <c r="J70" i="9" s="1"/>
  <c r="G71" i="9"/>
  <c r="H71" i="9" s="1"/>
  <c r="J71" i="9" s="1"/>
  <c r="G72" i="9"/>
  <c r="H72" i="9" s="1"/>
  <c r="J72" i="9" s="1"/>
  <c r="G73" i="9"/>
  <c r="H73" i="9" s="1"/>
  <c r="J73" i="9" s="1"/>
  <c r="G74" i="9"/>
  <c r="H74" i="9" s="1"/>
  <c r="J74" i="9" s="1"/>
  <c r="G75" i="9"/>
  <c r="G76" i="9"/>
  <c r="H76" i="9" s="1"/>
  <c r="J76" i="9" s="1"/>
  <c r="G77" i="9"/>
  <c r="H77" i="9" s="1"/>
  <c r="J77" i="9" s="1"/>
  <c r="G78" i="9"/>
  <c r="H78" i="9" s="1"/>
  <c r="J78" i="9" s="1"/>
  <c r="G79" i="9"/>
  <c r="H79" i="9" s="1"/>
  <c r="J79" i="9" s="1"/>
  <c r="G80" i="9"/>
  <c r="H80" i="9" s="1"/>
  <c r="J80" i="9" s="1"/>
  <c r="G81" i="9"/>
  <c r="G82" i="9"/>
  <c r="H82" i="9" s="1"/>
  <c r="J82" i="9" s="1"/>
  <c r="G83" i="9"/>
  <c r="H83" i="9" s="1"/>
  <c r="J83" i="9" s="1"/>
  <c r="G84" i="9"/>
  <c r="H84" i="9" s="1"/>
  <c r="J84" i="9" s="1"/>
  <c r="G85" i="9"/>
  <c r="H85" i="9" s="1"/>
  <c r="J85" i="9" s="1"/>
  <c r="G86" i="9"/>
  <c r="H86" i="9" s="1"/>
  <c r="J86" i="9" s="1"/>
  <c r="G87" i="9"/>
  <c r="H87" i="9" s="1"/>
  <c r="J87" i="9" s="1"/>
  <c r="G88" i="9"/>
  <c r="H88" i="9" s="1"/>
  <c r="J88" i="9" s="1"/>
  <c r="G89" i="9"/>
  <c r="G90" i="9"/>
  <c r="H90" i="9" s="1"/>
  <c r="J90" i="9" s="1"/>
  <c r="G91" i="9"/>
  <c r="H91" i="9" s="1"/>
  <c r="J91" i="9" s="1"/>
  <c r="G92" i="9"/>
  <c r="H92" i="9" s="1"/>
  <c r="J92" i="9" s="1"/>
  <c r="G93" i="9"/>
  <c r="G94" i="9"/>
  <c r="H94" i="9" s="1"/>
  <c r="J94" i="9" s="1"/>
  <c r="G95" i="9"/>
  <c r="H95" i="9" s="1"/>
  <c r="J95" i="9" s="1"/>
  <c r="G96" i="9"/>
  <c r="H96" i="9" s="1"/>
  <c r="J96" i="9" s="1"/>
  <c r="G97" i="9"/>
  <c r="H97" i="9" s="1"/>
  <c r="J97" i="9" s="1"/>
  <c r="G98" i="9"/>
  <c r="H98" i="9" s="1"/>
  <c r="J98" i="9" s="1"/>
  <c r="G99" i="9"/>
  <c r="H99" i="9" s="1"/>
  <c r="J99" i="9" s="1"/>
  <c r="G100" i="9"/>
  <c r="H100" i="9" s="1"/>
  <c r="J100" i="9" s="1"/>
  <c r="G101" i="9"/>
  <c r="H101" i="9" s="1"/>
  <c r="J101" i="9" s="1"/>
  <c r="G102" i="9"/>
  <c r="H102" i="9" s="1"/>
  <c r="J102" i="9" s="1"/>
  <c r="G103" i="9"/>
  <c r="H103" i="9" s="1"/>
  <c r="J103" i="9" s="1"/>
  <c r="G104" i="9"/>
  <c r="H104" i="9" s="1"/>
  <c r="J104" i="9" s="1"/>
  <c r="G105" i="9"/>
  <c r="H105" i="9" s="1"/>
  <c r="J105" i="9" s="1"/>
  <c r="G106" i="9"/>
  <c r="H106" i="9" s="1"/>
  <c r="J106" i="9" s="1"/>
  <c r="G107" i="9"/>
  <c r="G108" i="9"/>
  <c r="H108" i="9" s="1"/>
  <c r="J108" i="9" s="1"/>
  <c r="G109" i="9"/>
  <c r="H109" i="9" s="1"/>
  <c r="J109" i="9" s="1"/>
  <c r="G110" i="9"/>
  <c r="H110" i="9" s="1"/>
  <c r="J110" i="9" s="1"/>
  <c r="G111" i="9"/>
  <c r="H111" i="9" s="1"/>
  <c r="J111" i="9" s="1"/>
  <c r="G112" i="9"/>
  <c r="H112" i="9" s="1"/>
  <c r="J112" i="9" s="1"/>
  <c r="G113" i="9"/>
  <c r="G114" i="9"/>
  <c r="H114" i="9" s="1"/>
  <c r="J114" i="9" s="1"/>
  <c r="G115" i="9"/>
  <c r="G116" i="9"/>
  <c r="H116" i="9" s="1"/>
  <c r="J116" i="9" s="1"/>
  <c r="G117" i="9"/>
  <c r="H117" i="9" s="1"/>
  <c r="J117" i="9" s="1"/>
  <c r="G118" i="9"/>
  <c r="H118" i="9" s="1"/>
  <c r="J118" i="9" s="1"/>
  <c r="G119" i="9"/>
  <c r="H119" i="9" s="1"/>
  <c r="J119" i="9" s="1"/>
  <c r="G120" i="9"/>
  <c r="H120" i="9" s="1"/>
  <c r="J120" i="9" s="1"/>
  <c r="G121" i="9"/>
  <c r="H121" i="9" s="1"/>
  <c r="J121" i="9" s="1"/>
  <c r="G122" i="9"/>
  <c r="H122" i="9" s="1"/>
  <c r="J122" i="9" s="1"/>
  <c r="G123" i="9"/>
  <c r="H123" i="9" s="1"/>
  <c r="J123" i="9" s="1"/>
  <c r="G124" i="9"/>
  <c r="H124" i="9" s="1"/>
  <c r="J124" i="9" s="1"/>
  <c r="G125" i="9"/>
  <c r="H125" i="9" s="1"/>
  <c r="J125" i="9" s="1"/>
  <c r="G126" i="9"/>
  <c r="H126" i="9" s="1"/>
  <c r="J126" i="9" s="1"/>
  <c r="G127" i="9"/>
  <c r="H127" i="9" s="1"/>
  <c r="J127" i="9" s="1"/>
  <c r="G128" i="9"/>
  <c r="H128" i="9" s="1"/>
  <c r="J128" i="9" s="1"/>
  <c r="G129" i="9"/>
  <c r="H129" i="9" s="1"/>
  <c r="J129" i="9" s="1"/>
  <c r="G130" i="9"/>
  <c r="H130" i="9" s="1"/>
  <c r="J130" i="9" s="1"/>
  <c r="G131" i="9"/>
  <c r="H131" i="9" s="1"/>
  <c r="J131" i="9" s="1"/>
  <c r="G132" i="9"/>
  <c r="H132" i="9" s="1"/>
  <c r="J132" i="9" s="1"/>
  <c r="G133" i="9"/>
  <c r="H133" i="9" s="1"/>
  <c r="J133" i="9" s="1"/>
  <c r="G134" i="9"/>
  <c r="H134" i="9" s="1"/>
  <c r="J134" i="9" s="1"/>
  <c r="G135" i="9"/>
  <c r="H135" i="9" s="1"/>
  <c r="J135" i="9" s="1"/>
  <c r="G136" i="9"/>
  <c r="H136" i="9" s="1"/>
  <c r="J136" i="9" s="1"/>
  <c r="G137" i="9"/>
  <c r="H137" i="9" s="1"/>
  <c r="J137" i="9" s="1"/>
  <c r="G138" i="9"/>
  <c r="H138" i="9" s="1"/>
  <c r="J138" i="9" s="1"/>
  <c r="G139" i="9"/>
  <c r="G140" i="9"/>
  <c r="H140" i="9" s="1"/>
  <c r="J140" i="9" s="1"/>
  <c r="G141" i="9"/>
  <c r="H141" i="9" s="1"/>
  <c r="J141" i="9" s="1"/>
  <c r="G142" i="9"/>
  <c r="H142" i="9" s="1"/>
  <c r="J142" i="9" s="1"/>
  <c r="G143" i="9"/>
  <c r="H143" i="9" s="1"/>
  <c r="J143" i="9" s="1"/>
  <c r="G144" i="9"/>
  <c r="H144" i="9" s="1"/>
  <c r="J144" i="9" s="1"/>
  <c r="G145" i="9"/>
  <c r="G146" i="9"/>
  <c r="H146" i="9" s="1"/>
  <c r="J146" i="9" s="1"/>
  <c r="G147" i="9"/>
  <c r="H147" i="9" s="1"/>
  <c r="J147" i="9" s="1"/>
  <c r="G148" i="9"/>
  <c r="H148" i="9" s="1"/>
  <c r="J148" i="9" s="1"/>
  <c r="G149" i="9"/>
  <c r="H149" i="9" s="1"/>
  <c r="J149" i="9" s="1"/>
  <c r="G150" i="9"/>
  <c r="H150" i="9" s="1"/>
  <c r="J150" i="9" s="1"/>
  <c r="G151" i="9"/>
  <c r="H151" i="9" s="1"/>
  <c r="J151" i="9" s="1"/>
  <c r="G152" i="9"/>
  <c r="H152" i="9" s="1"/>
  <c r="J152" i="9" s="1"/>
  <c r="G153" i="9"/>
  <c r="G154" i="9"/>
  <c r="H154" i="9" s="1"/>
  <c r="J154" i="9" s="1"/>
  <c r="G155" i="9"/>
  <c r="H155" i="9" s="1"/>
  <c r="J155" i="9" s="1"/>
  <c r="G156" i="9"/>
  <c r="H156" i="9" s="1"/>
  <c r="J156" i="9" s="1"/>
  <c r="G157" i="9"/>
  <c r="H157" i="9" s="1"/>
  <c r="J157" i="9" s="1"/>
  <c r="G158" i="9"/>
  <c r="H158" i="9" s="1"/>
  <c r="J158" i="9" s="1"/>
  <c r="G159" i="9"/>
  <c r="H159" i="9" s="1"/>
  <c r="J159" i="9" s="1"/>
  <c r="G160" i="9"/>
  <c r="H160" i="9" s="1"/>
  <c r="J160" i="9" s="1"/>
  <c r="G161" i="9"/>
  <c r="H161" i="9" s="1"/>
  <c r="J161" i="9" s="1"/>
  <c r="G162" i="9"/>
  <c r="H162" i="9" s="1"/>
  <c r="J162" i="9" s="1"/>
  <c r="G163" i="9"/>
  <c r="H163" i="9" s="1"/>
  <c r="J163" i="9" s="1"/>
  <c r="G164" i="9"/>
  <c r="H164" i="9" s="1"/>
  <c r="J164" i="9" s="1"/>
  <c r="G165" i="9"/>
  <c r="H165" i="9" s="1"/>
  <c r="J165" i="9" s="1"/>
  <c r="G166" i="9"/>
  <c r="H166" i="9" s="1"/>
  <c r="J166" i="9" s="1"/>
  <c r="G167" i="9"/>
  <c r="H167" i="9" s="1"/>
  <c r="J167" i="9" s="1"/>
  <c r="G168" i="9"/>
  <c r="H168" i="9" s="1"/>
  <c r="J168" i="9" s="1"/>
  <c r="G169" i="9"/>
  <c r="H169" i="9" s="1"/>
  <c r="J169" i="9" s="1"/>
  <c r="G170" i="9"/>
  <c r="H170" i="9" s="1"/>
  <c r="J170" i="9" s="1"/>
  <c r="G171" i="9"/>
  <c r="G172" i="9"/>
  <c r="H172" i="9" s="1"/>
  <c r="J172" i="9" s="1"/>
  <c r="G173" i="9"/>
  <c r="H173" i="9" s="1"/>
  <c r="J173" i="9" s="1"/>
  <c r="G174" i="9"/>
  <c r="H174" i="9" s="1"/>
  <c r="J174" i="9" s="1"/>
  <c r="G175" i="9"/>
  <c r="H175" i="9" s="1"/>
  <c r="J175" i="9" s="1"/>
  <c r="G176" i="9"/>
  <c r="H176" i="9" s="1"/>
  <c r="J176" i="9" s="1"/>
  <c r="G177" i="9"/>
  <c r="G178" i="9"/>
  <c r="H178" i="9" s="1"/>
  <c r="J178" i="9" s="1"/>
  <c r="G179" i="9"/>
  <c r="G180" i="9"/>
  <c r="H180" i="9" s="1"/>
  <c r="J180" i="9" s="1"/>
  <c r="G181" i="9"/>
  <c r="H181" i="9" s="1"/>
  <c r="J181" i="9" s="1"/>
  <c r="G182" i="9"/>
  <c r="H182" i="9" s="1"/>
  <c r="J182" i="9" s="1"/>
  <c r="G183" i="9"/>
  <c r="H183" i="9" s="1"/>
  <c r="J183" i="9" s="1"/>
  <c r="G184" i="9"/>
  <c r="H184" i="9" s="1"/>
  <c r="J184" i="9" s="1"/>
  <c r="G185" i="9"/>
  <c r="H185" i="9" s="1"/>
  <c r="J185" i="9" s="1"/>
  <c r="G186" i="9"/>
  <c r="H186" i="9" s="1"/>
  <c r="J186" i="9" s="1"/>
  <c r="G187" i="9"/>
  <c r="H187" i="9" s="1"/>
  <c r="J187" i="9" s="1"/>
  <c r="G188" i="9"/>
  <c r="H188" i="9" s="1"/>
  <c r="J188" i="9" s="1"/>
  <c r="G189" i="9"/>
  <c r="H189" i="9" s="1"/>
  <c r="J189" i="9" s="1"/>
  <c r="G190" i="9"/>
  <c r="H190" i="9" s="1"/>
  <c r="J190" i="9" s="1"/>
  <c r="G191" i="9"/>
  <c r="H191" i="9" s="1"/>
  <c r="J191" i="9" s="1"/>
  <c r="G192" i="9"/>
  <c r="H192" i="9" s="1"/>
  <c r="J192" i="9" s="1"/>
  <c r="G193" i="9"/>
  <c r="H193" i="9" s="1"/>
  <c r="J193" i="9" s="1"/>
  <c r="G194" i="9"/>
  <c r="H194" i="9" s="1"/>
  <c r="J194" i="9" s="1"/>
  <c r="G195" i="9"/>
  <c r="H195" i="9" s="1"/>
  <c r="J195" i="9" s="1"/>
  <c r="G196" i="9"/>
  <c r="H196" i="9" s="1"/>
  <c r="J196" i="9" s="1"/>
  <c r="G197" i="9"/>
  <c r="H197" i="9" s="1"/>
  <c r="J197" i="9" s="1"/>
  <c r="G198" i="9"/>
  <c r="H198" i="9" s="1"/>
  <c r="J198" i="9" s="1"/>
  <c r="G199" i="9"/>
  <c r="H199" i="9" s="1"/>
  <c r="J199" i="9" s="1"/>
  <c r="G200" i="9"/>
  <c r="H200" i="9" s="1"/>
  <c r="J200" i="9" s="1"/>
  <c r="G201" i="9"/>
  <c r="H201" i="9" s="1"/>
  <c r="J201" i="9" s="1"/>
  <c r="G202" i="9"/>
  <c r="H202" i="9" s="1"/>
  <c r="J202" i="9" s="1"/>
  <c r="G203" i="9"/>
  <c r="G204" i="9"/>
  <c r="H204" i="9" s="1"/>
  <c r="J204" i="9" s="1"/>
  <c r="G205" i="9"/>
  <c r="H205" i="9" s="1"/>
  <c r="J205" i="9" s="1"/>
  <c r="G206" i="9"/>
  <c r="H206" i="9" s="1"/>
  <c r="J206" i="9" s="1"/>
  <c r="G207" i="9"/>
  <c r="H207" i="9" s="1"/>
  <c r="J207" i="9" s="1"/>
  <c r="G208" i="9"/>
  <c r="H208" i="9" s="1"/>
  <c r="J208" i="9" s="1"/>
  <c r="G209" i="9"/>
  <c r="G210" i="9"/>
  <c r="H210" i="9" s="1"/>
  <c r="J210" i="9" s="1"/>
  <c r="G211" i="9"/>
  <c r="H211" i="9" s="1"/>
  <c r="J211" i="9" s="1"/>
  <c r="G212" i="9"/>
  <c r="H212" i="9" s="1"/>
  <c r="J212" i="9" s="1"/>
  <c r="G213" i="9"/>
  <c r="H213" i="9" s="1"/>
  <c r="J213" i="9" s="1"/>
  <c r="G214" i="9"/>
  <c r="H214" i="9" s="1"/>
  <c r="J214" i="9" s="1"/>
  <c r="G215" i="9"/>
  <c r="H215" i="9" s="1"/>
  <c r="J215" i="9" s="1"/>
  <c r="G216" i="9"/>
  <c r="H216" i="9" s="1"/>
  <c r="J216" i="9" s="1"/>
  <c r="G217" i="9"/>
  <c r="G218" i="9"/>
  <c r="H218" i="9" s="1"/>
  <c r="J218" i="9" s="1"/>
  <c r="G219" i="9"/>
  <c r="H219" i="9" s="1"/>
  <c r="J219" i="9" s="1"/>
  <c r="G220" i="9"/>
  <c r="H220" i="9" s="1"/>
  <c r="J220" i="9" s="1"/>
  <c r="G221" i="9"/>
  <c r="H221" i="9" s="1"/>
  <c r="J221" i="9" s="1"/>
  <c r="G222" i="9"/>
  <c r="H222" i="9" s="1"/>
  <c r="J222" i="9" s="1"/>
  <c r="G223" i="9"/>
  <c r="H223" i="9" s="1"/>
  <c r="J223" i="9" s="1"/>
  <c r="G224" i="9"/>
  <c r="H224" i="9" s="1"/>
  <c r="J224" i="9" s="1"/>
  <c r="G225" i="9"/>
  <c r="H225" i="9" s="1"/>
  <c r="J225" i="9" s="1"/>
  <c r="G226" i="9"/>
  <c r="H226" i="9" s="1"/>
  <c r="J226" i="9" s="1"/>
  <c r="G227" i="9"/>
  <c r="H227" i="9" s="1"/>
  <c r="J227" i="9" s="1"/>
  <c r="G228" i="9"/>
  <c r="H228" i="9" s="1"/>
  <c r="J228" i="9" s="1"/>
  <c r="G229" i="9"/>
  <c r="H229" i="9" s="1"/>
  <c r="J229" i="9" s="1"/>
  <c r="G230" i="9"/>
  <c r="H230" i="9" s="1"/>
  <c r="J230" i="9" s="1"/>
  <c r="G231" i="9"/>
  <c r="H231" i="9" s="1"/>
  <c r="J231" i="9" s="1"/>
  <c r="G232" i="9"/>
  <c r="H232" i="9" s="1"/>
  <c r="J232" i="9" s="1"/>
  <c r="G233" i="9"/>
  <c r="H233" i="9" s="1"/>
  <c r="J233" i="9" s="1"/>
  <c r="G234" i="9"/>
  <c r="H234" i="9" s="1"/>
  <c r="J234" i="9" s="1"/>
  <c r="G235" i="9"/>
  <c r="G236" i="9"/>
  <c r="H236" i="9" s="1"/>
  <c r="J236" i="9" s="1"/>
  <c r="G237" i="9"/>
  <c r="H237" i="9" s="1"/>
  <c r="J237" i="9" s="1"/>
  <c r="G238" i="9"/>
  <c r="H238" i="9" s="1"/>
  <c r="J238" i="9" s="1"/>
  <c r="G239" i="9"/>
  <c r="H239" i="9" s="1"/>
  <c r="J239" i="9" s="1"/>
  <c r="G240" i="9"/>
  <c r="H240" i="9" s="1"/>
  <c r="J240" i="9" s="1"/>
  <c r="G241" i="9"/>
  <c r="G242" i="9"/>
  <c r="H242" i="9" s="1"/>
  <c r="J242" i="9" s="1"/>
  <c r="G243" i="9"/>
  <c r="G244" i="9"/>
  <c r="H244" i="9" s="1"/>
  <c r="J244" i="9" s="1"/>
  <c r="G245" i="9"/>
  <c r="H245" i="9" s="1"/>
  <c r="J245" i="9" s="1"/>
  <c r="G246" i="9"/>
  <c r="H246" i="9" s="1"/>
  <c r="J246" i="9" s="1"/>
  <c r="G247" i="9"/>
  <c r="H247" i="9" s="1"/>
  <c r="J247" i="9" s="1"/>
  <c r="G248" i="9"/>
  <c r="H248" i="9" s="1"/>
  <c r="J248" i="9" s="1"/>
  <c r="G249" i="9"/>
  <c r="H249" i="9" s="1"/>
  <c r="J249" i="9" s="1"/>
  <c r="G250" i="9"/>
  <c r="H250" i="9" s="1"/>
  <c r="J250" i="9" s="1"/>
  <c r="G251" i="9"/>
  <c r="H251" i="9" s="1"/>
  <c r="J251" i="9" s="1"/>
  <c r="G252" i="9"/>
  <c r="H252" i="9" s="1"/>
  <c r="J252" i="9" s="1"/>
  <c r="G253" i="9"/>
  <c r="H253" i="9" s="1"/>
  <c r="J253" i="9" s="1"/>
  <c r="G254" i="9"/>
  <c r="H254" i="9" s="1"/>
  <c r="J254" i="9" s="1"/>
  <c r="G255" i="9"/>
  <c r="H255" i="9" s="1"/>
  <c r="J255" i="9" s="1"/>
  <c r="G256" i="9"/>
  <c r="H256" i="9" s="1"/>
  <c r="J256" i="9" s="1"/>
  <c r="G257" i="9"/>
  <c r="H257" i="9" s="1"/>
  <c r="J257" i="9" s="1"/>
  <c r="G258" i="9"/>
  <c r="H258" i="9" s="1"/>
  <c r="J258" i="9" s="1"/>
  <c r="G259" i="9"/>
  <c r="H259" i="9" s="1"/>
  <c r="J259" i="9" s="1"/>
  <c r="G260" i="9"/>
  <c r="H260" i="9" s="1"/>
  <c r="J260" i="9" s="1"/>
  <c r="G261" i="9"/>
  <c r="H261" i="9" s="1"/>
  <c r="J261" i="9" s="1"/>
  <c r="G262" i="9"/>
  <c r="H262" i="9" s="1"/>
  <c r="J262" i="9" s="1"/>
  <c r="G263" i="9"/>
  <c r="H263" i="9" s="1"/>
  <c r="J263" i="9" s="1"/>
  <c r="G264" i="9"/>
  <c r="H264" i="9" s="1"/>
  <c r="J264" i="9" s="1"/>
  <c r="G265" i="9"/>
  <c r="H265" i="9" s="1"/>
  <c r="J265" i="9" s="1"/>
  <c r="G266" i="9"/>
  <c r="H266" i="9" s="1"/>
  <c r="J266" i="9" s="1"/>
  <c r="G267" i="9"/>
  <c r="G268" i="9"/>
  <c r="H268" i="9" s="1"/>
  <c r="J268" i="9" s="1"/>
  <c r="G269" i="9"/>
  <c r="H269" i="9" s="1"/>
  <c r="J269" i="9" s="1"/>
  <c r="G270" i="9"/>
  <c r="H270" i="9" s="1"/>
  <c r="J270" i="9" s="1"/>
  <c r="G271" i="9"/>
  <c r="H271" i="9" s="1"/>
  <c r="J271" i="9" s="1"/>
  <c r="G272" i="9"/>
  <c r="H272" i="9" s="1"/>
  <c r="J272" i="9" s="1"/>
  <c r="G273" i="9"/>
  <c r="G274" i="9"/>
  <c r="H274" i="9" s="1"/>
  <c r="J274" i="9" s="1"/>
  <c r="G275" i="9"/>
  <c r="H275" i="9" s="1"/>
  <c r="J275" i="9" s="1"/>
  <c r="G276" i="9"/>
  <c r="H276" i="9" s="1"/>
  <c r="J276" i="9" s="1"/>
  <c r="G277" i="9"/>
  <c r="H277" i="9" s="1"/>
  <c r="J277" i="9" s="1"/>
  <c r="G278" i="9"/>
  <c r="H278" i="9" s="1"/>
  <c r="J278" i="9" s="1"/>
  <c r="G279" i="9"/>
  <c r="H279" i="9" s="1"/>
  <c r="J279" i="9" s="1"/>
  <c r="G280" i="9"/>
  <c r="H280" i="9" s="1"/>
  <c r="J280" i="9" s="1"/>
  <c r="G281" i="9"/>
  <c r="G282" i="9"/>
  <c r="H282" i="9" s="1"/>
  <c r="J282" i="9" s="1"/>
  <c r="G283" i="9"/>
  <c r="H283" i="9" s="1"/>
  <c r="J283" i="9" s="1"/>
  <c r="G284" i="9"/>
  <c r="H284" i="9" s="1"/>
  <c r="J284" i="9" s="1"/>
  <c r="G285" i="9"/>
  <c r="H285" i="9" s="1"/>
  <c r="J285" i="9" s="1"/>
  <c r="G286" i="9"/>
  <c r="H286" i="9" s="1"/>
  <c r="J286" i="9" s="1"/>
  <c r="G287" i="9"/>
  <c r="H287" i="9" s="1"/>
  <c r="J287" i="9" s="1"/>
  <c r="G288" i="9"/>
  <c r="H288" i="9" s="1"/>
  <c r="J288" i="9" s="1"/>
  <c r="G289" i="9"/>
  <c r="H289" i="9" s="1"/>
  <c r="J289" i="9" s="1"/>
  <c r="G290" i="9"/>
  <c r="H290" i="9" s="1"/>
  <c r="J290" i="9" s="1"/>
  <c r="G291" i="9"/>
  <c r="H291" i="9" s="1"/>
  <c r="J291" i="9" s="1"/>
  <c r="G292" i="9"/>
  <c r="H292" i="9" s="1"/>
  <c r="J292" i="9" s="1"/>
  <c r="G293" i="9"/>
  <c r="H293" i="9" s="1"/>
  <c r="J293" i="9" s="1"/>
  <c r="G294" i="9"/>
  <c r="H294" i="9" s="1"/>
  <c r="J294" i="9" s="1"/>
  <c r="G295" i="9"/>
  <c r="H295" i="9" s="1"/>
  <c r="J295" i="9" s="1"/>
  <c r="G296" i="9"/>
  <c r="H296" i="9" s="1"/>
  <c r="J296" i="9" s="1"/>
  <c r="G297" i="9"/>
  <c r="H297" i="9" s="1"/>
  <c r="J297" i="9" s="1"/>
  <c r="G298" i="9"/>
  <c r="H298" i="9" s="1"/>
  <c r="J298" i="9" s="1"/>
  <c r="G299" i="9"/>
  <c r="G300" i="9"/>
  <c r="H300" i="9" s="1"/>
  <c r="J300" i="9" s="1"/>
  <c r="G301" i="9"/>
  <c r="H301" i="9" s="1"/>
  <c r="J301" i="9" s="1"/>
  <c r="G302" i="9"/>
  <c r="H302" i="9" s="1"/>
  <c r="J302" i="9" s="1"/>
  <c r="G303" i="9"/>
  <c r="H303" i="9" s="1"/>
  <c r="J303" i="9" s="1"/>
  <c r="G304" i="9"/>
  <c r="H304" i="9" s="1"/>
  <c r="J304" i="9" s="1"/>
  <c r="G305" i="9"/>
  <c r="G306" i="9"/>
  <c r="H306" i="9" s="1"/>
  <c r="J306" i="9" s="1"/>
  <c r="G307" i="9"/>
  <c r="G308" i="9"/>
  <c r="H308" i="9" s="1"/>
  <c r="J308" i="9" s="1"/>
  <c r="G309" i="9"/>
  <c r="H309" i="9" s="1"/>
  <c r="J309" i="9" s="1"/>
  <c r="G310" i="9"/>
  <c r="H310" i="9" s="1"/>
  <c r="J310" i="9" s="1"/>
  <c r="G311" i="9"/>
  <c r="H311" i="9" s="1"/>
  <c r="J311" i="9" s="1"/>
  <c r="G312" i="9"/>
  <c r="H312" i="9" s="1"/>
  <c r="J312" i="9" s="1"/>
  <c r="G313" i="9"/>
  <c r="H313" i="9" s="1"/>
  <c r="J313" i="9" s="1"/>
  <c r="G314" i="9"/>
  <c r="H314" i="9" s="1"/>
  <c r="J314" i="9" s="1"/>
  <c r="G315" i="9"/>
  <c r="H315" i="9" s="1"/>
  <c r="J315" i="9" s="1"/>
  <c r="G316" i="9"/>
  <c r="H316" i="9" s="1"/>
  <c r="J316" i="9" s="1"/>
  <c r="G317" i="9"/>
  <c r="H317" i="9" s="1"/>
  <c r="J317" i="9" s="1"/>
  <c r="G318" i="9"/>
  <c r="H318" i="9" s="1"/>
  <c r="J318" i="9" s="1"/>
  <c r="G319" i="9"/>
  <c r="H319" i="9" s="1"/>
  <c r="J319" i="9" s="1"/>
  <c r="G320" i="9"/>
  <c r="H320" i="9" s="1"/>
  <c r="J320" i="9" s="1"/>
  <c r="G321" i="9"/>
  <c r="H321" i="9" s="1"/>
  <c r="J321" i="9" s="1"/>
  <c r="G322" i="9"/>
  <c r="H322" i="9" s="1"/>
  <c r="J322" i="9" s="1"/>
  <c r="G323" i="9"/>
  <c r="H323" i="9" s="1"/>
  <c r="J323" i="9" s="1"/>
  <c r="G324" i="9"/>
  <c r="H324" i="9" s="1"/>
  <c r="J324" i="9" s="1"/>
  <c r="G325" i="9"/>
  <c r="H325" i="9" s="1"/>
  <c r="J325" i="9" s="1"/>
  <c r="G326" i="9"/>
  <c r="H326" i="9" s="1"/>
  <c r="J326" i="9" s="1"/>
  <c r="G327" i="9"/>
  <c r="H327" i="9" s="1"/>
  <c r="J327" i="9" s="1"/>
  <c r="G328" i="9"/>
  <c r="H328" i="9" s="1"/>
  <c r="J328" i="9" s="1"/>
  <c r="G329" i="9"/>
  <c r="H329" i="9" s="1"/>
  <c r="J329" i="9" s="1"/>
  <c r="G330" i="9"/>
  <c r="H330" i="9" s="1"/>
  <c r="J330" i="9" s="1"/>
  <c r="G331" i="9"/>
  <c r="H331" i="9" s="1"/>
  <c r="J331" i="9" s="1"/>
  <c r="G332" i="9"/>
  <c r="H332" i="9" s="1"/>
  <c r="J332" i="9" s="1"/>
  <c r="G333" i="9"/>
  <c r="H333" i="9" s="1"/>
  <c r="J333" i="9" s="1"/>
  <c r="G334" i="9"/>
  <c r="H334" i="9" s="1"/>
  <c r="J334" i="9" s="1"/>
  <c r="G335" i="9"/>
  <c r="H335" i="9" s="1"/>
  <c r="J335" i="9" s="1"/>
  <c r="G336" i="9"/>
  <c r="H336" i="9" s="1"/>
  <c r="J336" i="9" s="1"/>
  <c r="G337" i="9"/>
  <c r="G338" i="9"/>
  <c r="H338" i="9" s="1"/>
  <c r="J338" i="9" s="1"/>
  <c r="G2" i="9"/>
  <c r="H2" i="9" s="1"/>
  <c r="J2" i="9" s="1"/>
  <c r="E340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2" i="3"/>
  <c r="E340" i="8"/>
  <c r="E340" i="7"/>
  <c r="E340" i="6"/>
  <c r="E340" i="5"/>
  <c r="E335" i="4"/>
  <c r="E333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2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F54" i="5" s="1"/>
  <c r="G54" i="5" s="1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F100" i="5" s="1"/>
  <c r="G100" i="5" s="1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F132" i="5" s="1"/>
  <c r="G132" i="5" s="1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F157" i="5" s="1"/>
  <c r="G157" i="5" s="1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F182" i="5" s="1"/>
  <c r="G182" i="5" s="1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F214" i="5" s="1"/>
  <c r="G214" i="5" s="1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F260" i="5" s="1"/>
  <c r="G260" i="5" s="1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F278" i="5" s="1"/>
  <c r="G278" i="5" s="1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2" i="5"/>
  <c r="F2" i="5" s="1"/>
  <c r="G2" i="5" s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2" i="7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2" i="6"/>
  <c r="G31" i="8"/>
  <c r="G53" i="8"/>
  <c r="G95" i="8"/>
  <c r="G159" i="8"/>
  <c r="G186" i="8"/>
  <c r="G194" i="8"/>
  <c r="G199" i="8"/>
  <c r="G226" i="8"/>
  <c r="G234" i="8"/>
  <c r="G236" i="8"/>
  <c r="G254" i="8"/>
  <c r="G263" i="8"/>
  <c r="G290" i="8"/>
  <c r="G298" i="8"/>
  <c r="G300" i="8"/>
  <c r="G318" i="8"/>
  <c r="G327" i="8"/>
  <c r="F4" i="8"/>
  <c r="G4" i="8" s="1"/>
  <c r="F7" i="8"/>
  <c r="G7" i="8" s="1"/>
  <c r="F8" i="8"/>
  <c r="G8" i="8" s="1"/>
  <c r="F23" i="8"/>
  <c r="G23" i="8" s="1"/>
  <c r="F27" i="8"/>
  <c r="G27" i="8" s="1"/>
  <c r="F31" i="8"/>
  <c r="F35" i="8"/>
  <c r="G35" i="8" s="1"/>
  <c r="F36" i="8"/>
  <c r="G36" i="8" s="1"/>
  <c r="F44" i="8"/>
  <c r="G44" i="8" s="1"/>
  <c r="F45" i="8"/>
  <c r="G45" i="8" s="1"/>
  <c r="F51" i="8"/>
  <c r="G51" i="8" s="1"/>
  <c r="F53" i="8"/>
  <c r="F54" i="8"/>
  <c r="G54" i="8" s="1"/>
  <c r="F59" i="8"/>
  <c r="G59" i="8" s="1"/>
  <c r="F60" i="8"/>
  <c r="G60" i="8" s="1"/>
  <c r="F63" i="8"/>
  <c r="G63" i="8" s="1"/>
  <c r="F68" i="8"/>
  <c r="G68" i="8" s="1"/>
  <c r="F71" i="8"/>
  <c r="G71" i="8" s="1"/>
  <c r="F72" i="8"/>
  <c r="G72" i="8" s="1"/>
  <c r="F87" i="8"/>
  <c r="G87" i="8" s="1"/>
  <c r="F91" i="8"/>
  <c r="G91" i="8" s="1"/>
  <c r="F95" i="8"/>
  <c r="F99" i="8"/>
  <c r="G99" i="8" s="1"/>
  <c r="F100" i="8"/>
  <c r="G100" i="8" s="1"/>
  <c r="F108" i="8"/>
  <c r="G108" i="8" s="1"/>
  <c r="F109" i="8"/>
  <c r="G109" i="8" s="1"/>
  <c r="F115" i="8"/>
  <c r="G115" i="8" s="1"/>
  <c r="F118" i="8"/>
  <c r="G118" i="8" s="1"/>
  <c r="F123" i="8"/>
  <c r="G123" i="8" s="1"/>
  <c r="F124" i="8"/>
  <c r="G124" i="8" s="1"/>
  <c r="F127" i="8"/>
  <c r="G127" i="8" s="1"/>
  <c r="F132" i="8"/>
  <c r="G132" i="8" s="1"/>
  <c r="F135" i="8"/>
  <c r="G135" i="8" s="1"/>
  <c r="F136" i="8"/>
  <c r="G136" i="8" s="1"/>
  <c r="F151" i="8"/>
  <c r="G151" i="8" s="1"/>
  <c r="F155" i="8"/>
  <c r="G155" i="8" s="1"/>
  <c r="F159" i="8"/>
  <c r="F163" i="8"/>
  <c r="G163" i="8" s="1"/>
  <c r="F164" i="8"/>
  <c r="G164" i="8" s="1"/>
  <c r="F172" i="8"/>
  <c r="G172" i="8" s="1"/>
  <c r="F173" i="8"/>
  <c r="G173" i="8" s="1"/>
  <c r="F179" i="8"/>
  <c r="G179" i="8" s="1"/>
  <c r="F182" i="8"/>
  <c r="G182" i="8" s="1"/>
  <c r="F187" i="8"/>
  <c r="G187" i="8" s="1"/>
  <c r="F188" i="8"/>
  <c r="G188" i="8" s="1"/>
  <c r="F191" i="8"/>
  <c r="G191" i="8" s="1"/>
  <c r="F196" i="8"/>
  <c r="G196" i="8" s="1"/>
  <c r="F199" i="8"/>
  <c r="F200" i="8"/>
  <c r="G200" i="8" s="1"/>
  <c r="F215" i="8"/>
  <c r="G215" i="8" s="1"/>
  <c r="F219" i="8"/>
  <c r="G219" i="8" s="1"/>
  <c r="F223" i="8"/>
  <c r="G223" i="8" s="1"/>
  <c r="F227" i="8"/>
  <c r="G227" i="8" s="1"/>
  <c r="F228" i="8"/>
  <c r="G228" i="8" s="1"/>
  <c r="F236" i="8"/>
  <c r="F237" i="8"/>
  <c r="G237" i="8" s="1"/>
  <c r="F243" i="8"/>
  <c r="G243" i="8" s="1"/>
  <c r="F246" i="8"/>
  <c r="G246" i="8" s="1"/>
  <c r="F251" i="8"/>
  <c r="G251" i="8" s="1"/>
  <c r="F252" i="8"/>
  <c r="G252" i="8" s="1"/>
  <c r="F255" i="8"/>
  <c r="G255" i="8" s="1"/>
  <c r="F260" i="8"/>
  <c r="G260" i="8" s="1"/>
  <c r="F263" i="8"/>
  <c r="F264" i="8"/>
  <c r="G264" i="8" s="1"/>
  <c r="F283" i="8"/>
  <c r="G283" i="8" s="1"/>
  <c r="F291" i="8"/>
  <c r="G291" i="8" s="1"/>
  <c r="F292" i="8"/>
  <c r="G292" i="8" s="1"/>
  <c r="F300" i="8"/>
  <c r="F301" i="8"/>
  <c r="G301" i="8" s="1"/>
  <c r="F310" i="8"/>
  <c r="G310" i="8" s="1"/>
  <c r="F319" i="8"/>
  <c r="G319" i="8" s="1"/>
  <c r="F327" i="8"/>
  <c r="F328" i="8"/>
  <c r="G328" i="8" s="1"/>
  <c r="E3" i="8"/>
  <c r="F3" i="8" s="1"/>
  <c r="G3" i="8" s="1"/>
  <c r="E4" i="8"/>
  <c r="E5" i="8"/>
  <c r="F5" i="8" s="1"/>
  <c r="G5" i="8" s="1"/>
  <c r="E6" i="8"/>
  <c r="F6" i="8" s="1"/>
  <c r="G6" i="8" s="1"/>
  <c r="E7" i="8"/>
  <c r="E8" i="8"/>
  <c r="E9" i="8"/>
  <c r="F9" i="8" s="1"/>
  <c r="G9" i="8" s="1"/>
  <c r="E10" i="8"/>
  <c r="F10" i="8" s="1"/>
  <c r="G10" i="8" s="1"/>
  <c r="E11" i="8"/>
  <c r="F11" i="8" s="1"/>
  <c r="G11" i="8" s="1"/>
  <c r="E12" i="8"/>
  <c r="F12" i="8" s="1"/>
  <c r="G12" i="8" s="1"/>
  <c r="E13" i="8"/>
  <c r="F13" i="8" s="1"/>
  <c r="G13" i="8" s="1"/>
  <c r="E14" i="8"/>
  <c r="F14" i="8" s="1"/>
  <c r="G14" i="8" s="1"/>
  <c r="E15" i="8"/>
  <c r="F15" i="8" s="1"/>
  <c r="G15" i="8" s="1"/>
  <c r="E16" i="8"/>
  <c r="F16" i="8" s="1"/>
  <c r="G16" i="8" s="1"/>
  <c r="E17" i="8"/>
  <c r="F17" i="8" s="1"/>
  <c r="G17" i="8" s="1"/>
  <c r="E18" i="8"/>
  <c r="F18" i="8" s="1"/>
  <c r="G18" i="8" s="1"/>
  <c r="E19" i="8"/>
  <c r="F19" i="8" s="1"/>
  <c r="G19" i="8" s="1"/>
  <c r="E20" i="8"/>
  <c r="F20" i="8" s="1"/>
  <c r="G20" i="8" s="1"/>
  <c r="E21" i="8"/>
  <c r="F21" i="8" s="1"/>
  <c r="G21" i="8" s="1"/>
  <c r="E22" i="8"/>
  <c r="F22" i="8" s="1"/>
  <c r="G22" i="8" s="1"/>
  <c r="E23" i="8"/>
  <c r="E24" i="8"/>
  <c r="F24" i="8" s="1"/>
  <c r="G24" i="8" s="1"/>
  <c r="E25" i="8"/>
  <c r="F25" i="8" s="1"/>
  <c r="G25" i="8" s="1"/>
  <c r="E26" i="8"/>
  <c r="F26" i="8" s="1"/>
  <c r="G26" i="8" s="1"/>
  <c r="E27" i="8"/>
  <c r="E28" i="8"/>
  <c r="F28" i="8" s="1"/>
  <c r="G28" i="8" s="1"/>
  <c r="E29" i="8"/>
  <c r="F29" i="8" s="1"/>
  <c r="G29" i="8" s="1"/>
  <c r="E30" i="8"/>
  <c r="F30" i="8" s="1"/>
  <c r="G30" i="8" s="1"/>
  <c r="E31" i="8"/>
  <c r="E32" i="8"/>
  <c r="F32" i="8" s="1"/>
  <c r="G32" i="8" s="1"/>
  <c r="E33" i="8"/>
  <c r="F33" i="8" s="1"/>
  <c r="G33" i="8" s="1"/>
  <c r="E34" i="8"/>
  <c r="F34" i="8" s="1"/>
  <c r="G34" i="8" s="1"/>
  <c r="E35" i="8"/>
  <c r="E36" i="8"/>
  <c r="E37" i="8"/>
  <c r="F37" i="8" s="1"/>
  <c r="G37" i="8" s="1"/>
  <c r="E38" i="8"/>
  <c r="F38" i="8" s="1"/>
  <c r="G38" i="8" s="1"/>
  <c r="E39" i="8"/>
  <c r="F39" i="8" s="1"/>
  <c r="G39" i="8" s="1"/>
  <c r="E40" i="8"/>
  <c r="F40" i="8" s="1"/>
  <c r="G40" i="8" s="1"/>
  <c r="E41" i="8"/>
  <c r="F41" i="8" s="1"/>
  <c r="G41" i="8" s="1"/>
  <c r="E42" i="8"/>
  <c r="F42" i="8" s="1"/>
  <c r="G42" i="8" s="1"/>
  <c r="E43" i="8"/>
  <c r="F43" i="8" s="1"/>
  <c r="G43" i="8" s="1"/>
  <c r="E44" i="8"/>
  <c r="E45" i="8"/>
  <c r="E46" i="8"/>
  <c r="F46" i="8" s="1"/>
  <c r="G46" i="8" s="1"/>
  <c r="E47" i="8"/>
  <c r="F47" i="8" s="1"/>
  <c r="G47" i="8" s="1"/>
  <c r="E48" i="8"/>
  <c r="F48" i="8" s="1"/>
  <c r="G48" i="8" s="1"/>
  <c r="E49" i="8"/>
  <c r="F49" i="8" s="1"/>
  <c r="G49" i="8" s="1"/>
  <c r="E50" i="8"/>
  <c r="F50" i="8" s="1"/>
  <c r="G50" i="8" s="1"/>
  <c r="E51" i="8"/>
  <c r="E52" i="8"/>
  <c r="F52" i="8" s="1"/>
  <c r="G52" i="8" s="1"/>
  <c r="E53" i="8"/>
  <c r="E54" i="8"/>
  <c r="E55" i="8"/>
  <c r="F55" i="8" s="1"/>
  <c r="G55" i="8" s="1"/>
  <c r="E56" i="8"/>
  <c r="F56" i="8" s="1"/>
  <c r="G56" i="8" s="1"/>
  <c r="E57" i="8"/>
  <c r="F57" i="8" s="1"/>
  <c r="G57" i="8" s="1"/>
  <c r="E58" i="8"/>
  <c r="F58" i="8" s="1"/>
  <c r="G58" i="8" s="1"/>
  <c r="E59" i="8"/>
  <c r="E60" i="8"/>
  <c r="E61" i="8"/>
  <c r="F61" i="8" s="1"/>
  <c r="G61" i="8" s="1"/>
  <c r="E62" i="8"/>
  <c r="F62" i="8" s="1"/>
  <c r="G62" i="8" s="1"/>
  <c r="E63" i="8"/>
  <c r="E64" i="8"/>
  <c r="F64" i="8" s="1"/>
  <c r="G64" i="8" s="1"/>
  <c r="E65" i="8"/>
  <c r="F65" i="8" s="1"/>
  <c r="G65" i="8" s="1"/>
  <c r="E66" i="8"/>
  <c r="F66" i="8" s="1"/>
  <c r="G66" i="8" s="1"/>
  <c r="E67" i="8"/>
  <c r="F67" i="8" s="1"/>
  <c r="G67" i="8" s="1"/>
  <c r="E68" i="8"/>
  <c r="E69" i="8"/>
  <c r="F69" i="8" s="1"/>
  <c r="G69" i="8" s="1"/>
  <c r="E70" i="8"/>
  <c r="F70" i="8" s="1"/>
  <c r="G70" i="8" s="1"/>
  <c r="E71" i="8"/>
  <c r="E72" i="8"/>
  <c r="E73" i="8"/>
  <c r="F73" i="8" s="1"/>
  <c r="G73" i="8" s="1"/>
  <c r="E74" i="8"/>
  <c r="F74" i="8" s="1"/>
  <c r="G74" i="8" s="1"/>
  <c r="E75" i="8"/>
  <c r="F75" i="8" s="1"/>
  <c r="G75" i="8" s="1"/>
  <c r="E76" i="8"/>
  <c r="F76" i="8" s="1"/>
  <c r="G76" i="8" s="1"/>
  <c r="E77" i="8"/>
  <c r="F77" i="8" s="1"/>
  <c r="G77" i="8" s="1"/>
  <c r="E78" i="8"/>
  <c r="F78" i="8" s="1"/>
  <c r="G78" i="8" s="1"/>
  <c r="E79" i="8"/>
  <c r="F79" i="8" s="1"/>
  <c r="G79" i="8" s="1"/>
  <c r="E80" i="8"/>
  <c r="F80" i="8" s="1"/>
  <c r="G80" i="8" s="1"/>
  <c r="E81" i="8"/>
  <c r="F81" i="8" s="1"/>
  <c r="G81" i="8" s="1"/>
  <c r="E82" i="8"/>
  <c r="F82" i="8" s="1"/>
  <c r="G82" i="8" s="1"/>
  <c r="E83" i="8"/>
  <c r="F83" i="8" s="1"/>
  <c r="G83" i="8" s="1"/>
  <c r="E84" i="8"/>
  <c r="F84" i="8" s="1"/>
  <c r="G84" i="8" s="1"/>
  <c r="E85" i="8"/>
  <c r="F85" i="8" s="1"/>
  <c r="G85" i="8" s="1"/>
  <c r="E86" i="8"/>
  <c r="F86" i="8" s="1"/>
  <c r="G86" i="8" s="1"/>
  <c r="E87" i="8"/>
  <c r="E88" i="8"/>
  <c r="F88" i="8" s="1"/>
  <c r="G88" i="8" s="1"/>
  <c r="E89" i="8"/>
  <c r="F89" i="8" s="1"/>
  <c r="G89" i="8" s="1"/>
  <c r="E90" i="8"/>
  <c r="F90" i="8" s="1"/>
  <c r="G90" i="8" s="1"/>
  <c r="E91" i="8"/>
  <c r="E92" i="8"/>
  <c r="F92" i="8" s="1"/>
  <c r="G92" i="8" s="1"/>
  <c r="E93" i="8"/>
  <c r="F93" i="8" s="1"/>
  <c r="G93" i="8" s="1"/>
  <c r="E94" i="8"/>
  <c r="F94" i="8" s="1"/>
  <c r="G94" i="8" s="1"/>
  <c r="E95" i="8"/>
  <c r="E96" i="8"/>
  <c r="F96" i="8" s="1"/>
  <c r="G96" i="8" s="1"/>
  <c r="E97" i="8"/>
  <c r="F97" i="8" s="1"/>
  <c r="G97" i="8" s="1"/>
  <c r="E98" i="8"/>
  <c r="F98" i="8" s="1"/>
  <c r="G98" i="8" s="1"/>
  <c r="E99" i="8"/>
  <c r="E100" i="8"/>
  <c r="E101" i="8"/>
  <c r="F101" i="8" s="1"/>
  <c r="G101" i="8" s="1"/>
  <c r="E102" i="8"/>
  <c r="F102" i="8" s="1"/>
  <c r="G102" i="8" s="1"/>
  <c r="E103" i="8"/>
  <c r="F103" i="8" s="1"/>
  <c r="G103" i="8" s="1"/>
  <c r="E104" i="8"/>
  <c r="F104" i="8" s="1"/>
  <c r="G104" i="8" s="1"/>
  <c r="E105" i="8"/>
  <c r="F105" i="8" s="1"/>
  <c r="G105" i="8" s="1"/>
  <c r="E106" i="8"/>
  <c r="F106" i="8" s="1"/>
  <c r="G106" i="8" s="1"/>
  <c r="E107" i="8"/>
  <c r="F107" i="8" s="1"/>
  <c r="G107" i="8" s="1"/>
  <c r="E108" i="8"/>
  <c r="E109" i="8"/>
  <c r="E110" i="8"/>
  <c r="F110" i="8" s="1"/>
  <c r="G110" i="8" s="1"/>
  <c r="E111" i="8"/>
  <c r="F111" i="8" s="1"/>
  <c r="G111" i="8" s="1"/>
  <c r="E112" i="8"/>
  <c r="F112" i="8" s="1"/>
  <c r="G112" i="8" s="1"/>
  <c r="E113" i="8"/>
  <c r="F113" i="8" s="1"/>
  <c r="G113" i="8" s="1"/>
  <c r="E114" i="8"/>
  <c r="F114" i="8" s="1"/>
  <c r="G114" i="8" s="1"/>
  <c r="E115" i="8"/>
  <c r="E116" i="8"/>
  <c r="F116" i="8" s="1"/>
  <c r="G116" i="8" s="1"/>
  <c r="E117" i="8"/>
  <c r="F117" i="8" s="1"/>
  <c r="G117" i="8" s="1"/>
  <c r="E118" i="8"/>
  <c r="E119" i="8"/>
  <c r="F119" i="8" s="1"/>
  <c r="G119" i="8" s="1"/>
  <c r="E120" i="8"/>
  <c r="F120" i="8" s="1"/>
  <c r="G120" i="8" s="1"/>
  <c r="E121" i="8"/>
  <c r="F121" i="8" s="1"/>
  <c r="G121" i="8" s="1"/>
  <c r="E122" i="8"/>
  <c r="F122" i="8" s="1"/>
  <c r="G122" i="8" s="1"/>
  <c r="E123" i="8"/>
  <c r="E124" i="8"/>
  <c r="E125" i="8"/>
  <c r="F125" i="8" s="1"/>
  <c r="G125" i="8" s="1"/>
  <c r="E126" i="8"/>
  <c r="F126" i="8" s="1"/>
  <c r="G126" i="8" s="1"/>
  <c r="E127" i="8"/>
  <c r="E128" i="8"/>
  <c r="F128" i="8" s="1"/>
  <c r="G128" i="8" s="1"/>
  <c r="E129" i="8"/>
  <c r="F129" i="8" s="1"/>
  <c r="G129" i="8" s="1"/>
  <c r="E130" i="8"/>
  <c r="F130" i="8" s="1"/>
  <c r="G130" i="8" s="1"/>
  <c r="E131" i="8"/>
  <c r="F131" i="8" s="1"/>
  <c r="G131" i="8" s="1"/>
  <c r="E132" i="8"/>
  <c r="E133" i="8"/>
  <c r="F133" i="8" s="1"/>
  <c r="G133" i="8" s="1"/>
  <c r="E134" i="8"/>
  <c r="F134" i="8" s="1"/>
  <c r="G134" i="8" s="1"/>
  <c r="E135" i="8"/>
  <c r="E136" i="8"/>
  <c r="E137" i="8"/>
  <c r="F137" i="8" s="1"/>
  <c r="G137" i="8" s="1"/>
  <c r="E138" i="8"/>
  <c r="F138" i="8" s="1"/>
  <c r="G138" i="8" s="1"/>
  <c r="E139" i="8"/>
  <c r="F139" i="8" s="1"/>
  <c r="G139" i="8" s="1"/>
  <c r="E140" i="8"/>
  <c r="F140" i="8" s="1"/>
  <c r="G140" i="8" s="1"/>
  <c r="E141" i="8"/>
  <c r="F141" i="8" s="1"/>
  <c r="G141" i="8" s="1"/>
  <c r="E142" i="8"/>
  <c r="F142" i="8" s="1"/>
  <c r="G142" i="8" s="1"/>
  <c r="E143" i="8"/>
  <c r="F143" i="8" s="1"/>
  <c r="G143" i="8" s="1"/>
  <c r="E144" i="8"/>
  <c r="F144" i="8" s="1"/>
  <c r="G144" i="8" s="1"/>
  <c r="E145" i="8"/>
  <c r="F145" i="8" s="1"/>
  <c r="G145" i="8" s="1"/>
  <c r="E146" i="8"/>
  <c r="F146" i="8" s="1"/>
  <c r="G146" i="8" s="1"/>
  <c r="E147" i="8"/>
  <c r="F147" i="8" s="1"/>
  <c r="G147" i="8" s="1"/>
  <c r="E148" i="8"/>
  <c r="F148" i="8" s="1"/>
  <c r="G148" i="8" s="1"/>
  <c r="E149" i="8"/>
  <c r="F149" i="8" s="1"/>
  <c r="G149" i="8" s="1"/>
  <c r="E150" i="8"/>
  <c r="F150" i="8" s="1"/>
  <c r="G150" i="8" s="1"/>
  <c r="E151" i="8"/>
  <c r="E152" i="8"/>
  <c r="F152" i="8" s="1"/>
  <c r="G152" i="8" s="1"/>
  <c r="E153" i="8"/>
  <c r="F153" i="8" s="1"/>
  <c r="G153" i="8" s="1"/>
  <c r="E154" i="8"/>
  <c r="F154" i="8" s="1"/>
  <c r="G154" i="8" s="1"/>
  <c r="E155" i="8"/>
  <c r="E156" i="8"/>
  <c r="F156" i="8" s="1"/>
  <c r="G156" i="8" s="1"/>
  <c r="E157" i="8"/>
  <c r="F157" i="8" s="1"/>
  <c r="G157" i="8" s="1"/>
  <c r="E158" i="8"/>
  <c r="F158" i="8" s="1"/>
  <c r="G158" i="8" s="1"/>
  <c r="E159" i="8"/>
  <c r="E160" i="8"/>
  <c r="F160" i="8" s="1"/>
  <c r="G160" i="8" s="1"/>
  <c r="E161" i="8"/>
  <c r="F161" i="8" s="1"/>
  <c r="G161" i="8" s="1"/>
  <c r="E162" i="8"/>
  <c r="F162" i="8" s="1"/>
  <c r="G162" i="8" s="1"/>
  <c r="E163" i="8"/>
  <c r="E164" i="8"/>
  <c r="E165" i="8"/>
  <c r="F165" i="8" s="1"/>
  <c r="G165" i="8" s="1"/>
  <c r="E166" i="8"/>
  <c r="F166" i="8" s="1"/>
  <c r="G166" i="8" s="1"/>
  <c r="E167" i="8"/>
  <c r="F167" i="8" s="1"/>
  <c r="G167" i="8" s="1"/>
  <c r="E168" i="8"/>
  <c r="F168" i="8" s="1"/>
  <c r="G168" i="8" s="1"/>
  <c r="E169" i="8"/>
  <c r="F169" i="8" s="1"/>
  <c r="G169" i="8" s="1"/>
  <c r="E170" i="8"/>
  <c r="F170" i="8" s="1"/>
  <c r="G170" i="8" s="1"/>
  <c r="E171" i="8"/>
  <c r="F171" i="8" s="1"/>
  <c r="G171" i="8" s="1"/>
  <c r="E172" i="8"/>
  <c r="E173" i="8"/>
  <c r="E174" i="8"/>
  <c r="F174" i="8" s="1"/>
  <c r="G174" i="8" s="1"/>
  <c r="E175" i="8"/>
  <c r="F175" i="8" s="1"/>
  <c r="G175" i="8" s="1"/>
  <c r="E176" i="8"/>
  <c r="F176" i="8" s="1"/>
  <c r="G176" i="8" s="1"/>
  <c r="E177" i="8"/>
  <c r="F177" i="8" s="1"/>
  <c r="G177" i="8" s="1"/>
  <c r="E178" i="8"/>
  <c r="F178" i="8" s="1"/>
  <c r="G178" i="8" s="1"/>
  <c r="E179" i="8"/>
  <c r="E180" i="8"/>
  <c r="F180" i="8" s="1"/>
  <c r="G180" i="8" s="1"/>
  <c r="E181" i="8"/>
  <c r="F181" i="8" s="1"/>
  <c r="G181" i="8" s="1"/>
  <c r="E182" i="8"/>
  <c r="E183" i="8"/>
  <c r="F183" i="8" s="1"/>
  <c r="G183" i="8" s="1"/>
  <c r="E184" i="8"/>
  <c r="F184" i="8" s="1"/>
  <c r="G184" i="8" s="1"/>
  <c r="E185" i="8"/>
  <c r="F185" i="8" s="1"/>
  <c r="G185" i="8" s="1"/>
  <c r="E186" i="8"/>
  <c r="F186" i="8" s="1"/>
  <c r="E187" i="8"/>
  <c r="E188" i="8"/>
  <c r="E189" i="8"/>
  <c r="F189" i="8" s="1"/>
  <c r="G189" i="8" s="1"/>
  <c r="E190" i="8"/>
  <c r="F190" i="8" s="1"/>
  <c r="G190" i="8" s="1"/>
  <c r="E191" i="8"/>
  <c r="E192" i="8"/>
  <c r="F192" i="8" s="1"/>
  <c r="G192" i="8" s="1"/>
  <c r="E193" i="8"/>
  <c r="F193" i="8" s="1"/>
  <c r="G193" i="8" s="1"/>
  <c r="E194" i="8"/>
  <c r="F194" i="8" s="1"/>
  <c r="E195" i="8"/>
  <c r="F195" i="8" s="1"/>
  <c r="G195" i="8" s="1"/>
  <c r="E196" i="8"/>
  <c r="E197" i="8"/>
  <c r="F197" i="8" s="1"/>
  <c r="G197" i="8" s="1"/>
  <c r="E198" i="8"/>
  <c r="F198" i="8" s="1"/>
  <c r="G198" i="8" s="1"/>
  <c r="E199" i="8"/>
  <c r="E200" i="8"/>
  <c r="E201" i="8"/>
  <c r="F201" i="8" s="1"/>
  <c r="G201" i="8" s="1"/>
  <c r="E202" i="8"/>
  <c r="F202" i="8" s="1"/>
  <c r="G202" i="8" s="1"/>
  <c r="E203" i="8"/>
  <c r="F203" i="8" s="1"/>
  <c r="G203" i="8" s="1"/>
  <c r="E204" i="8"/>
  <c r="F204" i="8" s="1"/>
  <c r="G204" i="8" s="1"/>
  <c r="E205" i="8"/>
  <c r="F205" i="8" s="1"/>
  <c r="G205" i="8" s="1"/>
  <c r="E206" i="8"/>
  <c r="F206" i="8" s="1"/>
  <c r="G206" i="8" s="1"/>
  <c r="E207" i="8"/>
  <c r="F207" i="8" s="1"/>
  <c r="G207" i="8" s="1"/>
  <c r="E208" i="8"/>
  <c r="F208" i="8" s="1"/>
  <c r="G208" i="8" s="1"/>
  <c r="E209" i="8"/>
  <c r="F209" i="8" s="1"/>
  <c r="G209" i="8" s="1"/>
  <c r="E210" i="8"/>
  <c r="F210" i="8" s="1"/>
  <c r="G210" i="8" s="1"/>
  <c r="E211" i="8"/>
  <c r="F211" i="8" s="1"/>
  <c r="G211" i="8" s="1"/>
  <c r="E212" i="8"/>
  <c r="F212" i="8" s="1"/>
  <c r="G212" i="8" s="1"/>
  <c r="E213" i="8"/>
  <c r="F213" i="8" s="1"/>
  <c r="G213" i="8" s="1"/>
  <c r="E214" i="8"/>
  <c r="F214" i="8" s="1"/>
  <c r="G214" i="8" s="1"/>
  <c r="E215" i="8"/>
  <c r="E216" i="8"/>
  <c r="F216" i="8" s="1"/>
  <c r="G216" i="8" s="1"/>
  <c r="E217" i="8"/>
  <c r="F217" i="8" s="1"/>
  <c r="G217" i="8" s="1"/>
  <c r="E218" i="8"/>
  <c r="F218" i="8" s="1"/>
  <c r="G218" i="8" s="1"/>
  <c r="E219" i="8"/>
  <c r="E220" i="8"/>
  <c r="F220" i="8" s="1"/>
  <c r="G220" i="8" s="1"/>
  <c r="E221" i="8"/>
  <c r="F221" i="8" s="1"/>
  <c r="G221" i="8" s="1"/>
  <c r="E222" i="8"/>
  <c r="F222" i="8" s="1"/>
  <c r="G222" i="8" s="1"/>
  <c r="E223" i="8"/>
  <c r="E224" i="8"/>
  <c r="F224" i="8" s="1"/>
  <c r="G224" i="8" s="1"/>
  <c r="E225" i="8"/>
  <c r="F225" i="8" s="1"/>
  <c r="G225" i="8" s="1"/>
  <c r="E226" i="8"/>
  <c r="F226" i="8" s="1"/>
  <c r="E227" i="8"/>
  <c r="E228" i="8"/>
  <c r="E229" i="8"/>
  <c r="F229" i="8" s="1"/>
  <c r="G229" i="8" s="1"/>
  <c r="E230" i="8"/>
  <c r="F230" i="8" s="1"/>
  <c r="G230" i="8" s="1"/>
  <c r="E231" i="8"/>
  <c r="F231" i="8" s="1"/>
  <c r="G231" i="8" s="1"/>
  <c r="E232" i="8"/>
  <c r="F232" i="8" s="1"/>
  <c r="G232" i="8" s="1"/>
  <c r="E233" i="8"/>
  <c r="F233" i="8" s="1"/>
  <c r="G233" i="8" s="1"/>
  <c r="E234" i="8"/>
  <c r="F234" i="8" s="1"/>
  <c r="E235" i="8"/>
  <c r="F235" i="8" s="1"/>
  <c r="G235" i="8" s="1"/>
  <c r="E236" i="8"/>
  <c r="E237" i="8"/>
  <c r="E238" i="8"/>
  <c r="F238" i="8" s="1"/>
  <c r="G238" i="8" s="1"/>
  <c r="E239" i="8"/>
  <c r="F239" i="8" s="1"/>
  <c r="G239" i="8" s="1"/>
  <c r="E240" i="8"/>
  <c r="F240" i="8" s="1"/>
  <c r="G240" i="8" s="1"/>
  <c r="E241" i="8"/>
  <c r="F241" i="8" s="1"/>
  <c r="G241" i="8" s="1"/>
  <c r="E242" i="8"/>
  <c r="F242" i="8" s="1"/>
  <c r="G242" i="8" s="1"/>
  <c r="E243" i="8"/>
  <c r="E244" i="8"/>
  <c r="F244" i="8" s="1"/>
  <c r="G244" i="8" s="1"/>
  <c r="E245" i="8"/>
  <c r="F245" i="8" s="1"/>
  <c r="G245" i="8" s="1"/>
  <c r="E246" i="8"/>
  <c r="E247" i="8"/>
  <c r="F247" i="8" s="1"/>
  <c r="G247" i="8" s="1"/>
  <c r="E248" i="8"/>
  <c r="F248" i="8" s="1"/>
  <c r="G248" i="8" s="1"/>
  <c r="E249" i="8"/>
  <c r="F249" i="8" s="1"/>
  <c r="G249" i="8" s="1"/>
  <c r="E250" i="8"/>
  <c r="F250" i="8" s="1"/>
  <c r="G250" i="8" s="1"/>
  <c r="E251" i="8"/>
  <c r="E252" i="8"/>
  <c r="E253" i="8"/>
  <c r="F253" i="8" s="1"/>
  <c r="G253" i="8" s="1"/>
  <c r="E254" i="8"/>
  <c r="F254" i="8" s="1"/>
  <c r="E255" i="8"/>
  <c r="E256" i="8"/>
  <c r="F256" i="8" s="1"/>
  <c r="G256" i="8" s="1"/>
  <c r="E257" i="8"/>
  <c r="F257" i="8" s="1"/>
  <c r="G257" i="8" s="1"/>
  <c r="E258" i="8"/>
  <c r="F258" i="8" s="1"/>
  <c r="G258" i="8" s="1"/>
  <c r="E259" i="8"/>
  <c r="F259" i="8" s="1"/>
  <c r="G259" i="8" s="1"/>
  <c r="E260" i="8"/>
  <c r="E261" i="8"/>
  <c r="F261" i="8" s="1"/>
  <c r="G261" i="8" s="1"/>
  <c r="E262" i="8"/>
  <c r="F262" i="8" s="1"/>
  <c r="G262" i="8" s="1"/>
  <c r="E263" i="8"/>
  <c r="E264" i="8"/>
  <c r="E265" i="8"/>
  <c r="F265" i="8" s="1"/>
  <c r="G265" i="8" s="1"/>
  <c r="E266" i="8"/>
  <c r="F266" i="8" s="1"/>
  <c r="G266" i="8" s="1"/>
  <c r="E267" i="8"/>
  <c r="F267" i="8" s="1"/>
  <c r="G267" i="8" s="1"/>
  <c r="E268" i="8"/>
  <c r="F268" i="8" s="1"/>
  <c r="G268" i="8" s="1"/>
  <c r="E269" i="8"/>
  <c r="F269" i="8" s="1"/>
  <c r="G269" i="8" s="1"/>
  <c r="E270" i="8"/>
  <c r="F270" i="8" s="1"/>
  <c r="G270" i="8" s="1"/>
  <c r="E271" i="8"/>
  <c r="F271" i="8" s="1"/>
  <c r="G271" i="8" s="1"/>
  <c r="E272" i="8"/>
  <c r="F272" i="8" s="1"/>
  <c r="G272" i="8" s="1"/>
  <c r="E273" i="8"/>
  <c r="F273" i="8" s="1"/>
  <c r="G273" i="8" s="1"/>
  <c r="E274" i="8"/>
  <c r="F274" i="8" s="1"/>
  <c r="G274" i="8" s="1"/>
  <c r="E275" i="8"/>
  <c r="F275" i="8" s="1"/>
  <c r="G275" i="8" s="1"/>
  <c r="E276" i="8"/>
  <c r="F276" i="8" s="1"/>
  <c r="G276" i="8" s="1"/>
  <c r="E277" i="8"/>
  <c r="F277" i="8" s="1"/>
  <c r="G277" i="8" s="1"/>
  <c r="E278" i="8"/>
  <c r="F278" i="8" s="1"/>
  <c r="G278" i="8" s="1"/>
  <c r="E279" i="8"/>
  <c r="F279" i="8" s="1"/>
  <c r="G279" i="8" s="1"/>
  <c r="E280" i="8"/>
  <c r="F280" i="8" s="1"/>
  <c r="G280" i="8" s="1"/>
  <c r="E281" i="8"/>
  <c r="F281" i="8" s="1"/>
  <c r="G281" i="8" s="1"/>
  <c r="E282" i="8"/>
  <c r="F282" i="8" s="1"/>
  <c r="G282" i="8" s="1"/>
  <c r="E283" i="8"/>
  <c r="E284" i="8"/>
  <c r="F284" i="8" s="1"/>
  <c r="G284" i="8" s="1"/>
  <c r="E285" i="8"/>
  <c r="F285" i="8" s="1"/>
  <c r="G285" i="8" s="1"/>
  <c r="E286" i="8"/>
  <c r="F286" i="8" s="1"/>
  <c r="G286" i="8" s="1"/>
  <c r="E287" i="8"/>
  <c r="F287" i="8" s="1"/>
  <c r="G287" i="8" s="1"/>
  <c r="E288" i="8"/>
  <c r="F288" i="8" s="1"/>
  <c r="G288" i="8" s="1"/>
  <c r="E289" i="8"/>
  <c r="F289" i="8" s="1"/>
  <c r="G289" i="8" s="1"/>
  <c r="E290" i="8"/>
  <c r="F290" i="8" s="1"/>
  <c r="E291" i="8"/>
  <c r="E292" i="8"/>
  <c r="E293" i="8"/>
  <c r="F293" i="8" s="1"/>
  <c r="G293" i="8" s="1"/>
  <c r="E294" i="8"/>
  <c r="F294" i="8" s="1"/>
  <c r="G294" i="8" s="1"/>
  <c r="E295" i="8"/>
  <c r="F295" i="8" s="1"/>
  <c r="G295" i="8" s="1"/>
  <c r="E296" i="8"/>
  <c r="F296" i="8" s="1"/>
  <c r="G296" i="8" s="1"/>
  <c r="E297" i="8"/>
  <c r="F297" i="8" s="1"/>
  <c r="G297" i="8" s="1"/>
  <c r="E298" i="8"/>
  <c r="F298" i="8" s="1"/>
  <c r="E299" i="8"/>
  <c r="F299" i="8" s="1"/>
  <c r="G299" i="8" s="1"/>
  <c r="E300" i="8"/>
  <c r="E301" i="8"/>
  <c r="E302" i="8"/>
  <c r="F302" i="8" s="1"/>
  <c r="G302" i="8" s="1"/>
  <c r="E303" i="8"/>
  <c r="F303" i="8" s="1"/>
  <c r="G303" i="8" s="1"/>
  <c r="E304" i="8"/>
  <c r="F304" i="8" s="1"/>
  <c r="G304" i="8" s="1"/>
  <c r="E305" i="8"/>
  <c r="F305" i="8" s="1"/>
  <c r="G305" i="8" s="1"/>
  <c r="E306" i="8"/>
  <c r="F306" i="8" s="1"/>
  <c r="G306" i="8" s="1"/>
  <c r="E307" i="8"/>
  <c r="F307" i="8" s="1"/>
  <c r="G307" i="8" s="1"/>
  <c r="E308" i="8"/>
  <c r="F308" i="8" s="1"/>
  <c r="G308" i="8" s="1"/>
  <c r="E309" i="8"/>
  <c r="F309" i="8" s="1"/>
  <c r="G309" i="8" s="1"/>
  <c r="E310" i="8"/>
  <c r="E311" i="8"/>
  <c r="F311" i="8" s="1"/>
  <c r="G311" i="8" s="1"/>
  <c r="E312" i="8"/>
  <c r="F312" i="8" s="1"/>
  <c r="G312" i="8" s="1"/>
  <c r="E313" i="8"/>
  <c r="F313" i="8" s="1"/>
  <c r="G313" i="8" s="1"/>
  <c r="E314" i="8"/>
  <c r="F314" i="8" s="1"/>
  <c r="G314" i="8" s="1"/>
  <c r="E315" i="8"/>
  <c r="F315" i="8" s="1"/>
  <c r="G315" i="8" s="1"/>
  <c r="E316" i="8"/>
  <c r="F316" i="8" s="1"/>
  <c r="G316" i="8" s="1"/>
  <c r="E317" i="8"/>
  <c r="F317" i="8" s="1"/>
  <c r="G317" i="8" s="1"/>
  <c r="E318" i="8"/>
  <c r="F318" i="8" s="1"/>
  <c r="E319" i="8"/>
  <c r="E320" i="8"/>
  <c r="F320" i="8" s="1"/>
  <c r="G320" i="8" s="1"/>
  <c r="E321" i="8"/>
  <c r="F321" i="8" s="1"/>
  <c r="G321" i="8" s="1"/>
  <c r="E322" i="8"/>
  <c r="F322" i="8" s="1"/>
  <c r="G322" i="8" s="1"/>
  <c r="E323" i="8"/>
  <c r="F323" i="8" s="1"/>
  <c r="G323" i="8" s="1"/>
  <c r="E324" i="8"/>
  <c r="F324" i="8" s="1"/>
  <c r="G324" i="8" s="1"/>
  <c r="E325" i="8"/>
  <c r="F325" i="8" s="1"/>
  <c r="G325" i="8" s="1"/>
  <c r="E326" i="8"/>
  <c r="F326" i="8" s="1"/>
  <c r="G326" i="8" s="1"/>
  <c r="E327" i="8"/>
  <c r="E328" i="8"/>
  <c r="E329" i="8"/>
  <c r="F329" i="8" s="1"/>
  <c r="G329" i="8" s="1"/>
  <c r="E330" i="8"/>
  <c r="F330" i="8" s="1"/>
  <c r="G330" i="8" s="1"/>
  <c r="E331" i="8"/>
  <c r="F331" i="8" s="1"/>
  <c r="G331" i="8" s="1"/>
  <c r="E332" i="8"/>
  <c r="F332" i="8" s="1"/>
  <c r="G332" i="8" s="1"/>
  <c r="E333" i="8"/>
  <c r="F333" i="8" s="1"/>
  <c r="G333" i="8" s="1"/>
  <c r="E334" i="8"/>
  <c r="F334" i="8" s="1"/>
  <c r="G334" i="8" s="1"/>
  <c r="E335" i="8"/>
  <c r="F335" i="8" s="1"/>
  <c r="G335" i="8" s="1"/>
  <c r="E336" i="8"/>
  <c r="F336" i="8" s="1"/>
  <c r="G336" i="8" s="1"/>
  <c r="E337" i="8"/>
  <c r="F337" i="8" s="1"/>
  <c r="G337" i="8" s="1"/>
  <c r="E338" i="8"/>
  <c r="F338" i="8" s="1"/>
  <c r="G338" i="8" s="1"/>
  <c r="E2" i="8"/>
  <c r="F2" i="8" s="1"/>
  <c r="G2" i="8" s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2" i="10"/>
  <c r="D351" i="8"/>
  <c r="D352" i="8" s="1"/>
  <c r="E340" i="10" a="1"/>
  <c r="E340" i="10" s="1"/>
  <c r="E347" i="10" s="1"/>
  <c r="D345" i="10"/>
  <c r="D340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52" i="10"/>
  <c r="D344" i="9"/>
  <c r="D347" i="9" s="1"/>
  <c r="F61" i="5"/>
  <c r="G61" i="5" s="1"/>
  <c r="F75" i="5"/>
  <c r="G75" i="5" s="1"/>
  <c r="F79" i="5"/>
  <c r="G79" i="5" s="1"/>
  <c r="F107" i="5"/>
  <c r="G107" i="5" s="1"/>
  <c r="F111" i="5"/>
  <c r="G111" i="5" s="1"/>
  <c r="F125" i="5"/>
  <c r="G125" i="5" s="1"/>
  <c r="F150" i="5"/>
  <c r="G150" i="5" s="1"/>
  <c r="F164" i="5"/>
  <c r="G164" i="5" s="1"/>
  <c r="F175" i="5"/>
  <c r="G175" i="5" s="1"/>
  <c r="F203" i="5"/>
  <c r="G203" i="5" s="1"/>
  <c r="F207" i="5"/>
  <c r="G207" i="5" s="1"/>
  <c r="F228" i="5"/>
  <c r="G228" i="5" s="1"/>
  <c r="F235" i="5"/>
  <c r="G235" i="5" s="1"/>
  <c r="F253" i="5"/>
  <c r="G253" i="5" s="1"/>
  <c r="F267" i="5"/>
  <c r="G267" i="5" s="1"/>
  <c r="F285" i="5"/>
  <c r="G285" i="5" s="1"/>
  <c r="F303" i="5"/>
  <c r="G303" i="5" s="1"/>
  <c r="F309" i="5"/>
  <c r="G309" i="5" s="1"/>
  <c r="F314" i="5"/>
  <c r="G314" i="5" s="1"/>
  <c r="F323" i="5"/>
  <c r="G323" i="5" s="1"/>
  <c r="F327" i="5"/>
  <c r="G327" i="5" s="1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2" i="9"/>
  <c r="F343" i="9"/>
  <c r="E340" i="9"/>
  <c r="E346" i="9" s="1"/>
  <c r="D340" i="9"/>
  <c r="D346" i="9" s="1"/>
  <c r="D347" i="8"/>
  <c r="D340" i="8"/>
  <c r="D346" i="8" s="1"/>
  <c r="D347" i="7"/>
  <c r="D340" i="7"/>
  <c r="F11" i="7" s="1"/>
  <c r="G11" i="7" s="1"/>
  <c r="D347" i="6"/>
  <c r="D340" i="6"/>
  <c r="F16" i="6" s="1"/>
  <c r="G16" i="6" s="1"/>
  <c r="D347" i="5"/>
  <c r="D346" i="5"/>
  <c r="D340" i="5"/>
  <c r="D342" i="4"/>
  <c r="D335" i="4"/>
  <c r="F20" i="4" s="1"/>
  <c r="G20" i="4" s="1"/>
  <c r="D347" i="3"/>
  <c r="D340" i="3"/>
  <c r="F6" i="3" s="1"/>
  <c r="G6" i="3" s="1"/>
  <c r="D347" i="2"/>
  <c r="D340" i="2"/>
  <c r="G9" i="2" l="1"/>
  <c r="H9" i="2" s="1"/>
  <c r="F340" i="2"/>
  <c r="J340" i="9"/>
  <c r="G340" i="9"/>
  <c r="D346" i="3"/>
  <c r="F327" i="4"/>
  <c r="G327" i="4" s="1"/>
  <c r="F309" i="4"/>
  <c r="G309" i="4" s="1"/>
  <c r="F291" i="4"/>
  <c r="G291" i="4" s="1"/>
  <c r="F270" i="4"/>
  <c r="G270" i="4" s="1"/>
  <c r="F247" i="4"/>
  <c r="G247" i="4" s="1"/>
  <c r="F222" i="4"/>
  <c r="G222" i="4" s="1"/>
  <c r="F197" i="4"/>
  <c r="G197" i="4" s="1"/>
  <c r="F172" i="4"/>
  <c r="G172" i="4" s="1"/>
  <c r="F147" i="4"/>
  <c r="G147" i="4" s="1"/>
  <c r="F119" i="4"/>
  <c r="G119" i="4" s="1"/>
  <c r="F94" i="4"/>
  <c r="G94" i="4" s="1"/>
  <c r="F69" i="4"/>
  <c r="G69" i="4" s="1"/>
  <c r="F44" i="4"/>
  <c r="G44" i="4" s="1"/>
  <c r="F19" i="4"/>
  <c r="G19" i="4" s="1"/>
  <c r="D341" i="4"/>
  <c r="F326" i="4"/>
  <c r="G326" i="4" s="1"/>
  <c r="F308" i="4"/>
  <c r="G308" i="4" s="1"/>
  <c r="F290" i="4"/>
  <c r="G290" i="4" s="1"/>
  <c r="F269" i="4"/>
  <c r="G269" i="4" s="1"/>
  <c r="F246" i="4"/>
  <c r="G246" i="4" s="1"/>
  <c r="F221" i="4"/>
  <c r="G221" i="4" s="1"/>
  <c r="F196" i="4"/>
  <c r="G196" i="4" s="1"/>
  <c r="F171" i="4"/>
  <c r="G171" i="4" s="1"/>
  <c r="F143" i="4"/>
  <c r="G143" i="4" s="1"/>
  <c r="F118" i="4"/>
  <c r="G118" i="4" s="1"/>
  <c r="F93" i="4"/>
  <c r="G93" i="4" s="1"/>
  <c r="F68" i="4"/>
  <c r="G68" i="4" s="1"/>
  <c r="F43" i="4"/>
  <c r="G43" i="4" s="1"/>
  <c r="F15" i="4"/>
  <c r="G15" i="4" s="1"/>
  <c r="F322" i="4"/>
  <c r="G322" i="4" s="1"/>
  <c r="F303" i="4"/>
  <c r="G303" i="4" s="1"/>
  <c r="F285" i="4"/>
  <c r="G285" i="4" s="1"/>
  <c r="F263" i="4"/>
  <c r="G263" i="4" s="1"/>
  <c r="F239" i="4"/>
  <c r="G239" i="4" s="1"/>
  <c r="F214" i="4"/>
  <c r="G214" i="4" s="1"/>
  <c r="F189" i="4"/>
  <c r="G189" i="4" s="1"/>
  <c r="F164" i="4"/>
  <c r="G164" i="4" s="1"/>
  <c r="F139" i="4"/>
  <c r="G139" i="4" s="1"/>
  <c r="F111" i="4"/>
  <c r="G111" i="4" s="1"/>
  <c r="F86" i="4"/>
  <c r="G86" i="4" s="1"/>
  <c r="F61" i="4"/>
  <c r="G61" i="4" s="1"/>
  <c r="F36" i="4"/>
  <c r="G36" i="4" s="1"/>
  <c r="F10" i="4"/>
  <c r="G10" i="4" s="1"/>
  <c r="F319" i="4"/>
  <c r="G319" i="4" s="1"/>
  <c r="F301" i="4"/>
  <c r="G301" i="4" s="1"/>
  <c r="F283" i="4"/>
  <c r="G283" i="4" s="1"/>
  <c r="F261" i="4"/>
  <c r="G261" i="4" s="1"/>
  <c r="F237" i="4"/>
  <c r="G237" i="4" s="1"/>
  <c r="F212" i="4"/>
  <c r="G212" i="4" s="1"/>
  <c r="F187" i="4"/>
  <c r="G187" i="4" s="1"/>
  <c r="F159" i="4"/>
  <c r="G159" i="4" s="1"/>
  <c r="F134" i="4"/>
  <c r="G134" i="4" s="1"/>
  <c r="F109" i="4"/>
  <c r="G109" i="4" s="1"/>
  <c r="F84" i="4"/>
  <c r="G84" i="4" s="1"/>
  <c r="F59" i="4"/>
  <c r="G59" i="4" s="1"/>
  <c r="F31" i="4"/>
  <c r="G31" i="4" s="1"/>
  <c r="F4" i="4"/>
  <c r="G4" i="4" s="1"/>
  <c r="F318" i="4"/>
  <c r="G318" i="4" s="1"/>
  <c r="F300" i="4"/>
  <c r="G300" i="4" s="1"/>
  <c r="F282" i="4"/>
  <c r="G282" i="4" s="1"/>
  <c r="F260" i="4"/>
  <c r="G260" i="4" s="1"/>
  <c r="F236" i="4"/>
  <c r="G236" i="4" s="1"/>
  <c r="F211" i="4"/>
  <c r="G211" i="4" s="1"/>
  <c r="F183" i="4"/>
  <c r="G183" i="4" s="1"/>
  <c r="F158" i="4"/>
  <c r="G158" i="4" s="1"/>
  <c r="F133" i="4"/>
  <c r="G133" i="4" s="1"/>
  <c r="F108" i="4"/>
  <c r="G108" i="4" s="1"/>
  <c r="F83" i="4"/>
  <c r="G83" i="4" s="1"/>
  <c r="F55" i="4"/>
  <c r="G55" i="4" s="1"/>
  <c r="F30" i="4"/>
  <c r="G30" i="4" s="1"/>
  <c r="F317" i="4"/>
  <c r="G317" i="4" s="1"/>
  <c r="F299" i="4"/>
  <c r="G299" i="4" s="1"/>
  <c r="F279" i="4"/>
  <c r="G279" i="4" s="1"/>
  <c r="F259" i="4"/>
  <c r="G259" i="4" s="1"/>
  <c r="F235" i="4"/>
  <c r="G235" i="4" s="1"/>
  <c r="F207" i="4"/>
  <c r="G207" i="4" s="1"/>
  <c r="F182" i="4"/>
  <c r="G182" i="4" s="1"/>
  <c r="F157" i="4"/>
  <c r="G157" i="4" s="1"/>
  <c r="F132" i="4"/>
  <c r="G132" i="4" s="1"/>
  <c r="F107" i="4"/>
  <c r="G107" i="4" s="1"/>
  <c r="F79" i="4"/>
  <c r="G79" i="4" s="1"/>
  <c r="F54" i="4"/>
  <c r="G54" i="4" s="1"/>
  <c r="F29" i="4"/>
  <c r="G29" i="4" s="1"/>
  <c r="F331" i="4"/>
  <c r="G331" i="4" s="1"/>
  <c r="F313" i="4"/>
  <c r="G313" i="4" s="1"/>
  <c r="F294" i="4"/>
  <c r="G294" i="4" s="1"/>
  <c r="F275" i="4"/>
  <c r="G275" i="4" s="1"/>
  <c r="F253" i="4"/>
  <c r="G253" i="4" s="1"/>
  <c r="F228" i="4"/>
  <c r="G228" i="4" s="1"/>
  <c r="F203" i="4"/>
  <c r="G203" i="4" s="1"/>
  <c r="F175" i="4"/>
  <c r="G175" i="4" s="1"/>
  <c r="F150" i="4"/>
  <c r="G150" i="4" s="1"/>
  <c r="F125" i="4"/>
  <c r="G125" i="4" s="1"/>
  <c r="F100" i="4"/>
  <c r="G100" i="4" s="1"/>
  <c r="F75" i="4"/>
  <c r="G75" i="4" s="1"/>
  <c r="F47" i="4"/>
  <c r="G47" i="4" s="1"/>
  <c r="F22" i="4"/>
  <c r="G22" i="4" s="1"/>
  <c r="F329" i="4"/>
  <c r="G329" i="4" s="1"/>
  <c r="F310" i="4"/>
  <c r="G310" i="4" s="1"/>
  <c r="F292" i="4"/>
  <c r="G292" i="4" s="1"/>
  <c r="F271" i="4"/>
  <c r="G271" i="4" s="1"/>
  <c r="F251" i="4"/>
  <c r="G251" i="4" s="1"/>
  <c r="F223" i="4"/>
  <c r="G223" i="4" s="1"/>
  <c r="F198" i="4"/>
  <c r="G198" i="4" s="1"/>
  <c r="F173" i="4"/>
  <c r="G173" i="4" s="1"/>
  <c r="F148" i="4"/>
  <c r="G148" i="4" s="1"/>
  <c r="F123" i="4"/>
  <c r="G123" i="4" s="1"/>
  <c r="F95" i="4"/>
  <c r="G95" i="4" s="1"/>
  <c r="F70" i="4"/>
  <c r="G70" i="4" s="1"/>
  <c r="F45" i="4"/>
  <c r="G45" i="4" s="1"/>
  <c r="F6" i="5"/>
  <c r="G6" i="5" s="1"/>
  <c r="F335" i="5"/>
  <c r="G335" i="5" s="1"/>
  <c r="F299" i="5"/>
  <c r="G299" i="5" s="1"/>
  <c r="F246" i="5"/>
  <c r="G246" i="5" s="1"/>
  <c r="F196" i="5"/>
  <c r="G196" i="5" s="1"/>
  <c r="F143" i="5"/>
  <c r="G143" i="5" s="1"/>
  <c r="F93" i="5"/>
  <c r="G93" i="5" s="1"/>
  <c r="F43" i="5"/>
  <c r="G43" i="5" s="1"/>
  <c r="F331" i="5"/>
  <c r="G331" i="5" s="1"/>
  <c r="F292" i="5"/>
  <c r="G292" i="5" s="1"/>
  <c r="F239" i="5"/>
  <c r="G239" i="5" s="1"/>
  <c r="F189" i="5"/>
  <c r="G189" i="5" s="1"/>
  <c r="F139" i="5"/>
  <c r="G139" i="5" s="1"/>
  <c r="F86" i="5"/>
  <c r="G86" i="5" s="1"/>
  <c r="F36" i="5"/>
  <c r="G36" i="5" s="1"/>
  <c r="F29" i="5"/>
  <c r="G29" i="5" s="1"/>
  <c r="F22" i="5"/>
  <c r="G22" i="5" s="1"/>
  <c r="F318" i="5"/>
  <c r="G318" i="5" s="1"/>
  <c r="F271" i="5"/>
  <c r="G271" i="5" s="1"/>
  <c r="F221" i="5"/>
  <c r="G221" i="5" s="1"/>
  <c r="F171" i="5"/>
  <c r="G171" i="5" s="1"/>
  <c r="F118" i="5"/>
  <c r="G118" i="5" s="1"/>
  <c r="F68" i="5"/>
  <c r="G68" i="5" s="1"/>
  <c r="F15" i="5"/>
  <c r="G15" i="5" s="1"/>
  <c r="F11" i="5"/>
  <c r="G11" i="5" s="1"/>
  <c r="F47" i="5"/>
  <c r="G47" i="5" s="1"/>
  <c r="D347" i="10"/>
  <c r="F2" i="7"/>
  <c r="G2" i="7" s="1"/>
  <c r="F331" i="7"/>
  <c r="G331" i="7" s="1"/>
  <c r="F323" i="7"/>
  <c r="G323" i="7" s="1"/>
  <c r="F315" i="7"/>
  <c r="G315" i="7" s="1"/>
  <c r="F307" i="7"/>
  <c r="G307" i="7" s="1"/>
  <c r="F299" i="7"/>
  <c r="G299" i="7" s="1"/>
  <c r="F291" i="7"/>
  <c r="G291" i="7" s="1"/>
  <c r="F283" i="7"/>
  <c r="G283" i="7" s="1"/>
  <c r="F275" i="7"/>
  <c r="G275" i="7" s="1"/>
  <c r="F267" i="7"/>
  <c r="G267" i="7" s="1"/>
  <c r="F259" i="7"/>
  <c r="G259" i="7" s="1"/>
  <c r="F251" i="7"/>
  <c r="G251" i="7" s="1"/>
  <c r="F243" i="7"/>
  <c r="G243" i="7" s="1"/>
  <c r="F235" i="7"/>
  <c r="G235" i="7" s="1"/>
  <c r="F227" i="7"/>
  <c r="G227" i="7" s="1"/>
  <c r="F219" i="7"/>
  <c r="G219" i="7" s="1"/>
  <c r="F211" i="7"/>
  <c r="G211" i="7" s="1"/>
  <c r="F203" i="7"/>
  <c r="G203" i="7" s="1"/>
  <c r="F195" i="7"/>
  <c r="G195" i="7" s="1"/>
  <c r="F187" i="7"/>
  <c r="G187" i="7" s="1"/>
  <c r="F179" i="7"/>
  <c r="G179" i="7" s="1"/>
  <c r="F171" i="7"/>
  <c r="G171" i="7" s="1"/>
  <c r="F163" i="7"/>
  <c r="G163" i="7" s="1"/>
  <c r="F155" i="7"/>
  <c r="G155" i="7" s="1"/>
  <c r="F147" i="7"/>
  <c r="G147" i="7" s="1"/>
  <c r="F139" i="7"/>
  <c r="G139" i="7" s="1"/>
  <c r="F131" i="7"/>
  <c r="G131" i="7" s="1"/>
  <c r="F123" i="7"/>
  <c r="G123" i="7" s="1"/>
  <c r="F115" i="7"/>
  <c r="G115" i="7" s="1"/>
  <c r="F107" i="7"/>
  <c r="G107" i="7" s="1"/>
  <c r="F99" i="7"/>
  <c r="G99" i="7" s="1"/>
  <c r="F91" i="7"/>
  <c r="G91" i="7" s="1"/>
  <c r="F83" i="7"/>
  <c r="G83" i="7" s="1"/>
  <c r="F75" i="7"/>
  <c r="G75" i="7" s="1"/>
  <c r="F67" i="7"/>
  <c r="G67" i="7" s="1"/>
  <c r="F59" i="7"/>
  <c r="G59" i="7" s="1"/>
  <c r="F51" i="7"/>
  <c r="G51" i="7" s="1"/>
  <c r="F43" i="7"/>
  <c r="G43" i="7" s="1"/>
  <c r="F35" i="7"/>
  <c r="G35" i="7" s="1"/>
  <c r="F27" i="7"/>
  <c r="G27" i="7" s="1"/>
  <c r="F19" i="7"/>
  <c r="G19" i="7" s="1"/>
  <c r="F5" i="7"/>
  <c r="G5" i="7" s="1"/>
  <c r="F6" i="7"/>
  <c r="G6" i="7" s="1"/>
  <c r="F7" i="7"/>
  <c r="G7" i="7" s="1"/>
  <c r="F338" i="7"/>
  <c r="G338" i="7" s="1"/>
  <c r="F330" i="7"/>
  <c r="G330" i="7" s="1"/>
  <c r="F322" i="7"/>
  <c r="G322" i="7" s="1"/>
  <c r="F314" i="7"/>
  <c r="G314" i="7" s="1"/>
  <c r="F306" i="7"/>
  <c r="G306" i="7" s="1"/>
  <c r="F298" i="7"/>
  <c r="G298" i="7" s="1"/>
  <c r="F290" i="7"/>
  <c r="G290" i="7" s="1"/>
  <c r="F282" i="7"/>
  <c r="G282" i="7" s="1"/>
  <c r="F274" i="7"/>
  <c r="G274" i="7" s="1"/>
  <c r="F266" i="7"/>
  <c r="G266" i="7" s="1"/>
  <c r="F258" i="7"/>
  <c r="G258" i="7" s="1"/>
  <c r="F250" i="7"/>
  <c r="G250" i="7" s="1"/>
  <c r="F242" i="7"/>
  <c r="G242" i="7" s="1"/>
  <c r="F234" i="7"/>
  <c r="G234" i="7" s="1"/>
  <c r="F226" i="7"/>
  <c r="G226" i="7" s="1"/>
  <c r="F218" i="7"/>
  <c r="G218" i="7" s="1"/>
  <c r="F210" i="7"/>
  <c r="G210" i="7" s="1"/>
  <c r="F202" i="7"/>
  <c r="G202" i="7" s="1"/>
  <c r="F194" i="7"/>
  <c r="G194" i="7" s="1"/>
  <c r="F186" i="7"/>
  <c r="G186" i="7" s="1"/>
  <c r="F178" i="7"/>
  <c r="G178" i="7" s="1"/>
  <c r="F170" i="7"/>
  <c r="G170" i="7" s="1"/>
  <c r="F162" i="7"/>
  <c r="G162" i="7" s="1"/>
  <c r="F154" i="7"/>
  <c r="G154" i="7" s="1"/>
  <c r="F146" i="7"/>
  <c r="G146" i="7" s="1"/>
  <c r="F138" i="7"/>
  <c r="G138" i="7" s="1"/>
  <c r="F130" i="7"/>
  <c r="G130" i="7" s="1"/>
  <c r="F122" i="7"/>
  <c r="G122" i="7" s="1"/>
  <c r="F114" i="7"/>
  <c r="G114" i="7" s="1"/>
  <c r="F106" i="7"/>
  <c r="G106" i="7" s="1"/>
  <c r="F98" i="7"/>
  <c r="G98" i="7" s="1"/>
  <c r="F90" i="7"/>
  <c r="G90" i="7" s="1"/>
  <c r="F82" i="7"/>
  <c r="G82" i="7" s="1"/>
  <c r="F74" i="7"/>
  <c r="G74" i="7" s="1"/>
  <c r="F66" i="7"/>
  <c r="G66" i="7" s="1"/>
  <c r="F58" i="7"/>
  <c r="G58" i="7" s="1"/>
  <c r="F50" i="7"/>
  <c r="G50" i="7" s="1"/>
  <c r="F42" i="7"/>
  <c r="G42" i="7" s="1"/>
  <c r="F34" i="7"/>
  <c r="G34" i="7" s="1"/>
  <c r="F26" i="7"/>
  <c r="G26" i="7" s="1"/>
  <c r="F18" i="7"/>
  <c r="G18" i="7" s="1"/>
  <c r="F10" i="7"/>
  <c r="G10" i="7" s="1"/>
  <c r="F337" i="7"/>
  <c r="G337" i="7" s="1"/>
  <c r="F329" i="7"/>
  <c r="G329" i="7" s="1"/>
  <c r="F321" i="7"/>
  <c r="G321" i="7" s="1"/>
  <c r="F313" i="7"/>
  <c r="G313" i="7" s="1"/>
  <c r="F305" i="7"/>
  <c r="G305" i="7" s="1"/>
  <c r="F297" i="7"/>
  <c r="G297" i="7" s="1"/>
  <c r="F289" i="7"/>
  <c r="G289" i="7" s="1"/>
  <c r="F281" i="7"/>
  <c r="G281" i="7" s="1"/>
  <c r="F273" i="7"/>
  <c r="G273" i="7" s="1"/>
  <c r="F265" i="7"/>
  <c r="G265" i="7" s="1"/>
  <c r="F257" i="7"/>
  <c r="G257" i="7" s="1"/>
  <c r="F249" i="7"/>
  <c r="G249" i="7" s="1"/>
  <c r="F241" i="7"/>
  <c r="G241" i="7" s="1"/>
  <c r="F233" i="7"/>
  <c r="G233" i="7" s="1"/>
  <c r="F225" i="7"/>
  <c r="G225" i="7" s="1"/>
  <c r="F217" i="7"/>
  <c r="G217" i="7" s="1"/>
  <c r="F209" i="7"/>
  <c r="G209" i="7" s="1"/>
  <c r="F201" i="7"/>
  <c r="G201" i="7" s="1"/>
  <c r="F193" i="7"/>
  <c r="G193" i="7" s="1"/>
  <c r="F185" i="7"/>
  <c r="G185" i="7" s="1"/>
  <c r="F177" i="7"/>
  <c r="G177" i="7" s="1"/>
  <c r="F169" i="7"/>
  <c r="G169" i="7" s="1"/>
  <c r="F161" i="7"/>
  <c r="G161" i="7" s="1"/>
  <c r="F153" i="7"/>
  <c r="G153" i="7" s="1"/>
  <c r="F145" i="7"/>
  <c r="G145" i="7" s="1"/>
  <c r="F137" i="7"/>
  <c r="G137" i="7" s="1"/>
  <c r="F129" i="7"/>
  <c r="G129" i="7" s="1"/>
  <c r="F121" i="7"/>
  <c r="G121" i="7" s="1"/>
  <c r="F113" i="7"/>
  <c r="G113" i="7" s="1"/>
  <c r="F105" i="7"/>
  <c r="G105" i="7" s="1"/>
  <c r="F97" i="7"/>
  <c r="G97" i="7" s="1"/>
  <c r="F89" i="7"/>
  <c r="G89" i="7" s="1"/>
  <c r="F81" i="7"/>
  <c r="G81" i="7" s="1"/>
  <c r="F73" i="7"/>
  <c r="G73" i="7" s="1"/>
  <c r="F65" i="7"/>
  <c r="G65" i="7" s="1"/>
  <c r="F57" i="7"/>
  <c r="G57" i="7" s="1"/>
  <c r="F49" i="7"/>
  <c r="G49" i="7" s="1"/>
  <c r="F41" i="7"/>
  <c r="G41" i="7" s="1"/>
  <c r="F33" i="7"/>
  <c r="G33" i="7" s="1"/>
  <c r="F25" i="7"/>
  <c r="G25" i="7" s="1"/>
  <c r="F17" i="7"/>
  <c r="G17" i="7" s="1"/>
  <c r="F9" i="7"/>
  <c r="G9" i="7" s="1"/>
  <c r="D346" i="7"/>
  <c r="F336" i="7"/>
  <c r="G336" i="7" s="1"/>
  <c r="F328" i="7"/>
  <c r="G328" i="7" s="1"/>
  <c r="F320" i="7"/>
  <c r="G320" i="7" s="1"/>
  <c r="F312" i="7"/>
  <c r="G312" i="7" s="1"/>
  <c r="F304" i="7"/>
  <c r="G304" i="7" s="1"/>
  <c r="F296" i="7"/>
  <c r="G296" i="7" s="1"/>
  <c r="F288" i="7"/>
  <c r="G288" i="7" s="1"/>
  <c r="F280" i="7"/>
  <c r="G280" i="7" s="1"/>
  <c r="F272" i="7"/>
  <c r="G272" i="7" s="1"/>
  <c r="F264" i="7"/>
  <c r="G264" i="7" s="1"/>
  <c r="F256" i="7"/>
  <c r="G256" i="7" s="1"/>
  <c r="F248" i="7"/>
  <c r="G248" i="7" s="1"/>
  <c r="F240" i="7"/>
  <c r="G240" i="7" s="1"/>
  <c r="F232" i="7"/>
  <c r="G232" i="7" s="1"/>
  <c r="F224" i="7"/>
  <c r="G224" i="7" s="1"/>
  <c r="F216" i="7"/>
  <c r="G216" i="7" s="1"/>
  <c r="F208" i="7"/>
  <c r="G208" i="7" s="1"/>
  <c r="F200" i="7"/>
  <c r="G200" i="7" s="1"/>
  <c r="F192" i="7"/>
  <c r="G192" i="7" s="1"/>
  <c r="F184" i="7"/>
  <c r="G184" i="7" s="1"/>
  <c r="F176" i="7"/>
  <c r="G176" i="7" s="1"/>
  <c r="F168" i="7"/>
  <c r="G168" i="7" s="1"/>
  <c r="F160" i="7"/>
  <c r="G160" i="7" s="1"/>
  <c r="F152" i="7"/>
  <c r="G152" i="7" s="1"/>
  <c r="F144" i="7"/>
  <c r="G144" i="7" s="1"/>
  <c r="F136" i="7"/>
  <c r="G136" i="7" s="1"/>
  <c r="F128" i="7"/>
  <c r="G128" i="7" s="1"/>
  <c r="F120" i="7"/>
  <c r="G120" i="7" s="1"/>
  <c r="F112" i="7"/>
  <c r="G112" i="7" s="1"/>
  <c r="F104" i="7"/>
  <c r="G104" i="7" s="1"/>
  <c r="F96" i="7"/>
  <c r="G96" i="7" s="1"/>
  <c r="F88" i="7"/>
  <c r="G88" i="7" s="1"/>
  <c r="F80" i="7"/>
  <c r="G80" i="7" s="1"/>
  <c r="F72" i="7"/>
  <c r="G72" i="7" s="1"/>
  <c r="F64" i="7"/>
  <c r="G64" i="7" s="1"/>
  <c r="F56" i="7"/>
  <c r="G56" i="7" s="1"/>
  <c r="F48" i="7"/>
  <c r="G48" i="7" s="1"/>
  <c r="F40" i="7"/>
  <c r="G40" i="7" s="1"/>
  <c r="F32" i="7"/>
  <c r="G32" i="7" s="1"/>
  <c r="F24" i="7"/>
  <c r="G24" i="7" s="1"/>
  <c r="F16" i="7"/>
  <c r="G16" i="7" s="1"/>
  <c r="F8" i="7"/>
  <c r="G8" i="7" s="1"/>
  <c r="F335" i="7"/>
  <c r="G335" i="7" s="1"/>
  <c r="F327" i="7"/>
  <c r="G327" i="7" s="1"/>
  <c r="F319" i="7"/>
  <c r="G319" i="7" s="1"/>
  <c r="F311" i="7"/>
  <c r="G311" i="7" s="1"/>
  <c r="F303" i="7"/>
  <c r="G303" i="7" s="1"/>
  <c r="F295" i="7"/>
  <c r="G295" i="7" s="1"/>
  <c r="F287" i="7"/>
  <c r="G287" i="7" s="1"/>
  <c r="F279" i="7"/>
  <c r="G279" i="7" s="1"/>
  <c r="F271" i="7"/>
  <c r="G271" i="7" s="1"/>
  <c r="F263" i="7"/>
  <c r="G263" i="7" s="1"/>
  <c r="F255" i="7"/>
  <c r="G255" i="7" s="1"/>
  <c r="F247" i="7"/>
  <c r="G247" i="7" s="1"/>
  <c r="F239" i="7"/>
  <c r="G239" i="7" s="1"/>
  <c r="F231" i="7"/>
  <c r="G231" i="7" s="1"/>
  <c r="F223" i="7"/>
  <c r="G223" i="7" s="1"/>
  <c r="F215" i="7"/>
  <c r="G215" i="7" s="1"/>
  <c r="F207" i="7"/>
  <c r="G207" i="7" s="1"/>
  <c r="F199" i="7"/>
  <c r="G199" i="7" s="1"/>
  <c r="F191" i="7"/>
  <c r="G191" i="7" s="1"/>
  <c r="F183" i="7"/>
  <c r="G183" i="7" s="1"/>
  <c r="F175" i="7"/>
  <c r="G175" i="7" s="1"/>
  <c r="F167" i="7"/>
  <c r="G167" i="7" s="1"/>
  <c r="F159" i="7"/>
  <c r="G159" i="7" s="1"/>
  <c r="F151" i="7"/>
  <c r="G151" i="7" s="1"/>
  <c r="F143" i="7"/>
  <c r="G143" i="7" s="1"/>
  <c r="F135" i="7"/>
  <c r="G135" i="7" s="1"/>
  <c r="F127" i="7"/>
  <c r="G127" i="7" s="1"/>
  <c r="F119" i="7"/>
  <c r="G119" i="7" s="1"/>
  <c r="F111" i="7"/>
  <c r="G111" i="7" s="1"/>
  <c r="F103" i="7"/>
  <c r="G103" i="7" s="1"/>
  <c r="F95" i="7"/>
  <c r="G95" i="7" s="1"/>
  <c r="F87" i="7"/>
  <c r="G87" i="7" s="1"/>
  <c r="F79" i="7"/>
  <c r="G79" i="7" s="1"/>
  <c r="F71" i="7"/>
  <c r="G71" i="7" s="1"/>
  <c r="F63" i="7"/>
  <c r="G63" i="7" s="1"/>
  <c r="F55" i="7"/>
  <c r="G55" i="7" s="1"/>
  <c r="F47" i="7"/>
  <c r="G47" i="7" s="1"/>
  <c r="F39" i="7"/>
  <c r="G39" i="7" s="1"/>
  <c r="F31" i="7"/>
  <c r="G31" i="7" s="1"/>
  <c r="F23" i="7"/>
  <c r="G23" i="7" s="1"/>
  <c r="F15" i="7"/>
  <c r="G15" i="7" s="1"/>
  <c r="F4" i="7"/>
  <c r="G4" i="7" s="1"/>
  <c r="F334" i="7"/>
  <c r="G334" i="7" s="1"/>
  <c r="F326" i="7"/>
  <c r="G326" i="7" s="1"/>
  <c r="F318" i="7"/>
  <c r="G318" i="7" s="1"/>
  <c r="F310" i="7"/>
  <c r="G310" i="7" s="1"/>
  <c r="F302" i="7"/>
  <c r="G302" i="7" s="1"/>
  <c r="F294" i="7"/>
  <c r="G294" i="7" s="1"/>
  <c r="F286" i="7"/>
  <c r="G286" i="7" s="1"/>
  <c r="F278" i="7"/>
  <c r="G278" i="7" s="1"/>
  <c r="F270" i="7"/>
  <c r="G270" i="7" s="1"/>
  <c r="F262" i="7"/>
  <c r="G262" i="7" s="1"/>
  <c r="F254" i="7"/>
  <c r="G254" i="7" s="1"/>
  <c r="F246" i="7"/>
  <c r="G246" i="7" s="1"/>
  <c r="F238" i="7"/>
  <c r="G238" i="7" s="1"/>
  <c r="F230" i="7"/>
  <c r="G230" i="7" s="1"/>
  <c r="F222" i="7"/>
  <c r="G222" i="7" s="1"/>
  <c r="F214" i="7"/>
  <c r="G214" i="7" s="1"/>
  <c r="F206" i="7"/>
  <c r="G206" i="7" s="1"/>
  <c r="F198" i="7"/>
  <c r="G198" i="7" s="1"/>
  <c r="F190" i="7"/>
  <c r="G190" i="7" s="1"/>
  <c r="F182" i="7"/>
  <c r="G182" i="7" s="1"/>
  <c r="F174" i="7"/>
  <c r="G174" i="7" s="1"/>
  <c r="F166" i="7"/>
  <c r="G166" i="7" s="1"/>
  <c r="F158" i="7"/>
  <c r="G158" i="7" s="1"/>
  <c r="F150" i="7"/>
  <c r="G150" i="7" s="1"/>
  <c r="F142" i="7"/>
  <c r="G142" i="7" s="1"/>
  <c r="F134" i="7"/>
  <c r="G134" i="7" s="1"/>
  <c r="F126" i="7"/>
  <c r="G126" i="7" s="1"/>
  <c r="F118" i="7"/>
  <c r="G118" i="7" s="1"/>
  <c r="F110" i="7"/>
  <c r="G110" i="7" s="1"/>
  <c r="F102" i="7"/>
  <c r="G102" i="7" s="1"/>
  <c r="F94" i="7"/>
  <c r="G94" i="7" s="1"/>
  <c r="F86" i="7"/>
  <c r="G86" i="7" s="1"/>
  <c r="F78" i="7"/>
  <c r="G78" i="7" s="1"/>
  <c r="F70" i="7"/>
  <c r="G70" i="7" s="1"/>
  <c r="F62" i="7"/>
  <c r="G62" i="7" s="1"/>
  <c r="F54" i="7"/>
  <c r="G54" i="7" s="1"/>
  <c r="F46" i="7"/>
  <c r="G46" i="7" s="1"/>
  <c r="F38" i="7"/>
  <c r="G38" i="7" s="1"/>
  <c r="F30" i="7"/>
  <c r="G30" i="7" s="1"/>
  <c r="F22" i="7"/>
  <c r="G22" i="7" s="1"/>
  <c r="F14" i="7"/>
  <c r="G14" i="7" s="1"/>
  <c r="F3" i="7"/>
  <c r="G3" i="7" s="1"/>
  <c r="F333" i="7"/>
  <c r="G333" i="7" s="1"/>
  <c r="F325" i="7"/>
  <c r="G325" i="7" s="1"/>
  <c r="F317" i="7"/>
  <c r="G317" i="7" s="1"/>
  <c r="F309" i="7"/>
  <c r="G309" i="7" s="1"/>
  <c r="F301" i="7"/>
  <c r="G301" i="7" s="1"/>
  <c r="F293" i="7"/>
  <c r="G293" i="7" s="1"/>
  <c r="F285" i="7"/>
  <c r="G285" i="7" s="1"/>
  <c r="F277" i="7"/>
  <c r="G277" i="7" s="1"/>
  <c r="F269" i="7"/>
  <c r="G269" i="7" s="1"/>
  <c r="F261" i="7"/>
  <c r="G261" i="7" s="1"/>
  <c r="F253" i="7"/>
  <c r="G253" i="7" s="1"/>
  <c r="F245" i="7"/>
  <c r="G245" i="7" s="1"/>
  <c r="F237" i="7"/>
  <c r="G237" i="7" s="1"/>
  <c r="F229" i="7"/>
  <c r="G229" i="7" s="1"/>
  <c r="F221" i="7"/>
  <c r="G221" i="7" s="1"/>
  <c r="F213" i="7"/>
  <c r="G213" i="7" s="1"/>
  <c r="F205" i="7"/>
  <c r="G205" i="7" s="1"/>
  <c r="F197" i="7"/>
  <c r="G197" i="7" s="1"/>
  <c r="F189" i="7"/>
  <c r="G189" i="7" s="1"/>
  <c r="F181" i="7"/>
  <c r="G181" i="7" s="1"/>
  <c r="F173" i="7"/>
  <c r="G173" i="7" s="1"/>
  <c r="F165" i="7"/>
  <c r="G165" i="7" s="1"/>
  <c r="F157" i="7"/>
  <c r="G157" i="7" s="1"/>
  <c r="F149" i="7"/>
  <c r="G149" i="7" s="1"/>
  <c r="F141" i="7"/>
  <c r="G141" i="7" s="1"/>
  <c r="F133" i="7"/>
  <c r="G133" i="7" s="1"/>
  <c r="F125" i="7"/>
  <c r="G125" i="7" s="1"/>
  <c r="F117" i="7"/>
  <c r="G117" i="7" s="1"/>
  <c r="F109" i="7"/>
  <c r="G109" i="7" s="1"/>
  <c r="F101" i="7"/>
  <c r="G101" i="7" s="1"/>
  <c r="F93" i="7"/>
  <c r="G93" i="7" s="1"/>
  <c r="F85" i="7"/>
  <c r="G85" i="7" s="1"/>
  <c r="F77" i="7"/>
  <c r="G77" i="7" s="1"/>
  <c r="F69" i="7"/>
  <c r="G69" i="7" s="1"/>
  <c r="F61" i="7"/>
  <c r="G61" i="7" s="1"/>
  <c r="F53" i="7"/>
  <c r="G53" i="7" s="1"/>
  <c r="F45" i="7"/>
  <c r="G45" i="7" s="1"/>
  <c r="F37" i="7"/>
  <c r="G37" i="7" s="1"/>
  <c r="F29" i="7"/>
  <c r="G29" i="7" s="1"/>
  <c r="F21" i="7"/>
  <c r="G21" i="7" s="1"/>
  <c r="F13" i="7"/>
  <c r="G13" i="7" s="1"/>
  <c r="F332" i="7"/>
  <c r="G332" i="7" s="1"/>
  <c r="F324" i="7"/>
  <c r="G324" i="7" s="1"/>
  <c r="F316" i="7"/>
  <c r="G316" i="7" s="1"/>
  <c r="F308" i="7"/>
  <c r="G308" i="7" s="1"/>
  <c r="F300" i="7"/>
  <c r="G300" i="7" s="1"/>
  <c r="F292" i="7"/>
  <c r="G292" i="7" s="1"/>
  <c r="F284" i="7"/>
  <c r="G284" i="7" s="1"/>
  <c r="F276" i="7"/>
  <c r="G276" i="7" s="1"/>
  <c r="F268" i="7"/>
  <c r="G268" i="7" s="1"/>
  <c r="F260" i="7"/>
  <c r="G260" i="7" s="1"/>
  <c r="F252" i="7"/>
  <c r="G252" i="7" s="1"/>
  <c r="F244" i="7"/>
  <c r="G244" i="7" s="1"/>
  <c r="F236" i="7"/>
  <c r="G236" i="7" s="1"/>
  <c r="F228" i="7"/>
  <c r="G228" i="7" s="1"/>
  <c r="F220" i="7"/>
  <c r="G220" i="7" s="1"/>
  <c r="F212" i="7"/>
  <c r="G212" i="7" s="1"/>
  <c r="F204" i="7"/>
  <c r="G204" i="7" s="1"/>
  <c r="F196" i="7"/>
  <c r="G196" i="7" s="1"/>
  <c r="F188" i="7"/>
  <c r="G188" i="7" s="1"/>
  <c r="F180" i="7"/>
  <c r="G180" i="7" s="1"/>
  <c r="F172" i="7"/>
  <c r="G172" i="7" s="1"/>
  <c r="F164" i="7"/>
  <c r="G164" i="7" s="1"/>
  <c r="F156" i="7"/>
  <c r="G156" i="7" s="1"/>
  <c r="F148" i="7"/>
  <c r="G148" i="7" s="1"/>
  <c r="F140" i="7"/>
  <c r="G140" i="7" s="1"/>
  <c r="F132" i="7"/>
  <c r="G132" i="7" s="1"/>
  <c r="F124" i="7"/>
  <c r="G124" i="7" s="1"/>
  <c r="F116" i="7"/>
  <c r="G116" i="7" s="1"/>
  <c r="F108" i="7"/>
  <c r="G108" i="7" s="1"/>
  <c r="F100" i="7"/>
  <c r="G100" i="7" s="1"/>
  <c r="F92" i="7"/>
  <c r="G92" i="7" s="1"/>
  <c r="F84" i="7"/>
  <c r="G84" i="7" s="1"/>
  <c r="F76" i="7"/>
  <c r="G76" i="7" s="1"/>
  <c r="F68" i="7"/>
  <c r="G68" i="7" s="1"/>
  <c r="F60" i="7"/>
  <c r="G60" i="7" s="1"/>
  <c r="F52" i="7"/>
  <c r="G52" i="7" s="1"/>
  <c r="F44" i="7"/>
  <c r="G44" i="7" s="1"/>
  <c r="F36" i="7"/>
  <c r="G36" i="7" s="1"/>
  <c r="F28" i="7"/>
  <c r="G28" i="7" s="1"/>
  <c r="F20" i="7"/>
  <c r="G20" i="7" s="1"/>
  <c r="F12" i="7"/>
  <c r="G12" i="7" s="1"/>
  <c r="F338" i="6"/>
  <c r="G338" i="6" s="1"/>
  <c r="F328" i="6"/>
  <c r="G328" i="6" s="1"/>
  <c r="F316" i="6"/>
  <c r="G316" i="6" s="1"/>
  <c r="F306" i="6"/>
  <c r="G306" i="6" s="1"/>
  <c r="F296" i="6"/>
  <c r="G296" i="6" s="1"/>
  <c r="F284" i="6"/>
  <c r="G284" i="6" s="1"/>
  <c r="F274" i="6"/>
  <c r="G274" i="6" s="1"/>
  <c r="F264" i="6"/>
  <c r="G264" i="6" s="1"/>
  <c r="F252" i="6"/>
  <c r="G252" i="6" s="1"/>
  <c r="F242" i="6"/>
  <c r="G242" i="6" s="1"/>
  <c r="F232" i="6"/>
  <c r="G232" i="6" s="1"/>
  <c r="F220" i="6"/>
  <c r="G220" i="6" s="1"/>
  <c r="F208" i="6"/>
  <c r="G208" i="6" s="1"/>
  <c r="F194" i="6"/>
  <c r="G194" i="6" s="1"/>
  <c r="F181" i="6"/>
  <c r="G181" i="6" s="1"/>
  <c r="F169" i="6"/>
  <c r="G169" i="6" s="1"/>
  <c r="F156" i="6"/>
  <c r="G156" i="6" s="1"/>
  <c r="F144" i="6"/>
  <c r="G144" i="6" s="1"/>
  <c r="F130" i="6"/>
  <c r="G130" i="6" s="1"/>
  <c r="F117" i="6"/>
  <c r="G117" i="6" s="1"/>
  <c r="F105" i="6"/>
  <c r="G105" i="6" s="1"/>
  <c r="F92" i="6"/>
  <c r="G92" i="6" s="1"/>
  <c r="F80" i="6"/>
  <c r="G80" i="6" s="1"/>
  <c r="F66" i="6"/>
  <c r="G66" i="6" s="1"/>
  <c r="F53" i="6"/>
  <c r="G53" i="6" s="1"/>
  <c r="F41" i="6"/>
  <c r="G41" i="6" s="1"/>
  <c r="F28" i="6"/>
  <c r="G28" i="6" s="1"/>
  <c r="F3" i="6"/>
  <c r="G3" i="6" s="1"/>
  <c r="F4" i="6"/>
  <c r="G4" i="6" s="1"/>
  <c r="F6" i="6"/>
  <c r="G6" i="6" s="1"/>
  <c r="F14" i="6"/>
  <c r="G14" i="6" s="1"/>
  <c r="F22" i="6"/>
  <c r="G22" i="6" s="1"/>
  <c r="F30" i="6"/>
  <c r="G30" i="6" s="1"/>
  <c r="F38" i="6"/>
  <c r="G38" i="6" s="1"/>
  <c r="F46" i="6"/>
  <c r="G46" i="6" s="1"/>
  <c r="F54" i="6"/>
  <c r="G54" i="6" s="1"/>
  <c r="F62" i="6"/>
  <c r="G62" i="6" s="1"/>
  <c r="F70" i="6"/>
  <c r="G70" i="6" s="1"/>
  <c r="F78" i="6"/>
  <c r="G78" i="6" s="1"/>
  <c r="F86" i="6"/>
  <c r="G86" i="6" s="1"/>
  <c r="F94" i="6"/>
  <c r="G94" i="6" s="1"/>
  <c r="F102" i="6"/>
  <c r="G102" i="6" s="1"/>
  <c r="F110" i="6"/>
  <c r="G110" i="6" s="1"/>
  <c r="F118" i="6"/>
  <c r="G118" i="6" s="1"/>
  <c r="F126" i="6"/>
  <c r="G126" i="6" s="1"/>
  <c r="F134" i="6"/>
  <c r="G134" i="6" s="1"/>
  <c r="F142" i="6"/>
  <c r="G142" i="6" s="1"/>
  <c r="F150" i="6"/>
  <c r="G150" i="6" s="1"/>
  <c r="F158" i="6"/>
  <c r="G158" i="6" s="1"/>
  <c r="F166" i="6"/>
  <c r="G166" i="6" s="1"/>
  <c r="F174" i="6"/>
  <c r="G174" i="6" s="1"/>
  <c r="F182" i="6"/>
  <c r="G182" i="6" s="1"/>
  <c r="F190" i="6"/>
  <c r="G190" i="6" s="1"/>
  <c r="F198" i="6"/>
  <c r="G198" i="6" s="1"/>
  <c r="F206" i="6"/>
  <c r="G206" i="6" s="1"/>
  <c r="F214" i="6"/>
  <c r="G214" i="6" s="1"/>
  <c r="F222" i="6"/>
  <c r="G222" i="6" s="1"/>
  <c r="F230" i="6"/>
  <c r="G230" i="6" s="1"/>
  <c r="F238" i="6"/>
  <c r="G238" i="6" s="1"/>
  <c r="F246" i="6"/>
  <c r="G246" i="6" s="1"/>
  <c r="F254" i="6"/>
  <c r="G254" i="6" s="1"/>
  <c r="F262" i="6"/>
  <c r="G262" i="6" s="1"/>
  <c r="F270" i="6"/>
  <c r="G270" i="6" s="1"/>
  <c r="F278" i="6"/>
  <c r="G278" i="6" s="1"/>
  <c r="F286" i="6"/>
  <c r="G286" i="6" s="1"/>
  <c r="F294" i="6"/>
  <c r="G294" i="6" s="1"/>
  <c r="F302" i="6"/>
  <c r="G302" i="6" s="1"/>
  <c r="F310" i="6"/>
  <c r="G310" i="6" s="1"/>
  <c r="F318" i="6"/>
  <c r="G318" i="6" s="1"/>
  <c r="F326" i="6"/>
  <c r="G326" i="6" s="1"/>
  <c r="F334" i="6"/>
  <c r="G334" i="6" s="1"/>
  <c r="F7" i="6"/>
  <c r="G7" i="6" s="1"/>
  <c r="F15" i="6"/>
  <c r="G15" i="6" s="1"/>
  <c r="F23" i="6"/>
  <c r="G23" i="6" s="1"/>
  <c r="F31" i="6"/>
  <c r="G31" i="6" s="1"/>
  <c r="F39" i="6"/>
  <c r="G39" i="6" s="1"/>
  <c r="F47" i="6"/>
  <c r="G47" i="6" s="1"/>
  <c r="F55" i="6"/>
  <c r="G55" i="6" s="1"/>
  <c r="F63" i="6"/>
  <c r="G63" i="6" s="1"/>
  <c r="F71" i="6"/>
  <c r="G71" i="6" s="1"/>
  <c r="F79" i="6"/>
  <c r="G79" i="6" s="1"/>
  <c r="F87" i="6"/>
  <c r="G87" i="6" s="1"/>
  <c r="F95" i="6"/>
  <c r="G95" i="6" s="1"/>
  <c r="F103" i="6"/>
  <c r="G103" i="6" s="1"/>
  <c r="F111" i="6"/>
  <c r="G111" i="6" s="1"/>
  <c r="F119" i="6"/>
  <c r="G119" i="6" s="1"/>
  <c r="F127" i="6"/>
  <c r="G127" i="6" s="1"/>
  <c r="F135" i="6"/>
  <c r="G135" i="6" s="1"/>
  <c r="F143" i="6"/>
  <c r="G143" i="6" s="1"/>
  <c r="F151" i="6"/>
  <c r="G151" i="6" s="1"/>
  <c r="F159" i="6"/>
  <c r="G159" i="6" s="1"/>
  <c r="F167" i="6"/>
  <c r="G167" i="6" s="1"/>
  <c r="F175" i="6"/>
  <c r="G175" i="6" s="1"/>
  <c r="F183" i="6"/>
  <c r="G183" i="6" s="1"/>
  <c r="F191" i="6"/>
  <c r="G191" i="6" s="1"/>
  <c r="F199" i="6"/>
  <c r="G199" i="6" s="1"/>
  <c r="F207" i="6"/>
  <c r="G207" i="6" s="1"/>
  <c r="F215" i="6"/>
  <c r="G215" i="6" s="1"/>
  <c r="F223" i="6"/>
  <c r="G223" i="6" s="1"/>
  <c r="F231" i="6"/>
  <c r="G231" i="6" s="1"/>
  <c r="F239" i="6"/>
  <c r="G239" i="6" s="1"/>
  <c r="F247" i="6"/>
  <c r="G247" i="6" s="1"/>
  <c r="F255" i="6"/>
  <c r="G255" i="6" s="1"/>
  <c r="F263" i="6"/>
  <c r="G263" i="6" s="1"/>
  <c r="F271" i="6"/>
  <c r="G271" i="6" s="1"/>
  <c r="F279" i="6"/>
  <c r="G279" i="6" s="1"/>
  <c r="F287" i="6"/>
  <c r="G287" i="6" s="1"/>
  <c r="F295" i="6"/>
  <c r="G295" i="6" s="1"/>
  <c r="F303" i="6"/>
  <c r="G303" i="6" s="1"/>
  <c r="F311" i="6"/>
  <c r="G311" i="6" s="1"/>
  <c r="F319" i="6"/>
  <c r="G319" i="6" s="1"/>
  <c r="F327" i="6"/>
  <c r="G327" i="6" s="1"/>
  <c r="F335" i="6"/>
  <c r="G335" i="6" s="1"/>
  <c r="F11" i="6"/>
  <c r="G11" i="6" s="1"/>
  <c r="F19" i="6"/>
  <c r="G19" i="6" s="1"/>
  <c r="F27" i="6"/>
  <c r="G27" i="6" s="1"/>
  <c r="F35" i="6"/>
  <c r="G35" i="6" s="1"/>
  <c r="F43" i="6"/>
  <c r="G43" i="6" s="1"/>
  <c r="F51" i="6"/>
  <c r="G51" i="6" s="1"/>
  <c r="F59" i="6"/>
  <c r="G59" i="6" s="1"/>
  <c r="F67" i="6"/>
  <c r="G67" i="6" s="1"/>
  <c r="F75" i="6"/>
  <c r="G75" i="6" s="1"/>
  <c r="F83" i="6"/>
  <c r="G83" i="6" s="1"/>
  <c r="F91" i="6"/>
  <c r="G91" i="6" s="1"/>
  <c r="F99" i="6"/>
  <c r="G99" i="6" s="1"/>
  <c r="F107" i="6"/>
  <c r="G107" i="6" s="1"/>
  <c r="F115" i="6"/>
  <c r="G115" i="6" s="1"/>
  <c r="F123" i="6"/>
  <c r="G123" i="6" s="1"/>
  <c r="F131" i="6"/>
  <c r="G131" i="6" s="1"/>
  <c r="F139" i="6"/>
  <c r="G139" i="6" s="1"/>
  <c r="F147" i="6"/>
  <c r="G147" i="6" s="1"/>
  <c r="F155" i="6"/>
  <c r="G155" i="6" s="1"/>
  <c r="F163" i="6"/>
  <c r="G163" i="6" s="1"/>
  <c r="F171" i="6"/>
  <c r="G171" i="6" s="1"/>
  <c r="F179" i="6"/>
  <c r="G179" i="6" s="1"/>
  <c r="F187" i="6"/>
  <c r="G187" i="6" s="1"/>
  <c r="F195" i="6"/>
  <c r="G195" i="6" s="1"/>
  <c r="F203" i="6"/>
  <c r="G203" i="6" s="1"/>
  <c r="F211" i="6"/>
  <c r="G211" i="6" s="1"/>
  <c r="F219" i="6"/>
  <c r="G219" i="6" s="1"/>
  <c r="F337" i="6"/>
  <c r="G337" i="6" s="1"/>
  <c r="F325" i="6"/>
  <c r="G325" i="6" s="1"/>
  <c r="F315" i="6"/>
  <c r="G315" i="6" s="1"/>
  <c r="F305" i="6"/>
  <c r="G305" i="6" s="1"/>
  <c r="F293" i="6"/>
  <c r="G293" i="6" s="1"/>
  <c r="F283" i="6"/>
  <c r="G283" i="6" s="1"/>
  <c r="F273" i="6"/>
  <c r="G273" i="6" s="1"/>
  <c r="F261" i="6"/>
  <c r="G261" i="6" s="1"/>
  <c r="F251" i="6"/>
  <c r="G251" i="6" s="1"/>
  <c r="F241" i="6"/>
  <c r="G241" i="6" s="1"/>
  <c r="F229" i="6"/>
  <c r="G229" i="6" s="1"/>
  <c r="F218" i="6"/>
  <c r="G218" i="6" s="1"/>
  <c r="F205" i="6"/>
  <c r="G205" i="6" s="1"/>
  <c r="F193" i="6"/>
  <c r="G193" i="6" s="1"/>
  <c r="F180" i="6"/>
  <c r="G180" i="6" s="1"/>
  <c r="F168" i="6"/>
  <c r="G168" i="6" s="1"/>
  <c r="F154" i="6"/>
  <c r="G154" i="6" s="1"/>
  <c r="F141" i="6"/>
  <c r="G141" i="6" s="1"/>
  <c r="F129" i="6"/>
  <c r="G129" i="6" s="1"/>
  <c r="F116" i="6"/>
  <c r="G116" i="6" s="1"/>
  <c r="F104" i="6"/>
  <c r="G104" i="6" s="1"/>
  <c r="F90" i="6"/>
  <c r="G90" i="6" s="1"/>
  <c r="F77" i="6"/>
  <c r="G77" i="6" s="1"/>
  <c r="F65" i="6"/>
  <c r="G65" i="6" s="1"/>
  <c r="F52" i="6"/>
  <c r="G52" i="6" s="1"/>
  <c r="F40" i="6"/>
  <c r="G40" i="6" s="1"/>
  <c r="F26" i="6"/>
  <c r="G26" i="6" s="1"/>
  <c r="F13" i="6"/>
  <c r="G13" i="6" s="1"/>
  <c r="D346" i="6"/>
  <c r="F336" i="6"/>
  <c r="G336" i="6" s="1"/>
  <c r="F324" i="6"/>
  <c r="G324" i="6" s="1"/>
  <c r="F314" i="6"/>
  <c r="G314" i="6" s="1"/>
  <c r="F304" i="6"/>
  <c r="G304" i="6" s="1"/>
  <c r="F292" i="6"/>
  <c r="G292" i="6" s="1"/>
  <c r="F282" i="6"/>
  <c r="G282" i="6" s="1"/>
  <c r="F272" i="6"/>
  <c r="G272" i="6" s="1"/>
  <c r="F260" i="6"/>
  <c r="G260" i="6" s="1"/>
  <c r="F250" i="6"/>
  <c r="G250" i="6" s="1"/>
  <c r="F240" i="6"/>
  <c r="G240" i="6" s="1"/>
  <c r="F228" i="6"/>
  <c r="G228" i="6" s="1"/>
  <c r="F217" i="6"/>
  <c r="G217" i="6" s="1"/>
  <c r="F204" i="6"/>
  <c r="G204" i="6" s="1"/>
  <c r="F192" i="6"/>
  <c r="G192" i="6" s="1"/>
  <c r="F178" i="6"/>
  <c r="G178" i="6" s="1"/>
  <c r="F165" i="6"/>
  <c r="G165" i="6" s="1"/>
  <c r="F153" i="6"/>
  <c r="G153" i="6" s="1"/>
  <c r="F140" i="6"/>
  <c r="G140" i="6" s="1"/>
  <c r="F128" i="6"/>
  <c r="G128" i="6" s="1"/>
  <c r="F114" i="6"/>
  <c r="G114" i="6" s="1"/>
  <c r="F101" i="6"/>
  <c r="G101" i="6" s="1"/>
  <c r="F89" i="6"/>
  <c r="G89" i="6" s="1"/>
  <c r="F76" i="6"/>
  <c r="G76" i="6" s="1"/>
  <c r="F64" i="6"/>
  <c r="G64" i="6" s="1"/>
  <c r="F50" i="6"/>
  <c r="G50" i="6" s="1"/>
  <c r="F37" i="6"/>
  <c r="G37" i="6" s="1"/>
  <c r="F25" i="6"/>
  <c r="G25" i="6" s="1"/>
  <c r="F12" i="6"/>
  <c r="G12" i="6" s="1"/>
  <c r="F333" i="6"/>
  <c r="G333" i="6" s="1"/>
  <c r="F323" i="6"/>
  <c r="G323" i="6" s="1"/>
  <c r="F313" i="6"/>
  <c r="G313" i="6" s="1"/>
  <c r="F301" i="6"/>
  <c r="G301" i="6" s="1"/>
  <c r="F291" i="6"/>
  <c r="G291" i="6" s="1"/>
  <c r="F281" i="6"/>
  <c r="G281" i="6" s="1"/>
  <c r="F269" i="6"/>
  <c r="G269" i="6" s="1"/>
  <c r="F259" i="6"/>
  <c r="G259" i="6" s="1"/>
  <c r="F249" i="6"/>
  <c r="G249" i="6" s="1"/>
  <c r="F237" i="6"/>
  <c r="G237" i="6" s="1"/>
  <c r="F227" i="6"/>
  <c r="G227" i="6" s="1"/>
  <c r="F216" i="6"/>
  <c r="G216" i="6" s="1"/>
  <c r="F202" i="6"/>
  <c r="G202" i="6" s="1"/>
  <c r="F189" i="6"/>
  <c r="G189" i="6" s="1"/>
  <c r="F177" i="6"/>
  <c r="G177" i="6" s="1"/>
  <c r="F164" i="6"/>
  <c r="G164" i="6" s="1"/>
  <c r="F152" i="6"/>
  <c r="G152" i="6" s="1"/>
  <c r="F138" i="6"/>
  <c r="G138" i="6" s="1"/>
  <c r="F125" i="6"/>
  <c r="G125" i="6" s="1"/>
  <c r="F113" i="6"/>
  <c r="G113" i="6" s="1"/>
  <c r="F100" i="6"/>
  <c r="G100" i="6" s="1"/>
  <c r="F88" i="6"/>
  <c r="G88" i="6" s="1"/>
  <c r="F74" i="6"/>
  <c r="G74" i="6" s="1"/>
  <c r="F61" i="6"/>
  <c r="G61" i="6" s="1"/>
  <c r="F49" i="6"/>
  <c r="G49" i="6" s="1"/>
  <c r="F36" i="6"/>
  <c r="G36" i="6" s="1"/>
  <c r="F24" i="6"/>
  <c r="G24" i="6" s="1"/>
  <c r="F10" i="6"/>
  <c r="G10" i="6" s="1"/>
  <c r="F332" i="6"/>
  <c r="G332" i="6" s="1"/>
  <c r="F322" i="6"/>
  <c r="G322" i="6" s="1"/>
  <c r="F312" i="6"/>
  <c r="G312" i="6" s="1"/>
  <c r="F300" i="6"/>
  <c r="G300" i="6" s="1"/>
  <c r="F290" i="6"/>
  <c r="G290" i="6" s="1"/>
  <c r="F280" i="6"/>
  <c r="G280" i="6" s="1"/>
  <c r="F268" i="6"/>
  <c r="G268" i="6" s="1"/>
  <c r="F258" i="6"/>
  <c r="G258" i="6" s="1"/>
  <c r="F248" i="6"/>
  <c r="G248" i="6" s="1"/>
  <c r="F236" i="6"/>
  <c r="G236" i="6" s="1"/>
  <c r="F226" i="6"/>
  <c r="G226" i="6" s="1"/>
  <c r="F213" i="6"/>
  <c r="G213" i="6" s="1"/>
  <c r="F201" i="6"/>
  <c r="G201" i="6" s="1"/>
  <c r="F188" i="6"/>
  <c r="G188" i="6" s="1"/>
  <c r="F176" i="6"/>
  <c r="G176" i="6" s="1"/>
  <c r="F162" i="6"/>
  <c r="G162" i="6" s="1"/>
  <c r="F149" i="6"/>
  <c r="G149" i="6" s="1"/>
  <c r="F137" i="6"/>
  <c r="G137" i="6" s="1"/>
  <c r="F124" i="6"/>
  <c r="G124" i="6" s="1"/>
  <c r="F112" i="6"/>
  <c r="G112" i="6" s="1"/>
  <c r="F98" i="6"/>
  <c r="G98" i="6" s="1"/>
  <c r="F85" i="6"/>
  <c r="G85" i="6" s="1"/>
  <c r="F73" i="6"/>
  <c r="G73" i="6" s="1"/>
  <c r="F60" i="6"/>
  <c r="G60" i="6" s="1"/>
  <c r="F48" i="6"/>
  <c r="G48" i="6" s="1"/>
  <c r="F34" i="6"/>
  <c r="G34" i="6" s="1"/>
  <c r="F21" i="6"/>
  <c r="G21" i="6" s="1"/>
  <c r="F9" i="6"/>
  <c r="G9" i="6" s="1"/>
  <c r="F331" i="6"/>
  <c r="G331" i="6" s="1"/>
  <c r="F321" i="6"/>
  <c r="G321" i="6" s="1"/>
  <c r="F309" i="6"/>
  <c r="G309" i="6" s="1"/>
  <c r="F299" i="6"/>
  <c r="G299" i="6" s="1"/>
  <c r="F289" i="6"/>
  <c r="G289" i="6" s="1"/>
  <c r="F277" i="6"/>
  <c r="G277" i="6" s="1"/>
  <c r="F267" i="6"/>
  <c r="G267" i="6" s="1"/>
  <c r="F257" i="6"/>
  <c r="G257" i="6" s="1"/>
  <c r="F245" i="6"/>
  <c r="G245" i="6" s="1"/>
  <c r="F235" i="6"/>
  <c r="G235" i="6" s="1"/>
  <c r="F225" i="6"/>
  <c r="G225" i="6" s="1"/>
  <c r="F212" i="6"/>
  <c r="G212" i="6" s="1"/>
  <c r="F200" i="6"/>
  <c r="G200" i="6" s="1"/>
  <c r="F186" i="6"/>
  <c r="G186" i="6" s="1"/>
  <c r="F173" i="6"/>
  <c r="G173" i="6" s="1"/>
  <c r="F161" i="6"/>
  <c r="G161" i="6" s="1"/>
  <c r="F148" i="6"/>
  <c r="G148" i="6" s="1"/>
  <c r="F136" i="6"/>
  <c r="G136" i="6" s="1"/>
  <c r="F122" i="6"/>
  <c r="G122" i="6" s="1"/>
  <c r="F109" i="6"/>
  <c r="G109" i="6" s="1"/>
  <c r="F97" i="6"/>
  <c r="G97" i="6" s="1"/>
  <c r="F84" i="6"/>
  <c r="G84" i="6" s="1"/>
  <c r="F72" i="6"/>
  <c r="G72" i="6" s="1"/>
  <c r="F58" i="6"/>
  <c r="G58" i="6" s="1"/>
  <c r="F45" i="6"/>
  <c r="G45" i="6" s="1"/>
  <c r="F33" i="6"/>
  <c r="G33" i="6" s="1"/>
  <c r="F20" i="6"/>
  <c r="G20" i="6" s="1"/>
  <c r="F8" i="6"/>
  <c r="G8" i="6" s="1"/>
  <c r="F330" i="6"/>
  <c r="G330" i="6" s="1"/>
  <c r="F320" i="6"/>
  <c r="G320" i="6" s="1"/>
  <c r="F308" i="6"/>
  <c r="G308" i="6" s="1"/>
  <c r="F298" i="6"/>
  <c r="G298" i="6" s="1"/>
  <c r="F288" i="6"/>
  <c r="G288" i="6" s="1"/>
  <c r="F276" i="6"/>
  <c r="G276" i="6" s="1"/>
  <c r="F266" i="6"/>
  <c r="G266" i="6" s="1"/>
  <c r="F256" i="6"/>
  <c r="G256" i="6" s="1"/>
  <c r="F244" i="6"/>
  <c r="G244" i="6" s="1"/>
  <c r="F234" i="6"/>
  <c r="G234" i="6" s="1"/>
  <c r="F224" i="6"/>
  <c r="G224" i="6" s="1"/>
  <c r="F210" i="6"/>
  <c r="G210" i="6" s="1"/>
  <c r="F197" i="6"/>
  <c r="G197" i="6" s="1"/>
  <c r="F185" i="6"/>
  <c r="G185" i="6" s="1"/>
  <c r="F172" i="6"/>
  <c r="G172" i="6" s="1"/>
  <c r="F160" i="6"/>
  <c r="G160" i="6" s="1"/>
  <c r="F146" i="6"/>
  <c r="G146" i="6" s="1"/>
  <c r="F133" i="6"/>
  <c r="G133" i="6" s="1"/>
  <c r="F121" i="6"/>
  <c r="G121" i="6" s="1"/>
  <c r="F108" i="6"/>
  <c r="G108" i="6" s="1"/>
  <c r="F96" i="6"/>
  <c r="G96" i="6" s="1"/>
  <c r="F82" i="6"/>
  <c r="G82" i="6" s="1"/>
  <c r="F69" i="6"/>
  <c r="G69" i="6" s="1"/>
  <c r="F57" i="6"/>
  <c r="G57" i="6" s="1"/>
  <c r="F44" i="6"/>
  <c r="G44" i="6" s="1"/>
  <c r="F32" i="6"/>
  <c r="G32" i="6" s="1"/>
  <c r="F18" i="6"/>
  <c r="G18" i="6" s="1"/>
  <c r="F5" i="6"/>
  <c r="G5" i="6" s="1"/>
  <c r="G2" i="6"/>
  <c r="F329" i="6"/>
  <c r="G329" i="6" s="1"/>
  <c r="F317" i="6"/>
  <c r="G317" i="6" s="1"/>
  <c r="F307" i="6"/>
  <c r="G307" i="6" s="1"/>
  <c r="F297" i="6"/>
  <c r="G297" i="6" s="1"/>
  <c r="F285" i="6"/>
  <c r="G285" i="6" s="1"/>
  <c r="F275" i="6"/>
  <c r="G275" i="6" s="1"/>
  <c r="F265" i="6"/>
  <c r="G265" i="6" s="1"/>
  <c r="F253" i="6"/>
  <c r="G253" i="6" s="1"/>
  <c r="F243" i="6"/>
  <c r="G243" i="6" s="1"/>
  <c r="F233" i="6"/>
  <c r="G233" i="6" s="1"/>
  <c r="F221" i="6"/>
  <c r="G221" i="6" s="1"/>
  <c r="F209" i="6"/>
  <c r="G209" i="6" s="1"/>
  <c r="F196" i="6"/>
  <c r="G196" i="6" s="1"/>
  <c r="F184" i="6"/>
  <c r="G184" i="6" s="1"/>
  <c r="F170" i="6"/>
  <c r="G170" i="6" s="1"/>
  <c r="F157" i="6"/>
  <c r="G157" i="6" s="1"/>
  <c r="F145" i="6"/>
  <c r="G145" i="6" s="1"/>
  <c r="F132" i="6"/>
  <c r="G132" i="6" s="1"/>
  <c r="F120" i="6"/>
  <c r="G120" i="6" s="1"/>
  <c r="F106" i="6"/>
  <c r="G106" i="6" s="1"/>
  <c r="F93" i="6"/>
  <c r="G93" i="6" s="1"/>
  <c r="F81" i="6"/>
  <c r="G81" i="6" s="1"/>
  <c r="F68" i="6"/>
  <c r="G68" i="6" s="1"/>
  <c r="F56" i="6"/>
  <c r="G56" i="6" s="1"/>
  <c r="F42" i="6"/>
  <c r="G42" i="6" s="1"/>
  <c r="F29" i="6"/>
  <c r="G29" i="6" s="1"/>
  <c r="F17" i="6"/>
  <c r="G17" i="6" s="1"/>
  <c r="F338" i="5"/>
  <c r="G338" i="5" s="1"/>
  <c r="F330" i="5"/>
  <c r="G330" i="5" s="1"/>
  <c r="F322" i="5"/>
  <c r="G322" i="5" s="1"/>
  <c r="F312" i="5"/>
  <c r="G312" i="5" s="1"/>
  <c r="F302" i="5"/>
  <c r="G302" i="5" s="1"/>
  <c r="F291" i="5"/>
  <c r="G291" i="5" s="1"/>
  <c r="F277" i="5"/>
  <c r="G277" i="5" s="1"/>
  <c r="F263" i="5"/>
  <c r="G263" i="5" s="1"/>
  <c r="F252" i="5"/>
  <c r="G252" i="5" s="1"/>
  <c r="F238" i="5"/>
  <c r="G238" i="5" s="1"/>
  <c r="F227" i="5"/>
  <c r="G227" i="5" s="1"/>
  <c r="F213" i="5"/>
  <c r="G213" i="5" s="1"/>
  <c r="F199" i="5"/>
  <c r="G199" i="5" s="1"/>
  <c r="F188" i="5"/>
  <c r="G188" i="5" s="1"/>
  <c r="F174" i="5"/>
  <c r="G174" i="5" s="1"/>
  <c r="F163" i="5"/>
  <c r="G163" i="5" s="1"/>
  <c r="F149" i="5"/>
  <c r="G149" i="5" s="1"/>
  <c r="F135" i="5"/>
  <c r="G135" i="5" s="1"/>
  <c r="F124" i="5"/>
  <c r="G124" i="5" s="1"/>
  <c r="F110" i="5"/>
  <c r="G110" i="5" s="1"/>
  <c r="F99" i="5"/>
  <c r="G99" i="5" s="1"/>
  <c r="F85" i="5"/>
  <c r="G85" i="5" s="1"/>
  <c r="F71" i="5"/>
  <c r="G71" i="5" s="1"/>
  <c r="F60" i="5"/>
  <c r="G60" i="5" s="1"/>
  <c r="F46" i="5"/>
  <c r="G46" i="5" s="1"/>
  <c r="F35" i="5"/>
  <c r="G35" i="5" s="1"/>
  <c r="F21" i="5"/>
  <c r="G21" i="5" s="1"/>
  <c r="F7" i="5"/>
  <c r="G7" i="5" s="1"/>
  <c r="F337" i="5"/>
  <c r="G337" i="5" s="1"/>
  <c r="F329" i="5"/>
  <c r="G329" i="5" s="1"/>
  <c r="F320" i="5"/>
  <c r="G320" i="5" s="1"/>
  <c r="F311" i="5"/>
  <c r="G311" i="5" s="1"/>
  <c r="F301" i="5"/>
  <c r="G301" i="5" s="1"/>
  <c r="F287" i="5"/>
  <c r="G287" i="5" s="1"/>
  <c r="F276" i="5"/>
  <c r="G276" i="5" s="1"/>
  <c r="F262" i="5"/>
  <c r="G262" i="5" s="1"/>
  <c r="F251" i="5"/>
  <c r="G251" i="5" s="1"/>
  <c r="F237" i="5"/>
  <c r="G237" i="5" s="1"/>
  <c r="F223" i="5"/>
  <c r="G223" i="5" s="1"/>
  <c r="F212" i="5"/>
  <c r="G212" i="5" s="1"/>
  <c r="F198" i="5"/>
  <c r="G198" i="5" s="1"/>
  <c r="F187" i="5"/>
  <c r="G187" i="5" s="1"/>
  <c r="F173" i="5"/>
  <c r="G173" i="5" s="1"/>
  <c r="F159" i="5"/>
  <c r="G159" i="5" s="1"/>
  <c r="F148" i="5"/>
  <c r="G148" i="5" s="1"/>
  <c r="F134" i="5"/>
  <c r="G134" i="5" s="1"/>
  <c r="F123" i="5"/>
  <c r="G123" i="5" s="1"/>
  <c r="F109" i="5"/>
  <c r="G109" i="5" s="1"/>
  <c r="F95" i="5"/>
  <c r="G95" i="5" s="1"/>
  <c r="F84" i="5"/>
  <c r="G84" i="5" s="1"/>
  <c r="F70" i="5"/>
  <c r="G70" i="5" s="1"/>
  <c r="F59" i="5"/>
  <c r="G59" i="5" s="1"/>
  <c r="F45" i="5"/>
  <c r="G45" i="5" s="1"/>
  <c r="F31" i="5"/>
  <c r="G31" i="5" s="1"/>
  <c r="F20" i="5"/>
  <c r="G20" i="5" s="1"/>
  <c r="F3" i="5"/>
  <c r="G3" i="5" s="1"/>
  <c r="F4" i="5"/>
  <c r="G4" i="5" s="1"/>
  <c r="F8" i="5"/>
  <c r="G8" i="5" s="1"/>
  <c r="F16" i="5"/>
  <c r="G16" i="5" s="1"/>
  <c r="F24" i="5"/>
  <c r="G24" i="5" s="1"/>
  <c r="F32" i="5"/>
  <c r="G32" i="5" s="1"/>
  <c r="F40" i="5"/>
  <c r="G40" i="5" s="1"/>
  <c r="F48" i="5"/>
  <c r="G48" i="5" s="1"/>
  <c r="F56" i="5"/>
  <c r="G56" i="5" s="1"/>
  <c r="F64" i="5"/>
  <c r="G64" i="5" s="1"/>
  <c r="F72" i="5"/>
  <c r="G72" i="5" s="1"/>
  <c r="F80" i="5"/>
  <c r="G80" i="5" s="1"/>
  <c r="F88" i="5"/>
  <c r="G88" i="5" s="1"/>
  <c r="F96" i="5"/>
  <c r="G96" i="5" s="1"/>
  <c r="F104" i="5"/>
  <c r="G104" i="5" s="1"/>
  <c r="F112" i="5"/>
  <c r="G112" i="5" s="1"/>
  <c r="F120" i="5"/>
  <c r="G120" i="5" s="1"/>
  <c r="F128" i="5"/>
  <c r="G128" i="5" s="1"/>
  <c r="F136" i="5"/>
  <c r="G136" i="5" s="1"/>
  <c r="F144" i="5"/>
  <c r="G144" i="5" s="1"/>
  <c r="F152" i="5"/>
  <c r="G152" i="5" s="1"/>
  <c r="F160" i="5"/>
  <c r="G160" i="5" s="1"/>
  <c r="F168" i="5"/>
  <c r="G168" i="5" s="1"/>
  <c r="F176" i="5"/>
  <c r="G176" i="5" s="1"/>
  <c r="F184" i="5"/>
  <c r="G184" i="5" s="1"/>
  <c r="F192" i="5"/>
  <c r="G192" i="5" s="1"/>
  <c r="F200" i="5"/>
  <c r="G200" i="5" s="1"/>
  <c r="F208" i="5"/>
  <c r="G208" i="5" s="1"/>
  <c r="F216" i="5"/>
  <c r="G216" i="5" s="1"/>
  <c r="F224" i="5"/>
  <c r="G224" i="5" s="1"/>
  <c r="F232" i="5"/>
  <c r="G232" i="5" s="1"/>
  <c r="F240" i="5"/>
  <c r="G240" i="5" s="1"/>
  <c r="F248" i="5"/>
  <c r="G248" i="5" s="1"/>
  <c r="F256" i="5"/>
  <c r="G256" i="5" s="1"/>
  <c r="F264" i="5"/>
  <c r="G264" i="5" s="1"/>
  <c r="F272" i="5"/>
  <c r="G272" i="5" s="1"/>
  <c r="F280" i="5"/>
  <c r="G280" i="5" s="1"/>
  <c r="F288" i="5"/>
  <c r="G288" i="5" s="1"/>
  <c r="F296" i="5"/>
  <c r="G296" i="5" s="1"/>
  <c r="F304" i="5"/>
  <c r="G304" i="5" s="1"/>
  <c r="F9" i="5"/>
  <c r="G9" i="5" s="1"/>
  <c r="F17" i="5"/>
  <c r="G17" i="5" s="1"/>
  <c r="F25" i="5"/>
  <c r="G25" i="5" s="1"/>
  <c r="F33" i="5"/>
  <c r="G33" i="5" s="1"/>
  <c r="F41" i="5"/>
  <c r="G41" i="5" s="1"/>
  <c r="F49" i="5"/>
  <c r="G49" i="5" s="1"/>
  <c r="F57" i="5"/>
  <c r="G57" i="5" s="1"/>
  <c r="F65" i="5"/>
  <c r="G65" i="5" s="1"/>
  <c r="F73" i="5"/>
  <c r="G73" i="5" s="1"/>
  <c r="F81" i="5"/>
  <c r="G81" i="5" s="1"/>
  <c r="F89" i="5"/>
  <c r="G89" i="5" s="1"/>
  <c r="F97" i="5"/>
  <c r="G97" i="5" s="1"/>
  <c r="F105" i="5"/>
  <c r="G105" i="5" s="1"/>
  <c r="F113" i="5"/>
  <c r="G113" i="5" s="1"/>
  <c r="F121" i="5"/>
  <c r="G121" i="5" s="1"/>
  <c r="F129" i="5"/>
  <c r="G129" i="5" s="1"/>
  <c r="F137" i="5"/>
  <c r="G137" i="5" s="1"/>
  <c r="F145" i="5"/>
  <c r="G145" i="5" s="1"/>
  <c r="F153" i="5"/>
  <c r="G153" i="5" s="1"/>
  <c r="F161" i="5"/>
  <c r="G161" i="5" s="1"/>
  <c r="F169" i="5"/>
  <c r="G169" i="5" s="1"/>
  <c r="F177" i="5"/>
  <c r="G177" i="5" s="1"/>
  <c r="F185" i="5"/>
  <c r="G185" i="5" s="1"/>
  <c r="F193" i="5"/>
  <c r="G193" i="5" s="1"/>
  <c r="F201" i="5"/>
  <c r="G201" i="5" s="1"/>
  <c r="F209" i="5"/>
  <c r="G209" i="5" s="1"/>
  <c r="F217" i="5"/>
  <c r="G217" i="5" s="1"/>
  <c r="F225" i="5"/>
  <c r="G225" i="5" s="1"/>
  <c r="F233" i="5"/>
  <c r="G233" i="5" s="1"/>
  <c r="F241" i="5"/>
  <c r="G241" i="5" s="1"/>
  <c r="F249" i="5"/>
  <c r="G249" i="5" s="1"/>
  <c r="F257" i="5"/>
  <c r="G257" i="5" s="1"/>
  <c r="F265" i="5"/>
  <c r="G265" i="5" s="1"/>
  <c r="F273" i="5"/>
  <c r="G273" i="5" s="1"/>
  <c r="F281" i="5"/>
  <c r="G281" i="5" s="1"/>
  <c r="F289" i="5"/>
  <c r="G289" i="5" s="1"/>
  <c r="F297" i="5"/>
  <c r="G297" i="5" s="1"/>
  <c r="F305" i="5"/>
  <c r="G305" i="5" s="1"/>
  <c r="F313" i="5"/>
  <c r="G313" i="5" s="1"/>
  <c r="F321" i="5"/>
  <c r="G321" i="5" s="1"/>
  <c r="F10" i="5"/>
  <c r="G10" i="5" s="1"/>
  <c r="F18" i="5"/>
  <c r="G18" i="5" s="1"/>
  <c r="F26" i="5"/>
  <c r="G26" i="5" s="1"/>
  <c r="F34" i="5"/>
  <c r="G34" i="5" s="1"/>
  <c r="F42" i="5"/>
  <c r="G42" i="5" s="1"/>
  <c r="F50" i="5"/>
  <c r="G50" i="5" s="1"/>
  <c r="F58" i="5"/>
  <c r="G58" i="5" s="1"/>
  <c r="F66" i="5"/>
  <c r="G66" i="5" s="1"/>
  <c r="F74" i="5"/>
  <c r="G74" i="5" s="1"/>
  <c r="F82" i="5"/>
  <c r="G82" i="5" s="1"/>
  <c r="F90" i="5"/>
  <c r="G90" i="5" s="1"/>
  <c r="F98" i="5"/>
  <c r="G98" i="5" s="1"/>
  <c r="F106" i="5"/>
  <c r="G106" i="5" s="1"/>
  <c r="F114" i="5"/>
  <c r="G114" i="5" s="1"/>
  <c r="F122" i="5"/>
  <c r="G122" i="5" s="1"/>
  <c r="F130" i="5"/>
  <c r="G130" i="5" s="1"/>
  <c r="F138" i="5"/>
  <c r="G138" i="5" s="1"/>
  <c r="F146" i="5"/>
  <c r="G146" i="5" s="1"/>
  <c r="F154" i="5"/>
  <c r="G154" i="5" s="1"/>
  <c r="F162" i="5"/>
  <c r="G162" i="5" s="1"/>
  <c r="F170" i="5"/>
  <c r="G170" i="5" s="1"/>
  <c r="F178" i="5"/>
  <c r="G178" i="5" s="1"/>
  <c r="F186" i="5"/>
  <c r="G186" i="5" s="1"/>
  <c r="F194" i="5"/>
  <c r="G194" i="5" s="1"/>
  <c r="F202" i="5"/>
  <c r="G202" i="5" s="1"/>
  <c r="F210" i="5"/>
  <c r="G210" i="5" s="1"/>
  <c r="F218" i="5"/>
  <c r="G218" i="5" s="1"/>
  <c r="F226" i="5"/>
  <c r="G226" i="5" s="1"/>
  <c r="F234" i="5"/>
  <c r="G234" i="5" s="1"/>
  <c r="F242" i="5"/>
  <c r="G242" i="5" s="1"/>
  <c r="F250" i="5"/>
  <c r="G250" i="5" s="1"/>
  <c r="F258" i="5"/>
  <c r="G258" i="5" s="1"/>
  <c r="F266" i="5"/>
  <c r="G266" i="5" s="1"/>
  <c r="F274" i="5"/>
  <c r="G274" i="5" s="1"/>
  <c r="F282" i="5"/>
  <c r="G282" i="5" s="1"/>
  <c r="F290" i="5"/>
  <c r="G290" i="5" s="1"/>
  <c r="F298" i="5"/>
  <c r="G298" i="5" s="1"/>
  <c r="F336" i="5"/>
  <c r="G336" i="5" s="1"/>
  <c r="F328" i="5"/>
  <c r="G328" i="5" s="1"/>
  <c r="F319" i="5"/>
  <c r="G319" i="5" s="1"/>
  <c r="F310" i="5"/>
  <c r="G310" i="5" s="1"/>
  <c r="F300" i="5"/>
  <c r="G300" i="5" s="1"/>
  <c r="F286" i="5"/>
  <c r="G286" i="5" s="1"/>
  <c r="F275" i="5"/>
  <c r="G275" i="5" s="1"/>
  <c r="F261" i="5"/>
  <c r="G261" i="5" s="1"/>
  <c r="F247" i="5"/>
  <c r="G247" i="5" s="1"/>
  <c r="F236" i="5"/>
  <c r="G236" i="5" s="1"/>
  <c r="F222" i="5"/>
  <c r="G222" i="5" s="1"/>
  <c r="F211" i="5"/>
  <c r="G211" i="5" s="1"/>
  <c r="F197" i="5"/>
  <c r="G197" i="5" s="1"/>
  <c r="F183" i="5"/>
  <c r="G183" i="5" s="1"/>
  <c r="F172" i="5"/>
  <c r="G172" i="5" s="1"/>
  <c r="F158" i="5"/>
  <c r="G158" i="5" s="1"/>
  <c r="F147" i="5"/>
  <c r="G147" i="5" s="1"/>
  <c r="F133" i="5"/>
  <c r="G133" i="5" s="1"/>
  <c r="F119" i="5"/>
  <c r="G119" i="5" s="1"/>
  <c r="F108" i="5"/>
  <c r="G108" i="5" s="1"/>
  <c r="F94" i="5"/>
  <c r="G94" i="5" s="1"/>
  <c r="F83" i="5"/>
  <c r="G83" i="5" s="1"/>
  <c r="F69" i="5"/>
  <c r="G69" i="5" s="1"/>
  <c r="F55" i="5"/>
  <c r="G55" i="5" s="1"/>
  <c r="F44" i="5"/>
  <c r="G44" i="5" s="1"/>
  <c r="F30" i="5"/>
  <c r="G30" i="5" s="1"/>
  <c r="F19" i="5"/>
  <c r="G19" i="5" s="1"/>
  <c r="F5" i="5"/>
  <c r="G5" i="5" s="1"/>
  <c r="F334" i="5"/>
  <c r="G334" i="5" s="1"/>
  <c r="F326" i="5"/>
  <c r="G326" i="5" s="1"/>
  <c r="F317" i="5"/>
  <c r="G317" i="5" s="1"/>
  <c r="F308" i="5"/>
  <c r="G308" i="5" s="1"/>
  <c r="F295" i="5"/>
  <c r="G295" i="5" s="1"/>
  <c r="F284" i="5"/>
  <c r="G284" i="5" s="1"/>
  <c r="F270" i="5"/>
  <c r="G270" i="5" s="1"/>
  <c r="F259" i="5"/>
  <c r="G259" i="5" s="1"/>
  <c r="F245" i="5"/>
  <c r="G245" i="5" s="1"/>
  <c r="F231" i="5"/>
  <c r="G231" i="5" s="1"/>
  <c r="F220" i="5"/>
  <c r="G220" i="5" s="1"/>
  <c r="F206" i="5"/>
  <c r="G206" i="5" s="1"/>
  <c r="F195" i="5"/>
  <c r="G195" i="5" s="1"/>
  <c r="F181" i="5"/>
  <c r="G181" i="5" s="1"/>
  <c r="F167" i="5"/>
  <c r="G167" i="5" s="1"/>
  <c r="F156" i="5"/>
  <c r="G156" i="5" s="1"/>
  <c r="F142" i="5"/>
  <c r="G142" i="5" s="1"/>
  <c r="F131" i="5"/>
  <c r="G131" i="5" s="1"/>
  <c r="F117" i="5"/>
  <c r="G117" i="5" s="1"/>
  <c r="F103" i="5"/>
  <c r="G103" i="5" s="1"/>
  <c r="F92" i="5"/>
  <c r="G92" i="5" s="1"/>
  <c r="F78" i="5"/>
  <c r="G78" i="5" s="1"/>
  <c r="F67" i="5"/>
  <c r="G67" i="5" s="1"/>
  <c r="F53" i="5"/>
  <c r="G53" i="5" s="1"/>
  <c r="F39" i="5"/>
  <c r="G39" i="5" s="1"/>
  <c r="F28" i="5"/>
  <c r="G28" i="5" s="1"/>
  <c r="F14" i="5"/>
  <c r="G14" i="5" s="1"/>
  <c r="F333" i="5"/>
  <c r="G333" i="5" s="1"/>
  <c r="F325" i="5"/>
  <c r="G325" i="5" s="1"/>
  <c r="F316" i="5"/>
  <c r="G316" i="5" s="1"/>
  <c r="F307" i="5"/>
  <c r="G307" i="5" s="1"/>
  <c r="F294" i="5"/>
  <c r="G294" i="5" s="1"/>
  <c r="F283" i="5"/>
  <c r="G283" i="5" s="1"/>
  <c r="F269" i="5"/>
  <c r="G269" i="5" s="1"/>
  <c r="F255" i="5"/>
  <c r="G255" i="5" s="1"/>
  <c r="F244" i="5"/>
  <c r="G244" i="5" s="1"/>
  <c r="F230" i="5"/>
  <c r="G230" i="5" s="1"/>
  <c r="F219" i="5"/>
  <c r="G219" i="5" s="1"/>
  <c r="F205" i="5"/>
  <c r="G205" i="5" s="1"/>
  <c r="F191" i="5"/>
  <c r="G191" i="5" s="1"/>
  <c r="F180" i="5"/>
  <c r="G180" i="5" s="1"/>
  <c r="F166" i="5"/>
  <c r="G166" i="5" s="1"/>
  <c r="F155" i="5"/>
  <c r="G155" i="5" s="1"/>
  <c r="F141" i="5"/>
  <c r="G141" i="5" s="1"/>
  <c r="F127" i="5"/>
  <c r="G127" i="5" s="1"/>
  <c r="F116" i="5"/>
  <c r="G116" i="5" s="1"/>
  <c r="F102" i="5"/>
  <c r="G102" i="5" s="1"/>
  <c r="F91" i="5"/>
  <c r="G91" i="5" s="1"/>
  <c r="F77" i="5"/>
  <c r="G77" i="5" s="1"/>
  <c r="F63" i="5"/>
  <c r="G63" i="5" s="1"/>
  <c r="F52" i="5"/>
  <c r="G52" i="5" s="1"/>
  <c r="F38" i="5"/>
  <c r="G38" i="5" s="1"/>
  <c r="F27" i="5"/>
  <c r="G27" i="5" s="1"/>
  <c r="F13" i="5"/>
  <c r="G13" i="5" s="1"/>
  <c r="F332" i="5"/>
  <c r="G332" i="5" s="1"/>
  <c r="F324" i="5"/>
  <c r="G324" i="5" s="1"/>
  <c r="F315" i="5"/>
  <c r="G315" i="5" s="1"/>
  <c r="F306" i="5"/>
  <c r="G306" i="5" s="1"/>
  <c r="F293" i="5"/>
  <c r="G293" i="5" s="1"/>
  <c r="F279" i="5"/>
  <c r="G279" i="5" s="1"/>
  <c r="F268" i="5"/>
  <c r="G268" i="5" s="1"/>
  <c r="F254" i="5"/>
  <c r="G254" i="5" s="1"/>
  <c r="F243" i="5"/>
  <c r="G243" i="5" s="1"/>
  <c r="F229" i="5"/>
  <c r="G229" i="5" s="1"/>
  <c r="F215" i="5"/>
  <c r="G215" i="5" s="1"/>
  <c r="F204" i="5"/>
  <c r="G204" i="5" s="1"/>
  <c r="F190" i="5"/>
  <c r="G190" i="5" s="1"/>
  <c r="F179" i="5"/>
  <c r="G179" i="5" s="1"/>
  <c r="F165" i="5"/>
  <c r="G165" i="5" s="1"/>
  <c r="F151" i="5"/>
  <c r="G151" i="5" s="1"/>
  <c r="F140" i="5"/>
  <c r="G140" i="5" s="1"/>
  <c r="F126" i="5"/>
  <c r="G126" i="5" s="1"/>
  <c r="F115" i="5"/>
  <c r="G115" i="5" s="1"/>
  <c r="F101" i="5"/>
  <c r="G101" i="5" s="1"/>
  <c r="F87" i="5"/>
  <c r="G87" i="5" s="1"/>
  <c r="F76" i="5"/>
  <c r="G76" i="5" s="1"/>
  <c r="F62" i="5"/>
  <c r="G62" i="5" s="1"/>
  <c r="F51" i="5"/>
  <c r="G51" i="5" s="1"/>
  <c r="F37" i="5"/>
  <c r="G37" i="5" s="1"/>
  <c r="F23" i="5"/>
  <c r="G23" i="5" s="1"/>
  <c r="F12" i="5"/>
  <c r="G12" i="5" s="1"/>
  <c r="F3" i="4"/>
  <c r="G3" i="4" s="1"/>
  <c r="F11" i="4"/>
  <c r="G11" i="4" s="1"/>
  <c r="F8" i="4"/>
  <c r="G8" i="4" s="1"/>
  <c r="F6" i="4"/>
  <c r="G6" i="4" s="1"/>
  <c r="F16" i="4"/>
  <c r="G16" i="4" s="1"/>
  <c r="F24" i="4"/>
  <c r="G24" i="4" s="1"/>
  <c r="F32" i="4"/>
  <c r="G32" i="4" s="1"/>
  <c r="F40" i="4"/>
  <c r="G40" i="4" s="1"/>
  <c r="F48" i="4"/>
  <c r="G48" i="4" s="1"/>
  <c r="F56" i="4"/>
  <c r="G56" i="4" s="1"/>
  <c r="F64" i="4"/>
  <c r="G64" i="4" s="1"/>
  <c r="F72" i="4"/>
  <c r="G72" i="4" s="1"/>
  <c r="F80" i="4"/>
  <c r="G80" i="4" s="1"/>
  <c r="F88" i="4"/>
  <c r="G88" i="4" s="1"/>
  <c r="F96" i="4"/>
  <c r="G96" i="4" s="1"/>
  <c r="F104" i="4"/>
  <c r="G104" i="4" s="1"/>
  <c r="F112" i="4"/>
  <c r="G112" i="4" s="1"/>
  <c r="F120" i="4"/>
  <c r="G120" i="4" s="1"/>
  <c r="F128" i="4"/>
  <c r="G128" i="4" s="1"/>
  <c r="F136" i="4"/>
  <c r="G136" i="4" s="1"/>
  <c r="F144" i="4"/>
  <c r="G144" i="4" s="1"/>
  <c r="F152" i="4"/>
  <c r="G152" i="4" s="1"/>
  <c r="F160" i="4"/>
  <c r="G160" i="4" s="1"/>
  <c r="F168" i="4"/>
  <c r="G168" i="4" s="1"/>
  <c r="F176" i="4"/>
  <c r="G176" i="4" s="1"/>
  <c r="F184" i="4"/>
  <c r="G184" i="4" s="1"/>
  <c r="F192" i="4"/>
  <c r="G192" i="4" s="1"/>
  <c r="F200" i="4"/>
  <c r="G200" i="4" s="1"/>
  <c r="F208" i="4"/>
  <c r="G208" i="4" s="1"/>
  <c r="F216" i="4"/>
  <c r="G216" i="4" s="1"/>
  <c r="F224" i="4"/>
  <c r="G224" i="4" s="1"/>
  <c r="F232" i="4"/>
  <c r="G232" i="4" s="1"/>
  <c r="F240" i="4"/>
  <c r="G240" i="4" s="1"/>
  <c r="F248" i="4"/>
  <c r="G248" i="4" s="1"/>
  <c r="F256" i="4"/>
  <c r="G256" i="4" s="1"/>
  <c r="F264" i="4"/>
  <c r="G264" i="4" s="1"/>
  <c r="F272" i="4"/>
  <c r="G272" i="4" s="1"/>
  <c r="F280" i="4"/>
  <c r="G280" i="4" s="1"/>
  <c r="F288" i="4"/>
  <c r="G288" i="4" s="1"/>
  <c r="F296" i="4"/>
  <c r="G296" i="4" s="1"/>
  <c r="F304" i="4"/>
  <c r="G304" i="4" s="1"/>
  <c r="F312" i="4"/>
  <c r="G312" i="4" s="1"/>
  <c r="F320" i="4"/>
  <c r="G320" i="4" s="1"/>
  <c r="F328" i="4"/>
  <c r="G328" i="4" s="1"/>
  <c r="F7" i="4"/>
  <c r="G7" i="4" s="1"/>
  <c r="F17" i="4"/>
  <c r="G17" i="4" s="1"/>
  <c r="F25" i="4"/>
  <c r="G25" i="4" s="1"/>
  <c r="F33" i="4"/>
  <c r="G33" i="4" s="1"/>
  <c r="F41" i="4"/>
  <c r="G41" i="4" s="1"/>
  <c r="F49" i="4"/>
  <c r="G49" i="4" s="1"/>
  <c r="F57" i="4"/>
  <c r="G57" i="4" s="1"/>
  <c r="F65" i="4"/>
  <c r="G65" i="4" s="1"/>
  <c r="F73" i="4"/>
  <c r="G73" i="4" s="1"/>
  <c r="F81" i="4"/>
  <c r="G81" i="4" s="1"/>
  <c r="F89" i="4"/>
  <c r="G89" i="4" s="1"/>
  <c r="F97" i="4"/>
  <c r="G97" i="4" s="1"/>
  <c r="F105" i="4"/>
  <c r="G105" i="4" s="1"/>
  <c r="F113" i="4"/>
  <c r="G113" i="4" s="1"/>
  <c r="F121" i="4"/>
  <c r="G121" i="4" s="1"/>
  <c r="F129" i="4"/>
  <c r="G129" i="4" s="1"/>
  <c r="F137" i="4"/>
  <c r="G137" i="4" s="1"/>
  <c r="F145" i="4"/>
  <c r="G145" i="4" s="1"/>
  <c r="F153" i="4"/>
  <c r="G153" i="4" s="1"/>
  <c r="F161" i="4"/>
  <c r="G161" i="4" s="1"/>
  <c r="F169" i="4"/>
  <c r="G169" i="4" s="1"/>
  <c r="F177" i="4"/>
  <c r="G177" i="4" s="1"/>
  <c r="F185" i="4"/>
  <c r="G185" i="4" s="1"/>
  <c r="F193" i="4"/>
  <c r="G193" i="4" s="1"/>
  <c r="F201" i="4"/>
  <c r="G201" i="4" s="1"/>
  <c r="F209" i="4"/>
  <c r="G209" i="4" s="1"/>
  <c r="F217" i="4"/>
  <c r="G217" i="4" s="1"/>
  <c r="F225" i="4"/>
  <c r="G225" i="4" s="1"/>
  <c r="F233" i="4"/>
  <c r="G233" i="4" s="1"/>
  <c r="F241" i="4"/>
  <c r="G241" i="4" s="1"/>
  <c r="F249" i="4"/>
  <c r="G249" i="4" s="1"/>
  <c r="F257" i="4"/>
  <c r="G257" i="4" s="1"/>
  <c r="F265" i="4"/>
  <c r="G265" i="4" s="1"/>
  <c r="F273" i="4"/>
  <c r="G273" i="4" s="1"/>
  <c r="F281" i="4"/>
  <c r="G281" i="4" s="1"/>
  <c r="F9" i="4"/>
  <c r="G9" i="4" s="1"/>
  <c r="F18" i="4"/>
  <c r="G18" i="4" s="1"/>
  <c r="F26" i="4"/>
  <c r="G26" i="4" s="1"/>
  <c r="F34" i="4"/>
  <c r="G34" i="4" s="1"/>
  <c r="F42" i="4"/>
  <c r="G42" i="4" s="1"/>
  <c r="F50" i="4"/>
  <c r="G50" i="4" s="1"/>
  <c r="F58" i="4"/>
  <c r="G58" i="4" s="1"/>
  <c r="F66" i="4"/>
  <c r="G66" i="4" s="1"/>
  <c r="F74" i="4"/>
  <c r="G74" i="4" s="1"/>
  <c r="F82" i="4"/>
  <c r="G82" i="4" s="1"/>
  <c r="F90" i="4"/>
  <c r="G90" i="4" s="1"/>
  <c r="F98" i="4"/>
  <c r="G98" i="4" s="1"/>
  <c r="F106" i="4"/>
  <c r="G106" i="4" s="1"/>
  <c r="F114" i="4"/>
  <c r="G114" i="4" s="1"/>
  <c r="F122" i="4"/>
  <c r="G122" i="4" s="1"/>
  <c r="F130" i="4"/>
  <c r="G130" i="4" s="1"/>
  <c r="F138" i="4"/>
  <c r="G138" i="4" s="1"/>
  <c r="F146" i="4"/>
  <c r="G146" i="4" s="1"/>
  <c r="F154" i="4"/>
  <c r="G154" i="4" s="1"/>
  <c r="F162" i="4"/>
  <c r="G162" i="4" s="1"/>
  <c r="F170" i="4"/>
  <c r="G170" i="4" s="1"/>
  <c r="F178" i="4"/>
  <c r="G178" i="4" s="1"/>
  <c r="F186" i="4"/>
  <c r="G186" i="4" s="1"/>
  <c r="F194" i="4"/>
  <c r="G194" i="4" s="1"/>
  <c r="F202" i="4"/>
  <c r="G202" i="4" s="1"/>
  <c r="F210" i="4"/>
  <c r="G210" i="4" s="1"/>
  <c r="F218" i="4"/>
  <c r="G218" i="4" s="1"/>
  <c r="F226" i="4"/>
  <c r="G226" i="4" s="1"/>
  <c r="F234" i="4"/>
  <c r="G234" i="4" s="1"/>
  <c r="F242" i="4"/>
  <c r="G242" i="4" s="1"/>
  <c r="F250" i="4"/>
  <c r="G250" i="4" s="1"/>
  <c r="F330" i="4"/>
  <c r="G330" i="4" s="1"/>
  <c r="F321" i="4"/>
  <c r="G321" i="4" s="1"/>
  <c r="F311" i="4"/>
  <c r="G311" i="4" s="1"/>
  <c r="F302" i="4"/>
  <c r="G302" i="4" s="1"/>
  <c r="F293" i="4"/>
  <c r="G293" i="4" s="1"/>
  <c r="F284" i="4"/>
  <c r="G284" i="4" s="1"/>
  <c r="F274" i="4"/>
  <c r="G274" i="4" s="1"/>
  <c r="F262" i="4"/>
  <c r="G262" i="4" s="1"/>
  <c r="F252" i="4"/>
  <c r="G252" i="4" s="1"/>
  <c r="F238" i="4"/>
  <c r="G238" i="4" s="1"/>
  <c r="F227" i="4"/>
  <c r="G227" i="4" s="1"/>
  <c r="F213" i="4"/>
  <c r="G213" i="4" s="1"/>
  <c r="F199" i="4"/>
  <c r="G199" i="4" s="1"/>
  <c r="F188" i="4"/>
  <c r="G188" i="4" s="1"/>
  <c r="F174" i="4"/>
  <c r="G174" i="4" s="1"/>
  <c r="F163" i="4"/>
  <c r="G163" i="4" s="1"/>
  <c r="F149" i="4"/>
  <c r="G149" i="4" s="1"/>
  <c r="F135" i="4"/>
  <c r="G135" i="4" s="1"/>
  <c r="F124" i="4"/>
  <c r="G124" i="4" s="1"/>
  <c r="F110" i="4"/>
  <c r="G110" i="4" s="1"/>
  <c r="F99" i="4"/>
  <c r="G99" i="4" s="1"/>
  <c r="F85" i="4"/>
  <c r="G85" i="4" s="1"/>
  <c r="F71" i="4"/>
  <c r="G71" i="4" s="1"/>
  <c r="F60" i="4"/>
  <c r="G60" i="4" s="1"/>
  <c r="F46" i="4"/>
  <c r="G46" i="4" s="1"/>
  <c r="F35" i="4"/>
  <c r="G35" i="4" s="1"/>
  <c r="F21" i="4"/>
  <c r="G21" i="4" s="1"/>
  <c r="F5" i="4"/>
  <c r="G5" i="4" s="1"/>
  <c r="F2" i="4"/>
  <c r="G2" i="4" s="1"/>
  <c r="F325" i="4"/>
  <c r="G325" i="4" s="1"/>
  <c r="F316" i="4"/>
  <c r="G316" i="4" s="1"/>
  <c r="F307" i="4"/>
  <c r="G307" i="4" s="1"/>
  <c r="F298" i="4"/>
  <c r="G298" i="4" s="1"/>
  <c r="F289" i="4"/>
  <c r="G289" i="4" s="1"/>
  <c r="F278" i="4"/>
  <c r="G278" i="4" s="1"/>
  <c r="F268" i="4"/>
  <c r="G268" i="4" s="1"/>
  <c r="F258" i="4"/>
  <c r="G258" i="4" s="1"/>
  <c r="F245" i="4"/>
  <c r="G245" i="4" s="1"/>
  <c r="F231" i="4"/>
  <c r="G231" i="4" s="1"/>
  <c r="F220" i="4"/>
  <c r="G220" i="4" s="1"/>
  <c r="F206" i="4"/>
  <c r="G206" i="4" s="1"/>
  <c r="F195" i="4"/>
  <c r="G195" i="4" s="1"/>
  <c r="F181" i="4"/>
  <c r="G181" i="4" s="1"/>
  <c r="F167" i="4"/>
  <c r="G167" i="4" s="1"/>
  <c r="F156" i="4"/>
  <c r="G156" i="4" s="1"/>
  <c r="F142" i="4"/>
  <c r="G142" i="4" s="1"/>
  <c r="F131" i="4"/>
  <c r="G131" i="4" s="1"/>
  <c r="F117" i="4"/>
  <c r="G117" i="4" s="1"/>
  <c r="F103" i="4"/>
  <c r="G103" i="4" s="1"/>
  <c r="F92" i="4"/>
  <c r="G92" i="4" s="1"/>
  <c r="F78" i="4"/>
  <c r="G78" i="4" s="1"/>
  <c r="F67" i="4"/>
  <c r="G67" i="4" s="1"/>
  <c r="F53" i="4"/>
  <c r="G53" i="4" s="1"/>
  <c r="F39" i="4"/>
  <c r="G39" i="4" s="1"/>
  <c r="F28" i="4"/>
  <c r="G28" i="4" s="1"/>
  <c r="F14" i="4"/>
  <c r="G14" i="4" s="1"/>
  <c r="F333" i="4"/>
  <c r="G333" i="4" s="1"/>
  <c r="F324" i="4"/>
  <c r="G324" i="4" s="1"/>
  <c r="F315" i="4"/>
  <c r="G315" i="4" s="1"/>
  <c r="F306" i="4"/>
  <c r="G306" i="4" s="1"/>
  <c r="F297" i="4"/>
  <c r="G297" i="4" s="1"/>
  <c r="F287" i="4"/>
  <c r="G287" i="4" s="1"/>
  <c r="F277" i="4"/>
  <c r="G277" i="4" s="1"/>
  <c r="F267" i="4"/>
  <c r="G267" i="4" s="1"/>
  <c r="F255" i="4"/>
  <c r="G255" i="4" s="1"/>
  <c r="F244" i="4"/>
  <c r="G244" i="4" s="1"/>
  <c r="F230" i="4"/>
  <c r="G230" i="4" s="1"/>
  <c r="F219" i="4"/>
  <c r="G219" i="4" s="1"/>
  <c r="F205" i="4"/>
  <c r="G205" i="4" s="1"/>
  <c r="F191" i="4"/>
  <c r="G191" i="4" s="1"/>
  <c r="F180" i="4"/>
  <c r="G180" i="4" s="1"/>
  <c r="F166" i="4"/>
  <c r="G166" i="4" s="1"/>
  <c r="F155" i="4"/>
  <c r="G155" i="4" s="1"/>
  <c r="F141" i="4"/>
  <c r="G141" i="4" s="1"/>
  <c r="F127" i="4"/>
  <c r="G127" i="4" s="1"/>
  <c r="F116" i="4"/>
  <c r="G116" i="4" s="1"/>
  <c r="F102" i="4"/>
  <c r="G102" i="4" s="1"/>
  <c r="F91" i="4"/>
  <c r="G91" i="4" s="1"/>
  <c r="F77" i="4"/>
  <c r="G77" i="4" s="1"/>
  <c r="F63" i="4"/>
  <c r="G63" i="4" s="1"/>
  <c r="F52" i="4"/>
  <c r="G52" i="4" s="1"/>
  <c r="F38" i="4"/>
  <c r="G38" i="4" s="1"/>
  <c r="F27" i="4"/>
  <c r="G27" i="4" s="1"/>
  <c r="F13" i="4"/>
  <c r="G13" i="4" s="1"/>
  <c r="F332" i="4"/>
  <c r="G332" i="4" s="1"/>
  <c r="F323" i="4"/>
  <c r="G323" i="4" s="1"/>
  <c r="F314" i="4"/>
  <c r="G314" i="4" s="1"/>
  <c r="F305" i="4"/>
  <c r="G305" i="4" s="1"/>
  <c r="F295" i="4"/>
  <c r="G295" i="4" s="1"/>
  <c r="F286" i="4"/>
  <c r="G286" i="4" s="1"/>
  <c r="F276" i="4"/>
  <c r="G276" i="4" s="1"/>
  <c r="F266" i="4"/>
  <c r="G266" i="4" s="1"/>
  <c r="F254" i="4"/>
  <c r="G254" i="4" s="1"/>
  <c r="F243" i="4"/>
  <c r="G243" i="4" s="1"/>
  <c r="F229" i="4"/>
  <c r="G229" i="4" s="1"/>
  <c r="F215" i="4"/>
  <c r="G215" i="4" s="1"/>
  <c r="F204" i="4"/>
  <c r="G204" i="4" s="1"/>
  <c r="F190" i="4"/>
  <c r="G190" i="4" s="1"/>
  <c r="F179" i="4"/>
  <c r="G179" i="4" s="1"/>
  <c r="F165" i="4"/>
  <c r="G165" i="4" s="1"/>
  <c r="F151" i="4"/>
  <c r="G151" i="4" s="1"/>
  <c r="F140" i="4"/>
  <c r="G140" i="4" s="1"/>
  <c r="F126" i="4"/>
  <c r="G126" i="4" s="1"/>
  <c r="F115" i="4"/>
  <c r="G115" i="4" s="1"/>
  <c r="F101" i="4"/>
  <c r="G101" i="4" s="1"/>
  <c r="F87" i="4"/>
  <c r="G87" i="4" s="1"/>
  <c r="F76" i="4"/>
  <c r="G76" i="4" s="1"/>
  <c r="F62" i="4"/>
  <c r="G62" i="4" s="1"/>
  <c r="F51" i="4"/>
  <c r="G51" i="4" s="1"/>
  <c r="F37" i="4"/>
  <c r="G37" i="4" s="1"/>
  <c r="F23" i="4"/>
  <c r="G23" i="4" s="1"/>
  <c r="F12" i="4"/>
  <c r="G12" i="4" s="1"/>
  <c r="F332" i="3"/>
  <c r="G332" i="3" s="1"/>
  <c r="F324" i="3"/>
  <c r="G324" i="3" s="1"/>
  <c r="F316" i="3"/>
  <c r="G316" i="3" s="1"/>
  <c r="F308" i="3"/>
  <c r="G308" i="3" s="1"/>
  <c r="F300" i="3"/>
  <c r="G300" i="3" s="1"/>
  <c r="F292" i="3"/>
  <c r="G292" i="3" s="1"/>
  <c r="F284" i="3"/>
  <c r="G284" i="3" s="1"/>
  <c r="F276" i="3"/>
  <c r="G276" i="3" s="1"/>
  <c r="F268" i="3"/>
  <c r="G268" i="3" s="1"/>
  <c r="F259" i="3"/>
  <c r="G259" i="3" s="1"/>
  <c r="F248" i="3"/>
  <c r="G248" i="3" s="1"/>
  <c r="F238" i="3"/>
  <c r="G238" i="3" s="1"/>
  <c r="F224" i="3"/>
  <c r="G224" i="3" s="1"/>
  <c r="F213" i="3"/>
  <c r="G213" i="3" s="1"/>
  <c r="F199" i="3"/>
  <c r="G199" i="3" s="1"/>
  <c r="F185" i="3"/>
  <c r="G185" i="3" s="1"/>
  <c r="F174" i="3"/>
  <c r="G174" i="3" s="1"/>
  <c r="F160" i="3"/>
  <c r="G160" i="3" s="1"/>
  <c r="F149" i="3"/>
  <c r="G149" i="3" s="1"/>
  <c r="F135" i="3"/>
  <c r="G135" i="3" s="1"/>
  <c r="F121" i="3"/>
  <c r="G121" i="3" s="1"/>
  <c r="F110" i="3"/>
  <c r="G110" i="3" s="1"/>
  <c r="F96" i="3"/>
  <c r="G96" i="3" s="1"/>
  <c r="F85" i="3"/>
  <c r="G85" i="3" s="1"/>
  <c r="F71" i="3"/>
  <c r="G71" i="3" s="1"/>
  <c r="F57" i="3"/>
  <c r="G57" i="3" s="1"/>
  <c r="F46" i="3"/>
  <c r="G46" i="3" s="1"/>
  <c r="F32" i="3"/>
  <c r="G32" i="3" s="1"/>
  <c r="F21" i="3"/>
  <c r="G21" i="3" s="1"/>
  <c r="F7" i="3"/>
  <c r="G7" i="3" s="1"/>
  <c r="F2" i="3"/>
  <c r="G2" i="3" s="1"/>
  <c r="F331" i="3"/>
  <c r="G331" i="3" s="1"/>
  <c r="F323" i="3"/>
  <c r="G323" i="3" s="1"/>
  <c r="F315" i="3"/>
  <c r="G315" i="3" s="1"/>
  <c r="F307" i="3"/>
  <c r="G307" i="3" s="1"/>
  <c r="F299" i="3"/>
  <c r="G299" i="3" s="1"/>
  <c r="F291" i="3"/>
  <c r="G291" i="3" s="1"/>
  <c r="F283" i="3"/>
  <c r="G283" i="3" s="1"/>
  <c r="F275" i="3"/>
  <c r="G275" i="3" s="1"/>
  <c r="F267" i="3"/>
  <c r="G267" i="3" s="1"/>
  <c r="F257" i="3"/>
  <c r="G257" i="3" s="1"/>
  <c r="F247" i="3"/>
  <c r="G247" i="3" s="1"/>
  <c r="F237" i="3"/>
  <c r="G237" i="3" s="1"/>
  <c r="F223" i="3"/>
  <c r="G223" i="3" s="1"/>
  <c r="F209" i="3"/>
  <c r="G209" i="3" s="1"/>
  <c r="F198" i="3"/>
  <c r="G198" i="3" s="1"/>
  <c r="F184" i="3"/>
  <c r="G184" i="3" s="1"/>
  <c r="F173" i="3"/>
  <c r="G173" i="3" s="1"/>
  <c r="F159" i="3"/>
  <c r="G159" i="3" s="1"/>
  <c r="F145" i="3"/>
  <c r="G145" i="3" s="1"/>
  <c r="F134" i="3"/>
  <c r="G134" i="3" s="1"/>
  <c r="F120" i="3"/>
  <c r="G120" i="3" s="1"/>
  <c r="F109" i="3"/>
  <c r="G109" i="3" s="1"/>
  <c r="F95" i="3"/>
  <c r="G95" i="3" s="1"/>
  <c r="F81" i="3"/>
  <c r="G81" i="3" s="1"/>
  <c r="F70" i="3"/>
  <c r="G70" i="3" s="1"/>
  <c r="F56" i="3"/>
  <c r="G56" i="3" s="1"/>
  <c r="F45" i="3"/>
  <c r="G45" i="3" s="1"/>
  <c r="F31" i="3"/>
  <c r="G31" i="3" s="1"/>
  <c r="F17" i="3"/>
  <c r="G17" i="3" s="1"/>
  <c r="F10" i="3"/>
  <c r="G10" i="3" s="1"/>
  <c r="F18" i="3"/>
  <c r="G18" i="3" s="1"/>
  <c r="F26" i="3"/>
  <c r="G26" i="3" s="1"/>
  <c r="F34" i="3"/>
  <c r="G34" i="3" s="1"/>
  <c r="F42" i="3"/>
  <c r="G42" i="3" s="1"/>
  <c r="F50" i="3"/>
  <c r="G50" i="3" s="1"/>
  <c r="F58" i="3"/>
  <c r="G58" i="3" s="1"/>
  <c r="F66" i="3"/>
  <c r="G66" i="3" s="1"/>
  <c r="F74" i="3"/>
  <c r="G74" i="3" s="1"/>
  <c r="F82" i="3"/>
  <c r="G82" i="3" s="1"/>
  <c r="F90" i="3"/>
  <c r="G90" i="3" s="1"/>
  <c r="F98" i="3"/>
  <c r="G98" i="3" s="1"/>
  <c r="F106" i="3"/>
  <c r="G106" i="3" s="1"/>
  <c r="F114" i="3"/>
  <c r="G114" i="3" s="1"/>
  <c r="F122" i="3"/>
  <c r="G122" i="3" s="1"/>
  <c r="F130" i="3"/>
  <c r="G130" i="3" s="1"/>
  <c r="F138" i="3"/>
  <c r="G138" i="3" s="1"/>
  <c r="F146" i="3"/>
  <c r="G146" i="3" s="1"/>
  <c r="F154" i="3"/>
  <c r="G154" i="3" s="1"/>
  <c r="F162" i="3"/>
  <c r="G162" i="3" s="1"/>
  <c r="F170" i="3"/>
  <c r="G170" i="3" s="1"/>
  <c r="F178" i="3"/>
  <c r="G178" i="3" s="1"/>
  <c r="F186" i="3"/>
  <c r="G186" i="3" s="1"/>
  <c r="F194" i="3"/>
  <c r="G194" i="3" s="1"/>
  <c r="F202" i="3"/>
  <c r="G202" i="3" s="1"/>
  <c r="F210" i="3"/>
  <c r="G210" i="3" s="1"/>
  <c r="F218" i="3"/>
  <c r="G218" i="3" s="1"/>
  <c r="F226" i="3"/>
  <c r="G226" i="3" s="1"/>
  <c r="F234" i="3"/>
  <c r="G234" i="3" s="1"/>
  <c r="F242" i="3"/>
  <c r="G242" i="3" s="1"/>
  <c r="F250" i="3"/>
  <c r="G250" i="3" s="1"/>
  <c r="F258" i="3"/>
  <c r="G258" i="3" s="1"/>
  <c r="F266" i="3"/>
  <c r="G266" i="3" s="1"/>
  <c r="F3" i="3"/>
  <c r="G3" i="3" s="1"/>
  <c r="F11" i="3"/>
  <c r="G11" i="3" s="1"/>
  <c r="F19" i="3"/>
  <c r="G19" i="3" s="1"/>
  <c r="F27" i="3"/>
  <c r="G27" i="3" s="1"/>
  <c r="F35" i="3"/>
  <c r="G35" i="3" s="1"/>
  <c r="F43" i="3"/>
  <c r="G43" i="3" s="1"/>
  <c r="F51" i="3"/>
  <c r="G51" i="3" s="1"/>
  <c r="F59" i="3"/>
  <c r="G59" i="3" s="1"/>
  <c r="F67" i="3"/>
  <c r="G67" i="3" s="1"/>
  <c r="F75" i="3"/>
  <c r="G75" i="3" s="1"/>
  <c r="F83" i="3"/>
  <c r="G83" i="3" s="1"/>
  <c r="F91" i="3"/>
  <c r="G91" i="3" s="1"/>
  <c r="F99" i="3"/>
  <c r="G99" i="3" s="1"/>
  <c r="F107" i="3"/>
  <c r="G107" i="3" s="1"/>
  <c r="F115" i="3"/>
  <c r="G115" i="3" s="1"/>
  <c r="F123" i="3"/>
  <c r="G123" i="3" s="1"/>
  <c r="F131" i="3"/>
  <c r="G131" i="3" s="1"/>
  <c r="F139" i="3"/>
  <c r="G139" i="3" s="1"/>
  <c r="F147" i="3"/>
  <c r="G147" i="3" s="1"/>
  <c r="F155" i="3"/>
  <c r="G155" i="3" s="1"/>
  <c r="F163" i="3"/>
  <c r="G163" i="3" s="1"/>
  <c r="F171" i="3"/>
  <c r="G171" i="3" s="1"/>
  <c r="F179" i="3"/>
  <c r="G179" i="3" s="1"/>
  <c r="F187" i="3"/>
  <c r="G187" i="3" s="1"/>
  <c r="F195" i="3"/>
  <c r="G195" i="3" s="1"/>
  <c r="F203" i="3"/>
  <c r="G203" i="3" s="1"/>
  <c r="F211" i="3"/>
  <c r="G211" i="3" s="1"/>
  <c r="F219" i="3"/>
  <c r="G219" i="3" s="1"/>
  <c r="F227" i="3"/>
  <c r="G227" i="3" s="1"/>
  <c r="F235" i="3"/>
  <c r="G235" i="3" s="1"/>
  <c r="F243" i="3"/>
  <c r="G243" i="3" s="1"/>
  <c r="F251" i="3"/>
  <c r="G251" i="3" s="1"/>
  <c r="F4" i="3"/>
  <c r="G4" i="3" s="1"/>
  <c r="F12" i="3"/>
  <c r="G12" i="3" s="1"/>
  <c r="F20" i="3"/>
  <c r="G20" i="3" s="1"/>
  <c r="F28" i="3"/>
  <c r="G28" i="3" s="1"/>
  <c r="F36" i="3"/>
  <c r="G36" i="3" s="1"/>
  <c r="F44" i="3"/>
  <c r="G44" i="3" s="1"/>
  <c r="F52" i="3"/>
  <c r="G52" i="3" s="1"/>
  <c r="F60" i="3"/>
  <c r="G60" i="3" s="1"/>
  <c r="F68" i="3"/>
  <c r="G68" i="3" s="1"/>
  <c r="F76" i="3"/>
  <c r="G76" i="3" s="1"/>
  <c r="F84" i="3"/>
  <c r="G84" i="3" s="1"/>
  <c r="F92" i="3"/>
  <c r="G92" i="3" s="1"/>
  <c r="F100" i="3"/>
  <c r="G100" i="3" s="1"/>
  <c r="F108" i="3"/>
  <c r="G108" i="3" s="1"/>
  <c r="F116" i="3"/>
  <c r="G116" i="3" s="1"/>
  <c r="F124" i="3"/>
  <c r="G124" i="3" s="1"/>
  <c r="F132" i="3"/>
  <c r="G132" i="3" s="1"/>
  <c r="F140" i="3"/>
  <c r="G140" i="3" s="1"/>
  <c r="F148" i="3"/>
  <c r="G148" i="3" s="1"/>
  <c r="F156" i="3"/>
  <c r="G156" i="3" s="1"/>
  <c r="F164" i="3"/>
  <c r="G164" i="3" s="1"/>
  <c r="F172" i="3"/>
  <c r="G172" i="3" s="1"/>
  <c r="F180" i="3"/>
  <c r="G180" i="3" s="1"/>
  <c r="F188" i="3"/>
  <c r="G188" i="3" s="1"/>
  <c r="F196" i="3"/>
  <c r="G196" i="3" s="1"/>
  <c r="F204" i="3"/>
  <c r="G204" i="3" s="1"/>
  <c r="F212" i="3"/>
  <c r="G212" i="3" s="1"/>
  <c r="F220" i="3"/>
  <c r="G220" i="3" s="1"/>
  <c r="F228" i="3"/>
  <c r="G228" i="3" s="1"/>
  <c r="F236" i="3"/>
  <c r="G236" i="3" s="1"/>
  <c r="F338" i="3"/>
  <c r="G338" i="3" s="1"/>
  <c r="F330" i="3"/>
  <c r="G330" i="3" s="1"/>
  <c r="F322" i="3"/>
  <c r="G322" i="3" s="1"/>
  <c r="F314" i="3"/>
  <c r="G314" i="3" s="1"/>
  <c r="F306" i="3"/>
  <c r="G306" i="3" s="1"/>
  <c r="F298" i="3"/>
  <c r="G298" i="3" s="1"/>
  <c r="F290" i="3"/>
  <c r="G290" i="3" s="1"/>
  <c r="F282" i="3"/>
  <c r="G282" i="3" s="1"/>
  <c r="F274" i="3"/>
  <c r="G274" i="3" s="1"/>
  <c r="F265" i="3"/>
  <c r="G265" i="3" s="1"/>
  <c r="F256" i="3"/>
  <c r="G256" i="3" s="1"/>
  <c r="F246" i="3"/>
  <c r="G246" i="3" s="1"/>
  <c r="F233" i="3"/>
  <c r="G233" i="3" s="1"/>
  <c r="F222" i="3"/>
  <c r="G222" i="3" s="1"/>
  <c r="F208" i="3"/>
  <c r="G208" i="3" s="1"/>
  <c r="F197" i="3"/>
  <c r="G197" i="3" s="1"/>
  <c r="F183" i="3"/>
  <c r="G183" i="3" s="1"/>
  <c r="F169" i="3"/>
  <c r="G169" i="3" s="1"/>
  <c r="F158" i="3"/>
  <c r="G158" i="3" s="1"/>
  <c r="F144" i="3"/>
  <c r="G144" i="3" s="1"/>
  <c r="F133" i="3"/>
  <c r="G133" i="3" s="1"/>
  <c r="F119" i="3"/>
  <c r="G119" i="3" s="1"/>
  <c r="F105" i="3"/>
  <c r="G105" i="3" s="1"/>
  <c r="F94" i="3"/>
  <c r="G94" i="3" s="1"/>
  <c r="F80" i="3"/>
  <c r="G80" i="3" s="1"/>
  <c r="F69" i="3"/>
  <c r="G69" i="3" s="1"/>
  <c r="F55" i="3"/>
  <c r="G55" i="3" s="1"/>
  <c r="F41" i="3"/>
  <c r="G41" i="3" s="1"/>
  <c r="F30" i="3"/>
  <c r="G30" i="3" s="1"/>
  <c r="F16" i="3"/>
  <c r="G16" i="3" s="1"/>
  <c r="F5" i="3"/>
  <c r="G5" i="3" s="1"/>
  <c r="F337" i="3"/>
  <c r="G337" i="3" s="1"/>
  <c r="F329" i="3"/>
  <c r="G329" i="3" s="1"/>
  <c r="F321" i="3"/>
  <c r="G321" i="3" s="1"/>
  <c r="F313" i="3"/>
  <c r="G313" i="3" s="1"/>
  <c r="F305" i="3"/>
  <c r="G305" i="3" s="1"/>
  <c r="F297" i="3"/>
  <c r="G297" i="3" s="1"/>
  <c r="F289" i="3"/>
  <c r="G289" i="3" s="1"/>
  <c r="F281" i="3"/>
  <c r="G281" i="3" s="1"/>
  <c r="F273" i="3"/>
  <c r="G273" i="3" s="1"/>
  <c r="F264" i="3"/>
  <c r="G264" i="3" s="1"/>
  <c r="F255" i="3"/>
  <c r="G255" i="3" s="1"/>
  <c r="F245" i="3"/>
  <c r="G245" i="3" s="1"/>
  <c r="F232" i="3"/>
  <c r="G232" i="3" s="1"/>
  <c r="F221" i="3"/>
  <c r="G221" i="3" s="1"/>
  <c r="F207" i="3"/>
  <c r="G207" i="3" s="1"/>
  <c r="F193" i="3"/>
  <c r="G193" i="3" s="1"/>
  <c r="F182" i="3"/>
  <c r="G182" i="3" s="1"/>
  <c r="F168" i="3"/>
  <c r="G168" i="3" s="1"/>
  <c r="F157" i="3"/>
  <c r="G157" i="3" s="1"/>
  <c r="F143" i="3"/>
  <c r="G143" i="3" s="1"/>
  <c r="F129" i="3"/>
  <c r="G129" i="3" s="1"/>
  <c r="F118" i="3"/>
  <c r="G118" i="3" s="1"/>
  <c r="F104" i="3"/>
  <c r="G104" i="3" s="1"/>
  <c r="F93" i="3"/>
  <c r="G93" i="3" s="1"/>
  <c r="F79" i="3"/>
  <c r="G79" i="3" s="1"/>
  <c r="F65" i="3"/>
  <c r="G65" i="3" s="1"/>
  <c r="F54" i="3"/>
  <c r="G54" i="3" s="1"/>
  <c r="F40" i="3"/>
  <c r="G40" i="3" s="1"/>
  <c r="F29" i="3"/>
  <c r="G29" i="3" s="1"/>
  <c r="F15" i="3"/>
  <c r="G15" i="3" s="1"/>
  <c r="F336" i="3"/>
  <c r="G336" i="3" s="1"/>
  <c r="F328" i="3"/>
  <c r="G328" i="3" s="1"/>
  <c r="F320" i="3"/>
  <c r="G320" i="3" s="1"/>
  <c r="F312" i="3"/>
  <c r="G312" i="3" s="1"/>
  <c r="F304" i="3"/>
  <c r="G304" i="3" s="1"/>
  <c r="F296" i="3"/>
  <c r="G296" i="3" s="1"/>
  <c r="F288" i="3"/>
  <c r="G288" i="3" s="1"/>
  <c r="F280" i="3"/>
  <c r="G280" i="3" s="1"/>
  <c r="F272" i="3"/>
  <c r="G272" i="3" s="1"/>
  <c r="F263" i="3"/>
  <c r="G263" i="3" s="1"/>
  <c r="F254" i="3"/>
  <c r="G254" i="3" s="1"/>
  <c r="F244" i="3"/>
  <c r="G244" i="3" s="1"/>
  <c r="F231" i="3"/>
  <c r="G231" i="3" s="1"/>
  <c r="F217" i="3"/>
  <c r="G217" i="3" s="1"/>
  <c r="F206" i="3"/>
  <c r="G206" i="3" s="1"/>
  <c r="F192" i="3"/>
  <c r="G192" i="3" s="1"/>
  <c r="F181" i="3"/>
  <c r="G181" i="3" s="1"/>
  <c r="F167" i="3"/>
  <c r="G167" i="3" s="1"/>
  <c r="F153" i="3"/>
  <c r="G153" i="3" s="1"/>
  <c r="F142" i="3"/>
  <c r="G142" i="3" s="1"/>
  <c r="F128" i="3"/>
  <c r="G128" i="3" s="1"/>
  <c r="F117" i="3"/>
  <c r="G117" i="3" s="1"/>
  <c r="F103" i="3"/>
  <c r="G103" i="3" s="1"/>
  <c r="F89" i="3"/>
  <c r="G89" i="3" s="1"/>
  <c r="F78" i="3"/>
  <c r="G78" i="3" s="1"/>
  <c r="F64" i="3"/>
  <c r="G64" i="3" s="1"/>
  <c r="F53" i="3"/>
  <c r="G53" i="3" s="1"/>
  <c r="F39" i="3"/>
  <c r="G39" i="3" s="1"/>
  <c r="F25" i="3"/>
  <c r="G25" i="3" s="1"/>
  <c r="F14" i="3"/>
  <c r="G14" i="3" s="1"/>
  <c r="F335" i="3"/>
  <c r="G335" i="3" s="1"/>
  <c r="F327" i="3"/>
  <c r="G327" i="3" s="1"/>
  <c r="F319" i="3"/>
  <c r="G319" i="3" s="1"/>
  <c r="F311" i="3"/>
  <c r="G311" i="3" s="1"/>
  <c r="F303" i="3"/>
  <c r="G303" i="3" s="1"/>
  <c r="F295" i="3"/>
  <c r="G295" i="3" s="1"/>
  <c r="F287" i="3"/>
  <c r="G287" i="3" s="1"/>
  <c r="F279" i="3"/>
  <c r="G279" i="3" s="1"/>
  <c r="F271" i="3"/>
  <c r="G271" i="3" s="1"/>
  <c r="F262" i="3"/>
  <c r="G262" i="3" s="1"/>
  <c r="F253" i="3"/>
  <c r="G253" i="3" s="1"/>
  <c r="F241" i="3"/>
  <c r="G241" i="3" s="1"/>
  <c r="F230" i="3"/>
  <c r="G230" i="3" s="1"/>
  <c r="F216" i="3"/>
  <c r="G216" i="3" s="1"/>
  <c r="F205" i="3"/>
  <c r="G205" i="3" s="1"/>
  <c r="F191" i="3"/>
  <c r="G191" i="3" s="1"/>
  <c r="F177" i="3"/>
  <c r="G177" i="3" s="1"/>
  <c r="F166" i="3"/>
  <c r="G166" i="3" s="1"/>
  <c r="F152" i="3"/>
  <c r="G152" i="3" s="1"/>
  <c r="F141" i="3"/>
  <c r="G141" i="3" s="1"/>
  <c r="F127" i="3"/>
  <c r="G127" i="3" s="1"/>
  <c r="F113" i="3"/>
  <c r="G113" i="3" s="1"/>
  <c r="F102" i="3"/>
  <c r="G102" i="3" s="1"/>
  <c r="F88" i="3"/>
  <c r="G88" i="3" s="1"/>
  <c r="F77" i="3"/>
  <c r="G77" i="3" s="1"/>
  <c r="F63" i="3"/>
  <c r="G63" i="3" s="1"/>
  <c r="F49" i="3"/>
  <c r="G49" i="3" s="1"/>
  <c r="F38" i="3"/>
  <c r="G38" i="3" s="1"/>
  <c r="F24" i="3"/>
  <c r="G24" i="3" s="1"/>
  <c r="F13" i="3"/>
  <c r="G13" i="3" s="1"/>
  <c r="F334" i="3"/>
  <c r="G334" i="3" s="1"/>
  <c r="F326" i="3"/>
  <c r="G326" i="3" s="1"/>
  <c r="F318" i="3"/>
  <c r="G318" i="3" s="1"/>
  <c r="F310" i="3"/>
  <c r="G310" i="3" s="1"/>
  <c r="F302" i="3"/>
  <c r="G302" i="3" s="1"/>
  <c r="F294" i="3"/>
  <c r="G294" i="3" s="1"/>
  <c r="F286" i="3"/>
  <c r="G286" i="3" s="1"/>
  <c r="F278" i="3"/>
  <c r="G278" i="3" s="1"/>
  <c r="F270" i="3"/>
  <c r="G270" i="3" s="1"/>
  <c r="F261" i="3"/>
  <c r="G261" i="3" s="1"/>
  <c r="F252" i="3"/>
  <c r="G252" i="3" s="1"/>
  <c r="F240" i="3"/>
  <c r="G240" i="3" s="1"/>
  <c r="F229" i="3"/>
  <c r="G229" i="3" s="1"/>
  <c r="F215" i="3"/>
  <c r="G215" i="3" s="1"/>
  <c r="F201" i="3"/>
  <c r="G201" i="3" s="1"/>
  <c r="F190" i="3"/>
  <c r="G190" i="3" s="1"/>
  <c r="F176" i="3"/>
  <c r="G176" i="3" s="1"/>
  <c r="F165" i="3"/>
  <c r="G165" i="3" s="1"/>
  <c r="F151" i="3"/>
  <c r="G151" i="3" s="1"/>
  <c r="F137" i="3"/>
  <c r="G137" i="3" s="1"/>
  <c r="F126" i="3"/>
  <c r="G126" i="3" s="1"/>
  <c r="F112" i="3"/>
  <c r="G112" i="3" s="1"/>
  <c r="F101" i="3"/>
  <c r="G101" i="3" s="1"/>
  <c r="F87" i="3"/>
  <c r="G87" i="3" s="1"/>
  <c r="F73" i="3"/>
  <c r="G73" i="3" s="1"/>
  <c r="F62" i="3"/>
  <c r="G62" i="3" s="1"/>
  <c r="F48" i="3"/>
  <c r="G48" i="3" s="1"/>
  <c r="F37" i="3"/>
  <c r="G37" i="3" s="1"/>
  <c r="F23" i="3"/>
  <c r="G23" i="3" s="1"/>
  <c r="F9" i="3"/>
  <c r="G9" i="3" s="1"/>
  <c r="F333" i="3"/>
  <c r="G333" i="3" s="1"/>
  <c r="F325" i="3"/>
  <c r="G325" i="3" s="1"/>
  <c r="F317" i="3"/>
  <c r="G317" i="3" s="1"/>
  <c r="F309" i="3"/>
  <c r="G309" i="3" s="1"/>
  <c r="F301" i="3"/>
  <c r="G301" i="3" s="1"/>
  <c r="F293" i="3"/>
  <c r="G293" i="3" s="1"/>
  <c r="F285" i="3"/>
  <c r="G285" i="3" s="1"/>
  <c r="F277" i="3"/>
  <c r="G277" i="3" s="1"/>
  <c r="F269" i="3"/>
  <c r="G269" i="3" s="1"/>
  <c r="F260" i="3"/>
  <c r="G260" i="3" s="1"/>
  <c r="F249" i="3"/>
  <c r="G249" i="3" s="1"/>
  <c r="F239" i="3"/>
  <c r="G239" i="3" s="1"/>
  <c r="F225" i="3"/>
  <c r="G225" i="3" s="1"/>
  <c r="F214" i="3"/>
  <c r="G214" i="3" s="1"/>
  <c r="F200" i="3"/>
  <c r="G200" i="3" s="1"/>
  <c r="F189" i="3"/>
  <c r="G189" i="3" s="1"/>
  <c r="F175" i="3"/>
  <c r="G175" i="3" s="1"/>
  <c r="F161" i="3"/>
  <c r="G161" i="3" s="1"/>
  <c r="F150" i="3"/>
  <c r="G150" i="3" s="1"/>
  <c r="F136" i="3"/>
  <c r="G136" i="3" s="1"/>
  <c r="F125" i="3"/>
  <c r="G125" i="3" s="1"/>
  <c r="F111" i="3"/>
  <c r="G111" i="3" s="1"/>
  <c r="F97" i="3"/>
  <c r="G97" i="3" s="1"/>
  <c r="F86" i="3"/>
  <c r="G86" i="3" s="1"/>
  <c r="F72" i="3"/>
  <c r="G72" i="3" s="1"/>
  <c r="F61" i="3"/>
  <c r="G61" i="3" s="1"/>
  <c r="F47" i="3"/>
  <c r="G47" i="3" s="1"/>
  <c r="F33" i="3"/>
  <c r="G33" i="3" s="1"/>
  <c r="F22" i="3"/>
  <c r="G22" i="3" s="1"/>
  <c r="F8" i="3"/>
  <c r="G8" i="3" s="1"/>
  <c r="G335" i="2"/>
  <c r="H335" i="2" s="1"/>
  <c r="G326" i="2"/>
  <c r="H326" i="2" s="1"/>
  <c r="G317" i="2"/>
  <c r="H317" i="2" s="1"/>
  <c r="G308" i="2"/>
  <c r="H308" i="2" s="1"/>
  <c r="G299" i="2"/>
  <c r="H299" i="2" s="1"/>
  <c r="G290" i="2"/>
  <c r="H290" i="2" s="1"/>
  <c r="G281" i="2"/>
  <c r="H281" i="2" s="1"/>
  <c r="G271" i="2"/>
  <c r="H271" i="2" s="1"/>
  <c r="G262" i="2"/>
  <c r="H262" i="2" s="1"/>
  <c r="G253" i="2"/>
  <c r="H253" i="2" s="1"/>
  <c r="G244" i="2"/>
  <c r="H244" i="2" s="1"/>
  <c r="G234" i="2"/>
  <c r="H234" i="2" s="1"/>
  <c r="G223" i="2"/>
  <c r="H223" i="2" s="1"/>
  <c r="G212" i="2"/>
  <c r="H212" i="2" s="1"/>
  <c r="G202" i="2"/>
  <c r="H202" i="2" s="1"/>
  <c r="G191" i="2"/>
  <c r="H191" i="2" s="1"/>
  <c r="G180" i="2"/>
  <c r="H180" i="2" s="1"/>
  <c r="G170" i="2"/>
  <c r="H170" i="2" s="1"/>
  <c r="G159" i="2"/>
  <c r="H159" i="2" s="1"/>
  <c r="G148" i="2"/>
  <c r="H148" i="2" s="1"/>
  <c r="G138" i="2"/>
  <c r="H138" i="2" s="1"/>
  <c r="G127" i="2"/>
  <c r="H127" i="2" s="1"/>
  <c r="G116" i="2"/>
  <c r="H116" i="2" s="1"/>
  <c r="G106" i="2"/>
  <c r="H106" i="2" s="1"/>
  <c r="G95" i="2"/>
  <c r="H95" i="2" s="1"/>
  <c r="G84" i="2"/>
  <c r="H84" i="2" s="1"/>
  <c r="G74" i="2"/>
  <c r="H74" i="2" s="1"/>
  <c r="G63" i="2"/>
  <c r="H63" i="2" s="1"/>
  <c r="G52" i="2"/>
  <c r="H52" i="2" s="1"/>
  <c r="G42" i="2"/>
  <c r="H42" i="2" s="1"/>
  <c r="G31" i="2"/>
  <c r="H31" i="2" s="1"/>
  <c r="G20" i="2"/>
  <c r="H20" i="2" s="1"/>
  <c r="G10" i="2"/>
  <c r="H10" i="2" s="1"/>
  <c r="G334" i="2"/>
  <c r="H334" i="2" s="1"/>
  <c r="G325" i="2"/>
  <c r="H325" i="2" s="1"/>
  <c r="G316" i="2"/>
  <c r="H316" i="2" s="1"/>
  <c r="G307" i="2"/>
  <c r="H307" i="2" s="1"/>
  <c r="G298" i="2"/>
  <c r="H298" i="2" s="1"/>
  <c r="G289" i="2"/>
  <c r="H289" i="2" s="1"/>
  <c r="G279" i="2"/>
  <c r="H279" i="2" s="1"/>
  <c r="G270" i="2"/>
  <c r="H270" i="2" s="1"/>
  <c r="G261" i="2"/>
  <c r="H261" i="2" s="1"/>
  <c r="G252" i="2"/>
  <c r="H252" i="2" s="1"/>
  <c r="G243" i="2"/>
  <c r="H243" i="2" s="1"/>
  <c r="G233" i="2"/>
  <c r="H233" i="2" s="1"/>
  <c r="G221" i="2"/>
  <c r="H221" i="2" s="1"/>
  <c r="G211" i="2"/>
  <c r="H211" i="2" s="1"/>
  <c r="G201" i="2"/>
  <c r="H201" i="2" s="1"/>
  <c r="G189" i="2"/>
  <c r="H189" i="2" s="1"/>
  <c r="G179" i="2"/>
  <c r="H179" i="2" s="1"/>
  <c r="G169" i="2"/>
  <c r="H169" i="2" s="1"/>
  <c r="G157" i="2"/>
  <c r="H157" i="2" s="1"/>
  <c r="G147" i="2"/>
  <c r="H147" i="2" s="1"/>
  <c r="G137" i="2"/>
  <c r="H137" i="2" s="1"/>
  <c r="G125" i="2"/>
  <c r="H125" i="2" s="1"/>
  <c r="G115" i="2"/>
  <c r="H115" i="2" s="1"/>
  <c r="G105" i="2"/>
  <c r="H105" i="2" s="1"/>
  <c r="G93" i="2"/>
  <c r="H93" i="2" s="1"/>
  <c r="G83" i="2"/>
  <c r="H83" i="2" s="1"/>
  <c r="G73" i="2"/>
  <c r="H73" i="2" s="1"/>
  <c r="G61" i="2"/>
  <c r="H61" i="2" s="1"/>
  <c r="G51" i="2"/>
  <c r="H51" i="2" s="1"/>
  <c r="G41" i="2"/>
  <c r="H41" i="2" s="1"/>
  <c r="G29" i="2"/>
  <c r="H29" i="2" s="1"/>
  <c r="G19" i="2"/>
  <c r="H19" i="2" s="1"/>
  <c r="D346" i="2"/>
  <c r="G8" i="2"/>
  <c r="H8" i="2" s="1"/>
  <c r="G16" i="2"/>
  <c r="H16" i="2" s="1"/>
  <c r="G24" i="2"/>
  <c r="H24" i="2" s="1"/>
  <c r="G32" i="2"/>
  <c r="H32" i="2" s="1"/>
  <c r="G40" i="2"/>
  <c r="H40" i="2" s="1"/>
  <c r="G48" i="2"/>
  <c r="H48" i="2" s="1"/>
  <c r="G56" i="2"/>
  <c r="H56" i="2" s="1"/>
  <c r="G64" i="2"/>
  <c r="H64" i="2" s="1"/>
  <c r="G72" i="2"/>
  <c r="H72" i="2" s="1"/>
  <c r="G80" i="2"/>
  <c r="H80" i="2" s="1"/>
  <c r="G88" i="2"/>
  <c r="H88" i="2" s="1"/>
  <c r="G96" i="2"/>
  <c r="H96" i="2" s="1"/>
  <c r="G104" i="2"/>
  <c r="H104" i="2" s="1"/>
  <c r="G112" i="2"/>
  <c r="H112" i="2" s="1"/>
  <c r="G120" i="2"/>
  <c r="H120" i="2" s="1"/>
  <c r="G128" i="2"/>
  <c r="H128" i="2" s="1"/>
  <c r="G136" i="2"/>
  <c r="H136" i="2" s="1"/>
  <c r="G144" i="2"/>
  <c r="H144" i="2" s="1"/>
  <c r="G152" i="2"/>
  <c r="H152" i="2" s="1"/>
  <c r="G160" i="2"/>
  <c r="H160" i="2" s="1"/>
  <c r="G168" i="2"/>
  <c r="H168" i="2" s="1"/>
  <c r="G176" i="2"/>
  <c r="H176" i="2" s="1"/>
  <c r="G184" i="2"/>
  <c r="H184" i="2" s="1"/>
  <c r="G192" i="2"/>
  <c r="H192" i="2" s="1"/>
  <c r="G200" i="2"/>
  <c r="H200" i="2" s="1"/>
  <c r="G208" i="2"/>
  <c r="H208" i="2" s="1"/>
  <c r="G216" i="2"/>
  <c r="H216" i="2" s="1"/>
  <c r="G224" i="2"/>
  <c r="H224" i="2" s="1"/>
  <c r="G232" i="2"/>
  <c r="H232" i="2" s="1"/>
  <c r="G240" i="2"/>
  <c r="H240" i="2" s="1"/>
  <c r="G248" i="2"/>
  <c r="H248" i="2" s="1"/>
  <c r="G256" i="2"/>
  <c r="H256" i="2" s="1"/>
  <c r="G264" i="2"/>
  <c r="H264" i="2" s="1"/>
  <c r="G272" i="2"/>
  <c r="H272" i="2" s="1"/>
  <c r="G280" i="2"/>
  <c r="H280" i="2" s="1"/>
  <c r="G288" i="2"/>
  <c r="H288" i="2" s="1"/>
  <c r="G296" i="2"/>
  <c r="H296" i="2" s="1"/>
  <c r="G304" i="2"/>
  <c r="H304" i="2" s="1"/>
  <c r="G312" i="2"/>
  <c r="H312" i="2" s="1"/>
  <c r="G320" i="2"/>
  <c r="H320" i="2" s="1"/>
  <c r="G328" i="2"/>
  <c r="H328" i="2" s="1"/>
  <c r="G336" i="2"/>
  <c r="H336" i="2" s="1"/>
  <c r="G6" i="2"/>
  <c r="H6" i="2" s="1"/>
  <c r="G14" i="2"/>
  <c r="H14" i="2" s="1"/>
  <c r="G22" i="2"/>
  <c r="H22" i="2" s="1"/>
  <c r="G30" i="2"/>
  <c r="H30" i="2" s="1"/>
  <c r="G38" i="2"/>
  <c r="H38" i="2" s="1"/>
  <c r="G46" i="2"/>
  <c r="H46" i="2" s="1"/>
  <c r="G54" i="2"/>
  <c r="H54" i="2" s="1"/>
  <c r="G62" i="2"/>
  <c r="H62" i="2" s="1"/>
  <c r="G70" i="2"/>
  <c r="H70" i="2" s="1"/>
  <c r="G78" i="2"/>
  <c r="H78" i="2" s="1"/>
  <c r="G86" i="2"/>
  <c r="H86" i="2" s="1"/>
  <c r="G94" i="2"/>
  <c r="H94" i="2" s="1"/>
  <c r="G102" i="2"/>
  <c r="H102" i="2" s="1"/>
  <c r="G110" i="2"/>
  <c r="H110" i="2" s="1"/>
  <c r="G118" i="2"/>
  <c r="H118" i="2" s="1"/>
  <c r="G126" i="2"/>
  <c r="H126" i="2" s="1"/>
  <c r="G134" i="2"/>
  <c r="H134" i="2" s="1"/>
  <c r="G142" i="2"/>
  <c r="H142" i="2" s="1"/>
  <c r="G150" i="2"/>
  <c r="H150" i="2" s="1"/>
  <c r="G158" i="2"/>
  <c r="H158" i="2" s="1"/>
  <c r="G166" i="2"/>
  <c r="H166" i="2" s="1"/>
  <c r="G174" i="2"/>
  <c r="H174" i="2" s="1"/>
  <c r="G182" i="2"/>
  <c r="H182" i="2" s="1"/>
  <c r="G190" i="2"/>
  <c r="H190" i="2" s="1"/>
  <c r="G198" i="2"/>
  <c r="H198" i="2" s="1"/>
  <c r="G206" i="2"/>
  <c r="H206" i="2" s="1"/>
  <c r="G214" i="2"/>
  <c r="H214" i="2" s="1"/>
  <c r="G222" i="2"/>
  <c r="H222" i="2" s="1"/>
  <c r="G230" i="2"/>
  <c r="H230" i="2" s="1"/>
  <c r="G238" i="2"/>
  <c r="H238" i="2" s="1"/>
  <c r="G333" i="2"/>
  <c r="H333" i="2" s="1"/>
  <c r="G324" i="2"/>
  <c r="H324" i="2" s="1"/>
  <c r="G315" i="2"/>
  <c r="H315" i="2" s="1"/>
  <c r="G306" i="2"/>
  <c r="H306" i="2" s="1"/>
  <c r="G297" i="2"/>
  <c r="H297" i="2" s="1"/>
  <c r="G287" i="2"/>
  <c r="H287" i="2" s="1"/>
  <c r="G278" i="2"/>
  <c r="H278" i="2" s="1"/>
  <c r="G269" i="2"/>
  <c r="H269" i="2" s="1"/>
  <c r="G260" i="2"/>
  <c r="H260" i="2" s="1"/>
  <c r="G251" i="2"/>
  <c r="H251" i="2" s="1"/>
  <c r="G242" i="2"/>
  <c r="H242" i="2" s="1"/>
  <c r="G231" i="2"/>
  <c r="H231" i="2" s="1"/>
  <c r="G220" i="2"/>
  <c r="H220" i="2" s="1"/>
  <c r="G210" i="2"/>
  <c r="H210" i="2" s="1"/>
  <c r="G199" i="2"/>
  <c r="H199" i="2" s="1"/>
  <c r="G188" i="2"/>
  <c r="H188" i="2" s="1"/>
  <c r="G178" i="2"/>
  <c r="H178" i="2" s="1"/>
  <c r="G167" i="2"/>
  <c r="H167" i="2" s="1"/>
  <c r="G156" i="2"/>
  <c r="H156" i="2" s="1"/>
  <c r="G146" i="2"/>
  <c r="H146" i="2" s="1"/>
  <c r="G135" i="2"/>
  <c r="H135" i="2" s="1"/>
  <c r="G124" i="2"/>
  <c r="H124" i="2" s="1"/>
  <c r="G114" i="2"/>
  <c r="H114" i="2" s="1"/>
  <c r="G103" i="2"/>
  <c r="H103" i="2" s="1"/>
  <c r="G92" i="2"/>
  <c r="H92" i="2" s="1"/>
  <c r="G82" i="2"/>
  <c r="H82" i="2" s="1"/>
  <c r="G71" i="2"/>
  <c r="H71" i="2" s="1"/>
  <c r="G60" i="2"/>
  <c r="H60" i="2" s="1"/>
  <c r="G50" i="2"/>
  <c r="H50" i="2" s="1"/>
  <c r="G39" i="2"/>
  <c r="H39" i="2" s="1"/>
  <c r="G28" i="2"/>
  <c r="H28" i="2" s="1"/>
  <c r="G18" i="2"/>
  <c r="H18" i="2" s="1"/>
  <c r="G7" i="2"/>
  <c r="H7" i="2" s="1"/>
  <c r="G332" i="2"/>
  <c r="H332" i="2" s="1"/>
  <c r="G323" i="2"/>
  <c r="H323" i="2" s="1"/>
  <c r="G314" i="2"/>
  <c r="H314" i="2" s="1"/>
  <c r="G305" i="2"/>
  <c r="H305" i="2" s="1"/>
  <c r="G295" i="2"/>
  <c r="H295" i="2" s="1"/>
  <c r="G286" i="2"/>
  <c r="H286" i="2" s="1"/>
  <c r="G277" i="2"/>
  <c r="H277" i="2" s="1"/>
  <c r="G268" i="2"/>
  <c r="H268" i="2" s="1"/>
  <c r="G259" i="2"/>
  <c r="H259" i="2" s="1"/>
  <c r="G250" i="2"/>
  <c r="H250" i="2" s="1"/>
  <c r="G241" i="2"/>
  <c r="H241" i="2" s="1"/>
  <c r="G229" i="2"/>
  <c r="H229" i="2" s="1"/>
  <c r="G219" i="2"/>
  <c r="H219" i="2" s="1"/>
  <c r="G209" i="2"/>
  <c r="H209" i="2" s="1"/>
  <c r="G197" i="2"/>
  <c r="H197" i="2" s="1"/>
  <c r="G187" i="2"/>
  <c r="H187" i="2" s="1"/>
  <c r="G177" i="2"/>
  <c r="H177" i="2" s="1"/>
  <c r="G165" i="2"/>
  <c r="H165" i="2" s="1"/>
  <c r="G155" i="2"/>
  <c r="H155" i="2" s="1"/>
  <c r="G145" i="2"/>
  <c r="H145" i="2" s="1"/>
  <c r="G133" i="2"/>
  <c r="H133" i="2" s="1"/>
  <c r="G123" i="2"/>
  <c r="H123" i="2" s="1"/>
  <c r="G113" i="2"/>
  <c r="H113" i="2" s="1"/>
  <c r="G101" i="2"/>
  <c r="H101" i="2" s="1"/>
  <c r="G91" i="2"/>
  <c r="H91" i="2" s="1"/>
  <c r="G81" i="2"/>
  <c r="H81" i="2" s="1"/>
  <c r="G69" i="2"/>
  <c r="H69" i="2" s="1"/>
  <c r="G59" i="2"/>
  <c r="H59" i="2" s="1"/>
  <c r="G49" i="2"/>
  <c r="H49" i="2" s="1"/>
  <c r="G37" i="2"/>
  <c r="H37" i="2" s="1"/>
  <c r="G27" i="2"/>
  <c r="H27" i="2" s="1"/>
  <c r="G17" i="2"/>
  <c r="H17" i="2" s="1"/>
  <c r="G5" i="2"/>
  <c r="H5" i="2" s="1"/>
  <c r="G331" i="2"/>
  <c r="H331" i="2" s="1"/>
  <c r="G322" i="2"/>
  <c r="H322" i="2" s="1"/>
  <c r="G313" i="2"/>
  <c r="H313" i="2" s="1"/>
  <c r="G303" i="2"/>
  <c r="H303" i="2" s="1"/>
  <c r="G294" i="2"/>
  <c r="H294" i="2" s="1"/>
  <c r="G285" i="2"/>
  <c r="H285" i="2" s="1"/>
  <c r="G276" i="2"/>
  <c r="H276" i="2" s="1"/>
  <c r="G267" i="2"/>
  <c r="H267" i="2" s="1"/>
  <c r="G258" i="2"/>
  <c r="H258" i="2" s="1"/>
  <c r="G249" i="2"/>
  <c r="H249" i="2" s="1"/>
  <c r="G239" i="2"/>
  <c r="H239" i="2" s="1"/>
  <c r="G228" i="2"/>
  <c r="H228" i="2" s="1"/>
  <c r="G218" i="2"/>
  <c r="H218" i="2" s="1"/>
  <c r="G207" i="2"/>
  <c r="H207" i="2" s="1"/>
  <c r="G196" i="2"/>
  <c r="H196" i="2" s="1"/>
  <c r="G186" i="2"/>
  <c r="H186" i="2" s="1"/>
  <c r="G175" i="2"/>
  <c r="H175" i="2" s="1"/>
  <c r="G164" i="2"/>
  <c r="H164" i="2" s="1"/>
  <c r="G154" i="2"/>
  <c r="H154" i="2" s="1"/>
  <c r="G143" i="2"/>
  <c r="H143" i="2" s="1"/>
  <c r="G132" i="2"/>
  <c r="H132" i="2" s="1"/>
  <c r="G122" i="2"/>
  <c r="H122" i="2" s="1"/>
  <c r="G111" i="2"/>
  <c r="H111" i="2" s="1"/>
  <c r="G100" i="2"/>
  <c r="H100" i="2" s="1"/>
  <c r="G90" i="2"/>
  <c r="H90" i="2" s="1"/>
  <c r="G79" i="2"/>
  <c r="H79" i="2" s="1"/>
  <c r="G68" i="2"/>
  <c r="H68" i="2" s="1"/>
  <c r="G58" i="2"/>
  <c r="H58" i="2" s="1"/>
  <c r="G47" i="2"/>
  <c r="H47" i="2" s="1"/>
  <c r="G36" i="2"/>
  <c r="H36" i="2" s="1"/>
  <c r="G26" i="2"/>
  <c r="H26" i="2" s="1"/>
  <c r="G15" i="2"/>
  <c r="H15" i="2" s="1"/>
  <c r="G4" i="2"/>
  <c r="H4" i="2" s="1"/>
  <c r="G2" i="2"/>
  <c r="H2" i="2" s="1"/>
  <c r="G330" i="2"/>
  <c r="H330" i="2" s="1"/>
  <c r="G321" i="2"/>
  <c r="H321" i="2" s="1"/>
  <c r="G311" i="2"/>
  <c r="H311" i="2" s="1"/>
  <c r="G302" i="2"/>
  <c r="H302" i="2" s="1"/>
  <c r="G293" i="2"/>
  <c r="H293" i="2" s="1"/>
  <c r="G284" i="2"/>
  <c r="H284" i="2" s="1"/>
  <c r="G275" i="2"/>
  <c r="H275" i="2" s="1"/>
  <c r="G266" i="2"/>
  <c r="H266" i="2" s="1"/>
  <c r="G257" i="2"/>
  <c r="H257" i="2" s="1"/>
  <c r="G247" i="2"/>
  <c r="H247" i="2" s="1"/>
  <c r="G237" i="2"/>
  <c r="H237" i="2" s="1"/>
  <c r="G227" i="2"/>
  <c r="H227" i="2" s="1"/>
  <c r="G217" i="2"/>
  <c r="H217" i="2" s="1"/>
  <c r="G205" i="2"/>
  <c r="H205" i="2" s="1"/>
  <c r="G195" i="2"/>
  <c r="H195" i="2" s="1"/>
  <c r="G185" i="2"/>
  <c r="H185" i="2" s="1"/>
  <c r="G173" i="2"/>
  <c r="H173" i="2" s="1"/>
  <c r="G163" i="2"/>
  <c r="H163" i="2" s="1"/>
  <c r="G153" i="2"/>
  <c r="H153" i="2" s="1"/>
  <c r="G141" i="2"/>
  <c r="H141" i="2" s="1"/>
  <c r="G131" i="2"/>
  <c r="H131" i="2" s="1"/>
  <c r="G121" i="2"/>
  <c r="H121" i="2" s="1"/>
  <c r="G109" i="2"/>
  <c r="H109" i="2" s="1"/>
  <c r="G99" i="2"/>
  <c r="H99" i="2" s="1"/>
  <c r="G89" i="2"/>
  <c r="H89" i="2" s="1"/>
  <c r="G77" i="2"/>
  <c r="H77" i="2" s="1"/>
  <c r="G67" i="2"/>
  <c r="H67" i="2" s="1"/>
  <c r="G57" i="2"/>
  <c r="H57" i="2" s="1"/>
  <c r="G45" i="2"/>
  <c r="H45" i="2" s="1"/>
  <c r="G35" i="2"/>
  <c r="H35" i="2" s="1"/>
  <c r="G25" i="2"/>
  <c r="H25" i="2" s="1"/>
  <c r="G13" i="2"/>
  <c r="H13" i="2" s="1"/>
  <c r="G3" i="2"/>
  <c r="H3" i="2" s="1"/>
  <c r="G338" i="2"/>
  <c r="H338" i="2" s="1"/>
  <c r="G329" i="2"/>
  <c r="H329" i="2" s="1"/>
  <c r="G319" i="2"/>
  <c r="H319" i="2" s="1"/>
  <c r="G310" i="2"/>
  <c r="H310" i="2" s="1"/>
  <c r="G301" i="2"/>
  <c r="H301" i="2" s="1"/>
  <c r="G292" i="2"/>
  <c r="H292" i="2" s="1"/>
  <c r="G283" i="2"/>
  <c r="H283" i="2" s="1"/>
  <c r="G274" i="2"/>
  <c r="H274" i="2" s="1"/>
  <c r="G265" i="2"/>
  <c r="H265" i="2" s="1"/>
  <c r="G255" i="2"/>
  <c r="H255" i="2" s="1"/>
  <c r="G246" i="2"/>
  <c r="H246" i="2" s="1"/>
  <c r="G236" i="2"/>
  <c r="H236" i="2" s="1"/>
  <c r="G226" i="2"/>
  <c r="H226" i="2" s="1"/>
  <c r="G215" i="2"/>
  <c r="H215" i="2" s="1"/>
  <c r="G204" i="2"/>
  <c r="H204" i="2" s="1"/>
  <c r="G194" i="2"/>
  <c r="H194" i="2" s="1"/>
  <c r="G183" i="2"/>
  <c r="H183" i="2" s="1"/>
  <c r="G172" i="2"/>
  <c r="H172" i="2" s="1"/>
  <c r="G162" i="2"/>
  <c r="H162" i="2" s="1"/>
  <c r="G151" i="2"/>
  <c r="H151" i="2" s="1"/>
  <c r="G140" i="2"/>
  <c r="H140" i="2" s="1"/>
  <c r="G130" i="2"/>
  <c r="H130" i="2" s="1"/>
  <c r="G119" i="2"/>
  <c r="H119" i="2" s="1"/>
  <c r="G108" i="2"/>
  <c r="H108" i="2" s="1"/>
  <c r="G98" i="2"/>
  <c r="H98" i="2" s="1"/>
  <c r="G87" i="2"/>
  <c r="H87" i="2" s="1"/>
  <c r="G76" i="2"/>
  <c r="H76" i="2" s="1"/>
  <c r="G66" i="2"/>
  <c r="H66" i="2" s="1"/>
  <c r="G55" i="2"/>
  <c r="H55" i="2" s="1"/>
  <c r="G44" i="2"/>
  <c r="H44" i="2" s="1"/>
  <c r="G34" i="2"/>
  <c r="H34" i="2" s="1"/>
  <c r="G23" i="2"/>
  <c r="H23" i="2" s="1"/>
  <c r="G12" i="2"/>
  <c r="H12" i="2" s="1"/>
  <c r="G337" i="2"/>
  <c r="H337" i="2" s="1"/>
  <c r="G327" i="2"/>
  <c r="H327" i="2" s="1"/>
  <c r="G318" i="2"/>
  <c r="H318" i="2" s="1"/>
  <c r="G309" i="2"/>
  <c r="H309" i="2" s="1"/>
  <c r="G300" i="2"/>
  <c r="H300" i="2" s="1"/>
  <c r="G291" i="2"/>
  <c r="H291" i="2" s="1"/>
  <c r="G282" i="2"/>
  <c r="H282" i="2" s="1"/>
  <c r="G273" i="2"/>
  <c r="H273" i="2" s="1"/>
  <c r="G263" i="2"/>
  <c r="H263" i="2" s="1"/>
  <c r="G254" i="2"/>
  <c r="H254" i="2" s="1"/>
  <c r="G245" i="2"/>
  <c r="H245" i="2" s="1"/>
  <c r="G235" i="2"/>
  <c r="H235" i="2" s="1"/>
  <c r="G225" i="2"/>
  <c r="H225" i="2" s="1"/>
  <c r="G213" i="2"/>
  <c r="H213" i="2" s="1"/>
  <c r="G203" i="2"/>
  <c r="H203" i="2" s="1"/>
  <c r="G193" i="2"/>
  <c r="H193" i="2" s="1"/>
  <c r="G181" i="2"/>
  <c r="H181" i="2" s="1"/>
  <c r="G171" i="2"/>
  <c r="H171" i="2" s="1"/>
  <c r="G161" i="2"/>
  <c r="H161" i="2" s="1"/>
  <c r="G149" i="2"/>
  <c r="H149" i="2" s="1"/>
  <c r="G139" i="2"/>
  <c r="H139" i="2" s="1"/>
  <c r="G129" i="2"/>
  <c r="H129" i="2" s="1"/>
  <c r="G117" i="2"/>
  <c r="H117" i="2" s="1"/>
  <c r="G107" i="2"/>
  <c r="H107" i="2" s="1"/>
  <c r="G97" i="2"/>
  <c r="H97" i="2" s="1"/>
  <c r="G85" i="2"/>
  <c r="H85" i="2" s="1"/>
  <c r="G75" i="2"/>
  <c r="H75" i="2" s="1"/>
  <c r="G65" i="2"/>
  <c r="H65" i="2" s="1"/>
  <c r="G53" i="2"/>
  <c r="H53" i="2" s="1"/>
  <c r="G43" i="2"/>
  <c r="H43" i="2" s="1"/>
  <c r="G33" i="2"/>
  <c r="H33" i="2" s="1"/>
  <c r="G21" i="2"/>
  <c r="H21" i="2" s="1"/>
  <c r="G11" i="2"/>
  <c r="H11" i="2" s="1"/>
  <c r="F340" i="9"/>
  <c r="F346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<sst xmlns="http://schemas.openxmlformats.org/spreadsheetml/2006/main" count="18255" uniqueCount="377">
  <si>
    <t>LEAID</t>
  </si>
  <si>
    <t>Year</t>
  </si>
  <si>
    <t>state_abv</t>
  </si>
  <si>
    <t>plan</t>
  </si>
  <si>
    <t>district_name</t>
  </si>
  <si>
    <t>district_code</t>
  </si>
  <si>
    <t>Kansas</t>
  </si>
  <si>
    <t>KS</t>
  </si>
  <si>
    <t>Kansas Public Employees Retirement System</t>
  </si>
  <si>
    <t>4930 North Central Kansas Technical College</t>
  </si>
  <si>
    <t>4931 North West Kansas Technical College</t>
  </si>
  <si>
    <t>5045 Allen County Community College</t>
  </si>
  <si>
    <t>5046 Coffeyville Community College</t>
  </si>
  <si>
    <t>5047 Garden City Community College</t>
  </si>
  <si>
    <t>5048 Hutchinson Community College</t>
  </si>
  <si>
    <t>5049 Kansas City Kansas Community College</t>
  </si>
  <si>
    <t>5050 Neosho County Community College</t>
  </si>
  <si>
    <t>5107 Cowley County Community College</t>
  </si>
  <si>
    <t>5108 Barton County Community College</t>
  </si>
  <si>
    <t>5109 Butler County Community College</t>
  </si>
  <si>
    <t>5110 Colby Community College</t>
  </si>
  <si>
    <t>5111 Independence Community College</t>
  </si>
  <si>
    <t>5112 Labette Community College</t>
  </si>
  <si>
    <t>5113 Pratt Community College</t>
  </si>
  <si>
    <t>5177 Cloud County Community College</t>
  </si>
  <si>
    <t>5178 Dodge City Community College</t>
  </si>
  <si>
    <t>5179 Fort Scott Community College</t>
  </si>
  <si>
    <t>5180 Highland Community College</t>
  </si>
  <si>
    <t>5404 Seward County Community College</t>
  </si>
  <si>
    <t>5406 Johnson County Community College</t>
  </si>
  <si>
    <t>5596 NW Kansas Education Service Center</t>
  </si>
  <si>
    <t>5600 SC Kansas Special Education Coop</t>
  </si>
  <si>
    <t>5604 ANW Special Education Coop</t>
  </si>
  <si>
    <t>5608 Tri County Special Education Coop</t>
  </si>
  <si>
    <t>5609 Keystone Learning Services</t>
  </si>
  <si>
    <t>5612 SE Kansas Education Service Center</t>
  </si>
  <si>
    <t>5624 Reno County Education Coop</t>
  </si>
  <si>
    <t>5626 High Plains Educational Coop</t>
  </si>
  <si>
    <t>5634 SW Kansas Coop District 613</t>
  </si>
  <si>
    <t>5638 East Central Kansas Coop in Education</t>
  </si>
  <si>
    <t>5655 Brown Co Kansas Special Educ Coop</t>
  </si>
  <si>
    <t>5657 Doniphan County Education Coop</t>
  </si>
  <si>
    <t>5671 Marion County Special Education Coop</t>
  </si>
  <si>
    <t>5682 Sedgwick Co Area Educ Serv Coop 618</t>
  </si>
  <si>
    <t>5688 Sumner County Education Services</t>
  </si>
  <si>
    <t>9034 Three Lakes Educational Cooperative</t>
  </si>
  <si>
    <t>9042 Educ Serv&amp;Staff Dev Ctr of Cen Kansas</t>
  </si>
  <si>
    <t>9047 SW Plains Regional Service Center</t>
  </si>
  <si>
    <t>9053 SW Kansas Educational Consortium</t>
  </si>
  <si>
    <t>9055 South Central Kansas Education Service</t>
  </si>
  <si>
    <t>9056 Smoky Hill Education Service Center</t>
  </si>
  <si>
    <t>9273 Nc Kansas Sp Ed Coop Interlocal 636</t>
  </si>
  <si>
    <t>9274 Southeast Kansas Interlocal 637</t>
  </si>
  <si>
    <t>9303 Wsu Campus of Applied Sciences and Technology</t>
  </si>
  <si>
    <t>9304 Manhattan Area Technical College</t>
  </si>
  <si>
    <t>9305 Flint Hills Technical College</t>
  </si>
  <si>
    <t>9395 Salina Area Technical College</t>
  </si>
  <si>
    <t>9487 Western Kansas Com College Virtual Ed Consortium</t>
  </si>
  <si>
    <t>9507 Butler Co Special Education Interlocal # 638</t>
  </si>
  <si>
    <t>4828 USD 202 Turner</t>
  </si>
  <si>
    <t>4829 USD 203 Piper</t>
  </si>
  <si>
    <t>4871 USD 205 Bluestem</t>
  </si>
  <si>
    <t>4882 USD 204 Bonner Springs</t>
  </si>
  <si>
    <t>4912 USD 206 Remington-Whitewater</t>
  </si>
  <si>
    <t>4977 USD 209 Moscow</t>
  </si>
  <si>
    <t>4978 USD 233 Olathe</t>
  </si>
  <si>
    <t>4979 USD 242 Weskan</t>
  </si>
  <si>
    <t>4980 USD 250 Pittsburg</t>
  </si>
  <si>
    <t>4981 USD 253 Emporia</t>
  </si>
  <si>
    <t>4982 USD 259 Wichita</t>
  </si>
  <si>
    <t>4983 USD 260 Derby</t>
  </si>
  <si>
    <t>4984 USD 262 Valley Center</t>
  </si>
  <si>
    <t>4985 USD 265 Goddard</t>
  </si>
  <si>
    <t>4986 USD 266 Maize</t>
  </si>
  <si>
    <t>4987 USD 268 Cheney</t>
  </si>
  <si>
    <t>4988 USD 290 Ottawa</t>
  </si>
  <si>
    <t>4990 USD 314 Brewster</t>
  </si>
  <si>
    <t>4991 USD 348 Baldwin City</t>
  </si>
  <si>
    <t>4992 USD 349 Stafford</t>
  </si>
  <si>
    <t>4993 USD 352 Goodland</t>
  </si>
  <si>
    <t>4994 USD 359 Argonia Public Schools</t>
  </si>
  <si>
    <t>4995 USD 363 Holcomb</t>
  </si>
  <si>
    <t>4996 USD 371 Montezuma</t>
  </si>
  <si>
    <t>4997 USD 373 Newton</t>
  </si>
  <si>
    <t>4998 USD 376 Sterling</t>
  </si>
  <si>
    <t>4999 USD 383 Manhattan-Ogden</t>
  </si>
  <si>
    <t>5000 USD 385 Andover</t>
  </si>
  <si>
    <t>5001 USD 386 Madison-Virgil</t>
  </si>
  <si>
    <t>5002 USD 390 Hamilton</t>
  </si>
  <si>
    <t>5004 USD 394 Rose Hill</t>
  </si>
  <si>
    <t>5005 USD 396 Douglass Public Schools</t>
  </si>
  <si>
    <t>5006 USD 398 Peabody-Burns</t>
  </si>
  <si>
    <t>5008 USD 404 Riverton</t>
  </si>
  <si>
    <t>5010 USD 409 Atchison Public Schools</t>
  </si>
  <si>
    <t>5011 USD 420 Osage City</t>
  </si>
  <si>
    <t>5012 USD 421 Lyndon</t>
  </si>
  <si>
    <t>5013 USD 443 Dodge City</t>
  </si>
  <si>
    <t>5014 USD 446 Independence</t>
  </si>
  <si>
    <t>5015 USD 448 Inman</t>
  </si>
  <si>
    <t>5016 USD 449 Easton</t>
  </si>
  <si>
    <t>5017 USD 453 Leavenworth</t>
  </si>
  <si>
    <t>5018 USD 456 Marais Des Cygnes Valley</t>
  </si>
  <si>
    <t>5019 USD 470 Arkansas City</t>
  </si>
  <si>
    <t>5020 USD 475 Geary Co</t>
  </si>
  <si>
    <t>5021 USD 477 Ingalls</t>
  </si>
  <si>
    <t>5022 USD 480 Liberal</t>
  </si>
  <si>
    <t>5024 USD 215 Lakin</t>
  </si>
  <si>
    <t>5025 USD 234 Fort Scott</t>
  </si>
  <si>
    <t>5026 USD 251 North Lyon</t>
  </si>
  <si>
    <t>5027 USD 261 Haysville</t>
  </si>
  <si>
    <t>5028 USD 267 Renwick</t>
  </si>
  <si>
    <t>5029 USD 288 Central Heights</t>
  </si>
  <si>
    <t>5031 USD 305 Salina</t>
  </si>
  <si>
    <t>5032 USD 361 Chaparral Schools</t>
  </si>
  <si>
    <t>5033 USD 378 Riley Co</t>
  </si>
  <si>
    <t>5034 USD 403 Otis-Bison</t>
  </si>
  <si>
    <t>5035 USD 413 Chanute</t>
  </si>
  <si>
    <t>5036 USD 415 Hiawatha</t>
  </si>
  <si>
    <t>5037 USD 418 McPherson</t>
  </si>
  <si>
    <t>5038 USD 422 Kiowa County</t>
  </si>
  <si>
    <t>5039 USD 439 Sedgwick Public Schools</t>
  </si>
  <si>
    <t>5040 USD 445 Coffeyville</t>
  </si>
  <si>
    <t>5041 USD 457 Garden City</t>
  </si>
  <si>
    <t>5042 USD 458 Basehor-Linwood</t>
  </si>
  <si>
    <t>5043 USD 465 Winfield</t>
  </si>
  <si>
    <t>5056 USD 223 Barnes</t>
  </si>
  <si>
    <t>5057 USD 258 Humboldt</t>
  </si>
  <si>
    <t>5058 USD 273 Beloit</t>
  </si>
  <si>
    <t>5059 USD 284 Chase County</t>
  </si>
  <si>
    <t>5060 USD 285 Cedar Vale</t>
  </si>
  <si>
    <t>5061 USD 286 Chautauqua County</t>
  </si>
  <si>
    <t>5062 USD 287 West Franklin</t>
  </si>
  <si>
    <t>5063 USD 327 Ellsworth</t>
  </si>
  <si>
    <t>5064 USD 338 Valley Falls</t>
  </si>
  <si>
    <t>5065 USD 342 McLouth</t>
  </si>
  <si>
    <t>5066 USD 380 Vermillion</t>
  </si>
  <si>
    <t>5067 USD 389 Eureka</t>
  </si>
  <si>
    <t>5068 USD 417 Council Grove</t>
  </si>
  <si>
    <t>5069 USD 440 Halstead</t>
  </si>
  <si>
    <t>5070 USD 464 Tonganoxie</t>
  </si>
  <si>
    <t>5072 USD 482 Dighton</t>
  </si>
  <si>
    <t>5073 USD 487 Herington</t>
  </si>
  <si>
    <t>5076 USD 217 Rolla</t>
  </si>
  <si>
    <t>5007 USD 399 Paradise</t>
  </si>
  <si>
    <t>5078 USD 226 Meade</t>
  </si>
  <si>
    <t>5079 USD 235 Uniontown</t>
  </si>
  <si>
    <t>5080 USD 252 Southern Lyon County</t>
  </si>
  <si>
    <t>5081 USD 254 Barber County North</t>
  </si>
  <si>
    <t>5082 USD 269 Palco</t>
  </si>
  <si>
    <t>5083 USD 270 Plainville</t>
  </si>
  <si>
    <t>5087 USD 281 Graham County</t>
  </si>
  <si>
    <t>5088 USD 289 Wellsville</t>
  </si>
  <si>
    <t>5089 USD 298 Lincoln</t>
  </si>
  <si>
    <t>5090 USD 303 Ness City</t>
  </si>
  <si>
    <t>5092 USD 321 Kaw Valley</t>
  </si>
  <si>
    <t>5093 USD 322 Onaga-Havensville-Wheaton</t>
  </si>
  <si>
    <t>5095 USD 329 Mill Creek Valley</t>
  </si>
  <si>
    <t>5096 USD 346 Jayhawk</t>
  </si>
  <si>
    <t>5098 USD 360 Caldwell</t>
  </si>
  <si>
    <t>5099 USD 365 Garnett</t>
  </si>
  <si>
    <t>5100 USD 367 Osawatomie</t>
  </si>
  <si>
    <t>5101 USD 372 Silver Lake</t>
  </si>
  <si>
    <t>5102 USD 379 Clay Center</t>
  </si>
  <si>
    <t>5103 USD 382 Pratt</t>
  </si>
  <si>
    <t>5104 USD 419 Canton-Galva</t>
  </si>
  <si>
    <t>5105 USD 459 Bucklin</t>
  </si>
  <si>
    <t>5106 USD 483 Kismet-Plains</t>
  </si>
  <si>
    <t>5116 USD 210 Hugoton</t>
  </si>
  <si>
    <t>5117 USD 212 Northern Valley</t>
  </si>
  <si>
    <t>5118 USD 214 Ulysses</t>
  </si>
  <si>
    <t>5119 USD 219 Minneola</t>
  </si>
  <si>
    <t>5120 USD 231 Gardner Edgerton</t>
  </si>
  <si>
    <t>5122 USD 255 South Barber County</t>
  </si>
  <si>
    <t>5123 USD 256 Marmaton Valley</t>
  </si>
  <si>
    <t>5125 USD 320 Wamego</t>
  </si>
  <si>
    <t>5127 USD 332 Cunningham</t>
  </si>
  <si>
    <t>5128 USD 335 North Jackson</t>
  </si>
  <si>
    <t>5129 USD 337 Royal Valley</t>
  </si>
  <si>
    <t>5130 USD 343 Perry</t>
  </si>
  <si>
    <t>5131 USD 364 Marysville</t>
  </si>
  <si>
    <t>5132 USD 368 Paola</t>
  </si>
  <si>
    <t>5133 USD 381 Spearville-Windhorst</t>
  </si>
  <si>
    <t>5134 USD 393 Solomon</t>
  </si>
  <si>
    <t>5135 USD 402 Augusta</t>
  </si>
  <si>
    <t>5137 USD 432 Victoria</t>
  </si>
  <si>
    <t>5138 USD 454 Burlingame Public Schools</t>
  </si>
  <si>
    <t>5140 USD 463 Udall</t>
  </si>
  <si>
    <t>5141 USD 467 Wichita County Schools</t>
  </si>
  <si>
    <t>5142 USD 474 Haviland</t>
  </si>
  <si>
    <t>5143 USD 211 Norton</t>
  </si>
  <si>
    <t>5144 USD 216 Deerfield</t>
  </si>
  <si>
    <t>5145 USD 227 Jetmore</t>
  </si>
  <si>
    <t>5147 USD 232 De Soto</t>
  </si>
  <si>
    <t>5148 USD 239 North Ottawa County</t>
  </si>
  <si>
    <t>5149 USD 244 Burlington</t>
  </si>
  <si>
    <t>5077 USD 218 Elkhart</t>
  </si>
  <si>
    <t>5151 USD 274 Oakley</t>
  </si>
  <si>
    <t>5152 USD 282 West Elk</t>
  </si>
  <si>
    <t>5153 USD 283 Elk Valley</t>
  </si>
  <si>
    <t>5154 USD 299 Sylvan Grove</t>
  </si>
  <si>
    <t>5155 USD 311 Pretty Prairie</t>
  </si>
  <si>
    <t>5156 USD 315 Colby</t>
  </si>
  <si>
    <t>5157 USD 326 Logan</t>
  </si>
  <si>
    <t>5158 USD 331 Kingman-Norwich</t>
  </si>
  <si>
    <t>5159 USD 333 Concordia</t>
  </si>
  <si>
    <t>5160 USD 347 Kinsley-Offerle</t>
  </si>
  <si>
    <t>5161 USD 356 Conway Springs</t>
  </si>
  <si>
    <t>5162 USD 377 Atchison Co Community</t>
  </si>
  <si>
    <t>5163 USD 395 LaCrosse</t>
  </si>
  <si>
    <t>5164 USD 412 Hoxie Community Schools</t>
  </si>
  <si>
    <t>5166 USD 429 Troy</t>
  </si>
  <si>
    <t>5167 USD 430 South Brown County</t>
  </si>
  <si>
    <t>5168 USD 431 Hoisington</t>
  </si>
  <si>
    <t>5171 USD 444 Little River</t>
  </si>
  <si>
    <t>5172 USD 447 Cherryvale</t>
  </si>
  <si>
    <t>5173 USD 452 Stanton Co</t>
  </si>
  <si>
    <t>5174 USD 460 Hesston</t>
  </si>
  <si>
    <t>5175 USD 462 Central</t>
  </si>
  <si>
    <t>5176 USD 469 Lansing</t>
  </si>
  <si>
    <t>5185 USD 229 Blue Valley</t>
  </si>
  <si>
    <t>5186 USD 237 Smith Center</t>
  </si>
  <si>
    <t>5187 USD 240 Twin Valley</t>
  </si>
  <si>
    <t>5188 USD 271 Stockton</t>
  </si>
  <si>
    <t>5189 USD 291 Grinnell</t>
  </si>
  <si>
    <t>5190 USD 297 St Francis Schools</t>
  </si>
  <si>
    <t>5191 USD 309 Nickerson</t>
  </si>
  <si>
    <t>5192 USD 310 Fairfield</t>
  </si>
  <si>
    <t>5193 USD 313 Buhler</t>
  </si>
  <si>
    <t>5195 USD 323 Rock Creek</t>
  </si>
  <si>
    <t>5196 USD 341 Oskaloosa</t>
  </si>
  <si>
    <t>5197 USD 351 Macksville</t>
  </si>
  <si>
    <t>5198 USD 353 Wellington</t>
  </si>
  <si>
    <t>5199 USD 355 Ellinwood</t>
  </si>
  <si>
    <t>5200 USD 362 Prairie View</t>
  </si>
  <si>
    <t>5201 USD 369 Burrton</t>
  </si>
  <si>
    <t>5202 USD 392 Osborne County</t>
  </si>
  <si>
    <t>5203 USD 400 Smoky Valley</t>
  </si>
  <si>
    <t>5204 USD 405 Lyons</t>
  </si>
  <si>
    <t>5205 USD 408 Marion</t>
  </si>
  <si>
    <t>5206 USD 410 Durham Hillsboro Lehigh</t>
  </si>
  <si>
    <t>5207 USD 416 Louisburg</t>
  </si>
  <si>
    <t>5208 USD 423 Moundridge</t>
  </si>
  <si>
    <t>5210 USD 428 Great Bend</t>
  </si>
  <si>
    <t>5212 USD 434 Santa Fe Trail</t>
  </si>
  <si>
    <t>5213 USD 436 Caney Valley</t>
  </si>
  <si>
    <t>5214 USD 450 Shawnee Heights</t>
  </si>
  <si>
    <t>5215 USD 466 Scott Co</t>
  </si>
  <si>
    <t>5150 USD 257 Iola</t>
  </si>
  <si>
    <t>5217 USD 476 Copeland</t>
  </si>
  <si>
    <t>5218 USD 481 Rural Vista</t>
  </si>
  <si>
    <t>5219 USD 241 Wallace County Schools</t>
  </si>
  <si>
    <t>5220 USD 243 Lebo-Waverly</t>
  </si>
  <si>
    <t>5222 USD 307 Ell-Saline</t>
  </si>
  <si>
    <t>5223 USD 339 Jefferson County North</t>
  </si>
  <si>
    <t>5226 USD 272 Waconda</t>
  </si>
  <si>
    <t>5227 USD 275 Triplains</t>
  </si>
  <si>
    <t>5228 USD 292 Wheatland</t>
  </si>
  <si>
    <t>5229 USD 294 Oberlin</t>
  </si>
  <si>
    <t>5230 USD 312 Haven</t>
  </si>
  <si>
    <t>5231 USD 336 Holton</t>
  </si>
  <si>
    <t>5233 USD 437 Auburn-Washburn</t>
  </si>
  <si>
    <t>5235 USD 479 Crest</t>
  </si>
  <si>
    <t>5236 USD 330 Mission Valley</t>
  </si>
  <si>
    <t>5237 USD 334 Southern Cloud County</t>
  </si>
  <si>
    <t>5238 USD 387 Altoona-Midway</t>
  </si>
  <si>
    <t>5239 USD 401 Chase Raymond</t>
  </si>
  <si>
    <t>5240 USD 494 Syracuse</t>
  </si>
  <si>
    <t>5241 USD 300 Comanche County</t>
  </si>
  <si>
    <t>5250 USD 306 SE of Saline</t>
  </si>
  <si>
    <t>5251 USD 384 Blue Valley</t>
  </si>
  <si>
    <t>5267 USD 397 Centre</t>
  </si>
  <si>
    <t>5268 USD 220 Ashland</t>
  </si>
  <si>
    <t>5270 USD 224 Clifton-Clyde</t>
  </si>
  <si>
    <t>5271 USD 225 Fowler</t>
  </si>
  <si>
    <t>5272 USD 230 Spring Hill</t>
  </si>
  <si>
    <t>5274 USD 249 Frontenac</t>
  </si>
  <si>
    <t>5275 USD 263 Mulvane</t>
  </si>
  <si>
    <t>5276 USD 264 Clearwater</t>
  </si>
  <si>
    <t>5278 USD 293 Quinter</t>
  </si>
  <si>
    <t>5280 USD 308 Hutchinson</t>
  </si>
  <si>
    <t>5281 USD 316 Golden Plains</t>
  </si>
  <si>
    <t>5283 USD 325 Phillipsburg</t>
  </si>
  <si>
    <t>5284 USD 340 Jefferson West</t>
  </si>
  <si>
    <t>5285 USD 344 Pleasanton</t>
  </si>
  <si>
    <t>5286 USD 350 St John-Hudson</t>
  </si>
  <si>
    <t>5287 USD 357 Belle Plaine</t>
  </si>
  <si>
    <t>5288 USD 358 Oxford</t>
  </si>
  <si>
    <t>5289 USD 366 Woodson</t>
  </si>
  <si>
    <t>5291 USD 374 Sublette</t>
  </si>
  <si>
    <t>5292 USD 375 Circle</t>
  </si>
  <si>
    <t>5293 USD 388 Ellis</t>
  </si>
  <si>
    <t>5294 USD 407 Russell County</t>
  </si>
  <si>
    <t>5295 USD 411 Goessel</t>
  </si>
  <si>
    <t>5296 USD 435 Abilene</t>
  </si>
  <si>
    <t>5297 USD 461 Neodesha</t>
  </si>
  <si>
    <t>5298 USD 468 Healy</t>
  </si>
  <si>
    <t>5299 USD 471 Dexter</t>
  </si>
  <si>
    <t>5300 USD 484 Fredonia</t>
  </si>
  <si>
    <t>5302 USD 489 Hays</t>
  </si>
  <si>
    <t>5216 USD 473 Chapman</t>
  </si>
  <si>
    <t>5304 USD 491 Eudora</t>
  </si>
  <si>
    <t>5305 USD 492 Flinthills</t>
  </si>
  <si>
    <t>5306 USD 495 Fort Larned</t>
  </si>
  <si>
    <t>5307 USD 496 Pawnee Heights</t>
  </si>
  <si>
    <t>5308 USD 497 Lawrence</t>
  </si>
  <si>
    <t>5309 USD 499 Galena</t>
  </si>
  <si>
    <t>5310 USD 502 Lewis</t>
  </si>
  <si>
    <t>5312 USD 345 Seaman</t>
  </si>
  <si>
    <t>5313 USD 438 Skyline</t>
  </si>
  <si>
    <t>5314 USD 501 Topeka Public Schools</t>
  </si>
  <si>
    <t>5316 USD 208 Trego County</t>
  </si>
  <si>
    <t>5317 USD 246 Arma</t>
  </si>
  <si>
    <t>5318 USD 247 Cherokee</t>
  </si>
  <si>
    <t>5319 USD 248 Girard</t>
  </si>
  <si>
    <t>5320 USD 426 Pike Valley</t>
  </si>
  <si>
    <t>5321 USD 498 Valley Heights</t>
  </si>
  <si>
    <t>5322 USD 504 Oswego</t>
  </si>
  <si>
    <t>5324 USD 500 Kansas City</t>
  </si>
  <si>
    <t>5329 USD 245 Leroy-Gridley</t>
  </si>
  <si>
    <t>5330 USD 493 Columbus</t>
  </si>
  <si>
    <t>5331 USD 503 Parsons</t>
  </si>
  <si>
    <t>5332 USD 506 Labette County</t>
  </si>
  <si>
    <t>5333 USD 505 Chetopa</t>
  </si>
  <si>
    <t>5337 USD 207 Fort Leavenworth</t>
  </si>
  <si>
    <t>5366 USD 508 Baxter Springs</t>
  </si>
  <si>
    <t>5367 USD 507 Satanta</t>
  </si>
  <si>
    <t>5368 USD 101 Erie-St Paul</t>
  </si>
  <si>
    <t>5405 USD 511 Attica</t>
  </si>
  <si>
    <t>5409 USD 200 Greeley Co</t>
  </si>
  <si>
    <t>5410 USD 509 South Haven</t>
  </si>
  <si>
    <t>5430 USD 512 Shawnee Mission</t>
  </si>
  <si>
    <t>5436 USD 102 Cimarron-Ensign</t>
  </si>
  <si>
    <t>5590 USD 103 Cheylin</t>
  </si>
  <si>
    <t>5696 Kansas State H S Activities Assoc</t>
  </si>
  <si>
    <t>9291 USD 105 Rawlins County</t>
  </si>
  <si>
    <t>9302 USD 106 Western Plains</t>
  </si>
  <si>
    <t>9332 USD 107 Rock Hills</t>
  </si>
  <si>
    <t>9333 USD 108 Washington County</t>
  </si>
  <si>
    <t>9335 USD 109 Republic County</t>
  </si>
  <si>
    <t>9389 USD 110 Thunder Ridge</t>
  </si>
  <si>
    <t>9410 USD 111 Doniphan West</t>
  </si>
  <si>
    <t>9444 USD 114 Riverside</t>
  </si>
  <si>
    <t>9445 USD 112 Central Plains</t>
  </si>
  <si>
    <t>9446 USD 113 Prairie Hills</t>
  </si>
  <si>
    <t>9461 USD 115 Nemaha Central Schools</t>
  </si>
  <si>
    <t>5303 USD 490 El Dorado</t>
  </si>
  <si>
    <t>District Contributions</t>
  </si>
  <si>
    <t>State Contributions</t>
  </si>
  <si>
    <t>GASB 68 Figure</t>
  </si>
  <si>
    <t>Check</t>
  </si>
  <si>
    <t>district_contributions</t>
  </si>
  <si>
    <t>total_contributions</t>
  </si>
  <si>
    <t>4999 USD 383 Manhattan</t>
  </si>
  <si>
    <t>4930 North Central Kansas Technical College </t>
  </si>
  <si>
    <t>5657 Doniphan County Education Coop </t>
  </si>
  <si>
    <t>5013 USD 443 Dodge City </t>
  </si>
  <si>
    <t>5082 USD 269 Palco </t>
  </si>
  <si>
    <t>5155 USD 311 Pretty Prairie </t>
  </si>
  <si>
    <t>5222 USD 307 Ell-Saline </t>
  </si>
  <si>
    <t>5032 USD 361 Anthony-Harper</t>
  </si>
  <si>
    <t>5087 USD 281 Hill City</t>
  </si>
  <si>
    <t>5133 USD 381 Spearville-Windthors</t>
  </si>
  <si>
    <t>5241 USD 300 Commanche County</t>
  </si>
  <si>
    <t>9303 Wichita Area Technical College</t>
  </si>
  <si>
    <t>5404 Seward County Community College/Area Technical Sch</t>
  </si>
  <si>
    <t>5609 NE Kansas Education Service Center</t>
  </si>
  <si>
    <t>5120 USD 231 Gardner</t>
  </si>
  <si>
    <t>5404 Seward County Community College/Area Technical School</t>
  </si>
  <si>
    <t>state_contributions</t>
  </si>
  <si>
    <t>Additional State Contributions</t>
  </si>
  <si>
    <t>total_contributions (pre)</t>
  </si>
  <si>
    <t>20D0001</t>
  </si>
  <si>
    <t>State</t>
  </si>
  <si>
    <t>employer_code</t>
  </si>
  <si>
    <t>2015_state_contribution_prop</t>
  </si>
  <si>
    <t>additional_state_contribution</t>
  </si>
  <si>
    <t>LEAID_match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</si>
</sst>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76" formatCode="0.0000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231F20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sz val="12"/>
      <color rgb="FF211D1E"/>
      <name val="Aptos Narrow"/>
      <scheme val="minor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1" fontId="0" fillId="0" borderId="0" xfId="0" applyNumberFormat="1"/>
    <xf numFmtId="3" fontId="0" fillId="0" borderId="0" xfId="0" applyNumberFormat="1"/>
    <xf numFmtId="0" fontId="2" fillId="0" borderId="0" xfId="0" applyFont="1"/>
    <xf numFmtId="164" fontId="0" fillId="0" borderId="0" xfId="1" applyNumberFormat="1" applyFont="1"/>
    <xf numFmtId="0" fontId="4" fillId="0" borderId="0" xfId="0" applyFont="1"/>
    <xf numFmtId="44" fontId="0" fillId="0" borderId="0" xfId="0" applyNumberFormat="1"/>
    <xf numFmtId="165" fontId="0" fillId="0" borderId="0" xfId="0" applyNumberFormat="1"/>
    <xf numFmtId="165" fontId="4" fillId="0" borderId="0" xfId="0" applyNumberFormat="1" applyFont="1"/>
    <xf numFmtId="0" fontId="3" fillId="0" borderId="0" xfId="0" applyFont="1"/>
    <xf numFmtId="3" fontId="3" fillId="0" borderId="0" xfId="0" applyNumberFormat="1" applyFont="1"/>
    <xf numFmtId="10" fontId="3" fillId="0" borderId="0" xfId="0" applyNumberFormat="1" applyFont="1"/>
    <xf numFmtId="3" fontId="2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6" fontId="2" fillId="0" borderId="0" xfId="0" applyNumberFormat="1" applyFont="1"/>
    <xf numFmtId="0" fontId="4" fillId="0" borderId="0" xfId="0" applyFont="1" applyAlignment="1">
      <alignment horizontal="right"/>
    </xf>
    <xf numFmtId="2" fontId="0" fillId="0" borderId="0" xfId="0" applyNumberFormat="1"/>
    <xf numFmtId="2" fontId="0" fillId="0" borderId="0" xfId="1" applyNumberFormat="1" applyFont="1"/>
    <xf numFmtId="1" fontId="3" fillId="0" borderId="0" xfId="0" applyNumberFormat="1" applyFont="1"/>
    <xf numFmtId="1" fontId="0" fillId="0" borderId="0" xfId="1" applyNumberFormat="1" applyFont="1"/>
    <xf numFmtId="1" fontId="2" fillId="0" borderId="0" xfId="1" applyNumberFormat="1" applyFont="1"/>
    <xf numFmtId="0" fontId="0" fillId="0" borderId="0" xfId="0" applyAlignment="1">
      <alignment horizontal="right"/>
    </xf>
    <xf numFmtId="0" fontId="7" fillId="0" borderId="0" xfId="0" applyFont="1"/>
    <xf numFmtId="6" fontId="7" fillId="0" borderId="0" xfId="0" applyNumberFormat="1" applyFont="1"/>
    <xf numFmtId="10" fontId="0" fillId="0" borderId="0" xfId="0" applyNumberFormat="1"/>
    <xf numFmtId="10" fontId="7" fillId="0" borderId="0" xfId="0" applyNumberFormat="1" applyFont="1"/>
    <xf numFmtId="3" fontId="7" fillId="0" borderId="0" xfId="0" applyNumberFormat="1" applyFont="1"/>
    <xf numFmtId="0" fontId="0" fillId="0" borderId="0" xfId="0" applyNumberFormat="1"/>
    <xf numFmtId="164" fontId="2" fillId="0" borderId="0" xfId="0" applyNumberFormat="1" applyFont="1"/>
    <xf numFmtId="1" fontId="2" fillId="0" borderId="0" xfId="0" applyNumberFormat="1" applyFont="1"/>
    <xf numFmtId="0" fontId="5" fillId="0" borderId="0" xfId="0" applyFont="1" applyAlignment="1">
      <alignment horizontal="right"/>
    </xf>
    <xf numFmtId="6" fontId="5" fillId="0" borderId="0" xfId="0" applyNumberFormat="1" applyFont="1"/>
    <xf numFmtId="0" fontId="2" fillId="0" borderId="0" xfId="0" applyNumberFormat="1" applyFont="1"/>
    <xf numFmtId="176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850C3-CCCA-824E-91E9-CEA0C968A9D4}">
  <sheetPr>
    <tabColor rgb="FF002060"/>
  </sheetPr>
  <dimension ref="A1:K3029"/>
  <sheetViews>
    <sheetView tabSelected="1" workbookViewId="0">
      <selection activeCell="E7" sqref="E7"/>
    </sheetView>
  </sheetViews>
  <sheetFormatPr baseColWidth="10" defaultRowHeight="16" x14ac:dyDescent="0.2"/>
  <cols>
    <col min="2" max="2" width="11.83203125" bestFit="1" customWidth="1"/>
    <col min="3" max="3" width="6.83203125" bestFit="1" customWidth="1"/>
    <col min="4" max="4" width="9.1640625" bestFit="1" customWidth="1"/>
    <col min="5" max="5" width="37.6640625" bestFit="1" customWidth="1"/>
    <col min="6" max="6" width="12.33203125" bestFit="1" customWidth="1"/>
    <col min="7" max="7" width="48" bestFit="1" customWidth="1"/>
    <col min="8" max="8" width="18.83203125" bestFit="1" customWidth="1"/>
    <col min="9" max="10" width="16.83203125" bestFit="1" customWidth="1"/>
  </cols>
  <sheetData>
    <row r="1" spans="1:11" s="3" customFormat="1" x14ac:dyDescent="0.2">
      <c r="A1" s="3" t="s">
        <v>0</v>
      </c>
      <c r="B1" s="3" t="s">
        <v>1</v>
      </c>
      <c r="C1" s="3" t="s">
        <v>372</v>
      </c>
      <c r="D1" s="3" t="s">
        <v>2</v>
      </c>
      <c r="E1" s="3" t="s">
        <v>3</v>
      </c>
      <c r="F1" s="3" t="s">
        <v>5</v>
      </c>
      <c r="G1" s="3" t="s">
        <v>4</v>
      </c>
      <c r="H1" s="3" t="s">
        <v>350</v>
      </c>
      <c r="I1" s="3" t="s">
        <v>368</v>
      </c>
      <c r="J1" s="3" t="s">
        <v>351</v>
      </c>
      <c r="K1" s="3" t="s">
        <v>376</v>
      </c>
    </row>
    <row r="2" spans="1:11" x14ac:dyDescent="0.2">
      <c r="A2">
        <v>0</v>
      </c>
      <c r="B2">
        <v>2015</v>
      </c>
      <c r="C2" t="s">
        <v>6</v>
      </c>
      <c r="D2" t="s">
        <v>7</v>
      </c>
      <c r="E2" t="s">
        <v>8</v>
      </c>
      <c r="F2" s="3">
        <v>4930</v>
      </c>
      <c r="G2" s="3" t="s">
        <v>9</v>
      </c>
      <c r="H2" s="22">
        <v>2669</v>
      </c>
      <c r="I2" s="1">
        <v>369122</v>
      </c>
      <c r="J2" s="1">
        <v>371791</v>
      </c>
      <c r="K2">
        <f>VLOOKUP(F2,'LEAID Match'!$A$2:$C$2979,3,FALSE)</f>
        <v>0</v>
      </c>
    </row>
    <row r="3" spans="1:11" x14ac:dyDescent="0.2">
      <c r="A3">
        <v>0</v>
      </c>
      <c r="B3">
        <v>2015</v>
      </c>
      <c r="C3" t="s">
        <v>6</v>
      </c>
      <c r="D3" t="s">
        <v>7</v>
      </c>
      <c r="E3" t="s">
        <v>8</v>
      </c>
      <c r="F3" s="3">
        <v>4931</v>
      </c>
      <c r="G3" s="3" t="s">
        <v>10</v>
      </c>
      <c r="H3" s="1">
        <v>13981</v>
      </c>
      <c r="I3" s="21">
        <v>291569</v>
      </c>
      <c r="J3" s="21">
        <v>305550</v>
      </c>
      <c r="K3">
        <f>VLOOKUP(F3,'LEAID Match'!$A$2:$C$2979,3,FALSE)</f>
        <v>0</v>
      </c>
    </row>
    <row r="4" spans="1:11" x14ac:dyDescent="0.2">
      <c r="A4">
        <v>0</v>
      </c>
      <c r="B4">
        <v>2015</v>
      </c>
      <c r="C4" t="s">
        <v>6</v>
      </c>
      <c r="D4" t="s">
        <v>7</v>
      </c>
      <c r="E4" t="s">
        <v>8</v>
      </c>
      <c r="F4" s="3">
        <v>5045</v>
      </c>
      <c r="G4" s="3" t="s">
        <v>11</v>
      </c>
      <c r="H4" s="1">
        <v>0</v>
      </c>
      <c r="I4" s="1">
        <v>456590</v>
      </c>
      <c r="J4" s="1">
        <v>456590</v>
      </c>
      <c r="K4">
        <f>VLOOKUP(F4,'LEAID Match'!$A$2:$C$2979,3,FALSE)</f>
        <v>0</v>
      </c>
    </row>
    <row r="5" spans="1:11" x14ac:dyDescent="0.2">
      <c r="A5">
        <v>0</v>
      </c>
      <c r="B5">
        <v>2015</v>
      </c>
      <c r="C5" t="s">
        <v>6</v>
      </c>
      <c r="D5" t="s">
        <v>7</v>
      </c>
      <c r="E5" t="s">
        <v>8</v>
      </c>
      <c r="F5">
        <v>5046</v>
      </c>
      <c r="G5" t="s">
        <v>12</v>
      </c>
      <c r="H5" s="1">
        <v>0</v>
      </c>
      <c r="I5" s="1">
        <v>615846</v>
      </c>
      <c r="J5" s="1">
        <v>615846</v>
      </c>
      <c r="K5">
        <f>VLOOKUP(F5,'LEAID Match'!$A$2:$C$2979,3,FALSE)</f>
        <v>0</v>
      </c>
    </row>
    <row r="6" spans="1:11" x14ac:dyDescent="0.2">
      <c r="A6">
        <v>0</v>
      </c>
      <c r="B6">
        <v>2015</v>
      </c>
      <c r="C6" t="s">
        <v>6</v>
      </c>
      <c r="D6" t="s">
        <v>7</v>
      </c>
      <c r="E6" t="s">
        <v>8</v>
      </c>
      <c r="F6">
        <v>5047</v>
      </c>
      <c r="G6" t="s">
        <v>13</v>
      </c>
      <c r="H6" s="1">
        <v>9418</v>
      </c>
      <c r="I6" s="1">
        <v>989317</v>
      </c>
      <c r="J6" s="1">
        <v>998735</v>
      </c>
      <c r="K6">
        <f>VLOOKUP(F6,'LEAID Match'!$A$2:$C$2979,3,FALSE)</f>
        <v>0</v>
      </c>
    </row>
    <row r="7" spans="1:11" x14ac:dyDescent="0.2">
      <c r="A7">
        <v>0</v>
      </c>
      <c r="B7">
        <v>2015</v>
      </c>
      <c r="C7" t="s">
        <v>6</v>
      </c>
      <c r="D7" t="s">
        <v>7</v>
      </c>
      <c r="E7" t="s">
        <v>8</v>
      </c>
      <c r="F7">
        <v>5048</v>
      </c>
      <c r="G7" t="s">
        <v>14</v>
      </c>
      <c r="H7" s="1">
        <v>24530</v>
      </c>
      <c r="I7" s="1">
        <v>2010882</v>
      </c>
      <c r="J7" s="1">
        <v>2035412</v>
      </c>
      <c r="K7">
        <f>VLOOKUP(F7,'LEAID Match'!$A$2:$C$2979,3,FALSE)</f>
        <v>0</v>
      </c>
    </row>
    <row r="8" spans="1:11" x14ac:dyDescent="0.2">
      <c r="A8">
        <v>0</v>
      </c>
      <c r="B8">
        <v>2015</v>
      </c>
      <c r="C8" t="s">
        <v>6</v>
      </c>
      <c r="D8" t="s">
        <v>7</v>
      </c>
      <c r="E8" t="s">
        <v>8</v>
      </c>
      <c r="F8">
        <v>5049</v>
      </c>
      <c r="G8" t="s">
        <v>15</v>
      </c>
      <c r="H8" s="20">
        <v>116108</v>
      </c>
      <c r="I8" s="1">
        <v>2872447</v>
      </c>
      <c r="J8" s="1">
        <v>2988555</v>
      </c>
      <c r="K8">
        <f>VLOOKUP(F8,'LEAID Match'!$A$2:$C$2979,3,FALSE)</f>
        <v>0</v>
      </c>
    </row>
    <row r="9" spans="1:11" x14ac:dyDescent="0.2">
      <c r="A9">
        <v>0</v>
      </c>
      <c r="B9">
        <v>2015</v>
      </c>
      <c r="C9" t="s">
        <v>6</v>
      </c>
      <c r="D9" t="s">
        <v>7</v>
      </c>
      <c r="E9" t="s">
        <v>8</v>
      </c>
      <c r="F9">
        <v>5050</v>
      </c>
      <c r="G9" t="s">
        <v>16</v>
      </c>
      <c r="H9" s="1">
        <v>14712</v>
      </c>
      <c r="I9" s="1">
        <v>684665</v>
      </c>
      <c r="J9" s="1">
        <v>699377</v>
      </c>
      <c r="K9">
        <f>VLOOKUP(F9,'LEAID Match'!$A$2:$C$2979,3,FALSE)</f>
        <v>0</v>
      </c>
    </row>
    <row r="10" spans="1:11" x14ac:dyDescent="0.2">
      <c r="A10">
        <v>0</v>
      </c>
      <c r="B10">
        <v>2015</v>
      </c>
      <c r="C10" t="s">
        <v>6</v>
      </c>
      <c r="D10" t="s">
        <v>7</v>
      </c>
      <c r="E10" t="s">
        <v>8</v>
      </c>
      <c r="F10">
        <v>5107</v>
      </c>
      <c r="G10" s="9" t="s">
        <v>17</v>
      </c>
      <c r="H10" s="1">
        <v>4325</v>
      </c>
      <c r="I10" s="1">
        <v>1097070</v>
      </c>
      <c r="J10" s="1">
        <v>1101395</v>
      </c>
      <c r="K10">
        <f>VLOOKUP(F10,'LEAID Match'!$A$2:$C$2979,3,FALSE)</f>
        <v>0</v>
      </c>
    </row>
    <row r="11" spans="1:11" x14ac:dyDescent="0.2">
      <c r="A11">
        <v>0</v>
      </c>
      <c r="B11">
        <v>2015</v>
      </c>
      <c r="C11" t="s">
        <v>6</v>
      </c>
      <c r="D11" t="s">
        <v>7</v>
      </c>
      <c r="E11" t="s">
        <v>8</v>
      </c>
      <c r="F11" s="3">
        <v>5108</v>
      </c>
      <c r="G11" s="3" t="s">
        <v>18</v>
      </c>
      <c r="H11" s="22">
        <v>5903</v>
      </c>
      <c r="I11" s="1">
        <v>1432079</v>
      </c>
      <c r="J11" s="1">
        <v>1437982</v>
      </c>
      <c r="K11">
        <f>VLOOKUP(F11,'LEAID Match'!$A$2:$C$2979,3,FALSE)</f>
        <v>0</v>
      </c>
    </row>
    <row r="12" spans="1:11" x14ac:dyDescent="0.2">
      <c r="A12">
        <v>0</v>
      </c>
      <c r="B12">
        <v>2015</v>
      </c>
      <c r="C12" t="s">
        <v>6</v>
      </c>
      <c r="D12" t="s">
        <v>7</v>
      </c>
      <c r="E12" t="s">
        <v>8</v>
      </c>
      <c r="F12" s="3">
        <v>5109</v>
      </c>
      <c r="G12" s="3" t="s">
        <v>19</v>
      </c>
      <c r="H12" s="1">
        <v>40876</v>
      </c>
      <c r="I12" s="21">
        <v>2312304</v>
      </c>
      <c r="J12" s="21">
        <v>2353180</v>
      </c>
      <c r="K12">
        <f>VLOOKUP(F12,'LEAID Match'!$A$2:$C$2979,3,FALSE)</f>
        <v>0</v>
      </c>
    </row>
    <row r="13" spans="1:11" x14ac:dyDescent="0.2">
      <c r="A13">
        <v>0</v>
      </c>
      <c r="B13">
        <v>2015</v>
      </c>
      <c r="C13" t="s">
        <v>6</v>
      </c>
      <c r="D13" t="s">
        <v>7</v>
      </c>
      <c r="E13" t="s">
        <v>8</v>
      </c>
      <c r="F13" s="3">
        <v>5110</v>
      </c>
      <c r="G13" s="3" t="s">
        <v>20</v>
      </c>
      <c r="H13" s="1">
        <v>15587</v>
      </c>
      <c r="I13" s="1">
        <v>466886</v>
      </c>
      <c r="J13" s="1">
        <v>482473</v>
      </c>
      <c r="K13">
        <f>VLOOKUP(F13,'LEAID Match'!$A$2:$C$2979,3,FALSE)</f>
        <v>0</v>
      </c>
    </row>
    <row r="14" spans="1:11" x14ac:dyDescent="0.2">
      <c r="A14">
        <v>0</v>
      </c>
      <c r="B14">
        <v>2015</v>
      </c>
      <c r="C14" t="s">
        <v>6</v>
      </c>
      <c r="D14" t="s">
        <v>7</v>
      </c>
      <c r="E14" t="s">
        <v>8</v>
      </c>
      <c r="F14">
        <v>5111</v>
      </c>
      <c r="G14" t="s">
        <v>21</v>
      </c>
      <c r="H14" s="1">
        <v>19187</v>
      </c>
      <c r="I14" s="1">
        <v>480997</v>
      </c>
      <c r="J14" s="1">
        <v>500184</v>
      </c>
      <c r="K14">
        <f>VLOOKUP(F14,'LEAID Match'!$A$2:$C$2979,3,FALSE)</f>
        <v>0</v>
      </c>
    </row>
    <row r="15" spans="1:11" x14ac:dyDescent="0.2">
      <c r="A15">
        <v>0</v>
      </c>
      <c r="B15">
        <v>2015</v>
      </c>
      <c r="C15" t="s">
        <v>6</v>
      </c>
      <c r="D15" t="s">
        <v>7</v>
      </c>
      <c r="E15" t="s">
        <v>8</v>
      </c>
      <c r="F15">
        <v>5112</v>
      </c>
      <c r="G15" t="s">
        <v>22</v>
      </c>
      <c r="H15" s="1">
        <v>1936</v>
      </c>
      <c r="I15" s="1">
        <v>572515</v>
      </c>
      <c r="J15" s="1">
        <v>574451</v>
      </c>
      <c r="K15">
        <f>VLOOKUP(F15,'LEAID Match'!$A$2:$C$2979,3,FALSE)</f>
        <v>0</v>
      </c>
    </row>
    <row r="16" spans="1:11" x14ac:dyDescent="0.2">
      <c r="A16">
        <v>0</v>
      </c>
      <c r="B16">
        <v>2015</v>
      </c>
      <c r="C16" t="s">
        <v>6</v>
      </c>
      <c r="D16" t="s">
        <v>7</v>
      </c>
      <c r="E16" t="s">
        <v>8</v>
      </c>
      <c r="F16">
        <v>5113</v>
      </c>
      <c r="G16" t="s">
        <v>23</v>
      </c>
      <c r="H16" s="1">
        <v>10086</v>
      </c>
      <c r="I16" s="1">
        <v>519235</v>
      </c>
      <c r="J16" s="1">
        <v>529321</v>
      </c>
      <c r="K16">
        <f>VLOOKUP(F16,'LEAID Match'!$A$2:$C$2979,3,FALSE)</f>
        <v>0</v>
      </c>
    </row>
    <row r="17" spans="1:11" x14ac:dyDescent="0.2">
      <c r="A17">
        <v>0</v>
      </c>
      <c r="B17">
        <v>2015</v>
      </c>
      <c r="C17" t="s">
        <v>6</v>
      </c>
      <c r="D17" t="s">
        <v>7</v>
      </c>
      <c r="E17" t="s">
        <v>8</v>
      </c>
      <c r="F17">
        <v>5177</v>
      </c>
      <c r="G17" t="s">
        <v>24</v>
      </c>
      <c r="H17" s="20">
        <v>1371</v>
      </c>
      <c r="I17" s="1">
        <v>601060</v>
      </c>
      <c r="J17" s="1">
        <v>602431</v>
      </c>
      <c r="K17">
        <f>VLOOKUP(F17,'LEAID Match'!$A$2:$C$2979,3,FALSE)</f>
        <v>0</v>
      </c>
    </row>
    <row r="18" spans="1:11" x14ac:dyDescent="0.2">
      <c r="A18">
        <v>0</v>
      </c>
      <c r="B18">
        <v>2015</v>
      </c>
      <c r="C18" t="s">
        <v>6</v>
      </c>
      <c r="D18" t="s">
        <v>7</v>
      </c>
      <c r="E18" t="s">
        <v>8</v>
      </c>
      <c r="F18">
        <v>5178</v>
      </c>
      <c r="G18" t="s">
        <v>25</v>
      </c>
      <c r="H18" s="1">
        <v>8900</v>
      </c>
      <c r="I18" s="1">
        <v>981905</v>
      </c>
      <c r="J18" s="1">
        <v>990805</v>
      </c>
      <c r="K18">
        <f>VLOOKUP(F18,'LEAID Match'!$A$2:$C$2979,3,FALSE)</f>
        <v>0</v>
      </c>
    </row>
    <row r="19" spans="1:11" x14ac:dyDescent="0.2">
      <c r="A19">
        <v>0</v>
      </c>
      <c r="B19">
        <v>2015</v>
      </c>
      <c r="C19" t="s">
        <v>6</v>
      </c>
      <c r="D19" t="s">
        <v>7</v>
      </c>
      <c r="E19" t="s">
        <v>8</v>
      </c>
      <c r="F19">
        <v>5179</v>
      </c>
      <c r="G19" s="9" t="s">
        <v>26</v>
      </c>
      <c r="H19" s="1">
        <v>25527</v>
      </c>
      <c r="I19" s="1">
        <v>535771</v>
      </c>
      <c r="J19" s="1">
        <v>561298</v>
      </c>
      <c r="K19">
        <f>VLOOKUP(F19,'LEAID Match'!$A$2:$C$2979,3,FALSE)</f>
        <v>0</v>
      </c>
    </row>
    <row r="20" spans="1:11" x14ac:dyDescent="0.2">
      <c r="A20">
        <v>0</v>
      </c>
      <c r="B20">
        <v>2015</v>
      </c>
      <c r="C20" t="s">
        <v>6</v>
      </c>
      <c r="D20" t="s">
        <v>7</v>
      </c>
      <c r="E20" t="s">
        <v>8</v>
      </c>
      <c r="F20" s="3">
        <v>5180</v>
      </c>
      <c r="G20" s="3" t="s">
        <v>27</v>
      </c>
      <c r="H20" s="22">
        <v>7714</v>
      </c>
      <c r="I20" s="1">
        <v>729930</v>
      </c>
      <c r="J20" s="1">
        <v>737644</v>
      </c>
      <c r="K20">
        <f>VLOOKUP(F20,'LEAID Match'!$A$2:$C$2979,3,FALSE)</f>
        <v>0</v>
      </c>
    </row>
    <row r="21" spans="1:11" x14ac:dyDescent="0.2">
      <c r="A21">
        <v>0</v>
      </c>
      <c r="B21">
        <v>2015</v>
      </c>
      <c r="C21" t="s">
        <v>6</v>
      </c>
      <c r="D21" t="s">
        <v>7</v>
      </c>
      <c r="E21" t="s">
        <v>8</v>
      </c>
      <c r="F21" s="3">
        <v>5404</v>
      </c>
      <c r="G21" s="3" t="s">
        <v>364</v>
      </c>
      <c r="H21" s="1">
        <v>1415</v>
      </c>
      <c r="I21" s="21">
        <v>856770</v>
      </c>
      <c r="J21" s="21">
        <v>858185</v>
      </c>
      <c r="K21">
        <f>VLOOKUP(F21,'LEAID Match'!$A$2:$C$2979,3,FALSE)</f>
        <v>0</v>
      </c>
    </row>
    <row r="22" spans="1:11" x14ac:dyDescent="0.2">
      <c r="A22">
        <v>0</v>
      </c>
      <c r="B22">
        <v>2015</v>
      </c>
      <c r="C22" t="s">
        <v>6</v>
      </c>
      <c r="D22" t="s">
        <v>7</v>
      </c>
      <c r="E22" t="s">
        <v>8</v>
      </c>
      <c r="F22" s="3">
        <v>5406</v>
      </c>
      <c r="G22" s="3" t="s">
        <v>29</v>
      </c>
      <c r="H22" s="1">
        <v>48934</v>
      </c>
      <c r="I22" s="1">
        <v>8307080</v>
      </c>
      <c r="J22" s="1">
        <v>8356014</v>
      </c>
      <c r="K22">
        <f>VLOOKUP(F22,'LEAID Match'!$A$2:$C$2979,3,FALSE)</f>
        <v>0</v>
      </c>
    </row>
    <row r="23" spans="1:11" x14ac:dyDescent="0.2">
      <c r="A23">
        <v>2000046</v>
      </c>
      <c r="B23">
        <v>2015</v>
      </c>
      <c r="C23" t="s">
        <v>6</v>
      </c>
      <c r="D23" t="s">
        <v>7</v>
      </c>
      <c r="E23" t="s">
        <v>8</v>
      </c>
      <c r="F23">
        <v>5596</v>
      </c>
      <c r="G23" t="s">
        <v>30</v>
      </c>
      <c r="H23" s="1">
        <v>84472</v>
      </c>
      <c r="I23" s="1">
        <v>724118</v>
      </c>
      <c r="J23" s="1">
        <v>808590</v>
      </c>
      <c r="K23">
        <f>VLOOKUP(F23,'LEAID Match'!$A$2:$C$2979,3,FALSE)</f>
        <v>2000046</v>
      </c>
    </row>
    <row r="24" spans="1:11" x14ac:dyDescent="0.2">
      <c r="A24">
        <v>0</v>
      </c>
      <c r="B24">
        <v>2015</v>
      </c>
      <c r="C24" t="s">
        <v>6</v>
      </c>
      <c r="D24" t="s">
        <v>7</v>
      </c>
      <c r="E24" t="s">
        <v>8</v>
      </c>
      <c r="F24">
        <v>5600</v>
      </c>
      <c r="G24" t="s">
        <v>31</v>
      </c>
      <c r="H24" s="1">
        <v>96770</v>
      </c>
      <c r="I24" s="1">
        <v>844077</v>
      </c>
      <c r="J24" s="1">
        <v>940847</v>
      </c>
      <c r="K24">
        <f>VLOOKUP(F24,'LEAID Match'!$A$2:$C$2979,3,FALSE)</f>
        <v>0</v>
      </c>
    </row>
    <row r="25" spans="1:11" x14ac:dyDescent="0.2">
      <c r="A25">
        <v>2000048</v>
      </c>
      <c r="B25">
        <v>2015</v>
      </c>
      <c r="C25" t="s">
        <v>6</v>
      </c>
      <c r="D25" t="s">
        <v>7</v>
      </c>
      <c r="E25" t="s">
        <v>8</v>
      </c>
      <c r="F25">
        <v>5604</v>
      </c>
      <c r="G25" t="s">
        <v>32</v>
      </c>
      <c r="H25" s="1">
        <v>87410</v>
      </c>
      <c r="I25" s="1">
        <v>774726</v>
      </c>
      <c r="J25" s="1">
        <v>862136</v>
      </c>
      <c r="K25">
        <f>VLOOKUP(F25,'LEAID Match'!$A$2:$C$2979,3,FALSE)</f>
        <v>2000048</v>
      </c>
    </row>
    <row r="26" spans="1:11" x14ac:dyDescent="0.2">
      <c r="A26">
        <v>2000035</v>
      </c>
      <c r="B26">
        <v>2015</v>
      </c>
      <c r="C26" t="s">
        <v>6</v>
      </c>
      <c r="D26" t="s">
        <v>7</v>
      </c>
      <c r="E26" t="s">
        <v>8</v>
      </c>
      <c r="F26">
        <v>5608</v>
      </c>
      <c r="G26" t="s">
        <v>33</v>
      </c>
      <c r="H26" s="20">
        <v>33289</v>
      </c>
      <c r="I26" s="1">
        <v>728323</v>
      </c>
      <c r="J26" s="1">
        <v>761612</v>
      </c>
      <c r="K26">
        <f>VLOOKUP(F26,'LEAID Match'!$A$2:$C$2979,3,FALSE)</f>
        <v>2000035</v>
      </c>
    </row>
    <row r="27" spans="1:11" x14ac:dyDescent="0.2">
      <c r="A27">
        <v>2000039</v>
      </c>
      <c r="B27">
        <v>2015</v>
      </c>
      <c r="C27" t="s">
        <v>6</v>
      </c>
      <c r="D27" t="s">
        <v>7</v>
      </c>
      <c r="E27" t="s">
        <v>8</v>
      </c>
      <c r="F27">
        <v>5609</v>
      </c>
      <c r="G27" t="s">
        <v>365</v>
      </c>
      <c r="H27" s="1">
        <v>82411</v>
      </c>
      <c r="I27" s="1">
        <v>793687</v>
      </c>
      <c r="J27" s="1">
        <v>876098</v>
      </c>
      <c r="K27">
        <f>VLOOKUP(F27,'LEAID Match'!$A$2:$C$2979,3,FALSE)</f>
        <v>2000039</v>
      </c>
    </row>
    <row r="28" spans="1:11" x14ac:dyDescent="0.2">
      <c r="A28">
        <v>2000041</v>
      </c>
      <c r="B28">
        <v>2015</v>
      </c>
      <c r="C28" t="s">
        <v>6</v>
      </c>
      <c r="D28" t="s">
        <v>7</v>
      </c>
      <c r="E28" t="s">
        <v>8</v>
      </c>
      <c r="F28">
        <v>5612</v>
      </c>
      <c r="G28" s="9" t="s">
        <v>35</v>
      </c>
      <c r="H28" s="1">
        <v>153230</v>
      </c>
      <c r="I28" s="1">
        <v>1638671</v>
      </c>
      <c r="J28" s="1">
        <v>1791901</v>
      </c>
      <c r="K28">
        <f>VLOOKUP(F28,'LEAID Match'!$A$2:$C$2979,3,FALSE)</f>
        <v>2000041</v>
      </c>
    </row>
    <row r="29" spans="1:11" x14ac:dyDescent="0.2">
      <c r="A29">
        <v>0</v>
      </c>
      <c r="B29">
        <v>2015</v>
      </c>
      <c r="C29" t="s">
        <v>6</v>
      </c>
      <c r="D29" t="s">
        <v>7</v>
      </c>
      <c r="E29" t="s">
        <v>8</v>
      </c>
      <c r="F29" s="3">
        <v>5624</v>
      </c>
      <c r="G29" s="3" t="s">
        <v>36</v>
      </c>
      <c r="H29" s="22">
        <v>55479</v>
      </c>
      <c r="I29" s="1">
        <v>584437</v>
      </c>
      <c r="J29" s="1">
        <v>639916</v>
      </c>
      <c r="K29">
        <f>VLOOKUP(F29,'LEAID Match'!$A$2:$C$2979,3,FALSE)</f>
        <v>0</v>
      </c>
    </row>
    <row r="30" spans="1:11" x14ac:dyDescent="0.2">
      <c r="A30">
        <v>2000044</v>
      </c>
      <c r="B30">
        <v>2015</v>
      </c>
      <c r="C30" t="s">
        <v>6</v>
      </c>
      <c r="D30" t="s">
        <v>7</v>
      </c>
      <c r="E30" t="s">
        <v>8</v>
      </c>
      <c r="F30" s="3">
        <v>5626</v>
      </c>
      <c r="G30" s="3" t="s">
        <v>37</v>
      </c>
      <c r="H30" s="1">
        <v>58458</v>
      </c>
      <c r="I30" s="21">
        <v>679015</v>
      </c>
      <c r="J30" s="21">
        <v>737473</v>
      </c>
      <c r="K30">
        <f>VLOOKUP(F30,'LEAID Match'!$A$2:$C$2979,3,FALSE)</f>
        <v>2000044</v>
      </c>
    </row>
    <row r="31" spans="1:11" x14ac:dyDescent="0.2">
      <c r="A31">
        <v>2000047</v>
      </c>
      <c r="B31">
        <v>2015</v>
      </c>
      <c r="C31" t="s">
        <v>6</v>
      </c>
      <c r="D31" t="s">
        <v>7</v>
      </c>
      <c r="E31" t="s">
        <v>8</v>
      </c>
      <c r="F31" s="3">
        <v>5634</v>
      </c>
      <c r="G31" s="3" t="s">
        <v>38</v>
      </c>
      <c r="H31" s="1">
        <v>45115</v>
      </c>
      <c r="I31" s="1">
        <v>992005</v>
      </c>
      <c r="J31" s="1">
        <v>1037120</v>
      </c>
      <c r="K31">
        <f>VLOOKUP(F31,'LEAID Match'!$A$2:$C$2979,3,FALSE)</f>
        <v>2000047</v>
      </c>
    </row>
    <row r="32" spans="1:11" x14ac:dyDescent="0.2">
      <c r="A32">
        <v>2000051</v>
      </c>
      <c r="B32">
        <v>2015</v>
      </c>
      <c r="C32" t="s">
        <v>6</v>
      </c>
      <c r="D32" t="s">
        <v>7</v>
      </c>
      <c r="E32" t="s">
        <v>8</v>
      </c>
      <c r="F32">
        <v>5638</v>
      </c>
      <c r="G32" t="s">
        <v>39</v>
      </c>
      <c r="H32" s="1">
        <v>44320</v>
      </c>
      <c r="I32" s="1">
        <v>521889</v>
      </c>
      <c r="J32" s="1">
        <v>566209</v>
      </c>
      <c r="K32">
        <f>VLOOKUP(F32,'LEAID Match'!$A$2:$C$2979,3,FALSE)</f>
        <v>2000051</v>
      </c>
    </row>
    <row r="33" spans="1:11" x14ac:dyDescent="0.2">
      <c r="A33">
        <v>2000033</v>
      </c>
      <c r="B33">
        <v>2015</v>
      </c>
      <c r="C33" t="s">
        <v>6</v>
      </c>
      <c r="D33" t="s">
        <v>7</v>
      </c>
      <c r="E33" t="s">
        <v>8</v>
      </c>
      <c r="F33">
        <v>5655</v>
      </c>
      <c r="G33" t="s">
        <v>40</v>
      </c>
      <c r="H33" s="1">
        <v>2450</v>
      </c>
      <c r="I33" s="1">
        <v>234653</v>
      </c>
      <c r="J33" s="1">
        <v>237103</v>
      </c>
      <c r="K33">
        <f>VLOOKUP(F33,'LEAID Match'!$A$2:$C$2979,3,FALSE)</f>
        <v>2000033</v>
      </c>
    </row>
    <row r="34" spans="1:11" x14ac:dyDescent="0.2">
      <c r="A34">
        <v>2000037</v>
      </c>
      <c r="B34">
        <v>2015</v>
      </c>
      <c r="C34" t="s">
        <v>6</v>
      </c>
      <c r="D34" t="s">
        <v>7</v>
      </c>
      <c r="E34" t="s">
        <v>8</v>
      </c>
      <c r="F34">
        <v>5657</v>
      </c>
      <c r="G34" t="s">
        <v>41</v>
      </c>
      <c r="H34" s="1">
        <v>35341</v>
      </c>
      <c r="I34" s="1">
        <v>129598</v>
      </c>
      <c r="J34" s="1">
        <v>164939</v>
      </c>
      <c r="K34">
        <f>VLOOKUP(F34,'LEAID Match'!$A$2:$C$2979,3,FALSE)</f>
        <v>2000037</v>
      </c>
    </row>
    <row r="35" spans="1:11" x14ac:dyDescent="0.2">
      <c r="A35">
        <v>2000040</v>
      </c>
      <c r="B35">
        <v>2015</v>
      </c>
      <c r="C35" t="s">
        <v>6</v>
      </c>
      <c r="D35" t="s">
        <v>7</v>
      </c>
      <c r="E35" t="s">
        <v>8</v>
      </c>
      <c r="F35">
        <v>5671</v>
      </c>
      <c r="G35" t="s">
        <v>42</v>
      </c>
      <c r="H35" s="20">
        <v>32795</v>
      </c>
      <c r="I35" s="1">
        <v>314401</v>
      </c>
      <c r="J35" s="1">
        <v>347196</v>
      </c>
      <c r="K35">
        <f>VLOOKUP(F35,'LEAID Match'!$A$2:$C$2979,3,FALSE)</f>
        <v>2000040</v>
      </c>
    </row>
    <row r="36" spans="1:11" x14ac:dyDescent="0.2">
      <c r="A36">
        <v>2093310</v>
      </c>
      <c r="B36">
        <v>2015</v>
      </c>
      <c r="C36" t="s">
        <v>6</v>
      </c>
      <c r="D36" t="s">
        <v>7</v>
      </c>
      <c r="E36" t="s">
        <v>8</v>
      </c>
      <c r="F36">
        <v>5682</v>
      </c>
      <c r="G36" t="s">
        <v>43</v>
      </c>
      <c r="H36" s="1">
        <v>131823</v>
      </c>
      <c r="I36" s="1">
        <v>2236177</v>
      </c>
      <c r="J36" s="1">
        <v>2368000</v>
      </c>
      <c r="K36">
        <f>VLOOKUP(F36,'LEAID Match'!$A$2:$C$2979,3,FALSE)</f>
        <v>2093310</v>
      </c>
    </row>
    <row r="37" spans="1:11" x14ac:dyDescent="0.2">
      <c r="A37">
        <v>2000043</v>
      </c>
      <c r="B37">
        <v>2015</v>
      </c>
      <c r="C37" t="s">
        <v>6</v>
      </c>
      <c r="D37" t="s">
        <v>7</v>
      </c>
      <c r="E37" t="s">
        <v>8</v>
      </c>
      <c r="F37">
        <v>5688</v>
      </c>
      <c r="G37" s="9" t="s">
        <v>44</v>
      </c>
      <c r="H37" s="1">
        <v>20893</v>
      </c>
      <c r="I37" s="1">
        <v>251889</v>
      </c>
      <c r="J37" s="1">
        <v>272782</v>
      </c>
      <c r="K37">
        <f>VLOOKUP(F37,'LEAID Match'!$A$2:$C$2979,3,FALSE)</f>
        <v>2000043</v>
      </c>
    </row>
    <row r="38" spans="1:11" x14ac:dyDescent="0.2">
      <c r="A38">
        <v>2000045</v>
      </c>
      <c r="B38">
        <v>2015</v>
      </c>
      <c r="C38" t="s">
        <v>6</v>
      </c>
      <c r="D38" t="s">
        <v>7</v>
      </c>
      <c r="E38" t="s">
        <v>8</v>
      </c>
      <c r="F38" s="3">
        <v>9034</v>
      </c>
      <c r="G38" s="3" t="s">
        <v>45</v>
      </c>
      <c r="H38" s="22">
        <v>31508</v>
      </c>
      <c r="I38" s="1">
        <v>467394</v>
      </c>
      <c r="J38" s="1">
        <v>498902</v>
      </c>
      <c r="K38">
        <f>VLOOKUP(F38,'LEAID Match'!$A$2:$C$2979,3,FALSE)</f>
        <v>2000045</v>
      </c>
    </row>
    <row r="39" spans="1:11" x14ac:dyDescent="0.2">
      <c r="A39">
        <v>0</v>
      </c>
      <c r="B39">
        <v>2015</v>
      </c>
      <c r="C39" t="s">
        <v>6</v>
      </c>
      <c r="D39" t="s">
        <v>7</v>
      </c>
      <c r="E39" t="s">
        <v>8</v>
      </c>
      <c r="F39" s="3">
        <v>9042</v>
      </c>
      <c r="G39" s="3" t="s">
        <v>46</v>
      </c>
      <c r="H39" s="1">
        <v>28993</v>
      </c>
      <c r="I39" s="21">
        <v>304670</v>
      </c>
      <c r="J39" s="21">
        <v>333663</v>
      </c>
      <c r="K39">
        <f>VLOOKUP(F39,'LEAID Match'!$A$2:$C$2979,3,FALSE)</f>
        <v>0</v>
      </c>
    </row>
    <row r="40" spans="1:11" x14ac:dyDescent="0.2">
      <c r="A40">
        <v>2000347</v>
      </c>
      <c r="B40">
        <v>2015</v>
      </c>
      <c r="C40" t="s">
        <v>6</v>
      </c>
      <c r="D40" t="s">
        <v>7</v>
      </c>
      <c r="E40" t="s">
        <v>8</v>
      </c>
      <c r="F40" s="3">
        <v>9047</v>
      </c>
      <c r="G40" s="3" t="s">
        <v>47</v>
      </c>
      <c r="H40" s="1">
        <v>64514</v>
      </c>
      <c r="I40" s="1">
        <v>263081</v>
      </c>
      <c r="J40" s="1">
        <v>327595</v>
      </c>
      <c r="K40">
        <f>VLOOKUP(F40,'LEAID Match'!$A$2:$C$2979,3,FALSE)</f>
        <v>2000347</v>
      </c>
    </row>
    <row r="41" spans="1:11" x14ac:dyDescent="0.2">
      <c r="A41">
        <v>0</v>
      </c>
      <c r="B41">
        <v>2015</v>
      </c>
      <c r="C41" t="s">
        <v>6</v>
      </c>
      <c r="D41" t="s">
        <v>7</v>
      </c>
      <c r="E41" t="s">
        <v>8</v>
      </c>
      <c r="F41">
        <v>9053</v>
      </c>
      <c r="G41" t="s">
        <v>48</v>
      </c>
      <c r="H41" s="1">
        <v>0</v>
      </c>
      <c r="I41" s="1">
        <v>14834</v>
      </c>
      <c r="J41" s="1">
        <v>14834</v>
      </c>
      <c r="K41">
        <f>VLOOKUP(F41,'LEAID Match'!$A$2:$C$2979,3,FALSE)</f>
        <v>0</v>
      </c>
    </row>
    <row r="42" spans="1:11" x14ac:dyDescent="0.2">
      <c r="A42">
        <v>2000049</v>
      </c>
      <c r="B42">
        <v>2015</v>
      </c>
      <c r="C42" t="s">
        <v>6</v>
      </c>
      <c r="D42" t="s">
        <v>7</v>
      </c>
      <c r="E42" t="s">
        <v>8</v>
      </c>
      <c r="F42">
        <v>9055</v>
      </c>
      <c r="G42" t="s">
        <v>49</v>
      </c>
      <c r="H42" s="1">
        <v>36426</v>
      </c>
      <c r="I42" s="1">
        <v>294019</v>
      </c>
      <c r="J42" s="1">
        <v>330445</v>
      </c>
      <c r="K42">
        <f>VLOOKUP(F42,'LEAID Match'!$A$2:$C$2979,3,FALSE)</f>
        <v>2000049</v>
      </c>
    </row>
    <row r="43" spans="1:11" x14ac:dyDescent="0.2">
      <c r="A43" t="s">
        <v>371</v>
      </c>
      <c r="B43">
        <v>2015</v>
      </c>
      <c r="C43" t="s">
        <v>6</v>
      </c>
      <c r="D43" t="s">
        <v>7</v>
      </c>
      <c r="E43" t="s">
        <v>8</v>
      </c>
      <c r="F43">
        <v>9056</v>
      </c>
      <c r="G43" t="s">
        <v>50</v>
      </c>
      <c r="H43" s="1">
        <v>13816</v>
      </c>
      <c r="I43" s="1">
        <v>247017</v>
      </c>
      <c r="J43" s="1">
        <v>260833</v>
      </c>
      <c r="K43" t="str">
        <f>VLOOKUP(F43,'LEAID Match'!$A$2:$C$2979,3,FALSE)</f>
        <v>20D0001</v>
      </c>
    </row>
    <row r="44" spans="1:11" x14ac:dyDescent="0.2">
      <c r="A44">
        <v>0</v>
      </c>
      <c r="B44">
        <v>2015</v>
      </c>
      <c r="C44" t="s">
        <v>6</v>
      </c>
      <c r="D44" t="s">
        <v>7</v>
      </c>
      <c r="E44" t="s">
        <v>8</v>
      </c>
      <c r="F44">
        <v>9273</v>
      </c>
      <c r="G44" t="s">
        <v>51</v>
      </c>
      <c r="H44" s="20">
        <v>13729</v>
      </c>
      <c r="I44" s="1">
        <v>494854</v>
      </c>
      <c r="J44" s="1">
        <v>508583</v>
      </c>
      <c r="K44">
        <f>VLOOKUP(F44,'LEAID Match'!$A$2:$C$2979,3,FALSE)</f>
        <v>0</v>
      </c>
    </row>
    <row r="45" spans="1:11" x14ac:dyDescent="0.2">
      <c r="A45">
        <v>2000034</v>
      </c>
      <c r="B45">
        <v>2015</v>
      </c>
      <c r="C45" t="s">
        <v>6</v>
      </c>
      <c r="D45" t="s">
        <v>7</v>
      </c>
      <c r="E45" t="s">
        <v>8</v>
      </c>
      <c r="F45">
        <v>9274</v>
      </c>
      <c r="G45" t="s">
        <v>52</v>
      </c>
      <c r="H45" s="1">
        <v>46187</v>
      </c>
      <c r="I45" s="1">
        <v>1346700</v>
      </c>
      <c r="J45" s="1">
        <v>1392887</v>
      </c>
      <c r="K45">
        <f>VLOOKUP(F45,'LEAID Match'!$A$2:$C$2979,3,FALSE)</f>
        <v>2000034</v>
      </c>
    </row>
    <row r="46" spans="1:11" x14ac:dyDescent="0.2">
      <c r="A46">
        <v>0</v>
      </c>
      <c r="B46">
        <v>2015</v>
      </c>
      <c r="C46" t="s">
        <v>6</v>
      </c>
      <c r="D46" t="s">
        <v>7</v>
      </c>
      <c r="E46" t="s">
        <v>8</v>
      </c>
      <c r="F46">
        <v>9303</v>
      </c>
      <c r="G46" s="9" t="s">
        <v>363</v>
      </c>
      <c r="H46" s="1">
        <v>8209</v>
      </c>
      <c r="I46" s="1">
        <v>935458</v>
      </c>
      <c r="J46" s="1">
        <v>943667</v>
      </c>
      <c r="K46">
        <f>VLOOKUP(F46,'LEAID Match'!$A$2:$C$2979,3,FALSE)</f>
        <v>0</v>
      </c>
    </row>
    <row r="47" spans="1:11" x14ac:dyDescent="0.2">
      <c r="A47">
        <v>0</v>
      </c>
      <c r="B47">
        <v>2015</v>
      </c>
      <c r="C47" t="s">
        <v>6</v>
      </c>
      <c r="D47" t="s">
        <v>7</v>
      </c>
      <c r="E47" t="s">
        <v>8</v>
      </c>
      <c r="F47" s="3">
        <v>9304</v>
      </c>
      <c r="G47" s="3" t="s">
        <v>54</v>
      </c>
      <c r="H47" s="1">
        <v>0</v>
      </c>
      <c r="I47" s="21">
        <v>315473</v>
      </c>
      <c r="J47" s="21">
        <v>315473</v>
      </c>
      <c r="K47">
        <f>VLOOKUP(F47,'LEAID Match'!$A$2:$C$2979,3,FALSE)</f>
        <v>0</v>
      </c>
    </row>
    <row r="48" spans="1:11" x14ac:dyDescent="0.2">
      <c r="A48">
        <v>0</v>
      </c>
      <c r="B48">
        <v>2015</v>
      </c>
      <c r="C48" t="s">
        <v>6</v>
      </c>
      <c r="D48" t="s">
        <v>7</v>
      </c>
      <c r="E48" t="s">
        <v>8</v>
      </c>
      <c r="F48" s="3">
        <v>9305</v>
      </c>
      <c r="G48" s="3" t="s">
        <v>55</v>
      </c>
      <c r="H48" s="1">
        <v>27633</v>
      </c>
      <c r="I48" s="1">
        <v>365830</v>
      </c>
      <c r="J48" s="1">
        <v>393463</v>
      </c>
      <c r="K48">
        <f>VLOOKUP(F48,'LEAID Match'!$A$2:$C$2979,3,FALSE)</f>
        <v>0</v>
      </c>
    </row>
    <row r="49" spans="1:11" x14ac:dyDescent="0.2">
      <c r="A49">
        <v>0</v>
      </c>
      <c r="B49">
        <v>2015</v>
      </c>
      <c r="C49" t="s">
        <v>6</v>
      </c>
      <c r="D49" t="s">
        <v>7</v>
      </c>
      <c r="E49" t="s">
        <v>8</v>
      </c>
      <c r="F49">
        <v>9395</v>
      </c>
      <c r="G49" t="s">
        <v>56</v>
      </c>
      <c r="H49" s="1">
        <v>0</v>
      </c>
      <c r="I49" s="1">
        <v>226078</v>
      </c>
      <c r="J49" s="1">
        <v>226078</v>
      </c>
      <c r="K49">
        <f>VLOOKUP(F49,'LEAID Match'!$A$2:$C$2979,3,FALSE)</f>
        <v>0</v>
      </c>
    </row>
    <row r="50" spans="1:11" x14ac:dyDescent="0.2">
      <c r="A50">
        <v>0</v>
      </c>
      <c r="B50">
        <v>2015</v>
      </c>
      <c r="C50" t="s">
        <v>6</v>
      </c>
      <c r="D50" t="s">
        <v>7</v>
      </c>
      <c r="E50" t="s">
        <v>8</v>
      </c>
      <c r="F50">
        <v>9487</v>
      </c>
      <c r="G50" t="s">
        <v>57</v>
      </c>
      <c r="H50" s="1">
        <v>13157</v>
      </c>
      <c r="I50" s="1">
        <v>23073</v>
      </c>
      <c r="J50" s="1">
        <v>36230</v>
      </c>
      <c r="K50">
        <f>VLOOKUP(F50,'LEAID Match'!$A$2:$C$2979,3,FALSE)</f>
        <v>0</v>
      </c>
    </row>
    <row r="51" spans="1:11" x14ac:dyDescent="0.2">
      <c r="A51">
        <v>2000354</v>
      </c>
      <c r="B51">
        <v>2015</v>
      </c>
      <c r="C51" t="s">
        <v>6</v>
      </c>
      <c r="D51" t="s">
        <v>7</v>
      </c>
      <c r="E51" t="s">
        <v>8</v>
      </c>
      <c r="F51">
        <v>9507</v>
      </c>
      <c r="G51" t="s">
        <v>58</v>
      </c>
      <c r="H51" s="1">
        <v>71037</v>
      </c>
      <c r="I51" s="1">
        <v>1252210</v>
      </c>
      <c r="J51" s="1">
        <v>1323247</v>
      </c>
      <c r="K51">
        <f>VLOOKUP(F51,'LEAID Match'!$A$2:$C$2979,3,FALSE)</f>
        <v>2000354</v>
      </c>
    </row>
    <row r="52" spans="1:11" x14ac:dyDescent="0.2">
      <c r="A52">
        <v>2012360</v>
      </c>
      <c r="B52">
        <v>2015</v>
      </c>
      <c r="C52" t="s">
        <v>6</v>
      </c>
      <c r="D52" t="s">
        <v>7</v>
      </c>
      <c r="E52" t="s">
        <v>8</v>
      </c>
      <c r="F52">
        <v>4828</v>
      </c>
      <c r="G52" t="s">
        <v>59</v>
      </c>
      <c r="H52" s="20">
        <v>2378336</v>
      </c>
      <c r="I52" s="1">
        <v>0</v>
      </c>
      <c r="J52" s="1">
        <v>2378336</v>
      </c>
      <c r="K52">
        <f>VLOOKUP(F52,'LEAID Match'!$A$2:$C$2979,3,FALSE)</f>
        <v>2012360</v>
      </c>
    </row>
    <row r="53" spans="1:11" x14ac:dyDescent="0.2">
      <c r="A53">
        <v>2010680</v>
      </c>
      <c r="B53">
        <v>2015</v>
      </c>
      <c r="C53" t="s">
        <v>6</v>
      </c>
      <c r="D53" t="s">
        <v>7</v>
      </c>
      <c r="E53" t="s">
        <v>8</v>
      </c>
      <c r="F53">
        <v>4829</v>
      </c>
      <c r="G53" t="s">
        <v>60</v>
      </c>
      <c r="H53" s="1">
        <v>772397</v>
      </c>
      <c r="I53" s="1">
        <v>0</v>
      </c>
      <c r="J53" s="1">
        <v>772397</v>
      </c>
      <c r="K53">
        <f>VLOOKUP(F53,'LEAID Match'!$A$2:$C$2979,3,FALSE)</f>
        <v>2010680</v>
      </c>
    </row>
    <row r="54" spans="1:11" x14ac:dyDescent="0.2">
      <c r="A54">
        <v>2008550</v>
      </c>
      <c r="B54">
        <v>2015</v>
      </c>
      <c r="C54" t="s">
        <v>6</v>
      </c>
      <c r="D54" t="s">
        <v>7</v>
      </c>
      <c r="E54" t="s">
        <v>8</v>
      </c>
      <c r="F54">
        <v>4871</v>
      </c>
      <c r="G54" s="9" t="s">
        <v>61</v>
      </c>
      <c r="H54" s="1">
        <v>324409</v>
      </c>
      <c r="I54" s="1">
        <v>0</v>
      </c>
      <c r="J54" s="1">
        <v>324409</v>
      </c>
      <c r="K54">
        <f>VLOOKUP(F54,'LEAID Match'!$A$2:$C$2979,3,FALSE)</f>
        <v>2008550</v>
      </c>
    </row>
    <row r="55" spans="1:11" x14ac:dyDescent="0.2">
      <c r="A55">
        <v>2004050</v>
      </c>
      <c r="B55">
        <v>2015</v>
      </c>
      <c r="C55" t="s">
        <v>6</v>
      </c>
      <c r="D55" t="s">
        <v>7</v>
      </c>
      <c r="E55" t="s">
        <v>8</v>
      </c>
      <c r="F55" s="3">
        <v>4882</v>
      </c>
      <c r="G55" s="3" t="s">
        <v>62</v>
      </c>
      <c r="H55" s="1">
        <v>1504400</v>
      </c>
      <c r="I55" s="21">
        <v>0</v>
      </c>
      <c r="J55" s="21">
        <v>1504400</v>
      </c>
      <c r="K55">
        <f>VLOOKUP(F55,'LEAID Match'!$A$2:$C$2979,3,FALSE)</f>
        <v>2004050</v>
      </c>
    </row>
    <row r="56" spans="1:11" x14ac:dyDescent="0.2">
      <c r="A56">
        <v>2006240</v>
      </c>
      <c r="B56">
        <v>2015</v>
      </c>
      <c r="C56" t="s">
        <v>6</v>
      </c>
      <c r="D56" t="s">
        <v>7</v>
      </c>
      <c r="E56" t="s">
        <v>8</v>
      </c>
      <c r="F56" s="3">
        <v>4912</v>
      </c>
      <c r="G56" s="3" t="s">
        <v>63</v>
      </c>
      <c r="H56" s="1">
        <v>273028</v>
      </c>
      <c r="I56" s="1">
        <v>0</v>
      </c>
      <c r="J56" s="1">
        <v>273028</v>
      </c>
      <c r="K56">
        <f>VLOOKUP(F56,'LEAID Match'!$A$2:$C$2979,3,FALSE)</f>
        <v>2006240</v>
      </c>
    </row>
    <row r="57" spans="1:11" x14ac:dyDescent="0.2">
      <c r="A57">
        <v>2009720</v>
      </c>
      <c r="B57">
        <v>2015</v>
      </c>
      <c r="C57" t="s">
        <v>6</v>
      </c>
      <c r="D57" t="s">
        <v>7</v>
      </c>
      <c r="E57" t="s">
        <v>8</v>
      </c>
      <c r="F57">
        <v>4977</v>
      </c>
      <c r="G57" t="s">
        <v>64</v>
      </c>
      <c r="H57" s="1">
        <v>172942</v>
      </c>
      <c r="I57" s="1">
        <v>0</v>
      </c>
      <c r="J57" s="1">
        <v>172942</v>
      </c>
      <c r="K57">
        <f>VLOOKUP(F57,'LEAID Match'!$A$2:$C$2979,3,FALSE)</f>
        <v>2009720</v>
      </c>
    </row>
    <row r="58" spans="1:11" x14ac:dyDescent="0.2">
      <c r="A58">
        <v>2010140</v>
      </c>
      <c r="B58">
        <v>2015</v>
      </c>
      <c r="C58" t="s">
        <v>6</v>
      </c>
      <c r="D58" t="s">
        <v>7</v>
      </c>
      <c r="E58" t="s">
        <v>8</v>
      </c>
      <c r="F58">
        <v>4978</v>
      </c>
      <c r="G58" t="s">
        <v>65</v>
      </c>
      <c r="H58" s="1">
        <v>17911502</v>
      </c>
      <c r="I58" s="1">
        <v>0</v>
      </c>
      <c r="J58" s="1">
        <v>17911502</v>
      </c>
      <c r="K58">
        <f>VLOOKUP(F58,'LEAID Match'!$A$2:$C$2979,3,FALSE)</f>
        <v>2010140</v>
      </c>
    </row>
    <row r="59" spans="1:11" x14ac:dyDescent="0.2">
      <c r="A59">
        <v>2012900</v>
      </c>
      <c r="B59">
        <v>2015</v>
      </c>
      <c r="C59" t="s">
        <v>6</v>
      </c>
      <c r="D59" t="s">
        <v>7</v>
      </c>
      <c r="E59" t="s">
        <v>8</v>
      </c>
      <c r="F59">
        <v>4979</v>
      </c>
      <c r="G59" t="s">
        <v>66</v>
      </c>
      <c r="H59" s="1">
        <v>73865</v>
      </c>
      <c r="I59" s="1">
        <v>0</v>
      </c>
      <c r="J59" s="1">
        <v>73865</v>
      </c>
      <c r="K59">
        <f>VLOOKUP(F59,'LEAID Match'!$A$2:$C$2979,3,FALSE)</f>
        <v>2012900</v>
      </c>
    </row>
    <row r="60" spans="1:11" x14ac:dyDescent="0.2">
      <c r="A60">
        <v>2010710</v>
      </c>
      <c r="B60">
        <v>2015</v>
      </c>
      <c r="C60" t="s">
        <v>6</v>
      </c>
      <c r="D60" t="s">
        <v>7</v>
      </c>
      <c r="E60" t="s">
        <v>8</v>
      </c>
      <c r="F60">
        <v>4980</v>
      </c>
      <c r="G60" t="s">
        <v>67</v>
      </c>
      <c r="H60" s="20">
        <v>1524185</v>
      </c>
      <c r="I60" s="1">
        <v>0</v>
      </c>
      <c r="J60" s="1">
        <v>1524185</v>
      </c>
      <c r="K60">
        <f>VLOOKUP(F60,'LEAID Match'!$A$2:$C$2979,3,FALSE)</f>
        <v>2010710</v>
      </c>
    </row>
    <row r="61" spans="1:11" x14ac:dyDescent="0.2">
      <c r="A61">
        <v>2005940</v>
      </c>
      <c r="B61">
        <v>2015</v>
      </c>
      <c r="C61" t="s">
        <v>6</v>
      </c>
      <c r="D61" t="s">
        <v>7</v>
      </c>
      <c r="E61" t="s">
        <v>8</v>
      </c>
      <c r="F61">
        <v>4981</v>
      </c>
      <c r="G61" t="s">
        <v>68</v>
      </c>
      <c r="H61" s="1">
        <v>3323093</v>
      </c>
      <c r="I61" s="1">
        <v>0</v>
      </c>
      <c r="J61" s="1">
        <v>3323093</v>
      </c>
      <c r="K61">
        <f>VLOOKUP(F61,'LEAID Match'!$A$2:$C$2979,3,FALSE)</f>
        <v>2005940</v>
      </c>
    </row>
    <row r="62" spans="1:11" x14ac:dyDescent="0.2">
      <c r="A62">
        <v>2012990</v>
      </c>
      <c r="B62">
        <v>2015</v>
      </c>
      <c r="C62" t="s">
        <v>6</v>
      </c>
      <c r="D62" t="s">
        <v>7</v>
      </c>
      <c r="E62" t="s">
        <v>8</v>
      </c>
      <c r="F62">
        <v>4982</v>
      </c>
      <c r="G62" s="9" t="s">
        <v>69</v>
      </c>
      <c r="H62" s="1">
        <v>31321265</v>
      </c>
      <c r="I62" s="1">
        <v>0</v>
      </c>
      <c r="J62" s="1">
        <v>31321265</v>
      </c>
      <c r="K62">
        <f>VLOOKUP(F62,'LEAID Match'!$A$2:$C$2979,3,FALSE)</f>
        <v>2012990</v>
      </c>
    </row>
    <row r="63" spans="1:11" x14ac:dyDescent="0.2">
      <c r="A63">
        <v>2005460</v>
      </c>
      <c r="B63">
        <v>2015</v>
      </c>
      <c r="C63" t="s">
        <v>6</v>
      </c>
      <c r="D63" t="s">
        <v>7</v>
      </c>
      <c r="E63" t="s">
        <v>8</v>
      </c>
      <c r="F63" s="3">
        <v>4983</v>
      </c>
      <c r="G63" s="3" t="s">
        <v>70</v>
      </c>
      <c r="H63" s="22">
        <v>3193477</v>
      </c>
      <c r="I63" s="1">
        <v>0</v>
      </c>
      <c r="J63" s="1">
        <v>3193477</v>
      </c>
      <c r="K63">
        <f>VLOOKUP(F63,'LEAID Match'!$A$2:$C$2979,3,FALSE)</f>
        <v>2005460</v>
      </c>
    </row>
    <row r="64" spans="1:11" x14ac:dyDescent="0.2">
      <c r="A64">
        <v>2012510</v>
      </c>
      <c r="B64">
        <v>2015</v>
      </c>
      <c r="C64" t="s">
        <v>6</v>
      </c>
      <c r="D64" t="s">
        <v>7</v>
      </c>
      <c r="E64" t="s">
        <v>8</v>
      </c>
      <c r="F64" s="3">
        <v>4984</v>
      </c>
      <c r="G64" s="3" t="s">
        <v>71</v>
      </c>
      <c r="H64" s="1">
        <v>1247830</v>
      </c>
      <c r="I64" s="21">
        <v>0</v>
      </c>
      <c r="J64" s="21">
        <v>1247830</v>
      </c>
      <c r="K64">
        <f>VLOOKUP(F64,'LEAID Match'!$A$2:$C$2979,3,FALSE)</f>
        <v>2012510</v>
      </c>
    </row>
    <row r="65" spans="1:11" x14ac:dyDescent="0.2">
      <c r="A65">
        <v>2006540</v>
      </c>
      <c r="B65">
        <v>2015</v>
      </c>
      <c r="C65" t="s">
        <v>6</v>
      </c>
      <c r="D65" t="s">
        <v>7</v>
      </c>
      <c r="E65" t="s">
        <v>8</v>
      </c>
      <c r="F65" s="3">
        <v>4985</v>
      </c>
      <c r="G65" s="3" t="s">
        <v>72</v>
      </c>
      <c r="H65" s="1">
        <v>2666809</v>
      </c>
      <c r="I65" s="1">
        <v>0</v>
      </c>
      <c r="J65" s="1">
        <v>2666809</v>
      </c>
      <c r="K65">
        <f>VLOOKUP(F65,'LEAID Match'!$A$2:$C$2979,3,FALSE)</f>
        <v>2006540</v>
      </c>
    </row>
    <row r="66" spans="1:11" x14ac:dyDescent="0.2">
      <c r="A66">
        <v>2009140</v>
      </c>
      <c r="B66">
        <v>2015</v>
      </c>
      <c r="C66" t="s">
        <v>6</v>
      </c>
      <c r="D66" t="s">
        <v>7</v>
      </c>
      <c r="E66" t="s">
        <v>8</v>
      </c>
      <c r="F66">
        <v>4986</v>
      </c>
      <c r="G66" t="s">
        <v>73</v>
      </c>
      <c r="H66" s="1">
        <v>3112879</v>
      </c>
      <c r="I66" s="1">
        <v>0</v>
      </c>
      <c r="J66" s="1">
        <v>3112879</v>
      </c>
      <c r="K66">
        <f>VLOOKUP(F66,'LEAID Match'!$A$2:$C$2979,3,FALSE)</f>
        <v>2009140</v>
      </c>
    </row>
    <row r="67" spans="1:11" x14ac:dyDescent="0.2">
      <c r="A67">
        <v>2004670</v>
      </c>
      <c r="B67">
        <v>2015</v>
      </c>
      <c r="C67" t="s">
        <v>6</v>
      </c>
      <c r="D67" t="s">
        <v>7</v>
      </c>
      <c r="E67" t="s">
        <v>8</v>
      </c>
      <c r="F67">
        <v>4987</v>
      </c>
      <c r="G67" t="s">
        <v>74</v>
      </c>
      <c r="H67" s="1">
        <v>428601</v>
      </c>
      <c r="I67" s="1">
        <v>0</v>
      </c>
      <c r="J67" s="1">
        <v>428601</v>
      </c>
      <c r="K67">
        <f>VLOOKUP(F67,'LEAID Match'!$A$2:$C$2979,3,FALSE)</f>
        <v>2004670</v>
      </c>
    </row>
    <row r="68" spans="1:11" x14ac:dyDescent="0.2">
      <c r="A68">
        <v>2000015</v>
      </c>
      <c r="B68">
        <v>2015</v>
      </c>
      <c r="C68" t="s">
        <v>6</v>
      </c>
      <c r="D68" t="s">
        <v>7</v>
      </c>
      <c r="E68" t="s">
        <v>8</v>
      </c>
      <c r="F68">
        <v>4988</v>
      </c>
      <c r="G68" t="s">
        <v>75</v>
      </c>
      <c r="H68" s="1">
        <v>1505056</v>
      </c>
      <c r="I68" s="1">
        <v>0</v>
      </c>
      <c r="J68" s="1">
        <v>1505056</v>
      </c>
      <c r="K68">
        <f>VLOOKUP(F68,'LEAID Match'!$A$2:$C$2979,3,FALSE)</f>
        <v>2000015</v>
      </c>
    </row>
    <row r="69" spans="1:11" x14ac:dyDescent="0.2">
      <c r="A69">
        <v>2004080</v>
      </c>
      <c r="B69">
        <v>2015</v>
      </c>
      <c r="C69" t="s">
        <v>6</v>
      </c>
      <c r="D69" t="s">
        <v>7</v>
      </c>
      <c r="E69" t="s">
        <v>8</v>
      </c>
      <c r="F69">
        <v>4990</v>
      </c>
      <c r="G69" t="s">
        <v>76</v>
      </c>
      <c r="H69" s="20">
        <v>67172</v>
      </c>
      <c r="I69" s="1">
        <v>0</v>
      </c>
      <c r="J69" s="1">
        <v>67172</v>
      </c>
      <c r="K69">
        <f>VLOOKUP(F69,'LEAID Match'!$A$2:$C$2979,3,FALSE)</f>
        <v>2004080</v>
      </c>
    </row>
    <row r="70" spans="1:11" x14ac:dyDescent="0.2">
      <c r="A70">
        <v>2003720</v>
      </c>
      <c r="B70">
        <v>2015</v>
      </c>
      <c r="C70" t="s">
        <v>6</v>
      </c>
      <c r="D70" t="s">
        <v>7</v>
      </c>
      <c r="E70" t="s">
        <v>8</v>
      </c>
      <c r="F70">
        <v>4991</v>
      </c>
      <c r="G70" t="s">
        <v>77</v>
      </c>
      <c r="H70" s="1">
        <v>656120</v>
      </c>
      <c r="I70" s="1">
        <v>0</v>
      </c>
      <c r="J70" s="1">
        <v>656120</v>
      </c>
      <c r="K70">
        <f>VLOOKUP(F70,'LEAID Match'!$A$2:$C$2979,3,FALSE)</f>
        <v>2003720</v>
      </c>
    </row>
    <row r="71" spans="1:11" x14ac:dyDescent="0.2">
      <c r="A71">
        <v>2011970</v>
      </c>
      <c r="B71">
        <v>2015</v>
      </c>
      <c r="C71" t="s">
        <v>6</v>
      </c>
      <c r="D71" t="s">
        <v>7</v>
      </c>
      <c r="E71" t="s">
        <v>8</v>
      </c>
      <c r="F71">
        <v>4992</v>
      </c>
      <c r="G71" s="9" t="s">
        <v>78</v>
      </c>
      <c r="H71" s="1">
        <v>158666</v>
      </c>
      <c r="I71" s="1">
        <v>0</v>
      </c>
      <c r="J71" s="1">
        <v>158666</v>
      </c>
      <c r="K71">
        <f>VLOOKUP(F71,'LEAID Match'!$A$2:$C$2979,3,FALSE)</f>
        <v>2011970</v>
      </c>
    </row>
    <row r="72" spans="1:11" x14ac:dyDescent="0.2">
      <c r="A72">
        <v>2006580</v>
      </c>
      <c r="B72">
        <v>2015</v>
      </c>
      <c r="C72" t="s">
        <v>6</v>
      </c>
      <c r="D72" t="s">
        <v>7</v>
      </c>
      <c r="E72" t="s">
        <v>8</v>
      </c>
      <c r="F72" s="3">
        <v>4993</v>
      </c>
      <c r="G72" s="3" t="s">
        <v>79</v>
      </c>
      <c r="H72" s="22">
        <v>534321</v>
      </c>
      <c r="I72" s="1">
        <v>0</v>
      </c>
      <c r="J72" s="1">
        <v>534321</v>
      </c>
      <c r="K72">
        <f>VLOOKUP(F72,'LEAID Match'!$A$2:$C$2979,3,FALSE)</f>
        <v>2006580</v>
      </c>
    </row>
    <row r="73" spans="1:11" x14ac:dyDescent="0.2">
      <c r="A73">
        <v>2003430</v>
      </c>
      <c r="B73">
        <v>2015</v>
      </c>
      <c r="C73" t="s">
        <v>6</v>
      </c>
      <c r="D73" t="s">
        <v>7</v>
      </c>
      <c r="E73" t="s">
        <v>8</v>
      </c>
      <c r="F73" s="3">
        <v>4994</v>
      </c>
      <c r="G73" s="3" t="s">
        <v>80</v>
      </c>
      <c r="H73" s="1">
        <v>116172</v>
      </c>
      <c r="I73" s="21">
        <v>0</v>
      </c>
      <c r="J73" s="21">
        <v>116172</v>
      </c>
      <c r="K73">
        <f>VLOOKUP(F73,'LEAID Match'!$A$2:$C$2979,3,FALSE)</f>
        <v>2003430</v>
      </c>
    </row>
    <row r="74" spans="1:11" x14ac:dyDescent="0.2">
      <c r="A74">
        <v>2007350</v>
      </c>
      <c r="B74">
        <v>2015</v>
      </c>
      <c r="C74" t="s">
        <v>6</v>
      </c>
      <c r="D74" t="s">
        <v>7</v>
      </c>
      <c r="E74" t="s">
        <v>8</v>
      </c>
      <c r="F74" s="3">
        <v>4995</v>
      </c>
      <c r="G74" s="3" t="s">
        <v>81</v>
      </c>
      <c r="H74" s="1">
        <v>552857</v>
      </c>
      <c r="I74" s="1">
        <v>0</v>
      </c>
      <c r="J74" s="1">
        <v>552857</v>
      </c>
      <c r="K74">
        <f>VLOOKUP(F74,'LEAID Match'!$A$2:$C$2979,3,FALSE)</f>
        <v>2007350</v>
      </c>
    </row>
    <row r="75" spans="1:11" x14ac:dyDescent="0.2">
      <c r="A75">
        <v>2009630</v>
      </c>
      <c r="B75">
        <v>2015</v>
      </c>
      <c r="C75" t="s">
        <v>6</v>
      </c>
      <c r="D75" t="s">
        <v>7</v>
      </c>
      <c r="E75" t="s">
        <v>8</v>
      </c>
      <c r="F75">
        <v>4996</v>
      </c>
      <c r="G75" t="s">
        <v>82</v>
      </c>
      <c r="H75" s="1">
        <v>174982</v>
      </c>
      <c r="I75" s="1">
        <v>0</v>
      </c>
      <c r="J75" s="1">
        <v>174982</v>
      </c>
      <c r="K75">
        <f>VLOOKUP(F75,'LEAID Match'!$A$2:$C$2979,3,FALSE)</f>
        <v>2009630</v>
      </c>
    </row>
    <row r="76" spans="1:11" x14ac:dyDescent="0.2">
      <c r="A76">
        <v>2009960</v>
      </c>
      <c r="B76">
        <v>2015</v>
      </c>
      <c r="C76" t="s">
        <v>6</v>
      </c>
      <c r="D76" t="s">
        <v>7</v>
      </c>
      <c r="E76" t="s">
        <v>8</v>
      </c>
      <c r="F76">
        <v>4997</v>
      </c>
      <c r="G76" t="s">
        <v>83</v>
      </c>
      <c r="H76" s="1">
        <v>2365919</v>
      </c>
      <c r="I76" s="1">
        <v>0</v>
      </c>
      <c r="J76" s="1">
        <v>2365919</v>
      </c>
      <c r="K76">
        <f>VLOOKUP(F76,'LEAID Match'!$A$2:$C$2979,3,FALSE)</f>
        <v>2009960</v>
      </c>
    </row>
    <row r="77" spans="1:11" x14ac:dyDescent="0.2">
      <c r="A77">
        <v>2012030</v>
      </c>
      <c r="B77">
        <v>2015</v>
      </c>
      <c r="C77" t="s">
        <v>6</v>
      </c>
      <c r="D77" t="s">
        <v>7</v>
      </c>
      <c r="E77" t="s">
        <v>8</v>
      </c>
      <c r="F77">
        <v>4998</v>
      </c>
      <c r="G77" t="s">
        <v>84</v>
      </c>
      <c r="H77" s="1">
        <v>285658</v>
      </c>
      <c r="I77" s="1">
        <v>0</v>
      </c>
      <c r="J77" s="1">
        <v>285658</v>
      </c>
      <c r="K77">
        <f>VLOOKUP(F77,'LEAID Match'!$A$2:$C$2979,3,FALSE)</f>
        <v>2012030</v>
      </c>
    </row>
    <row r="78" spans="1:11" x14ac:dyDescent="0.2">
      <c r="A78">
        <v>2009180</v>
      </c>
      <c r="B78">
        <v>2015</v>
      </c>
      <c r="C78" t="s">
        <v>6</v>
      </c>
      <c r="D78" t="s">
        <v>7</v>
      </c>
      <c r="E78" t="s">
        <v>8</v>
      </c>
      <c r="F78">
        <v>4999</v>
      </c>
      <c r="G78" t="s">
        <v>352</v>
      </c>
      <c r="H78" s="20">
        <v>3365446</v>
      </c>
      <c r="I78" s="1">
        <v>0</v>
      </c>
      <c r="J78" s="1">
        <v>3365446</v>
      </c>
      <c r="K78">
        <f>VLOOKUP(F78,'LEAID Match'!$A$2:$C$2979,3,FALSE)</f>
        <v>2009180</v>
      </c>
    </row>
    <row r="79" spans="1:11" x14ac:dyDescent="0.2">
      <c r="A79">
        <v>2003360</v>
      </c>
      <c r="B79">
        <v>2015</v>
      </c>
      <c r="C79" t="s">
        <v>6</v>
      </c>
      <c r="D79" t="s">
        <v>7</v>
      </c>
      <c r="E79" t="s">
        <v>8</v>
      </c>
      <c r="F79">
        <v>5000</v>
      </c>
      <c r="G79" t="s">
        <v>86</v>
      </c>
      <c r="H79" s="1">
        <v>2596464</v>
      </c>
      <c r="I79" s="1">
        <v>0</v>
      </c>
      <c r="J79" s="1">
        <v>2596464</v>
      </c>
      <c r="K79">
        <f>VLOOKUP(F79,'LEAID Match'!$A$2:$C$2979,3,FALSE)</f>
        <v>2003360</v>
      </c>
    </row>
    <row r="80" spans="1:11" x14ac:dyDescent="0.2">
      <c r="A80">
        <v>2009090</v>
      </c>
      <c r="B80">
        <v>2015</v>
      </c>
      <c r="C80" t="s">
        <v>6</v>
      </c>
      <c r="D80" t="s">
        <v>7</v>
      </c>
      <c r="E80" t="s">
        <v>8</v>
      </c>
      <c r="F80">
        <v>5001</v>
      </c>
      <c r="G80" s="9" t="s">
        <v>87</v>
      </c>
      <c r="H80" s="1">
        <v>180461</v>
      </c>
      <c r="I80" s="1">
        <v>0</v>
      </c>
      <c r="J80" s="1">
        <v>180461</v>
      </c>
      <c r="K80">
        <f>VLOOKUP(F80,'LEAID Match'!$A$2:$C$2979,3,FALSE)</f>
        <v>2009090</v>
      </c>
    </row>
    <row r="81" spans="1:11" x14ac:dyDescent="0.2">
      <c r="A81">
        <v>2006870</v>
      </c>
      <c r="B81">
        <v>2015</v>
      </c>
      <c r="C81" t="s">
        <v>6</v>
      </c>
      <c r="D81" t="s">
        <v>7</v>
      </c>
      <c r="E81" t="s">
        <v>8</v>
      </c>
      <c r="F81" s="3">
        <v>5002</v>
      </c>
      <c r="G81" s="3" t="s">
        <v>88</v>
      </c>
      <c r="H81" s="22">
        <v>67440</v>
      </c>
      <c r="I81" s="1">
        <v>0</v>
      </c>
      <c r="J81" s="1">
        <v>67440</v>
      </c>
      <c r="K81">
        <f>VLOOKUP(F81,'LEAID Match'!$A$2:$C$2979,3,FALSE)</f>
        <v>2006870</v>
      </c>
    </row>
    <row r="82" spans="1:11" x14ac:dyDescent="0.2">
      <c r="A82">
        <v>2011250</v>
      </c>
      <c r="B82">
        <v>2015</v>
      </c>
      <c r="C82" t="s">
        <v>6</v>
      </c>
      <c r="D82" t="s">
        <v>7</v>
      </c>
      <c r="E82" t="s">
        <v>8</v>
      </c>
      <c r="F82" s="3">
        <v>5004</v>
      </c>
      <c r="G82" s="3" t="s">
        <v>89</v>
      </c>
      <c r="H82" s="1">
        <v>708787</v>
      </c>
      <c r="I82" s="21">
        <v>0</v>
      </c>
      <c r="J82" s="21">
        <v>708787</v>
      </c>
      <c r="K82">
        <f>VLOOKUP(F82,'LEAID Match'!$A$2:$C$2979,3,FALSE)</f>
        <v>2011250</v>
      </c>
    </row>
    <row r="83" spans="1:11" x14ac:dyDescent="0.2">
      <c r="A83">
        <v>2005610</v>
      </c>
      <c r="B83">
        <v>2015</v>
      </c>
      <c r="C83" t="s">
        <v>6</v>
      </c>
      <c r="D83" t="s">
        <v>7</v>
      </c>
      <c r="E83" t="s">
        <v>8</v>
      </c>
      <c r="F83" s="3">
        <v>5005</v>
      </c>
      <c r="G83" s="3" t="s">
        <v>90</v>
      </c>
      <c r="H83" s="1">
        <v>394178</v>
      </c>
      <c r="I83" s="1">
        <v>0</v>
      </c>
      <c r="J83" s="1">
        <v>394178</v>
      </c>
      <c r="K83">
        <f>VLOOKUP(F83,'LEAID Match'!$A$2:$C$2979,3,FALSE)</f>
        <v>2005610</v>
      </c>
    </row>
    <row r="84" spans="1:11" x14ac:dyDescent="0.2">
      <c r="A84">
        <v>2010590</v>
      </c>
      <c r="B84">
        <v>2015</v>
      </c>
      <c r="C84" t="s">
        <v>6</v>
      </c>
      <c r="D84" t="s">
        <v>7</v>
      </c>
      <c r="E84" t="s">
        <v>8</v>
      </c>
      <c r="F84">
        <v>5006</v>
      </c>
      <c r="G84" t="s">
        <v>91</v>
      </c>
      <c r="H84" s="1">
        <v>174067</v>
      </c>
      <c r="I84" s="1">
        <v>0</v>
      </c>
      <c r="J84" s="1">
        <v>174067</v>
      </c>
      <c r="K84">
        <f>VLOOKUP(F84,'LEAID Match'!$A$2:$C$2979,3,FALSE)</f>
        <v>2010590</v>
      </c>
    </row>
    <row r="85" spans="1:11" x14ac:dyDescent="0.2">
      <c r="A85">
        <v>2009850</v>
      </c>
      <c r="B85">
        <v>2015</v>
      </c>
      <c r="C85" t="s">
        <v>6</v>
      </c>
      <c r="D85" t="s">
        <v>7</v>
      </c>
      <c r="E85" t="s">
        <v>8</v>
      </c>
      <c r="F85">
        <v>5007</v>
      </c>
      <c r="G85" t="s">
        <v>143</v>
      </c>
      <c r="H85" s="1">
        <v>108005</v>
      </c>
      <c r="I85" s="1">
        <v>0</v>
      </c>
      <c r="J85" s="1">
        <v>108005</v>
      </c>
      <c r="K85">
        <f>VLOOKUP(F85,'LEAID Match'!$A$2:$C$2979,3,FALSE)</f>
        <v>2009850</v>
      </c>
    </row>
    <row r="86" spans="1:11" x14ac:dyDescent="0.2">
      <c r="A86">
        <v>2011130</v>
      </c>
      <c r="B86">
        <v>2015</v>
      </c>
      <c r="C86" t="s">
        <v>6</v>
      </c>
      <c r="D86" t="s">
        <v>7</v>
      </c>
      <c r="E86" t="s">
        <v>8</v>
      </c>
      <c r="F86">
        <v>5008</v>
      </c>
      <c r="G86" t="s">
        <v>92</v>
      </c>
      <c r="H86" s="1">
        <v>455875</v>
      </c>
      <c r="I86" s="1">
        <v>0</v>
      </c>
      <c r="J86" s="1">
        <v>455875</v>
      </c>
      <c r="K86">
        <f>VLOOKUP(F86,'LEAID Match'!$A$2:$C$2979,3,FALSE)</f>
        <v>2011130</v>
      </c>
    </row>
    <row r="87" spans="1:11" x14ac:dyDescent="0.2">
      <c r="A87">
        <v>2003540</v>
      </c>
      <c r="B87">
        <v>2015</v>
      </c>
      <c r="C87" t="s">
        <v>6</v>
      </c>
      <c r="D87" t="s">
        <v>7</v>
      </c>
      <c r="E87" t="s">
        <v>8</v>
      </c>
      <c r="F87">
        <v>5010</v>
      </c>
      <c r="G87" t="s">
        <v>93</v>
      </c>
      <c r="H87" s="20">
        <v>1013440</v>
      </c>
      <c r="I87" s="1">
        <v>0</v>
      </c>
      <c r="J87" s="1">
        <v>1013440</v>
      </c>
      <c r="K87">
        <f>VLOOKUP(F87,'LEAID Match'!$A$2:$C$2979,3,FALSE)</f>
        <v>2003540</v>
      </c>
    </row>
    <row r="88" spans="1:11" x14ac:dyDescent="0.2">
      <c r="A88">
        <v>2010230</v>
      </c>
      <c r="B88">
        <v>2015</v>
      </c>
      <c r="C88" t="s">
        <v>6</v>
      </c>
      <c r="D88" t="s">
        <v>7</v>
      </c>
      <c r="E88" t="s">
        <v>8</v>
      </c>
      <c r="F88">
        <v>5011</v>
      </c>
      <c r="G88" t="s">
        <v>94</v>
      </c>
      <c r="H88" s="1">
        <v>292495</v>
      </c>
      <c r="I88" s="1">
        <v>0</v>
      </c>
      <c r="J88" s="1">
        <v>292495</v>
      </c>
      <c r="K88">
        <f>VLOOKUP(F88,'LEAID Match'!$A$2:$C$2979,3,FALSE)</f>
        <v>2010230</v>
      </c>
    </row>
    <row r="89" spans="1:11" x14ac:dyDescent="0.2">
      <c r="A89">
        <v>2009000</v>
      </c>
      <c r="B89">
        <v>2015</v>
      </c>
      <c r="C89" t="s">
        <v>6</v>
      </c>
      <c r="D89" t="s">
        <v>7</v>
      </c>
      <c r="E89" t="s">
        <v>8</v>
      </c>
      <c r="F89">
        <v>5012</v>
      </c>
      <c r="G89" s="9" t="s">
        <v>95</v>
      </c>
      <c r="H89" s="1">
        <v>216871</v>
      </c>
      <c r="I89" s="1">
        <v>0</v>
      </c>
      <c r="J89" s="1">
        <v>216871</v>
      </c>
      <c r="K89">
        <f>VLOOKUP(F89,'LEAID Match'!$A$2:$C$2979,3,FALSE)</f>
        <v>2009000</v>
      </c>
    </row>
    <row r="90" spans="1:11" x14ac:dyDescent="0.2">
      <c r="A90">
        <v>2005580</v>
      </c>
      <c r="B90">
        <v>2015</v>
      </c>
      <c r="C90" t="s">
        <v>6</v>
      </c>
      <c r="D90" t="s">
        <v>7</v>
      </c>
      <c r="E90" t="s">
        <v>8</v>
      </c>
      <c r="F90" s="3">
        <v>5013</v>
      </c>
      <c r="G90" s="3" t="s">
        <v>96</v>
      </c>
      <c r="H90" s="22">
        <v>4068536</v>
      </c>
      <c r="I90" s="1">
        <v>0</v>
      </c>
      <c r="J90" s="1">
        <v>4068536</v>
      </c>
      <c r="K90">
        <f>VLOOKUP(F90,'LEAID Match'!$A$2:$C$2979,3,FALSE)</f>
        <v>2005580</v>
      </c>
    </row>
    <row r="91" spans="1:11" x14ac:dyDescent="0.2">
      <c r="A91">
        <v>2007650</v>
      </c>
      <c r="B91">
        <v>2015</v>
      </c>
      <c r="C91" t="s">
        <v>6</v>
      </c>
      <c r="D91" t="s">
        <v>7</v>
      </c>
      <c r="E91" t="s">
        <v>8</v>
      </c>
      <c r="F91" s="3">
        <v>5014</v>
      </c>
      <c r="G91" s="3" t="s">
        <v>97</v>
      </c>
      <c r="H91" s="1">
        <v>1046996</v>
      </c>
      <c r="I91" s="21">
        <v>0</v>
      </c>
      <c r="J91" s="21">
        <v>1046996</v>
      </c>
      <c r="K91">
        <f>VLOOKUP(F91,'LEAID Match'!$A$2:$C$2979,3,FALSE)</f>
        <v>2007650</v>
      </c>
    </row>
    <row r="92" spans="1:11" x14ac:dyDescent="0.2">
      <c r="A92">
        <v>2007710</v>
      </c>
      <c r="B92">
        <v>2015</v>
      </c>
      <c r="C92" t="s">
        <v>6</v>
      </c>
      <c r="D92" t="s">
        <v>7</v>
      </c>
      <c r="E92" t="s">
        <v>8</v>
      </c>
      <c r="F92" s="3">
        <v>5015</v>
      </c>
      <c r="G92" s="3" t="s">
        <v>98</v>
      </c>
      <c r="H92" s="1">
        <v>281374</v>
      </c>
      <c r="I92" s="1">
        <v>0</v>
      </c>
      <c r="J92" s="1">
        <v>281374</v>
      </c>
      <c r="K92">
        <f>VLOOKUP(F92,'LEAID Match'!$A$2:$C$2979,3,FALSE)</f>
        <v>2007710</v>
      </c>
    </row>
    <row r="93" spans="1:11" x14ac:dyDescent="0.2">
      <c r="A93">
        <v>2005640</v>
      </c>
      <c r="B93">
        <v>2015</v>
      </c>
      <c r="C93" t="s">
        <v>6</v>
      </c>
      <c r="D93" t="s">
        <v>7</v>
      </c>
      <c r="E93" t="s">
        <v>8</v>
      </c>
      <c r="F93">
        <v>5016</v>
      </c>
      <c r="G93" t="s">
        <v>99</v>
      </c>
      <c r="H93" s="1">
        <v>366770</v>
      </c>
      <c r="I93" s="1">
        <v>0</v>
      </c>
      <c r="J93" s="1">
        <v>366770</v>
      </c>
      <c r="K93">
        <f>VLOOKUP(F93,'LEAID Match'!$A$2:$C$2979,3,FALSE)</f>
        <v>2005640</v>
      </c>
    </row>
    <row r="94" spans="1:11" x14ac:dyDescent="0.2">
      <c r="A94">
        <v>2008430</v>
      </c>
      <c r="B94">
        <v>2015</v>
      </c>
      <c r="C94" t="s">
        <v>6</v>
      </c>
      <c r="D94" t="s">
        <v>7</v>
      </c>
      <c r="E94" t="s">
        <v>8</v>
      </c>
      <c r="F94">
        <v>5017</v>
      </c>
      <c r="G94" t="s">
        <v>100</v>
      </c>
      <c r="H94" s="1">
        <v>2510305</v>
      </c>
      <c r="I94" s="1">
        <v>0</v>
      </c>
      <c r="J94" s="1">
        <v>2510305</v>
      </c>
      <c r="K94">
        <f>VLOOKUP(F94,'LEAID Match'!$A$2:$C$2979,3,FALSE)</f>
        <v>2008430</v>
      </c>
    </row>
    <row r="95" spans="1:11" x14ac:dyDescent="0.2">
      <c r="A95">
        <v>2009480</v>
      </c>
      <c r="B95">
        <v>2015</v>
      </c>
      <c r="C95" t="s">
        <v>6</v>
      </c>
      <c r="D95" t="s">
        <v>7</v>
      </c>
      <c r="E95" t="s">
        <v>8</v>
      </c>
      <c r="F95">
        <v>5018</v>
      </c>
      <c r="G95" t="s">
        <v>101</v>
      </c>
      <c r="H95" s="1">
        <v>191095</v>
      </c>
      <c r="I95" s="1">
        <v>0</v>
      </c>
      <c r="J95" s="1">
        <v>191095</v>
      </c>
      <c r="K95">
        <f>VLOOKUP(F95,'LEAID Match'!$A$2:$C$2979,3,FALSE)</f>
        <v>2009480</v>
      </c>
    </row>
    <row r="96" spans="1:11" x14ac:dyDescent="0.2">
      <c r="A96">
        <v>2003450</v>
      </c>
      <c r="B96">
        <v>2015</v>
      </c>
      <c r="C96" t="s">
        <v>6</v>
      </c>
      <c r="D96" t="s">
        <v>7</v>
      </c>
      <c r="E96" t="s">
        <v>8</v>
      </c>
      <c r="F96">
        <v>5019</v>
      </c>
      <c r="G96" t="s">
        <v>102</v>
      </c>
      <c r="H96" s="20">
        <v>1531446</v>
      </c>
      <c r="I96" s="1">
        <v>0</v>
      </c>
      <c r="J96" s="1">
        <v>1531446</v>
      </c>
      <c r="K96">
        <f>VLOOKUP(F96,'LEAID Match'!$A$2:$C$2979,3,FALSE)</f>
        <v>2003450</v>
      </c>
    </row>
    <row r="97" spans="1:11" x14ac:dyDescent="0.2">
      <c r="A97">
        <v>2007890</v>
      </c>
      <c r="B97">
        <v>2015</v>
      </c>
      <c r="C97" t="s">
        <v>6</v>
      </c>
      <c r="D97" t="s">
        <v>7</v>
      </c>
      <c r="E97" t="s">
        <v>8</v>
      </c>
      <c r="F97">
        <v>5020</v>
      </c>
      <c r="G97" t="s">
        <v>103</v>
      </c>
      <c r="H97" s="1">
        <v>4813107</v>
      </c>
      <c r="I97" s="1">
        <v>0</v>
      </c>
      <c r="J97" s="1">
        <v>4813107</v>
      </c>
      <c r="K97">
        <f>VLOOKUP(F97,'LEAID Match'!$A$2:$C$2979,3,FALSE)</f>
        <v>2007890</v>
      </c>
    </row>
    <row r="98" spans="1:11" x14ac:dyDescent="0.2">
      <c r="A98">
        <v>2007680</v>
      </c>
      <c r="B98">
        <v>2015</v>
      </c>
      <c r="C98" t="s">
        <v>6</v>
      </c>
      <c r="D98" t="s">
        <v>7</v>
      </c>
      <c r="E98" t="s">
        <v>8</v>
      </c>
      <c r="F98">
        <v>5021</v>
      </c>
      <c r="G98" s="9" t="s">
        <v>104</v>
      </c>
      <c r="H98" s="1">
        <v>198054</v>
      </c>
      <c r="I98" s="1">
        <v>0</v>
      </c>
      <c r="J98" s="1">
        <v>198054</v>
      </c>
      <c r="K98">
        <f>VLOOKUP(F98,'LEAID Match'!$A$2:$C$2979,3,FALSE)</f>
        <v>2007680</v>
      </c>
    </row>
    <row r="99" spans="1:11" x14ac:dyDescent="0.2">
      <c r="A99">
        <v>2008730</v>
      </c>
      <c r="B99">
        <v>2015</v>
      </c>
      <c r="C99" t="s">
        <v>6</v>
      </c>
      <c r="D99" t="s">
        <v>7</v>
      </c>
      <c r="E99" t="s">
        <v>8</v>
      </c>
      <c r="F99" s="3">
        <v>5022</v>
      </c>
      <c r="G99" s="3" t="s">
        <v>105</v>
      </c>
      <c r="H99" s="22">
        <v>2865935</v>
      </c>
      <c r="I99" s="1">
        <v>0</v>
      </c>
      <c r="J99" s="1">
        <v>2865935</v>
      </c>
      <c r="K99">
        <f>VLOOKUP(F99,'LEAID Match'!$A$2:$C$2979,3,FALSE)</f>
        <v>2008730</v>
      </c>
    </row>
    <row r="100" spans="1:11" x14ac:dyDescent="0.2">
      <c r="A100">
        <v>2008280</v>
      </c>
      <c r="B100">
        <v>2015</v>
      </c>
      <c r="C100" t="s">
        <v>6</v>
      </c>
      <c r="D100" t="s">
        <v>7</v>
      </c>
      <c r="E100" t="s">
        <v>8</v>
      </c>
      <c r="F100" s="3">
        <v>5024</v>
      </c>
      <c r="G100" s="3" t="s">
        <v>106</v>
      </c>
      <c r="H100" s="1">
        <v>410937</v>
      </c>
      <c r="I100" s="21">
        <v>0</v>
      </c>
      <c r="J100" s="21">
        <v>410937</v>
      </c>
      <c r="K100">
        <f>VLOOKUP(F100,'LEAID Match'!$A$2:$C$2979,3,FALSE)</f>
        <v>2008280</v>
      </c>
    </row>
    <row r="101" spans="1:11" x14ac:dyDescent="0.2">
      <c r="A101">
        <v>2006180</v>
      </c>
      <c r="B101">
        <v>2015</v>
      </c>
      <c r="C101" t="s">
        <v>6</v>
      </c>
      <c r="D101" t="s">
        <v>7</v>
      </c>
      <c r="E101" t="s">
        <v>8</v>
      </c>
      <c r="F101" s="3">
        <v>5025</v>
      </c>
      <c r="G101" s="3" t="s">
        <v>107</v>
      </c>
      <c r="H101" s="1">
        <v>1138246</v>
      </c>
      <c r="I101" s="1">
        <v>0</v>
      </c>
      <c r="J101" s="1">
        <v>1138246</v>
      </c>
      <c r="K101">
        <f>VLOOKUP(F101,'LEAID Match'!$A$2:$C$2979,3,FALSE)</f>
        <v>2006180</v>
      </c>
    </row>
    <row r="102" spans="1:11" x14ac:dyDescent="0.2">
      <c r="A102">
        <v>2003210</v>
      </c>
      <c r="B102">
        <v>2015</v>
      </c>
      <c r="C102" t="s">
        <v>6</v>
      </c>
      <c r="D102" t="s">
        <v>7</v>
      </c>
      <c r="E102" t="s">
        <v>8</v>
      </c>
      <c r="F102">
        <v>5026</v>
      </c>
      <c r="G102" t="s">
        <v>108</v>
      </c>
      <c r="H102" s="1">
        <v>310906</v>
      </c>
      <c r="I102" s="1">
        <v>0</v>
      </c>
      <c r="J102" s="1">
        <v>310906</v>
      </c>
      <c r="K102">
        <f>VLOOKUP(F102,'LEAID Match'!$A$2:$C$2979,3,FALSE)</f>
        <v>2003210</v>
      </c>
    </row>
    <row r="103" spans="1:11" x14ac:dyDescent="0.2">
      <c r="A103">
        <v>2007050</v>
      </c>
      <c r="B103">
        <v>2015</v>
      </c>
      <c r="C103" t="s">
        <v>6</v>
      </c>
      <c r="D103" t="s">
        <v>7</v>
      </c>
      <c r="E103" t="s">
        <v>8</v>
      </c>
      <c r="F103">
        <v>5027</v>
      </c>
      <c r="G103" t="s">
        <v>109</v>
      </c>
      <c r="H103" s="1">
        <v>3411987</v>
      </c>
      <c r="I103" s="1">
        <v>0</v>
      </c>
      <c r="J103" s="1">
        <v>3411987</v>
      </c>
      <c r="K103">
        <f>VLOOKUP(F103,'LEAID Match'!$A$2:$C$2979,3,FALSE)</f>
        <v>2007050</v>
      </c>
    </row>
    <row r="104" spans="1:11" x14ac:dyDescent="0.2">
      <c r="A104">
        <v>2011080</v>
      </c>
      <c r="B104">
        <v>2015</v>
      </c>
      <c r="C104" t="s">
        <v>6</v>
      </c>
      <c r="D104" t="s">
        <v>7</v>
      </c>
      <c r="E104" t="s">
        <v>8</v>
      </c>
      <c r="F104">
        <v>5028</v>
      </c>
      <c r="G104" t="s">
        <v>110</v>
      </c>
      <c r="H104" s="1">
        <v>820372</v>
      </c>
      <c r="I104" s="1">
        <v>0</v>
      </c>
      <c r="J104" s="1">
        <v>820372</v>
      </c>
      <c r="K104">
        <f>VLOOKUP(F104,'LEAID Match'!$A$2:$C$2979,3,FALSE)</f>
        <v>2011080</v>
      </c>
    </row>
    <row r="105" spans="1:11" x14ac:dyDescent="0.2">
      <c r="A105">
        <v>2000014</v>
      </c>
      <c r="B105">
        <v>2015</v>
      </c>
      <c r="C105" t="s">
        <v>6</v>
      </c>
      <c r="D105" t="s">
        <v>7</v>
      </c>
      <c r="E105" t="s">
        <v>8</v>
      </c>
      <c r="F105">
        <v>5029</v>
      </c>
      <c r="G105" t="s">
        <v>111</v>
      </c>
      <c r="H105" s="20">
        <v>389565</v>
      </c>
      <c r="I105" s="1">
        <v>0</v>
      </c>
      <c r="J105" s="1">
        <v>389565</v>
      </c>
      <c r="K105">
        <f>VLOOKUP(F105,'LEAID Match'!$A$2:$C$2979,3,FALSE)</f>
        <v>2000014</v>
      </c>
    </row>
    <row r="106" spans="1:11" x14ac:dyDescent="0.2">
      <c r="A106">
        <v>2011370</v>
      </c>
      <c r="B106">
        <v>2015</v>
      </c>
      <c r="C106" t="s">
        <v>6</v>
      </c>
      <c r="D106" t="s">
        <v>7</v>
      </c>
      <c r="E106" t="s">
        <v>8</v>
      </c>
      <c r="F106">
        <v>5031</v>
      </c>
      <c r="G106" t="s">
        <v>112</v>
      </c>
      <c r="H106" s="1">
        <v>5840097</v>
      </c>
      <c r="I106" s="1">
        <v>0</v>
      </c>
      <c r="J106" s="1">
        <v>5840097</v>
      </c>
      <c r="K106">
        <f>VLOOKUP(F106,'LEAID Match'!$A$2:$C$2979,3,FALSE)</f>
        <v>2011370</v>
      </c>
    </row>
    <row r="107" spans="1:11" x14ac:dyDescent="0.2">
      <c r="A107">
        <v>2003390</v>
      </c>
      <c r="B107">
        <v>2015</v>
      </c>
      <c r="C107" t="s">
        <v>6</v>
      </c>
      <c r="D107" t="s">
        <v>7</v>
      </c>
      <c r="E107" t="s">
        <v>8</v>
      </c>
      <c r="F107">
        <v>5032</v>
      </c>
      <c r="G107" s="9" t="s">
        <v>359</v>
      </c>
      <c r="H107" s="1">
        <v>502064</v>
      </c>
      <c r="I107" s="1">
        <v>0</v>
      </c>
      <c r="J107" s="1">
        <v>502064</v>
      </c>
      <c r="K107">
        <f>VLOOKUP(F107,'LEAID Match'!$A$2:$C$2979,3,FALSE)</f>
        <v>2003390</v>
      </c>
    </row>
    <row r="108" spans="1:11" x14ac:dyDescent="0.2">
      <c r="A108">
        <v>2011100</v>
      </c>
      <c r="B108">
        <v>2015</v>
      </c>
      <c r="C108" t="s">
        <v>6</v>
      </c>
      <c r="D108" t="s">
        <v>7</v>
      </c>
      <c r="E108" t="s">
        <v>8</v>
      </c>
      <c r="F108" s="3">
        <v>5033</v>
      </c>
      <c r="G108" s="3" t="s">
        <v>114</v>
      </c>
      <c r="H108" s="22">
        <v>353946</v>
      </c>
      <c r="I108" s="1">
        <v>0</v>
      </c>
      <c r="J108" s="1">
        <v>353946</v>
      </c>
      <c r="K108">
        <f>VLOOKUP(F108,'LEAID Match'!$A$2:$C$2979,3,FALSE)</f>
        <v>2011100</v>
      </c>
    </row>
    <row r="109" spans="1:11" x14ac:dyDescent="0.2">
      <c r="A109">
        <v>2004020</v>
      </c>
      <c r="B109">
        <v>2015</v>
      </c>
      <c r="C109" t="s">
        <v>6</v>
      </c>
      <c r="D109" t="s">
        <v>7</v>
      </c>
      <c r="E109" t="s">
        <v>8</v>
      </c>
      <c r="F109" s="3">
        <v>5034</v>
      </c>
      <c r="G109" s="3" t="s">
        <v>115</v>
      </c>
      <c r="H109" s="1">
        <v>188521</v>
      </c>
      <c r="I109" s="21">
        <v>0</v>
      </c>
      <c r="J109" s="21">
        <v>188521</v>
      </c>
      <c r="K109">
        <f>VLOOKUP(F109,'LEAID Match'!$A$2:$C$2979,3,FALSE)</f>
        <v>2004020</v>
      </c>
    </row>
    <row r="110" spans="1:11" x14ac:dyDescent="0.2">
      <c r="A110">
        <v>2004590</v>
      </c>
      <c r="B110">
        <v>2015</v>
      </c>
      <c r="C110" t="s">
        <v>6</v>
      </c>
      <c r="D110" t="s">
        <v>7</v>
      </c>
      <c r="E110" t="s">
        <v>8</v>
      </c>
      <c r="F110" s="3">
        <v>5035</v>
      </c>
      <c r="G110" s="3" t="s">
        <v>116</v>
      </c>
      <c r="H110" s="1">
        <v>933849</v>
      </c>
      <c r="I110" s="1">
        <v>0</v>
      </c>
      <c r="J110" s="1">
        <v>933849</v>
      </c>
      <c r="K110">
        <f>VLOOKUP(F110,'LEAID Match'!$A$2:$C$2979,3,FALSE)</f>
        <v>2004590</v>
      </c>
    </row>
    <row r="111" spans="1:11" x14ac:dyDescent="0.2">
      <c r="A111">
        <v>2000006</v>
      </c>
      <c r="B111">
        <v>2015</v>
      </c>
      <c r="C111" t="s">
        <v>6</v>
      </c>
      <c r="D111" t="s">
        <v>7</v>
      </c>
      <c r="E111" t="s">
        <v>8</v>
      </c>
      <c r="F111">
        <v>5036</v>
      </c>
      <c r="G111" t="s">
        <v>117</v>
      </c>
      <c r="H111" s="1">
        <v>484351</v>
      </c>
      <c r="I111" s="1">
        <v>0</v>
      </c>
      <c r="J111" s="1">
        <v>484351</v>
      </c>
      <c r="K111">
        <f>VLOOKUP(F111,'LEAID Match'!$A$2:$C$2979,3,FALSE)</f>
        <v>2000006</v>
      </c>
    </row>
    <row r="112" spans="1:11" x14ac:dyDescent="0.2">
      <c r="A112">
        <v>2009390</v>
      </c>
      <c r="B112">
        <v>2015</v>
      </c>
      <c r="C112" t="s">
        <v>6</v>
      </c>
      <c r="D112" t="s">
        <v>7</v>
      </c>
      <c r="E112" t="s">
        <v>8</v>
      </c>
      <c r="F112">
        <v>5037</v>
      </c>
      <c r="G112" t="s">
        <v>118</v>
      </c>
      <c r="H112" s="1">
        <v>1758445</v>
      </c>
      <c r="I112" s="1">
        <v>0</v>
      </c>
      <c r="J112" s="1">
        <v>1758445</v>
      </c>
      <c r="K112">
        <f>VLOOKUP(F112,'LEAID Match'!$A$2:$C$2979,3,FALSE)</f>
        <v>2009390</v>
      </c>
    </row>
    <row r="113" spans="1:11" x14ac:dyDescent="0.2">
      <c r="A113">
        <v>2006720</v>
      </c>
      <c r="B113">
        <v>2015</v>
      </c>
      <c r="C113" t="s">
        <v>6</v>
      </c>
      <c r="D113" t="s">
        <v>7</v>
      </c>
      <c r="E113" t="s">
        <v>8</v>
      </c>
      <c r="F113">
        <v>5038</v>
      </c>
      <c r="G113" t="s">
        <v>119</v>
      </c>
      <c r="H113" s="1">
        <v>271429</v>
      </c>
      <c r="I113" s="1">
        <v>0</v>
      </c>
      <c r="J113" s="1">
        <v>271429</v>
      </c>
      <c r="K113">
        <f>VLOOKUP(F113,'LEAID Match'!$A$2:$C$2979,3,FALSE)</f>
        <v>2006720</v>
      </c>
    </row>
    <row r="114" spans="1:11" x14ac:dyDescent="0.2">
      <c r="A114">
        <v>2011550</v>
      </c>
      <c r="B114">
        <v>2015</v>
      </c>
      <c r="C114" t="s">
        <v>6</v>
      </c>
      <c r="D114" t="s">
        <v>7</v>
      </c>
      <c r="E114" t="s">
        <v>8</v>
      </c>
      <c r="F114">
        <v>5039</v>
      </c>
      <c r="G114" t="s">
        <v>120</v>
      </c>
      <c r="H114" s="20">
        <v>272572</v>
      </c>
      <c r="I114" s="1">
        <v>0</v>
      </c>
      <c r="J114" s="1">
        <v>272572</v>
      </c>
      <c r="K114">
        <f>VLOOKUP(F114,'LEAID Match'!$A$2:$C$2979,3,FALSE)</f>
        <v>2011550</v>
      </c>
    </row>
    <row r="115" spans="1:11" x14ac:dyDescent="0.2">
      <c r="A115">
        <v>2004980</v>
      </c>
      <c r="B115">
        <v>2015</v>
      </c>
      <c r="C115" t="s">
        <v>6</v>
      </c>
      <c r="D115" t="s">
        <v>7</v>
      </c>
      <c r="E115" t="s">
        <v>8</v>
      </c>
      <c r="F115">
        <v>5040</v>
      </c>
      <c r="G115" t="s">
        <v>121</v>
      </c>
      <c r="H115" s="1">
        <v>878130</v>
      </c>
      <c r="I115" s="1">
        <v>0</v>
      </c>
      <c r="J115" s="1">
        <v>878130</v>
      </c>
      <c r="K115">
        <f>VLOOKUP(F115,'LEAID Match'!$A$2:$C$2979,3,FALSE)</f>
        <v>2004980</v>
      </c>
    </row>
    <row r="116" spans="1:11" x14ac:dyDescent="0.2">
      <c r="A116">
        <v>2006390</v>
      </c>
      <c r="B116">
        <v>2015</v>
      </c>
      <c r="C116" t="s">
        <v>6</v>
      </c>
      <c r="D116" t="s">
        <v>7</v>
      </c>
      <c r="E116" t="s">
        <v>8</v>
      </c>
      <c r="F116">
        <v>5041</v>
      </c>
      <c r="G116" s="9" t="s">
        <v>122</v>
      </c>
      <c r="H116" s="1">
        <v>4956202</v>
      </c>
      <c r="I116" s="1">
        <v>0</v>
      </c>
      <c r="J116" s="1">
        <v>4956202</v>
      </c>
      <c r="K116">
        <f>VLOOKUP(F116,'LEAID Match'!$A$2:$C$2979,3,FALSE)</f>
        <v>2006390</v>
      </c>
    </row>
    <row r="117" spans="1:11" x14ac:dyDescent="0.2">
      <c r="A117">
        <v>2003780</v>
      </c>
      <c r="B117">
        <v>2015</v>
      </c>
      <c r="C117" t="s">
        <v>6</v>
      </c>
      <c r="D117" t="s">
        <v>7</v>
      </c>
      <c r="E117" t="s">
        <v>8</v>
      </c>
      <c r="F117" s="3">
        <v>5042</v>
      </c>
      <c r="G117" s="3" t="s">
        <v>123</v>
      </c>
      <c r="H117" s="22">
        <v>1183756</v>
      </c>
      <c r="I117" s="1">
        <v>0</v>
      </c>
      <c r="J117" s="1">
        <v>1183756</v>
      </c>
      <c r="K117">
        <f>VLOOKUP(F117,'LEAID Match'!$A$2:$C$2979,3,FALSE)</f>
        <v>2003780</v>
      </c>
    </row>
    <row r="118" spans="1:11" x14ac:dyDescent="0.2">
      <c r="A118">
        <v>2013050</v>
      </c>
      <c r="B118">
        <v>2015</v>
      </c>
      <c r="C118" t="s">
        <v>6</v>
      </c>
      <c r="D118" t="s">
        <v>7</v>
      </c>
      <c r="E118" t="s">
        <v>8</v>
      </c>
      <c r="F118" s="3">
        <v>5043</v>
      </c>
      <c r="G118" s="3" t="s">
        <v>124</v>
      </c>
      <c r="H118" s="1">
        <v>1913068</v>
      </c>
      <c r="I118" s="21">
        <v>0</v>
      </c>
      <c r="J118" s="21">
        <v>1913068</v>
      </c>
      <c r="K118">
        <f>VLOOKUP(F118,'LEAID Match'!$A$2:$C$2979,3,FALSE)</f>
        <v>2013050</v>
      </c>
    </row>
    <row r="119" spans="1:11" x14ac:dyDescent="0.2">
      <c r="A119">
        <v>2000012</v>
      </c>
      <c r="B119">
        <v>2015</v>
      </c>
      <c r="C119" t="s">
        <v>6</v>
      </c>
      <c r="D119" t="s">
        <v>7</v>
      </c>
      <c r="E119" t="s">
        <v>8</v>
      </c>
      <c r="F119" s="3">
        <v>5056</v>
      </c>
      <c r="G119" s="3" t="s">
        <v>125</v>
      </c>
      <c r="H119" s="1">
        <v>233614</v>
      </c>
      <c r="I119" s="1">
        <v>0</v>
      </c>
      <c r="J119" s="1">
        <v>233614</v>
      </c>
      <c r="K119">
        <f>VLOOKUP(F119,'LEAID Match'!$A$2:$C$2979,3,FALSE)</f>
        <v>2000012</v>
      </c>
    </row>
    <row r="120" spans="1:11" x14ac:dyDescent="0.2">
      <c r="A120">
        <v>2007590</v>
      </c>
      <c r="B120">
        <v>2015</v>
      </c>
      <c r="C120" t="s">
        <v>6</v>
      </c>
      <c r="D120" t="s">
        <v>7</v>
      </c>
      <c r="E120" t="s">
        <v>8</v>
      </c>
      <c r="F120">
        <v>5057</v>
      </c>
      <c r="G120" t="s">
        <v>126</v>
      </c>
      <c r="H120" s="1">
        <v>379454</v>
      </c>
      <c r="I120" s="1">
        <v>0</v>
      </c>
      <c r="J120" s="1">
        <v>379454</v>
      </c>
      <c r="K120">
        <f>VLOOKUP(F120,'LEAID Match'!$A$2:$C$2979,3,FALSE)</f>
        <v>2007590</v>
      </c>
    </row>
    <row r="121" spans="1:11" x14ac:dyDescent="0.2">
      <c r="A121">
        <v>2003870</v>
      </c>
      <c r="B121">
        <v>2015</v>
      </c>
      <c r="C121" t="s">
        <v>6</v>
      </c>
      <c r="D121" t="s">
        <v>7</v>
      </c>
      <c r="E121" t="s">
        <v>8</v>
      </c>
      <c r="F121">
        <v>5058</v>
      </c>
      <c r="G121" t="s">
        <v>127</v>
      </c>
      <c r="H121" s="1">
        <v>811694</v>
      </c>
      <c r="I121" s="1">
        <v>0</v>
      </c>
      <c r="J121" s="1">
        <v>811694</v>
      </c>
      <c r="K121">
        <f>VLOOKUP(F121,'LEAID Match'!$A$2:$C$2979,3,FALSE)</f>
        <v>2003870</v>
      </c>
    </row>
    <row r="122" spans="1:11" x14ac:dyDescent="0.2">
      <c r="A122">
        <v>2005250</v>
      </c>
      <c r="B122">
        <v>2015</v>
      </c>
      <c r="C122" t="s">
        <v>6</v>
      </c>
      <c r="D122" t="s">
        <v>7</v>
      </c>
      <c r="E122" t="s">
        <v>8</v>
      </c>
      <c r="F122">
        <v>5059</v>
      </c>
      <c r="G122" t="s">
        <v>128</v>
      </c>
      <c r="H122" s="1">
        <v>246348</v>
      </c>
      <c r="I122" s="1">
        <v>0</v>
      </c>
      <c r="J122" s="1">
        <v>246348</v>
      </c>
      <c r="K122">
        <f>VLOOKUP(F122,'LEAID Match'!$A$2:$C$2979,3,FALSE)</f>
        <v>2005250</v>
      </c>
    </row>
    <row r="123" spans="1:11" x14ac:dyDescent="0.2">
      <c r="A123">
        <v>2004500</v>
      </c>
      <c r="B123">
        <v>2015</v>
      </c>
      <c r="C123" t="s">
        <v>6</v>
      </c>
      <c r="D123" t="s">
        <v>7</v>
      </c>
      <c r="E123" t="s">
        <v>8</v>
      </c>
      <c r="F123">
        <v>5060</v>
      </c>
      <c r="G123" t="s">
        <v>129</v>
      </c>
      <c r="H123" s="20">
        <v>90844</v>
      </c>
      <c r="I123" s="1">
        <v>0</v>
      </c>
      <c r="J123" s="1">
        <v>90844</v>
      </c>
      <c r="K123">
        <f>VLOOKUP(F123,'LEAID Match'!$A$2:$C$2979,3,FALSE)</f>
        <v>2004500</v>
      </c>
    </row>
    <row r="124" spans="1:11" x14ac:dyDescent="0.2">
      <c r="A124">
        <v>2011520</v>
      </c>
      <c r="B124">
        <v>2015</v>
      </c>
      <c r="C124" t="s">
        <v>6</v>
      </c>
      <c r="D124" t="s">
        <v>7</v>
      </c>
      <c r="E124" t="s">
        <v>8</v>
      </c>
      <c r="F124">
        <v>5061</v>
      </c>
      <c r="G124" t="s">
        <v>130</v>
      </c>
      <c r="H124" s="1">
        <v>228160</v>
      </c>
      <c r="I124" s="1">
        <v>0</v>
      </c>
      <c r="J124" s="1">
        <v>228160</v>
      </c>
      <c r="K124">
        <f>VLOOKUP(F124,'LEAID Match'!$A$2:$C$2979,3,FALSE)</f>
        <v>2011520</v>
      </c>
    </row>
    <row r="125" spans="1:11" x14ac:dyDescent="0.2">
      <c r="A125">
        <v>2010800</v>
      </c>
      <c r="B125">
        <v>2015</v>
      </c>
      <c r="C125" t="s">
        <v>6</v>
      </c>
      <c r="D125" t="s">
        <v>7</v>
      </c>
      <c r="E125" t="s">
        <v>8</v>
      </c>
      <c r="F125">
        <v>5062</v>
      </c>
      <c r="G125" s="9" t="s">
        <v>131</v>
      </c>
      <c r="H125" s="1">
        <v>397463</v>
      </c>
      <c r="I125" s="1">
        <v>0</v>
      </c>
      <c r="J125" s="1">
        <v>397463</v>
      </c>
      <c r="K125">
        <f>VLOOKUP(F125,'LEAID Match'!$A$2:$C$2979,3,FALSE)</f>
        <v>2010800</v>
      </c>
    </row>
    <row r="126" spans="1:11" x14ac:dyDescent="0.2">
      <c r="A126">
        <v>2005870</v>
      </c>
      <c r="B126">
        <v>2015</v>
      </c>
      <c r="C126" t="s">
        <v>6</v>
      </c>
      <c r="D126" t="s">
        <v>7</v>
      </c>
      <c r="E126" t="s">
        <v>8</v>
      </c>
      <c r="F126" s="3">
        <v>5063</v>
      </c>
      <c r="G126" s="3" t="s">
        <v>132</v>
      </c>
      <c r="H126" s="22">
        <v>332630</v>
      </c>
      <c r="I126" s="1">
        <v>0</v>
      </c>
      <c r="J126" s="1">
        <v>332630</v>
      </c>
      <c r="K126">
        <f>VLOOKUP(F126,'LEAID Match'!$A$2:$C$2979,3,FALSE)</f>
        <v>2005870</v>
      </c>
    </row>
    <row r="127" spans="1:11" x14ac:dyDescent="0.2">
      <c r="A127">
        <v>2012540</v>
      </c>
      <c r="B127">
        <v>2015</v>
      </c>
      <c r="C127" t="s">
        <v>6</v>
      </c>
      <c r="D127" t="s">
        <v>7</v>
      </c>
      <c r="E127" t="s">
        <v>8</v>
      </c>
      <c r="F127" s="3">
        <v>5064</v>
      </c>
      <c r="G127" s="3" t="s">
        <v>133</v>
      </c>
      <c r="H127" s="1">
        <v>242776</v>
      </c>
      <c r="I127" s="21">
        <v>0</v>
      </c>
      <c r="J127" s="21">
        <v>242776</v>
      </c>
      <c r="K127">
        <f>VLOOKUP(F127,'LEAID Match'!$A$2:$C$2979,3,FALSE)</f>
        <v>2012540</v>
      </c>
    </row>
    <row r="128" spans="1:11" x14ac:dyDescent="0.2">
      <c r="A128">
        <v>2009360</v>
      </c>
      <c r="B128">
        <v>2015</v>
      </c>
      <c r="C128" t="s">
        <v>6</v>
      </c>
      <c r="D128" t="s">
        <v>7</v>
      </c>
      <c r="E128" t="s">
        <v>8</v>
      </c>
      <c r="F128" s="3">
        <v>5065</v>
      </c>
      <c r="G128" s="3" t="s">
        <v>134</v>
      </c>
      <c r="H128" s="1">
        <v>245414</v>
      </c>
      <c r="I128" s="1">
        <v>0</v>
      </c>
      <c r="J128" s="1">
        <v>245414</v>
      </c>
      <c r="K128">
        <f>VLOOKUP(F128,'LEAID Match'!$A$2:$C$2979,3,FALSE)</f>
        <v>2009360</v>
      </c>
    </row>
    <row r="129" spans="1:11" x14ac:dyDescent="0.2">
      <c r="A129">
        <v>2004560</v>
      </c>
      <c r="B129">
        <v>2015</v>
      </c>
      <c r="C129" t="s">
        <v>6</v>
      </c>
      <c r="D129" t="s">
        <v>7</v>
      </c>
      <c r="E129" t="s">
        <v>8</v>
      </c>
      <c r="F129">
        <v>5066</v>
      </c>
      <c r="G129" t="s">
        <v>135</v>
      </c>
      <c r="H129" s="1">
        <v>335678</v>
      </c>
      <c r="I129" s="1">
        <v>0</v>
      </c>
      <c r="J129" s="1">
        <v>335678</v>
      </c>
      <c r="K129">
        <f>VLOOKUP(F129,'LEAID Match'!$A$2:$C$2979,3,FALSE)</f>
        <v>2004560</v>
      </c>
    </row>
    <row r="130" spans="1:11" x14ac:dyDescent="0.2">
      <c r="A130">
        <v>2006120</v>
      </c>
      <c r="B130">
        <v>2015</v>
      </c>
      <c r="C130" t="s">
        <v>6</v>
      </c>
      <c r="D130" t="s">
        <v>7</v>
      </c>
      <c r="E130" t="s">
        <v>8</v>
      </c>
      <c r="F130">
        <v>5067</v>
      </c>
      <c r="G130" t="s">
        <v>136</v>
      </c>
      <c r="H130" s="1">
        <v>480491</v>
      </c>
      <c r="I130" s="1">
        <v>0</v>
      </c>
      <c r="J130" s="1">
        <v>480491</v>
      </c>
      <c r="K130">
        <f>VLOOKUP(F130,'LEAID Match'!$A$2:$C$2979,3,FALSE)</f>
        <v>2006120</v>
      </c>
    </row>
    <row r="131" spans="1:11" x14ac:dyDescent="0.2">
      <c r="A131">
        <v>0</v>
      </c>
      <c r="B131">
        <v>2015</v>
      </c>
      <c r="C131" t="s">
        <v>6</v>
      </c>
      <c r="D131" t="s">
        <v>7</v>
      </c>
      <c r="E131" t="s">
        <v>8</v>
      </c>
      <c r="F131">
        <v>5068</v>
      </c>
      <c r="G131" t="s">
        <v>137</v>
      </c>
      <c r="H131" s="1">
        <v>364148</v>
      </c>
      <c r="I131" s="1">
        <v>0</v>
      </c>
      <c r="J131" s="1">
        <v>364148</v>
      </c>
      <c r="K131">
        <f>VLOOKUP(F131,'LEAID Match'!$A$2:$C$2979,3,FALSE)</f>
        <v>0</v>
      </c>
    </row>
    <row r="132" spans="1:11" x14ac:dyDescent="0.2">
      <c r="A132">
        <v>2006840</v>
      </c>
      <c r="B132">
        <v>2015</v>
      </c>
      <c r="C132" t="s">
        <v>6</v>
      </c>
      <c r="D132" t="s">
        <v>7</v>
      </c>
      <c r="E132" t="s">
        <v>8</v>
      </c>
      <c r="F132">
        <v>5069</v>
      </c>
      <c r="G132" t="s">
        <v>138</v>
      </c>
      <c r="H132" s="20">
        <v>414398</v>
      </c>
      <c r="I132" s="1">
        <v>0</v>
      </c>
      <c r="J132" s="1">
        <v>414398</v>
      </c>
      <c r="K132">
        <f>VLOOKUP(F132,'LEAID Match'!$A$2:$C$2979,3,FALSE)</f>
        <v>2006840</v>
      </c>
    </row>
    <row r="133" spans="1:11" x14ac:dyDescent="0.2">
      <c r="A133">
        <v>2012210</v>
      </c>
      <c r="B133">
        <v>2015</v>
      </c>
      <c r="C133" t="s">
        <v>6</v>
      </c>
      <c r="D133" t="s">
        <v>7</v>
      </c>
      <c r="E133" t="s">
        <v>8</v>
      </c>
      <c r="F133">
        <v>5070</v>
      </c>
      <c r="G133" t="s">
        <v>139</v>
      </c>
      <c r="H133" s="1">
        <v>1020141</v>
      </c>
      <c r="I133" s="1">
        <v>0</v>
      </c>
      <c r="J133" s="1">
        <v>1020141</v>
      </c>
      <c r="K133">
        <f>VLOOKUP(F133,'LEAID Match'!$A$2:$C$2979,3,FALSE)</f>
        <v>2012210</v>
      </c>
    </row>
    <row r="134" spans="1:11" x14ac:dyDescent="0.2">
      <c r="A134">
        <v>2005550</v>
      </c>
      <c r="B134">
        <v>2015</v>
      </c>
      <c r="C134" t="s">
        <v>6</v>
      </c>
      <c r="D134" t="s">
        <v>7</v>
      </c>
      <c r="E134" t="s">
        <v>8</v>
      </c>
      <c r="F134">
        <v>5072</v>
      </c>
      <c r="G134" s="9" t="s">
        <v>140</v>
      </c>
      <c r="H134" s="1">
        <v>135455</v>
      </c>
      <c r="I134" s="1">
        <v>0</v>
      </c>
      <c r="J134" s="1">
        <v>135455</v>
      </c>
      <c r="K134">
        <f>VLOOKUP(F134,'LEAID Match'!$A$2:$C$2979,3,FALSE)</f>
        <v>2005550</v>
      </c>
    </row>
    <row r="135" spans="1:11" x14ac:dyDescent="0.2">
      <c r="A135">
        <v>2007110</v>
      </c>
      <c r="B135">
        <v>2015</v>
      </c>
      <c r="C135" t="s">
        <v>6</v>
      </c>
      <c r="D135" t="s">
        <v>7</v>
      </c>
      <c r="E135" t="s">
        <v>8</v>
      </c>
      <c r="F135" s="3">
        <v>5073</v>
      </c>
      <c r="G135" s="3" t="s">
        <v>141</v>
      </c>
      <c r="H135" s="22">
        <v>268593</v>
      </c>
      <c r="I135" s="1">
        <v>0</v>
      </c>
      <c r="J135" s="1">
        <v>268593</v>
      </c>
      <c r="K135">
        <f>VLOOKUP(F135,'LEAID Match'!$A$2:$C$2979,3,FALSE)</f>
        <v>2007110</v>
      </c>
    </row>
    <row r="136" spans="1:11" x14ac:dyDescent="0.2">
      <c r="A136">
        <v>2011190</v>
      </c>
      <c r="B136">
        <v>2015</v>
      </c>
      <c r="C136" t="s">
        <v>6</v>
      </c>
      <c r="D136" t="s">
        <v>7</v>
      </c>
      <c r="E136" t="s">
        <v>8</v>
      </c>
      <c r="F136" s="3">
        <v>5076</v>
      </c>
      <c r="G136" s="3" t="s">
        <v>142</v>
      </c>
      <c r="H136" s="1">
        <v>154212</v>
      </c>
      <c r="I136" s="21">
        <v>0</v>
      </c>
      <c r="J136" s="21">
        <v>154212</v>
      </c>
      <c r="K136">
        <f>VLOOKUP(F136,'LEAID Match'!$A$2:$C$2979,3,FALSE)</f>
        <v>2011190</v>
      </c>
    </row>
    <row r="137" spans="1:11" x14ac:dyDescent="0.2">
      <c r="A137">
        <v>2005790</v>
      </c>
      <c r="B137">
        <v>2015</v>
      </c>
      <c r="C137" t="s">
        <v>6</v>
      </c>
      <c r="D137" t="s">
        <v>7</v>
      </c>
      <c r="E137" t="s">
        <v>8</v>
      </c>
      <c r="F137" s="3">
        <v>5077</v>
      </c>
      <c r="G137" s="3" t="s">
        <v>195</v>
      </c>
      <c r="H137" s="1">
        <v>351302</v>
      </c>
      <c r="I137" s="1">
        <v>0</v>
      </c>
      <c r="J137" s="1">
        <v>351302</v>
      </c>
      <c r="K137">
        <f>VLOOKUP(F137,'LEAID Match'!$A$2:$C$2979,3,FALSE)</f>
        <v>2005790</v>
      </c>
    </row>
    <row r="138" spans="1:11" x14ac:dyDescent="0.2">
      <c r="A138">
        <v>2009420</v>
      </c>
      <c r="B138">
        <v>2015</v>
      </c>
      <c r="C138" t="s">
        <v>6</v>
      </c>
      <c r="D138" t="s">
        <v>7</v>
      </c>
      <c r="E138" t="s">
        <v>8</v>
      </c>
      <c r="F138">
        <v>5078</v>
      </c>
      <c r="G138" t="s">
        <v>144</v>
      </c>
      <c r="H138" s="1">
        <v>279143</v>
      </c>
      <c r="I138" s="1">
        <v>0</v>
      </c>
      <c r="J138" s="1">
        <v>279143</v>
      </c>
      <c r="K138">
        <f>VLOOKUP(F138,'LEAID Match'!$A$2:$C$2979,3,FALSE)</f>
        <v>2009420</v>
      </c>
    </row>
    <row r="139" spans="1:11" x14ac:dyDescent="0.2">
      <c r="A139">
        <v>2012450</v>
      </c>
      <c r="B139">
        <v>2015</v>
      </c>
      <c r="C139" t="s">
        <v>6</v>
      </c>
      <c r="D139" t="s">
        <v>7</v>
      </c>
      <c r="E139" t="s">
        <v>8</v>
      </c>
      <c r="F139">
        <v>5079</v>
      </c>
      <c r="G139" t="s">
        <v>145</v>
      </c>
      <c r="H139" s="1">
        <v>316333</v>
      </c>
      <c r="I139" s="1">
        <v>0</v>
      </c>
      <c r="J139" s="1">
        <v>316333</v>
      </c>
      <c r="K139">
        <f>VLOOKUP(F139,'LEAID Match'!$A$2:$C$2979,3,FALSE)</f>
        <v>2012450</v>
      </c>
    </row>
    <row r="140" spans="1:11" x14ac:dyDescent="0.2">
      <c r="A140">
        <v>2006930</v>
      </c>
      <c r="B140">
        <v>2015</v>
      </c>
      <c r="C140" t="s">
        <v>6</v>
      </c>
      <c r="D140" t="s">
        <v>7</v>
      </c>
      <c r="E140" t="s">
        <v>8</v>
      </c>
      <c r="F140">
        <v>5080</v>
      </c>
      <c r="G140" t="s">
        <v>146</v>
      </c>
      <c r="H140" s="1">
        <v>293224</v>
      </c>
      <c r="I140" s="1">
        <v>0</v>
      </c>
      <c r="J140" s="1">
        <v>293224</v>
      </c>
      <c r="K140">
        <f>VLOOKUP(F140,'LEAID Match'!$A$2:$C$2979,3,FALSE)</f>
        <v>2006930</v>
      </c>
    </row>
    <row r="141" spans="1:11" x14ac:dyDescent="0.2">
      <c r="A141">
        <v>2009450</v>
      </c>
      <c r="B141">
        <v>2015</v>
      </c>
      <c r="C141" t="s">
        <v>6</v>
      </c>
      <c r="D141" t="s">
        <v>7</v>
      </c>
      <c r="E141" t="s">
        <v>8</v>
      </c>
      <c r="F141">
        <v>5081</v>
      </c>
      <c r="G141" t="s">
        <v>147</v>
      </c>
      <c r="H141" s="20">
        <v>250613</v>
      </c>
      <c r="I141" s="1">
        <v>0</v>
      </c>
      <c r="J141" s="1">
        <v>250613</v>
      </c>
      <c r="K141">
        <f>VLOOKUP(F141,'LEAID Match'!$A$2:$C$2979,3,FALSE)</f>
        <v>2009450</v>
      </c>
    </row>
    <row r="142" spans="1:11" x14ac:dyDescent="0.2">
      <c r="A142">
        <v>2010470</v>
      </c>
      <c r="B142">
        <v>2015</v>
      </c>
      <c r="C142" t="s">
        <v>6</v>
      </c>
      <c r="D142" t="s">
        <v>7</v>
      </c>
      <c r="E142" t="s">
        <v>8</v>
      </c>
      <c r="F142">
        <v>5082</v>
      </c>
      <c r="G142" t="s">
        <v>148</v>
      </c>
      <c r="H142" s="1">
        <v>115636</v>
      </c>
      <c r="I142" s="1">
        <v>0</v>
      </c>
      <c r="J142" s="1">
        <v>115636</v>
      </c>
      <c r="K142">
        <f>VLOOKUP(F142,'LEAID Match'!$A$2:$C$2979,3,FALSE)</f>
        <v>2010470</v>
      </c>
    </row>
    <row r="143" spans="1:11" x14ac:dyDescent="0.2">
      <c r="A143">
        <v>2010740</v>
      </c>
      <c r="B143">
        <v>2015</v>
      </c>
      <c r="C143" t="s">
        <v>6</v>
      </c>
      <c r="D143" t="s">
        <v>7</v>
      </c>
      <c r="E143" t="s">
        <v>8</v>
      </c>
      <c r="F143">
        <v>5083</v>
      </c>
      <c r="G143" s="9" t="s">
        <v>149</v>
      </c>
      <c r="H143" s="1">
        <v>185711</v>
      </c>
      <c r="I143" s="1">
        <v>0</v>
      </c>
      <c r="J143" s="1">
        <v>185711</v>
      </c>
      <c r="K143">
        <f>VLOOKUP(F143,'LEAID Match'!$A$2:$C$2979,3,FALSE)</f>
        <v>2010740</v>
      </c>
    </row>
    <row r="144" spans="1:11" x14ac:dyDescent="0.2">
      <c r="A144">
        <v>2007260</v>
      </c>
      <c r="B144">
        <v>2015</v>
      </c>
      <c r="C144" t="s">
        <v>6</v>
      </c>
      <c r="D144" t="s">
        <v>7</v>
      </c>
      <c r="E144" t="s">
        <v>8</v>
      </c>
      <c r="F144" s="3">
        <v>5087</v>
      </c>
      <c r="G144" s="3" t="s">
        <v>360</v>
      </c>
      <c r="H144" s="22">
        <v>228802</v>
      </c>
      <c r="I144" s="1">
        <v>0</v>
      </c>
      <c r="J144" s="1">
        <v>228802</v>
      </c>
      <c r="K144">
        <f>VLOOKUP(F144,'LEAID Match'!$A$2:$C$2979,3,FALSE)</f>
        <v>2007260</v>
      </c>
    </row>
    <row r="145" spans="1:11" x14ac:dyDescent="0.2">
      <c r="A145">
        <v>2012870</v>
      </c>
      <c r="B145">
        <v>2015</v>
      </c>
      <c r="C145" t="s">
        <v>6</v>
      </c>
      <c r="D145" t="s">
        <v>7</v>
      </c>
      <c r="E145" t="s">
        <v>8</v>
      </c>
      <c r="F145" s="3">
        <v>5088</v>
      </c>
      <c r="G145" s="3" t="s">
        <v>151</v>
      </c>
      <c r="H145" s="1">
        <v>438187</v>
      </c>
      <c r="I145" s="21">
        <v>0</v>
      </c>
      <c r="J145" s="21">
        <v>438187</v>
      </c>
      <c r="K145">
        <f>VLOOKUP(F145,'LEAID Match'!$A$2:$C$2979,3,FALSE)</f>
        <v>2012870</v>
      </c>
    </row>
    <row r="146" spans="1:11" x14ac:dyDescent="0.2">
      <c r="A146">
        <v>2008790</v>
      </c>
      <c r="B146">
        <v>2015</v>
      </c>
      <c r="C146" t="s">
        <v>6</v>
      </c>
      <c r="D146" t="s">
        <v>7</v>
      </c>
      <c r="E146" t="s">
        <v>8</v>
      </c>
      <c r="F146" s="3">
        <v>5089</v>
      </c>
      <c r="G146" s="3" t="s">
        <v>152</v>
      </c>
      <c r="H146" s="1">
        <v>234870</v>
      </c>
      <c r="I146" s="1">
        <v>0</v>
      </c>
      <c r="J146" s="1">
        <v>234870</v>
      </c>
      <c r="K146">
        <f>VLOOKUP(F146,'LEAID Match'!$A$2:$C$2979,3,FALSE)</f>
        <v>2008790</v>
      </c>
    </row>
    <row r="147" spans="1:11" x14ac:dyDescent="0.2">
      <c r="A147">
        <v>2009930</v>
      </c>
      <c r="B147">
        <v>2015</v>
      </c>
      <c r="C147" t="s">
        <v>6</v>
      </c>
      <c r="D147" t="s">
        <v>7</v>
      </c>
      <c r="E147" t="s">
        <v>8</v>
      </c>
      <c r="F147">
        <v>5090</v>
      </c>
      <c r="G147" t="s">
        <v>153</v>
      </c>
      <c r="H147" s="1">
        <v>170906</v>
      </c>
      <c r="I147" s="1">
        <v>0</v>
      </c>
      <c r="J147" s="1">
        <v>170906</v>
      </c>
      <c r="K147">
        <f>VLOOKUP(F147,'LEAID Match'!$A$2:$C$2979,3,FALSE)</f>
        <v>2009930</v>
      </c>
    </row>
    <row r="148" spans="1:11" x14ac:dyDescent="0.2">
      <c r="A148">
        <v>2007970</v>
      </c>
      <c r="B148">
        <v>2015</v>
      </c>
      <c r="C148" t="s">
        <v>6</v>
      </c>
      <c r="D148" t="s">
        <v>7</v>
      </c>
      <c r="E148" t="s">
        <v>8</v>
      </c>
      <c r="F148">
        <v>5092</v>
      </c>
      <c r="G148" t="s">
        <v>154</v>
      </c>
      <c r="H148" s="1">
        <v>802217</v>
      </c>
      <c r="I148" s="1">
        <v>0</v>
      </c>
      <c r="J148" s="1">
        <v>802217</v>
      </c>
      <c r="K148">
        <f>VLOOKUP(F148,'LEAID Match'!$A$2:$C$2979,3,FALSE)</f>
        <v>2007970</v>
      </c>
    </row>
    <row r="149" spans="1:11" x14ac:dyDescent="0.2">
      <c r="A149">
        <v>2010170</v>
      </c>
      <c r="B149">
        <v>2015</v>
      </c>
      <c r="C149" t="s">
        <v>6</v>
      </c>
      <c r="D149" t="s">
        <v>7</v>
      </c>
      <c r="E149" t="s">
        <v>8</v>
      </c>
      <c r="F149">
        <v>5093</v>
      </c>
      <c r="G149" t="s">
        <v>155</v>
      </c>
      <c r="H149" s="1">
        <v>198890</v>
      </c>
      <c r="I149" s="1">
        <v>0</v>
      </c>
      <c r="J149" s="1">
        <v>198890</v>
      </c>
      <c r="K149">
        <f>VLOOKUP(F149,'LEAID Match'!$A$2:$C$2979,3,FALSE)</f>
        <v>2010170</v>
      </c>
    </row>
    <row r="150" spans="1:11" x14ac:dyDescent="0.2">
      <c r="A150">
        <v>2003240</v>
      </c>
      <c r="B150">
        <v>2015</v>
      </c>
      <c r="C150" t="s">
        <v>6</v>
      </c>
      <c r="D150" t="s">
        <v>7</v>
      </c>
      <c r="E150" t="s">
        <v>8</v>
      </c>
      <c r="F150">
        <v>5095</v>
      </c>
      <c r="G150" t="s">
        <v>156</v>
      </c>
      <c r="H150" s="20">
        <v>337355</v>
      </c>
      <c r="I150" s="1">
        <v>0</v>
      </c>
      <c r="J150" s="1">
        <v>337355</v>
      </c>
      <c r="K150">
        <f>VLOOKUP(F150,'LEAID Match'!$A$2:$C$2979,3,FALSE)</f>
        <v>2003240</v>
      </c>
    </row>
    <row r="151" spans="1:11" x14ac:dyDescent="0.2">
      <c r="A151">
        <v>2007750</v>
      </c>
      <c r="B151">
        <v>2015</v>
      </c>
      <c r="C151" t="s">
        <v>6</v>
      </c>
      <c r="D151" t="s">
        <v>7</v>
      </c>
      <c r="E151" t="s">
        <v>8</v>
      </c>
      <c r="F151">
        <v>5096</v>
      </c>
      <c r="G151" t="s">
        <v>157</v>
      </c>
      <c r="H151" s="1">
        <v>313123</v>
      </c>
      <c r="I151" s="1">
        <v>0</v>
      </c>
      <c r="J151" s="1">
        <v>313123</v>
      </c>
      <c r="K151">
        <f>VLOOKUP(F151,'LEAID Match'!$A$2:$C$2979,3,FALSE)</f>
        <v>2007750</v>
      </c>
    </row>
    <row r="152" spans="1:11" x14ac:dyDescent="0.2">
      <c r="A152">
        <v>2004380</v>
      </c>
      <c r="B152">
        <v>2015</v>
      </c>
      <c r="C152" t="s">
        <v>6</v>
      </c>
      <c r="D152" t="s">
        <v>7</v>
      </c>
      <c r="E152" t="s">
        <v>8</v>
      </c>
      <c r="F152">
        <v>5098</v>
      </c>
      <c r="G152" s="9" t="s">
        <v>158</v>
      </c>
      <c r="H152" s="1">
        <v>166297</v>
      </c>
      <c r="I152" s="1">
        <v>0</v>
      </c>
      <c r="J152" s="1">
        <v>166297</v>
      </c>
      <c r="K152">
        <f>VLOOKUP(F152,'LEAID Match'!$A$2:$C$2979,3,FALSE)</f>
        <v>2004380</v>
      </c>
    </row>
    <row r="153" spans="1:11" x14ac:dyDescent="0.2">
      <c r="A153">
        <v>2006450</v>
      </c>
      <c r="B153">
        <v>2015</v>
      </c>
      <c r="C153" t="s">
        <v>6</v>
      </c>
      <c r="D153" t="s">
        <v>7</v>
      </c>
      <c r="E153" t="s">
        <v>8</v>
      </c>
      <c r="F153" s="3">
        <v>5099</v>
      </c>
      <c r="G153" s="3" t="s">
        <v>159</v>
      </c>
      <c r="H153" s="22">
        <v>621022</v>
      </c>
      <c r="I153" s="1">
        <v>0</v>
      </c>
      <c r="J153" s="1">
        <v>621022</v>
      </c>
      <c r="K153">
        <f>VLOOKUP(F153,'LEAID Match'!$A$2:$C$2979,3,FALSE)</f>
        <v>2006450</v>
      </c>
    </row>
    <row r="154" spans="1:11" x14ac:dyDescent="0.2">
      <c r="A154">
        <v>2010260</v>
      </c>
      <c r="B154">
        <v>2015</v>
      </c>
      <c r="C154" t="s">
        <v>6</v>
      </c>
      <c r="D154" t="s">
        <v>7</v>
      </c>
      <c r="E154" t="s">
        <v>8</v>
      </c>
      <c r="F154" s="3">
        <v>5100</v>
      </c>
      <c r="G154" s="3" t="s">
        <v>160</v>
      </c>
      <c r="H154" s="1">
        <v>675914</v>
      </c>
      <c r="I154" s="21">
        <v>0</v>
      </c>
      <c r="J154" s="21">
        <v>675914</v>
      </c>
      <c r="K154">
        <f>VLOOKUP(F154,'LEAID Match'!$A$2:$C$2979,3,FALSE)</f>
        <v>2010260</v>
      </c>
    </row>
    <row r="155" spans="1:11" x14ac:dyDescent="0.2">
      <c r="A155">
        <v>2011700</v>
      </c>
      <c r="B155">
        <v>2015</v>
      </c>
      <c r="C155" t="s">
        <v>6</v>
      </c>
      <c r="D155" t="s">
        <v>7</v>
      </c>
      <c r="E155" t="s">
        <v>8</v>
      </c>
      <c r="F155" s="3">
        <v>5101</v>
      </c>
      <c r="G155" s="3" t="s">
        <v>161</v>
      </c>
      <c r="H155" s="1">
        <v>437151</v>
      </c>
      <c r="I155" s="1">
        <v>0</v>
      </c>
      <c r="J155" s="1">
        <v>437151</v>
      </c>
      <c r="K155">
        <f>VLOOKUP(F155,'LEAID Match'!$A$2:$C$2979,3,FALSE)</f>
        <v>2011700</v>
      </c>
    </row>
    <row r="156" spans="1:11" x14ac:dyDescent="0.2">
      <c r="A156">
        <v>2004890</v>
      </c>
      <c r="B156">
        <v>2015</v>
      </c>
      <c r="C156" t="s">
        <v>6</v>
      </c>
      <c r="D156" t="s">
        <v>7</v>
      </c>
      <c r="E156" t="s">
        <v>8</v>
      </c>
      <c r="F156">
        <v>5102</v>
      </c>
      <c r="G156" t="s">
        <v>162</v>
      </c>
      <c r="H156" s="1">
        <v>1005393</v>
      </c>
      <c r="I156" s="1">
        <v>0</v>
      </c>
      <c r="J156" s="1">
        <v>1005393</v>
      </c>
      <c r="K156">
        <f>VLOOKUP(F156,'LEAID Match'!$A$2:$C$2979,3,FALSE)</f>
        <v>2004890</v>
      </c>
    </row>
    <row r="157" spans="1:11" x14ac:dyDescent="0.2">
      <c r="A157">
        <v>2010890</v>
      </c>
      <c r="B157">
        <v>2015</v>
      </c>
      <c r="C157" t="s">
        <v>6</v>
      </c>
      <c r="D157" t="s">
        <v>7</v>
      </c>
      <c r="E157" t="s">
        <v>8</v>
      </c>
      <c r="F157">
        <v>5103</v>
      </c>
      <c r="G157" t="s">
        <v>163</v>
      </c>
      <c r="H157" s="1">
        <v>609234</v>
      </c>
      <c r="I157" s="1">
        <v>0</v>
      </c>
      <c r="J157" s="1">
        <v>609234</v>
      </c>
      <c r="K157">
        <f>VLOOKUP(F157,'LEAID Match'!$A$2:$C$2979,3,FALSE)</f>
        <v>2010890</v>
      </c>
    </row>
    <row r="158" spans="1:11" x14ac:dyDescent="0.2">
      <c r="A158">
        <v>2004440</v>
      </c>
      <c r="B158">
        <v>2015</v>
      </c>
      <c r="C158" t="s">
        <v>6</v>
      </c>
      <c r="D158" t="s">
        <v>7</v>
      </c>
      <c r="E158" t="s">
        <v>8</v>
      </c>
      <c r="F158">
        <v>5104</v>
      </c>
      <c r="G158" t="s">
        <v>164</v>
      </c>
      <c r="H158" s="1">
        <v>223641</v>
      </c>
      <c r="I158" s="1">
        <v>0</v>
      </c>
      <c r="J158" s="1">
        <v>223641</v>
      </c>
      <c r="K158">
        <f>VLOOKUP(F158,'LEAID Match'!$A$2:$C$2979,3,FALSE)</f>
        <v>2004440</v>
      </c>
    </row>
    <row r="159" spans="1:11" x14ac:dyDescent="0.2">
      <c r="A159">
        <v>2004140</v>
      </c>
      <c r="B159">
        <v>2015</v>
      </c>
      <c r="C159" t="s">
        <v>6</v>
      </c>
      <c r="D159" t="s">
        <v>7</v>
      </c>
      <c r="E159" t="s">
        <v>8</v>
      </c>
      <c r="F159">
        <v>5105</v>
      </c>
      <c r="G159" t="s">
        <v>165</v>
      </c>
      <c r="H159" s="20">
        <v>168872</v>
      </c>
      <c r="I159" s="1">
        <v>0</v>
      </c>
      <c r="J159" s="1">
        <v>168872</v>
      </c>
      <c r="K159">
        <f>VLOOKUP(F159,'LEAID Match'!$A$2:$C$2979,3,FALSE)</f>
        <v>2004140</v>
      </c>
    </row>
    <row r="160" spans="1:11" x14ac:dyDescent="0.2">
      <c r="A160">
        <v>2008190</v>
      </c>
      <c r="B160">
        <v>2015</v>
      </c>
      <c r="C160" t="s">
        <v>6</v>
      </c>
      <c r="D160" t="s">
        <v>7</v>
      </c>
      <c r="E160" t="s">
        <v>8</v>
      </c>
      <c r="F160">
        <v>5106</v>
      </c>
      <c r="G160" t="s">
        <v>166</v>
      </c>
      <c r="H160" s="1">
        <v>464511</v>
      </c>
      <c r="I160" s="1">
        <v>0</v>
      </c>
      <c r="J160" s="1">
        <v>464511</v>
      </c>
      <c r="K160">
        <f>VLOOKUP(F160,'LEAID Match'!$A$2:$C$2979,3,FALSE)</f>
        <v>2008190</v>
      </c>
    </row>
    <row r="161" spans="1:11" x14ac:dyDescent="0.2">
      <c r="A161">
        <v>2007560</v>
      </c>
      <c r="B161">
        <v>2015</v>
      </c>
      <c r="C161" t="s">
        <v>6</v>
      </c>
      <c r="D161" t="s">
        <v>7</v>
      </c>
      <c r="E161" t="s">
        <v>8</v>
      </c>
      <c r="F161">
        <v>5116</v>
      </c>
      <c r="G161" s="9" t="s">
        <v>167</v>
      </c>
      <c r="H161" s="1">
        <v>602453</v>
      </c>
      <c r="I161" s="1">
        <v>0</v>
      </c>
      <c r="J161" s="1">
        <v>602453</v>
      </c>
      <c r="K161">
        <f>VLOOKUP(F161,'LEAID Match'!$A$2:$C$2979,3,FALSE)</f>
        <v>2007560</v>
      </c>
    </row>
    <row r="162" spans="1:11" x14ac:dyDescent="0.2">
      <c r="A162">
        <v>2003270</v>
      </c>
      <c r="B162">
        <v>2015</v>
      </c>
      <c r="C162" t="s">
        <v>6</v>
      </c>
      <c r="D162" t="s">
        <v>7</v>
      </c>
      <c r="E162" t="s">
        <v>8</v>
      </c>
      <c r="F162" s="3">
        <v>5117</v>
      </c>
      <c r="G162" s="3" t="s">
        <v>168</v>
      </c>
      <c r="H162" s="22">
        <v>145072</v>
      </c>
      <c r="I162" s="1">
        <v>0</v>
      </c>
      <c r="J162" s="1">
        <v>145072</v>
      </c>
      <c r="K162">
        <f>VLOOKUP(F162,'LEAID Match'!$A$2:$C$2979,3,FALSE)</f>
        <v>2003270</v>
      </c>
    </row>
    <row r="163" spans="1:11" x14ac:dyDescent="0.2">
      <c r="A163">
        <v>2012420</v>
      </c>
      <c r="B163">
        <v>2015</v>
      </c>
      <c r="C163" t="s">
        <v>6</v>
      </c>
      <c r="D163" t="s">
        <v>7</v>
      </c>
      <c r="E163" t="s">
        <v>8</v>
      </c>
      <c r="F163" s="3">
        <v>5118</v>
      </c>
      <c r="G163" s="3" t="s">
        <v>169</v>
      </c>
      <c r="H163" s="1">
        <v>890700</v>
      </c>
      <c r="I163" s="21">
        <v>0</v>
      </c>
      <c r="J163" s="21">
        <v>890700</v>
      </c>
      <c r="K163">
        <f>VLOOKUP(F163,'LEAID Match'!$A$2:$C$2979,3,FALSE)</f>
        <v>2012420</v>
      </c>
    </row>
    <row r="164" spans="1:11" x14ac:dyDescent="0.2">
      <c r="A164">
        <v>2009600</v>
      </c>
      <c r="B164">
        <v>2015</v>
      </c>
      <c r="C164" t="s">
        <v>6</v>
      </c>
      <c r="D164" t="s">
        <v>7</v>
      </c>
      <c r="E164" t="s">
        <v>8</v>
      </c>
      <c r="F164" s="3">
        <v>5119</v>
      </c>
      <c r="G164" s="3" t="s">
        <v>170</v>
      </c>
      <c r="H164" s="1">
        <v>154073</v>
      </c>
      <c r="I164" s="1">
        <v>0</v>
      </c>
      <c r="J164" s="1">
        <v>154073</v>
      </c>
      <c r="K164">
        <f>VLOOKUP(F164,'LEAID Match'!$A$2:$C$2979,3,FALSE)</f>
        <v>2009600</v>
      </c>
    </row>
    <row r="165" spans="1:11" x14ac:dyDescent="0.2">
      <c r="A165">
        <v>2006420</v>
      </c>
      <c r="B165">
        <v>2015</v>
      </c>
      <c r="C165" t="s">
        <v>6</v>
      </c>
      <c r="D165" t="s">
        <v>7</v>
      </c>
      <c r="E165" t="s">
        <v>8</v>
      </c>
      <c r="F165">
        <v>5120</v>
      </c>
      <c r="G165" t="s">
        <v>366</v>
      </c>
      <c r="H165" s="1">
        <v>3264063</v>
      </c>
      <c r="I165" s="1">
        <v>0</v>
      </c>
      <c r="J165" s="1">
        <v>3264063</v>
      </c>
      <c r="K165">
        <f>VLOOKUP(F165,'LEAID Match'!$A$2:$C$2979,3,FALSE)</f>
        <v>2006420</v>
      </c>
    </row>
    <row r="166" spans="1:11" x14ac:dyDescent="0.2">
      <c r="A166">
        <v>2008130</v>
      </c>
      <c r="B166">
        <v>2015</v>
      </c>
      <c r="C166" t="s">
        <v>6</v>
      </c>
      <c r="D166" t="s">
        <v>7</v>
      </c>
      <c r="E166" t="s">
        <v>8</v>
      </c>
      <c r="F166">
        <v>5122</v>
      </c>
      <c r="G166" t="s">
        <v>172</v>
      </c>
      <c r="H166" s="1">
        <v>159902</v>
      </c>
      <c r="I166" s="1">
        <v>0</v>
      </c>
      <c r="J166" s="1">
        <v>159902</v>
      </c>
      <c r="K166">
        <f>VLOOKUP(F166,'LEAID Match'!$A$2:$C$2979,3,FALSE)</f>
        <v>2008130</v>
      </c>
    </row>
    <row r="167" spans="1:11" x14ac:dyDescent="0.2">
      <c r="A167">
        <v>2009660</v>
      </c>
      <c r="B167">
        <v>2015</v>
      </c>
      <c r="C167" t="s">
        <v>6</v>
      </c>
      <c r="D167" t="s">
        <v>7</v>
      </c>
      <c r="E167" t="s">
        <v>8</v>
      </c>
      <c r="F167">
        <v>5123</v>
      </c>
      <c r="G167" t="s">
        <v>173</v>
      </c>
      <c r="H167" s="1">
        <v>168090</v>
      </c>
      <c r="I167" s="1">
        <v>0</v>
      </c>
      <c r="J167" s="1">
        <v>168090</v>
      </c>
      <c r="K167">
        <f>VLOOKUP(F167,'LEAID Match'!$A$2:$C$2979,3,FALSE)</f>
        <v>2009660</v>
      </c>
    </row>
    <row r="168" spans="1:11" x14ac:dyDescent="0.2">
      <c r="A168">
        <v>2000003</v>
      </c>
      <c r="B168">
        <v>2015</v>
      </c>
      <c r="C168" t="s">
        <v>6</v>
      </c>
      <c r="D168" t="s">
        <v>7</v>
      </c>
      <c r="E168" t="s">
        <v>8</v>
      </c>
      <c r="F168">
        <v>5125</v>
      </c>
      <c r="G168" t="s">
        <v>174</v>
      </c>
      <c r="H168" s="20">
        <v>1137078</v>
      </c>
      <c r="I168" s="1">
        <v>0</v>
      </c>
      <c r="J168" s="1">
        <v>1137078</v>
      </c>
      <c r="K168">
        <f>VLOOKUP(F168,'LEAID Match'!$A$2:$C$2979,3,FALSE)</f>
        <v>2000003</v>
      </c>
    </row>
    <row r="169" spans="1:11" x14ac:dyDescent="0.2">
      <c r="A169">
        <v>2005370</v>
      </c>
      <c r="B169">
        <v>2015</v>
      </c>
      <c r="C169" t="s">
        <v>6</v>
      </c>
      <c r="D169" t="s">
        <v>7</v>
      </c>
      <c r="E169" t="s">
        <v>8</v>
      </c>
      <c r="F169">
        <v>5127</v>
      </c>
      <c r="G169" t="s">
        <v>175</v>
      </c>
      <c r="H169" s="1">
        <v>140638</v>
      </c>
      <c r="I169" s="1">
        <v>0</v>
      </c>
      <c r="J169" s="1">
        <v>140638</v>
      </c>
      <c r="K169">
        <f>VLOOKUP(F169,'LEAID Match'!$A$2:$C$2979,3,FALSE)</f>
        <v>2005370</v>
      </c>
    </row>
    <row r="170" spans="1:11" x14ac:dyDescent="0.2">
      <c r="A170">
        <v>2004830</v>
      </c>
      <c r="B170">
        <v>2015</v>
      </c>
      <c r="C170" t="s">
        <v>6</v>
      </c>
      <c r="D170" t="s">
        <v>7</v>
      </c>
      <c r="E170" t="s">
        <v>8</v>
      </c>
      <c r="F170">
        <v>5128</v>
      </c>
      <c r="G170" s="9" t="s">
        <v>176</v>
      </c>
      <c r="H170" s="1">
        <v>213771</v>
      </c>
      <c r="I170" s="1">
        <v>0</v>
      </c>
      <c r="J170" s="1">
        <v>213771</v>
      </c>
      <c r="K170">
        <f>VLOOKUP(F170,'LEAID Match'!$A$2:$C$2979,3,FALSE)</f>
        <v>2004830</v>
      </c>
    </row>
    <row r="171" spans="1:11" x14ac:dyDescent="0.2">
      <c r="A171">
        <v>2009320</v>
      </c>
      <c r="B171">
        <v>2015</v>
      </c>
      <c r="C171" t="s">
        <v>6</v>
      </c>
      <c r="D171" t="s">
        <v>7</v>
      </c>
      <c r="E171" t="s">
        <v>8</v>
      </c>
      <c r="F171" s="3">
        <v>5129</v>
      </c>
      <c r="G171" s="3" t="s">
        <v>177</v>
      </c>
      <c r="H171" s="22">
        <v>549795</v>
      </c>
      <c r="I171" s="1">
        <v>0</v>
      </c>
      <c r="J171" s="1">
        <v>549795</v>
      </c>
      <c r="K171">
        <f>VLOOKUP(F171,'LEAID Match'!$A$2:$C$2979,3,FALSE)</f>
        <v>2009320</v>
      </c>
    </row>
    <row r="172" spans="1:11" x14ac:dyDescent="0.2">
      <c r="A172">
        <v>2010620</v>
      </c>
      <c r="B172">
        <v>2015</v>
      </c>
      <c r="C172" t="s">
        <v>6</v>
      </c>
      <c r="D172" t="s">
        <v>7</v>
      </c>
      <c r="E172" t="s">
        <v>8</v>
      </c>
      <c r="F172" s="3">
        <v>5130</v>
      </c>
      <c r="G172" s="3" t="s">
        <v>178</v>
      </c>
      <c r="H172" s="1">
        <v>488148</v>
      </c>
      <c r="I172" s="21">
        <v>0</v>
      </c>
      <c r="J172" s="21">
        <v>488148</v>
      </c>
      <c r="K172">
        <f>VLOOKUP(F172,'LEAID Match'!$A$2:$C$2979,3,FALSE)</f>
        <v>2010620</v>
      </c>
    </row>
    <row r="173" spans="1:11" x14ac:dyDescent="0.2">
      <c r="A173">
        <v>2000016</v>
      </c>
      <c r="B173">
        <v>2015</v>
      </c>
      <c r="C173" t="s">
        <v>6</v>
      </c>
      <c r="D173" t="s">
        <v>7</v>
      </c>
      <c r="E173" t="s">
        <v>8</v>
      </c>
      <c r="F173" s="3">
        <v>5131</v>
      </c>
      <c r="G173" s="3" t="s">
        <v>179</v>
      </c>
      <c r="H173" s="1">
        <v>537277</v>
      </c>
      <c r="I173" s="1">
        <v>0</v>
      </c>
      <c r="J173" s="1">
        <v>537277</v>
      </c>
      <c r="K173">
        <f>VLOOKUP(F173,'LEAID Match'!$A$2:$C$2979,3,FALSE)</f>
        <v>2000016</v>
      </c>
    </row>
    <row r="174" spans="1:11" x14ac:dyDescent="0.2">
      <c r="A174">
        <v>2010500</v>
      </c>
      <c r="B174">
        <v>2015</v>
      </c>
      <c r="C174" t="s">
        <v>6</v>
      </c>
      <c r="D174" t="s">
        <v>7</v>
      </c>
      <c r="E174" t="s">
        <v>8</v>
      </c>
      <c r="F174">
        <v>5132</v>
      </c>
      <c r="G174" t="s">
        <v>180</v>
      </c>
      <c r="H174" s="1">
        <v>2015212</v>
      </c>
      <c r="I174" s="1">
        <v>0</v>
      </c>
      <c r="J174" s="1">
        <v>2015212</v>
      </c>
      <c r="K174">
        <f>VLOOKUP(F174,'LEAID Match'!$A$2:$C$2979,3,FALSE)</f>
        <v>2010500</v>
      </c>
    </row>
    <row r="175" spans="1:11" x14ac:dyDescent="0.2">
      <c r="A175">
        <v>2011820</v>
      </c>
      <c r="B175">
        <v>2015</v>
      </c>
      <c r="C175" t="s">
        <v>6</v>
      </c>
      <c r="D175" t="s">
        <v>7</v>
      </c>
      <c r="E175" t="s">
        <v>8</v>
      </c>
      <c r="F175">
        <v>5133</v>
      </c>
      <c r="G175" t="s">
        <v>361</v>
      </c>
      <c r="H175" s="1">
        <v>199660</v>
      </c>
      <c r="I175" s="1">
        <v>0</v>
      </c>
      <c r="J175" s="1">
        <v>199660</v>
      </c>
      <c r="K175">
        <f>VLOOKUP(F175,'LEAID Match'!$A$2:$C$2979,3,FALSE)</f>
        <v>2011820</v>
      </c>
    </row>
    <row r="176" spans="1:11" x14ac:dyDescent="0.2">
      <c r="A176">
        <v>2011760</v>
      </c>
      <c r="B176">
        <v>2015</v>
      </c>
      <c r="C176" t="s">
        <v>6</v>
      </c>
      <c r="D176" t="s">
        <v>7</v>
      </c>
      <c r="E176" t="s">
        <v>8</v>
      </c>
      <c r="F176">
        <v>5134</v>
      </c>
      <c r="G176" t="s">
        <v>182</v>
      </c>
      <c r="H176" s="1">
        <v>199868</v>
      </c>
      <c r="I176" s="1">
        <v>0</v>
      </c>
      <c r="J176" s="1">
        <v>199868</v>
      </c>
      <c r="K176">
        <f>VLOOKUP(F176,'LEAID Match'!$A$2:$C$2979,3,FALSE)</f>
        <v>2011760</v>
      </c>
    </row>
    <row r="177" spans="1:11" x14ac:dyDescent="0.2">
      <c r="A177">
        <v>2003630</v>
      </c>
      <c r="B177">
        <v>2015</v>
      </c>
      <c r="C177" t="s">
        <v>6</v>
      </c>
      <c r="D177" t="s">
        <v>7</v>
      </c>
      <c r="E177" t="s">
        <v>8</v>
      </c>
      <c r="F177">
        <v>5135</v>
      </c>
      <c r="G177" t="s">
        <v>183</v>
      </c>
      <c r="H177" s="20">
        <v>974157</v>
      </c>
      <c r="I177" s="1">
        <v>0</v>
      </c>
      <c r="J177" s="1">
        <v>974157</v>
      </c>
      <c r="K177">
        <f>VLOOKUP(F177,'LEAID Match'!$A$2:$C$2979,3,FALSE)</f>
        <v>2003630</v>
      </c>
    </row>
    <row r="178" spans="1:11" x14ac:dyDescent="0.2">
      <c r="A178">
        <v>2012600</v>
      </c>
      <c r="B178">
        <v>2015</v>
      </c>
      <c r="C178" t="s">
        <v>6</v>
      </c>
      <c r="D178" t="s">
        <v>7</v>
      </c>
      <c r="E178" t="s">
        <v>8</v>
      </c>
      <c r="F178">
        <v>5137</v>
      </c>
      <c r="G178" t="s">
        <v>184</v>
      </c>
      <c r="H178" s="1">
        <v>152976</v>
      </c>
      <c r="I178" s="1">
        <v>0</v>
      </c>
      <c r="J178" s="1">
        <v>152976</v>
      </c>
      <c r="K178">
        <f>VLOOKUP(F178,'LEAID Match'!$A$2:$C$2979,3,FALSE)</f>
        <v>2012600</v>
      </c>
    </row>
    <row r="179" spans="1:11" x14ac:dyDescent="0.2">
      <c r="A179">
        <v>2004260</v>
      </c>
      <c r="B179">
        <v>2015</v>
      </c>
      <c r="C179" t="s">
        <v>6</v>
      </c>
      <c r="D179" t="s">
        <v>7</v>
      </c>
      <c r="E179" t="s">
        <v>8</v>
      </c>
      <c r="F179">
        <v>5138</v>
      </c>
      <c r="G179" s="9" t="s">
        <v>185</v>
      </c>
      <c r="H179" s="1">
        <v>172732</v>
      </c>
      <c r="I179" s="1">
        <v>0</v>
      </c>
      <c r="J179" s="1">
        <v>172732</v>
      </c>
      <c r="K179">
        <f>VLOOKUP(F179,'LEAID Match'!$A$2:$C$2979,3,FALSE)</f>
        <v>2004260</v>
      </c>
    </row>
    <row r="180" spans="1:11" x14ac:dyDescent="0.2">
      <c r="A180">
        <v>2012390</v>
      </c>
      <c r="B180">
        <v>2015</v>
      </c>
      <c r="C180" t="s">
        <v>6</v>
      </c>
      <c r="D180" t="s">
        <v>7</v>
      </c>
      <c r="E180" t="s">
        <v>8</v>
      </c>
      <c r="F180" s="3">
        <v>5140</v>
      </c>
      <c r="G180" s="3" t="s">
        <v>186</v>
      </c>
      <c r="H180" s="22">
        <v>206320</v>
      </c>
      <c r="I180" s="1">
        <v>0</v>
      </c>
      <c r="J180" s="1">
        <v>206320</v>
      </c>
      <c r="K180">
        <f>VLOOKUP(F180,'LEAID Match'!$A$2:$C$2979,3,FALSE)</f>
        <v>2012390</v>
      </c>
    </row>
    <row r="181" spans="1:11" x14ac:dyDescent="0.2">
      <c r="A181">
        <v>0</v>
      </c>
      <c r="B181">
        <v>2015</v>
      </c>
      <c r="C181" t="s">
        <v>6</v>
      </c>
      <c r="D181" t="s">
        <v>7</v>
      </c>
      <c r="E181" t="s">
        <v>8</v>
      </c>
      <c r="F181" s="3">
        <v>5141</v>
      </c>
      <c r="G181" s="3" t="s">
        <v>187</v>
      </c>
      <c r="H181" s="1">
        <v>264112</v>
      </c>
      <c r="I181" s="21">
        <v>0</v>
      </c>
      <c r="J181" s="21">
        <v>264112</v>
      </c>
      <c r="K181">
        <f>VLOOKUP(F181,'LEAID Match'!$A$2:$C$2979,3,FALSE)</f>
        <v>0</v>
      </c>
    </row>
    <row r="182" spans="1:11" x14ac:dyDescent="0.2">
      <c r="A182">
        <v>2006990</v>
      </c>
      <c r="B182">
        <v>2015</v>
      </c>
      <c r="C182" t="s">
        <v>6</v>
      </c>
      <c r="D182" t="s">
        <v>7</v>
      </c>
      <c r="E182" t="s">
        <v>8</v>
      </c>
      <c r="F182" s="3">
        <v>5142</v>
      </c>
      <c r="G182" s="3" t="s">
        <v>188</v>
      </c>
      <c r="H182" s="1">
        <v>71804</v>
      </c>
      <c r="I182" s="1">
        <v>0</v>
      </c>
      <c r="J182" s="1">
        <v>71804</v>
      </c>
      <c r="K182">
        <f>VLOOKUP(F182,'LEAID Match'!$A$2:$C$2979,3,FALSE)</f>
        <v>2006990</v>
      </c>
    </row>
    <row r="183" spans="1:11" x14ac:dyDescent="0.2">
      <c r="A183">
        <v>2010020</v>
      </c>
      <c r="B183">
        <v>2015</v>
      </c>
      <c r="C183" t="s">
        <v>6</v>
      </c>
      <c r="D183" t="s">
        <v>7</v>
      </c>
      <c r="E183" t="s">
        <v>8</v>
      </c>
      <c r="F183">
        <v>5143</v>
      </c>
      <c r="G183" t="s">
        <v>189</v>
      </c>
      <c r="H183" s="1">
        <v>401111</v>
      </c>
      <c r="I183" s="1">
        <v>0</v>
      </c>
      <c r="J183" s="1">
        <v>401111</v>
      </c>
      <c r="K183">
        <f>VLOOKUP(F183,'LEAID Match'!$A$2:$C$2979,3,FALSE)</f>
        <v>2010020</v>
      </c>
    </row>
    <row r="184" spans="1:11" x14ac:dyDescent="0.2">
      <c r="A184">
        <v>2005400</v>
      </c>
      <c r="B184">
        <v>2015</v>
      </c>
      <c r="C184" t="s">
        <v>6</v>
      </c>
      <c r="D184" t="s">
        <v>7</v>
      </c>
      <c r="E184" t="s">
        <v>8</v>
      </c>
      <c r="F184">
        <v>5144</v>
      </c>
      <c r="G184" t="s">
        <v>190</v>
      </c>
      <c r="H184" s="1">
        <v>205555</v>
      </c>
      <c r="I184" s="1">
        <v>0</v>
      </c>
      <c r="J184" s="1">
        <v>205555</v>
      </c>
      <c r="K184">
        <f>VLOOKUP(F184,'LEAID Match'!$A$2:$C$2979,3,FALSE)</f>
        <v>2005400</v>
      </c>
    </row>
    <row r="185" spans="1:11" x14ac:dyDescent="0.2">
      <c r="A185">
        <v>0</v>
      </c>
      <c r="B185">
        <v>2015</v>
      </c>
      <c r="C185" t="s">
        <v>6</v>
      </c>
      <c r="D185" t="s">
        <v>7</v>
      </c>
      <c r="E185" t="s">
        <v>8</v>
      </c>
      <c r="F185">
        <v>5145</v>
      </c>
      <c r="G185" t="s">
        <v>191</v>
      </c>
      <c r="H185" s="1">
        <v>180266</v>
      </c>
      <c r="I185" s="1">
        <v>0</v>
      </c>
      <c r="J185" s="1">
        <v>180266</v>
      </c>
      <c r="K185">
        <f>VLOOKUP(F185,'LEAID Match'!$A$2:$C$2979,3,FALSE)</f>
        <v>0</v>
      </c>
    </row>
    <row r="186" spans="1:11" x14ac:dyDescent="0.2">
      <c r="A186">
        <v>2005490</v>
      </c>
      <c r="B186">
        <v>2015</v>
      </c>
      <c r="C186" t="s">
        <v>6</v>
      </c>
      <c r="D186" t="s">
        <v>7</v>
      </c>
      <c r="E186" t="s">
        <v>8</v>
      </c>
      <c r="F186">
        <v>5147</v>
      </c>
      <c r="G186" t="s">
        <v>192</v>
      </c>
      <c r="H186" s="20">
        <v>3704635</v>
      </c>
      <c r="I186" s="1">
        <v>0</v>
      </c>
      <c r="J186" s="1">
        <v>3704635</v>
      </c>
      <c r="K186">
        <f>VLOOKUP(F186,'LEAID Match'!$A$2:$C$2979,3,FALSE)</f>
        <v>2005490</v>
      </c>
    </row>
    <row r="187" spans="1:11" x14ac:dyDescent="0.2">
      <c r="A187">
        <v>2009570</v>
      </c>
      <c r="B187">
        <v>2015</v>
      </c>
      <c r="C187" t="s">
        <v>6</v>
      </c>
      <c r="D187" t="s">
        <v>7</v>
      </c>
      <c r="E187" t="s">
        <v>8</v>
      </c>
      <c r="F187">
        <v>5148</v>
      </c>
      <c r="G187" t="s">
        <v>193</v>
      </c>
      <c r="H187" s="1">
        <v>380123</v>
      </c>
      <c r="I187" s="1">
        <v>0</v>
      </c>
      <c r="J187" s="1">
        <v>380123</v>
      </c>
      <c r="K187">
        <f>VLOOKUP(F187,'LEAID Match'!$A$2:$C$2979,3,FALSE)</f>
        <v>2009570</v>
      </c>
    </row>
    <row r="188" spans="1:11" x14ac:dyDescent="0.2">
      <c r="A188">
        <v>2004290</v>
      </c>
      <c r="B188">
        <v>2015</v>
      </c>
      <c r="C188" t="s">
        <v>6</v>
      </c>
      <c r="D188" t="s">
        <v>7</v>
      </c>
      <c r="E188" t="s">
        <v>8</v>
      </c>
      <c r="F188">
        <v>5149</v>
      </c>
      <c r="G188" s="9" t="s">
        <v>194</v>
      </c>
      <c r="H188" s="1">
        <v>650256</v>
      </c>
      <c r="I188" s="1">
        <v>0</v>
      </c>
      <c r="J188" s="1">
        <v>650256</v>
      </c>
      <c r="K188">
        <f>VLOOKUP(F188,'LEAID Match'!$A$2:$C$2979,3,FALSE)</f>
        <v>2004290</v>
      </c>
    </row>
    <row r="189" spans="1:11" x14ac:dyDescent="0.2">
      <c r="A189">
        <v>2007740</v>
      </c>
      <c r="B189">
        <v>2015</v>
      </c>
      <c r="C189" t="s">
        <v>6</v>
      </c>
      <c r="D189" t="s">
        <v>7</v>
      </c>
      <c r="E189" t="s">
        <v>8</v>
      </c>
      <c r="F189" s="3">
        <v>5150</v>
      </c>
      <c r="G189" s="3" t="s">
        <v>247</v>
      </c>
      <c r="H189" s="22">
        <v>645864</v>
      </c>
      <c r="I189" s="1">
        <v>0</v>
      </c>
      <c r="J189" s="1">
        <v>645864</v>
      </c>
      <c r="K189">
        <f>VLOOKUP(F189,'LEAID Match'!$A$2:$C$2979,3,FALSE)</f>
        <v>2007740</v>
      </c>
    </row>
    <row r="190" spans="1:11" x14ac:dyDescent="0.2">
      <c r="A190">
        <v>2010050</v>
      </c>
      <c r="B190">
        <v>2015</v>
      </c>
      <c r="C190" t="s">
        <v>6</v>
      </c>
      <c r="D190" t="s">
        <v>7</v>
      </c>
      <c r="E190" t="s">
        <v>8</v>
      </c>
      <c r="F190" s="3">
        <v>5151</v>
      </c>
      <c r="G190" s="3" t="s">
        <v>196</v>
      </c>
      <c r="H190" s="1">
        <v>257556</v>
      </c>
      <c r="I190" s="21">
        <v>0</v>
      </c>
      <c r="J190" s="21">
        <v>257556</v>
      </c>
      <c r="K190">
        <f>VLOOKUP(F190,'LEAID Match'!$A$2:$C$2979,3,FALSE)</f>
        <v>2010050</v>
      </c>
    </row>
    <row r="191" spans="1:11" x14ac:dyDescent="0.2">
      <c r="A191">
        <v>2007500</v>
      </c>
      <c r="B191">
        <v>2015</v>
      </c>
      <c r="C191" t="s">
        <v>6</v>
      </c>
      <c r="D191" t="s">
        <v>7</v>
      </c>
      <c r="E191" t="s">
        <v>8</v>
      </c>
      <c r="F191" s="3">
        <v>5152</v>
      </c>
      <c r="G191" s="3" t="s">
        <v>197</v>
      </c>
      <c r="H191" s="1">
        <v>405764</v>
      </c>
      <c r="I191" s="1">
        <v>0</v>
      </c>
      <c r="J191" s="1">
        <v>405764</v>
      </c>
      <c r="K191">
        <f>VLOOKUP(F191,'LEAID Match'!$A$2:$C$2979,3,FALSE)</f>
        <v>2007500</v>
      </c>
    </row>
    <row r="192" spans="1:11" x14ac:dyDescent="0.2">
      <c r="A192">
        <v>2005760</v>
      </c>
      <c r="B192">
        <v>2015</v>
      </c>
      <c r="C192" t="s">
        <v>6</v>
      </c>
      <c r="D192" t="s">
        <v>7</v>
      </c>
      <c r="E192" t="s">
        <v>8</v>
      </c>
      <c r="F192">
        <v>5153</v>
      </c>
      <c r="G192" t="s">
        <v>198</v>
      </c>
      <c r="H192" s="1">
        <v>137786</v>
      </c>
      <c r="I192" s="1">
        <v>0</v>
      </c>
      <c r="J192" s="1">
        <v>137786</v>
      </c>
      <c r="K192">
        <f>VLOOKUP(F192,'LEAID Match'!$A$2:$C$2979,3,FALSE)</f>
        <v>2005760</v>
      </c>
    </row>
    <row r="193" spans="1:11" x14ac:dyDescent="0.2">
      <c r="A193">
        <v>2012120</v>
      </c>
      <c r="B193">
        <v>2015</v>
      </c>
      <c r="C193" t="s">
        <v>6</v>
      </c>
      <c r="D193" t="s">
        <v>7</v>
      </c>
      <c r="E193" t="s">
        <v>8</v>
      </c>
      <c r="F193">
        <v>5154</v>
      </c>
      <c r="G193" t="s">
        <v>199</v>
      </c>
      <c r="H193" s="1">
        <v>142385</v>
      </c>
      <c r="I193" s="1">
        <v>0</v>
      </c>
      <c r="J193" s="1">
        <v>142385</v>
      </c>
      <c r="K193">
        <f>VLOOKUP(F193,'LEAID Match'!$A$2:$C$2979,3,FALSE)</f>
        <v>2012120</v>
      </c>
    </row>
    <row r="194" spans="1:11" x14ac:dyDescent="0.2">
      <c r="A194">
        <v>2010920</v>
      </c>
      <c r="B194">
        <v>2015</v>
      </c>
      <c r="C194" t="s">
        <v>6</v>
      </c>
      <c r="D194" t="s">
        <v>7</v>
      </c>
      <c r="E194" t="s">
        <v>8</v>
      </c>
      <c r="F194">
        <v>5155</v>
      </c>
      <c r="G194" t="s">
        <v>200</v>
      </c>
      <c r="H194" s="1">
        <v>175569</v>
      </c>
      <c r="I194" s="1">
        <v>0</v>
      </c>
      <c r="J194" s="1">
        <v>175569</v>
      </c>
      <c r="K194">
        <f>VLOOKUP(F194,'LEAID Match'!$A$2:$C$2979,3,FALSE)</f>
        <v>2010920</v>
      </c>
    </row>
    <row r="195" spans="1:11" x14ac:dyDescent="0.2">
      <c r="A195">
        <v>2005010</v>
      </c>
      <c r="B195">
        <v>2015</v>
      </c>
      <c r="C195" t="s">
        <v>6</v>
      </c>
      <c r="D195" t="s">
        <v>7</v>
      </c>
      <c r="E195" t="s">
        <v>8</v>
      </c>
      <c r="F195">
        <v>5156</v>
      </c>
      <c r="G195" t="s">
        <v>201</v>
      </c>
      <c r="H195" s="20">
        <v>528383</v>
      </c>
      <c r="I195" s="1">
        <v>0</v>
      </c>
      <c r="J195" s="1">
        <v>528383</v>
      </c>
      <c r="K195">
        <f>VLOOKUP(F195,'LEAID Match'!$A$2:$C$2979,3,FALSE)</f>
        <v>2005010</v>
      </c>
    </row>
    <row r="196" spans="1:11" x14ac:dyDescent="0.2">
      <c r="A196">
        <v>2008910</v>
      </c>
      <c r="B196">
        <v>2015</v>
      </c>
      <c r="C196" t="s">
        <v>6</v>
      </c>
      <c r="D196" t="s">
        <v>7</v>
      </c>
      <c r="E196" t="s">
        <v>8</v>
      </c>
      <c r="F196">
        <v>5157</v>
      </c>
      <c r="G196" t="s">
        <v>202</v>
      </c>
      <c r="H196" s="1">
        <v>114718</v>
      </c>
      <c r="I196" s="1">
        <v>0</v>
      </c>
      <c r="J196" s="1">
        <v>114718</v>
      </c>
      <c r="K196">
        <f>VLOOKUP(F196,'LEAID Match'!$A$2:$C$2979,3,FALSE)</f>
        <v>2008910</v>
      </c>
    </row>
    <row r="197" spans="1:11" x14ac:dyDescent="0.2">
      <c r="A197">
        <v>2008070</v>
      </c>
      <c r="B197">
        <v>2015</v>
      </c>
      <c r="C197" t="s">
        <v>6</v>
      </c>
      <c r="D197" t="s">
        <v>7</v>
      </c>
      <c r="E197" t="s">
        <v>8</v>
      </c>
      <c r="F197">
        <v>5158</v>
      </c>
      <c r="G197" s="9" t="s">
        <v>203</v>
      </c>
      <c r="H197" s="1">
        <v>533727</v>
      </c>
      <c r="I197" s="1">
        <v>0</v>
      </c>
      <c r="J197" s="1">
        <v>533727</v>
      </c>
      <c r="K197">
        <f>VLOOKUP(F197,'LEAID Match'!$A$2:$C$2979,3,FALSE)</f>
        <v>2008070</v>
      </c>
    </row>
    <row r="198" spans="1:11" x14ac:dyDescent="0.2">
      <c r="A198">
        <v>2005100</v>
      </c>
      <c r="B198">
        <v>2015</v>
      </c>
      <c r="C198" t="s">
        <v>6</v>
      </c>
      <c r="D198" t="s">
        <v>7</v>
      </c>
      <c r="E198" t="s">
        <v>8</v>
      </c>
      <c r="F198" s="3">
        <v>5159</v>
      </c>
      <c r="G198" s="3" t="s">
        <v>204</v>
      </c>
      <c r="H198" s="22">
        <v>755530</v>
      </c>
      <c r="I198" s="1">
        <v>0</v>
      </c>
      <c r="J198" s="1">
        <v>755530</v>
      </c>
      <c r="K198">
        <f>VLOOKUP(F198,'LEAID Match'!$A$2:$C$2979,3,FALSE)</f>
        <v>2005100</v>
      </c>
    </row>
    <row r="199" spans="1:11" x14ac:dyDescent="0.2">
      <c r="A199">
        <v>2008100</v>
      </c>
      <c r="B199">
        <v>2015</v>
      </c>
      <c r="C199" t="s">
        <v>6</v>
      </c>
      <c r="D199" t="s">
        <v>7</v>
      </c>
      <c r="E199" t="s">
        <v>8</v>
      </c>
      <c r="F199" s="3">
        <v>5160</v>
      </c>
      <c r="G199" s="3" t="s">
        <v>205</v>
      </c>
      <c r="H199" s="1">
        <v>245047</v>
      </c>
      <c r="I199" s="21">
        <v>0</v>
      </c>
      <c r="J199" s="21">
        <v>245047</v>
      </c>
      <c r="K199">
        <f>VLOOKUP(F199,'LEAID Match'!$A$2:$C$2979,3,FALSE)</f>
        <v>2008100</v>
      </c>
    </row>
    <row r="200" spans="1:11" x14ac:dyDescent="0.2">
      <c r="A200">
        <v>2005130</v>
      </c>
      <c r="B200">
        <v>2015</v>
      </c>
      <c r="C200" t="s">
        <v>6</v>
      </c>
      <c r="D200" t="s">
        <v>7</v>
      </c>
      <c r="E200" t="s">
        <v>8</v>
      </c>
      <c r="F200" s="3">
        <v>5161</v>
      </c>
      <c r="G200" s="3" t="s">
        <v>206</v>
      </c>
      <c r="H200" s="1">
        <v>285167</v>
      </c>
      <c r="I200" s="1">
        <v>0</v>
      </c>
      <c r="J200" s="1">
        <v>285167</v>
      </c>
      <c r="K200">
        <f>VLOOKUP(F200,'LEAID Match'!$A$2:$C$2979,3,FALSE)</f>
        <v>2005130</v>
      </c>
    </row>
    <row r="201" spans="1:11" x14ac:dyDescent="0.2">
      <c r="A201">
        <v>2005700</v>
      </c>
      <c r="B201">
        <v>2015</v>
      </c>
      <c r="C201" t="s">
        <v>6</v>
      </c>
      <c r="D201" t="s">
        <v>7</v>
      </c>
      <c r="E201" t="s">
        <v>8</v>
      </c>
      <c r="F201">
        <v>5162</v>
      </c>
      <c r="G201" t="s">
        <v>207</v>
      </c>
      <c r="H201" s="1">
        <v>332894</v>
      </c>
      <c r="I201" s="1">
        <v>0</v>
      </c>
      <c r="J201" s="1">
        <v>332894</v>
      </c>
      <c r="K201">
        <f>VLOOKUP(F201,'LEAID Match'!$A$2:$C$2979,3,FALSE)</f>
        <v>2005700</v>
      </c>
    </row>
    <row r="202" spans="1:11" x14ac:dyDescent="0.2">
      <c r="A202">
        <v>2008220</v>
      </c>
      <c r="B202">
        <v>2015</v>
      </c>
      <c r="C202" t="s">
        <v>6</v>
      </c>
      <c r="D202" t="s">
        <v>7</v>
      </c>
      <c r="E202" t="s">
        <v>8</v>
      </c>
      <c r="F202">
        <v>5163</v>
      </c>
      <c r="G202" t="s">
        <v>208</v>
      </c>
      <c r="H202" s="1">
        <v>199454</v>
      </c>
      <c r="I202" s="1">
        <v>0</v>
      </c>
      <c r="J202" s="1">
        <v>199454</v>
      </c>
      <c r="K202">
        <f>VLOOKUP(F202,'LEAID Match'!$A$2:$C$2979,3,FALSE)</f>
        <v>2008220</v>
      </c>
    </row>
    <row r="203" spans="1:11" x14ac:dyDescent="0.2">
      <c r="A203">
        <v>2007530</v>
      </c>
      <c r="B203">
        <v>2015</v>
      </c>
      <c r="C203" t="s">
        <v>6</v>
      </c>
      <c r="D203" t="s">
        <v>7</v>
      </c>
      <c r="E203" t="s">
        <v>8</v>
      </c>
      <c r="F203">
        <v>5164</v>
      </c>
      <c r="G203" t="s">
        <v>209</v>
      </c>
      <c r="H203" s="1">
        <v>192976</v>
      </c>
      <c r="I203" s="1">
        <v>0</v>
      </c>
      <c r="J203" s="1">
        <v>192976</v>
      </c>
      <c r="K203">
        <f>VLOOKUP(F203,'LEAID Match'!$A$2:$C$2979,3,FALSE)</f>
        <v>2007530</v>
      </c>
    </row>
    <row r="204" spans="1:11" x14ac:dyDescent="0.2">
      <c r="A204">
        <v>2012330</v>
      </c>
      <c r="B204">
        <v>2015</v>
      </c>
      <c r="C204" t="s">
        <v>6</v>
      </c>
      <c r="D204" t="s">
        <v>7</v>
      </c>
      <c r="E204" t="s">
        <v>8</v>
      </c>
      <c r="F204">
        <v>5166</v>
      </c>
      <c r="G204" t="s">
        <v>210</v>
      </c>
      <c r="H204" s="20">
        <v>135551</v>
      </c>
      <c r="I204" s="1">
        <v>0</v>
      </c>
      <c r="J204" s="1">
        <v>135551</v>
      </c>
      <c r="K204">
        <f>VLOOKUP(F204,'LEAID Match'!$A$2:$C$2979,3,FALSE)</f>
        <v>2012330</v>
      </c>
    </row>
    <row r="205" spans="1:11" x14ac:dyDescent="0.2">
      <c r="A205">
        <v>2007470</v>
      </c>
      <c r="B205">
        <v>2015</v>
      </c>
      <c r="C205" t="s">
        <v>6</v>
      </c>
      <c r="D205" t="s">
        <v>7</v>
      </c>
      <c r="E205" t="s">
        <v>8</v>
      </c>
      <c r="F205">
        <v>5167</v>
      </c>
      <c r="G205" t="s">
        <v>211</v>
      </c>
      <c r="H205" s="1">
        <v>406609</v>
      </c>
      <c r="I205" s="1">
        <v>0</v>
      </c>
      <c r="J205" s="1">
        <v>406609</v>
      </c>
      <c r="K205">
        <f>VLOOKUP(F205,'LEAID Match'!$A$2:$C$2979,3,FALSE)</f>
        <v>2007470</v>
      </c>
    </row>
    <row r="206" spans="1:11" x14ac:dyDescent="0.2">
      <c r="A206">
        <v>2007320</v>
      </c>
      <c r="B206">
        <v>2015</v>
      </c>
      <c r="C206" t="s">
        <v>6</v>
      </c>
      <c r="D206" t="s">
        <v>7</v>
      </c>
      <c r="E206" t="s">
        <v>8</v>
      </c>
      <c r="F206">
        <v>5168</v>
      </c>
      <c r="G206" s="9" t="s">
        <v>212</v>
      </c>
      <c r="H206" s="1">
        <v>408182</v>
      </c>
      <c r="I206" s="1">
        <v>0</v>
      </c>
      <c r="J206" s="1">
        <v>408182</v>
      </c>
      <c r="K206">
        <f>VLOOKUP(F206,'LEAID Match'!$A$2:$C$2979,3,FALSE)</f>
        <v>2007320</v>
      </c>
    </row>
    <row r="207" spans="1:11" x14ac:dyDescent="0.2">
      <c r="A207">
        <v>2008880</v>
      </c>
      <c r="B207">
        <v>2015</v>
      </c>
      <c r="C207" t="s">
        <v>6</v>
      </c>
      <c r="D207" t="s">
        <v>7</v>
      </c>
      <c r="E207" t="s">
        <v>8</v>
      </c>
      <c r="F207" s="3">
        <v>5171</v>
      </c>
      <c r="G207" s="3" t="s">
        <v>213</v>
      </c>
      <c r="H207" s="22">
        <v>221130</v>
      </c>
      <c r="I207" s="1">
        <v>0</v>
      </c>
      <c r="J207" s="1">
        <v>221130</v>
      </c>
      <c r="K207">
        <f>VLOOKUP(F207,'LEAID Match'!$A$2:$C$2979,3,FALSE)</f>
        <v>2008880</v>
      </c>
    </row>
    <row r="208" spans="1:11" x14ac:dyDescent="0.2">
      <c r="A208">
        <v>2004740</v>
      </c>
      <c r="B208">
        <v>2015</v>
      </c>
      <c r="C208" t="s">
        <v>6</v>
      </c>
      <c r="D208" t="s">
        <v>7</v>
      </c>
      <c r="E208" t="s">
        <v>8</v>
      </c>
      <c r="F208" s="3">
        <v>5172</v>
      </c>
      <c r="G208" s="3" t="s">
        <v>214</v>
      </c>
      <c r="H208" s="1">
        <v>510165</v>
      </c>
      <c r="I208" s="21">
        <v>0</v>
      </c>
      <c r="J208" s="21">
        <v>510165</v>
      </c>
      <c r="K208">
        <f>VLOOKUP(F208,'LEAID Match'!$A$2:$C$2979,3,FALSE)</f>
        <v>2004740</v>
      </c>
    </row>
    <row r="209" spans="1:11" x14ac:dyDescent="0.2">
      <c r="A209">
        <v>2007860</v>
      </c>
      <c r="B209">
        <v>2015</v>
      </c>
      <c r="C209" t="s">
        <v>6</v>
      </c>
      <c r="D209" t="s">
        <v>7</v>
      </c>
      <c r="E209" t="s">
        <v>8</v>
      </c>
      <c r="F209" s="3">
        <v>5173</v>
      </c>
      <c r="G209" s="3" t="s">
        <v>215</v>
      </c>
      <c r="H209" s="1">
        <v>272754</v>
      </c>
      <c r="I209" s="1">
        <v>0</v>
      </c>
      <c r="J209" s="1">
        <v>272754</v>
      </c>
      <c r="K209">
        <f>VLOOKUP(F209,'LEAID Match'!$A$2:$C$2979,3,FALSE)</f>
        <v>2007860</v>
      </c>
    </row>
    <row r="210" spans="1:11" x14ac:dyDescent="0.2">
      <c r="A210">
        <v>2007170</v>
      </c>
      <c r="B210">
        <v>2015</v>
      </c>
      <c r="C210" t="s">
        <v>6</v>
      </c>
      <c r="D210" t="s">
        <v>7</v>
      </c>
      <c r="E210" t="s">
        <v>8</v>
      </c>
      <c r="F210">
        <v>5174</v>
      </c>
      <c r="G210" t="s">
        <v>216</v>
      </c>
      <c r="H210" s="1">
        <v>377979</v>
      </c>
      <c r="I210" s="1">
        <v>0</v>
      </c>
      <c r="J210" s="1">
        <v>377979</v>
      </c>
      <c r="K210">
        <f>VLOOKUP(F210,'LEAID Match'!$A$2:$C$2979,3,FALSE)</f>
        <v>2007170</v>
      </c>
    </row>
    <row r="211" spans="1:11" x14ac:dyDescent="0.2">
      <c r="A211">
        <v>2004230</v>
      </c>
      <c r="B211">
        <v>2015</v>
      </c>
      <c r="C211" t="s">
        <v>6</v>
      </c>
      <c r="D211" t="s">
        <v>7</v>
      </c>
      <c r="E211" t="s">
        <v>8</v>
      </c>
      <c r="F211">
        <v>5175</v>
      </c>
      <c r="G211" t="s">
        <v>217</v>
      </c>
      <c r="H211" s="1">
        <v>229757</v>
      </c>
      <c r="I211" s="1">
        <v>0</v>
      </c>
      <c r="J211" s="1">
        <v>229757</v>
      </c>
      <c r="K211">
        <f>VLOOKUP(F211,'LEAID Match'!$A$2:$C$2979,3,FALSE)</f>
        <v>2004230</v>
      </c>
    </row>
    <row r="212" spans="1:11" x14ac:dyDescent="0.2">
      <c r="A212">
        <v>2008340</v>
      </c>
      <c r="B212">
        <v>2015</v>
      </c>
      <c r="C212" t="s">
        <v>6</v>
      </c>
      <c r="D212" t="s">
        <v>7</v>
      </c>
      <c r="E212" t="s">
        <v>8</v>
      </c>
      <c r="F212">
        <v>5176</v>
      </c>
      <c r="G212" t="s">
        <v>218</v>
      </c>
      <c r="H212" s="1">
        <v>1534816</v>
      </c>
      <c r="I212" s="1">
        <v>0</v>
      </c>
      <c r="J212" s="1">
        <v>1534816</v>
      </c>
      <c r="K212">
        <f>VLOOKUP(F212,'LEAID Match'!$A$2:$C$2979,3,FALSE)</f>
        <v>2008340</v>
      </c>
    </row>
    <row r="213" spans="1:11" x14ac:dyDescent="0.2">
      <c r="A213">
        <v>2012000</v>
      </c>
      <c r="B213">
        <v>2015</v>
      </c>
      <c r="C213" t="s">
        <v>6</v>
      </c>
      <c r="D213" t="s">
        <v>7</v>
      </c>
      <c r="E213" t="s">
        <v>8</v>
      </c>
      <c r="F213">
        <v>5185</v>
      </c>
      <c r="G213" t="s">
        <v>219</v>
      </c>
      <c r="H213" s="20">
        <v>13351573</v>
      </c>
      <c r="I213" s="1">
        <v>0</v>
      </c>
      <c r="J213" s="1">
        <v>13351573</v>
      </c>
      <c r="K213">
        <f>VLOOKUP(F213,'LEAID Match'!$A$2:$C$2979,3,FALSE)</f>
        <v>2012000</v>
      </c>
    </row>
    <row r="214" spans="1:11" x14ac:dyDescent="0.2">
      <c r="A214">
        <v>2000007</v>
      </c>
      <c r="B214">
        <v>2015</v>
      </c>
      <c r="C214" t="s">
        <v>6</v>
      </c>
      <c r="D214" t="s">
        <v>7</v>
      </c>
      <c r="E214" t="s">
        <v>8</v>
      </c>
      <c r="F214">
        <v>5186</v>
      </c>
      <c r="G214" t="s">
        <v>220</v>
      </c>
      <c r="H214" s="1">
        <v>232040</v>
      </c>
      <c r="I214" s="1">
        <v>0</v>
      </c>
      <c r="J214" s="1">
        <v>232040</v>
      </c>
      <c r="K214">
        <f>VLOOKUP(F214,'LEAID Match'!$A$2:$C$2979,3,FALSE)</f>
        <v>2000007</v>
      </c>
    </row>
    <row r="215" spans="1:11" x14ac:dyDescent="0.2">
      <c r="A215">
        <v>2003960</v>
      </c>
      <c r="B215">
        <v>2015</v>
      </c>
      <c r="C215" t="s">
        <v>6</v>
      </c>
      <c r="D215" t="s">
        <v>7</v>
      </c>
      <c r="E215" t="s">
        <v>8</v>
      </c>
      <c r="F215">
        <v>5187</v>
      </c>
      <c r="G215" s="9" t="s">
        <v>221</v>
      </c>
      <c r="H215" s="1">
        <v>335954</v>
      </c>
      <c r="I215" s="1">
        <v>0</v>
      </c>
      <c r="J215" s="1">
        <v>335954</v>
      </c>
      <c r="K215">
        <f>VLOOKUP(F215,'LEAID Match'!$A$2:$C$2979,3,FALSE)</f>
        <v>2003960</v>
      </c>
    </row>
    <row r="216" spans="1:11" x14ac:dyDescent="0.2">
      <c r="A216">
        <v>2012060</v>
      </c>
      <c r="B216">
        <v>2015</v>
      </c>
      <c r="C216" t="s">
        <v>6</v>
      </c>
      <c r="D216" t="s">
        <v>7</v>
      </c>
      <c r="E216" t="s">
        <v>8</v>
      </c>
      <c r="F216" s="3">
        <v>5188</v>
      </c>
      <c r="G216" s="3" t="s">
        <v>222</v>
      </c>
      <c r="H216" s="22">
        <v>176565</v>
      </c>
      <c r="I216" s="1">
        <v>0</v>
      </c>
      <c r="J216" s="1">
        <v>176565</v>
      </c>
      <c r="K216">
        <f>VLOOKUP(F216,'LEAID Match'!$A$2:$C$2979,3,FALSE)</f>
        <v>2012060</v>
      </c>
    </row>
    <row r="217" spans="1:11" x14ac:dyDescent="0.2">
      <c r="A217">
        <v>2006780</v>
      </c>
      <c r="B217">
        <v>2015</v>
      </c>
      <c r="C217" t="s">
        <v>6</v>
      </c>
      <c r="D217" t="s">
        <v>7</v>
      </c>
      <c r="E217" t="s">
        <v>8</v>
      </c>
      <c r="F217" s="3">
        <v>5189</v>
      </c>
      <c r="G217" s="3" t="s">
        <v>223</v>
      </c>
      <c r="H217" s="1">
        <v>56140</v>
      </c>
      <c r="I217" s="21">
        <v>0</v>
      </c>
      <c r="J217" s="21">
        <v>56140</v>
      </c>
      <c r="K217">
        <f>VLOOKUP(F217,'LEAID Match'!$A$2:$C$2979,3,FALSE)</f>
        <v>2006780</v>
      </c>
    </row>
    <row r="218" spans="1:11" x14ac:dyDescent="0.2">
      <c r="A218">
        <v>2011880</v>
      </c>
      <c r="B218">
        <v>2015</v>
      </c>
      <c r="C218" t="s">
        <v>6</v>
      </c>
      <c r="D218" t="s">
        <v>7</v>
      </c>
      <c r="E218" t="s">
        <v>8</v>
      </c>
      <c r="F218" s="3">
        <v>5190</v>
      </c>
      <c r="G218" s="3" t="s">
        <v>224</v>
      </c>
      <c r="H218" s="1">
        <v>193941</v>
      </c>
      <c r="I218" s="1">
        <v>0</v>
      </c>
      <c r="J218" s="1">
        <v>193941</v>
      </c>
      <c r="K218">
        <f>VLOOKUP(F218,'LEAID Match'!$A$2:$C$2979,3,FALSE)</f>
        <v>2011880</v>
      </c>
    </row>
    <row r="219" spans="1:11" x14ac:dyDescent="0.2">
      <c r="A219">
        <v>2009990</v>
      </c>
      <c r="B219">
        <v>2015</v>
      </c>
      <c r="C219" t="s">
        <v>6</v>
      </c>
      <c r="D219" t="s">
        <v>7</v>
      </c>
      <c r="E219" t="s">
        <v>8</v>
      </c>
      <c r="F219">
        <v>5191</v>
      </c>
      <c r="G219" t="s">
        <v>225</v>
      </c>
      <c r="H219" s="1">
        <v>669950</v>
      </c>
      <c r="I219" s="1">
        <v>0</v>
      </c>
      <c r="J219" s="1">
        <v>669950</v>
      </c>
      <c r="K219">
        <f>VLOOKUP(F219,'LEAID Match'!$A$2:$C$2979,3,FALSE)</f>
        <v>2009990</v>
      </c>
    </row>
    <row r="220" spans="1:11" x14ac:dyDescent="0.2">
      <c r="A220">
        <v>2008310</v>
      </c>
      <c r="B220">
        <v>2015</v>
      </c>
      <c r="C220" t="s">
        <v>6</v>
      </c>
      <c r="D220" t="s">
        <v>7</v>
      </c>
      <c r="E220" t="s">
        <v>8</v>
      </c>
      <c r="F220">
        <v>5192</v>
      </c>
      <c r="G220" t="s">
        <v>226</v>
      </c>
      <c r="H220" s="1">
        <v>215881</v>
      </c>
      <c r="I220" s="1">
        <v>0</v>
      </c>
      <c r="J220" s="1">
        <v>215881</v>
      </c>
      <c r="K220">
        <f>VLOOKUP(F220,'LEAID Match'!$A$2:$C$2979,3,FALSE)</f>
        <v>2008310</v>
      </c>
    </row>
    <row r="221" spans="1:11" x14ac:dyDescent="0.2">
      <c r="A221">
        <v>2004200</v>
      </c>
      <c r="B221">
        <v>2015</v>
      </c>
      <c r="C221" t="s">
        <v>6</v>
      </c>
      <c r="D221" t="s">
        <v>7</v>
      </c>
      <c r="E221" t="s">
        <v>8</v>
      </c>
      <c r="F221">
        <v>5193</v>
      </c>
      <c r="G221" t="s">
        <v>227</v>
      </c>
      <c r="H221" s="1">
        <v>1142511</v>
      </c>
      <c r="I221" s="1">
        <v>0</v>
      </c>
      <c r="J221" s="1">
        <v>1142511</v>
      </c>
      <c r="K221">
        <f>VLOOKUP(F221,'LEAID Match'!$A$2:$C$2979,3,FALSE)</f>
        <v>2004200</v>
      </c>
    </row>
    <row r="222" spans="1:11" x14ac:dyDescent="0.2">
      <c r="A222">
        <v>2000004</v>
      </c>
      <c r="B222">
        <v>2015</v>
      </c>
      <c r="C222" t="s">
        <v>6</v>
      </c>
      <c r="D222" t="s">
        <v>7</v>
      </c>
      <c r="E222" t="s">
        <v>8</v>
      </c>
      <c r="F222">
        <v>5195</v>
      </c>
      <c r="G222" t="s">
        <v>228</v>
      </c>
      <c r="H222" s="20">
        <v>465085</v>
      </c>
      <c r="I222" s="1">
        <v>0</v>
      </c>
      <c r="J222" s="1">
        <v>465085</v>
      </c>
      <c r="K222">
        <f>VLOOKUP(F222,'LEAID Match'!$A$2:$C$2979,3,FALSE)</f>
        <v>2000004</v>
      </c>
    </row>
    <row r="223" spans="1:11" x14ac:dyDescent="0.2">
      <c r="A223">
        <v>2010320</v>
      </c>
      <c r="B223">
        <v>2015</v>
      </c>
      <c r="C223" t="s">
        <v>6</v>
      </c>
      <c r="D223" t="s">
        <v>7</v>
      </c>
      <c r="E223" t="s">
        <v>8</v>
      </c>
      <c r="F223">
        <v>5196</v>
      </c>
      <c r="G223" t="s">
        <v>229</v>
      </c>
      <c r="H223" s="1">
        <v>413807</v>
      </c>
      <c r="I223" s="1">
        <v>0</v>
      </c>
      <c r="J223" s="1">
        <v>413807</v>
      </c>
      <c r="K223">
        <f>VLOOKUP(F223,'LEAID Match'!$A$2:$C$2979,3,FALSE)</f>
        <v>2010320</v>
      </c>
    </row>
    <row r="224" spans="1:11" x14ac:dyDescent="0.2">
      <c r="A224">
        <v>2009060</v>
      </c>
      <c r="B224">
        <v>2015</v>
      </c>
      <c r="C224" t="s">
        <v>6</v>
      </c>
      <c r="D224" t="s">
        <v>7</v>
      </c>
      <c r="E224" t="s">
        <v>8</v>
      </c>
      <c r="F224">
        <v>5197</v>
      </c>
      <c r="G224" s="9" t="s">
        <v>230</v>
      </c>
      <c r="H224" s="1">
        <v>193144</v>
      </c>
      <c r="I224" s="1">
        <v>0</v>
      </c>
      <c r="J224" s="1">
        <v>193144</v>
      </c>
      <c r="K224">
        <f>VLOOKUP(F224,'LEAID Match'!$A$2:$C$2979,3,FALSE)</f>
        <v>2009060</v>
      </c>
    </row>
    <row r="225" spans="1:11" x14ac:dyDescent="0.2">
      <c r="A225">
        <v>2012840</v>
      </c>
      <c r="B225">
        <v>2015</v>
      </c>
      <c r="C225" t="s">
        <v>6</v>
      </c>
      <c r="D225" t="s">
        <v>7</v>
      </c>
      <c r="E225" t="s">
        <v>8</v>
      </c>
      <c r="F225" s="3">
        <v>5198</v>
      </c>
      <c r="G225" s="3" t="s">
        <v>231</v>
      </c>
      <c r="H225" s="22">
        <v>1055976</v>
      </c>
      <c r="I225" s="1">
        <v>0</v>
      </c>
      <c r="J225" s="1">
        <v>1055976</v>
      </c>
      <c r="K225">
        <f>VLOOKUP(F225,'LEAID Match'!$A$2:$C$2979,3,FALSE)</f>
        <v>2012840</v>
      </c>
    </row>
    <row r="226" spans="1:11" x14ac:dyDescent="0.2">
      <c r="A226">
        <v>2005820</v>
      </c>
      <c r="B226">
        <v>2015</v>
      </c>
      <c r="C226" t="s">
        <v>6</v>
      </c>
      <c r="D226" t="s">
        <v>7</v>
      </c>
      <c r="E226" t="s">
        <v>8</v>
      </c>
      <c r="F226" s="3">
        <v>5199</v>
      </c>
      <c r="G226" s="3" t="s">
        <v>232</v>
      </c>
      <c r="H226" s="1">
        <v>321241</v>
      </c>
      <c r="I226" s="21">
        <v>0</v>
      </c>
      <c r="J226" s="21">
        <v>321241</v>
      </c>
      <c r="K226">
        <f>VLOOKUP(F226,'LEAID Match'!$A$2:$C$2979,3,FALSE)</f>
        <v>2005820</v>
      </c>
    </row>
    <row r="227" spans="1:11" x14ac:dyDescent="0.2">
      <c r="A227">
        <v>2008250</v>
      </c>
      <c r="B227">
        <v>2015</v>
      </c>
      <c r="C227" t="s">
        <v>6</v>
      </c>
      <c r="D227" t="s">
        <v>7</v>
      </c>
      <c r="E227" t="s">
        <v>8</v>
      </c>
      <c r="F227" s="3">
        <v>5200</v>
      </c>
      <c r="G227" s="3" t="s">
        <v>233</v>
      </c>
      <c r="H227" s="1">
        <v>577147</v>
      </c>
      <c r="I227" s="1">
        <v>0</v>
      </c>
      <c r="J227" s="1">
        <v>577147</v>
      </c>
      <c r="K227">
        <f>VLOOKUP(F227,'LEAID Match'!$A$2:$C$2979,3,FALSE)</f>
        <v>2008250</v>
      </c>
    </row>
    <row r="228" spans="1:11" x14ac:dyDescent="0.2">
      <c r="A228">
        <v>2004350</v>
      </c>
      <c r="B228">
        <v>2015</v>
      </c>
      <c r="C228" t="s">
        <v>6</v>
      </c>
      <c r="D228" t="s">
        <v>7</v>
      </c>
      <c r="E228" t="s">
        <v>8</v>
      </c>
      <c r="F228">
        <v>5201</v>
      </c>
      <c r="G228" t="s">
        <v>234</v>
      </c>
      <c r="H228" s="1">
        <v>191265</v>
      </c>
      <c r="I228" s="1">
        <v>0</v>
      </c>
      <c r="J228" s="1">
        <v>191265</v>
      </c>
      <c r="K228">
        <f>VLOOKUP(F228,'LEAID Match'!$A$2:$C$2979,3,FALSE)</f>
        <v>2004350</v>
      </c>
    </row>
    <row r="229" spans="1:11" x14ac:dyDescent="0.2">
      <c r="A229">
        <v>2010290</v>
      </c>
      <c r="B229">
        <v>2015</v>
      </c>
      <c r="C229" t="s">
        <v>6</v>
      </c>
      <c r="D229" t="s">
        <v>7</v>
      </c>
      <c r="E229" t="s">
        <v>8</v>
      </c>
      <c r="F229">
        <v>5202</v>
      </c>
      <c r="G229" t="s">
        <v>235</v>
      </c>
      <c r="H229" s="1">
        <v>161268</v>
      </c>
      <c r="I229" s="1">
        <v>0</v>
      </c>
      <c r="J229" s="1">
        <v>161268</v>
      </c>
      <c r="K229">
        <f>VLOOKUP(F229,'LEAID Match'!$A$2:$C$2979,3,FALSE)</f>
        <v>2010290</v>
      </c>
    </row>
    <row r="230" spans="1:11" x14ac:dyDescent="0.2">
      <c r="A230">
        <v>2000002</v>
      </c>
      <c r="B230">
        <v>2015</v>
      </c>
      <c r="C230" t="s">
        <v>6</v>
      </c>
      <c r="D230" t="s">
        <v>7</v>
      </c>
      <c r="E230" t="s">
        <v>8</v>
      </c>
      <c r="F230">
        <v>5203</v>
      </c>
      <c r="G230" t="s">
        <v>236</v>
      </c>
      <c r="H230" s="1">
        <v>498204</v>
      </c>
      <c r="I230" s="1">
        <v>0</v>
      </c>
      <c r="J230" s="1">
        <v>498204</v>
      </c>
      <c r="K230">
        <f>VLOOKUP(F230,'LEAID Match'!$A$2:$C$2979,3,FALSE)</f>
        <v>2000002</v>
      </c>
    </row>
    <row r="231" spans="1:11" x14ac:dyDescent="0.2">
      <c r="A231">
        <v>2009030</v>
      </c>
      <c r="B231">
        <v>2015</v>
      </c>
      <c r="C231" t="s">
        <v>6</v>
      </c>
      <c r="D231" t="s">
        <v>7</v>
      </c>
      <c r="E231" t="s">
        <v>8</v>
      </c>
      <c r="F231">
        <v>5204</v>
      </c>
      <c r="G231" t="s">
        <v>237</v>
      </c>
      <c r="H231" s="20">
        <v>760975</v>
      </c>
      <c r="I231" s="1">
        <v>0</v>
      </c>
      <c r="J231" s="1">
        <v>760975</v>
      </c>
      <c r="K231">
        <f>VLOOKUP(F231,'LEAID Match'!$A$2:$C$2979,3,FALSE)</f>
        <v>2009030</v>
      </c>
    </row>
    <row r="232" spans="1:11" x14ac:dyDescent="0.2">
      <c r="A232">
        <v>2009240</v>
      </c>
      <c r="B232">
        <v>2015</v>
      </c>
      <c r="C232" t="s">
        <v>6</v>
      </c>
      <c r="D232" t="s">
        <v>7</v>
      </c>
      <c r="E232" t="s">
        <v>8</v>
      </c>
      <c r="F232">
        <v>5205</v>
      </c>
      <c r="G232" t="s">
        <v>238</v>
      </c>
      <c r="H232" s="1">
        <v>308763</v>
      </c>
      <c r="I232" s="1">
        <v>0</v>
      </c>
      <c r="J232" s="1">
        <v>308763</v>
      </c>
      <c r="K232">
        <f>VLOOKUP(F232,'LEAID Match'!$A$2:$C$2979,3,FALSE)</f>
        <v>2009240</v>
      </c>
    </row>
    <row r="233" spans="1:11" x14ac:dyDescent="0.2">
      <c r="A233">
        <v>2007290</v>
      </c>
      <c r="B233">
        <v>2015</v>
      </c>
      <c r="C233" t="s">
        <v>6</v>
      </c>
      <c r="D233" t="s">
        <v>7</v>
      </c>
      <c r="E233" t="s">
        <v>8</v>
      </c>
      <c r="F233">
        <v>5206</v>
      </c>
      <c r="G233" s="9" t="s">
        <v>239</v>
      </c>
      <c r="H233" s="1">
        <v>319794</v>
      </c>
      <c r="I233" s="1">
        <v>0</v>
      </c>
      <c r="J233" s="1">
        <v>319794</v>
      </c>
      <c r="K233">
        <f>VLOOKUP(F233,'LEAID Match'!$A$2:$C$2979,3,FALSE)</f>
        <v>2007290</v>
      </c>
    </row>
    <row r="234" spans="1:11" x14ac:dyDescent="0.2">
      <c r="A234">
        <v>2008970</v>
      </c>
      <c r="B234">
        <v>2015</v>
      </c>
      <c r="C234" t="s">
        <v>6</v>
      </c>
      <c r="D234" t="s">
        <v>7</v>
      </c>
      <c r="E234" t="s">
        <v>8</v>
      </c>
      <c r="F234" s="3">
        <v>5207</v>
      </c>
      <c r="G234" s="3" t="s">
        <v>240</v>
      </c>
      <c r="H234" s="22">
        <v>718134</v>
      </c>
      <c r="I234" s="1">
        <v>0</v>
      </c>
      <c r="J234" s="1">
        <v>718134</v>
      </c>
      <c r="K234">
        <f>VLOOKUP(F234,'LEAID Match'!$A$2:$C$2979,3,FALSE)</f>
        <v>2008970</v>
      </c>
    </row>
    <row r="235" spans="1:11" x14ac:dyDescent="0.2">
      <c r="A235">
        <v>2009780</v>
      </c>
      <c r="B235">
        <v>2015</v>
      </c>
      <c r="C235" t="s">
        <v>6</v>
      </c>
      <c r="D235" t="s">
        <v>7</v>
      </c>
      <c r="E235" t="s">
        <v>8</v>
      </c>
      <c r="F235" s="3">
        <v>5208</v>
      </c>
      <c r="G235" s="3" t="s">
        <v>241</v>
      </c>
      <c r="H235" s="1">
        <v>157998</v>
      </c>
      <c r="I235" s="21">
        <v>0</v>
      </c>
      <c r="J235" s="21">
        <v>157998</v>
      </c>
      <c r="K235">
        <f>VLOOKUP(F235,'LEAID Match'!$A$2:$C$2979,3,FALSE)</f>
        <v>2009780</v>
      </c>
    </row>
    <row r="236" spans="1:11" x14ac:dyDescent="0.2">
      <c r="A236">
        <v>2006660</v>
      </c>
      <c r="B236">
        <v>2015</v>
      </c>
      <c r="C236" t="s">
        <v>6</v>
      </c>
      <c r="D236" t="s">
        <v>7</v>
      </c>
      <c r="E236" t="s">
        <v>8</v>
      </c>
      <c r="F236" s="3">
        <v>5210</v>
      </c>
      <c r="G236" s="3" t="s">
        <v>242</v>
      </c>
      <c r="H236" s="1">
        <v>2290490</v>
      </c>
      <c r="I236" s="1">
        <v>0</v>
      </c>
      <c r="J236" s="1">
        <v>2290490</v>
      </c>
      <c r="K236">
        <f>VLOOKUP(F236,'LEAID Match'!$A$2:$C$2979,3,FALSE)</f>
        <v>2006660</v>
      </c>
    </row>
    <row r="237" spans="1:11" x14ac:dyDescent="0.2">
      <c r="A237">
        <v>2010410</v>
      </c>
      <c r="B237">
        <v>2015</v>
      </c>
      <c r="C237" t="s">
        <v>6</v>
      </c>
      <c r="D237" t="s">
        <v>7</v>
      </c>
      <c r="E237" t="s">
        <v>8</v>
      </c>
      <c r="F237">
        <v>5212</v>
      </c>
      <c r="G237" t="s">
        <v>243</v>
      </c>
      <c r="H237" s="1">
        <v>519536</v>
      </c>
      <c r="I237" s="1">
        <v>0</v>
      </c>
      <c r="J237" s="1">
        <v>519536</v>
      </c>
      <c r="K237">
        <f>VLOOKUP(F237,'LEAID Match'!$A$2:$C$2979,3,FALSE)</f>
        <v>2010410</v>
      </c>
    </row>
    <row r="238" spans="1:11" x14ac:dyDescent="0.2">
      <c r="A238">
        <v>2004410</v>
      </c>
      <c r="B238">
        <v>2015</v>
      </c>
      <c r="C238" t="s">
        <v>6</v>
      </c>
      <c r="D238" t="s">
        <v>7</v>
      </c>
      <c r="E238" t="s">
        <v>8</v>
      </c>
      <c r="F238">
        <v>5213</v>
      </c>
      <c r="G238" t="s">
        <v>244</v>
      </c>
      <c r="H238" s="1">
        <v>438374</v>
      </c>
      <c r="I238" s="1">
        <v>0</v>
      </c>
      <c r="J238" s="1">
        <v>438374</v>
      </c>
      <c r="K238">
        <f>VLOOKUP(F238,'LEAID Match'!$A$2:$C$2979,3,FALSE)</f>
        <v>2004410</v>
      </c>
    </row>
    <row r="239" spans="1:11" x14ac:dyDescent="0.2">
      <c r="A239">
        <v>2012180</v>
      </c>
      <c r="B239">
        <v>2015</v>
      </c>
      <c r="C239" t="s">
        <v>6</v>
      </c>
      <c r="D239" t="s">
        <v>7</v>
      </c>
      <c r="E239" t="s">
        <v>8</v>
      </c>
      <c r="F239">
        <v>5214</v>
      </c>
      <c r="G239" t="s">
        <v>245</v>
      </c>
      <c r="H239" s="1">
        <v>2082033</v>
      </c>
      <c r="I239" s="1">
        <v>0</v>
      </c>
      <c r="J239" s="1">
        <v>2082033</v>
      </c>
      <c r="K239">
        <f>VLOOKUP(F239,'LEAID Match'!$A$2:$C$2979,3,FALSE)</f>
        <v>2012180</v>
      </c>
    </row>
    <row r="240" spans="1:11" x14ac:dyDescent="0.2">
      <c r="A240">
        <v>2000017</v>
      </c>
      <c r="B240">
        <v>2015</v>
      </c>
      <c r="C240" t="s">
        <v>6</v>
      </c>
      <c r="D240" t="s">
        <v>7</v>
      </c>
      <c r="E240" t="s">
        <v>8</v>
      </c>
      <c r="F240">
        <v>5215</v>
      </c>
      <c r="G240" t="s">
        <v>246</v>
      </c>
      <c r="H240" s="20">
        <v>474956</v>
      </c>
      <c r="I240" s="1">
        <v>0</v>
      </c>
      <c r="J240" s="1">
        <v>474956</v>
      </c>
      <c r="K240">
        <f>VLOOKUP(F240,'LEAID Match'!$A$2:$C$2979,3,FALSE)</f>
        <v>2000017</v>
      </c>
    </row>
    <row r="241" spans="1:11" x14ac:dyDescent="0.2">
      <c r="A241">
        <v>2004620</v>
      </c>
      <c r="B241">
        <v>2015</v>
      </c>
      <c r="C241" t="s">
        <v>6</v>
      </c>
      <c r="D241" t="s">
        <v>7</v>
      </c>
      <c r="E241" t="s">
        <v>8</v>
      </c>
      <c r="F241">
        <v>5216</v>
      </c>
      <c r="G241" t="s">
        <v>299</v>
      </c>
      <c r="H241" s="1">
        <v>675515</v>
      </c>
      <c r="I241" s="1">
        <v>0</v>
      </c>
      <c r="J241" s="1">
        <v>675515</v>
      </c>
      <c r="K241">
        <f>VLOOKUP(F241,'LEAID Match'!$A$2:$C$2979,3,FALSE)</f>
        <v>2004620</v>
      </c>
    </row>
    <row r="242" spans="1:11" x14ac:dyDescent="0.2">
      <c r="A242">
        <v>2005190</v>
      </c>
      <c r="B242">
        <v>2015</v>
      </c>
      <c r="C242" t="s">
        <v>6</v>
      </c>
      <c r="D242" t="s">
        <v>7</v>
      </c>
      <c r="E242" t="s">
        <v>8</v>
      </c>
      <c r="F242">
        <v>5217</v>
      </c>
      <c r="G242" s="9" t="s">
        <v>248</v>
      </c>
      <c r="H242" s="1">
        <v>89578</v>
      </c>
      <c r="I242" s="1">
        <v>0</v>
      </c>
      <c r="J242" s="1">
        <v>89578</v>
      </c>
      <c r="K242">
        <f>VLOOKUP(F242,'LEAID Match'!$A$2:$C$2979,3,FALSE)</f>
        <v>2005190</v>
      </c>
    </row>
    <row r="243" spans="1:11" x14ac:dyDescent="0.2">
      <c r="A243">
        <v>2007440</v>
      </c>
      <c r="B243">
        <v>2015</v>
      </c>
      <c r="C243" t="s">
        <v>6</v>
      </c>
      <c r="D243" t="s">
        <v>7</v>
      </c>
      <c r="E243" t="s">
        <v>8</v>
      </c>
      <c r="F243" s="3">
        <v>5218</v>
      </c>
      <c r="G243" s="3" t="s">
        <v>249</v>
      </c>
      <c r="H243" s="22">
        <v>189881</v>
      </c>
      <c r="I243" s="1">
        <v>0</v>
      </c>
      <c r="J243" s="1">
        <v>189881</v>
      </c>
      <c r="K243">
        <f>VLOOKUP(F243,'LEAID Match'!$A$2:$C$2979,3,FALSE)</f>
        <v>2007440</v>
      </c>
    </row>
    <row r="244" spans="1:11" x14ac:dyDescent="0.2">
      <c r="A244">
        <v>2011610</v>
      </c>
      <c r="B244">
        <v>2015</v>
      </c>
      <c r="C244" t="s">
        <v>6</v>
      </c>
      <c r="D244" t="s">
        <v>7</v>
      </c>
      <c r="E244" t="s">
        <v>8</v>
      </c>
      <c r="F244" s="3">
        <v>5219</v>
      </c>
      <c r="G244" s="3" t="s">
        <v>250</v>
      </c>
      <c r="H244" s="1">
        <v>152033</v>
      </c>
      <c r="I244" s="21">
        <v>0</v>
      </c>
      <c r="J244" s="21">
        <v>152033</v>
      </c>
      <c r="K244">
        <f>VLOOKUP(F244,'LEAID Match'!$A$2:$C$2979,3,FALSE)</f>
        <v>2011610</v>
      </c>
    </row>
    <row r="245" spans="1:11" x14ac:dyDescent="0.2">
      <c r="A245">
        <v>2012810</v>
      </c>
      <c r="B245">
        <v>2015</v>
      </c>
      <c r="C245" t="s">
        <v>6</v>
      </c>
      <c r="D245" t="s">
        <v>7</v>
      </c>
      <c r="E245" t="s">
        <v>8</v>
      </c>
      <c r="F245" s="3">
        <v>5220</v>
      </c>
      <c r="G245" s="3" t="s">
        <v>251</v>
      </c>
      <c r="H245" s="1">
        <v>440523</v>
      </c>
      <c r="I245" s="1">
        <v>0</v>
      </c>
      <c r="J245" s="1">
        <v>440523</v>
      </c>
      <c r="K245">
        <f>VLOOKUP(F245,'LEAID Match'!$A$2:$C$2979,3,FALSE)</f>
        <v>2012810</v>
      </c>
    </row>
    <row r="246" spans="1:11" x14ac:dyDescent="0.2">
      <c r="A246">
        <v>2005800</v>
      </c>
      <c r="B246">
        <v>2015</v>
      </c>
      <c r="C246" t="s">
        <v>6</v>
      </c>
      <c r="D246" t="s">
        <v>7</v>
      </c>
      <c r="E246" t="s">
        <v>8</v>
      </c>
      <c r="F246">
        <v>5222</v>
      </c>
      <c r="G246" t="s">
        <v>252</v>
      </c>
      <c r="H246" s="1">
        <v>263006</v>
      </c>
      <c r="I246" s="1">
        <v>0</v>
      </c>
      <c r="J246" s="1">
        <v>263006</v>
      </c>
      <c r="K246">
        <f>VLOOKUP(F246,'LEAID Match'!$A$2:$C$2979,3,FALSE)</f>
        <v>2005800</v>
      </c>
    </row>
    <row r="247" spans="1:11" x14ac:dyDescent="0.2">
      <c r="A247">
        <v>2013020</v>
      </c>
      <c r="B247">
        <v>2015</v>
      </c>
      <c r="C247" t="s">
        <v>6</v>
      </c>
      <c r="D247" t="s">
        <v>7</v>
      </c>
      <c r="E247" t="s">
        <v>8</v>
      </c>
      <c r="F247">
        <v>5223</v>
      </c>
      <c r="G247" t="s">
        <v>253</v>
      </c>
      <c r="H247" s="1">
        <v>283966</v>
      </c>
      <c r="I247" s="1">
        <v>0</v>
      </c>
      <c r="J247" s="1">
        <v>283966</v>
      </c>
      <c r="K247">
        <f>VLOOKUP(F247,'LEAID Match'!$A$2:$C$2979,3,FALSE)</f>
        <v>2013020</v>
      </c>
    </row>
    <row r="248" spans="1:11" x14ac:dyDescent="0.2">
      <c r="A248">
        <v>2004470</v>
      </c>
      <c r="B248">
        <v>2015</v>
      </c>
      <c r="C248" t="s">
        <v>6</v>
      </c>
      <c r="D248" t="s">
        <v>7</v>
      </c>
      <c r="E248" t="s">
        <v>8</v>
      </c>
      <c r="F248">
        <v>5226</v>
      </c>
      <c r="G248" t="s">
        <v>254</v>
      </c>
      <c r="H248" s="1">
        <v>175671</v>
      </c>
      <c r="I248" s="1">
        <v>0</v>
      </c>
      <c r="J248" s="1">
        <v>175671</v>
      </c>
      <c r="K248">
        <f>VLOOKUP(F248,'LEAID Match'!$A$2:$C$2979,3,FALSE)</f>
        <v>2004470</v>
      </c>
    </row>
    <row r="249" spans="1:11" x14ac:dyDescent="0.2">
      <c r="A249">
        <v>2000013</v>
      </c>
      <c r="B249">
        <v>2015</v>
      </c>
      <c r="C249" t="s">
        <v>6</v>
      </c>
      <c r="D249" t="s">
        <v>7</v>
      </c>
      <c r="E249" t="s">
        <v>8</v>
      </c>
      <c r="F249">
        <v>5227</v>
      </c>
      <c r="G249" t="s">
        <v>255</v>
      </c>
      <c r="H249" s="20">
        <v>60481</v>
      </c>
      <c r="I249" s="1">
        <v>0</v>
      </c>
      <c r="J249" s="1">
        <v>60481</v>
      </c>
      <c r="K249">
        <f>VLOOKUP(F249,'LEAID Match'!$A$2:$C$2979,3,FALSE)</f>
        <v>2000013</v>
      </c>
    </row>
    <row r="250" spans="1:11" x14ac:dyDescent="0.2">
      <c r="A250">
        <v>2006630</v>
      </c>
      <c r="B250">
        <v>2015</v>
      </c>
      <c r="C250" t="s">
        <v>6</v>
      </c>
      <c r="D250" t="s">
        <v>7</v>
      </c>
      <c r="E250" t="s">
        <v>8</v>
      </c>
      <c r="F250">
        <v>5228</v>
      </c>
      <c r="G250" t="s">
        <v>256</v>
      </c>
      <c r="H250" s="1">
        <v>93538</v>
      </c>
      <c r="I250" s="1">
        <v>0</v>
      </c>
      <c r="J250" s="1">
        <v>93538</v>
      </c>
      <c r="K250">
        <f>VLOOKUP(F250,'LEAID Match'!$A$2:$C$2979,3,FALSE)</f>
        <v>2006630</v>
      </c>
    </row>
    <row r="251" spans="1:11" x14ac:dyDescent="0.2">
      <c r="A251">
        <v>2010080</v>
      </c>
      <c r="B251">
        <v>2015</v>
      </c>
      <c r="C251" t="s">
        <v>6</v>
      </c>
      <c r="D251" t="s">
        <v>7</v>
      </c>
      <c r="E251" t="s">
        <v>8</v>
      </c>
      <c r="F251">
        <v>5229</v>
      </c>
      <c r="G251" s="9" t="s">
        <v>257</v>
      </c>
      <c r="H251" s="1">
        <v>253486</v>
      </c>
      <c r="I251" s="1">
        <v>0</v>
      </c>
      <c r="J251" s="1">
        <v>253486</v>
      </c>
      <c r="K251">
        <f>VLOOKUP(F251,'LEAID Match'!$A$2:$C$2979,3,FALSE)</f>
        <v>2010080</v>
      </c>
    </row>
    <row r="252" spans="1:11" x14ac:dyDescent="0.2">
      <c r="A252">
        <v>2006960</v>
      </c>
      <c r="B252">
        <v>2015</v>
      </c>
      <c r="C252" t="s">
        <v>6</v>
      </c>
      <c r="D252" t="s">
        <v>7</v>
      </c>
      <c r="E252" t="s">
        <v>8</v>
      </c>
      <c r="F252" s="3">
        <v>5230</v>
      </c>
      <c r="G252" s="3" t="s">
        <v>258</v>
      </c>
      <c r="H252" s="22">
        <v>572108</v>
      </c>
      <c r="I252" s="1">
        <v>0</v>
      </c>
      <c r="J252" s="1">
        <v>572108</v>
      </c>
      <c r="K252">
        <f>VLOOKUP(F252,'LEAID Match'!$A$2:$C$2979,3,FALSE)</f>
        <v>2006960</v>
      </c>
    </row>
    <row r="253" spans="1:11" x14ac:dyDescent="0.2">
      <c r="A253">
        <v>2007380</v>
      </c>
      <c r="B253">
        <v>2015</v>
      </c>
      <c r="C253" t="s">
        <v>6</v>
      </c>
      <c r="D253" t="s">
        <v>7</v>
      </c>
      <c r="E253" t="s">
        <v>8</v>
      </c>
      <c r="F253" s="3">
        <v>5231</v>
      </c>
      <c r="G253" s="3" t="s">
        <v>259</v>
      </c>
      <c r="H253" s="1">
        <v>1065109</v>
      </c>
      <c r="I253" s="21">
        <v>0</v>
      </c>
      <c r="J253" s="21">
        <v>1065109</v>
      </c>
      <c r="K253">
        <f>VLOOKUP(F253,'LEAID Match'!$A$2:$C$2979,3,FALSE)</f>
        <v>2007380</v>
      </c>
    </row>
    <row r="254" spans="1:11" x14ac:dyDescent="0.2">
      <c r="A254">
        <v>2003200</v>
      </c>
      <c r="B254">
        <v>2015</v>
      </c>
      <c r="C254" t="s">
        <v>6</v>
      </c>
      <c r="D254" t="s">
        <v>7</v>
      </c>
      <c r="E254" t="s">
        <v>8</v>
      </c>
      <c r="F254" s="3">
        <v>5233</v>
      </c>
      <c r="G254" s="3" t="s">
        <v>260</v>
      </c>
      <c r="H254" s="1">
        <v>3140264</v>
      </c>
      <c r="I254" s="1">
        <v>0</v>
      </c>
      <c r="J254" s="1">
        <v>3140264</v>
      </c>
      <c r="K254">
        <f>VLOOKUP(F254,'LEAID Match'!$A$2:$C$2979,3,FALSE)</f>
        <v>2003200</v>
      </c>
    </row>
    <row r="255" spans="1:11" x14ac:dyDescent="0.2">
      <c r="A255">
        <v>2008040</v>
      </c>
      <c r="B255">
        <v>2015</v>
      </c>
      <c r="C255" t="s">
        <v>6</v>
      </c>
      <c r="D255" t="s">
        <v>7</v>
      </c>
      <c r="E255" t="s">
        <v>8</v>
      </c>
      <c r="F255">
        <v>5235</v>
      </c>
      <c r="G255" t="s">
        <v>261</v>
      </c>
      <c r="H255" s="1">
        <v>151118</v>
      </c>
      <c r="I255" s="1">
        <v>0</v>
      </c>
      <c r="J255" s="1">
        <v>151118</v>
      </c>
      <c r="K255">
        <f>VLOOKUP(F255,'LEAID Match'!$A$2:$C$2979,3,FALSE)</f>
        <v>2008040</v>
      </c>
    </row>
    <row r="256" spans="1:11" x14ac:dyDescent="0.2">
      <c r="A256">
        <v>2006060</v>
      </c>
      <c r="B256">
        <v>2015</v>
      </c>
      <c r="C256" t="s">
        <v>6</v>
      </c>
      <c r="D256" t="s">
        <v>7</v>
      </c>
      <c r="E256" t="s">
        <v>8</v>
      </c>
      <c r="F256">
        <v>5236</v>
      </c>
      <c r="G256" t="s">
        <v>262</v>
      </c>
      <c r="H256" s="1">
        <v>373553</v>
      </c>
      <c r="I256" s="1">
        <v>0</v>
      </c>
      <c r="J256" s="1">
        <v>373553</v>
      </c>
      <c r="K256">
        <f>VLOOKUP(F256,'LEAID Match'!$A$2:$C$2979,3,FALSE)</f>
        <v>2006060</v>
      </c>
    </row>
    <row r="257" spans="1:11" x14ac:dyDescent="0.2">
      <c r="A257">
        <v>2006510</v>
      </c>
      <c r="B257">
        <v>2015</v>
      </c>
      <c r="C257" t="s">
        <v>6</v>
      </c>
      <c r="D257" t="s">
        <v>7</v>
      </c>
      <c r="E257" t="s">
        <v>8</v>
      </c>
      <c r="F257">
        <v>5237</v>
      </c>
      <c r="G257" t="s">
        <v>263</v>
      </c>
      <c r="H257" s="1">
        <v>182990</v>
      </c>
      <c r="I257" s="1">
        <v>0</v>
      </c>
      <c r="J257" s="1">
        <v>182990</v>
      </c>
      <c r="K257">
        <f>VLOOKUP(F257,'LEAID Match'!$A$2:$C$2979,3,FALSE)</f>
        <v>2006510</v>
      </c>
    </row>
    <row r="258" spans="1:11" x14ac:dyDescent="0.2">
      <c r="A258">
        <v>2004170</v>
      </c>
      <c r="B258">
        <v>2015</v>
      </c>
      <c r="C258" t="s">
        <v>6</v>
      </c>
      <c r="D258" t="s">
        <v>7</v>
      </c>
      <c r="E258" t="s">
        <v>8</v>
      </c>
      <c r="F258">
        <v>5238</v>
      </c>
      <c r="G258" t="s">
        <v>264</v>
      </c>
      <c r="H258" s="20">
        <v>147976</v>
      </c>
      <c r="I258" s="1">
        <v>0</v>
      </c>
      <c r="J258" s="1">
        <v>147976</v>
      </c>
      <c r="K258">
        <f>VLOOKUP(F258,'LEAID Match'!$A$2:$C$2979,3,FALSE)</f>
        <v>2004170</v>
      </c>
    </row>
    <row r="259" spans="1:11" x14ac:dyDescent="0.2">
      <c r="A259">
        <v>2004650</v>
      </c>
      <c r="B259">
        <v>2015</v>
      </c>
      <c r="C259" t="s">
        <v>6</v>
      </c>
      <c r="D259" t="s">
        <v>7</v>
      </c>
      <c r="E259" t="s">
        <v>8</v>
      </c>
      <c r="F259">
        <v>5239</v>
      </c>
      <c r="G259" t="s">
        <v>265</v>
      </c>
      <c r="H259" s="1">
        <v>133213</v>
      </c>
      <c r="I259" s="1">
        <v>0</v>
      </c>
      <c r="J259" s="1">
        <v>133213</v>
      </c>
      <c r="K259">
        <f>VLOOKUP(F259,'LEAID Match'!$A$2:$C$2979,3,FALSE)</f>
        <v>2004650</v>
      </c>
    </row>
    <row r="260" spans="1:11" x14ac:dyDescent="0.2">
      <c r="A260">
        <v>2012150</v>
      </c>
      <c r="B260">
        <v>2015</v>
      </c>
      <c r="C260" t="s">
        <v>6</v>
      </c>
      <c r="D260" t="s">
        <v>7</v>
      </c>
      <c r="E260" t="s">
        <v>8</v>
      </c>
      <c r="F260">
        <v>5240</v>
      </c>
      <c r="G260" s="9" t="s">
        <v>266</v>
      </c>
      <c r="H260" s="1">
        <v>272656</v>
      </c>
      <c r="I260" s="1">
        <v>0</v>
      </c>
      <c r="J260" s="1">
        <v>272656</v>
      </c>
      <c r="K260">
        <f>VLOOKUP(F260,'LEAID Match'!$A$2:$C$2979,3,FALSE)</f>
        <v>2012150</v>
      </c>
    </row>
    <row r="261" spans="1:11" x14ac:dyDescent="0.2">
      <c r="A261">
        <v>2005040</v>
      </c>
      <c r="B261">
        <v>2015</v>
      </c>
      <c r="C261" t="s">
        <v>6</v>
      </c>
      <c r="D261" t="s">
        <v>7</v>
      </c>
      <c r="E261" t="s">
        <v>8</v>
      </c>
      <c r="F261" s="3">
        <v>5241</v>
      </c>
      <c r="G261" s="3" t="s">
        <v>362</v>
      </c>
      <c r="H261" s="22">
        <v>154576</v>
      </c>
      <c r="I261" s="1">
        <v>0</v>
      </c>
      <c r="J261" s="1">
        <v>154576</v>
      </c>
      <c r="K261">
        <f>VLOOKUP(F261,'LEAID Match'!$A$2:$C$2979,3,FALSE)</f>
        <v>2005040</v>
      </c>
    </row>
    <row r="262" spans="1:11" x14ac:dyDescent="0.2">
      <c r="A262">
        <v>2000001</v>
      </c>
      <c r="B262">
        <v>2015</v>
      </c>
      <c r="C262" t="s">
        <v>6</v>
      </c>
      <c r="D262" t="s">
        <v>7</v>
      </c>
      <c r="E262" t="s">
        <v>8</v>
      </c>
      <c r="F262" s="3">
        <v>5250</v>
      </c>
      <c r="G262" s="3" t="s">
        <v>268</v>
      </c>
      <c r="H262" s="1">
        <v>427270</v>
      </c>
      <c r="I262" s="21">
        <v>0</v>
      </c>
      <c r="J262" s="21">
        <v>427270</v>
      </c>
      <c r="K262">
        <f>VLOOKUP(F262,'LEAID Match'!$A$2:$C$2979,3,FALSE)</f>
        <v>2000001</v>
      </c>
    </row>
    <row r="263" spans="1:11" x14ac:dyDescent="0.2">
      <c r="A263">
        <v>2010980</v>
      </c>
      <c r="B263">
        <v>2015</v>
      </c>
      <c r="C263" t="s">
        <v>6</v>
      </c>
      <c r="D263" t="s">
        <v>7</v>
      </c>
      <c r="E263" t="s">
        <v>8</v>
      </c>
      <c r="F263" s="3">
        <v>5251</v>
      </c>
      <c r="G263" s="3" t="s">
        <v>269</v>
      </c>
      <c r="H263" s="1">
        <v>137719</v>
      </c>
      <c r="I263" s="1">
        <v>0</v>
      </c>
      <c r="J263" s="1">
        <v>137719</v>
      </c>
      <c r="K263">
        <f>VLOOKUP(F263,'LEAID Match'!$A$2:$C$2979,3,FALSE)</f>
        <v>2010980</v>
      </c>
    </row>
    <row r="264" spans="1:11" x14ac:dyDescent="0.2">
      <c r="A264">
        <v>2008940</v>
      </c>
      <c r="B264">
        <v>2015</v>
      </c>
      <c r="C264" t="s">
        <v>6</v>
      </c>
      <c r="D264" t="s">
        <v>7</v>
      </c>
      <c r="E264" t="s">
        <v>8</v>
      </c>
      <c r="F264">
        <v>5267</v>
      </c>
      <c r="G264" t="s">
        <v>270</v>
      </c>
      <c r="H264" s="1">
        <v>128395</v>
      </c>
      <c r="I264" s="1">
        <v>0</v>
      </c>
      <c r="J264" s="1">
        <v>128395</v>
      </c>
      <c r="K264">
        <f>VLOOKUP(F264,'LEAID Match'!$A$2:$C$2979,3,FALSE)</f>
        <v>2008940</v>
      </c>
    </row>
    <row r="265" spans="1:11" x14ac:dyDescent="0.2">
      <c r="A265">
        <v>2003510</v>
      </c>
      <c r="B265">
        <v>2015</v>
      </c>
      <c r="C265" t="s">
        <v>6</v>
      </c>
      <c r="D265" t="s">
        <v>7</v>
      </c>
      <c r="E265" t="s">
        <v>8</v>
      </c>
      <c r="F265">
        <v>5268</v>
      </c>
      <c r="G265" t="s">
        <v>271</v>
      </c>
      <c r="H265" s="1">
        <v>136481</v>
      </c>
      <c r="I265" s="1">
        <v>0</v>
      </c>
      <c r="J265" s="1">
        <v>136481</v>
      </c>
      <c r="K265">
        <f>VLOOKUP(F265,'LEAID Match'!$A$2:$C$2979,3,FALSE)</f>
        <v>2003510</v>
      </c>
    </row>
    <row r="266" spans="1:11" x14ac:dyDescent="0.2">
      <c r="A266">
        <v>2004950</v>
      </c>
      <c r="B266">
        <v>2015</v>
      </c>
      <c r="C266" t="s">
        <v>6</v>
      </c>
      <c r="D266" t="s">
        <v>7</v>
      </c>
      <c r="E266" t="s">
        <v>8</v>
      </c>
      <c r="F266">
        <v>5270</v>
      </c>
      <c r="G266" t="s">
        <v>272</v>
      </c>
      <c r="H266" s="1">
        <v>206713</v>
      </c>
      <c r="I266" s="1">
        <v>0</v>
      </c>
      <c r="J266" s="1">
        <v>206713</v>
      </c>
      <c r="K266">
        <f>VLOOKUP(F266,'LEAID Match'!$A$2:$C$2979,3,FALSE)</f>
        <v>2004950</v>
      </c>
    </row>
    <row r="267" spans="1:11" x14ac:dyDescent="0.2">
      <c r="A267">
        <v>2006210</v>
      </c>
      <c r="B267">
        <v>2015</v>
      </c>
      <c r="C267" t="s">
        <v>6</v>
      </c>
      <c r="D267" t="s">
        <v>7</v>
      </c>
      <c r="E267" t="s">
        <v>8</v>
      </c>
      <c r="F267">
        <v>5271</v>
      </c>
      <c r="G267" t="s">
        <v>273</v>
      </c>
      <c r="H267" s="20">
        <v>120965</v>
      </c>
      <c r="I267" s="1">
        <v>0</v>
      </c>
      <c r="J267" s="1">
        <v>120965</v>
      </c>
      <c r="K267">
        <f>VLOOKUP(F267,'LEAID Match'!$A$2:$C$2979,3,FALSE)</f>
        <v>2006210</v>
      </c>
    </row>
    <row r="268" spans="1:11" x14ac:dyDescent="0.2">
      <c r="A268">
        <v>2011850</v>
      </c>
      <c r="B268">
        <v>2015</v>
      </c>
      <c r="C268" t="s">
        <v>6</v>
      </c>
      <c r="D268" t="s">
        <v>7</v>
      </c>
      <c r="E268" t="s">
        <v>8</v>
      </c>
      <c r="F268">
        <v>5272</v>
      </c>
      <c r="G268" t="s">
        <v>274</v>
      </c>
      <c r="H268" s="1">
        <v>1642661</v>
      </c>
      <c r="I268" s="1">
        <v>0</v>
      </c>
      <c r="J268" s="1">
        <v>1642661</v>
      </c>
      <c r="K268">
        <f>VLOOKUP(F268,'LEAID Match'!$A$2:$C$2979,3,FALSE)</f>
        <v>2011850</v>
      </c>
    </row>
    <row r="269" spans="1:11" x14ac:dyDescent="0.2">
      <c r="A269">
        <v>2006300</v>
      </c>
      <c r="B269">
        <v>2015</v>
      </c>
      <c r="C269" t="s">
        <v>6</v>
      </c>
      <c r="D269" t="s">
        <v>7</v>
      </c>
      <c r="E269" t="s">
        <v>8</v>
      </c>
      <c r="F269">
        <v>5274</v>
      </c>
      <c r="G269" s="9" t="s">
        <v>275</v>
      </c>
      <c r="H269" s="1">
        <v>444716</v>
      </c>
      <c r="I269" s="1">
        <v>0</v>
      </c>
      <c r="J269" s="1">
        <v>444716</v>
      </c>
      <c r="K269">
        <f>VLOOKUP(F269,'LEAID Match'!$A$2:$C$2979,3,FALSE)</f>
        <v>2006300</v>
      </c>
    </row>
    <row r="270" spans="1:11" x14ac:dyDescent="0.2">
      <c r="A270">
        <v>2009840</v>
      </c>
      <c r="B270">
        <v>2015</v>
      </c>
      <c r="C270" t="s">
        <v>6</v>
      </c>
      <c r="D270" t="s">
        <v>7</v>
      </c>
      <c r="E270" t="s">
        <v>8</v>
      </c>
      <c r="F270" s="3">
        <v>5275</v>
      </c>
      <c r="G270" s="3" t="s">
        <v>276</v>
      </c>
      <c r="H270" s="22">
        <v>1066636</v>
      </c>
      <c r="I270" s="1">
        <v>0</v>
      </c>
      <c r="J270" s="1">
        <v>1066636</v>
      </c>
      <c r="K270">
        <f>VLOOKUP(F270,'LEAID Match'!$A$2:$C$2979,3,FALSE)</f>
        <v>2009840</v>
      </c>
    </row>
    <row r="271" spans="1:11" x14ac:dyDescent="0.2">
      <c r="A271">
        <v>2004920</v>
      </c>
      <c r="B271">
        <v>2015</v>
      </c>
      <c r="C271" t="s">
        <v>6</v>
      </c>
      <c r="D271" t="s">
        <v>7</v>
      </c>
      <c r="E271" t="s">
        <v>8</v>
      </c>
      <c r="F271" s="3">
        <v>5276</v>
      </c>
      <c r="G271" s="3" t="s">
        <v>277</v>
      </c>
      <c r="H271" s="1">
        <v>607026</v>
      </c>
      <c r="I271" s="21">
        <v>0</v>
      </c>
      <c r="J271" s="21">
        <v>607026</v>
      </c>
      <c r="K271">
        <f>VLOOKUP(F271,'LEAID Match'!$A$2:$C$2979,3,FALSE)</f>
        <v>2004920</v>
      </c>
    </row>
    <row r="272" spans="1:11" x14ac:dyDescent="0.2">
      <c r="A272">
        <v>2010950</v>
      </c>
      <c r="B272">
        <v>2015</v>
      </c>
      <c r="C272" t="s">
        <v>6</v>
      </c>
      <c r="D272" t="s">
        <v>7</v>
      </c>
      <c r="E272" t="s">
        <v>8</v>
      </c>
      <c r="F272" s="3">
        <v>5278</v>
      </c>
      <c r="G272" s="3" t="s">
        <v>278</v>
      </c>
      <c r="H272" s="1">
        <v>167721</v>
      </c>
      <c r="I272" s="1">
        <v>0</v>
      </c>
      <c r="J272" s="1">
        <v>167721</v>
      </c>
      <c r="K272">
        <f>VLOOKUP(F272,'LEAID Match'!$A$2:$C$2979,3,FALSE)</f>
        <v>2010950</v>
      </c>
    </row>
    <row r="273" spans="1:11" x14ac:dyDescent="0.2">
      <c r="A273">
        <v>2007620</v>
      </c>
      <c r="B273">
        <v>2015</v>
      </c>
      <c r="C273" t="s">
        <v>6</v>
      </c>
      <c r="D273" t="s">
        <v>7</v>
      </c>
      <c r="E273" t="s">
        <v>8</v>
      </c>
      <c r="F273">
        <v>5280</v>
      </c>
      <c r="G273" t="s">
        <v>279</v>
      </c>
      <c r="H273" s="1">
        <v>2793839</v>
      </c>
      <c r="I273" s="1">
        <v>0</v>
      </c>
      <c r="J273" s="1">
        <v>2793839</v>
      </c>
      <c r="K273">
        <f>VLOOKUP(F273,'LEAID Match'!$A$2:$C$2979,3,FALSE)</f>
        <v>2007620</v>
      </c>
    </row>
    <row r="274" spans="1:11" x14ac:dyDescent="0.2">
      <c r="A274">
        <v>2011040</v>
      </c>
      <c r="B274">
        <v>2015</v>
      </c>
      <c r="C274" t="s">
        <v>6</v>
      </c>
      <c r="D274" t="s">
        <v>7</v>
      </c>
      <c r="E274" t="s">
        <v>8</v>
      </c>
      <c r="F274">
        <v>5281</v>
      </c>
      <c r="G274" t="s">
        <v>280</v>
      </c>
      <c r="H274" s="1">
        <v>120345</v>
      </c>
      <c r="I274" s="1">
        <v>0</v>
      </c>
      <c r="J274" s="1">
        <v>120345</v>
      </c>
      <c r="K274">
        <f>VLOOKUP(F274,'LEAID Match'!$A$2:$C$2979,3,FALSE)</f>
        <v>2011040</v>
      </c>
    </row>
    <row r="275" spans="1:11" x14ac:dyDescent="0.2">
      <c r="A275">
        <v>2010650</v>
      </c>
      <c r="B275">
        <v>2015</v>
      </c>
      <c r="C275" t="s">
        <v>6</v>
      </c>
      <c r="D275" t="s">
        <v>7</v>
      </c>
      <c r="E275" t="s">
        <v>8</v>
      </c>
      <c r="F275">
        <v>5283</v>
      </c>
      <c r="G275" t="s">
        <v>281</v>
      </c>
      <c r="H275" s="1">
        <v>339359</v>
      </c>
      <c r="I275" s="1">
        <v>0</v>
      </c>
      <c r="J275" s="1">
        <v>339359</v>
      </c>
      <c r="K275">
        <f>VLOOKUP(F275,'LEAID Match'!$A$2:$C$2979,3,FALSE)</f>
        <v>2010650</v>
      </c>
    </row>
    <row r="276" spans="1:11" x14ac:dyDescent="0.2">
      <c r="A276">
        <v>2009510</v>
      </c>
      <c r="B276">
        <v>2015</v>
      </c>
      <c r="C276" t="s">
        <v>6</v>
      </c>
      <c r="D276" t="s">
        <v>7</v>
      </c>
      <c r="E276" t="s">
        <v>8</v>
      </c>
      <c r="F276">
        <v>5284</v>
      </c>
      <c r="G276" t="s">
        <v>282</v>
      </c>
      <c r="H276" s="20">
        <v>430609</v>
      </c>
      <c r="I276" s="1">
        <v>0</v>
      </c>
      <c r="J276" s="1">
        <v>430609</v>
      </c>
      <c r="K276">
        <f>VLOOKUP(F276,'LEAID Match'!$A$2:$C$2979,3,FALSE)</f>
        <v>2009510</v>
      </c>
    </row>
    <row r="277" spans="1:11" x14ac:dyDescent="0.2">
      <c r="A277">
        <v>2010770</v>
      </c>
      <c r="B277">
        <v>2015</v>
      </c>
      <c r="C277" t="s">
        <v>6</v>
      </c>
      <c r="D277" t="s">
        <v>7</v>
      </c>
      <c r="E277" t="s">
        <v>8</v>
      </c>
      <c r="F277">
        <v>5285</v>
      </c>
      <c r="G277" t="s">
        <v>283</v>
      </c>
      <c r="H277" s="1">
        <v>228601</v>
      </c>
      <c r="I277" s="1">
        <v>0</v>
      </c>
      <c r="J277" s="1">
        <v>228601</v>
      </c>
      <c r="K277">
        <f>VLOOKUP(F277,'LEAID Match'!$A$2:$C$2979,3,FALSE)</f>
        <v>2010770</v>
      </c>
    </row>
    <row r="278" spans="1:11" x14ac:dyDescent="0.2">
      <c r="A278">
        <v>2011910</v>
      </c>
      <c r="B278">
        <v>2015</v>
      </c>
      <c r="C278" t="s">
        <v>6</v>
      </c>
      <c r="D278" t="s">
        <v>7</v>
      </c>
      <c r="E278" t="s">
        <v>8</v>
      </c>
      <c r="F278">
        <v>5286</v>
      </c>
      <c r="G278" s="9" t="s">
        <v>284</v>
      </c>
      <c r="H278" s="1">
        <v>198668</v>
      </c>
      <c r="I278" s="1">
        <v>0</v>
      </c>
      <c r="J278" s="1">
        <v>198668</v>
      </c>
      <c r="K278">
        <f>VLOOKUP(F278,'LEAID Match'!$A$2:$C$2979,3,FALSE)</f>
        <v>2011910</v>
      </c>
    </row>
    <row r="279" spans="1:11" x14ac:dyDescent="0.2">
      <c r="A279">
        <v>2003900</v>
      </c>
      <c r="B279">
        <v>2015</v>
      </c>
      <c r="C279" t="s">
        <v>6</v>
      </c>
      <c r="D279" t="s">
        <v>7</v>
      </c>
      <c r="E279" t="s">
        <v>8</v>
      </c>
      <c r="F279" s="3">
        <v>5287</v>
      </c>
      <c r="G279" s="3" t="s">
        <v>285</v>
      </c>
      <c r="H279" s="22">
        <v>331294</v>
      </c>
      <c r="I279" s="1">
        <v>0</v>
      </c>
      <c r="J279" s="1">
        <v>331294</v>
      </c>
      <c r="K279">
        <f>VLOOKUP(F279,'LEAID Match'!$A$2:$C$2979,3,FALSE)</f>
        <v>2003900</v>
      </c>
    </row>
    <row r="280" spans="1:11" x14ac:dyDescent="0.2">
      <c r="A280">
        <v>2010440</v>
      </c>
      <c r="B280">
        <v>2015</v>
      </c>
      <c r="C280" t="s">
        <v>6</v>
      </c>
      <c r="D280" t="s">
        <v>7</v>
      </c>
      <c r="E280" t="s">
        <v>8</v>
      </c>
      <c r="F280" s="3">
        <v>5288</v>
      </c>
      <c r="G280" s="3" t="s">
        <v>286</v>
      </c>
      <c r="H280" s="1">
        <v>197088</v>
      </c>
      <c r="I280" s="21">
        <v>0</v>
      </c>
      <c r="J280" s="21">
        <v>197088</v>
      </c>
      <c r="K280">
        <f>VLOOKUP(F280,'LEAID Match'!$A$2:$C$2979,3,FALSE)</f>
        <v>2010440</v>
      </c>
    </row>
    <row r="281" spans="1:11" x14ac:dyDescent="0.2">
      <c r="A281">
        <v>2013110</v>
      </c>
      <c r="B281">
        <v>2015</v>
      </c>
      <c r="C281" t="s">
        <v>6</v>
      </c>
      <c r="D281" t="s">
        <v>7</v>
      </c>
      <c r="E281" t="s">
        <v>8</v>
      </c>
      <c r="F281" s="3">
        <v>5289</v>
      </c>
      <c r="G281" s="3" t="s">
        <v>287</v>
      </c>
      <c r="H281" s="1">
        <v>268098</v>
      </c>
      <c r="I281" s="1">
        <v>0</v>
      </c>
      <c r="J281" s="1">
        <v>268098</v>
      </c>
      <c r="K281">
        <f>VLOOKUP(F281,'LEAID Match'!$A$2:$C$2979,3,FALSE)</f>
        <v>2013110</v>
      </c>
    </row>
    <row r="282" spans="1:11" x14ac:dyDescent="0.2">
      <c r="A282">
        <v>2012090</v>
      </c>
      <c r="B282">
        <v>2015</v>
      </c>
      <c r="C282" t="s">
        <v>6</v>
      </c>
      <c r="D282" t="s">
        <v>7</v>
      </c>
      <c r="E282" t="s">
        <v>8</v>
      </c>
      <c r="F282">
        <v>5291</v>
      </c>
      <c r="G282" t="s">
        <v>288</v>
      </c>
      <c r="H282" s="1">
        <v>379095</v>
      </c>
      <c r="I282" s="1">
        <v>0</v>
      </c>
      <c r="J282" s="1">
        <v>379095</v>
      </c>
      <c r="K282">
        <f>VLOOKUP(F282,'LEAID Match'!$A$2:$C$2979,3,FALSE)</f>
        <v>2012090</v>
      </c>
    </row>
    <row r="283" spans="1:11" x14ac:dyDescent="0.2">
      <c r="A283">
        <v>2012300</v>
      </c>
      <c r="B283">
        <v>2015</v>
      </c>
      <c r="C283" t="s">
        <v>6</v>
      </c>
      <c r="D283" t="s">
        <v>7</v>
      </c>
      <c r="E283" t="s">
        <v>8</v>
      </c>
      <c r="F283">
        <v>5292</v>
      </c>
      <c r="G283" t="s">
        <v>289</v>
      </c>
      <c r="H283" s="1">
        <v>1007235</v>
      </c>
      <c r="I283" s="1">
        <v>0</v>
      </c>
      <c r="J283" s="1">
        <v>1007235</v>
      </c>
      <c r="K283">
        <f>VLOOKUP(F283,'LEAID Match'!$A$2:$C$2979,3,FALSE)</f>
        <v>2012300</v>
      </c>
    </row>
    <row r="284" spans="1:11" x14ac:dyDescent="0.2">
      <c r="A284">
        <v>2005850</v>
      </c>
      <c r="B284">
        <v>2015</v>
      </c>
      <c r="C284" t="s">
        <v>6</v>
      </c>
      <c r="D284" t="s">
        <v>7</v>
      </c>
      <c r="E284" t="s">
        <v>8</v>
      </c>
      <c r="F284">
        <v>5293</v>
      </c>
      <c r="G284" t="s">
        <v>290</v>
      </c>
      <c r="H284" s="1">
        <v>238867</v>
      </c>
      <c r="I284" s="1">
        <v>0</v>
      </c>
      <c r="J284" s="1">
        <v>238867</v>
      </c>
      <c r="K284">
        <f>VLOOKUP(F284,'LEAID Match'!$A$2:$C$2979,3,FALSE)</f>
        <v>2005850</v>
      </c>
    </row>
    <row r="285" spans="1:11" x14ac:dyDescent="0.2">
      <c r="A285">
        <v>2011310</v>
      </c>
      <c r="B285">
        <v>2015</v>
      </c>
      <c r="C285" t="s">
        <v>6</v>
      </c>
      <c r="D285" t="s">
        <v>7</v>
      </c>
      <c r="E285" t="s">
        <v>8</v>
      </c>
      <c r="F285">
        <v>5294</v>
      </c>
      <c r="G285" t="s">
        <v>291</v>
      </c>
      <c r="H285" s="20">
        <v>517595</v>
      </c>
      <c r="I285" s="1">
        <v>0</v>
      </c>
      <c r="J285" s="1">
        <v>517595</v>
      </c>
      <c r="K285">
        <f>VLOOKUP(F285,'LEAID Match'!$A$2:$C$2979,3,FALSE)</f>
        <v>2011310</v>
      </c>
    </row>
    <row r="286" spans="1:11" x14ac:dyDescent="0.2">
      <c r="A286">
        <v>2006570</v>
      </c>
      <c r="B286">
        <v>2015</v>
      </c>
      <c r="C286" t="s">
        <v>6</v>
      </c>
      <c r="D286" t="s">
        <v>7</v>
      </c>
      <c r="E286" t="s">
        <v>8</v>
      </c>
      <c r="F286">
        <v>5295</v>
      </c>
      <c r="G286" t="s">
        <v>292</v>
      </c>
      <c r="H286" s="1">
        <v>154310</v>
      </c>
      <c r="I286" s="1">
        <v>0</v>
      </c>
      <c r="J286" s="1">
        <v>154310</v>
      </c>
      <c r="K286">
        <f>VLOOKUP(F286,'LEAID Match'!$A$2:$C$2979,3,FALSE)</f>
        <v>2006570</v>
      </c>
    </row>
    <row r="287" spans="1:11" x14ac:dyDescent="0.2">
      <c r="A287">
        <v>2003180</v>
      </c>
      <c r="B287">
        <v>2015</v>
      </c>
      <c r="C287" t="s">
        <v>6</v>
      </c>
      <c r="D287" t="s">
        <v>7</v>
      </c>
      <c r="E287" t="s">
        <v>8</v>
      </c>
      <c r="F287">
        <v>5296</v>
      </c>
      <c r="G287" s="9" t="s">
        <v>293</v>
      </c>
      <c r="H287" s="1">
        <v>818457</v>
      </c>
      <c r="I287" s="1">
        <v>0</v>
      </c>
      <c r="J287" s="1">
        <v>818457</v>
      </c>
      <c r="K287">
        <f>VLOOKUP(F287,'LEAID Match'!$A$2:$C$2979,3,FALSE)</f>
        <v>2003180</v>
      </c>
    </row>
    <row r="288" spans="1:11" x14ac:dyDescent="0.2">
      <c r="A288">
        <v>2009900</v>
      </c>
      <c r="B288">
        <v>2015</v>
      </c>
      <c r="C288" t="s">
        <v>6</v>
      </c>
      <c r="D288" t="s">
        <v>7</v>
      </c>
      <c r="E288" t="s">
        <v>8</v>
      </c>
      <c r="F288" s="3">
        <v>5297</v>
      </c>
      <c r="G288" s="3" t="s">
        <v>294</v>
      </c>
      <c r="H288" s="22">
        <v>368475</v>
      </c>
      <c r="I288" s="1">
        <v>0</v>
      </c>
      <c r="J288" s="1">
        <v>368475</v>
      </c>
      <c r="K288">
        <f>VLOOKUP(F288,'LEAID Match'!$A$2:$C$2979,3,FALSE)</f>
        <v>2009900</v>
      </c>
    </row>
    <row r="289" spans="1:11" x14ac:dyDescent="0.2">
      <c r="A289">
        <v>2007080</v>
      </c>
      <c r="B289">
        <v>2015</v>
      </c>
      <c r="C289" t="s">
        <v>6</v>
      </c>
      <c r="D289" t="s">
        <v>7</v>
      </c>
      <c r="E289" t="s">
        <v>8</v>
      </c>
      <c r="F289" s="3">
        <v>5298</v>
      </c>
      <c r="G289" s="3" t="s">
        <v>295</v>
      </c>
      <c r="H289" s="1">
        <v>57945</v>
      </c>
      <c r="I289" s="21">
        <v>0</v>
      </c>
      <c r="J289" s="21">
        <v>57945</v>
      </c>
      <c r="K289">
        <f>VLOOKUP(F289,'LEAID Match'!$A$2:$C$2979,3,FALSE)</f>
        <v>2007080</v>
      </c>
    </row>
    <row r="290" spans="1:11" x14ac:dyDescent="0.2">
      <c r="A290">
        <v>2005520</v>
      </c>
      <c r="B290">
        <v>2015</v>
      </c>
      <c r="C290" t="s">
        <v>6</v>
      </c>
      <c r="D290" t="s">
        <v>7</v>
      </c>
      <c r="E290" t="s">
        <v>8</v>
      </c>
      <c r="F290" s="3">
        <v>5299</v>
      </c>
      <c r="G290" s="3" t="s">
        <v>296</v>
      </c>
      <c r="H290" s="1">
        <v>103661</v>
      </c>
      <c r="I290" s="1">
        <v>0</v>
      </c>
      <c r="J290" s="1">
        <v>103661</v>
      </c>
      <c r="K290">
        <f>VLOOKUP(F290,'LEAID Match'!$A$2:$C$2979,3,FALSE)</f>
        <v>2005520</v>
      </c>
    </row>
    <row r="291" spans="1:11" x14ac:dyDescent="0.2">
      <c r="A291">
        <v>2006270</v>
      </c>
      <c r="B291">
        <v>2015</v>
      </c>
      <c r="C291" t="s">
        <v>6</v>
      </c>
      <c r="D291" t="s">
        <v>7</v>
      </c>
      <c r="E291" t="s">
        <v>8</v>
      </c>
      <c r="F291">
        <v>5300</v>
      </c>
      <c r="G291" t="s">
        <v>297</v>
      </c>
      <c r="H291" s="1">
        <v>368587</v>
      </c>
      <c r="I291" s="1">
        <v>0</v>
      </c>
      <c r="J291" s="1">
        <v>368587</v>
      </c>
      <c r="K291">
        <f>VLOOKUP(F291,'LEAID Match'!$A$2:$C$2979,3,FALSE)</f>
        <v>2006270</v>
      </c>
    </row>
    <row r="292" spans="1:11" x14ac:dyDescent="0.2">
      <c r="A292">
        <v>2007020</v>
      </c>
      <c r="B292">
        <v>2015</v>
      </c>
      <c r="C292" t="s">
        <v>6</v>
      </c>
      <c r="D292" t="s">
        <v>7</v>
      </c>
      <c r="E292" t="s">
        <v>8</v>
      </c>
      <c r="F292">
        <v>5302</v>
      </c>
      <c r="G292" t="s">
        <v>298</v>
      </c>
      <c r="H292" s="1">
        <v>1895294</v>
      </c>
      <c r="I292" s="1">
        <v>0</v>
      </c>
      <c r="J292" s="1">
        <v>1895294</v>
      </c>
      <c r="K292">
        <f>VLOOKUP(F292,'LEAID Match'!$A$2:$C$2979,3,FALSE)</f>
        <v>2007020</v>
      </c>
    </row>
    <row r="293" spans="1:11" x14ac:dyDescent="0.2">
      <c r="A293">
        <v>2005730</v>
      </c>
      <c r="B293">
        <v>2015</v>
      </c>
      <c r="C293" t="s">
        <v>6</v>
      </c>
      <c r="D293" t="s">
        <v>7</v>
      </c>
      <c r="E293" t="s">
        <v>8</v>
      </c>
      <c r="F293">
        <v>5303</v>
      </c>
      <c r="G293" t="s">
        <v>345</v>
      </c>
      <c r="H293" s="1">
        <v>1180299</v>
      </c>
      <c r="I293" s="1">
        <v>0</v>
      </c>
      <c r="J293" s="1">
        <v>1180299</v>
      </c>
      <c r="K293">
        <f>VLOOKUP(F293,'LEAID Match'!$A$2:$C$2979,3,FALSE)</f>
        <v>2005730</v>
      </c>
    </row>
    <row r="294" spans="1:11" x14ac:dyDescent="0.2">
      <c r="A294">
        <v>2006090</v>
      </c>
      <c r="B294">
        <v>2015</v>
      </c>
      <c r="C294" t="s">
        <v>6</v>
      </c>
      <c r="D294" t="s">
        <v>7</v>
      </c>
      <c r="E294" t="s">
        <v>8</v>
      </c>
      <c r="F294">
        <v>5304</v>
      </c>
      <c r="G294" t="s">
        <v>300</v>
      </c>
      <c r="H294" s="20">
        <v>840832</v>
      </c>
      <c r="I294" s="1">
        <v>0</v>
      </c>
      <c r="J294" s="1">
        <v>840832</v>
      </c>
      <c r="K294">
        <f>VLOOKUP(F294,'LEAID Match'!$A$2:$C$2979,3,FALSE)</f>
        <v>2006090</v>
      </c>
    </row>
    <row r="295" spans="1:11" x14ac:dyDescent="0.2">
      <c r="A295">
        <v>2011220</v>
      </c>
      <c r="B295">
        <v>2015</v>
      </c>
      <c r="C295" t="s">
        <v>6</v>
      </c>
      <c r="D295" t="s">
        <v>7</v>
      </c>
      <c r="E295" t="s">
        <v>8</v>
      </c>
      <c r="F295">
        <v>5305</v>
      </c>
      <c r="G295" t="s">
        <v>301</v>
      </c>
      <c r="H295" s="1">
        <v>171801</v>
      </c>
      <c r="I295" s="1">
        <v>0</v>
      </c>
      <c r="J295" s="1">
        <v>171801</v>
      </c>
      <c r="K295">
        <f>VLOOKUP(F295,'LEAID Match'!$A$2:$C$2979,3,FALSE)</f>
        <v>2011220</v>
      </c>
    </row>
    <row r="296" spans="1:11" x14ac:dyDescent="0.2">
      <c r="A296">
        <v>2008370</v>
      </c>
      <c r="B296">
        <v>2015</v>
      </c>
      <c r="C296" t="s">
        <v>6</v>
      </c>
      <c r="D296" t="s">
        <v>7</v>
      </c>
      <c r="E296" t="s">
        <v>8</v>
      </c>
      <c r="F296">
        <v>5306</v>
      </c>
      <c r="G296" s="9" t="s">
        <v>302</v>
      </c>
      <c r="H296" s="1">
        <v>815782</v>
      </c>
      <c r="I296" s="1">
        <v>0</v>
      </c>
      <c r="J296" s="1">
        <v>815782</v>
      </c>
      <c r="K296">
        <f>VLOOKUP(F296,'LEAID Match'!$A$2:$C$2979,3,FALSE)</f>
        <v>2008370</v>
      </c>
    </row>
    <row r="297" spans="1:11" x14ac:dyDescent="0.2">
      <c r="A297">
        <v>2011280</v>
      </c>
      <c r="B297">
        <v>2015</v>
      </c>
      <c r="C297" t="s">
        <v>6</v>
      </c>
      <c r="D297" t="s">
        <v>7</v>
      </c>
      <c r="E297" t="s">
        <v>8</v>
      </c>
      <c r="F297" s="3">
        <v>5307</v>
      </c>
      <c r="G297" s="3" t="s">
        <v>303</v>
      </c>
      <c r="H297" s="22">
        <v>83246</v>
      </c>
      <c r="I297" s="1">
        <v>0</v>
      </c>
      <c r="J297" s="1">
        <v>83246</v>
      </c>
      <c r="K297">
        <f>VLOOKUP(F297,'LEAID Match'!$A$2:$C$2979,3,FALSE)</f>
        <v>2011280</v>
      </c>
    </row>
    <row r="298" spans="1:11" x14ac:dyDescent="0.2">
      <c r="A298">
        <v>2008400</v>
      </c>
      <c r="B298">
        <v>2015</v>
      </c>
      <c r="C298" t="s">
        <v>6</v>
      </c>
      <c r="D298" t="s">
        <v>7</v>
      </c>
      <c r="E298" t="s">
        <v>8</v>
      </c>
      <c r="F298" s="3">
        <v>5308</v>
      </c>
      <c r="G298" s="3" t="s">
        <v>304</v>
      </c>
      <c r="H298" s="1">
        <v>6601665</v>
      </c>
      <c r="I298" s="21">
        <v>0</v>
      </c>
      <c r="J298" s="21">
        <v>6601665</v>
      </c>
      <c r="K298">
        <f>VLOOKUP(F298,'LEAID Match'!$A$2:$C$2979,3,FALSE)</f>
        <v>2008400</v>
      </c>
    </row>
    <row r="299" spans="1:11" x14ac:dyDescent="0.2">
      <c r="A299">
        <v>2006360</v>
      </c>
      <c r="B299">
        <v>2015</v>
      </c>
      <c r="C299" t="s">
        <v>6</v>
      </c>
      <c r="D299" t="s">
        <v>7</v>
      </c>
      <c r="E299" t="s">
        <v>8</v>
      </c>
      <c r="F299" s="3">
        <v>5309</v>
      </c>
      <c r="G299" s="3" t="s">
        <v>305</v>
      </c>
      <c r="H299" s="1">
        <v>496098</v>
      </c>
      <c r="I299" s="1">
        <v>0</v>
      </c>
      <c r="J299" s="1">
        <v>496098</v>
      </c>
      <c r="K299">
        <f>VLOOKUP(F299,'LEAID Match'!$A$2:$C$2979,3,FALSE)</f>
        <v>2006360</v>
      </c>
    </row>
    <row r="300" spans="1:11" x14ac:dyDescent="0.2">
      <c r="A300">
        <v>2008700</v>
      </c>
      <c r="B300">
        <v>2015</v>
      </c>
      <c r="C300" t="s">
        <v>6</v>
      </c>
      <c r="D300" t="s">
        <v>7</v>
      </c>
      <c r="E300" t="s">
        <v>8</v>
      </c>
      <c r="F300">
        <v>5310</v>
      </c>
      <c r="G300" t="s">
        <v>306</v>
      </c>
      <c r="H300" s="1">
        <v>61333</v>
      </c>
      <c r="I300" s="1">
        <v>0</v>
      </c>
      <c r="J300" s="1">
        <v>61333</v>
      </c>
      <c r="K300">
        <f>VLOOKUP(F300,'LEAID Match'!$A$2:$C$2979,3,FALSE)</f>
        <v>2008700</v>
      </c>
    </row>
    <row r="301" spans="1:11" x14ac:dyDescent="0.2">
      <c r="A301">
        <v>2011490</v>
      </c>
      <c r="B301">
        <v>2015</v>
      </c>
      <c r="C301" t="s">
        <v>6</v>
      </c>
      <c r="D301" t="s">
        <v>7</v>
      </c>
      <c r="E301" t="s">
        <v>8</v>
      </c>
      <c r="F301">
        <v>5312</v>
      </c>
      <c r="G301" t="s">
        <v>307</v>
      </c>
      <c r="H301" s="1">
        <v>2344296</v>
      </c>
      <c r="I301" s="1">
        <v>0</v>
      </c>
      <c r="J301" s="1">
        <v>2344296</v>
      </c>
      <c r="K301">
        <f>VLOOKUP(F301,'LEAID Match'!$A$2:$C$2979,3,FALSE)</f>
        <v>2011490</v>
      </c>
    </row>
    <row r="302" spans="1:11" x14ac:dyDescent="0.2">
      <c r="A302">
        <v>2011430</v>
      </c>
      <c r="B302">
        <v>2015</v>
      </c>
      <c r="C302" t="s">
        <v>6</v>
      </c>
      <c r="D302" t="s">
        <v>7</v>
      </c>
      <c r="E302" t="s">
        <v>8</v>
      </c>
      <c r="F302">
        <v>5313</v>
      </c>
      <c r="G302" t="s">
        <v>308</v>
      </c>
      <c r="H302" s="1">
        <v>243566</v>
      </c>
      <c r="I302" s="1">
        <v>0</v>
      </c>
      <c r="J302" s="1">
        <v>243566</v>
      </c>
      <c r="K302">
        <f>VLOOKUP(F302,'LEAID Match'!$A$2:$C$2979,3,FALSE)</f>
        <v>2011430</v>
      </c>
    </row>
    <row r="303" spans="1:11" x14ac:dyDescent="0.2">
      <c r="A303">
        <v>2012260</v>
      </c>
      <c r="B303">
        <v>2015</v>
      </c>
      <c r="C303" t="s">
        <v>6</v>
      </c>
      <c r="D303" t="s">
        <v>7</v>
      </c>
      <c r="E303" t="s">
        <v>8</v>
      </c>
      <c r="F303">
        <v>5314</v>
      </c>
      <c r="G303" t="s">
        <v>309</v>
      </c>
      <c r="H303" s="20">
        <v>9206865</v>
      </c>
      <c r="I303" s="1">
        <v>0</v>
      </c>
      <c r="J303" s="1">
        <v>9206865</v>
      </c>
      <c r="K303">
        <f>VLOOKUP(F303,'LEAID Match'!$A$2:$C$2979,3,FALSE)</f>
        <v>2012260</v>
      </c>
    </row>
    <row r="304" spans="1:11" x14ac:dyDescent="0.2">
      <c r="A304">
        <v>0</v>
      </c>
      <c r="B304">
        <v>2015</v>
      </c>
      <c r="C304" t="s">
        <v>6</v>
      </c>
      <c r="D304" t="s">
        <v>7</v>
      </c>
      <c r="E304" t="s">
        <v>8</v>
      </c>
      <c r="F304">
        <v>5316</v>
      </c>
      <c r="G304" t="s">
        <v>310</v>
      </c>
      <c r="H304" s="1">
        <v>236020</v>
      </c>
      <c r="I304" s="1">
        <v>0</v>
      </c>
      <c r="J304" s="1">
        <v>236020</v>
      </c>
      <c r="K304">
        <f>VLOOKUP(F304,'LEAID Match'!$A$2:$C$2979,3,FALSE)</f>
        <v>0</v>
      </c>
    </row>
    <row r="305" spans="1:11" x14ac:dyDescent="0.2">
      <c r="A305">
        <v>0</v>
      </c>
      <c r="B305">
        <v>2015</v>
      </c>
      <c r="C305" t="s">
        <v>6</v>
      </c>
      <c r="D305" t="s">
        <v>7</v>
      </c>
      <c r="E305" t="s">
        <v>8</v>
      </c>
      <c r="F305">
        <v>5317</v>
      </c>
      <c r="G305" s="9" t="s">
        <v>311</v>
      </c>
      <c r="H305" s="1">
        <v>314881</v>
      </c>
      <c r="I305" s="1">
        <v>0</v>
      </c>
      <c r="J305" s="1">
        <v>314881</v>
      </c>
      <c r="K305">
        <f>VLOOKUP(F305,'LEAID Match'!$A$2:$C$2979,3,FALSE)</f>
        <v>0</v>
      </c>
    </row>
    <row r="306" spans="1:11" x14ac:dyDescent="0.2">
      <c r="A306">
        <v>2004710</v>
      </c>
      <c r="B306">
        <v>2015</v>
      </c>
      <c r="C306" t="s">
        <v>6</v>
      </c>
      <c r="D306" t="s">
        <v>7</v>
      </c>
      <c r="E306" t="s">
        <v>8</v>
      </c>
      <c r="F306" s="3">
        <v>5318</v>
      </c>
      <c r="G306" s="3" t="s">
        <v>312</v>
      </c>
      <c r="H306" s="22">
        <v>439303</v>
      </c>
      <c r="I306" s="1">
        <v>0</v>
      </c>
      <c r="J306" s="1">
        <v>439303</v>
      </c>
      <c r="K306">
        <f>VLOOKUP(F306,'LEAID Match'!$A$2:$C$2979,3,FALSE)</f>
        <v>2004710</v>
      </c>
    </row>
    <row r="307" spans="1:11" x14ac:dyDescent="0.2">
      <c r="A307">
        <v>2006480</v>
      </c>
      <c r="B307">
        <v>2015</v>
      </c>
      <c r="C307" t="s">
        <v>6</v>
      </c>
      <c r="D307" t="s">
        <v>7</v>
      </c>
      <c r="E307" t="s">
        <v>8</v>
      </c>
      <c r="F307" s="3">
        <v>5319</v>
      </c>
      <c r="G307" s="3" t="s">
        <v>313</v>
      </c>
      <c r="H307" s="1">
        <v>470074</v>
      </c>
      <c r="I307" s="21">
        <v>0</v>
      </c>
      <c r="J307" s="21">
        <v>470074</v>
      </c>
      <c r="K307">
        <f>VLOOKUP(F307,'LEAID Match'!$A$2:$C$2979,3,FALSE)</f>
        <v>2006480</v>
      </c>
    </row>
    <row r="308" spans="1:11" x14ac:dyDescent="0.2">
      <c r="A308">
        <v>2005310</v>
      </c>
      <c r="B308">
        <v>2015</v>
      </c>
      <c r="C308" t="s">
        <v>6</v>
      </c>
      <c r="D308" t="s">
        <v>7</v>
      </c>
      <c r="E308" t="s">
        <v>8</v>
      </c>
      <c r="F308" s="3">
        <v>5320</v>
      </c>
      <c r="G308" s="3" t="s">
        <v>314</v>
      </c>
      <c r="H308" s="1">
        <v>172862</v>
      </c>
      <c r="I308" s="1">
        <v>0</v>
      </c>
      <c r="J308" s="1">
        <v>172862</v>
      </c>
      <c r="K308">
        <f>VLOOKUP(F308,'LEAID Match'!$A$2:$C$2979,3,FALSE)</f>
        <v>2005310</v>
      </c>
    </row>
    <row r="309" spans="1:11" x14ac:dyDescent="0.2">
      <c r="A309">
        <v>2012780</v>
      </c>
      <c r="B309">
        <v>2015</v>
      </c>
      <c r="C309" t="s">
        <v>6</v>
      </c>
      <c r="D309" t="s">
        <v>7</v>
      </c>
      <c r="E309" t="s">
        <v>8</v>
      </c>
      <c r="F309">
        <v>5321</v>
      </c>
      <c r="G309" t="s">
        <v>315</v>
      </c>
      <c r="H309" s="1">
        <v>260917</v>
      </c>
      <c r="I309" s="1">
        <v>0</v>
      </c>
      <c r="J309" s="1">
        <v>260917</v>
      </c>
      <c r="K309">
        <f>VLOOKUP(F309,'LEAID Match'!$A$2:$C$2979,3,FALSE)</f>
        <v>2012780</v>
      </c>
    </row>
    <row r="310" spans="1:11" x14ac:dyDescent="0.2">
      <c r="A310">
        <v>2010350</v>
      </c>
      <c r="B310">
        <v>2015</v>
      </c>
      <c r="C310" t="s">
        <v>6</v>
      </c>
      <c r="D310" t="s">
        <v>7</v>
      </c>
      <c r="E310" t="s">
        <v>8</v>
      </c>
      <c r="F310">
        <v>5322</v>
      </c>
      <c r="G310" t="s">
        <v>316</v>
      </c>
      <c r="H310" s="1">
        <v>312424</v>
      </c>
      <c r="I310" s="1">
        <v>0</v>
      </c>
      <c r="J310" s="1">
        <v>312424</v>
      </c>
      <c r="K310">
        <f>VLOOKUP(F310,'LEAID Match'!$A$2:$C$2979,3,FALSE)</f>
        <v>2010350</v>
      </c>
    </row>
    <row r="311" spans="1:11" x14ac:dyDescent="0.2">
      <c r="A311">
        <v>2007950</v>
      </c>
      <c r="B311">
        <v>2015</v>
      </c>
      <c r="C311" t="s">
        <v>6</v>
      </c>
      <c r="D311" t="s">
        <v>7</v>
      </c>
      <c r="E311" t="s">
        <v>8</v>
      </c>
      <c r="F311">
        <v>5324</v>
      </c>
      <c r="G311" t="s">
        <v>317</v>
      </c>
      <c r="H311" s="1">
        <v>15565329</v>
      </c>
      <c r="I311" s="1">
        <v>0</v>
      </c>
      <c r="J311" s="1">
        <v>15565329</v>
      </c>
      <c r="K311">
        <f>VLOOKUP(F311,'LEAID Match'!$A$2:$C$2979,3,FALSE)</f>
        <v>2007950</v>
      </c>
    </row>
    <row r="312" spans="1:11" x14ac:dyDescent="0.2">
      <c r="A312">
        <v>2008670</v>
      </c>
      <c r="B312">
        <v>2015</v>
      </c>
      <c r="C312" t="s">
        <v>6</v>
      </c>
      <c r="D312" t="s">
        <v>7</v>
      </c>
      <c r="E312" t="s">
        <v>8</v>
      </c>
      <c r="F312">
        <v>5329</v>
      </c>
      <c r="G312" t="s">
        <v>318</v>
      </c>
      <c r="H312" s="20">
        <v>147512</v>
      </c>
      <c r="I312" s="1">
        <v>0</v>
      </c>
      <c r="J312" s="1">
        <v>147512</v>
      </c>
      <c r="K312">
        <f>VLOOKUP(F312,'LEAID Match'!$A$2:$C$2979,3,FALSE)</f>
        <v>2008670</v>
      </c>
    </row>
    <row r="313" spans="1:11" x14ac:dyDescent="0.2">
      <c r="A313">
        <v>2005070</v>
      </c>
      <c r="B313">
        <v>2015</v>
      </c>
      <c r="C313" t="s">
        <v>6</v>
      </c>
      <c r="D313" t="s">
        <v>7</v>
      </c>
      <c r="E313" t="s">
        <v>8</v>
      </c>
      <c r="F313">
        <v>5330</v>
      </c>
      <c r="G313" t="s">
        <v>319</v>
      </c>
      <c r="H313" s="1">
        <v>725639</v>
      </c>
      <c r="I313" s="1">
        <v>0</v>
      </c>
      <c r="J313" s="1">
        <v>725639</v>
      </c>
      <c r="K313">
        <f>VLOOKUP(F313,'LEAID Match'!$A$2:$C$2979,3,FALSE)</f>
        <v>2005070</v>
      </c>
    </row>
    <row r="314" spans="1:11" x14ac:dyDescent="0.2">
      <c r="A314">
        <v>2010560</v>
      </c>
      <c r="B314">
        <v>2015</v>
      </c>
      <c r="C314" t="s">
        <v>6</v>
      </c>
      <c r="D314" t="s">
        <v>7</v>
      </c>
      <c r="E314" t="s">
        <v>8</v>
      </c>
      <c r="F314">
        <v>5331</v>
      </c>
      <c r="G314" s="9" t="s">
        <v>320</v>
      </c>
      <c r="H314" s="1">
        <v>728905</v>
      </c>
      <c r="I314" s="1">
        <v>0</v>
      </c>
      <c r="J314" s="1">
        <v>728905</v>
      </c>
      <c r="K314">
        <f>VLOOKUP(F314,'LEAID Match'!$A$2:$C$2979,3,FALSE)</f>
        <v>2010560</v>
      </c>
    </row>
    <row r="315" spans="1:11" x14ac:dyDescent="0.2">
      <c r="A315">
        <v>2003300</v>
      </c>
      <c r="B315">
        <v>2015</v>
      </c>
      <c r="C315" t="s">
        <v>6</v>
      </c>
      <c r="D315" t="s">
        <v>7</v>
      </c>
      <c r="E315" t="s">
        <v>8</v>
      </c>
      <c r="F315" s="3">
        <v>5332</v>
      </c>
      <c r="G315" s="3" t="s">
        <v>321</v>
      </c>
      <c r="H315" s="22">
        <v>824439</v>
      </c>
      <c r="I315" s="1">
        <v>0</v>
      </c>
      <c r="J315" s="1">
        <v>824439</v>
      </c>
      <c r="K315">
        <f>VLOOKUP(F315,'LEAID Match'!$A$2:$C$2979,3,FALSE)</f>
        <v>2003300</v>
      </c>
    </row>
    <row r="316" spans="1:11" x14ac:dyDescent="0.2">
      <c r="A316">
        <v>2004770</v>
      </c>
      <c r="B316">
        <v>2015</v>
      </c>
      <c r="C316" t="s">
        <v>6</v>
      </c>
      <c r="D316" t="s">
        <v>7</v>
      </c>
      <c r="E316" t="s">
        <v>8</v>
      </c>
      <c r="F316" s="3">
        <v>5333</v>
      </c>
      <c r="G316" s="3" t="s">
        <v>322</v>
      </c>
      <c r="H316" s="1">
        <v>312160</v>
      </c>
      <c r="I316" s="21">
        <v>0</v>
      </c>
      <c r="J316" s="21">
        <v>312160</v>
      </c>
      <c r="K316">
        <f>VLOOKUP(F316,'LEAID Match'!$A$2:$C$2979,3,FALSE)</f>
        <v>2004770</v>
      </c>
    </row>
    <row r="317" spans="1:11" x14ac:dyDescent="0.2">
      <c r="A317">
        <v>2006330</v>
      </c>
      <c r="B317">
        <v>2015</v>
      </c>
      <c r="C317" t="s">
        <v>6</v>
      </c>
      <c r="D317" t="s">
        <v>7</v>
      </c>
      <c r="E317" t="s">
        <v>8</v>
      </c>
      <c r="F317" s="3">
        <v>5337</v>
      </c>
      <c r="G317" s="3" t="s">
        <v>323</v>
      </c>
      <c r="H317" s="1">
        <v>1074546</v>
      </c>
      <c r="I317" s="1">
        <v>0</v>
      </c>
      <c r="J317" s="1">
        <v>1074546</v>
      </c>
      <c r="K317">
        <f>VLOOKUP(F317,'LEAID Match'!$A$2:$C$2979,3,FALSE)</f>
        <v>2006330</v>
      </c>
    </row>
    <row r="318" spans="1:11" x14ac:dyDescent="0.2">
      <c r="A318">
        <v>2003810</v>
      </c>
      <c r="B318">
        <v>2015</v>
      </c>
      <c r="C318" t="s">
        <v>6</v>
      </c>
      <c r="D318" t="s">
        <v>7</v>
      </c>
      <c r="E318" t="s">
        <v>8</v>
      </c>
      <c r="F318">
        <v>5366</v>
      </c>
      <c r="G318" t="s">
        <v>324</v>
      </c>
      <c r="H318" s="1">
        <v>529714</v>
      </c>
      <c r="I318" s="1">
        <v>0</v>
      </c>
      <c r="J318" s="1">
        <v>529714</v>
      </c>
      <c r="K318">
        <f>VLOOKUP(F318,'LEAID Match'!$A$2:$C$2979,3,FALSE)</f>
        <v>2003810</v>
      </c>
    </row>
    <row r="319" spans="1:11" x14ac:dyDescent="0.2">
      <c r="A319">
        <v>2011400</v>
      </c>
      <c r="B319">
        <v>2015</v>
      </c>
      <c r="C319" t="s">
        <v>6</v>
      </c>
      <c r="D319" t="s">
        <v>7</v>
      </c>
      <c r="E319" t="s">
        <v>8</v>
      </c>
      <c r="F319">
        <v>5367</v>
      </c>
      <c r="G319" t="s">
        <v>325</v>
      </c>
      <c r="H319" s="1">
        <v>232773</v>
      </c>
      <c r="I319" s="1">
        <v>0</v>
      </c>
      <c r="J319" s="1">
        <v>232773</v>
      </c>
      <c r="K319">
        <f>VLOOKUP(F319,'LEAID Match'!$A$2:$C$2979,3,FALSE)</f>
        <v>2011400</v>
      </c>
    </row>
    <row r="320" spans="1:11" x14ac:dyDescent="0.2">
      <c r="A320">
        <v>0</v>
      </c>
      <c r="B320">
        <v>2015</v>
      </c>
      <c r="C320" t="s">
        <v>6</v>
      </c>
      <c r="D320" t="s">
        <v>7</v>
      </c>
      <c r="E320" t="s">
        <v>8</v>
      </c>
      <c r="F320">
        <v>5368</v>
      </c>
      <c r="G320" t="s">
        <v>326</v>
      </c>
      <c r="H320" s="1">
        <v>332971</v>
      </c>
      <c r="I320" s="1">
        <v>0</v>
      </c>
      <c r="J320" s="1">
        <v>332971</v>
      </c>
      <c r="K320">
        <f>VLOOKUP(F320,'LEAID Match'!$A$2:$C$2979,3,FALSE)</f>
        <v>0</v>
      </c>
    </row>
    <row r="321" spans="1:11" x14ac:dyDescent="0.2">
      <c r="A321">
        <v>2003570</v>
      </c>
      <c r="B321">
        <v>2015</v>
      </c>
      <c r="C321" t="s">
        <v>6</v>
      </c>
      <c r="D321" t="s">
        <v>7</v>
      </c>
      <c r="E321" t="s">
        <v>8</v>
      </c>
      <c r="F321">
        <v>5405</v>
      </c>
      <c r="G321" t="s">
        <v>327</v>
      </c>
      <c r="H321" s="20">
        <v>90347</v>
      </c>
      <c r="I321" s="1">
        <v>0</v>
      </c>
      <c r="J321" s="1">
        <v>90347</v>
      </c>
      <c r="K321">
        <f>VLOOKUP(F321,'LEAID Match'!$A$2:$C$2979,3,FALSE)</f>
        <v>2003570</v>
      </c>
    </row>
    <row r="322" spans="1:11" x14ac:dyDescent="0.2">
      <c r="A322">
        <v>2006690</v>
      </c>
      <c r="B322">
        <v>2015</v>
      </c>
      <c r="C322" t="s">
        <v>6</v>
      </c>
      <c r="D322" t="s">
        <v>7</v>
      </c>
      <c r="E322" t="s">
        <v>8</v>
      </c>
      <c r="F322">
        <v>5409</v>
      </c>
      <c r="G322" t="s">
        <v>328</v>
      </c>
      <c r="H322" s="1">
        <v>149265</v>
      </c>
      <c r="I322" s="1">
        <v>0</v>
      </c>
      <c r="J322" s="1">
        <v>149265</v>
      </c>
      <c r="K322">
        <f>VLOOKUP(F322,'LEAID Match'!$A$2:$C$2979,3,FALSE)</f>
        <v>2006690</v>
      </c>
    </row>
    <row r="323" spans="1:11" x14ac:dyDescent="0.2">
      <c r="A323">
        <v>2011790</v>
      </c>
      <c r="B323">
        <v>2015</v>
      </c>
      <c r="C323" t="s">
        <v>6</v>
      </c>
      <c r="D323" t="s">
        <v>7</v>
      </c>
      <c r="E323" t="s">
        <v>8</v>
      </c>
      <c r="F323">
        <v>5410</v>
      </c>
      <c r="G323" s="9" t="s">
        <v>329</v>
      </c>
      <c r="H323" s="1">
        <v>164055</v>
      </c>
      <c r="I323" s="1">
        <v>0</v>
      </c>
      <c r="J323" s="1">
        <v>164055</v>
      </c>
      <c r="K323">
        <f>VLOOKUP(F323,'LEAID Match'!$A$2:$C$2979,3,FALSE)</f>
        <v>2011790</v>
      </c>
    </row>
    <row r="324" spans="1:11" x14ac:dyDescent="0.2">
      <c r="A324">
        <v>2011640</v>
      </c>
      <c r="B324">
        <v>2015</v>
      </c>
      <c r="C324" t="s">
        <v>6</v>
      </c>
      <c r="D324" t="s">
        <v>7</v>
      </c>
      <c r="E324" t="s">
        <v>8</v>
      </c>
      <c r="F324" s="3">
        <v>5430</v>
      </c>
      <c r="G324" s="3" t="s">
        <v>330</v>
      </c>
      <c r="H324" s="22">
        <v>16201599</v>
      </c>
      <c r="I324" s="1">
        <v>0</v>
      </c>
      <c r="J324" s="1">
        <v>16201599</v>
      </c>
      <c r="K324">
        <f>VLOOKUP(F324,'LEAID Match'!$A$2:$C$2979,3,FALSE)</f>
        <v>2011640</v>
      </c>
    </row>
    <row r="325" spans="1:11" x14ac:dyDescent="0.2">
      <c r="A325">
        <v>2004800</v>
      </c>
      <c r="B325">
        <v>2015</v>
      </c>
      <c r="C325" t="s">
        <v>6</v>
      </c>
      <c r="D325" t="s">
        <v>7</v>
      </c>
      <c r="E325" t="s">
        <v>8</v>
      </c>
      <c r="F325" s="3">
        <v>5436</v>
      </c>
      <c r="G325" s="3" t="s">
        <v>331</v>
      </c>
      <c r="H325" s="1">
        <v>378324</v>
      </c>
      <c r="I325" s="21">
        <v>0</v>
      </c>
      <c r="J325" s="21">
        <v>378324</v>
      </c>
      <c r="K325">
        <f>VLOOKUP(F325,'LEAID Match'!$A$2:$C$2979,3,FALSE)</f>
        <v>2004800</v>
      </c>
    </row>
    <row r="326" spans="1:11" x14ac:dyDescent="0.2">
      <c r="A326">
        <v>2004790</v>
      </c>
      <c r="B326">
        <v>2015</v>
      </c>
      <c r="C326" t="s">
        <v>6</v>
      </c>
      <c r="D326" t="s">
        <v>7</v>
      </c>
      <c r="E326" t="s">
        <v>8</v>
      </c>
      <c r="F326" s="3">
        <v>5590</v>
      </c>
      <c r="G326" s="3" t="s">
        <v>332</v>
      </c>
      <c r="H326" s="1">
        <v>85354</v>
      </c>
      <c r="I326" s="1">
        <v>0</v>
      </c>
      <c r="J326" s="1">
        <v>85354</v>
      </c>
      <c r="K326">
        <f>VLOOKUP(F326,'LEAID Match'!$A$2:$C$2979,3,FALSE)</f>
        <v>2004790</v>
      </c>
    </row>
    <row r="327" spans="1:11" x14ac:dyDescent="0.2">
      <c r="A327">
        <v>0</v>
      </c>
      <c r="B327">
        <v>2015</v>
      </c>
      <c r="C327" t="s">
        <v>6</v>
      </c>
      <c r="D327" t="s">
        <v>7</v>
      </c>
      <c r="E327" t="s">
        <v>8</v>
      </c>
      <c r="F327">
        <v>5696</v>
      </c>
      <c r="G327" t="s">
        <v>333</v>
      </c>
      <c r="H327" s="1">
        <v>174983</v>
      </c>
      <c r="I327" s="1">
        <v>0</v>
      </c>
      <c r="J327" s="1">
        <v>174983</v>
      </c>
      <c r="K327">
        <f>VLOOKUP(F327,'LEAID Match'!$A$2:$C$2979,3,FALSE)</f>
        <v>0</v>
      </c>
    </row>
    <row r="328" spans="1:11" x14ac:dyDescent="0.2">
      <c r="A328">
        <v>2000023</v>
      </c>
      <c r="B328">
        <v>2015</v>
      </c>
      <c r="C328" t="s">
        <v>6</v>
      </c>
      <c r="D328" t="s">
        <v>7</v>
      </c>
      <c r="E328" t="s">
        <v>8</v>
      </c>
      <c r="F328">
        <v>9291</v>
      </c>
      <c r="G328" t="s">
        <v>334</v>
      </c>
      <c r="H328" s="1">
        <v>221389</v>
      </c>
      <c r="I328" s="1">
        <v>0</v>
      </c>
      <c r="J328" s="1">
        <v>221389</v>
      </c>
      <c r="K328">
        <f>VLOOKUP(F328,'LEAID Match'!$A$2:$C$2979,3,FALSE)</f>
        <v>2000023</v>
      </c>
    </row>
    <row r="329" spans="1:11" x14ac:dyDescent="0.2">
      <c r="A329">
        <v>2000020</v>
      </c>
      <c r="B329">
        <v>2015</v>
      </c>
      <c r="C329" t="s">
        <v>6</v>
      </c>
      <c r="D329" t="s">
        <v>7</v>
      </c>
      <c r="E329" t="s">
        <v>8</v>
      </c>
      <c r="F329">
        <v>9302</v>
      </c>
      <c r="G329" t="s">
        <v>335</v>
      </c>
      <c r="H329" s="1">
        <v>100472</v>
      </c>
      <c r="I329" s="1">
        <v>0</v>
      </c>
      <c r="J329" s="1">
        <v>100472</v>
      </c>
      <c r="K329">
        <f>VLOOKUP(F329,'LEAID Match'!$A$2:$C$2979,3,FALSE)</f>
        <v>2000020</v>
      </c>
    </row>
    <row r="330" spans="1:11" x14ac:dyDescent="0.2">
      <c r="A330">
        <v>2000029</v>
      </c>
      <c r="B330">
        <v>2015</v>
      </c>
      <c r="C330" t="s">
        <v>6</v>
      </c>
      <c r="D330" t="s">
        <v>7</v>
      </c>
      <c r="E330" t="s">
        <v>8</v>
      </c>
      <c r="F330">
        <v>9332</v>
      </c>
      <c r="G330" t="s">
        <v>336</v>
      </c>
      <c r="H330" s="20">
        <v>197143</v>
      </c>
      <c r="I330" s="1">
        <v>0</v>
      </c>
      <c r="J330" s="1">
        <v>197143</v>
      </c>
      <c r="K330">
        <f>VLOOKUP(F330,'LEAID Match'!$A$2:$C$2979,3,FALSE)</f>
        <v>2000029</v>
      </c>
    </row>
    <row r="331" spans="1:11" x14ac:dyDescent="0.2">
      <c r="A331">
        <v>2000028</v>
      </c>
      <c r="B331">
        <v>2015</v>
      </c>
      <c r="C331" t="s">
        <v>6</v>
      </c>
      <c r="D331" t="s">
        <v>7</v>
      </c>
      <c r="E331" t="s">
        <v>8</v>
      </c>
      <c r="F331">
        <v>9333</v>
      </c>
      <c r="G331" t="s">
        <v>337</v>
      </c>
      <c r="H331" s="1">
        <v>230945</v>
      </c>
      <c r="I331" s="1">
        <v>0</v>
      </c>
      <c r="J331" s="1">
        <v>230945</v>
      </c>
      <c r="K331">
        <f>VLOOKUP(F331,'LEAID Match'!$A$2:$C$2979,3,FALSE)</f>
        <v>2000028</v>
      </c>
    </row>
    <row r="332" spans="1:11" x14ac:dyDescent="0.2">
      <c r="A332">
        <v>2000030</v>
      </c>
      <c r="B332">
        <v>2015</v>
      </c>
      <c r="C332" t="s">
        <v>6</v>
      </c>
      <c r="D332" t="s">
        <v>7</v>
      </c>
      <c r="E332" t="s">
        <v>8</v>
      </c>
      <c r="F332">
        <v>9335</v>
      </c>
      <c r="G332" s="9" t="s">
        <v>338</v>
      </c>
      <c r="H332" s="1">
        <v>249524</v>
      </c>
      <c r="I332" s="1">
        <v>0</v>
      </c>
      <c r="J332" s="1">
        <v>249524</v>
      </c>
      <c r="K332">
        <f>VLOOKUP(F332,'LEAID Match'!$A$2:$C$2979,3,FALSE)</f>
        <v>2000030</v>
      </c>
    </row>
    <row r="333" spans="1:11" x14ac:dyDescent="0.2">
      <c r="A333">
        <v>2000346</v>
      </c>
      <c r="B333">
        <v>2015</v>
      </c>
      <c r="C333" t="s">
        <v>6</v>
      </c>
      <c r="D333" t="s">
        <v>7</v>
      </c>
      <c r="E333" t="s">
        <v>8</v>
      </c>
      <c r="F333" s="3">
        <v>9389</v>
      </c>
      <c r="G333" s="3" t="s">
        <v>339</v>
      </c>
      <c r="H333" s="22">
        <v>185385</v>
      </c>
      <c r="I333" s="1">
        <v>0</v>
      </c>
      <c r="J333" s="1">
        <v>185385</v>
      </c>
      <c r="K333">
        <f>VLOOKUP(F333,'LEAID Match'!$A$2:$C$2979,3,FALSE)</f>
        <v>2000346</v>
      </c>
    </row>
    <row r="334" spans="1:11" x14ac:dyDescent="0.2">
      <c r="A334">
        <v>2000348</v>
      </c>
      <c r="B334">
        <v>2015</v>
      </c>
      <c r="C334" t="s">
        <v>6</v>
      </c>
      <c r="D334" t="s">
        <v>7</v>
      </c>
      <c r="E334" t="s">
        <v>8</v>
      </c>
      <c r="F334" s="3">
        <v>9410</v>
      </c>
      <c r="G334" s="3" t="s">
        <v>340</v>
      </c>
      <c r="H334" s="1">
        <v>237572</v>
      </c>
      <c r="I334" s="21">
        <v>0</v>
      </c>
      <c r="J334" s="21">
        <v>237572</v>
      </c>
      <c r="K334">
        <f>VLOOKUP(F334,'LEAID Match'!$A$2:$C$2979,3,FALSE)</f>
        <v>2000348</v>
      </c>
    </row>
    <row r="335" spans="1:11" x14ac:dyDescent="0.2">
      <c r="A335">
        <v>2000351</v>
      </c>
      <c r="B335">
        <v>2015</v>
      </c>
      <c r="C335" t="s">
        <v>6</v>
      </c>
      <c r="D335" t="s">
        <v>7</v>
      </c>
      <c r="E335" t="s">
        <v>8</v>
      </c>
      <c r="F335" s="3">
        <v>9444</v>
      </c>
      <c r="G335" s="3" t="s">
        <v>341</v>
      </c>
      <c r="H335" s="1">
        <v>373997</v>
      </c>
      <c r="I335" s="1">
        <v>0</v>
      </c>
      <c r="J335" s="1">
        <v>373997</v>
      </c>
      <c r="K335">
        <f>VLOOKUP(F335,'LEAID Match'!$A$2:$C$2979,3,FALSE)</f>
        <v>2000351</v>
      </c>
    </row>
    <row r="336" spans="1:11" x14ac:dyDescent="0.2">
      <c r="A336">
        <v>2000349</v>
      </c>
      <c r="B336">
        <v>2015</v>
      </c>
      <c r="C336" t="s">
        <v>6</v>
      </c>
      <c r="D336" t="s">
        <v>7</v>
      </c>
      <c r="E336" t="s">
        <v>8</v>
      </c>
      <c r="F336">
        <v>9445</v>
      </c>
      <c r="G336" t="s">
        <v>342</v>
      </c>
      <c r="H336" s="1">
        <v>393402</v>
      </c>
      <c r="I336" s="1">
        <v>0</v>
      </c>
      <c r="J336" s="1">
        <v>393402</v>
      </c>
      <c r="K336">
        <f>VLOOKUP(F336,'LEAID Match'!$A$2:$C$2979,3,FALSE)</f>
        <v>2000349</v>
      </c>
    </row>
    <row r="337" spans="1:11" x14ac:dyDescent="0.2">
      <c r="A337">
        <v>2000350</v>
      </c>
      <c r="B337">
        <v>2015</v>
      </c>
      <c r="C337" t="s">
        <v>6</v>
      </c>
      <c r="D337" t="s">
        <v>7</v>
      </c>
      <c r="E337" t="s">
        <v>8</v>
      </c>
      <c r="F337">
        <v>9446</v>
      </c>
      <c r="G337" t="s">
        <v>343</v>
      </c>
      <c r="H337" s="1">
        <v>654948</v>
      </c>
      <c r="I337" s="1">
        <v>0</v>
      </c>
      <c r="J337" s="1">
        <v>654948</v>
      </c>
      <c r="K337">
        <f>VLOOKUP(F337,'LEAID Match'!$A$2:$C$2979,3,FALSE)</f>
        <v>2000350</v>
      </c>
    </row>
    <row r="338" spans="1:11" x14ac:dyDescent="0.2">
      <c r="A338">
        <v>2000353</v>
      </c>
      <c r="B338">
        <v>2015</v>
      </c>
      <c r="C338" t="s">
        <v>6</v>
      </c>
      <c r="D338" t="s">
        <v>7</v>
      </c>
      <c r="E338" t="s">
        <v>8</v>
      </c>
      <c r="F338">
        <v>9461</v>
      </c>
      <c r="G338" t="s">
        <v>344</v>
      </c>
      <c r="H338" s="1">
        <v>441821</v>
      </c>
      <c r="I338" s="1">
        <v>0</v>
      </c>
      <c r="J338" s="1">
        <v>441821</v>
      </c>
      <c r="K338">
        <f>VLOOKUP(F338,'LEAID Match'!$A$2:$C$2979,3,FALSE)</f>
        <v>2000353</v>
      </c>
    </row>
    <row r="339" spans="1:11" x14ac:dyDescent="0.2">
      <c r="A339">
        <v>0</v>
      </c>
      <c r="B339">
        <v>2016</v>
      </c>
      <c r="C339" t="s">
        <v>6</v>
      </c>
      <c r="D339" t="s">
        <v>7</v>
      </c>
      <c r="E339" t="s">
        <v>8</v>
      </c>
      <c r="F339">
        <v>4930</v>
      </c>
      <c r="G339" t="s">
        <v>9</v>
      </c>
      <c r="H339" s="20">
        <v>3003</v>
      </c>
      <c r="I339" s="1">
        <v>1297294.6541277126</v>
      </c>
      <c r="J339" s="1">
        <v>1300297.6541277126</v>
      </c>
      <c r="K339">
        <f>VLOOKUP(F339,'LEAID Match'!$A$2:$C$2979,3,FALSE)</f>
        <v>0</v>
      </c>
    </row>
    <row r="340" spans="1:11" x14ac:dyDescent="0.2">
      <c r="A340">
        <v>0</v>
      </c>
      <c r="B340">
        <v>2016</v>
      </c>
      <c r="C340" t="s">
        <v>6</v>
      </c>
      <c r="D340" t="s">
        <v>7</v>
      </c>
      <c r="E340" t="s">
        <v>8</v>
      </c>
      <c r="F340">
        <v>4931</v>
      </c>
      <c r="G340" t="s">
        <v>10</v>
      </c>
      <c r="H340" s="1">
        <v>14091</v>
      </c>
      <c r="I340" s="1">
        <v>1049802.3543418248</v>
      </c>
      <c r="J340" s="1">
        <v>1063893.3543418248</v>
      </c>
      <c r="K340">
        <f>VLOOKUP(F340,'LEAID Match'!$A$2:$C$2979,3,FALSE)</f>
        <v>0</v>
      </c>
    </row>
    <row r="341" spans="1:11" x14ac:dyDescent="0.2">
      <c r="A341">
        <v>0</v>
      </c>
      <c r="B341">
        <v>2016</v>
      </c>
      <c r="C341" t="s">
        <v>6</v>
      </c>
      <c r="D341" t="s">
        <v>7</v>
      </c>
      <c r="E341" t="s">
        <v>8</v>
      </c>
      <c r="F341">
        <v>5045</v>
      </c>
      <c r="G341" s="9" t="s">
        <v>11</v>
      </c>
      <c r="H341" s="1">
        <v>2750</v>
      </c>
      <c r="I341" s="1">
        <v>1602630.9182009534</v>
      </c>
      <c r="J341" s="1">
        <v>1605380.9182009534</v>
      </c>
      <c r="K341">
        <f>VLOOKUP(F341,'LEAID Match'!$A$2:$C$2979,3,FALSE)</f>
        <v>0</v>
      </c>
    </row>
    <row r="342" spans="1:11" x14ac:dyDescent="0.2">
      <c r="A342">
        <v>0</v>
      </c>
      <c r="B342">
        <v>2016</v>
      </c>
      <c r="C342" t="s">
        <v>6</v>
      </c>
      <c r="D342" t="s">
        <v>7</v>
      </c>
      <c r="E342" t="s">
        <v>8</v>
      </c>
      <c r="F342" s="3">
        <v>5046</v>
      </c>
      <c r="G342" s="3" t="s">
        <v>12</v>
      </c>
      <c r="H342" s="22">
        <v>0</v>
      </c>
      <c r="I342" s="1">
        <v>2153688.5739293112</v>
      </c>
      <c r="J342" s="1">
        <v>2153688.5739293112</v>
      </c>
      <c r="K342">
        <f>VLOOKUP(F342,'LEAID Match'!$A$2:$C$2979,3,FALSE)</f>
        <v>0</v>
      </c>
    </row>
    <row r="343" spans="1:11" x14ac:dyDescent="0.2">
      <c r="A343">
        <v>0</v>
      </c>
      <c r="B343">
        <v>2016</v>
      </c>
      <c r="C343" t="s">
        <v>6</v>
      </c>
      <c r="D343" t="s">
        <v>7</v>
      </c>
      <c r="E343" t="s">
        <v>8</v>
      </c>
      <c r="F343" s="3">
        <v>5047</v>
      </c>
      <c r="G343" s="3" t="s">
        <v>13</v>
      </c>
      <c r="H343" s="1">
        <v>1460</v>
      </c>
      <c r="I343" s="21">
        <v>3462882.2114847293</v>
      </c>
      <c r="J343" s="21">
        <v>3464342.2114847293</v>
      </c>
      <c r="K343">
        <f>VLOOKUP(F343,'LEAID Match'!$A$2:$C$2979,3,FALSE)</f>
        <v>0</v>
      </c>
    </row>
    <row r="344" spans="1:11" x14ac:dyDescent="0.2">
      <c r="A344">
        <v>0</v>
      </c>
      <c r="B344">
        <v>2016</v>
      </c>
      <c r="C344" t="s">
        <v>6</v>
      </c>
      <c r="D344" t="s">
        <v>7</v>
      </c>
      <c r="E344" t="s">
        <v>8</v>
      </c>
      <c r="F344" s="3">
        <v>5048</v>
      </c>
      <c r="G344" s="3" t="s">
        <v>14</v>
      </c>
      <c r="H344" s="1">
        <v>27378</v>
      </c>
      <c r="I344" s="1">
        <v>7090879.6121110171</v>
      </c>
      <c r="J344" s="1">
        <v>7118257.6121110171</v>
      </c>
      <c r="K344">
        <f>VLOOKUP(F344,'LEAID Match'!$A$2:$C$2979,3,FALSE)</f>
        <v>0</v>
      </c>
    </row>
    <row r="345" spans="1:11" x14ac:dyDescent="0.2">
      <c r="A345">
        <v>0</v>
      </c>
      <c r="B345">
        <v>2016</v>
      </c>
      <c r="C345" t="s">
        <v>6</v>
      </c>
      <c r="D345" t="s">
        <v>7</v>
      </c>
      <c r="E345" t="s">
        <v>8</v>
      </c>
      <c r="F345">
        <v>5049</v>
      </c>
      <c r="G345" t="s">
        <v>15</v>
      </c>
      <c r="H345" s="1">
        <v>164240</v>
      </c>
      <c r="I345" s="1">
        <v>10396727.49826666</v>
      </c>
      <c r="J345" s="1">
        <v>10560967.49826666</v>
      </c>
      <c r="K345">
        <f>VLOOKUP(F345,'LEAID Match'!$A$2:$C$2979,3,FALSE)</f>
        <v>0</v>
      </c>
    </row>
    <row r="346" spans="1:11" x14ac:dyDescent="0.2">
      <c r="A346">
        <v>0</v>
      </c>
      <c r="B346">
        <v>2016</v>
      </c>
      <c r="C346" t="s">
        <v>6</v>
      </c>
      <c r="D346" t="s">
        <v>7</v>
      </c>
      <c r="E346" t="s">
        <v>8</v>
      </c>
      <c r="F346">
        <v>5050</v>
      </c>
      <c r="G346" t="s">
        <v>16</v>
      </c>
      <c r="H346" s="1">
        <v>16225</v>
      </c>
      <c r="I346" s="1">
        <v>2429077.0104690329</v>
      </c>
      <c r="J346" s="1">
        <v>2445302.0104690329</v>
      </c>
      <c r="K346">
        <f>VLOOKUP(F346,'LEAID Match'!$A$2:$C$2979,3,FALSE)</f>
        <v>0</v>
      </c>
    </row>
    <row r="347" spans="1:11" x14ac:dyDescent="0.2">
      <c r="A347">
        <v>0</v>
      </c>
      <c r="B347">
        <v>2016</v>
      </c>
      <c r="C347" t="s">
        <v>6</v>
      </c>
      <c r="D347" t="s">
        <v>7</v>
      </c>
      <c r="E347" t="s">
        <v>8</v>
      </c>
      <c r="F347">
        <v>5107</v>
      </c>
      <c r="G347" t="s">
        <v>17</v>
      </c>
      <c r="H347" s="1">
        <v>17649</v>
      </c>
      <c r="I347" s="1">
        <v>3874347.594626952</v>
      </c>
      <c r="J347" s="1">
        <v>3891996.594626952</v>
      </c>
      <c r="K347">
        <f>VLOOKUP(F347,'LEAID Match'!$A$2:$C$2979,3,FALSE)</f>
        <v>0</v>
      </c>
    </row>
    <row r="348" spans="1:11" x14ac:dyDescent="0.2">
      <c r="A348">
        <v>0</v>
      </c>
      <c r="B348">
        <v>2016</v>
      </c>
      <c r="C348" t="s">
        <v>6</v>
      </c>
      <c r="D348" t="s">
        <v>7</v>
      </c>
      <c r="E348" t="s">
        <v>8</v>
      </c>
      <c r="F348">
        <v>5108</v>
      </c>
      <c r="G348" t="s">
        <v>18</v>
      </c>
      <c r="H348" s="20">
        <v>8984</v>
      </c>
      <c r="I348" s="1">
        <v>5027374.927147557</v>
      </c>
      <c r="J348" s="1">
        <v>5036358.927147557</v>
      </c>
      <c r="K348">
        <f>VLOOKUP(F348,'LEAID Match'!$A$2:$C$2979,3,FALSE)</f>
        <v>0</v>
      </c>
    </row>
    <row r="349" spans="1:11" x14ac:dyDescent="0.2">
      <c r="A349">
        <v>0</v>
      </c>
      <c r="B349">
        <v>2016</v>
      </c>
      <c r="C349" t="s">
        <v>6</v>
      </c>
      <c r="D349" t="s">
        <v>7</v>
      </c>
      <c r="E349" t="s">
        <v>8</v>
      </c>
      <c r="F349">
        <v>5109</v>
      </c>
      <c r="G349" t="s">
        <v>19</v>
      </c>
      <c r="H349" s="1">
        <v>27995</v>
      </c>
      <c r="I349" s="1">
        <v>8146309.1091783382</v>
      </c>
      <c r="J349" s="1">
        <v>8174304.1091783382</v>
      </c>
      <c r="K349">
        <f>VLOOKUP(F349,'LEAID Match'!$A$2:$C$2979,3,FALSE)</f>
        <v>0</v>
      </c>
    </row>
    <row r="350" spans="1:11" x14ac:dyDescent="0.2">
      <c r="A350">
        <v>0</v>
      </c>
      <c r="B350">
        <v>2016</v>
      </c>
      <c r="C350" t="s">
        <v>6</v>
      </c>
      <c r="D350" t="s">
        <v>7</v>
      </c>
      <c r="E350" t="s">
        <v>8</v>
      </c>
      <c r="F350">
        <v>5110</v>
      </c>
      <c r="G350" s="9" t="s">
        <v>20</v>
      </c>
      <c r="H350" s="1">
        <v>17059</v>
      </c>
      <c r="I350" s="1">
        <v>1669257.2859571395</v>
      </c>
      <c r="J350" s="1">
        <v>1686316.2859571395</v>
      </c>
      <c r="K350">
        <f>VLOOKUP(F350,'LEAID Match'!$A$2:$C$2979,3,FALSE)</f>
        <v>0</v>
      </c>
    </row>
    <row r="351" spans="1:11" x14ac:dyDescent="0.2">
      <c r="A351">
        <v>0</v>
      </c>
      <c r="B351">
        <v>2016</v>
      </c>
      <c r="C351" t="s">
        <v>6</v>
      </c>
      <c r="D351" t="s">
        <v>7</v>
      </c>
      <c r="E351" t="s">
        <v>8</v>
      </c>
      <c r="F351" s="3">
        <v>5111</v>
      </c>
      <c r="G351" s="3" t="s">
        <v>21</v>
      </c>
      <c r="H351" s="22">
        <v>9876</v>
      </c>
      <c r="I351" s="1">
        <v>1703235.1740114852</v>
      </c>
      <c r="J351" s="1">
        <v>1713111.1740114852</v>
      </c>
      <c r="K351">
        <f>VLOOKUP(F351,'LEAID Match'!$A$2:$C$2979,3,FALSE)</f>
        <v>0</v>
      </c>
    </row>
    <row r="352" spans="1:11" x14ac:dyDescent="0.2">
      <c r="A352">
        <v>0</v>
      </c>
      <c r="B352">
        <v>2016</v>
      </c>
      <c r="C352" t="s">
        <v>6</v>
      </c>
      <c r="D352" t="s">
        <v>7</v>
      </c>
      <c r="E352" t="s">
        <v>8</v>
      </c>
      <c r="F352" s="3">
        <v>5112</v>
      </c>
      <c r="G352" s="3" t="s">
        <v>22</v>
      </c>
      <c r="H352" s="1">
        <v>3251</v>
      </c>
      <c r="I352" s="21">
        <v>2009114.7820447639</v>
      </c>
      <c r="J352" s="21">
        <v>2012365.7820447639</v>
      </c>
      <c r="K352">
        <f>VLOOKUP(F352,'LEAID Match'!$A$2:$C$2979,3,FALSE)</f>
        <v>0</v>
      </c>
    </row>
    <row r="353" spans="1:11" x14ac:dyDescent="0.2">
      <c r="A353">
        <v>0</v>
      </c>
      <c r="B353">
        <v>2016</v>
      </c>
      <c r="C353" t="s">
        <v>6</v>
      </c>
      <c r="D353" t="s">
        <v>7</v>
      </c>
      <c r="E353" t="s">
        <v>8</v>
      </c>
      <c r="F353" s="3">
        <v>5113</v>
      </c>
      <c r="G353" s="3" t="s">
        <v>23</v>
      </c>
      <c r="H353" s="1">
        <v>7911</v>
      </c>
      <c r="I353" s="1">
        <v>1832758.1237260387</v>
      </c>
      <c r="J353" s="1">
        <v>1840669.1237260387</v>
      </c>
      <c r="K353">
        <f>VLOOKUP(F353,'LEAID Match'!$A$2:$C$2979,3,FALSE)</f>
        <v>0</v>
      </c>
    </row>
    <row r="354" spans="1:11" x14ac:dyDescent="0.2">
      <c r="A354">
        <v>0</v>
      </c>
      <c r="B354">
        <v>2016</v>
      </c>
      <c r="C354" t="s">
        <v>6</v>
      </c>
      <c r="D354" t="s">
        <v>7</v>
      </c>
      <c r="E354" t="s">
        <v>8</v>
      </c>
      <c r="F354">
        <v>5177</v>
      </c>
      <c r="G354" t="s">
        <v>24</v>
      </c>
      <c r="H354" s="1">
        <v>2336</v>
      </c>
      <c r="I354" s="1">
        <v>2106980.1285482929</v>
      </c>
      <c r="J354" s="1">
        <v>2109316.1285482929</v>
      </c>
      <c r="K354">
        <f>VLOOKUP(F354,'LEAID Match'!$A$2:$C$2979,3,FALSE)</f>
        <v>0</v>
      </c>
    </row>
    <row r="355" spans="1:11" x14ac:dyDescent="0.2">
      <c r="A355">
        <v>0</v>
      </c>
      <c r="B355">
        <v>2016</v>
      </c>
      <c r="C355" t="s">
        <v>6</v>
      </c>
      <c r="D355" t="s">
        <v>7</v>
      </c>
      <c r="E355" t="s">
        <v>8</v>
      </c>
      <c r="F355">
        <v>5178</v>
      </c>
      <c r="G355" t="s">
        <v>25</v>
      </c>
      <c r="H355" s="1">
        <v>11645</v>
      </c>
      <c r="I355" s="1">
        <v>3458761.5434768768</v>
      </c>
      <c r="J355" s="1">
        <v>3470406.5434768768</v>
      </c>
      <c r="K355">
        <f>VLOOKUP(F355,'LEAID Match'!$A$2:$C$2979,3,FALSE)</f>
        <v>0</v>
      </c>
    </row>
    <row r="356" spans="1:11" x14ac:dyDescent="0.2">
      <c r="A356">
        <v>0</v>
      </c>
      <c r="B356">
        <v>2016</v>
      </c>
      <c r="C356" t="s">
        <v>6</v>
      </c>
      <c r="D356" t="s">
        <v>7</v>
      </c>
      <c r="E356" t="s">
        <v>8</v>
      </c>
      <c r="F356">
        <v>5179</v>
      </c>
      <c r="G356" t="s">
        <v>26</v>
      </c>
      <c r="H356" s="1">
        <v>23521</v>
      </c>
      <c r="I356" s="1">
        <v>1923986.5325465801</v>
      </c>
      <c r="J356" s="1">
        <v>1947507.5325465801</v>
      </c>
      <c r="K356">
        <f>VLOOKUP(F356,'LEAID Match'!$A$2:$C$2979,3,FALSE)</f>
        <v>0</v>
      </c>
    </row>
    <row r="357" spans="1:11" x14ac:dyDescent="0.2">
      <c r="A357">
        <v>0</v>
      </c>
      <c r="B357">
        <v>2016</v>
      </c>
      <c r="C357" t="s">
        <v>6</v>
      </c>
      <c r="D357" t="s">
        <v>7</v>
      </c>
      <c r="E357" t="s">
        <v>8</v>
      </c>
      <c r="F357">
        <v>5180</v>
      </c>
      <c r="G357" t="s">
        <v>27</v>
      </c>
      <c r="H357" s="20">
        <v>1850</v>
      </c>
      <c r="I357" s="1">
        <v>2556614.2362347445</v>
      </c>
      <c r="J357" s="1">
        <v>2558464.2362347445</v>
      </c>
      <c r="K357">
        <f>VLOOKUP(F357,'LEAID Match'!$A$2:$C$2979,3,FALSE)</f>
        <v>0</v>
      </c>
    </row>
    <row r="358" spans="1:11" x14ac:dyDescent="0.2">
      <c r="A358">
        <v>0</v>
      </c>
      <c r="B358">
        <v>2016</v>
      </c>
      <c r="C358" t="s">
        <v>6</v>
      </c>
      <c r="D358" t="s">
        <v>7</v>
      </c>
      <c r="E358" t="s">
        <v>8</v>
      </c>
      <c r="F358">
        <v>5404</v>
      </c>
      <c r="G358" t="s">
        <v>364</v>
      </c>
      <c r="H358" s="1">
        <v>217</v>
      </c>
      <c r="I358" s="1">
        <v>2996689.1863313494</v>
      </c>
      <c r="J358" s="1">
        <v>2996906.1863313494</v>
      </c>
      <c r="K358">
        <f>VLOOKUP(F358,'LEAID Match'!$A$2:$C$2979,3,FALSE)</f>
        <v>0</v>
      </c>
    </row>
    <row r="359" spans="1:11" x14ac:dyDescent="0.2">
      <c r="A359">
        <v>0</v>
      </c>
      <c r="B359">
        <v>2016</v>
      </c>
      <c r="C359" t="s">
        <v>6</v>
      </c>
      <c r="D359" t="s">
        <v>7</v>
      </c>
      <c r="E359" t="s">
        <v>8</v>
      </c>
      <c r="F359">
        <v>5406</v>
      </c>
      <c r="G359" s="9" t="s">
        <v>29</v>
      </c>
      <c r="H359" s="1">
        <v>71472</v>
      </c>
      <c r="I359" s="1">
        <v>29203801.936680119</v>
      </c>
      <c r="J359" s="1">
        <v>29275273.936680119</v>
      </c>
      <c r="K359">
        <f>VLOOKUP(F359,'LEAID Match'!$A$2:$C$2979,3,FALSE)</f>
        <v>0</v>
      </c>
    </row>
    <row r="360" spans="1:11" x14ac:dyDescent="0.2">
      <c r="A360">
        <v>2000046</v>
      </c>
      <c r="B360">
        <v>2016</v>
      </c>
      <c r="C360" t="s">
        <v>6</v>
      </c>
      <c r="D360" t="s">
        <v>7</v>
      </c>
      <c r="E360" t="s">
        <v>8</v>
      </c>
      <c r="F360" s="3">
        <v>5596</v>
      </c>
      <c r="G360" s="3" t="s">
        <v>30</v>
      </c>
      <c r="H360" s="22">
        <v>82505</v>
      </c>
      <c r="I360" s="1">
        <v>2708868.9633715982</v>
      </c>
      <c r="J360" s="1">
        <v>2791373.9633715982</v>
      </c>
      <c r="K360">
        <f>VLOOKUP(F360,'LEAID Match'!$A$2:$C$2979,3,FALSE)</f>
        <v>2000046</v>
      </c>
    </row>
    <row r="361" spans="1:11" x14ac:dyDescent="0.2">
      <c r="A361">
        <v>0</v>
      </c>
      <c r="B361">
        <v>2016</v>
      </c>
      <c r="C361" t="s">
        <v>6</v>
      </c>
      <c r="D361" t="s">
        <v>7</v>
      </c>
      <c r="E361" t="s">
        <v>8</v>
      </c>
      <c r="F361" s="3">
        <v>5600</v>
      </c>
      <c r="G361" s="3" t="s">
        <v>31</v>
      </c>
      <c r="H361" s="1">
        <v>105961</v>
      </c>
      <c r="I361" s="21">
        <v>3178570.217224</v>
      </c>
      <c r="J361" s="21">
        <v>3284531.217224</v>
      </c>
      <c r="K361">
        <f>VLOOKUP(F361,'LEAID Match'!$A$2:$C$2979,3,FALSE)</f>
        <v>0</v>
      </c>
    </row>
    <row r="362" spans="1:11" x14ac:dyDescent="0.2">
      <c r="A362">
        <v>2000048</v>
      </c>
      <c r="B362">
        <v>2016</v>
      </c>
      <c r="C362" t="s">
        <v>6</v>
      </c>
      <c r="D362" t="s">
        <v>7</v>
      </c>
      <c r="E362" t="s">
        <v>8</v>
      </c>
      <c r="F362" s="3">
        <v>5604</v>
      </c>
      <c r="G362" s="3" t="s">
        <v>32</v>
      </c>
      <c r="H362" s="1">
        <v>75995</v>
      </c>
      <c r="I362" s="1">
        <v>2871921.3117986633</v>
      </c>
      <c r="J362" s="1">
        <v>2947916.3117986633</v>
      </c>
      <c r="K362">
        <f>VLOOKUP(F362,'LEAID Match'!$A$2:$C$2979,3,FALSE)</f>
        <v>2000048</v>
      </c>
    </row>
    <row r="363" spans="1:11" x14ac:dyDescent="0.2">
      <c r="A363">
        <v>2000035</v>
      </c>
      <c r="B363">
        <v>2016</v>
      </c>
      <c r="C363" t="s">
        <v>6</v>
      </c>
      <c r="D363" t="s">
        <v>7</v>
      </c>
      <c r="E363" t="s">
        <v>8</v>
      </c>
      <c r="F363">
        <v>5608</v>
      </c>
      <c r="G363" t="s">
        <v>33</v>
      </c>
      <c r="H363" s="1">
        <v>6308</v>
      </c>
      <c r="I363" s="1">
        <v>2560534.3612362798</v>
      </c>
      <c r="J363" s="1">
        <v>2566842.3612362798</v>
      </c>
      <c r="K363">
        <f>VLOOKUP(F363,'LEAID Match'!$A$2:$C$2979,3,FALSE)</f>
        <v>2000035</v>
      </c>
    </row>
    <row r="364" spans="1:11" x14ac:dyDescent="0.2">
      <c r="A364">
        <v>2000039</v>
      </c>
      <c r="B364">
        <v>2016</v>
      </c>
      <c r="C364" t="s">
        <v>6</v>
      </c>
      <c r="D364" t="s">
        <v>7</v>
      </c>
      <c r="E364" t="s">
        <v>8</v>
      </c>
      <c r="F364">
        <v>5609</v>
      </c>
      <c r="G364" t="s">
        <v>365</v>
      </c>
      <c r="H364" s="1">
        <v>73980</v>
      </c>
      <c r="I364" s="1">
        <v>2933920.2413854008</v>
      </c>
      <c r="J364" s="1">
        <v>3007900.2413854008</v>
      </c>
      <c r="K364">
        <f>VLOOKUP(F364,'LEAID Match'!$A$2:$C$2979,3,FALSE)</f>
        <v>2000039</v>
      </c>
    </row>
    <row r="365" spans="1:11" x14ac:dyDescent="0.2">
      <c r="A365">
        <v>2000041</v>
      </c>
      <c r="B365">
        <v>2016</v>
      </c>
      <c r="C365" t="s">
        <v>6</v>
      </c>
      <c r="D365" t="s">
        <v>7</v>
      </c>
      <c r="E365" t="s">
        <v>8</v>
      </c>
      <c r="F365">
        <v>5612</v>
      </c>
      <c r="G365" t="s">
        <v>35</v>
      </c>
      <c r="H365" s="1">
        <v>174198</v>
      </c>
      <c r="I365" s="1">
        <v>6103372.348232056</v>
      </c>
      <c r="J365" s="1">
        <v>6277570.348232056</v>
      </c>
      <c r="K365">
        <f>VLOOKUP(F365,'LEAID Match'!$A$2:$C$2979,3,FALSE)</f>
        <v>2000041</v>
      </c>
    </row>
    <row r="366" spans="1:11" x14ac:dyDescent="0.2">
      <c r="A366">
        <v>0</v>
      </c>
      <c r="B366">
        <v>2016</v>
      </c>
      <c r="C366" t="s">
        <v>6</v>
      </c>
      <c r="D366" t="s">
        <v>7</v>
      </c>
      <c r="E366" t="s">
        <v>8</v>
      </c>
      <c r="F366">
        <v>5624</v>
      </c>
      <c r="G366" t="s">
        <v>36</v>
      </c>
      <c r="H366" s="20">
        <v>49856</v>
      </c>
      <c r="I366" s="1">
        <v>2150527.4701167583</v>
      </c>
      <c r="J366" s="1">
        <v>2200383.4701167583</v>
      </c>
      <c r="K366">
        <f>VLOOKUP(F366,'LEAID Match'!$A$2:$C$2979,3,FALSE)</f>
        <v>0</v>
      </c>
    </row>
    <row r="367" spans="1:11" x14ac:dyDescent="0.2">
      <c r="A367">
        <v>2000044</v>
      </c>
      <c r="B367">
        <v>2016</v>
      </c>
      <c r="C367" t="s">
        <v>6</v>
      </c>
      <c r="D367" t="s">
        <v>7</v>
      </c>
      <c r="E367" t="s">
        <v>8</v>
      </c>
      <c r="F367">
        <v>5626</v>
      </c>
      <c r="G367" t="s">
        <v>37</v>
      </c>
      <c r="H367" s="1">
        <v>53167</v>
      </c>
      <c r="I367" s="1">
        <v>2488358.2713642879</v>
      </c>
      <c r="J367" s="1">
        <v>2541525.2713642879</v>
      </c>
      <c r="K367">
        <f>VLOOKUP(F367,'LEAID Match'!$A$2:$C$2979,3,FALSE)</f>
        <v>2000044</v>
      </c>
    </row>
    <row r="368" spans="1:11" x14ac:dyDescent="0.2">
      <c r="A368">
        <v>2000047</v>
      </c>
      <c r="B368">
        <v>2016</v>
      </c>
      <c r="C368" t="s">
        <v>6</v>
      </c>
      <c r="D368" t="s">
        <v>7</v>
      </c>
      <c r="E368" t="s">
        <v>8</v>
      </c>
      <c r="F368">
        <v>5634</v>
      </c>
      <c r="G368" s="9" t="s">
        <v>38</v>
      </c>
      <c r="H368" s="1">
        <v>45289</v>
      </c>
      <c r="I368" s="1">
        <v>3566072.4753278359</v>
      </c>
      <c r="J368" s="1">
        <v>3611361.4753278359</v>
      </c>
      <c r="K368">
        <f>VLOOKUP(F368,'LEAID Match'!$A$2:$C$2979,3,FALSE)</f>
        <v>2000047</v>
      </c>
    </row>
    <row r="369" spans="1:11" x14ac:dyDescent="0.2">
      <c r="A369">
        <v>2000051</v>
      </c>
      <c r="B369">
        <v>2016</v>
      </c>
      <c r="C369" t="s">
        <v>6</v>
      </c>
      <c r="D369" t="s">
        <v>7</v>
      </c>
      <c r="E369" t="s">
        <v>8</v>
      </c>
      <c r="F369" s="3">
        <v>5638</v>
      </c>
      <c r="G369" s="3" t="s">
        <v>39</v>
      </c>
      <c r="H369" s="22">
        <v>31384</v>
      </c>
      <c r="I369" s="1">
        <v>1892259.4854223204</v>
      </c>
      <c r="J369" s="1">
        <v>1923643.4854223204</v>
      </c>
      <c r="K369">
        <f>VLOOKUP(F369,'LEAID Match'!$A$2:$C$2979,3,FALSE)</f>
        <v>2000051</v>
      </c>
    </row>
    <row r="370" spans="1:11" x14ac:dyDescent="0.2">
      <c r="A370">
        <v>2000033</v>
      </c>
      <c r="B370">
        <v>2016</v>
      </c>
      <c r="C370" t="s">
        <v>6</v>
      </c>
      <c r="D370" t="s">
        <v>7</v>
      </c>
      <c r="E370" t="s">
        <v>8</v>
      </c>
      <c r="F370" s="3">
        <v>5655</v>
      </c>
      <c r="G370" s="3" t="s">
        <v>40</v>
      </c>
      <c r="H370" s="1">
        <v>5518</v>
      </c>
      <c r="I370" s="21">
        <v>832420.16055675398</v>
      </c>
      <c r="J370" s="21">
        <v>837938.16055675398</v>
      </c>
      <c r="K370">
        <f>VLOOKUP(F370,'LEAID Match'!$A$2:$C$2979,3,FALSE)</f>
        <v>2000033</v>
      </c>
    </row>
    <row r="371" spans="1:11" x14ac:dyDescent="0.2">
      <c r="A371">
        <v>2000037</v>
      </c>
      <c r="B371">
        <v>2016</v>
      </c>
      <c r="C371" t="s">
        <v>6</v>
      </c>
      <c r="D371" t="s">
        <v>7</v>
      </c>
      <c r="E371" t="s">
        <v>8</v>
      </c>
      <c r="F371" s="3">
        <v>5657</v>
      </c>
      <c r="G371" s="3" t="s">
        <v>41</v>
      </c>
      <c r="H371" s="1">
        <v>38594</v>
      </c>
      <c r="I371" s="1">
        <v>535800.01247729291</v>
      </c>
      <c r="J371" s="1">
        <v>574394.01247729291</v>
      </c>
      <c r="K371">
        <f>VLOOKUP(F371,'LEAID Match'!$A$2:$C$2979,3,FALSE)</f>
        <v>2000037</v>
      </c>
    </row>
    <row r="372" spans="1:11" x14ac:dyDescent="0.2">
      <c r="A372">
        <v>2000040</v>
      </c>
      <c r="B372">
        <v>2016</v>
      </c>
      <c r="C372" t="s">
        <v>6</v>
      </c>
      <c r="D372" t="s">
        <v>7</v>
      </c>
      <c r="E372" t="s">
        <v>8</v>
      </c>
      <c r="F372">
        <v>5671</v>
      </c>
      <c r="G372" t="s">
        <v>42</v>
      </c>
      <c r="H372" s="1">
        <v>22770</v>
      </c>
      <c r="I372" s="1">
        <v>1148218.6430567859</v>
      </c>
      <c r="J372" s="1">
        <v>1170988.6430567859</v>
      </c>
      <c r="K372">
        <f>VLOOKUP(F372,'LEAID Match'!$A$2:$C$2979,3,FALSE)</f>
        <v>2000040</v>
      </c>
    </row>
    <row r="373" spans="1:11" x14ac:dyDescent="0.2">
      <c r="A373">
        <v>2093310</v>
      </c>
      <c r="B373">
        <v>2016</v>
      </c>
      <c r="C373" t="s">
        <v>6</v>
      </c>
      <c r="D373" t="s">
        <v>7</v>
      </c>
      <c r="E373" t="s">
        <v>8</v>
      </c>
      <c r="F373">
        <v>5682</v>
      </c>
      <c r="G373" t="s">
        <v>43</v>
      </c>
      <c r="H373" s="1">
        <v>136713</v>
      </c>
      <c r="I373" s="1">
        <v>8112713.7053151699</v>
      </c>
      <c r="J373" s="1">
        <v>8249426.7053151699</v>
      </c>
      <c r="K373">
        <f>VLOOKUP(F373,'LEAID Match'!$A$2:$C$2979,3,FALSE)</f>
        <v>2093310</v>
      </c>
    </row>
    <row r="374" spans="1:11" x14ac:dyDescent="0.2">
      <c r="A374">
        <v>2000043</v>
      </c>
      <c r="B374">
        <v>2016</v>
      </c>
      <c r="C374" t="s">
        <v>6</v>
      </c>
      <c r="D374" t="s">
        <v>7</v>
      </c>
      <c r="E374" t="s">
        <v>8</v>
      </c>
      <c r="F374">
        <v>5688</v>
      </c>
      <c r="G374" t="s">
        <v>44</v>
      </c>
      <c r="H374" s="1">
        <v>13997</v>
      </c>
      <c r="I374" s="1">
        <v>910836.55475310434</v>
      </c>
      <c r="J374" s="1">
        <v>924833.55475310434</v>
      </c>
      <c r="K374">
        <f>VLOOKUP(F374,'LEAID Match'!$A$2:$C$2979,3,FALSE)</f>
        <v>2000043</v>
      </c>
    </row>
    <row r="375" spans="1:11" x14ac:dyDescent="0.2">
      <c r="A375">
        <v>2000045</v>
      </c>
      <c r="B375">
        <v>2016</v>
      </c>
      <c r="C375" t="s">
        <v>6</v>
      </c>
      <c r="D375" t="s">
        <v>7</v>
      </c>
      <c r="E375" t="s">
        <v>8</v>
      </c>
      <c r="F375">
        <v>9034</v>
      </c>
      <c r="G375" t="s">
        <v>45</v>
      </c>
      <c r="H375" s="20">
        <v>32289</v>
      </c>
      <c r="I375" s="1">
        <v>1703623.8239155838</v>
      </c>
      <c r="J375" s="1">
        <v>1735912.8239155838</v>
      </c>
      <c r="K375">
        <f>VLOOKUP(F375,'LEAID Match'!$A$2:$C$2979,3,FALSE)</f>
        <v>2000045</v>
      </c>
    </row>
    <row r="376" spans="1:11" x14ac:dyDescent="0.2">
      <c r="A376">
        <v>0</v>
      </c>
      <c r="B376">
        <v>2016</v>
      </c>
      <c r="C376" t="s">
        <v>6</v>
      </c>
      <c r="D376" t="s">
        <v>7</v>
      </c>
      <c r="E376" t="s">
        <v>8</v>
      </c>
      <c r="F376">
        <v>9042</v>
      </c>
      <c r="G376" t="s">
        <v>46</v>
      </c>
      <c r="H376" s="1">
        <v>18362</v>
      </c>
      <c r="I376" s="1">
        <v>1104758.1492110742</v>
      </c>
      <c r="J376" s="1">
        <v>1123120.1492110742</v>
      </c>
      <c r="K376">
        <f>VLOOKUP(F376,'LEAID Match'!$A$2:$C$2979,3,FALSE)</f>
        <v>0</v>
      </c>
    </row>
    <row r="377" spans="1:11" x14ac:dyDescent="0.2">
      <c r="A377">
        <v>2000347</v>
      </c>
      <c r="B377">
        <v>2016</v>
      </c>
      <c r="C377" t="s">
        <v>6</v>
      </c>
      <c r="D377" t="s">
        <v>7</v>
      </c>
      <c r="E377" t="s">
        <v>8</v>
      </c>
      <c r="F377">
        <v>9047</v>
      </c>
      <c r="G377" s="9" t="s">
        <v>47</v>
      </c>
      <c r="H377" s="1">
        <v>44604</v>
      </c>
      <c r="I377" s="1">
        <v>1015466.3437903262</v>
      </c>
      <c r="J377" s="1">
        <v>1060070.3437903263</v>
      </c>
      <c r="K377">
        <f>VLOOKUP(F377,'LEAID Match'!$A$2:$C$2979,3,FALSE)</f>
        <v>2000347</v>
      </c>
    </row>
    <row r="378" spans="1:11" x14ac:dyDescent="0.2">
      <c r="A378">
        <v>0</v>
      </c>
      <c r="B378">
        <v>2016</v>
      </c>
      <c r="C378" t="s">
        <v>6</v>
      </c>
      <c r="D378" t="s">
        <v>7</v>
      </c>
      <c r="E378" t="s">
        <v>8</v>
      </c>
      <c r="F378" s="3">
        <v>9053</v>
      </c>
      <c r="G378" s="3" t="s">
        <v>48</v>
      </c>
      <c r="H378" s="22">
        <v>0</v>
      </c>
      <c r="I378" s="1">
        <v>51876.307235359818</v>
      </c>
      <c r="J378" s="1">
        <v>51876.307235359818</v>
      </c>
      <c r="K378">
        <f>VLOOKUP(F378,'LEAID Match'!$A$2:$C$2979,3,FALSE)</f>
        <v>0</v>
      </c>
    </row>
    <row r="379" spans="1:11" x14ac:dyDescent="0.2">
      <c r="A379">
        <v>2000049</v>
      </c>
      <c r="B379">
        <v>2016</v>
      </c>
      <c r="C379" t="s">
        <v>6</v>
      </c>
      <c r="D379" t="s">
        <v>7</v>
      </c>
      <c r="E379" t="s">
        <v>8</v>
      </c>
      <c r="F379" s="3">
        <v>9055</v>
      </c>
      <c r="G379" s="3" t="s">
        <v>49</v>
      </c>
      <c r="H379" s="1">
        <v>38922</v>
      </c>
      <c r="I379" s="21">
        <v>1111500.3031571563</v>
      </c>
      <c r="J379" s="21">
        <v>1150422.3031571563</v>
      </c>
      <c r="K379">
        <f>VLOOKUP(F379,'LEAID Match'!$A$2:$C$2979,3,FALSE)</f>
        <v>2000049</v>
      </c>
    </row>
    <row r="380" spans="1:11" x14ac:dyDescent="0.2">
      <c r="A380" t="s">
        <v>371</v>
      </c>
      <c r="B380">
        <v>2016</v>
      </c>
      <c r="C380" t="s">
        <v>6</v>
      </c>
      <c r="D380" t="s">
        <v>7</v>
      </c>
      <c r="E380" t="s">
        <v>8</v>
      </c>
      <c r="F380" s="3">
        <v>9056</v>
      </c>
      <c r="G380" s="3" t="s">
        <v>50</v>
      </c>
      <c r="H380" s="1">
        <v>10381</v>
      </c>
      <c r="I380" s="1">
        <v>886058.57653747313</v>
      </c>
      <c r="J380" s="1">
        <v>896439.57653747313</v>
      </c>
      <c r="K380" t="str">
        <f>VLOOKUP(F380,'LEAID Match'!$A$2:$C$2979,3,FALSE)</f>
        <v>20D0001</v>
      </c>
    </row>
    <row r="381" spans="1:11" x14ac:dyDescent="0.2">
      <c r="A381">
        <v>0</v>
      </c>
      <c r="B381">
        <v>2016</v>
      </c>
      <c r="C381" t="s">
        <v>6</v>
      </c>
      <c r="D381" t="s">
        <v>7</v>
      </c>
      <c r="E381" t="s">
        <v>8</v>
      </c>
      <c r="F381">
        <v>9273</v>
      </c>
      <c r="G381" t="s">
        <v>51</v>
      </c>
      <c r="H381" s="1">
        <v>11386</v>
      </c>
      <c r="I381" s="1">
        <v>1754924.7930866084</v>
      </c>
      <c r="J381" s="1">
        <v>1766310.7930866084</v>
      </c>
      <c r="K381">
        <f>VLOOKUP(F381,'LEAID Match'!$A$2:$C$2979,3,FALSE)</f>
        <v>0</v>
      </c>
    </row>
    <row r="382" spans="1:11" x14ac:dyDescent="0.2">
      <c r="A382">
        <v>2000034</v>
      </c>
      <c r="B382">
        <v>2016</v>
      </c>
      <c r="C382" t="s">
        <v>6</v>
      </c>
      <c r="D382" t="s">
        <v>7</v>
      </c>
      <c r="E382" t="s">
        <v>8</v>
      </c>
      <c r="F382">
        <v>9274</v>
      </c>
      <c r="G382" t="s">
        <v>52</v>
      </c>
      <c r="H382" s="1">
        <v>63111</v>
      </c>
      <c r="I382" s="1">
        <v>4844614.1508601243</v>
      </c>
      <c r="J382" s="1">
        <v>4907725.1508601243</v>
      </c>
      <c r="K382">
        <f>VLOOKUP(F382,'LEAID Match'!$A$2:$C$2979,3,FALSE)</f>
        <v>2000034</v>
      </c>
    </row>
    <row r="383" spans="1:11" x14ac:dyDescent="0.2">
      <c r="A383">
        <v>0</v>
      </c>
      <c r="B383">
        <v>2016</v>
      </c>
      <c r="C383" t="s">
        <v>6</v>
      </c>
      <c r="D383" t="s">
        <v>7</v>
      </c>
      <c r="E383" t="s">
        <v>8</v>
      </c>
      <c r="F383">
        <v>9303</v>
      </c>
      <c r="G383" t="s">
        <v>363</v>
      </c>
      <c r="H383" s="1">
        <v>18200</v>
      </c>
      <c r="I383" s="1">
        <v>3310350.7195480135</v>
      </c>
      <c r="J383" s="1">
        <v>3328550.7195480135</v>
      </c>
      <c r="K383">
        <f>VLOOKUP(F383,'LEAID Match'!$A$2:$C$2979,3,FALSE)</f>
        <v>0</v>
      </c>
    </row>
    <row r="384" spans="1:11" x14ac:dyDescent="0.2">
      <c r="A384">
        <v>0</v>
      </c>
      <c r="B384">
        <v>2016</v>
      </c>
      <c r="C384" t="s">
        <v>6</v>
      </c>
      <c r="D384" t="s">
        <v>7</v>
      </c>
      <c r="E384" t="s">
        <v>8</v>
      </c>
      <c r="F384">
        <v>9304</v>
      </c>
      <c r="G384" t="s">
        <v>54</v>
      </c>
      <c r="H384" s="20">
        <v>0</v>
      </c>
      <c r="I384" s="1">
        <v>1103247.5578037393</v>
      </c>
      <c r="J384" s="1">
        <v>1103247.5578037393</v>
      </c>
      <c r="K384">
        <f>VLOOKUP(F384,'LEAID Match'!$A$2:$C$2979,3,FALSE)</f>
        <v>0</v>
      </c>
    </row>
    <row r="385" spans="1:11" x14ac:dyDescent="0.2">
      <c r="A385">
        <v>0</v>
      </c>
      <c r="B385">
        <v>2016</v>
      </c>
      <c r="C385" t="s">
        <v>6</v>
      </c>
      <c r="D385" t="s">
        <v>7</v>
      </c>
      <c r="E385" t="s">
        <v>8</v>
      </c>
      <c r="F385">
        <v>9305</v>
      </c>
      <c r="G385" t="s">
        <v>55</v>
      </c>
      <c r="H385" s="1">
        <v>29576</v>
      </c>
      <c r="I385" s="1">
        <v>1342642.128617479</v>
      </c>
      <c r="J385" s="1">
        <v>1372218.128617479</v>
      </c>
      <c r="K385">
        <f>VLOOKUP(F385,'LEAID Match'!$A$2:$C$2979,3,FALSE)</f>
        <v>0</v>
      </c>
    </row>
    <row r="386" spans="1:11" x14ac:dyDescent="0.2">
      <c r="A386">
        <v>0</v>
      </c>
      <c r="B386">
        <v>2016</v>
      </c>
      <c r="C386" t="s">
        <v>6</v>
      </c>
      <c r="D386" t="s">
        <v>7</v>
      </c>
      <c r="E386" t="s">
        <v>8</v>
      </c>
      <c r="F386">
        <v>9395</v>
      </c>
      <c r="G386" s="9" t="s">
        <v>56</v>
      </c>
      <c r="H386" s="1">
        <v>2163</v>
      </c>
      <c r="I386" s="1">
        <v>795252.3397030927</v>
      </c>
      <c r="J386" s="1">
        <v>797415.3397030927</v>
      </c>
      <c r="K386">
        <f>VLOOKUP(F386,'LEAID Match'!$A$2:$C$2979,3,FALSE)</f>
        <v>0</v>
      </c>
    </row>
    <row r="387" spans="1:11" x14ac:dyDescent="0.2">
      <c r="A387">
        <v>0</v>
      </c>
      <c r="B387">
        <v>2016</v>
      </c>
      <c r="C387" t="s">
        <v>6</v>
      </c>
      <c r="D387" t="s">
        <v>7</v>
      </c>
      <c r="E387" t="s">
        <v>8</v>
      </c>
      <c r="F387" s="3">
        <v>9487</v>
      </c>
      <c r="G387" s="3" t="s">
        <v>57</v>
      </c>
      <c r="H387" s="22">
        <v>14394</v>
      </c>
      <c r="I387" s="1">
        <v>111489.09510863268</v>
      </c>
      <c r="J387" s="1">
        <v>125883.09510863268</v>
      </c>
      <c r="K387">
        <f>VLOOKUP(F387,'LEAID Match'!$A$2:$C$2979,3,FALSE)</f>
        <v>0</v>
      </c>
    </row>
    <row r="388" spans="1:11" x14ac:dyDescent="0.2">
      <c r="A388">
        <v>2000354</v>
      </c>
      <c r="B388">
        <v>2016</v>
      </c>
      <c r="C388" t="s">
        <v>6</v>
      </c>
      <c r="D388" t="s">
        <v>7</v>
      </c>
      <c r="E388" t="s">
        <v>8</v>
      </c>
      <c r="F388" s="3">
        <v>9507</v>
      </c>
      <c r="G388" s="3" t="s">
        <v>58</v>
      </c>
      <c r="H388" s="1">
        <v>77780</v>
      </c>
      <c r="I388" s="21">
        <v>4545561.0963455522</v>
      </c>
      <c r="J388" s="21">
        <v>4623341.0963455522</v>
      </c>
      <c r="K388">
        <f>VLOOKUP(F388,'LEAID Match'!$A$2:$C$2979,3,FALSE)</f>
        <v>2000354</v>
      </c>
    </row>
    <row r="389" spans="1:11" x14ac:dyDescent="0.2">
      <c r="A389">
        <v>2012360</v>
      </c>
      <c r="B389">
        <v>2016</v>
      </c>
      <c r="C389" t="s">
        <v>6</v>
      </c>
      <c r="D389" t="s">
        <v>7</v>
      </c>
      <c r="E389" t="s">
        <v>8</v>
      </c>
      <c r="F389" s="3">
        <v>4828</v>
      </c>
      <c r="G389" s="3" t="s">
        <v>59</v>
      </c>
      <c r="H389" s="1">
        <v>2755756</v>
      </c>
      <c r="I389" s="1">
        <v>5896620</v>
      </c>
      <c r="J389" s="1">
        <v>8652376</v>
      </c>
      <c r="K389">
        <f>VLOOKUP(F389,'LEAID Match'!$A$2:$C$2979,3,FALSE)</f>
        <v>2012360</v>
      </c>
    </row>
    <row r="390" spans="1:11" x14ac:dyDescent="0.2">
      <c r="A390">
        <v>2010680</v>
      </c>
      <c r="B390">
        <v>2016</v>
      </c>
      <c r="C390" t="s">
        <v>6</v>
      </c>
      <c r="D390" t="s">
        <v>7</v>
      </c>
      <c r="E390" t="s">
        <v>8</v>
      </c>
      <c r="F390">
        <v>4829</v>
      </c>
      <c r="G390" t="s">
        <v>60</v>
      </c>
      <c r="H390" s="1">
        <v>1065379</v>
      </c>
      <c r="I390" s="1">
        <v>2279640</v>
      </c>
      <c r="J390" s="1">
        <v>3345019</v>
      </c>
      <c r="K390">
        <f>VLOOKUP(F390,'LEAID Match'!$A$2:$C$2979,3,FALSE)</f>
        <v>2010680</v>
      </c>
    </row>
    <row r="391" spans="1:11" x14ac:dyDescent="0.2">
      <c r="A391">
        <v>2008550</v>
      </c>
      <c r="B391">
        <v>2016</v>
      </c>
      <c r="C391" t="s">
        <v>6</v>
      </c>
      <c r="D391" t="s">
        <v>7</v>
      </c>
      <c r="E391" t="s">
        <v>8</v>
      </c>
      <c r="F391">
        <v>4871</v>
      </c>
      <c r="G391" t="s">
        <v>61</v>
      </c>
      <c r="H391" s="1">
        <v>305950</v>
      </c>
      <c r="I391" s="1">
        <v>654660</v>
      </c>
      <c r="J391" s="1">
        <v>960610</v>
      </c>
      <c r="K391">
        <f>VLOOKUP(F391,'LEAID Match'!$A$2:$C$2979,3,FALSE)</f>
        <v>2008550</v>
      </c>
    </row>
    <row r="392" spans="1:11" x14ac:dyDescent="0.2">
      <c r="A392">
        <v>2004050</v>
      </c>
      <c r="B392">
        <v>2016</v>
      </c>
      <c r="C392" t="s">
        <v>6</v>
      </c>
      <c r="D392" t="s">
        <v>7</v>
      </c>
      <c r="E392" t="s">
        <v>8</v>
      </c>
      <c r="F392">
        <v>4882</v>
      </c>
      <c r="G392" t="s">
        <v>62</v>
      </c>
      <c r="H392" s="1">
        <v>1785915</v>
      </c>
      <c r="I392" s="1">
        <v>3821410</v>
      </c>
      <c r="J392" s="1">
        <v>5607325</v>
      </c>
      <c r="K392">
        <f>VLOOKUP(F392,'LEAID Match'!$A$2:$C$2979,3,FALSE)</f>
        <v>2004050</v>
      </c>
    </row>
    <row r="393" spans="1:11" x14ac:dyDescent="0.2">
      <c r="A393">
        <v>2006240</v>
      </c>
      <c r="B393">
        <v>2016</v>
      </c>
      <c r="C393" t="s">
        <v>6</v>
      </c>
      <c r="D393" t="s">
        <v>7</v>
      </c>
      <c r="E393" t="s">
        <v>8</v>
      </c>
      <c r="F393">
        <v>4912</v>
      </c>
      <c r="G393" t="s">
        <v>63</v>
      </c>
      <c r="H393" s="20">
        <v>337386</v>
      </c>
      <c r="I393" s="1">
        <v>721920</v>
      </c>
      <c r="J393" s="1">
        <v>1059306</v>
      </c>
      <c r="K393">
        <f>VLOOKUP(F393,'LEAID Match'!$A$2:$C$2979,3,FALSE)</f>
        <v>2006240</v>
      </c>
    </row>
    <row r="394" spans="1:11" x14ac:dyDescent="0.2">
      <c r="A394">
        <v>2009720</v>
      </c>
      <c r="B394">
        <v>2016</v>
      </c>
      <c r="C394" t="s">
        <v>6</v>
      </c>
      <c r="D394" t="s">
        <v>7</v>
      </c>
      <c r="E394" t="s">
        <v>8</v>
      </c>
      <c r="F394">
        <v>4977</v>
      </c>
      <c r="G394" t="s">
        <v>64</v>
      </c>
      <c r="H394" s="1">
        <v>169963</v>
      </c>
      <c r="I394" s="1">
        <v>363680</v>
      </c>
      <c r="J394" s="1">
        <v>533643</v>
      </c>
      <c r="K394">
        <f>VLOOKUP(F394,'LEAID Match'!$A$2:$C$2979,3,FALSE)</f>
        <v>2009720</v>
      </c>
    </row>
    <row r="395" spans="1:11" x14ac:dyDescent="0.2">
      <c r="A395">
        <v>2010140</v>
      </c>
      <c r="B395">
        <v>2016</v>
      </c>
      <c r="C395" t="s">
        <v>6</v>
      </c>
      <c r="D395" t="s">
        <v>7</v>
      </c>
      <c r="E395" t="s">
        <v>8</v>
      </c>
      <c r="F395">
        <v>4978</v>
      </c>
      <c r="G395" s="9" t="s">
        <v>65</v>
      </c>
      <c r="H395" s="1">
        <v>19593235</v>
      </c>
      <c r="I395" s="1">
        <v>41924580</v>
      </c>
      <c r="J395" s="1">
        <v>61517815</v>
      </c>
      <c r="K395">
        <f>VLOOKUP(F395,'LEAID Match'!$A$2:$C$2979,3,FALSE)</f>
        <v>2010140</v>
      </c>
    </row>
    <row r="396" spans="1:11" x14ac:dyDescent="0.2">
      <c r="A396">
        <v>2012900</v>
      </c>
      <c r="B396">
        <v>2016</v>
      </c>
      <c r="C396" t="s">
        <v>6</v>
      </c>
      <c r="D396" t="s">
        <v>7</v>
      </c>
      <c r="E396" t="s">
        <v>8</v>
      </c>
      <c r="F396" s="3">
        <v>4979</v>
      </c>
      <c r="G396" s="3" t="s">
        <v>66</v>
      </c>
      <c r="H396" s="22">
        <v>74463</v>
      </c>
      <c r="I396" s="1">
        <v>159330</v>
      </c>
      <c r="J396" s="1">
        <v>233793</v>
      </c>
      <c r="K396">
        <f>VLOOKUP(F396,'LEAID Match'!$A$2:$C$2979,3,FALSE)</f>
        <v>2012900</v>
      </c>
    </row>
    <row r="397" spans="1:11" x14ac:dyDescent="0.2">
      <c r="A397">
        <v>2010710</v>
      </c>
      <c r="B397">
        <v>2016</v>
      </c>
      <c r="C397" t="s">
        <v>6</v>
      </c>
      <c r="D397" t="s">
        <v>7</v>
      </c>
      <c r="E397" t="s">
        <v>8</v>
      </c>
      <c r="F397" s="3">
        <v>4980</v>
      </c>
      <c r="G397" s="3" t="s">
        <v>67</v>
      </c>
      <c r="H397" s="1">
        <v>1679237</v>
      </c>
      <c r="I397" s="21">
        <v>3593140</v>
      </c>
      <c r="J397" s="21">
        <v>5272377</v>
      </c>
      <c r="K397">
        <f>VLOOKUP(F397,'LEAID Match'!$A$2:$C$2979,3,FALSE)</f>
        <v>2010710</v>
      </c>
    </row>
    <row r="398" spans="1:11" x14ac:dyDescent="0.2">
      <c r="A398">
        <v>2005940</v>
      </c>
      <c r="B398">
        <v>2016</v>
      </c>
      <c r="C398" t="s">
        <v>6</v>
      </c>
      <c r="D398" t="s">
        <v>7</v>
      </c>
      <c r="E398" t="s">
        <v>8</v>
      </c>
      <c r="F398" s="3">
        <v>4981</v>
      </c>
      <c r="G398" s="3" t="s">
        <v>68</v>
      </c>
      <c r="H398" s="1">
        <v>3467121</v>
      </c>
      <c r="I398" s="1">
        <v>7418760</v>
      </c>
      <c r="J398" s="1">
        <v>10885881</v>
      </c>
      <c r="K398">
        <f>VLOOKUP(F398,'LEAID Match'!$A$2:$C$2979,3,FALSE)</f>
        <v>2005940</v>
      </c>
    </row>
    <row r="399" spans="1:11" x14ac:dyDescent="0.2">
      <c r="A399">
        <v>2012990</v>
      </c>
      <c r="B399">
        <v>2016</v>
      </c>
      <c r="C399" t="s">
        <v>6</v>
      </c>
      <c r="D399" t="s">
        <v>7</v>
      </c>
      <c r="E399" t="s">
        <v>8</v>
      </c>
      <c r="F399">
        <v>4982</v>
      </c>
      <c r="G399" t="s">
        <v>69</v>
      </c>
      <c r="H399" s="1">
        <v>30921995</v>
      </c>
      <c r="I399" s="1">
        <v>66165270</v>
      </c>
      <c r="J399" s="1">
        <v>97087265</v>
      </c>
      <c r="K399">
        <f>VLOOKUP(F399,'LEAID Match'!$A$2:$C$2979,3,FALSE)</f>
        <v>2012990</v>
      </c>
    </row>
    <row r="400" spans="1:11" x14ac:dyDescent="0.2">
      <c r="A400">
        <v>2005460</v>
      </c>
      <c r="B400">
        <v>2016</v>
      </c>
      <c r="C400" t="s">
        <v>6</v>
      </c>
      <c r="D400" t="s">
        <v>7</v>
      </c>
      <c r="E400" t="s">
        <v>8</v>
      </c>
      <c r="F400">
        <v>4983</v>
      </c>
      <c r="G400" t="s">
        <v>70</v>
      </c>
      <c r="H400" s="1">
        <v>4437659</v>
      </c>
      <c r="I400" s="1">
        <v>9495470</v>
      </c>
      <c r="J400" s="1">
        <v>13933129</v>
      </c>
      <c r="K400">
        <f>VLOOKUP(F400,'LEAID Match'!$A$2:$C$2979,3,FALSE)</f>
        <v>2005460</v>
      </c>
    </row>
    <row r="401" spans="1:11" x14ac:dyDescent="0.2">
      <c r="A401">
        <v>2012510</v>
      </c>
      <c r="B401">
        <v>2016</v>
      </c>
      <c r="C401" t="s">
        <v>6</v>
      </c>
      <c r="D401" t="s">
        <v>7</v>
      </c>
      <c r="E401" t="s">
        <v>8</v>
      </c>
      <c r="F401">
        <v>4984</v>
      </c>
      <c r="G401" t="s">
        <v>71</v>
      </c>
      <c r="H401" s="1">
        <v>1347854</v>
      </c>
      <c r="I401" s="1">
        <v>2884070</v>
      </c>
      <c r="J401" s="1">
        <v>4231924</v>
      </c>
      <c r="K401">
        <f>VLOOKUP(F401,'LEAID Match'!$A$2:$C$2979,3,FALSE)</f>
        <v>2012510</v>
      </c>
    </row>
    <row r="402" spans="1:11" x14ac:dyDescent="0.2">
      <c r="A402">
        <v>2006540</v>
      </c>
      <c r="B402">
        <v>2016</v>
      </c>
      <c r="C402" t="s">
        <v>6</v>
      </c>
      <c r="D402" t="s">
        <v>7</v>
      </c>
      <c r="E402" t="s">
        <v>8</v>
      </c>
      <c r="F402">
        <v>4985</v>
      </c>
      <c r="G402" t="s">
        <v>72</v>
      </c>
      <c r="H402" s="20">
        <v>2793409</v>
      </c>
      <c r="I402" s="1">
        <v>5977190</v>
      </c>
      <c r="J402" s="1">
        <v>8770599</v>
      </c>
      <c r="K402">
        <f>VLOOKUP(F402,'LEAID Match'!$A$2:$C$2979,3,FALSE)</f>
        <v>2006540</v>
      </c>
    </row>
    <row r="403" spans="1:11" x14ac:dyDescent="0.2">
      <c r="A403">
        <v>2009140</v>
      </c>
      <c r="B403">
        <v>2016</v>
      </c>
      <c r="C403" t="s">
        <v>6</v>
      </c>
      <c r="D403" t="s">
        <v>7</v>
      </c>
      <c r="E403" t="s">
        <v>8</v>
      </c>
      <c r="F403">
        <v>4986</v>
      </c>
      <c r="G403" t="s">
        <v>73</v>
      </c>
      <c r="H403" s="1">
        <v>2908628</v>
      </c>
      <c r="I403" s="1">
        <v>6223730</v>
      </c>
      <c r="J403" s="1">
        <v>9132358</v>
      </c>
      <c r="K403">
        <f>VLOOKUP(F403,'LEAID Match'!$A$2:$C$2979,3,FALSE)</f>
        <v>2009140</v>
      </c>
    </row>
    <row r="404" spans="1:11" x14ac:dyDescent="0.2">
      <c r="A404">
        <v>2004670</v>
      </c>
      <c r="B404">
        <v>2016</v>
      </c>
      <c r="C404" t="s">
        <v>6</v>
      </c>
      <c r="D404" t="s">
        <v>7</v>
      </c>
      <c r="E404" t="s">
        <v>8</v>
      </c>
      <c r="F404">
        <v>4987</v>
      </c>
      <c r="G404" s="9" t="s">
        <v>74</v>
      </c>
      <c r="H404" s="1">
        <v>453816</v>
      </c>
      <c r="I404" s="1">
        <v>971050</v>
      </c>
      <c r="J404" s="1">
        <v>1424866</v>
      </c>
      <c r="K404">
        <f>VLOOKUP(F404,'LEAID Match'!$A$2:$C$2979,3,FALSE)</f>
        <v>2004670</v>
      </c>
    </row>
    <row r="405" spans="1:11" x14ac:dyDescent="0.2">
      <c r="A405">
        <v>2000015</v>
      </c>
      <c r="B405">
        <v>2016</v>
      </c>
      <c r="C405" t="s">
        <v>6</v>
      </c>
      <c r="D405" t="s">
        <v>7</v>
      </c>
      <c r="E405" t="s">
        <v>8</v>
      </c>
      <c r="F405" s="3">
        <v>4988</v>
      </c>
      <c r="G405" s="3" t="s">
        <v>75</v>
      </c>
      <c r="H405" s="22">
        <v>1670926</v>
      </c>
      <c r="I405" s="1">
        <v>3575360</v>
      </c>
      <c r="J405" s="1">
        <v>5246286</v>
      </c>
      <c r="K405">
        <f>VLOOKUP(F405,'LEAID Match'!$A$2:$C$2979,3,FALSE)</f>
        <v>2000015</v>
      </c>
    </row>
    <row r="406" spans="1:11" x14ac:dyDescent="0.2">
      <c r="A406">
        <v>2004080</v>
      </c>
      <c r="B406">
        <v>2016</v>
      </c>
      <c r="C406" t="s">
        <v>6</v>
      </c>
      <c r="D406" t="s">
        <v>7</v>
      </c>
      <c r="E406" t="s">
        <v>8</v>
      </c>
      <c r="F406" s="3">
        <v>4990</v>
      </c>
      <c r="G406" s="3" t="s">
        <v>76</v>
      </c>
      <c r="H406" s="1">
        <v>89067</v>
      </c>
      <c r="I406" s="21">
        <v>190580</v>
      </c>
      <c r="J406" s="21">
        <v>279647</v>
      </c>
      <c r="K406">
        <f>VLOOKUP(F406,'LEAID Match'!$A$2:$C$2979,3,FALSE)</f>
        <v>2004080</v>
      </c>
    </row>
    <row r="407" spans="1:11" x14ac:dyDescent="0.2">
      <c r="A407">
        <v>2003720</v>
      </c>
      <c r="B407">
        <v>2016</v>
      </c>
      <c r="C407" t="s">
        <v>6</v>
      </c>
      <c r="D407" t="s">
        <v>7</v>
      </c>
      <c r="E407" t="s">
        <v>8</v>
      </c>
      <c r="F407" s="3">
        <v>4991</v>
      </c>
      <c r="G407" s="3" t="s">
        <v>77</v>
      </c>
      <c r="H407" s="1">
        <v>721540</v>
      </c>
      <c r="I407" s="1">
        <v>1543910</v>
      </c>
      <c r="J407" s="1">
        <v>2265450</v>
      </c>
      <c r="K407">
        <f>VLOOKUP(F407,'LEAID Match'!$A$2:$C$2979,3,FALSE)</f>
        <v>2003720</v>
      </c>
    </row>
    <row r="408" spans="1:11" x14ac:dyDescent="0.2">
      <c r="A408">
        <v>2011970</v>
      </c>
      <c r="B408">
        <v>2016</v>
      </c>
      <c r="C408" t="s">
        <v>6</v>
      </c>
      <c r="D408" t="s">
        <v>7</v>
      </c>
      <c r="E408" t="s">
        <v>8</v>
      </c>
      <c r="F408">
        <v>4992</v>
      </c>
      <c r="G408" t="s">
        <v>78</v>
      </c>
      <c r="H408" s="1">
        <v>171527</v>
      </c>
      <c r="I408" s="1">
        <v>367020</v>
      </c>
      <c r="J408" s="1">
        <v>538547</v>
      </c>
      <c r="K408">
        <f>VLOOKUP(F408,'LEAID Match'!$A$2:$C$2979,3,FALSE)</f>
        <v>2011970</v>
      </c>
    </row>
    <row r="409" spans="1:11" x14ac:dyDescent="0.2">
      <c r="A409">
        <v>2006580</v>
      </c>
      <c r="B409">
        <v>2016</v>
      </c>
      <c r="C409" t="s">
        <v>6</v>
      </c>
      <c r="D409" t="s">
        <v>7</v>
      </c>
      <c r="E409" t="s">
        <v>8</v>
      </c>
      <c r="F409">
        <v>4993</v>
      </c>
      <c r="G409" t="s">
        <v>79</v>
      </c>
      <c r="H409" s="1">
        <v>585315</v>
      </c>
      <c r="I409" s="1">
        <v>1252430</v>
      </c>
      <c r="J409" s="1">
        <v>1837745</v>
      </c>
      <c r="K409">
        <f>VLOOKUP(F409,'LEAID Match'!$A$2:$C$2979,3,FALSE)</f>
        <v>2006580</v>
      </c>
    </row>
    <row r="410" spans="1:11" x14ac:dyDescent="0.2">
      <c r="A410">
        <v>2003430</v>
      </c>
      <c r="B410">
        <v>2016</v>
      </c>
      <c r="C410" t="s">
        <v>6</v>
      </c>
      <c r="D410" t="s">
        <v>7</v>
      </c>
      <c r="E410" t="s">
        <v>8</v>
      </c>
      <c r="F410">
        <v>4994</v>
      </c>
      <c r="G410" t="s">
        <v>80</v>
      </c>
      <c r="H410" s="1">
        <v>136607</v>
      </c>
      <c r="I410" s="1">
        <v>292300</v>
      </c>
      <c r="J410" s="1">
        <v>428907</v>
      </c>
      <c r="K410">
        <f>VLOOKUP(F410,'LEAID Match'!$A$2:$C$2979,3,FALSE)</f>
        <v>2003430</v>
      </c>
    </row>
    <row r="411" spans="1:11" x14ac:dyDescent="0.2">
      <c r="A411">
        <v>2007350</v>
      </c>
      <c r="B411">
        <v>2016</v>
      </c>
      <c r="C411" t="s">
        <v>6</v>
      </c>
      <c r="D411" t="s">
        <v>7</v>
      </c>
      <c r="E411" t="s">
        <v>8</v>
      </c>
      <c r="F411">
        <v>4995</v>
      </c>
      <c r="G411" t="s">
        <v>81</v>
      </c>
      <c r="H411" s="20">
        <v>569155</v>
      </c>
      <c r="I411" s="1">
        <v>1217850</v>
      </c>
      <c r="J411" s="1">
        <v>1787005</v>
      </c>
      <c r="K411">
        <f>VLOOKUP(F411,'LEAID Match'!$A$2:$C$2979,3,FALSE)</f>
        <v>2007350</v>
      </c>
    </row>
    <row r="412" spans="1:11" x14ac:dyDescent="0.2">
      <c r="A412">
        <v>2009630</v>
      </c>
      <c r="B412">
        <v>2016</v>
      </c>
      <c r="C412" t="s">
        <v>6</v>
      </c>
      <c r="D412" t="s">
        <v>7</v>
      </c>
      <c r="E412" t="s">
        <v>8</v>
      </c>
      <c r="F412">
        <v>4996</v>
      </c>
      <c r="G412" t="s">
        <v>82</v>
      </c>
      <c r="H412" s="1">
        <v>180364</v>
      </c>
      <c r="I412" s="1">
        <v>385930</v>
      </c>
      <c r="J412" s="1">
        <v>566294</v>
      </c>
      <c r="K412">
        <f>VLOOKUP(F412,'LEAID Match'!$A$2:$C$2979,3,FALSE)</f>
        <v>2009630</v>
      </c>
    </row>
    <row r="413" spans="1:11" x14ac:dyDescent="0.2">
      <c r="A413">
        <v>2009960</v>
      </c>
      <c r="B413">
        <v>2016</v>
      </c>
      <c r="C413" t="s">
        <v>6</v>
      </c>
      <c r="D413" t="s">
        <v>7</v>
      </c>
      <c r="E413" t="s">
        <v>8</v>
      </c>
      <c r="F413">
        <v>4997</v>
      </c>
      <c r="G413" s="9" t="s">
        <v>83</v>
      </c>
      <c r="H413" s="1">
        <v>2478737</v>
      </c>
      <c r="I413" s="1">
        <v>5303870</v>
      </c>
      <c r="J413" s="1">
        <v>7782607</v>
      </c>
      <c r="K413">
        <f>VLOOKUP(F413,'LEAID Match'!$A$2:$C$2979,3,FALSE)</f>
        <v>2009960</v>
      </c>
    </row>
    <row r="414" spans="1:11" x14ac:dyDescent="0.2">
      <c r="A414">
        <v>2012030</v>
      </c>
      <c r="B414">
        <v>2016</v>
      </c>
      <c r="C414" t="s">
        <v>6</v>
      </c>
      <c r="D414" t="s">
        <v>7</v>
      </c>
      <c r="E414" t="s">
        <v>8</v>
      </c>
      <c r="F414" s="3">
        <v>4998</v>
      </c>
      <c r="G414" s="3" t="s">
        <v>84</v>
      </c>
      <c r="H414" s="22">
        <v>352150</v>
      </c>
      <c r="I414" s="1">
        <v>753510</v>
      </c>
      <c r="J414" s="1">
        <v>1105660</v>
      </c>
      <c r="K414">
        <f>VLOOKUP(F414,'LEAID Match'!$A$2:$C$2979,3,FALSE)</f>
        <v>2012030</v>
      </c>
    </row>
    <row r="415" spans="1:11" x14ac:dyDescent="0.2">
      <c r="A415">
        <v>2009180</v>
      </c>
      <c r="B415">
        <v>2016</v>
      </c>
      <c r="C415" t="s">
        <v>6</v>
      </c>
      <c r="D415" t="s">
        <v>7</v>
      </c>
      <c r="E415" t="s">
        <v>8</v>
      </c>
      <c r="F415" s="3">
        <v>4999</v>
      </c>
      <c r="G415" s="3" t="s">
        <v>352</v>
      </c>
      <c r="H415" s="1">
        <v>4401566</v>
      </c>
      <c r="I415" s="21">
        <v>9418240</v>
      </c>
      <c r="J415" s="21">
        <v>13819806</v>
      </c>
      <c r="K415">
        <f>VLOOKUP(F415,'LEAID Match'!$A$2:$C$2979,3,FALSE)</f>
        <v>2009180</v>
      </c>
    </row>
    <row r="416" spans="1:11" x14ac:dyDescent="0.2">
      <c r="A416">
        <v>2003360</v>
      </c>
      <c r="B416">
        <v>2016</v>
      </c>
      <c r="C416" t="s">
        <v>6</v>
      </c>
      <c r="D416" t="s">
        <v>7</v>
      </c>
      <c r="E416" t="s">
        <v>8</v>
      </c>
      <c r="F416" s="3">
        <v>5000</v>
      </c>
      <c r="G416" s="3" t="s">
        <v>86</v>
      </c>
      <c r="H416" s="1">
        <v>2661740</v>
      </c>
      <c r="I416" s="1">
        <v>5695450</v>
      </c>
      <c r="J416" s="1">
        <v>8357190</v>
      </c>
      <c r="K416">
        <f>VLOOKUP(F416,'LEAID Match'!$A$2:$C$2979,3,FALSE)</f>
        <v>2003360</v>
      </c>
    </row>
    <row r="417" spans="1:11" x14ac:dyDescent="0.2">
      <c r="A417">
        <v>2009090</v>
      </c>
      <c r="B417">
        <v>2016</v>
      </c>
      <c r="C417" t="s">
        <v>6</v>
      </c>
      <c r="D417" t="s">
        <v>7</v>
      </c>
      <c r="E417" t="s">
        <v>8</v>
      </c>
      <c r="F417">
        <v>5001</v>
      </c>
      <c r="G417" t="s">
        <v>87</v>
      </c>
      <c r="H417" s="1">
        <v>152855</v>
      </c>
      <c r="I417" s="1">
        <v>327070</v>
      </c>
      <c r="J417" s="1">
        <v>479925</v>
      </c>
      <c r="K417">
        <f>VLOOKUP(F417,'LEAID Match'!$A$2:$C$2979,3,FALSE)</f>
        <v>2009090</v>
      </c>
    </row>
    <row r="418" spans="1:11" x14ac:dyDescent="0.2">
      <c r="A418">
        <v>2006870</v>
      </c>
      <c r="B418">
        <v>2016</v>
      </c>
      <c r="C418" t="s">
        <v>6</v>
      </c>
      <c r="D418" t="s">
        <v>7</v>
      </c>
      <c r="E418" t="s">
        <v>8</v>
      </c>
      <c r="F418">
        <v>5002</v>
      </c>
      <c r="G418" t="s">
        <v>88</v>
      </c>
      <c r="H418" s="1">
        <v>74931</v>
      </c>
      <c r="I418" s="1">
        <v>160330</v>
      </c>
      <c r="J418" s="1">
        <v>235261</v>
      </c>
      <c r="K418">
        <f>VLOOKUP(F418,'LEAID Match'!$A$2:$C$2979,3,FALSE)</f>
        <v>2006870</v>
      </c>
    </row>
    <row r="419" spans="1:11" x14ac:dyDescent="0.2">
      <c r="A419">
        <v>2011250</v>
      </c>
      <c r="B419">
        <v>2016</v>
      </c>
      <c r="C419" t="s">
        <v>6</v>
      </c>
      <c r="D419" t="s">
        <v>7</v>
      </c>
      <c r="E419" t="s">
        <v>8</v>
      </c>
      <c r="F419">
        <v>5004</v>
      </c>
      <c r="G419" t="s">
        <v>89</v>
      </c>
      <c r="H419" s="1">
        <v>851996</v>
      </c>
      <c r="I419" s="1">
        <v>1823060</v>
      </c>
      <c r="J419" s="1">
        <v>2675056</v>
      </c>
      <c r="K419">
        <f>VLOOKUP(F419,'LEAID Match'!$A$2:$C$2979,3,FALSE)</f>
        <v>2011250</v>
      </c>
    </row>
    <row r="420" spans="1:11" x14ac:dyDescent="0.2">
      <c r="A420">
        <v>2005610</v>
      </c>
      <c r="B420">
        <v>2016</v>
      </c>
      <c r="C420" t="s">
        <v>6</v>
      </c>
      <c r="D420" t="s">
        <v>7</v>
      </c>
      <c r="E420" t="s">
        <v>8</v>
      </c>
      <c r="F420">
        <v>5005</v>
      </c>
      <c r="G420" t="s">
        <v>90</v>
      </c>
      <c r="H420" s="20">
        <v>438898</v>
      </c>
      <c r="I420" s="1">
        <v>939130</v>
      </c>
      <c r="J420" s="1">
        <v>1378028</v>
      </c>
      <c r="K420">
        <f>VLOOKUP(F420,'LEAID Match'!$A$2:$C$2979,3,FALSE)</f>
        <v>2005610</v>
      </c>
    </row>
    <row r="421" spans="1:11" x14ac:dyDescent="0.2">
      <c r="A421">
        <v>2010590</v>
      </c>
      <c r="B421">
        <v>2016</v>
      </c>
      <c r="C421" t="s">
        <v>6</v>
      </c>
      <c r="D421" t="s">
        <v>7</v>
      </c>
      <c r="E421" t="s">
        <v>8</v>
      </c>
      <c r="F421">
        <v>5006</v>
      </c>
      <c r="G421" t="s">
        <v>91</v>
      </c>
      <c r="H421" s="1">
        <v>187796</v>
      </c>
      <c r="I421" s="1">
        <v>401840</v>
      </c>
      <c r="J421" s="1">
        <v>589636</v>
      </c>
      <c r="K421">
        <f>VLOOKUP(F421,'LEAID Match'!$A$2:$C$2979,3,FALSE)</f>
        <v>2010590</v>
      </c>
    </row>
    <row r="422" spans="1:11" x14ac:dyDescent="0.2">
      <c r="A422">
        <v>2009850</v>
      </c>
      <c r="B422">
        <v>2016</v>
      </c>
      <c r="C422" t="s">
        <v>6</v>
      </c>
      <c r="D422" t="s">
        <v>7</v>
      </c>
      <c r="E422" t="s">
        <v>8</v>
      </c>
      <c r="F422">
        <v>5007</v>
      </c>
      <c r="G422" s="9" t="s">
        <v>143</v>
      </c>
      <c r="H422" s="1">
        <v>115900</v>
      </c>
      <c r="I422" s="1">
        <v>248000</v>
      </c>
      <c r="J422" s="1">
        <v>363900</v>
      </c>
      <c r="K422">
        <f>VLOOKUP(F422,'LEAID Match'!$A$2:$C$2979,3,FALSE)</f>
        <v>2009850</v>
      </c>
    </row>
    <row r="423" spans="1:11" x14ac:dyDescent="0.2">
      <c r="A423">
        <v>2011130</v>
      </c>
      <c r="B423">
        <v>2016</v>
      </c>
      <c r="C423" t="s">
        <v>6</v>
      </c>
      <c r="D423" t="s">
        <v>7</v>
      </c>
      <c r="E423" t="s">
        <v>8</v>
      </c>
      <c r="F423" s="3">
        <v>5008</v>
      </c>
      <c r="G423" s="3" t="s">
        <v>92</v>
      </c>
      <c r="H423" s="22">
        <v>497109</v>
      </c>
      <c r="I423" s="1">
        <v>1063690</v>
      </c>
      <c r="J423" s="1">
        <v>1560799</v>
      </c>
      <c r="K423">
        <f>VLOOKUP(F423,'LEAID Match'!$A$2:$C$2979,3,FALSE)</f>
        <v>2011130</v>
      </c>
    </row>
    <row r="424" spans="1:11" x14ac:dyDescent="0.2">
      <c r="A424">
        <v>2003540</v>
      </c>
      <c r="B424">
        <v>2016</v>
      </c>
      <c r="C424" t="s">
        <v>6</v>
      </c>
      <c r="D424" t="s">
        <v>7</v>
      </c>
      <c r="E424" t="s">
        <v>8</v>
      </c>
      <c r="F424" s="3">
        <v>5010</v>
      </c>
      <c r="G424" s="3" t="s">
        <v>93</v>
      </c>
      <c r="H424" s="1">
        <v>1173508</v>
      </c>
      <c r="I424" s="21">
        <v>2511010</v>
      </c>
      <c r="J424" s="21">
        <v>3684518</v>
      </c>
      <c r="K424">
        <f>VLOOKUP(F424,'LEAID Match'!$A$2:$C$2979,3,FALSE)</f>
        <v>2003540</v>
      </c>
    </row>
    <row r="425" spans="1:11" x14ac:dyDescent="0.2">
      <c r="A425">
        <v>2010230</v>
      </c>
      <c r="B425">
        <v>2016</v>
      </c>
      <c r="C425" t="s">
        <v>6</v>
      </c>
      <c r="D425" t="s">
        <v>7</v>
      </c>
      <c r="E425" t="s">
        <v>8</v>
      </c>
      <c r="F425" s="3">
        <v>5011</v>
      </c>
      <c r="G425" s="3" t="s">
        <v>94</v>
      </c>
      <c r="H425" s="1">
        <v>381275</v>
      </c>
      <c r="I425" s="1">
        <v>815830</v>
      </c>
      <c r="J425" s="1">
        <v>1197105</v>
      </c>
      <c r="K425">
        <f>VLOOKUP(F425,'LEAID Match'!$A$2:$C$2979,3,FALSE)</f>
        <v>2010230</v>
      </c>
    </row>
    <row r="426" spans="1:11" x14ac:dyDescent="0.2">
      <c r="A426">
        <v>2009000</v>
      </c>
      <c r="B426">
        <v>2016</v>
      </c>
      <c r="C426" t="s">
        <v>6</v>
      </c>
      <c r="D426" t="s">
        <v>7</v>
      </c>
      <c r="E426" t="s">
        <v>8</v>
      </c>
      <c r="F426">
        <v>5012</v>
      </c>
      <c r="G426" t="s">
        <v>95</v>
      </c>
      <c r="H426" s="1">
        <v>232768</v>
      </c>
      <c r="I426" s="1">
        <v>498060</v>
      </c>
      <c r="J426" s="1">
        <v>730828</v>
      </c>
      <c r="K426">
        <f>VLOOKUP(F426,'LEAID Match'!$A$2:$C$2979,3,FALSE)</f>
        <v>2009000</v>
      </c>
    </row>
    <row r="427" spans="1:11" x14ac:dyDescent="0.2">
      <c r="A427">
        <v>2005580</v>
      </c>
      <c r="B427">
        <v>2016</v>
      </c>
      <c r="C427" t="s">
        <v>6</v>
      </c>
      <c r="D427" t="s">
        <v>7</v>
      </c>
      <c r="E427" t="s">
        <v>8</v>
      </c>
      <c r="F427">
        <v>5013</v>
      </c>
      <c r="G427" t="s">
        <v>96</v>
      </c>
      <c r="H427" s="1">
        <v>4785134</v>
      </c>
      <c r="I427" s="1">
        <v>10238980</v>
      </c>
      <c r="J427" s="1">
        <v>15024114</v>
      </c>
      <c r="K427">
        <f>VLOOKUP(F427,'LEAID Match'!$A$2:$C$2979,3,FALSE)</f>
        <v>2005580</v>
      </c>
    </row>
    <row r="428" spans="1:11" x14ac:dyDescent="0.2">
      <c r="A428">
        <v>2007650</v>
      </c>
      <c r="B428">
        <v>2016</v>
      </c>
      <c r="C428" t="s">
        <v>6</v>
      </c>
      <c r="D428" t="s">
        <v>7</v>
      </c>
      <c r="E428" t="s">
        <v>8</v>
      </c>
      <c r="F428">
        <v>5014</v>
      </c>
      <c r="G428" t="s">
        <v>97</v>
      </c>
      <c r="H428" s="1">
        <v>1132261</v>
      </c>
      <c r="I428" s="1">
        <v>2422750</v>
      </c>
      <c r="J428" s="1">
        <v>3555011</v>
      </c>
      <c r="K428">
        <f>VLOOKUP(F428,'LEAID Match'!$A$2:$C$2979,3,FALSE)</f>
        <v>2007650</v>
      </c>
    </row>
    <row r="429" spans="1:11" x14ac:dyDescent="0.2">
      <c r="A429">
        <v>2007710</v>
      </c>
      <c r="B429">
        <v>2016</v>
      </c>
      <c r="C429" t="s">
        <v>6</v>
      </c>
      <c r="D429" t="s">
        <v>7</v>
      </c>
      <c r="E429" t="s">
        <v>8</v>
      </c>
      <c r="F429">
        <v>5015</v>
      </c>
      <c r="G429" t="s">
        <v>98</v>
      </c>
      <c r="H429" s="20">
        <v>264405</v>
      </c>
      <c r="I429" s="1">
        <v>565760</v>
      </c>
      <c r="J429" s="1">
        <v>830165</v>
      </c>
      <c r="K429">
        <f>VLOOKUP(F429,'LEAID Match'!$A$2:$C$2979,3,FALSE)</f>
        <v>2007710</v>
      </c>
    </row>
    <row r="430" spans="1:11" x14ac:dyDescent="0.2">
      <c r="A430">
        <v>2005640</v>
      </c>
      <c r="B430">
        <v>2016</v>
      </c>
      <c r="C430" t="s">
        <v>6</v>
      </c>
      <c r="D430" t="s">
        <v>7</v>
      </c>
      <c r="E430" t="s">
        <v>8</v>
      </c>
      <c r="F430">
        <v>5016</v>
      </c>
      <c r="G430" t="s">
        <v>99</v>
      </c>
      <c r="H430" s="1">
        <v>407650</v>
      </c>
      <c r="I430" s="1">
        <v>872270</v>
      </c>
      <c r="J430" s="1">
        <v>1279920</v>
      </c>
      <c r="K430">
        <f>VLOOKUP(F430,'LEAID Match'!$A$2:$C$2979,3,FALSE)</f>
        <v>2005640</v>
      </c>
    </row>
    <row r="431" spans="1:11" x14ac:dyDescent="0.2">
      <c r="A431">
        <v>2008430</v>
      </c>
      <c r="B431">
        <v>2016</v>
      </c>
      <c r="C431" t="s">
        <v>6</v>
      </c>
      <c r="D431" t="s">
        <v>7</v>
      </c>
      <c r="E431" t="s">
        <v>8</v>
      </c>
      <c r="F431">
        <v>5017</v>
      </c>
      <c r="G431" s="9" t="s">
        <v>100</v>
      </c>
      <c r="H431" s="1">
        <v>2556996</v>
      </c>
      <c r="I431" s="1">
        <v>5471330</v>
      </c>
      <c r="J431" s="1">
        <v>8028326</v>
      </c>
      <c r="K431">
        <f>VLOOKUP(F431,'LEAID Match'!$A$2:$C$2979,3,FALSE)</f>
        <v>2008430</v>
      </c>
    </row>
    <row r="432" spans="1:11" x14ac:dyDescent="0.2">
      <c r="A432">
        <v>2009480</v>
      </c>
      <c r="B432">
        <v>2016</v>
      </c>
      <c r="C432" t="s">
        <v>6</v>
      </c>
      <c r="D432" t="s">
        <v>7</v>
      </c>
      <c r="E432" t="s">
        <v>8</v>
      </c>
      <c r="F432" s="3">
        <v>5018</v>
      </c>
      <c r="G432" s="3" t="s">
        <v>101</v>
      </c>
      <c r="H432" s="22">
        <v>194268</v>
      </c>
      <c r="I432" s="1">
        <v>415680</v>
      </c>
      <c r="J432" s="1">
        <v>609948</v>
      </c>
      <c r="K432">
        <f>VLOOKUP(F432,'LEAID Match'!$A$2:$C$2979,3,FALSE)</f>
        <v>2009480</v>
      </c>
    </row>
    <row r="433" spans="1:11" x14ac:dyDescent="0.2">
      <c r="A433">
        <v>2003450</v>
      </c>
      <c r="B433">
        <v>2016</v>
      </c>
      <c r="C433" t="s">
        <v>6</v>
      </c>
      <c r="D433" t="s">
        <v>7</v>
      </c>
      <c r="E433" t="s">
        <v>8</v>
      </c>
      <c r="F433" s="3">
        <v>5019</v>
      </c>
      <c r="G433" s="3" t="s">
        <v>102</v>
      </c>
      <c r="H433" s="1">
        <v>1733778</v>
      </c>
      <c r="I433" s="21">
        <v>3709850</v>
      </c>
      <c r="J433" s="21">
        <v>5443628</v>
      </c>
      <c r="K433">
        <f>VLOOKUP(F433,'LEAID Match'!$A$2:$C$2979,3,FALSE)</f>
        <v>2003450</v>
      </c>
    </row>
    <row r="434" spans="1:11" x14ac:dyDescent="0.2">
      <c r="A434">
        <v>2007890</v>
      </c>
      <c r="B434">
        <v>2016</v>
      </c>
      <c r="C434" t="s">
        <v>6</v>
      </c>
      <c r="D434" t="s">
        <v>7</v>
      </c>
      <c r="E434" t="s">
        <v>8</v>
      </c>
      <c r="F434" s="3">
        <v>5020</v>
      </c>
      <c r="G434" s="3" t="s">
        <v>103</v>
      </c>
      <c r="H434" s="1">
        <v>5666089</v>
      </c>
      <c r="I434" s="1">
        <v>12124000</v>
      </c>
      <c r="J434" s="1">
        <v>17790089</v>
      </c>
      <c r="K434">
        <f>VLOOKUP(F434,'LEAID Match'!$A$2:$C$2979,3,FALSE)</f>
        <v>2007890</v>
      </c>
    </row>
    <row r="435" spans="1:11" x14ac:dyDescent="0.2">
      <c r="A435">
        <v>2007680</v>
      </c>
      <c r="B435">
        <v>2016</v>
      </c>
      <c r="C435" t="s">
        <v>6</v>
      </c>
      <c r="D435" t="s">
        <v>7</v>
      </c>
      <c r="E435" t="s">
        <v>8</v>
      </c>
      <c r="F435">
        <v>5021</v>
      </c>
      <c r="G435" t="s">
        <v>104</v>
      </c>
      <c r="H435" s="1">
        <v>204756</v>
      </c>
      <c r="I435" s="1">
        <v>438130</v>
      </c>
      <c r="J435" s="1">
        <v>642886</v>
      </c>
      <c r="K435">
        <f>VLOOKUP(F435,'LEAID Match'!$A$2:$C$2979,3,FALSE)</f>
        <v>2007680</v>
      </c>
    </row>
    <row r="436" spans="1:11" x14ac:dyDescent="0.2">
      <c r="A436">
        <v>2008730</v>
      </c>
      <c r="B436">
        <v>2016</v>
      </c>
      <c r="C436" t="s">
        <v>6</v>
      </c>
      <c r="D436" t="s">
        <v>7</v>
      </c>
      <c r="E436" t="s">
        <v>8</v>
      </c>
      <c r="F436">
        <v>5022</v>
      </c>
      <c r="G436" t="s">
        <v>105</v>
      </c>
      <c r="H436" s="1">
        <v>3191528</v>
      </c>
      <c r="I436" s="1">
        <v>6829070</v>
      </c>
      <c r="J436" s="1">
        <v>10020598</v>
      </c>
      <c r="K436">
        <f>VLOOKUP(F436,'LEAID Match'!$A$2:$C$2979,3,FALSE)</f>
        <v>2008730</v>
      </c>
    </row>
    <row r="437" spans="1:11" x14ac:dyDescent="0.2">
      <c r="A437">
        <v>2008280</v>
      </c>
      <c r="B437">
        <v>2016</v>
      </c>
      <c r="C437" t="s">
        <v>6</v>
      </c>
      <c r="D437" t="s">
        <v>7</v>
      </c>
      <c r="E437" t="s">
        <v>8</v>
      </c>
      <c r="F437">
        <v>5024</v>
      </c>
      <c r="G437" t="s">
        <v>106</v>
      </c>
      <c r="H437" s="1">
        <v>442856</v>
      </c>
      <c r="I437" s="1">
        <v>947600</v>
      </c>
      <c r="J437" s="1">
        <v>1390456</v>
      </c>
      <c r="K437">
        <f>VLOOKUP(F437,'LEAID Match'!$A$2:$C$2979,3,FALSE)</f>
        <v>2008280</v>
      </c>
    </row>
    <row r="438" spans="1:11" x14ac:dyDescent="0.2">
      <c r="A438">
        <v>2006180</v>
      </c>
      <c r="B438">
        <v>2016</v>
      </c>
      <c r="C438" t="s">
        <v>6</v>
      </c>
      <c r="D438" t="s">
        <v>7</v>
      </c>
      <c r="E438" t="s">
        <v>8</v>
      </c>
      <c r="F438">
        <v>5025</v>
      </c>
      <c r="G438" t="s">
        <v>107</v>
      </c>
      <c r="H438" s="20">
        <v>1279687</v>
      </c>
      <c r="I438" s="1">
        <v>2738210</v>
      </c>
      <c r="J438" s="1">
        <v>4017897</v>
      </c>
      <c r="K438">
        <f>VLOOKUP(F438,'LEAID Match'!$A$2:$C$2979,3,FALSE)</f>
        <v>2006180</v>
      </c>
    </row>
    <row r="439" spans="1:11" x14ac:dyDescent="0.2">
      <c r="A439">
        <v>2003210</v>
      </c>
      <c r="B439">
        <v>2016</v>
      </c>
      <c r="C439" t="s">
        <v>6</v>
      </c>
      <c r="D439" t="s">
        <v>7</v>
      </c>
      <c r="E439" t="s">
        <v>8</v>
      </c>
      <c r="F439">
        <v>5026</v>
      </c>
      <c r="G439" t="s">
        <v>108</v>
      </c>
      <c r="H439" s="1">
        <v>320419</v>
      </c>
      <c r="I439" s="1">
        <v>685620</v>
      </c>
      <c r="J439" s="1">
        <v>1006039</v>
      </c>
      <c r="K439">
        <f>VLOOKUP(F439,'LEAID Match'!$A$2:$C$2979,3,FALSE)</f>
        <v>2003210</v>
      </c>
    </row>
    <row r="440" spans="1:11" x14ac:dyDescent="0.2">
      <c r="A440">
        <v>2007050</v>
      </c>
      <c r="B440">
        <v>2016</v>
      </c>
      <c r="C440" t="s">
        <v>6</v>
      </c>
      <c r="D440" t="s">
        <v>7</v>
      </c>
      <c r="E440" t="s">
        <v>8</v>
      </c>
      <c r="F440">
        <v>5027</v>
      </c>
      <c r="G440" s="9" t="s">
        <v>109</v>
      </c>
      <c r="H440" s="1">
        <v>3493148</v>
      </c>
      <c r="I440" s="1">
        <v>7474460</v>
      </c>
      <c r="J440" s="1">
        <v>10967608</v>
      </c>
      <c r="K440">
        <f>VLOOKUP(F440,'LEAID Match'!$A$2:$C$2979,3,FALSE)</f>
        <v>2007050</v>
      </c>
    </row>
    <row r="441" spans="1:11" x14ac:dyDescent="0.2">
      <c r="A441">
        <v>2011080</v>
      </c>
      <c r="B441">
        <v>2016</v>
      </c>
      <c r="C441" t="s">
        <v>6</v>
      </c>
      <c r="D441" t="s">
        <v>7</v>
      </c>
      <c r="E441" t="s">
        <v>8</v>
      </c>
      <c r="F441" s="3">
        <v>5028</v>
      </c>
      <c r="G441" s="3" t="s">
        <v>110</v>
      </c>
      <c r="H441" s="22">
        <v>902353</v>
      </c>
      <c r="I441" s="1">
        <v>1930810</v>
      </c>
      <c r="J441" s="1">
        <v>2833163</v>
      </c>
      <c r="K441">
        <f>VLOOKUP(F441,'LEAID Match'!$A$2:$C$2979,3,FALSE)</f>
        <v>2011080</v>
      </c>
    </row>
    <row r="442" spans="1:11" x14ac:dyDescent="0.2">
      <c r="A442">
        <v>2000014</v>
      </c>
      <c r="B442">
        <v>2016</v>
      </c>
      <c r="C442" t="s">
        <v>6</v>
      </c>
      <c r="D442" t="s">
        <v>7</v>
      </c>
      <c r="E442" t="s">
        <v>8</v>
      </c>
      <c r="F442" s="3">
        <v>5029</v>
      </c>
      <c r="G442" s="3" t="s">
        <v>111</v>
      </c>
      <c r="H442" s="1">
        <v>372965</v>
      </c>
      <c r="I442" s="21">
        <v>798050</v>
      </c>
      <c r="J442" s="21">
        <v>1171015</v>
      </c>
      <c r="K442">
        <f>VLOOKUP(F442,'LEAID Match'!$A$2:$C$2979,3,FALSE)</f>
        <v>2000014</v>
      </c>
    </row>
    <row r="443" spans="1:11" x14ac:dyDescent="0.2">
      <c r="A443">
        <v>2011370</v>
      </c>
      <c r="B443">
        <v>2016</v>
      </c>
      <c r="C443" t="s">
        <v>6</v>
      </c>
      <c r="D443" t="s">
        <v>7</v>
      </c>
      <c r="E443" t="s">
        <v>8</v>
      </c>
      <c r="F443" s="3">
        <v>5031</v>
      </c>
      <c r="G443" s="3" t="s">
        <v>112</v>
      </c>
      <c r="H443" s="1">
        <v>6373406</v>
      </c>
      <c r="I443" s="1">
        <v>13637480</v>
      </c>
      <c r="J443" s="1">
        <v>20010886</v>
      </c>
      <c r="K443">
        <f>VLOOKUP(F443,'LEAID Match'!$A$2:$C$2979,3,FALSE)</f>
        <v>2011370</v>
      </c>
    </row>
    <row r="444" spans="1:11" x14ac:dyDescent="0.2">
      <c r="A444">
        <v>2003390</v>
      </c>
      <c r="B444">
        <v>2016</v>
      </c>
      <c r="C444" t="s">
        <v>6</v>
      </c>
      <c r="D444" t="s">
        <v>7</v>
      </c>
      <c r="E444" t="s">
        <v>8</v>
      </c>
      <c r="F444">
        <v>5032</v>
      </c>
      <c r="G444" t="s">
        <v>359</v>
      </c>
      <c r="H444" s="1">
        <v>582931</v>
      </c>
      <c r="I444" s="1">
        <v>1247330</v>
      </c>
      <c r="J444" s="1">
        <v>1830261</v>
      </c>
      <c r="K444">
        <f>VLOOKUP(F444,'LEAID Match'!$A$2:$C$2979,3,FALSE)</f>
        <v>2003390</v>
      </c>
    </row>
    <row r="445" spans="1:11" x14ac:dyDescent="0.2">
      <c r="A445">
        <v>2011100</v>
      </c>
      <c r="B445">
        <v>2016</v>
      </c>
      <c r="C445" t="s">
        <v>6</v>
      </c>
      <c r="D445" t="s">
        <v>7</v>
      </c>
      <c r="E445" t="s">
        <v>8</v>
      </c>
      <c r="F445">
        <v>5033</v>
      </c>
      <c r="G445" t="s">
        <v>114</v>
      </c>
      <c r="H445" s="1">
        <v>392132</v>
      </c>
      <c r="I445" s="1">
        <v>839060</v>
      </c>
      <c r="J445" s="1">
        <v>1231192</v>
      </c>
      <c r="K445">
        <f>VLOOKUP(F445,'LEAID Match'!$A$2:$C$2979,3,FALSE)</f>
        <v>2011100</v>
      </c>
    </row>
    <row r="446" spans="1:11" x14ac:dyDescent="0.2">
      <c r="A446">
        <v>2004020</v>
      </c>
      <c r="B446">
        <v>2016</v>
      </c>
      <c r="C446" t="s">
        <v>6</v>
      </c>
      <c r="D446" t="s">
        <v>7</v>
      </c>
      <c r="E446" t="s">
        <v>8</v>
      </c>
      <c r="F446">
        <v>5034</v>
      </c>
      <c r="G446" t="s">
        <v>115</v>
      </c>
      <c r="H446" s="1">
        <v>174052</v>
      </c>
      <c r="I446" s="1">
        <v>372430</v>
      </c>
      <c r="J446" s="1">
        <v>546482</v>
      </c>
      <c r="K446">
        <f>VLOOKUP(F446,'LEAID Match'!$A$2:$C$2979,3,FALSE)</f>
        <v>2004020</v>
      </c>
    </row>
    <row r="447" spans="1:11" x14ac:dyDescent="0.2">
      <c r="A447">
        <v>2004590</v>
      </c>
      <c r="B447">
        <v>2016</v>
      </c>
      <c r="C447" t="s">
        <v>6</v>
      </c>
      <c r="D447" t="s">
        <v>7</v>
      </c>
      <c r="E447" t="s">
        <v>8</v>
      </c>
      <c r="F447">
        <v>5035</v>
      </c>
      <c r="G447" t="s">
        <v>116</v>
      </c>
      <c r="H447" s="20">
        <v>1016037</v>
      </c>
      <c r="I447" s="1">
        <v>2174060</v>
      </c>
      <c r="J447" s="1">
        <v>3190097</v>
      </c>
      <c r="K447">
        <f>VLOOKUP(F447,'LEAID Match'!$A$2:$C$2979,3,FALSE)</f>
        <v>2004590</v>
      </c>
    </row>
    <row r="448" spans="1:11" x14ac:dyDescent="0.2">
      <c r="A448">
        <v>2000006</v>
      </c>
      <c r="B448">
        <v>2016</v>
      </c>
      <c r="C448" t="s">
        <v>6</v>
      </c>
      <c r="D448" t="s">
        <v>7</v>
      </c>
      <c r="E448" t="s">
        <v>8</v>
      </c>
      <c r="F448">
        <v>5036</v>
      </c>
      <c r="G448" t="s">
        <v>117</v>
      </c>
      <c r="H448" s="1">
        <v>525844</v>
      </c>
      <c r="I448" s="1">
        <v>1125170</v>
      </c>
      <c r="J448" s="1">
        <v>1651014</v>
      </c>
      <c r="K448">
        <f>VLOOKUP(F448,'LEAID Match'!$A$2:$C$2979,3,FALSE)</f>
        <v>2000006</v>
      </c>
    </row>
    <row r="449" spans="1:11" x14ac:dyDescent="0.2">
      <c r="A449">
        <v>2009390</v>
      </c>
      <c r="B449">
        <v>2016</v>
      </c>
      <c r="C449" t="s">
        <v>6</v>
      </c>
      <c r="D449" t="s">
        <v>7</v>
      </c>
      <c r="E449" t="s">
        <v>8</v>
      </c>
      <c r="F449">
        <v>5037</v>
      </c>
      <c r="G449" s="9" t="s">
        <v>118</v>
      </c>
      <c r="H449" s="1">
        <v>1999870</v>
      </c>
      <c r="I449" s="1">
        <v>4279220</v>
      </c>
      <c r="J449" s="1">
        <v>6279090</v>
      </c>
      <c r="K449">
        <f>VLOOKUP(F449,'LEAID Match'!$A$2:$C$2979,3,FALSE)</f>
        <v>2009390</v>
      </c>
    </row>
    <row r="450" spans="1:11" x14ac:dyDescent="0.2">
      <c r="A450">
        <v>2006720</v>
      </c>
      <c r="B450">
        <v>2016</v>
      </c>
      <c r="C450" t="s">
        <v>6</v>
      </c>
      <c r="D450" t="s">
        <v>7</v>
      </c>
      <c r="E450" t="s">
        <v>8</v>
      </c>
      <c r="F450" s="3">
        <v>5038</v>
      </c>
      <c r="G450" s="3" t="s">
        <v>119</v>
      </c>
      <c r="H450" s="22">
        <v>244055</v>
      </c>
      <c r="I450" s="1">
        <v>522220</v>
      </c>
      <c r="J450" s="1">
        <v>766275</v>
      </c>
      <c r="K450">
        <f>VLOOKUP(F450,'LEAID Match'!$A$2:$C$2979,3,FALSE)</f>
        <v>2006720</v>
      </c>
    </row>
    <row r="451" spans="1:11" x14ac:dyDescent="0.2">
      <c r="A451">
        <v>2011550</v>
      </c>
      <c r="B451">
        <v>2016</v>
      </c>
      <c r="C451" t="s">
        <v>6</v>
      </c>
      <c r="D451" t="s">
        <v>7</v>
      </c>
      <c r="E451" t="s">
        <v>8</v>
      </c>
      <c r="F451" s="3">
        <v>5039</v>
      </c>
      <c r="G451" s="3" t="s">
        <v>120</v>
      </c>
      <c r="H451" s="1">
        <v>266134</v>
      </c>
      <c r="I451" s="21">
        <v>569460</v>
      </c>
      <c r="J451" s="21">
        <v>835594</v>
      </c>
      <c r="K451">
        <f>VLOOKUP(F451,'LEAID Match'!$A$2:$C$2979,3,FALSE)</f>
        <v>2011550</v>
      </c>
    </row>
    <row r="452" spans="1:11" x14ac:dyDescent="0.2">
      <c r="A452">
        <v>2004980</v>
      </c>
      <c r="B452">
        <v>2016</v>
      </c>
      <c r="C452" t="s">
        <v>6</v>
      </c>
      <c r="D452" t="s">
        <v>7</v>
      </c>
      <c r="E452" t="s">
        <v>8</v>
      </c>
      <c r="F452" s="3">
        <v>5040</v>
      </c>
      <c r="G452" s="3" t="s">
        <v>121</v>
      </c>
      <c r="H452" s="1">
        <v>954856</v>
      </c>
      <c r="I452" s="1">
        <v>2043150</v>
      </c>
      <c r="J452" s="1">
        <v>2998006</v>
      </c>
      <c r="K452">
        <f>VLOOKUP(F452,'LEAID Match'!$A$2:$C$2979,3,FALSE)</f>
        <v>2004980</v>
      </c>
    </row>
    <row r="453" spans="1:11" x14ac:dyDescent="0.2">
      <c r="A453">
        <v>2006390</v>
      </c>
      <c r="B453">
        <v>2016</v>
      </c>
      <c r="C453" t="s">
        <v>6</v>
      </c>
      <c r="D453" t="s">
        <v>7</v>
      </c>
      <c r="E453" t="s">
        <v>8</v>
      </c>
      <c r="F453">
        <v>5041</v>
      </c>
      <c r="G453" t="s">
        <v>122</v>
      </c>
      <c r="H453" s="1">
        <v>5052945</v>
      </c>
      <c r="I453" s="1">
        <v>10812030</v>
      </c>
      <c r="J453" s="1">
        <v>15864975</v>
      </c>
      <c r="K453">
        <f>VLOOKUP(F453,'LEAID Match'!$A$2:$C$2979,3,FALSE)</f>
        <v>2006390</v>
      </c>
    </row>
    <row r="454" spans="1:11" x14ac:dyDescent="0.2">
      <c r="A454">
        <v>2003780</v>
      </c>
      <c r="B454">
        <v>2016</v>
      </c>
      <c r="C454" t="s">
        <v>6</v>
      </c>
      <c r="D454" t="s">
        <v>7</v>
      </c>
      <c r="E454" t="s">
        <v>8</v>
      </c>
      <c r="F454">
        <v>5042</v>
      </c>
      <c r="G454" t="s">
        <v>123</v>
      </c>
      <c r="H454" s="1">
        <v>1390985</v>
      </c>
      <c r="I454" s="1">
        <v>2976360</v>
      </c>
      <c r="J454" s="1">
        <v>4367345</v>
      </c>
      <c r="K454">
        <f>VLOOKUP(F454,'LEAID Match'!$A$2:$C$2979,3,FALSE)</f>
        <v>2003780</v>
      </c>
    </row>
    <row r="455" spans="1:11" x14ac:dyDescent="0.2">
      <c r="A455">
        <v>2013050</v>
      </c>
      <c r="B455">
        <v>2016</v>
      </c>
      <c r="C455" t="s">
        <v>6</v>
      </c>
      <c r="D455" t="s">
        <v>7</v>
      </c>
      <c r="E455" t="s">
        <v>8</v>
      </c>
      <c r="F455">
        <v>5043</v>
      </c>
      <c r="G455" t="s">
        <v>124</v>
      </c>
      <c r="H455" s="1">
        <v>2003914</v>
      </c>
      <c r="I455" s="1">
        <v>4287870</v>
      </c>
      <c r="J455" s="1">
        <v>6291784</v>
      </c>
      <c r="K455">
        <f>VLOOKUP(F455,'LEAID Match'!$A$2:$C$2979,3,FALSE)</f>
        <v>2013050</v>
      </c>
    </row>
    <row r="456" spans="1:11" x14ac:dyDescent="0.2">
      <c r="A456">
        <v>2000012</v>
      </c>
      <c r="B456">
        <v>2016</v>
      </c>
      <c r="C456" t="s">
        <v>6</v>
      </c>
      <c r="D456" t="s">
        <v>7</v>
      </c>
      <c r="E456" t="s">
        <v>8</v>
      </c>
      <c r="F456">
        <v>5056</v>
      </c>
      <c r="G456" t="s">
        <v>125</v>
      </c>
      <c r="H456" s="20">
        <v>254480</v>
      </c>
      <c r="I456" s="1">
        <v>544520</v>
      </c>
      <c r="J456" s="1">
        <v>799000</v>
      </c>
      <c r="K456">
        <f>VLOOKUP(F456,'LEAID Match'!$A$2:$C$2979,3,FALSE)</f>
        <v>2000012</v>
      </c>
    </row>
    <row r="457" spans="1:11" x14ac:dyDescent="0.2">
      <c r="A457">
        <v>2007590</v>
      </c>
      <c r="B457">
        <v>2016</v>
      </c>
      <c r="C457" t="s">
        <v>6</v>
      </c>
      <c r="D457" t="s">
        <v>7</v>
      </c>
      <c r="E457" t="s">
        <v>8</v>
      </c>
      <c r="F457">
        <v>5057</v>
      </c>
      <c r="G457" t="s">
        <v>126</v>
      </c>
      <c r="H457" s="1">
        <v>393745</v>
      </c>
      <c r="I457" s="1">
        <v>842520</v>
      </c>
      <c r="J457" s="1">
        <v>1236265</v>
      </c>
      <c r="K457">
        <f>VLOOKUP(F457,'LEAID Match'!$A$2:$C$2979,3,FALSE)</f>
        <v>2007590</v>
      </c>
    </row>
    <row r="458" spans="1:11" x14ac:dyDescent="0.2">
      <c r="A458">
        <v>2003870</v>
      </c>
      <c r="B458">
        <v>2016</v>
      </c>
      <c r="C458" t="s">
        <v>6</v>
      </c>
      <c r="D458" t="s">
        <v>7</v>
      </c>
      <c r="E458" t="s">
        <v>8</v>
      </c>
      <c r="F458">
        <v>5058</v>
      </c>
      <c r="G458" s="9" t="s">
        <v>127</v>
      </c>
      <c r="H458" s="1">
        <v>877512</v>
      </c>
      <c r="I458" s="1">
        <v>1877650</v>
      </c>
      <c r="J458" s="1">
        <v>2755162</v>
      </c>
      <c r="K458">
        <f>VLOOKUP(F458,'LEAID Match'!$A$2:$C$2979,3,FALSE)</f>
        <v>2003870</v>
      </c>
    </row>
    <row r="459" spans="1:11" x14ac:dyDescent="0.2">
      <c r="A459">
        <v>2005250</v>
      </c>
      <c r="B459">
        <v>2016</v>
      </c>
      <c r="C459" t="s">
        <v>6</v>
      </c>
      <c r="D459" t="s">
        <v>7</v>
      </c>
      <c r="E459" t="s">
        <v>8</v>
      </c>
      <c r="F459" s="3">
        <v>5059</v>
      </c>
      <c r="G459" s="3" t="s">
        <v>128</v>
      </c>
      <c r="H459" s="22">
        <v>253520</v>
      </c>
      <c r="I459" s="1">
        <v>542470</v>
      </c>
      <c r="J459" s="1">
        <v>795990</v>
      </c>
      <c r="K459">
        <f>VLOOKUP(F459,'LEAID Match'!$A$2:$C$2979,3,FALSE)</f>
        <v>2005250</v>
      </c>
    </row>
    <row r="460" spans="1:11" x14ac:dyDescent="0.2">
      <c r="A460">
        <v>2004500</v>
      </c>
      <c r="B460">
        <v>2016</v>
      </c>
      <c r="C460" t="s">
        <v>6</v>
      </c>
      <c r="D460" t="s">
        <v>7</v>
      </c>
      <c r="E460" t="s">
        <v>8</v>
      </c>
      <c r="F460" s="3">
        <v>5060</v>
      </c>
      <c r="G460" s="3" t="s">
        <v>129</v>
      </c>
      <c r="H460" s="1">
        <v>103533</v>
      </c>
      <c r="I460" s="21">
        <v>221530</v>
      </c>
      <c r="J460" s="21">
        <v>325063</v>
      </c>
      <c r="K460">
        <f>VLOOKUP(F460,'LEAID Match'!$A$2:$C$2979,3,FALSE)</f>
        <v>2004500</v>
      </c>
    </row>
    <row r="461" spans="1:11" x14ac:dyDescent="0.2">
      <c r="A461">
        <v>2011520</v>
      </c>
      <c r="B461">
        <v>2016</v>
      </c>
      <c r="C461" t="s">
        <v>6</v>
      </c>
      <c r="D461" t="s">
        <v>7</v>
      </c>
      <c r="E461" t="s">
        <v>8</v>
      </c>
      <c r="F461" s="3">
        <v>5061</v>
      </c>
      <c r="G461" s="3" t="s">
        <v>130</v>
      </c>
      <c r="H461" s="1">
        <v>238603</v>
      </c>
      <c r="I461" s="1">
        <v>510550</v>
      </c>
      <c r="J461" s="1">
        <v>749153</v>
      </c>
      <c r="K461">
        <f>VLOOKUP(F461,'LEAID Match'!$A$2:$C$2979,3,FALSE)</f>
        <v>2011520</v>
      </c>
    </row>
    <row r="462" spans="1:11" x14ac:dyDescent="0.2">
      <c r="A462">
        <v>2010800</v>
      </c>
      <c r="B462">
        <v>2016</v>
      </c>
      <c r="C462" t="s">
        <v>6</v>
      </c>
      <c r="D462" t="s">
        <v>7</v>
      </c>
      <c r="E462" t="s">
        <v>8</v>
      </c>
      <c r="F462">
        <v>5062</v>
      </c>
      <c r="G462" t="s">
        <v>131</v>
      </c>
      <c r="H462" s="1">
        <v>369752</v>
      </c>
      <c r="I462" s="1">
        <v>791180</v>
      </c>
      <c r="J462" s="1">
        <v>1160932</v>
      </c>
      <c r="K462">
        <f>VLOOKUP(F462,'LEAID Match'!$A$2:$C$2979,3,FALSE)</f>
        <v>2010800</v>
      </c>
    </row>
    <row r="463" spans="1:11" x14ac:dyDescent="0.2">
      <c r="A463">
        <v>2005870</v>
      </c>
      <c r="B463">
        <v>2016</v>
      </c>
      <c r="C463" t="s">
        <v>6</v>
      </c>
      <c r="D463" t="s">
        <v>7</v>
      </c>
      <c r="E463" t="s">
        <v>8</v>
      </c>
      <c r="F463">
        <v>5063</v>
      </c>
      <c r="G463" t="s">
        <v>132</v>
      </c>
      <c r="H463" s="1">
        <v>360311</v>
      </c>
      <c r="I463" s="1">
        <v>770970</v>
      </c>
      <c r="J463" s="1">
        <v>1131281</v>
      </c>
      <c r="K463">
        <f>VLOOKUP(F463,'LEAID Match'!$A$2:$C$2979,3,FALSE)</f>
        <v>2005870</v>
      </c>
    </row>
    <row r="464" spans="1:11" x14ac:dyDescent="0.2">
      <c r="A464">
        <v>2012540</v>
      </c>
      <c r="B464">
        <v>2016</v>
      </c>
      <c r="C464" t="s">
        <v>6</v>
      </c>
      <c r="D464" t="s">
        <v>7</v>
      </c>
      <c r="E464" t="s">
        <v>8</v>
      </c>
      <c r="F464">
        <v>5064</v>
      </c>
      <c r="G464" t="s">
        <v>133</v>
      </c>
      <c r="H464" s="1">
        <v>244408</v>
      </c>
      <c r="I464" s="1">
        <v>522970</v>
      </c>
      <c r="J464" s="1">
        <v>767378</v>
      </c>
      <c r="K464">
        <f>VLOOKUP(F464,'LEAID Match'!$A$2:$C$2979,3,FALSE)</f>
        <v>2012540</v>
      </c>
    </row>
    <row r="465" spans="1:11" x14ac:dyDescent="0.2">
      <c r="A465">
        <v>2009360</v>
      </c>
      <c r="B465">
        <v>2016</v>
      </c>
      <c r="C465" t="s">
        <v>6</v>
      </c>
      <c r="D465" t="s">
        <v>7</v>
      </c>
      <c r="E465" t="s">
        <v>8</v>
      </c>
      <c r="F465">
        <v>5065</v>
      </c>
      <c r="G465" t="s">
        <v>134</v>
      </c>
      <c r="H465" s="20">
        <v>275487</v>
      </c>
      <c r="I465" s="1">
        <v>589470</v>
      </c>
      <c r="J465" s="1">
        <v>864957</v>
      </c>
      <c r="K465">
        <f>VLOOKUP(F465,'LEAID Match'!$A$2:$C$2979,3,FALSE)</f>
        <v>2009360</v>
      </c>
    </row>
    <row r="466" spans="1:11" x14ac:dyDescent="0.2">
      <c r="A466">
        <v>2004560</v>
      </c>
      <c r="B466">
        <v>2016</v>
      </c>
      <c r="C466" t="s">
        <v>6</v>
      </c>
      <c r="D466" t="s">
        <v>7</v>
      </c>
      <c r="E466" t="s">
        <v>8</v>
      </c>
      <c r="F466">
        <v>5066</v>
      </c>
      <c r="G466" t="s">
        <v>135</v>
      </c>
      <c r="H466" s="1">
        <v>338264</v>
      </c>
      <c r="I466" s="1">
        <v>723800</v>
      </c>
      <c r="J466" s="1">
        <v>1062064</v>
      </c>
      <c r="K466">
        <f>VLOOKUP(F466,'LEAID Match'!$A$2:$C$2979,3,FALSE)</f>
        <v>2004560</v>
      </c>
    </row>
    <row r="467" spans="1:11" x14ac:dyDescent="0.2">
      <c r="A467">
        <v>2006120</v>
      </c>
      <c r="B467">
        <v>2016</v>
      </c>
      <c r="C467" t="s">
        <v>6</v>
      </c>
      <c r="D467" t="s">
        <v>7</v>
      </c>
      <c r="E467" t="s">
        <v>8</v>
      </c>
      <c r="F467">
        <v>5067</v>
      </c>
      <c r="G467" s="9" t="s">
        <v>136</v>
      </c>
      <c r="H467" s="1">
        <v>460957</v>
      </c>
      <c r="I467" s="1">
        <v>986330</v>
      </c>
      <c r="J467" s="1">
        <v>1447287</v>
      </c>
      <c r="K467">
        <f>VLOOKUP(F467,'LEAID Match'!$A$2:$C$2979,3,FALSE)</f>
        <v>2006120</v>
      </c>
    </row>
    <row r="468" spans="1:11" x14ac:dyDescent="0.2">
      <c r="A468">
        <v>0</v>
      </c>
      <c r="B468">
        <v>2016</v>
      </c>
      <c r="C468" t="s">
        <v>6</v>
      </c>
      <c r="D468" t="s">
        <v>7</v>
      </c>
      <c r="E468" t="s">
        <v>8</v>
      </c>
      <c r="F468" s="3">
        <v>5068</v>
      </c>
      <c r="G468" s="3" t="s">
        <v>137</v>
      </c>
      <c r="H468" s="22">
        <v>465598</v>
      </c>
      <c r="I468" s="1">
        <v>996260</v>
      </c>
      <c r="J468" s="1">
        <v>1461858</v>
      </c>
      <c r="K468">
        <f>VLOOKUP(F468,'LEAID Match'!$A$2:$C$2979,3,FALSE)</f>
        <v>0</v>
      </c>
    </row>
    <row r="469" spans="1:11" x14ac:dyDescent="0.2">
      <c r="A469">
        <v>2006840</v>
      </c>
      <c r="B469">
        <v>2016</v>
      </c>
      <c r="C469" t="s">
        <v>6</v>
      </c>
      <c r="D469" t="s">
        <v>7</v>
      </c>
      <c r="E469" t="s">
        <v>8</v>
      </c>
      <c r="F469" s="3">
        <v>5069</v>
      </c>
      <c r="G469" s="3" t="s">
        <v>138</v>
      </c>
      <c r="H469" s="1">
        <v>445774</v>
      </c>
      <c r="I469" s="21">
        <v>953840</v>
      </c>
      <c r="J469" s="21">
        <v>1399614</v>
      </c>
      <c r="K469">
        <f>VLOOKUP(F469,'LEAID Match'!$A$2:$C$2979,3,FALSE)</f>
        <v>2006840</v>
      </c>
    </row>
    <row r="470" spans="1:11" x14ac:dyDescent="0.2">
      <c r="A470">
        <v>2012210</v>
      </c>
      <c r="B470">
        <v>2016</v>
      </c>
      <c r="C470" t="s">
        <v>6</v>
      </c>
      <c r="D470" t="s">
        <v>7</v>
      </c>
      <c r="E470" t="s">
        <v>8</v>
      </c>
      <c r="F470" s="3">
        <v>5070</v>
      </c>
      <c r="G470" s="3" t="s">
        <v>139</v>
      </c>
      <c r="H470" s="1">
        <v>1110280</v>
      </c>
      <c r="I470" s="1">
        <v>2375720</v>
      </c>
      <c r="J470" s="1">
        <v>3486000</v>
      </c>
      <c r="K470">
        <f>VLOOKUP(F470,'LEAID Match'!$A$2:$C$2979,3,FALSE)</f>
        <v>2012210</v>
      </c>
    </row>
    <row r="471" spans="1:11" x14ac:dyDescent="0.2">
      <c r="A471">
        <v>2005550</v>
      </c>
      <c r="B471">
        <v>2016</v>
      </c>
      <c r="C471" t="s">
        <v>6</v>
      </c>
      <c r="D471" t="s">
        <v>7</v>
      </c>
      <c r="E471" t="s">
        <v>8</v>
      </c>
      <c r="F471">
        <v>5072</v>
      </c>
      <c r="G471" t="s">
        <v>140</v>
      </c>
      <c r="H471" s="1">
        <v>138019</v>
      </c>
      <c r="I471" s="1">
        <v>295330</v>
      </c>
      <c r="J471" s="1">
        <v>433349</v>
      </c>
      <c r="K471">
        <f>VLOOKUP(F471,'LEAID Match'!$A$2:$C$2979,3,FALSE)</f>
        <v>2005550</v>
      </c>
    </row>
    <row r="472" spans="1:11" x14ac:dyDescent="0.2">
      <c r="A472">
        <v>2007110</v>
      </c>
      <c r="B472">
        <v>2016</v>
      </c>
      <c r="C472" t="s">
        <v>6</v>
      </c>
      <c r="D472" t="s">
        <v>7</v>
      </c>
      <c r="E472" t="s">
        <v>8</v>
      </c>
      <c r="F472">
        <v>5073</v>
      </c>
      <c r="G472" t="s">
        <v>141</v>
      </c>
      <c r="H472" s="1">
        <v>307310</v>
      </c>
      <c r="I472" s="1">
        <v>657570</v>
      </c>
      <c r="J472" s="1">
        <v>964880</v>
      </c>
      <c r="K472">
        <f>VLOOKUP(F472,'LEAID Match'!$A$2:$C$2979,3,FALSE)</f>
        <v>2007110</v>
      </c>
    </row>
    <row r="473" spans="1:11" x14ac:dyDescent="0.2">
      <c r="A473">
        <v>2011190</v>
      </c>
      <c r="B473">
        <v>2016</v>
      </c>
      <c r="C473" t="s">
        <v>6</v>
      </c>
      <c r="D473" t="s">
        <v>7</v>
      </c>
      <c r="E473" t="s">
        <v>8</v>
      </c>
      <c r="F473">
        <v>5076</v>
      </c>
      <c r="G473" t="s">
        <v>142</v>
      </c>
      <c r="H473" s="1">
        <v>165014</v>
      </c>
      <c r="I473" s="1">
        <v>353090</v>
      </c>
      <c r="J473" s="1">
        <v>518104</v>
      </c>
      <c r="K473">
        <f>VLOOKUP(F473,'LEAID Match'!$A$2:$C$2979,3,FALSE)</f>
        <v>2011190</v>
      </c>
    </row>
    <row r="474" spans="1:11" x14ac:dyDescent="0.2">
      <c r="A474">
        <v>2005790</v>
      </c>
      <c r="B474">
        <v>2016</v>
      </c>
      <c r="C474" t="s">
        <v>6</v>
      </c>
      <c r="D474" t="s">
        <v>7</v>
      </c>
      <c r="E474" t="s">
        <v>8</v>
      </c>
      <c r="F474">
        <v>5077</v>
      </c>
      <c r="G474" t="s">
        <v>195</v>
      </c>
      <c r="H474" s="20">
        <v>366151</v>
      </c>
      <c r="I474" s="1">
        <v>783470</v>
      </c>
      <c r="J474" s="1">
        <v>1149621</v>
      </c>
      <c r="K474">
        <f>VLOOKUP(F474,'LEAID Match'!$A$2:$C$2979,3,FALSE)</f>
        <v>2005790</v>
      </c>
    </row>
    <row r="475" spans="1:11" x14ac:dyDescent="0.2">
      <c r="A475">
        <v>2009420</v>
      </c>
      <c r="B475">
        <v>2016</v>
      </c>
      <c r="C475" t="s">
        <v>6</v>
      </c>
      <c r="D475" t="s">
        <v>7</v>
      </c>
      <c r="E475" t="s">
        <v>8</v>
      </c>
      <c r="F475">
        <v>5078</v>
      </c>
      <c r="G475" t="s">
        <v>144</v>
      </c>
      <c r="H475" s="1">
        <v>246139</v>
      </c>
      <c r="I475" s="1">
        <v>526680</v>
      </c>
      <c r="J475" s="1">
        <v>772819</v>
      </c>
      <c r="K475">
        <f>VLOOKUP(F475,'LEAID Match'!$A$2:$C$2979,3,FALSE)</f>
        <v>2009420</v>
      </c>
    </row>
    <row r="476" spans="1:11" x14ac:dyDescent="0.2">
      <c r="A476">
        <v>2012450</v>
      </c>
      <c r="B476">
        <v>2016</v>
      </c>
      <c r="C476" t="s">
        <v>6</v>
      </c>
      <c r="D476" t="s">
        <v>7</v>
      </c>
      <c r="E476" t="s">
        <v>8</v>
      </c>
      <c r="F476">
        <v>5079</v>
      </c>
      <c r="G476" s="9" t="s">
        <v>145</v>
      </c>
      <c r="H476" s="1">
        <v>350962</v>
      </c>
      <c r="I476" s="1">
        <v>750970</v>
      </c>
      <c r="J476" s="1">
        <v>1101932</v>
      </c>
      <c r="K476">
        <f>VLOOKUP(F476,'LEAID Match'!$A$2:$C$2979,3,FALSE)</f>
        <v>2012450</v>
      </c>
    </row>
    <row r="477" spans="1:11" x14ac:dyDescent="0.2">
      <c r="A477">
        <v>2006930</v>
      </c>
      <c r="B477">
        <v>2016</v>
      </c>
      <c r="C477" t="s">
        <v>6</v>
      </c>
      <c r="D477" t="s">
        <v>7</v>
      </c>
      <c r="E477" t="s">
        <v>8</v>
      </c>
      <c r="F477" s="3">
        <v>5080</v>
      </c>
      <c r="G477" s="3" t="s">
        <v>146</v>
      </c>
      <c r="H477" s="22">
        <v>317392</v>
      </c>
      <c r="I477" s="1">
        <v>679140</v>
      </c>
      <c r="J477" s="1">
        <v>996532</v>
      </c>
      <c r="K477">
        <f>VLOOKUP(F477,'LEAID Match'!$A$2:$C$2979,3,FALSE)</f>
        <v>2006930</v>
      </c>
    </row>
    <row r="478" spans="1:11" x14ac:dyDescent="0.2">
      <c r="A478">
        <v>2009450</v>
      </c>
      <c r="B478">
        <v>2016</v>
      </c>
      <c r="C478" t="s">
        <v>6</v>
      </c>
      <c r="D478" t="s">
        <v>7</v>
      </c>
      <c r="E478" t="s">
        <v>8</v>
      </c>
      <c r="F478" s="3">
        <v>5081</v>
      </c>
      <c r="G478" s="3" t="s">
        <v>147</v>
      </c>
      <c r="H478" s="1">
        <v>295008</v>
      </c>
      <c r="I478" s="21">
        <v>631240</v>
      </c>
      <c r="J478" s="21">
        <v>926248</v>
      </c>
      <c r="K478">
        <f>VLOOKUP(F478,'LEAID Match'!$A$2:$C$2979,3,FALSE)</f>
        <v>2009450</v>
      </c>
    </row>
    <row r="479" spans="1:11" x14ac:dyDescent="0.2">
      <c r="A479">
        <v>2010470</v>
      </c>
      <c r="B479">
        <v>2016</v>
      </c>
      <c r="C479" t="s">
        <v>6</v>
      </c>
      <c r="D479" t="s">
        <v>7</v>
      </c>
      <c r="E479" t="s">
        <v>8</v>
      </c>
      <c r="F479" s="3">
        <v>5082</v>
      </c>
      <c r="G479" s="3" t="s">
        <v>148</v>
      </c>
      <c r="H479" s="1">
        <v>113916</v>
      </c>
      <c r="I479" s="1">
        <v>243750</v>
      </c>
      <c r="J479" s="1">
        <v>357666</v>
      </c>
      <c r="K479">
        <f>VLOOKUP(F479,'LEAID Match'!$A$2:$C$2979,3,FALSE)</f>
        <v>2010470</v>
      </c>
    </row>
    <row r="480" spans="1:11" x14ac:dyDescent="0.2">
      <c r="A480">
        <v>2010740</v>
      </c>
      <c r="B480">
        <v>2016</v>
      </c>
      <c r="C480" t="s">
        <v>6</v>
      </c>
      <c r="D480" t="s">
        <v>7</v>
      </c>
      <c r="E480" t="s">
        <v>8</v>
      </c>
      <c r="F480">
        <v>5083</v>
      </c>
      <c r="G480" t="s">
        <v>149</v>
      </c>
      <c r="H480" s="1">
        <v>241794</v>
      </c>
      <c r="I480" s="1">
        <v>517380</v>
      </c>
      <c r="J480" s="1">
        <v>759174</v>
      </c>
      <c r="K480">
        <f>VLOOKUP(F480,'LEAID Match'!$A$2:$C$2979,3,FALSE)</f>
        <v>2010740</v>
      </c>
    </row>
    <row r="481" spans="1:11" x14ac:dyDescent="0.2">
      <c r="A481">
        <v>2007260</v>
      </c>
      <c r="B481">
        <v>2016</v>
      </c>
      <c r="C481" t="s">
        <v>6</v>
      </c>
      <c r="D481" t="s">
        <v>7</v>
      </c>
      <c r="E481" t="s">
        <v>8</v>
      </c>
      <c r="F481">
        <v>5087</v>
      </c>
      <c r="G481" t="s">
        <v>360</v>
      </c>
      <c r="H481" s="1">
        <v>251501</v>
      </c>
      <c r="I481" s="1">
        <v>538150</v>
      </c>
      <c r="J481" s="1">
        <v>789651</v>
      </c>
      <c r="K481">
        <f>VLOOKUP(F481,'LEAID Match'!$A$2:$C$2979,3,FALSE)</f>
        <v>2007260</v>
      </c>
    </row>
    <row r="482" spans="1:11" x14ac:dyDescent="0.2">
      <c r="A482">
        <v>2012870</v>
      </c>
      <c r="B482">
        <v>2016</v>
      </c>
      <c r="C482" t="s">
        <v>6</v>
      </c>
      <c r="D482" t="s">
        <v>7</v>
      </c>
      <c r="E482" t="s">
        <v>8</v>
      </c>
      <c r="F482">
        <v>5088</v>
      </c>
      <c r="G482" t="s">
        <v>151</v>
      </c>
      <c r="H482" s="1">
        <v>459902</v>
      </c>
      <c r="I482" s="1">
        <v>984070</v>
      </c>
      <c r="J482" s="1">
        <v>1443972</v>
      </c>
      <c r="K482">
        <f>VLOOKUP(F482,'LEAID Match'!$A$2:$C$2979,3,FALSE)</f>
        <v>2012870</v>
      </c>
    </row>
    <row r="483" spans="1:11" x14ac:dyDescent="0.2">
      <c r="A483">
        <v>2008790</v>
      </c>
      <c r="B483">
        <v>2016</v>
      </c>
      <c r="C483" t="s">
        <v>6</v>
      </c>
      <c r="D483" t="s">
        <v>7</v>
      </c>
      <c r="E483" t="s">
        <v>8</v>
      </c>
      <c r="F483">
        <v>5089</v>
      </c>
      <c r="G483" t="s">
        <v>152</v>
      </c>
      <c r="H483" s="20">
        <v>251906</v>
      </c>
      <c r="I483" s="1">
        <v>539020</v>
      </c>
      <c r="J483" s="1">
        <v>790926</v>
      </c>
      <c r="K483">
        <f>VLOOKUP(F483,'LEAID Match'!$A$2:$C$2979,3,FALSE)</f>
        <v>2008790</v>
      </c>
    </row>
    <row r="484" spans="1:11" x14ac:dyDescent="0.2">
      <c r="A484">
        <v>2009930</v>
      </c>
      <c r="B484">
        <v>2016</v>
      </c>
      <c r="C484" t="s">
        <v>6</v>
      </c>
      <c r="D484" t="s">
        <v>7</v>
      </c>
      <c r="E484" t="s">
        <v>8</v>
      </c>
      <c r="F484">
        <v>5090</v>
      </c>
      <c r="G484" t="s">
        <v>153</v>
      </c>
      <c r="H484" s="1">
        <v>177248</v>
      </c>
      <c r="I484" s="1">
        <v>379270</v>
      </c>
      <c r="J484" s="1">
        <v>556518</v>
      </c>
      <c r="K484">
        <f>VLOOKUP(F484,'LEAID Match'!$A$2:$C$2979,3,FALSE)</f>
        <v>2009930</v>
      </c>
    </row>
    <row r="485" spans="1:11" x14ac:dyDescent="0.2">
      <c r="A485">
        <v>2007970</v>
      </c>
      <c r="B485">
        <v>2016</v>
      </c>
      <c r="C485" t="s">
        <v>6</v>
      </c>
      <c r="D485" t="s">
        <v>7</v>
      </c>
      <c r="E485" t="s">
        <v>8</v>
      </c>
      <c r="F485">
        <v>5092</v>
      </c>
      <c r="G485" s="9" t="s">
        <v>154</v>
      </c>
      <c r="H485" s="1">
        <v>890519</v>
      </c>
      <c r="I485" s="1">
        <v>1905490</v>
      </c>
      <c r="J485" s="1">
        <v>2796009</v>
      </c>
      <c r="K485">
        <f>VLOOKUP(F485,'LEAID Match'!$A$2:$C$2979,3,FALSE)</f>
        <v>2007970</v>
      </c>
    </row>
    <row r="486" spans="1:11" x14ac:dyDescent="0.2">
      <c r="A486">
        <v>2010170</v>
      </c>
      <c r="B486">
        <v>2016</v>
      </c>
      <c r="C486" t="s">
        <v>6</v>
      </c>
      <c r="D486" t="s">
        <v>7</v>
      </c>
      <c r="E486" t="s">
        <v>8</v>
      </c>
      <c r="F486" s="3">
        <v>5093</v>
      </c>
      <c r="G486" s="3" t="s">
        <v>155</v>
      </c>
      <c r="H486" s="22">
        <v>185126</v>
      </c>
      <c r="I486" s="1">
        <v>396120</v>
      </c>
      <c r="J486" s="1">
        <v>581246</v>
      </c>
      <c r="K486">
        <f>VLOOKUP(F486,'LEAID Match'!$A$2:$C$2979,3,FALSE)</f>
        <v>2010170</v>
      </c>
    </row>
    <row r="487" spans="1:11" x14ac:dyDescent="0.2">
      <c r="A487">
        <v>2003240</v>
      </c>
      <c r="B487">
        <v>2016</v>
      </c>
      <c r="C487" t="s">
        <v>6</v>
      </c>
      <c r="D487" t="s">
        <v>7</v>
      </c>
      <c r="E487" t="s">
        <v>8</v>
      </c>
      <c r="F487" s="3">
        <v>5095</v>
      </c>
      <c r="G487" s="3" t="s">
        <v>156</v>
      </c>
      <c r="H487" s="1">
        <v>398029</v>
      </c>
      <c r="I487" s="21">
        <v>851680</v>
      </c>
      <c r="J487" s="21">
        <v>1249709</v>
      </c>
      <c r="K487">
        <f>VLOOKUP(F487,'LEAID Match'!$A$2:$C$2979,3,FALSE)</f>
        <v>2003240</v>
      </c>
    </row>
    <row r="488" spans="1:11" x14ac:dyDescent="0.2">
      <c r="A488">
        <v>2007750</v>
      </c>
      <c r="B488">
        <v>2016</v>
      </c>
      <c r="C488" t="s">
        <v>6</v>
      </c>
      <c r="D488" t="s">
        <v>7</v>
      </c>
      <c r="E488" t="s">
        <v>8</v>
      </c>
      <c r="F488" s="3">
        <v>5096</v>
      </c>
      <c r="G488" s="3" t="s">
        <v>157</v>
      </c>
      <c r="H488" s="1">
        <v>345210</v>
      </c>
      <c r="I488" s="1">
        <v>738660</v>
      </c>
      <c r="J488" s="1">
        <v>1083870</v>
      </c>
      <c r="K488">
        <f>VLOOKUP(F488,'LEAID Match'!$A$2:$C$2979,3,FALSE)</f>
        <v>2007750</v>
      </c>
    </row>
    <row r="489" spans="1:11" x14ac:dyDescent="0.2">
      <c r="A489">
        <v>2004380</v>
      </c>
      <c r="B489">
        <v>2016</v>
      </c>
      <c r="C489" t="s">
        <v>6</v>
      </c>
      <c r="D489" t="s">
        <v>7</v>
      </c>
      <c r="E489" t="s">
        <v>8</v>
      </c>
      <c r="F489">
        <v>5098</v>
      </c>
      <c r="G489" t="s">
        <v>158</v>
      </c>
      <c r="H489" s="1">
        <v>189719</v>
      </c>
      <c r="I489" s="1">
        <v>405950</v>
      </c>
      <c r="J489" s="1">
        <v>595669</v>
      </c>
      <c r="K489">
        <f>VLOOKUP(F489,'LEAID Match'!$A$2:$C$2979,3,FALSE)</f>
        <v>2004380</v>
      </c>
    </row>
    <row r="490" spans="1:11" x14ac:dyDescent="0.2">
      <c r="A490">
        <v>2006450</v>
      </c>
      <c r="B490">
        <v>2016</v>
      </c>
      <c r="C490" t="s">
        <v>6</v>
      </c>
      <c r="D490" t="s">
        <v>7</v>
      </c>
      <c r="E490" t="s">
        <v>8</v>
      </c>
      <c r="F490">
        <v>5099</v>
      </c>
      <c r="G490" t="s">
        <v>159</v>
      </c>
      <c r="H490" s="1">
        <v>654532</v>
      </c>
      <c r="I490" s="1">
        <v>1400530</v>
      </c>
      <c r="J490" s="1">
        <v>2055062</v>
      </c>
      <c r="K490">
        <f>VLOOKUP(F490,'LEAID Match'!$A$2:$C$2979,3,FALSE)</f>
        <v>2006450</v>
      </c>
    </row>
    <row r="491" spans="1:11" x14ac:dyDescent="0.2">
      <c r="A491">
        <v>2010260</v>
      </c>
      <c r="B491">
        <v>2016</v>
      </c>
      <c r="C491" t="s">
        <v>6</v>
      </c>
      <c r="D491" t="s">
        <v>7</v>
      </c>
      <c r="E491" t="s">
        <v>8</v>
      </c>
      <c r="F491">
        <v>5100</v>
      </c>
      <c r="G491" t="s">
        <v>160</v>
      </c>
      <c r="H491" s="1">
        <v>748687</v>
      </c>
      <c r="I491" s="1">
        <v>1602000</v>
      </c>
      <c r="J491" s="1">
        <v>2350687</v>
      </c>
      <c r="K491">
        <f>VLOOKUP(F491,'LEAID Match'!$A$2:$C$2979,3,FALSE)</f>
        <v>2010260</v>
      </c>
    </row>
    <row r="492" spans="1:11" x14ac:dyDescent="0.2">
      <c r="A492">
        <v>2011700</v>
      </c>
      <c r="B492">
        <v>2016</v>
      </c>
      <c r="C492" t="s">
        <v>6</v>
      </c>
      <c r="D492" t="s">
        <v>7</v>
      </c>
      <c r="E492" t="s">
        <v>8</v>
      </c>
      <c r="F492">
        <v>5101</v>
      </c>
      <c r="G492" t="s">
        <v>161</v>
      </c>
      <c r="H492" s="20">
        <v>497683</v>
      </c>
      <c r="I492" s="1">
        <v>1064920</v>
      </c>
      <c r="J492" s="1">
        <v>1562603</v>
      </c>
      <c r="K492">
        <f>VLOOKUP(F492,'LEAID Match'!$A$2:$C$2979,3,FALSE)</f>
        <v>2011700</v>
      </c>
    </row>
    <row r="493" spans="1:11" x14ac:dyDescent="0.2">
      <c r="A493">
        <v>2004890</v>
      </c>
      <c r="B493">
        <v>2016</v>
      </c>
      <c r="C493" t="s">
        <v>6</v>
      </c>
      <c r="D493" t="s">
        <v>7</v>
      </c>
      <c r="E493" t="s">
        <v>8</v>
      </c>
      <c r="F493">
        <v>5102</v>
      </c>
      <c r="G493" t="s">
        <v>162</v>
      </c>
      <c r="H493" s="1">
        <v>1128894</v>
      </c>
      <c r="I493" s="1">
        <v>2415550</v>
      </c>
      <c r="J493" s="1">
        <v>3544444</v>
      </c>
      <c r="K493">
        <f>VLOOKUP(F493,'LEAID Match'!$A$2:$C$2979,3,FALSE)</f>
        <v>2004890</v>
      </c>
    </row>
    <row r="494" spans="1:11" x14ac:dyDescent="0.2">
      <c r="A494">
        <v>2010890</v>
      </c>
      <c r="B494">
        <v>2016</v>
      </c>
      <c r="C494" t="s">
        <v>6</v>
      </c>
      <c r="D494" t="s">
        <v>7</v>
      </c>
      <c r="E494" t="s">
        <v>8</v>
      </c>
      <c r="F494">
        <v>5103</v>
      </c>
      <c r="G494" s="9" t="s">
        <v>163</v>
      </c>
      <c r="H494" s="1">
        <v>568687</v>
      </c>
      <c r="I494" s="1">
        <v>1216850</v>
      </c>
      <c r="J494" s="1">
        <v>1785537</v>
      </c>
      <c r="K494">
        <f>VLOOKUP(F494,'LEAID Match'!$A$2:$C$2979,3,FALSE)</f>
        <v>2010890</v>
      </c>
    </row>
    <row r="495" spans="1:11" x14ac:dyDescent="0.2">
      <c r="A495">
        <v>2004440</v>
      </c>
      <c r="B495">
        <v>2016</v>
      </c>
      <c r="C495" t="s">
        <v>6</v>
      </c>
      <c r="D495" t="s">
        <v>7</v>
      </c>
      <c r="E495" t="s">
        <v>8</v>
      </c>
      <c r="F495" s="3">
        <v>5104</v>
      </c>
      <c r="G495" s="3" t="s">
        <v>164</v>
      </c>
      <c r="H495" s="22">
        <v>279258</v>
      </c>
      <c r="I495" s="1">
        <v>597540</v>
      </c>
      <c r="J495" s="1">
        <v>876798</v>
      </c>
      <c r="K495">
        <f>VLOOKUP(F495,'LEAID Match'!$A$2:$C$2979,3,FALSE)</f>
        <v>2004440</v>
      </c>
    </row>
    <row r="496" spans="1:11" x14ac:dyDescent="0.2">
      <c r="A496">
        <v>2004140</v>
      </c>
      <c r="B496">
        <v>2016</v>
      </c>
      <c r="C496" t="s">
        <v>6</v>
      </c>
      <c r="D496" t="s">
        <v>7</v>
      </c>
      <c r="E496" t="s">
        <v>8</v>
      </c>
      <c r="F496" s="3">
        <v>5105</v>
      </c>
      <c r="G496" s="3" t="s">
        <v>165</v>
      </c>
      <c r="H496" s="1">
        <v>153025</v>
      </c>
      <c r="I496" s="21">
        <v>327430</v>
      </c>
      <c r="J496" s="21">
        <v>480455</v>
      </c>
      <c r="K496">
        <f>VLOOKUP(F496,'LEAID Match'!$A$2:$C$2979,3,FALSE)</f>
        <v>2004140</v>
      </c>
    </row>
    <row r="497" spans="1:11" x14ac:dyDescent="0.2">
      <c r="A497">
        <v>2008190</v>
      </c>
      <c r="B497">
        <v>2016</v>
      </c>
      <c r="C497" t="s">
        <v>6</v>
      </c>
      <c r="D497" t="s">
        <v>7</v>
      </c>
      <c r="E497" t="s">
        <v>8</v>
      </c>
      <c r="F497" s="3">
        <v>5106</v>
      </c>
      <c r="G497" s="3" t="s">
        <v>166</v>
      </c>
      <c r="H497" s="1">
        <v>530972</v>
      </c>
      <c r="I497" s="1">
        <v>1136150</v>
      </c>
      <c r="J497" s="1">
        <v>1667122</v>
      </c>
      <c r="K497">
        <f>VLOOKUP(F497,'LEAID Match'!$A$2:$C$2979,3,FALSE)</f>
        <v>2008190</v>
      </c>
    </row>
    <row r="498" spans="1:11" x14ac:dyDescent="0.2">
      <c r="A498">
        <v>2007560</v>
      </c>
      <c r="B498">
        <v>2016</v>
      </c>
      <c r="C498" t="s">
        <v>6</v>
      </c>
      <c r="D498" t="s">
        <v>7</v>
      </c>
      <c r="E498" t="s">
        <v>8</v>
      </c>
      <c r="F498">
        <v>5116</v>
      </c>
      <c r="G498" t="s">
        <v>167</v>
      </c>
      <c r="H498" s="1">
        <v>694138</v>
      </c>
      <c r="I498" s="1">
        <v>1485280</v>
      </c>
      <c r="J498" s="1">
        <v>2179418</v>
      </c>
      <c r="K498">
        <f>VLOOKUP(F498,'LEAID Match'!$A$2:$C$2979,3,FALSE)</f>
        <v>2007560</v>
      </c>
    </row>
    <row r="499" spans="1:11" x14ac:dyDescent="0.2">
      <c r="A499">
        <v>2003270</v>
      </c>
      <c r="B499">
        <v>2016</v>
      </c>
      <c r="C499" t="s">
        <v>6</v>
      </c>
      <c r="D499" t="s">
        <v>7</v>
      </c>
      <c r="E499" t="s">
        <v>8</v>
      </c>
      <c r="F499">
        <v>5117</v>
      </c>
      <c r="G499" t="s">
        <v>168</v>
      </c>
      <c r="H499" s="1">
        <v>157042</v>
      </c>
      <c r="I499" s="1">
        <v>336030</v>
      </c>
      <c r="J499" s="1">
        <v>493072</v>
      </c>
      <c r="K499">
        <f>VLOOKUP(F499,'LEAID Match'!$A$2:$C$2979,3,FALSE)</f>
        <v>2003270</v>
      </c>
    </row>
    <row r="500" spans="1:11" x14ac:dyDescent="0.2">
      <c r="A500">
        <v>2012420</v>
      </c>
      <c r="B500">
        <v>2016</v>
      </c>
      <c r="C500" t="s">
        <v>6</v>
      </c>
      <c r="D500" t="s">
        <v>7</v>
      </c>
      <c r="E500" t="s">
        <v>8</v>
      </c>
      <c r="F500">
        <v>5118</v>
      </c>
      <c r="G500" t="s">
        <v>169</v>
      </c>
      <c r="H500" s="1">
        <v>1018154</v>
      </c>
      <c r="I500" s="1">
        <v>2178590</v>
      </c>
      <c r="J500" s="1">
        <v>3196744</v>
      </c>
      <c r="K500">
        <f>VLOOKUP(F500,'LEAID Match'!$A$2:$C$2979,3,FALSE)</f>
        <v>2012420</v>
      </c>
    </row>
    <row r="501" spans="1:11" x14ac:dyDescent="0.2">
      <c r="A501">
        <v>2009600</v>
      </c>
      <c r="B501">
        <v>2016</v>
      </c>
      <c r="C501" t="s">
        <v>6</v>
      </c>
      <c r="D501" t="s">
        <v>7</v>
      </c>
      <c r="E501" t="s">
        <v>8</v>
      </c>
      <c r="F501">
        <v>5119</v>
      </c>
      <c r="G501" t="s">
        <v>170</v>
      </c>
      <c r="H501" s="20">
        <v>190689</v>
      </c>
      <c r="I501" s="1">
        <v>408030</v>
      </c>
      <c r="J501" s="1">
        <v>598719</v>
      </c>
      <c r="K501">
        <f>VLOOKUP(F501,'LEAID Match'!$A$2:$C$2979,3,FALSE)</f>
        <v>2009600</v>
      </c>
    </row>
    <row r="502" spans="1:11" x14ac:dyDescent="0.2">
      <c r="A502">
        <v>2006420</v>
      </c>
      <c r="B502">
        <v>2016</v>
      </c>
      <c r="C502" t="s">
        <v>6</v>
      </c>
      <c r="D502" t="s">
        <v>7</v>
      </c>
      <c r="E502" t="s">
        <v>8</v>
      </c>
      <c r="F502">
        <v>5120</v>
      </c>
      <c r="G502" t="s">
        <v>366</v>
      </c>
      <c r="H502" s="1">
        <v>3835627</v>
      </c>
      <c r="I502" s="1">
        <v>8207270</v>
      </c>
      <c r="J502" s="1">
        <v>12042897</v>
      </c>
      <c r="K502">
        <f>VLOOKUP(F502,'LEAID Match'!$A$2:$C$2979,3,FALSE)</f>
        <v>2006420</v>
      </c>
    </row>
    <row r="503" spans="1:11" x14ac:dyDescent="0.2">
      <c r="A503">
        <v>2008130</v>
      </c>
      <c r="B503">
        <v>2016</v>
      </c>
      <c r="C503" t="s">
        <v>6</v>
      </c>
      <c r="D503" t="s">
        <v>7</v>
      </c>
      <c r="E503" t="s">
        <v>8</v>
      </c>
      <c r="F503">
        <v>5122</v>
      </c>
      <c r="G503" s="9" t="s">
        <v>172</v>
      </c>
      <c r="H503" s="1">
        <v>176849</v>
      </c>
      <c r="I503" s="1">
        <v>378410</v>
      </c>
      <c r="J503" s="1">
        <v>555259</v>
      </c>
      <c r="K503">
        <f>VLOOKUP(F503,'LEAID Match'!$A$2:$C$2979,3,FALSE)</f>
        <v>2008130</v>
      </c>
    </row>
    <row r="504" spans="1:11" x14ac:dyDescent="0.2">
      <c r="A504">
        <v>2009660</v>
      </c>
      <c r="B504">
        <v>2016</v>
      </c>
      <c r="C504" t="s">
        <v>6</v>
      </c>
      <c r="D504" t="s">
        <v>7</v>
      </c>
      <c r="E504" t="s">
        <v>8</v>
      </c>
      <c r="F504" s="3">
        <v>5123</v>
      </c>
      <c r="G504" s="3" t="s">
        <v>173</v>
      </c>
      <c r="H504" s="22">
        <v>176700</v>
      </c>
      <c r="I504" s="1">
        <v>378090</v>
      </c>
      <c r="J504" s="1">
        <v>554790</v>
      </c>
      <c r="K504">
        <f>VLOOKUP(F504,'LEAID Match'!$A$2:$C$2979,3,FALSE)</f>
        <v>2009660</v>
      </c>
    </row>
    <row r="505" spans="1:11" x14ac:dyDescent="0.2">
      <c r="A505">
        <v>2000003</v>
      </c>
      <c r="B505">
        <v>2016</v>
      </c>
      <c r="C505" t="s">
        <v>6</v>
      </c>
      <c r="D505" t="s">
        <v>7</v>
      </c>
      <c r="E505" t="s">
        <v>8</v>
      </c>
      <c r="F505" s="3">
        <v>5125</v>
      </c>
      <c r="G505" s="3" t="s">
        <v>174</v>
      </c>
      <c r="H505" s="1">
        <v>1202682</v>
      </c>
      <c r="I505" s="21">
        <v>2573440</v>
      </c>
      <c r="J505" s="21">
        <v>3776122</v>
      </c>
      <c r="K505">
        <f>VLOOKUP(F505,'LEAID Match'!$A$2:$C$2979,3,FALSE)</f>
        <v>2000003</v>
      </c>
    </row>
    <row r="506" spans="1:11" x14ac:dyDescent="0.2">
      <c r="A506">
        <v>2005370</v>
      </c>
      <c r="B506">
        <v>2016</v>
      </c>
      <c r="C506" t="s">
        <v>6</v>
      </c>
      <c r="D506" t="s">
        <v>7</v>
      </c>
      <c r="E506" t="s">
        <v>8</v>
      </c>
      <c r="F506" s="3">
        <v>5127</v>
      </c>
      <c r="G506" s="3" t="s">
        <v>175</v>
      </c>
      <c r="H506" s="1">
        <v>150682</v>
      </c>
      <c r="I506" s="1">
        <v>322420</v>
      </c>
      <c r="J506" s="1">
        <v>473102</v>
      </c>
      <c r="K506">
        <f>VLOOKUP(F506,'LEAID Match'!$A$2:$C$2979,3,FALSE)</f>
        <v>2005370</v>
      </c>
    </row>
    <row r="507" spans="1:11" x14ac:dyDescent="0.2">
      <c r="A507">
        <v>2004830</v>
      </c>
      <c r="B507">
        <v>2016</v>
      </c>
      <c r="C507" t="s">
        <v>6</v>
      </c>
      <c r="D507" t="s">
        <v>7</v>
      </c>
      <c r="E507" t="s">
        <v>8</v>
      </c>
      <c r="F507">
        <v>5128</v>
      </c>
      <c r="G507" t="s">
        <v>176</v>
      </c>
      <c r="H507" s="1">
        <v>222327</v>
      </c>
      <c r="I507" s="1">
        <v>475720</v>
      </c>
      <c r="J507" s="1">
        <v>698047</v>
      </c>
      <c r="K507">
        <f>VLOOKUP(F507,'LEAID Match'!$A$2:$C$2979,3,FALSE)</f>
        <v>2004830</v>
      </c>
    </row>
    <row r="508" spans="1:11" x14ac:dyDescent="0.2">
      <c r="A508">
        <v>2009320</v>
      </c>
      <c r="B508">
        <v>2016</v>
      </c>
      <c r="C508" t="s">
        <v>6</v>
      </c>
      <c r="D508" t="s">
        <v>7</v>
      </c>
      <c r="E508" t="s">
        <v>8</v>
      </c>
      <c r="F508">
        <v>5129</v>
      </c>
      <c r="G508" t="s">
        <v>177</v>
      </c>
      <c r="H508" s="1">
        <v>593718</v>
      </c>
      <c r="I508" s="1">
        <v>1270410</v>
      </c>
      <c r="J508" s="1">
        <v>1864128</v>
      </c>
      <c r="K508">
        <f>VLOOKUP(F508,'LEAID Match'!$A$2:$C$2979,3,FALSE)</f>
        <v>2009320</v>
      </c>
    </row>
    <row r="509" spans="1:11" x14ac:dyDescent="0.2">
      <c r="A509">
        <v>2010620</v>
      </c>
      <c r="B509">
        <v>2016</v>
      </c>
      <c r="C509" t="s">
        <v>6</v>
      </c>
      <c r="D509" t="s">
        <v>7</v>
      </c>
      <c r="E509" t="s">
        <v>8</v>
      </c>
      <c r="F509">
        <v>5130</v>
      </c>
      <c r="G509" t="s">
        <v>178</v>
      </c>
      <c r="H509" s="1">
        <v>491091</v>
      </c>
      <c r="I509" s="1">
        <v>1050810</v>
      </c>
      <c r="J509" s="1">
        <v>1541901</v>
      </c>
      <c r="K509">
        <f>VLOOKUP(F509,'LEAID Match'!$A$2:$C$2979,3,FALSE)</f>
        <v>2010620</v>
      </c>
    </row>
    <row r="510" spans="1:11" x14ac:dyDescent="0.2">
      <c r="A510">
        <v>2000016</v>
      </c>
      <c r="B510">
        <v>2016</v>
      </c>
      <c r="C510" t="s">
        <v>6</v>
      </c>
      <c r="D510" t="s">
        <v>7</v>
      </c>
      <c r="E510" t="s">
        <v>8</v>
      </c>
      <c r="F510">
        <v>5131</v>
      </c>
      <c r="G510" t="s">
        <v>179</v>
      </c>
      <c r="H510" s="20">
        <v>575785</v>
      </c>
      <c r="I510" s="1">
        <v>1232030</v>
      </c>
      <c r="J510" s="1">
        <v>1807815</v>
      </c>
      <c r="K510">
        <f>VLOOKUP(F510,'LEAID Match'!$A$2:$C$2979,3,FALSE)</f>
        <v>2000016</v>
      </c>
    </row>
    <row r="511" spans="1:11" x14ac:dyDescent="0.2">
      <c r="A511">
        <v>2010500</v>
      </c>
      <c r="B511">
        <v>2016</v>
      </c>
      <c r="C511" t="s">
        <v>6</v>
      </c>
      <c r="D511" t="s">
        <v>7</v>
      </c>
      <c r="E511" t="s">
        <v>8</v>
      </c>
      <c r="F511">
        <v>5132</v>
      </c>
      <c r="G511" t="s">
        <v>180</v>
      </c>
      <c r="H511" s="1">
        <v>2157444</v>
      </c>
      <c r="I511" s="1">
        <v>4616390</v>
      </c>
      <c r="J511" s="1">
        <v>6773834</v>
      </c>
      <c r="K511">
        <f>VLOOKUP(F511,'LEAID Match'!$A$2:$C$2979,3,FALSE)</f>
        <v>2010500</v>
      </c>
    </row>
    <row r="512" spans="1:11" x14ac:dyDescent="0.2">
      <c r="A512">
        <v>2011820</v>
      </c>
      <c r="B512">
        <v>2016</v>
      </c>
      <c r="C512" t="s">
        <v>6</v>
      </c>
      <c r="D512" t="s">
        <v>7</v>
      </c>
      <c r="E512" t="s">
        <v>8</v>
      </c>
      <c r="F512">
        <v>5133</v>
      </c>
      <c r="G512" s="9" t="s">
        <v>361</v>
      </c>
      <c r="H512" s="1">
        <v>220478</v>
      </c>
      <c r="I512" s="1">
        <v>471770</v>
      </c>
      <c r="J512" s="1">
        <v>692248</v>
      </c>
      <c r="K512">
        <f>VLOOKUP(F512,'LEAID Match'!$A$2:$C$2979,3,FALSE)</f>
        <v>2011820</v>
      </c>
    </row>
    <row r="513" spans="1:11" x14ac:dyDescent="0.2">
      <c r="A513">
        <v>2011760</v>
      </c>
      <c r="B513">
        <v>2016</v>
      </c>
      <c r="C513" t="s">
        <v>6</v>
      </c>
      <c r="D513" t="s">
        <v>7</v>
      </c>
      <c r="E513" t="s">
        <v>8</v>
      </c>
      <c r="F513" s="3">
        <v>5134</v>
      </c>
      <c r="G513" s="3" t="s">
        <v>182</v>
      </c>
      <c r="H513" s="22">
        <v>210463</v>
      </c>
      <c r="I513" s="1">
        <v>450340</v>
      </c>
      <c r="J513" s="1">
        <v>660803</v>
      </c>
      <c r="K513">
        <f>VLOOKUP(F513,'LEAID Match'!$A$2:$C$2979,3,FALSE)</f>
        <v>2011760</v>
      </c>
    </row>
    <row r="514" spans="1:11" x14ac:dyDescent="0.2">
      <c r="A514">
        <v>2003630</v>
      </c>
      <c r="B514">
        <v>2016</v>
      </c>
      <c r="C514" t="s">
        <v>6</v>
      </c>
      <c r="D514" t="s">
        <v>7</v>
      </c>
      <c r="E514" t="s">
        <v>8</v>
      </c>
      <c r="F514" s="3">
        <v>5135</v>
      </c>
      <c r="G514" s="3" t="s">
        <v>183</v>
      </c>
      <c r="H514" s="1">
        <v>1122560</v>
      </c>
      <c r="I514" s="21">
        <v>2402000</v>
      </c>
      <c r="J514" s="21">
        <v>3524560</v>
      </c>
      <c r="K514">
        <f>VLOOKUP(F514,'LEAID Match'!$A$2:$C$2979,3,FALSE)</f>
        <v>2003630</v>
      </c>
    </row>
    <row r="515" spans="1:11" x14ac:dyDescent="0.2">
      <c r="A515">
        <v>2012600</v>
      </c>
      <c r="B515">
        <v>2016</v>
      </c>
      <c r="C515" t="s">
        <v>6</v>
      </c>
      <c r="D515" t="s">
        <v>7</v>
      </c>
      <c r="E515" t="s">
        <v>8</v>
      </c>
      <c r="F515" s="3">
        <v>5137</v>
      </c>
      <c r="G515" s="3" t="s">
        <v>184</v>
      </c>
      <c r="H515" s="1">
        <v>148655</v>
      </c>
      <c r="I515" s="1">
        <v>318080</v>
      </c>
      <c r="J515" s="1">
        <v>466735</v>
      </c>
      <c r="K515">
        <f>VLOOKUP(F515,'LEAID Match'!$A$2:$C$2979,3,FALSE)</f>
        <v>2012600</v>
      </c>
    </row>
    <row r="516" spans="1:11" x14ac:dyDescent="0.2">
      <c r="A516">
        <v>2004260</v>
      </c>
      <c r="B516">
        <v>2016</v>
      </c>
      <c r="C516" t="s">
        <v>6</v>
      </c>
      <c r="D516" t="s">
        <v>7</v>
      </c>
      <c r="E516" t="s">
        <v>8</v>
      </c>
      <c r="F516">
        <v>5138</v>
      </c>
      <c r="G516" t="s">
        <v>185</v>
      </c>
      <c r="H516" s="1">
        <v>198091</v>
      </c>
      <c r="I516" s="1">
        <v>423860</v>
      </c>
      <c r="J516" s="1">
        <v>621951</v>
      </c>
      <c r="K516">
        <f>VLOOKUP(F516,'LEAID Match'!$A$2:$C$2979,3,FALSE)</f>
        <v>2004260</v>
      </c>
    </row>
    <row r="517" spans="1:11" x14ac:dyDescent="0.2">
      <c r="A517">
        <v>2012390</v>
      </c>
      <c r="B517">
        <v>2016</v>
      </c>
      <c r="C517" t="s">
        <v>6</v>
      </c>
      <c r="D517" t="s">
        <v>7</v>
      </c>
      <c r="E517" t="s">
        <v>8</v>
      </c>
      <c r="F517">
        <v>5140</v>
      </c>
      <c r="G517" t="s">
        <v>186</v>
      </c>
      <c r="H517" s="1">
        <v>235609</v>
      </c>
      <c r="I517" s="1">
        <v>504140</v>
      </c>
      <c r="J517" s="1">
        <v>739749</v>
      </c>
      <c r="K517">
        <f>VLOOKUP(F517,'LEAID Match'!$A$2:$C$2979,3,FALSE)</f>
        <v>2012390</v>
      </c>
    </row>
    <row r="518" spans="1:11" x14ac:dyDescent="0.2">
      <c r="A518">
        <v>0</v>
      </c>
      <c r="B518">
        <v>2016</v>
      </c>
      <c r="C518" t="s">
        <v>6</v>
      </c>
      <c r="D518" t="s">
        <v>7</v>
      </c>
      <c r="E518" t="s">
        <v>8</v>
      </c>
      <c r="F518">
        <v>5141</v>
      </c>
      <c r="G518" t="s">
        <v>187</v>
      </c>
      <c r="H518" s="1">
        <v>295341</v>
      </c>
      <c r="I518" s="1">
        <v>631960</v>
      </c>
      <c r="J518" s="1">
        <v>927301</v>
      </c>
      <c r="K518">
        <f>VLOOKUP(F518,'LEAID Match'!$A$2:$C$2979,3,FALSE)</f>
        <v>0</v>
      </c>
    </row>
    <row r="519" spans="1:11" x14ac:dyDescent="0.2">
      <c r="A519">
        <v>2006990</v>
      </c>
      <c r="B519">
        <v>2016</v>
      </c>
      <c r="C519" t="s">
        <v>6</v>
      </c>
      <c r="D519" t="s">
        <v>7</v>
      </c>
      <c r="E519" t="s">
        <v>8</v>
      </c>
      <c r="F519">
        <v>5142</v>
      </c>
      <c r="G519" t="s">
        <v>188</v>
      </c>
      <c r="H519" s="20">
        <v>67685</v>
      </c>
      <c r="I519" s="1">
        <v>144830</v>
      </c>
      <c r="J519" s="1">
        <v>212515</v>
      </c>
      <c r="K519">
        <f>VLOOKUP(F519,'LEAID Match'!$A$2:$C$2979,3,FALSE)</f>
        <v>2006990</v>
      </c>
    </row>
    <row r="520" spans="1:11" x14ac:dyDescent="0.2">
      <c r="A520">
        <v>2010020</v>
      </c>
      <c r="B520">
        <v>2016</v>
      </c>
      <c r="C520" t="s">
        <v>6</v>
      </c>
      <c r="D520" t="s">
        <v>7</v>
      </c>
      <c r="E520" t="s">
        <v>8</v>
      </c>
      <c r="F520">
        <v>5143</v>
      </c>
      <c r="G520" t="s">
        <v>189</v>
      </c>
      <c r="H520" s="1">
        <v>431746</v>
      </c>
      <c r="I520" s="1">
        <v>923830</v>
      </c>
      <c r="J520" s="1">
        <v>1355576</v>
      </c>
      <c r="K520">
        <f>VLOOKUP(F520,'LEAID Match'!$A$2:$C$2979,3,FALSE)</f>
        <v>2010020</v>
      </c>
    </row>
    <row r="521" spans="1:11" x14ac:dyDescent="0.2">
      <c r="A521">
        <v>2005400</v>
      </c>
      <c r="B521">
        <v>2016</v>
      </c>
      <c r="C521" t="s">
        <v>6</v>
      </c>
      <c r="D521" t="s">
        <v>7</v>
      </c>
      <c r="E521" t="s">
        <v>8</v>
      </c>
      <c r="F521">
        <v>5144</v>
      </c>
      <c r="G521" s="9" t="s">
        <v>190</v>
      </c>
      <c r="H521" s="1">
        <v>214529</v>
      </c>
      <c r="I521" s="1">
        <v>459040</v>
      </c>
      <c r="J521" s="1">
        <v>673569</v>
      </c>
      <c r="K521">
        <f>VLOOKUP(F521,'LEAID Match'!$A$2:$C$2979,3,FALSE)</f>
        <v>2005400</v>
      </c>
    </row>
    <row r="522" spans="1:11" x14ac:dyDescent="0.2">
      <c r="A522">
        <v>0</v>
      </c>
      <c r="B522">
        <v>2016</v>
      </c>
      <c r="C522" t="s">
        <v>6</v>
      </c>
      <c r="D522" t="s">
        <v>7</v>
      </c>
      <c r="E522" t="s">
        <v>8</v>
      </c>
      <c r="F522" s="3">
        <v>5145</v>
      </c>
      <c r="G522" s="3" t="s">
        <v>191</v>
      </c>
      <c r="H522" s="22">
        <v>203022</v>
      </c>
      <c r="I522" s="1">
        <v>434420</v>
      </c>
      <c r="J522" s="1">
        <v>637442</v>
      </c>
      <c r="K522">
        <f>VLOOKUP(F522,'LEAID Match'!$A$2:$C$2979,3,FALSE)</f>
        <v>0</v>
      </c>
    </row>
    <row r="523" spans="1:11" x14ac:dyDescent="0.2">
      <c r="A523">
        <v>2005490</v>
      </c>
      <c r="B523">
        <v>2016</v>
      </c>
      <c r="C523" t="s">
        <v>6</v>
      </c>
      <c r="D523" t="s">
        <v>7</v>
      </c>
      <c r="E523" t="s">
        <v>8</v>
      </c>
      <c r="F523" s="3">
        <v>5147</v>
      </c>
      <c r="G523" s="3" t="s">
        <v>192</v>
      </c>
      <c r="H523" s="1">
        <v>4120865</v>
      </c>
      <c r="I523" s="21">
        <v>8817610</v>
      </c>
      <c r="J523" s="21">
        <v>12938475</v>
      </c>
      <c r="K523">
        <f>VLOOKUP(F523,'LEAID Match'!$A$2:$C$2979,3,FALSE)</f>
        <v>2005490</v>
      </c>
    </row>
    <row r="524" spans="1:11" x14ac:dyDescent="0.2">
      <c r="A524">
        <v>2009570</v>
      </c>
      <c r="B524">
        <v>2016</v>
      </c>
      <c r="C524" t="s">
        <v>6</v>
      </c>
      <c r="D524" t="s">
        <v>7</v>
      </c>
      <c r="E524" t="s">
        <v>8</v>
      </c>
      <c r="F524" s="3">
        <v>5148</v>
      </c>
      <c r="G524" s="3" t="s">
        <v>193</v>
      </c>
      <c r="H524" s="1">
        <v>412262</v>
      </c>
      <c r="I524" s="1">
        <v>882140</v>
      </c>
      <c r="J524" s="1">
        <v>1294402</v>
      </c>
      <c r="K524">
        <f>VLOOKUP(F524,'LEAID Match'!$A$2:$C$2979,3,FALSE)</f>
        <v>2009570</v>
      </c>
    </row>
    <row r="525" spans="1:11" x14ac:dyDescent="0.2">
      <c r="A525">
        <v>2004290</v>
      </c>
      <c r="B525">
        <v>2016</v>
      </c>
      <c r="C525" t="s">
        <v>6</v>
      </c>
      <c r="D525" t="s">
        <v>7</v>
      </c>
      <c r="E525" t="s">
        <v>8</v>
      </c>
      <c r="F525">
        <v>5149</v>
      </c>
      <c r="G525" t="s">
        <v>194</v>
      </c>
      <c r="H525" s="1">
        <v>732328</v>
      </c>
      <c r="I525" s="1">
        <v>1567000</v>
      </c>
      <c r="J525" s="1">
        <v>2299328</v>
      </c>
      <c r="K525">
        <f>VLOOKUP(F525,'LEAID Match'!$A$2:$C$2979,3,FALSE)</f>
        <v>2004290</v>
      </c>
    </row>
    <row r="526" spans="1:11" x14ac:dyDescent="0.2">
      <c r="A526">
        <v>2007740</v>
      </c>
      <c r="B526">
        <v>2016</v>
      </c>
      <c r="C526" t="s">
        <v>6</v>
      </c>
      <c r="D526" t="s">
        <v>7</v>
      </c>
      <c r="E526" t="s">
        <v>8</v>
      </c>
      <c r="F526">
        <v>5150</v>
      </c>
      <c r="G526" t="s">
        <v>247</v>
      </c>
      <c r="H526" s="1">
        <v>789613</v>
      </c>
      <c r="I526" s="1">
        <v>1689570</v>
      </c>
      <c r="J526" s="1">
        <v>2479183</v>
      </c>
      <c r="K526">
        <f>VLOOKUP(F526,'LEAID Match'!$A$2:$C$2979,3,FALSE)</f>
        <v>2007740</v>
      </c>
    </row>
    <row r="527" spans="1:11" x14ac:dyDescent="0.2">
      <c r="A527">
        <v>2010050</v>
      </c>
      <c r="B527">
        <v>2016</v>
      </c>
      <c r="C527" t="s">
        <v>6</v>
      </c>
      <c r="D527" t="s">
        <v>7</v>
      </c>
      <c r="E527" t="s">
        <v>8</v>
      </c>
      <c r="F527">
        <v>5151</v>
      </c>
      <c r="G527" t="s">
        <v>196</v>
      </c>
      <c r="H527" s="1">
        <v>254306</v>
      </c>
      <c r="I527" s="1">
        <v>544150</v>
      </c>
      <c r="J527" s="1">
        <v>798456</v>
      </c>
      <c r="K527">
        <f>VLOOKUP(F527,'LEAID Match'!$A$2:$C$2979,3,FALSE)</f>
        <v>2010050</v>
      </c>
    </row>
    <row r="528" spans="1:11" x14ac:dyDescent="0.2">
      <c r="A528">
        <v>2007500</v>
      </c>
      <c r="B528">
        <v>2016</v>
      </c>
      <c r="C528" t="s">
        <v>6</v>
      </c>
      <c r="D528" t="s">
        <v>7</v>
      </c>
      <c r="E528" t="s">
        <v>8</v>
      </c>
      <c r="F528">
        <v>5152</v>
      </c>
      <c r="G528" t="s">
        <v>197</v>
      </c>
      <c r="H528" s="20">
        <v>401807</v>
      </c>
      <c r="I528" s="1">
        <v>859770</v>
      </c>
      <c r="J528" s="1">
        <v>1261577</v>
      </c>
      <c r="K528">
        <f>VLOOKUP(F528,'LEAID Match'!$A$2:$C$2979,3,FALSE)</f>
        <v>2007500</v>
      </c>
    </row>
    <row r="529" spans="1:11" x14ac:dyDescent="0.2">
      <c r="A529">
        <v>2005760</v>
      </c>
      <c r="B529">
        <v>2016</v>
      </c>
      <c r="C529" t="s">
        <v>6</v>
      </c>
      <c r="D529" t="s">
        <v>7</v>
      </c>
      <c r="E529" t="s">
        <v>8</v>
      </c>
      <c r="F529">
        <v>5153</v>
      </c>
      <c r="G529" t="s">
        <v>198</v>
      </c>
      <c r="H529" s="1">
        <v>108743</v>
      </c>
      <c r="I529" s="1">
        <v>232680</v>
      </c>
      <c r="J529" s="1">
        <v>341423</v>
      </c>
      <c r="K529">
        <f>VLOOKUP(F529,'LEAID Match'!$A$2:$C$2979,3,FALSE)</f>
        <v>2005760</v>
      </c>
    </row>
    <row r="530" spans="1:11" x14ac:dyDescent="0.2">
      <c r="A530">
        <v>2012120</v>
      </c>
      <c r="B530">
        <v>2016</v>
      </c>
      <c r="C530" t="s">
        <v>6</v>
      </c>
      <c r="D530" t="s">
        <v>7</v>
      </c>
      <c r="E530" t="s">
        <v>8</v>
      </c>
      <c r="F530">
        <v>5154</v>
      </c>
      <c r="G530" s="9" t="s">
        <v>199</v>
      </c>
      <c r="H530" s="1">
        <v>164041</v>
      </c>
      <c r="I530" s="1">
        <v>351010</v>
      </c>
      <c r="J530" s="1">
        <v>515051</v>
      </c>
      <c r="K530">
        <f>VLOOKUP(F530,'LEAID Match'!$A$2:$C$2979,3,FALSE)</f>
        <v>2012120</v>
      </c>
    </row>
    <row r="531" spans="1:11" x14ac:dyDescent="0.2">
      <c r="A531">
        <v>2010920</v>
      </c>
      <c r="B531">
        <v>2016</v>
      </c>
      <c r="C531" t="s">
        <v>6</v>
      </c>
      <c r="D531" t="s">
        <v>7</v>
      </c>
      <c r="E531" t="s">
        <v>8</v>
      </c>
      <c r="F531" s="3">
        <v>5155</v>
      </c>
      <c r="G531" s="3" t="s">
        <v>200</v>
      </c>
      <c r="H531" s="22">
        <v>173279</v>
      </c>
      <c r="I531" s="1">
        <v>370770</v>
      </c>
      <c r="J531" s="1">
        <v>544049</v>
      </c>
      <c r="K531">
        <f>VLOOKUP(F531,'LEAID Match'!$A$2:$C$2979,3,FALSE)</f>
        <v>2010920</v>
      </c>
    </row>
    <row r="532" spans="1:11" x14ac:dyDescent="0.2">
      <c r="A532">
        <v>2005010</v>
      </c>
      <c r="B532">
        <v>2016</v>
      </c>
      <c r="C532" t="s">
        <v>6</v>
      </c>
      <c r="D532" t="s">
        <v>7</v>
      </c>
      <c r="E532" t="s">
        <v>8</v>
      </c>
      <c r="F532" s="3">
        <v>5156</v>
      </c>
      <c r="G532" s="3" t="s">
        <v>201</v>
      </c>
      <c r="H532" s="1">
        <v>520317</v>
      </c>
      <c r="I532" s="21">
        <v>1113350</v>
      </c>
      <c r="J532" s="21">
        <v>1633667</v>
      </c>
      <c r="K532">
        <f>VLOOKUP(F532,'LEAID Match'!$A$2:$C$2979,3,FALSE)</f>
        <v>2005010</v>
      </c>
    </row>
    <row r="533" spans="1:11" x14ac:dyDescent="0.2">
      <c r="A533">
        <v>2008910</v>
      </c>
      <c r="B533">
        <v>2016</v>
      </c>
      <c r="C533" t="s">
        <v>6</v>
      </c>
      <c r="D533" t="s">
        <v>7</v>
      </c>
      <c r="E533" t="s">
        <v>8</v>
      </c>
      <c r="F533" s="3">
        <v>5157</v>
      </c>
      <c r="G533" s="3" t="s">
        <v>202</v>
      </c>
      <c r="H533" s="1">
        <v>123838</v>
      </c>
      <c r="I533" s="1">
        <v>264980</v>
      </c>
      <c r="J533" s="1">
        <v>388818</v>
      </c>
      <c r="K533">
        <f>VLOOKUP(F533,'LEAID Match'!$A$2:$C$2979,3,FALSE)</f>
        <v>2008910</v>
      </c>
    </row>
    <row r="534" spans="1:11" x14ac:dyDescent="0.2">
      <c r="A534">
        <v>2008070</v>
      </c>
      <c r="B534">
        <v>2016</v>
      </c>
      <c r="C534" t="s">
        <v>6</v>
      </c>
      <c r="D534" t="s">
        <v>7</v>
      </c>
      <c r="E534" t="s">
        <v>8</v>
      </c>
      <c r="F534">
        <v>5158</v>
      </c>
      <c r="G534" t="s">
        <v>203</v>
      </c>
      <c r="H534" s="1">
        <v>548554</v>
      </c>
      <c r="I534" s="1">
        <v>1173770</v>
      </c>
      <c r="J534" s="1">
        <v>1722324</v>
      </c>
      <c r="K534">
        <f>VLOOKUP(F534,'LEAID Match'!$A$2:$C$2979,3,FALSE)</f>
        <v>2008070</v>
      </c>
    </row>
    <row r="535" spans="1:11" x14ac:dyDescent="0.2">
      <c r="A535">
        <v>2005100</v>
      </c>
      <c r="B535">
        <v>2016</v>
      </c>
      <c r="C535" t="s">
        <v>6</v>
      </c>
      <c r="D535" t="s">
        <v>7</v>
      </c>
      <c r="E535" t="s">
        <v>8</v>
      </c>
      <c r="F535">
        <v>5159</v>
      </c>
      <c r="G535" t="s">
        <v>204</v>
      </c>
      <c r="H535" s="1">
        <v>802864</v>
      </c>
      <c r="I535" s="1">
        <v>1717930</v>
      </c>
      <c r="J535" s="1">
        <v>2520794</v>
      </c>
      <c r="K535">
        <f>VLOOKUP(F535,'LEAID Match'!$A$2:$C$2979,3,FALSE)</f>
        <v>2005100</v>
      </c>
    </row>
    <row r="536" spans="1:11" x14ac:dyDescent="0.2">
      <c r="A536">
        <v>2008100</v>
      </c>
      <c r="B536">
        <v>2016</v>
      </c>
      <c r="C536" t="s">
        <v>6</v>
      </c>
      <c r="D536" t="s">
        <v>7</v>
      </c>
      <c r="E536" t="s">
        <v>8</v>
      </c>
      <c r="F536">
        <v>5160</v>
      </c>
      <c r="G536" t="s">
        <v>205</v>
      </c>
      <c r="H536" s="1">
        <v>235933</v>
      </c>
      <c r="I536" s="1">
        <v>504840</v>
      </c>
      <c r="J536" s="1">
        <v>740773</v>
      </c>
      <c r="K536">
        <f>VLOOKUP(F536,'LEAID Match'!$A$2:$C$2979,3,FALSE)</f>
        <v>2008100</v>
      </c>
    </row>
    <row r="537" spans="1:11" x14ac:dyDescent="0.2">
      <c r="A537">
        <v>2005130</v>
      </c>
      <c r="B537">
        <v>2016</v>
      </c>
      <c r="C537" t="s">
        <v>6</v>
      </c>
      <c r="D537" t="s">
        <v>7</v>
      </c>
      <c r="E537" t="s">
        <v>8</v>
      </c>
      <c r="F537">
        <v>5161</v>
      </c>
      <c r="G537" t="s">
        <v>206</v>
      </c>
      <c r="H537" s="20">
        <v>306532</v>
      </c>
      <c r="I537" s="1">
        <v>655900</v>
      </c>
      <c r="J537" s="1">
        <v>962432</v>
      </c>
      <c r="K537">
        <f>VLOOKUP(F537,'LEAID Match'!$A$2:$C$2979,3,FALSE)</f>
        <v>2005130</v>
      </c>
    </row>
    <row r="538" spans="1:11" x14ac:dyDescent="0.2">
      <c r="A538">
        <v>2005700</v>
      </c>
      <c r="B538">
        <v>2016</v>
      </c>
      <c r="C538" t="s">
        <v>6</v>
      </c>
      <c r="D538" t="s">
        <v>7</v>
      </c>
      <c r="E538" t="s">
        <v>8</v>
      </c>
      <c r="F538">
        <v>5162</v>
      </c>
      <c r="G538" t="s">
        <v>207</v>
      </c>
      <c r="H538" s="1">
        <v>364704</v>
      </c>
      <c r="I538" s="1">
        <v>780370</v>
      </c>
      <c r="J538" s="1">
        <v>1145074</v>
      </c>
      <c r="K538">
        <f>VLOOKUP(F538,'LEAID Match'!$A$2:$C$2979,3,FALSE)</f>
        <v>2005700</v>
      </c>
    </row>
    <row r="539" spans="1:11" x14ac:dyDescent="0.2">
      <c r="A539">
        <v>2008220</v>
      </c>
      <c r="B539">
        <v>2016</v>
      </c>
      <c r="C539" t="s">
        <v>6</v>
      </c>
      <c r="D539" t="s">
        <v>7</v>
      </c>
      <c r="E539" t="s">
        <v>8</v>
      </c>
      <c r="F539">
        <v>5163</v>
      </c>
      <c r="G539" s="9" t="s">
        <v>208</v>
      </c>
      <c r="H539" s="1">
        <v>214976</v>
      </c>
      <c r="I539" s="1">
        <v>459990</v>
      </c>
      <c r="J539" s="1">
        <v>674966</v>
      </c>
      <c r="K539">
        <f>VLOOKUP(F539,'LEAID Match'!$A$2:$C$2979,3,FALSE)</f>
        <v>2008220</v>
      </c>
    </row>
    <row r="540" spans="1:11" x14ac:dyDescent="0.2">
      <c r="A540">
        <v>2007530</v>
      </c>
      <c r="B540">
        <v>2016</v>
      </c>
      <c r="C540" t="s">
        <v>6</v>
      </c>
      <c r="D540" t="s">
        <v>7</v>
      </c>
      <c r="E540" t="s">
        <v>8</v>
      </c>
      <c r="F540" s="3">
        <v>5164</v>
      </c>
      <c r="G540" s="3" t="s">
        <v>209</v>
      </c>
      <c r="H540" s="22">
        <v>224877</v>
      </c>
      <c r="I540" s="1">
        <v>481180</v>
      </c>
      <c r="J540" s="1">
        <v>706057</v>
      </c>
      <c r="K540">
        <f>VLOOKUP(F540,'LEAID Match'!$A$2:$C$2979,3,FALSE)</f>
        <v>2007530</v>
      </c>
    </row>
    <row r="541" spans="1:11" x14ac:dyDescent="0.2">
      <c r="A541">
        <v>2012330</v>
      </c>
      <c r="B541">
        <v>2016</v>
      </c>
      <c r="C541" t="s">
        <v>6</v>
      </c>
      <c r="D541" t="s">
        <v>7</v>
      </c>
      <c r="E541" t="s">
        <v>8</v>
      </c>
      <c r="F541" s="3">
        <v>5166</v>
      </c>
      <c r="G541" s="3" t="s">
        <v>210</v>
      </c>
      <c r="H541" s="1">
        <v>221623</v>
      </c>
      <c r="I541" s="21">
        <v>474220</v>
      </c>
      <c r="J541" s="21">
        <v>695843</v>
      </c>
      <c r="K541">
        <f>VLOOKUP(F541,'LEAID Match'!$A$2:$C$2979,3,FALSE)</f>
        <v>2012330</v>
      </c>
    </row>
    <row r="542" spans="1:11" x14ac:dyDescent="0.2">
      <c r="A542">
        <v>2007470</v>
      </c>
      <c r="B542">
        <v>2016</v>
      </c>
      <c r="C542" t="s">
        <v>6</v>
      </c>
      <c r="D542" t="s">
        <v>7</v>
      </c>
      <c r="E542" t="s">
        <v>8</v>
      </c>
      <c r="F542" s="3">
        <v>5167</v>
      </c>
      <c r="G542" s="3" t="s">
        <v>211</v>
      </c>
      <c r="H542" s="1">
        <v>426931</v>
      </c>
      <c r="I542" s="1">
        <v>913520</v>
      </c>
      <c r="J542" s="1">
        <v>1340451</v>
      </c>
      <c r="K542">
        <f>VLOOKUP(F542,'LEAID Match'!$A$2:$C$2979,3,FALSE)</f>
        <v>2007470</v>
      </c>
    </row>
    <row r="543" spans="1:11" x14ac:dyDescent="0.2">
      <c r="A543">
        <v>2007320</v>
      </c>
      <c r="B543">
        <v>2016</v>
      </c>
      <c r="C543" t="s">
        <v>6</v>
      </c>
      <c r="D543" t="s">
        <v>7</v>
      </c>
      <c r="E543" t="s">
        <v>8</v>
      </c>
      <c r="F543">
        <v>5168</v>
      </c>
      <c r="G543" t="s">
        <v>212</v>
      </c>
      <c r="H543" s="1">
        <v>428118</v>
      </c>
      <c r="I543" s="1">
        <v>916060</v>
      </c>
      <c r="J543" s="1">
        <v>1344178</v>
      </c>
      <c r="K543">
        <f>VLOOKUP(F543,'LEAID Match'!$A$2:$C$2979,3,FALSE)</f>
        <v>2007320</v>
      </c>
    </row>
    <row r="544" spans="1:11" x14ac:dyDescent="0.2">
      <c r="A544">
        <v>2008880</v>
      </c>
      <c r="B544">
        <v>2016</v>
      </c>
      <c r="C544" t="s">
        <v>6</v>
      </c>
      <c r="D544" t="s">
        <v>7</v>
      </c>
      <c r="E544" t="s">
        <v>8</v>
      </c>
      <c r="F544">
        <v>5171</v>
      </c>
      <c r="G544" t="s">
        <v>213</v>
      </c>
      <c r="H544" s="1">
        <v>240994</v>
      </c>
      <c r="I544" s="1">
        <v>515670</v>
      </c>
      <c r="J544" s="1">
        <v>756664</v>
      </c>
      <c r="K544">
        <f>VLOOKUP(F544,'LEAID Match'!$A$2:$C$2979,3,FALSE)</f>
        <v>2008880</v>
      </c>
    </row>
    <row r="545" spans="1:11" x14ac:dyDescent="0.2">
      <c r="A545">
        <v>2004740</v>
      </c>
      <c r="B545">
        <v>2016</v>
      </c>
      <c r="C545" t="s">
        <v>6</v>
      </c>
      <c r="D545" t="s">
        <v>7</v>
      </c>
      <c r="E545" t="s">
        <v>8</v>
      </c>
      <c r="F545">
        <v>5172</v>
      </c>
      <c r="G545" t="s">
        <v>214</v>
      </c>
      <c r="H545" s="1">
        <v>541052</v>
      </c>
      <c r="I545" s="1">
        <v>1157710</v>
      </c>
      <c r="J545" s="1">
        <v>1698762</v>
      </c>
      <c r="K545">
        <f>VLOOKUP(F545,'LEAID Match'!$A$2:$C$2979,3,FALSE)</f>
        <v>2004740</v>
      </c>
    </row>
    <row r="546" spans="1:11" x14ac:dyDescent="0.2">
      <c r="A546">
        <v>2007860</v>
      </c>
      <c r="B546">
        <v>2016</v>
      </c>
      <c r="C546" t="s">
        <v>6</v>
      </c>
      <c r="D546" t="s">
        <v>7</v>
      </c>
      <c r="E546" t="s">
        <v>8</v>
      </c>
      <c r="F546">
        <v>5173</v>
      </c>
      <c r="G546" t="s">
        <v>215</v>
      </c>
      <c r="H546" s="20">
        <v>296955</v>
      </c>
      <c r="I546" s="1">
        <v>635410</v>
      </c>
      <c r="J546" s="1">
        <v>932365</v>
      </c>
      <c r="K546">
        <f>VLOOKUP(F546,'LEAID Match'!$A$2:$C$2979,3,FALSE)</f>
        <v>2007860</v>
      </c>
    </row>
    <row r="547" spans="1:11" x14ac:dyDescent="0.2">
      <c r="A547">
        <v>2007170</v>
      </c>
      <c r="B547">
        <v>2016</v>
      </c>
      <c r="C547" t="s">
        <v>6</v>
      </c>
      <c r="D547" t="s">
        <v>7</v>
      </c>
      <c r="E547" t="s">
        <v>8</v>
      </c>
      <c r="F547">
        <v>5174</v>
      </c>
      <c r="G547" t="s">
        <v>216</v>
      </c>
      <c r="H547" s="1">
        <v>443921</v>
      </c>
      <c r="I547" s="1">
        <v>949880</v>
      </c>
      <c r="J547" s="1">
        <v>1393801</v>
      </c>
      <c r="K547">
        <f>VLOOKUP(F547,'LEAID Match'!$A$2:$C$2979,3,FALSE)</f>
        <v>2007170</v>
      </c>
    </row>
    <row r="548" spans="1:11" x14ac:dyDescent="0.2">
      <c r="A548">
        <v>2004230</v>
      </c>
      <c r="B548">
        <v>2016</v>
      </c>
      <c r="C548" t="s">
        <v>6</v>
      </c>
      <c r="D548" t="s">
        <v>7</v>
      </c>
      <c r="E548" t="s">
        <v>8</v>
      </c>
      <c r="F548">
        <v>5175</v>
      </c>
      <c r="G548" s="9" t="s">
        <v>217</v>
      </c>
      <c r="H548" s="1">
        <v>238066</v>
      </c>
      <c r="I548" s="1">
        <v>509400</v>
      </c>
      <c r="J548" s="1">
        <v>747466</v>
      </c>
      <c r="K548">
        <f>VLOOKUP(F548,'LEAID Match'!$A$2:$C$2979,3,FALSE)</f>
        <v>2004230</v>
      </c>
    </row>
    <row r="549" spans="1:11" x14ac:dyDescent="0.2">
      <c r="A549">
        <v>2008340</v>
      </c>
      <c r="B549">
        <v>2016</v>
      </c>
      <c r="C549" t="s">
        <v>6</v>
      </c>
      <c r="D549" t="s">
        <v>7</v>
      </c>
      <c r="E549" t="s">
        <v>8</v>
      </c>
      <c r="F549" s="3">
        <v>5176</v>
      </c>
      <c r="G549" s="3" t="s">
        <v>218</v>
      </c>
      <c r="H549" s="22">
        <v>1795652</v>
      </c>
      <c r="I549" s="1">
        <v>3842240</v>
      </c>
      <c r="J549" s="1">
        <v>5637892</v>
      </c>
      <c r="K549">
        <f>VLOOKUP(F549,'LEAID Match'!$A$2:$C$2979,3,FALSE)</f>
        <v>2008340</v>
      </c>
    </row>
    <row r="550" spans="1:11" x14ac:dyDescent="0.2">
      <c r="A550">
        <v>2012000</v>
      </c>
      <c r="B550">
        <v>2016</v>
      </c>
      <c r="C550" t="s">
        <v>6</v>
      </c>
      <c r="D550" t="s">
        <v>7</v>
      </c>
      <c r="E550" t="s">
        <v>8</v>
      </c>
      <c r="F550" s="3">
        <v>5185</v>
      </c>
      <c r="G550" s="3" t="s">
        <v>219</v>
      </c>
      <c r="H550" s="1">
        <v>14836864</v>
      </c>
      <c r="I550" s="21">
        <v>31747150</v>
      </c>
      <c r="J550" s="21">
        <v>46584014</v>
      </c>
      <c r="K550">
        <f>VLOOKUP(F550,'LEAID Match'!$A$2:$C$2979,3,FALSE)</f>
        <v>2012000</v>
      </c>
    </row>
    <row r="551" spans="1:11" x14ac:dyDescent="0.2">
      <c r="A551">
        <v>2000007</v>
      </c>
      <c r="B551">
        <v>2016</v>
      </c>
      <c r="C551" t="s">
        <v>6</v>
      </c>
      <c r="D551" t="s">
        <v>7</v>
      </c>
      <c r="E551" t="s">
        <v>8</v>
      </c>
      <c r="F551" s="3">
        <v>5186</v>
      </c>
      <c r="G551" s="3" t="s">
        <v>220</v>
      </c>
      <c r="H551" s="1">
        <v>263973</v>
      </c>
      <c r="I551" s="1">
        <v>564840</v>
      </c>
      <c r="J551" s="1">
        <v>828813</v>
      </c>
      <c r="K551">
        <f>VLOOKUP(F551,'LEAID Match'!$A$2:$C$2979,3,FALSE)</f>
        <v>2000007</v>
      </c>
    </row>
    <row r="552" spans="1:11" x14ac:dyDescent="0.2">
      <c r="A552">
        <v>2003960</v>
      </c>
      <c r="B552">
        <v>2016</v>
      </c>
      <c r="C552" t="s">
        <v>6</v>
      </c>
      <c r="D552" t="s">
        <v>7</v>
      </c>
      <c r="E552" t="s">
        <v>8</v>
      </c>
      <c r="F552">
        <v>5187</v>
      </c>
      <c r="G552" t="s">
        <v>221</v>
      </c>
      <c r="H552" s="1">
        <v>353825</v>
      </c>
      <c r="I552" s="1">
        <v>757100</v>
      </c>
      <c r="J552" s="1">
        <v>1110925</v>
      </c>
      <c r="K552">
        <f>VLOOKUP(F552,'LEAID Match'!$A$2:$C$2979,3,FALSE)</f>
        <v>2003960</v>
      </c>
    </row>
    <row r="553" spans="1:11" x14ac:dyDescent="0.2">
      <c r="A553">
        <v>2012060</v>
      </c>
      <c r="B553">
        <v>2016</v>
      </c>
      <c r="C553" t="s">
        <v>6</v>
      </c>
      <c r="D553" t="s">
        <v>7</v>
      </c>
      <c r="E553" t="s">
        <v>8</v>
      </c>
      <c r="F553">
        <v>5188</v>
      </c>
      <c r="G553" t="s">
        <v>222</v>
      </c>
      <c r="H553" s="1">
        <v>178380</v>
      </c>
      <c r="I553" s="1">
        <v>381690</v>
      </c>
      <c r="J553" s="1">
        <v>560070</v>
      </c>
      <c r="K553">
        <f>VLOOKUP(F553,'LEAID Match'!$A$2:$C$2979,3,FALSE)</f>
        <v>2012060</v>
      </c>
    </row>
    <row r="554" spans="1:11" x14ac:dyDescent="0.2">
      <c r="A554">
        <v>2006780</v>
      </c>
      <c r="B554">
        <v>2016</v>
      </c>
      <c r="C554" t="s">
        <v>6</v>
      </c>
      <c r="D554" t="s">
        <v>7</v>
      </c>
      <c r="E554" t="s">
        <v>8</v>
      </c>
      <c r="F554">
        <v>5189</v>
      </c>
      <c r="G554" t="s">
        <v>223</v>
      </c>
      <c r="H554" s="1">
        <v>74216</v>
      </c>
      <c r="I554" s="1">
        <v>158800</v>
      </c>
      <c r="J554" s="1">
        <v>233016</v>
      </c>
      <c r="K554">
        <f>VLOOKUP(F554,'LEAID Match'!$A$2:$C$2979,3,FALSE)</f>
        <v>2006780</v>
      </c>
    </row>
    <row r="555" spans="1:11" x14ac:dyDescent="0.2">
      <c r="A555">
        <v>2011880</v>
      </c>
      <c r="B555">
        <v>2016</v>
      </c>
      <c r="C555" t="s">
        <v>6</v>
      </c>
      <c r="D555" t="s">
        <v>7</v>
      </c>
      <c r="E555" t="s">
        <v>8</v>
      </c>
      <c r="F555">
        <v>5190</v>
      </c>
      <c r="G555" t="s">
        <v>224</v>
      </c>
      <c r="H555" s="20">
        <v>208648</v>
      </c>
      <c r="I555" s="1">
        <v>446450</v>
      </c>
      <c r="J555" s="1">
        <v>655098</v>
      </c>
      <c r="K555">
        <f>VLOOKUP(F555,'LEAID Match'!$A$2:$C$2979,3,FALSE)</f>
        <v>2011880</v>
      </c>
    </row>
    <row r="556" spans="1:11" x14ac:dyDescent="0.2">
      <c r="A556">
        <v>2009990</v>
      </c>
      <c r="B556">
        <v>2016</v>
      </c>
      <c r="C556" t="s">
        <v>6</v>
      </c>
      <c r="D556" t="s">
        <v>7</v>
      </c>
      <c r="E556" t="s">
        <v>8</v>
      </c>
      <c r="F556">
        <v>5191</v>
      </c>
      <c r="G556" t="s">
        <v>225</v>
      </c>
      <c r="H556" s="1">
        <v>697011</v>
      </c>
      <c r="I556" s="1">
        <v>1491430</v>
      </c>
      <c r="J556" s="1">
        <v>2188441</v>
      </c>
      <c r="K556">
        <f>VLOOKUP(F556,'LEAID Match'!$A$2:$C$2979,3,FALSE)</f>
        <v>2009990</v>
      </c>
    </row>
    <row r="557" spans="1:11" x14ac:dyDescent="0.2">
      <c r="A557">
        <v>2008310</v>
      </c>
      <c r="B557">
        <v>2016</v>
      </c>
      <c r="C557" t="s">
        <v>6</v>
      </c>
      <c r="D557" t="s">
        <v>7</v>
      </c>
      <c r="E557" t="s">
        <v>8</v>
      </c>
      <c r="F557">
        <v>5192</v>
      </c>
      <c r="G557" s="9" t="s">
        <v>226</v>
      </c>
      <c r="H557" s="1">
        <v>242538</v>
      </c>
      <c r="I557" s="1">
        <v>518970</v>
      </c>
      <c r="J557" s="1">
        <v>761508</v>
      </c>
      <c r="K557">
        <f>VLOOKUP(F557,'LEAID Match'!$A$2:$C$2979,3,FALSE)</f>
        <v>2008310</v>
      </c>
    </row>
    <row r="558" spans="1:11" x14ac:dyDescent="0.2">
      <c r="A558">
        <v>2004200</v>
      </c>
      <c r="B558">
        <v>2016</v>
      </c>
      <c r="C558" t="s">
        <v>6</v>
      </c>
      <c r="D558" t="s">
        <v>7</v>
      </c>
      <c r="E558" t="s">
        <v>8</v>
      </c>
      <c r="F558" s="3">
        <v>5193</v>
      </c>
      <c r="G558" s="3" t="s">
        <v>227</v>
      </c>
      <c r="H558" s="22">
        <v>1219713</v>
      </c>
      <c r="I558" s="1">
        <v>2609880</v>
      </c>
      <c r="J558" s="1">
        <v>3829593</v>
      </c>
      <c r="K558">
        <f>VLOOKUP(F558,'LEAID Match'!$A$2:$C$2979,3,FALSE)</f>
        <v>2004200</v>
      </c>
    </row>
    <row r="559" spans="1:11" x14ac:dyDescent="0.2">
      <c r="A559">
        <v>2000004</v>
      </c>
      <c r="B559">
        <v>2016</v>
      </c>
      <c r="C559" t="s">
        <v>6</v>
      </c>
      <c r="D559" t="s">
        <v>7</v>
      </c>
      <c r="E559" t="s">
        <v>8</v>
      </c>
      <c r="F559" s="3">
        <v>5195</v>
      </c>
      <c r="G559" s="3" t="s">
        <v>228</v>
      </c>
      <c r="H559" s="1">
        <v>519310</v>
      </c>
      <c r="I559" s="21">
        <v>1111190</v>
      </c>
      <c r="J559" s="21">
        <v>1630500</v>
      </c>
      <c r="K559">
        <f>VLOOKUP(F559,'LEAID Match'!$A$2:$C$2979,3,FALSE)</f>
        <v>2000004</v>
      </c>
    </row>
    <row r="560" spans="1:11" x14ac:dyDescent="0.2">
      <c r="A560">
        <v>2010320</v>
      </c>
      <c r="B560">
        <v>2016</v>
      </c>
      <c r="C560" t="s">
        <v>6</v>
      </c>
      <c r="D560" t="s">
        <v>7</v>
      </c>
      <c r="E560" t="s">
        <v>8</v>
      </c>
      <c r="F560" s="3">
        <v>5196</v>
      </c>
      <c r="G560" s="3" t="s">
        <v>229</v>
      </c>
      <c r="H560" s="1">
        <v>336492</v>
      </c>
      <c r="I560" s="1">
        <v>720010</v>
      </c>
      <c r="J560" s="1">
        <v>1056502</v>
      </c>
      <c r="K560">
        <f>VLOOKUP(F560,'LEAID Match'!$A$2:$C$2979,3,FALSE)</f>
        <v>2010320</v>
      </c>
    </row>
    <row r="561" spans="1:11" x14ac:dyDescent="0.2">
      <c r="A561">
        <v>2009060</v>
      </c>
      <c r="B561">
        <v>2016</v>
      </c>
      <c r="C561" t="s">
        <v>6</v>
      </c>
      <c r="D561" t="s">
        <v>7</v>
      </c>
      <c r="E561" t="s">
        <v>8</v>
      </c>
      <c r="F561">
        <v>5197</v>
      </c>
      <c r="G561" t="s">
        <v>230</v>
      </c>
      <c r="H561" s="1">
        <v>229918</v>
      </c>
      <c r="I561" s="1">
        <v>491970</v>
      </c>
      <c r="J561" s="1">
        <v>721888</v>
      </c>
      <c r="K561">
        <f>VLOOKUP(F561,'LEAID Match'!$A$2:$C$2979,3,FALSE)</f>
        <v>2009060</v>
      </c>
    </row>
    <row r="562" spans="1:11" x14ac:dyDescent="0.2">
      <c r="A562">
        <v>2012840</v>
      </c>
      <c r="B562">
        <v>2016</v>
      </c>
      <c r="C562" t="s">
        <v>6</v>
      </c>
      <c r="D562" t="s">
        <v>7</v>
      </c>
      <c r="E562" t="s">
        <v>8</v>
      </c>
      <c r="F562">
        <v>5198</v>
      </c>
      <c r="G562" t="s">
        <v>231</v>
      </c>
      <c r="H562" s="1">
        <v>905856</v>
      </c>
      <c r="I562" s="1">
        <v>1938300</v>
      </c>
      <c r="J562" s="1">
        <v>2844156</v>
      </c>
      <c r="K562">
        <f>VLOOKUP(F562,'LEAID Match'!$A$2:$C$2979,3,FALSE)</f>
        <v>2012840</v>
      </c>
    </row>
    <row r="563" spans="1:11" x14ac:dyDescent="0.2">
      <c r="A563">
        <v>2005820</v>
      </c>
      <c r="B563">
        <v>2016</v>
      </c>
      <c r="C563" t="s">
        <v>6</v>
      </c>
      <c r="D563" t="s">
        <v>7</v>
      </c>
      <c r="E563" t="s">
        <v>8</v>
      </c>
      <c r="F563">
        <v>5199</v>
      </c>
      <c r="G563" t="s">
        <v>232</v>
      </c>
      <c r="H563" s="1">
        <v>265593</v>
      </c>
      <c r="I563" s="1">
        <v>568300</v>
      </c>
      <c r="J563" s="1">
        <v>833893</v>
      </c>
      <c r="K563">
        <f>VLOOKUP(F563,'LEAID Match'!$A$2:$C$2979,3,FALSE)</f>
        <v>2005820</v>
      </c>
    </row>
    <row r="564" spans="1:11" x14ac:dyDescent="0.2">
      <c r="A564">
        <v>2008250</v>
      </c>
      <c r="B564">
        <v>2016</v>
      </c>
      <c r="C564" t="s">
        <v>6</v>
      </c>
      <c r="D564" t="s">
        <v>7</v>
      </c>
      <c r="E564" t="s">
        <v>8</v>
      </c>
      <c r="F564">
        <v>5200</v>
      </c>
      <c r="G564" t="s">
        <v>233</v>
      </c>
      <c r="H564" s="20">
        <v>640201</v>
      </c>
      <c r="I564" s="1">
        <v>1369870</v>
      </c>
      <c r="J564" s="1">
        <v>2010071</v>
      </c>
      <c r="K564">
        <f>VLOOKUP(F564,'LEAID Match'!$A$2:$C$2979,3,FALSE)</f>
        <v>2008250</v>
      </c>
    </row>
    <row r="565" spans="1:11" x14ac:dyDescent="0.2">
      <c r="A565">
        <v>2004350</v>
      </c>
      <c r="B565">
        <v>2016</v>
      </c>
      <c r="C565" t="s">
        <v>6</v>
      </c>
      <c r="D565" t="s">
        <v>7</v>
      </c>
      <c r="E565" t="s">
        <v>8</v>
      </c>
      <c r="F565">
        <v>5201</v>
      </c>
      <c r="G565" t="s">
        <v>234</v>
      </c>
      <c r="H565" s="1">
        <v>179801</v>
      </c>
      <c r="I565" s="1">
        <v>384730</v>
      </c>
      <c r="J565" s="1">
        <v>564531</v>
      </c>
      <c r="K565">
        <f>VLOOKUP(F565,'LEAID Match'!$A$2:$C$2979,3,FALSE)</f>
        <v>2004350</v>
      </c>
    </row>
    <row r="566" spans="1:11" x14ac:dyDescent="0.2">
      <c r="A566">
        <v>2010290</v>
      </c>
      <c r="B566">
        <v>2016</v>
      </c>
      <c r="C566" t="s">
        <v>6</v>
      </c>
      <c r="D566" t="s">
        <v>7</v>
      </c>
      <c r="E566" t="s">
        <v>8</v>
      </c>
      <c r="F566">
        <v>5202</v>
      </c>
      <c r="G566" s="9" t="s">
        <v>235</v>
      </c>
      <c r="H566" s="1">
        <v>179055</v>
      </c>
      <c r="I566" s="1">
        <v>383130</v>
      </c>
      <c r="J566" s="1">
        <v>562185</v>
      </c>
      <c r="K566">
        <f>VLOOKUP(F566,'LEAID Match'!$A$2:$C$2979,3,FALSE)</f>
        <v>2010290</v>
      </c>
    </row>
    <row r="567" spans="1:11" x14ac:dyDescent="0.2">
      <c r="A567">
        <v>2000002</v>
      </c>
      <c r="B567">
        <v>2016</v>
      </c>
      <c r="C567" t="s">
        <v>6</v>
      </c>
      <c r="D567" t="s">
        <v>7</v>
      </c>
      <c r="E567" t="s">
        <v>8</v>
      </c>
      <c r="F567" s="3">
        <v>5203</v>
      </c>
      <c r="G567" s="3" t="s">
        <v>236</v>
      </c>
      <c r="H567" s="22">
        <v>543563</v>
      </c>
      <c r="I567" s="1">
        <v>1163090</v>
      </c>
      <c r="J567" s="1">
        <v>1706653</v>
      </c>
      <c r="K567">
        <f>VLOOKUP(F567,'LEAID Match'!$A$2:$C$2979,3,FALSE)</f>
        <v>2000002</v>
      </c>
    </row>
    <row r="568" spans="1:11" x14ac:dyDescent="0.2">
      <c r="A568">
        <v>2009030</v>
      </c>
      <c r="B568">
        <v>2016</v>
      </c>
      <c r="C568" t="s">
        <v>6</v>
      </c>
      <c r="D568" t="s">
        <v>7</v>
      </c>
      <c r="E568" t="s">
        <v>8</v>
      </c>
      <c r="F568" s="3">
        <v>5204</v>
      </c>
      <c r="G568" s="3" t="s">
        <v>237</v>
      </c>
      <c r="H568" s="1">
        <v>865936</v>
      </c>
      <c r="I568" s="21">
        <v>1852880</v>
      </c>
      <c r="J568" s="21">
        <v>2718816</v>
      </c>
      <c r="K568">
        <f>VLOOKUP(F568,'LEAID Match'!$A$2:$C$2979,3,FALSE)</f>
        <v>2009030</v>
      </c>
    </row>
    <row r="569" spans="1:11" x14ac:dyDescent="0.2">
      <c r="A569">
        <v>2009240</v>
      </c>
      <c r="B569">
        <v>2016</v>
      </c>
      <c r="C569" t="s">
        <v>6</v>
      </c>
      <c r="D569" t="s">
        <v>7</v>
      </c>
      <c r="E569" t="s">
        <v>8</v>
      </c>
      <c r="F569" s="3">
        <v>5205</v>
      </c>
      <c r="G569" s="3" t="s">
        <v>238</v>
      </c>
      <c r="H569" s="1">
        <v>323097</v>
      </c>
      <c r="I569" s="1">
        <v>691350</v>
      </c>
      <c r="J569" s="1">
        <v>1014447</v>
      </c>
      <c r="K569">
        <f>VLOOKUP(F569,'LEAID Match'!$A$2:$C$2979,3,FALSE)</f>
        <v>2009240</v>
      </c>
    </row>
    <row r="570" spans="1:11" x14ac:dyDescent="0.2">
      <c r="A570">
        <v>2007290</v>
      </c>
      <c r="B570">
        <v>2016</v>
      </c>
      <c r="C570" t="s">
        <v>6</v>
      </c>
      <c r="D570" t="s">
        <v>7</v>
      </c>
      <c r="E570" t="s">
        <v>8</v>
      </c>
      <c r="F570">
        <v>5206</v>
      </c>
      <c r="G570" t="s">
        <v>239</v>
      </c>
      <c r="H570" s="1">
        <v>386969</v>
      </c>
      <c r="I570" s="1">
        <v>828020</v>
      </c>
      <c r="J570" s="1">
        <v>1214989</v>
      </c>
      <c r="K570">
        <f>VLOOKUP(F570,'LEAID Match'!$A$2:$C$2979,3,FALSE)</f>
        <v>2007290</v>
      </c>
    </row>
    <row r="571" spans="1:11" x14ac:dyDescent="0.2">
      <c r="A571">
        <v>2008970</v>
      </c>
      <c r="B571">
        <v>2016</v>
      </c>
      <c r="C571" t="s">
        <v>6</v>
      </c>
      <c r="D571" t="s">
        <v>7</v>
      </c>
      <c r="E571" t="s">
        <v>8</v>
      </c>
      <c r="F571">
        <v>5207</v>
      </c>
      <c r="G571" t="s">
        <v>240</v>
      </c>
      <c r="H571" s="1">
        <v>775315</v>
      </c>
      <c r="I571" s="1">
        <v>1658980</v>
      </c>
      <c r="J571" s="1">
        <v>2434295</v>
      </c>
      <c r="K571">
        <f>VLOOKUP(F571,'LEAID Match'!$A$2:$C$2979,3,FALSE)</f>
        <v>2008970</v>
      </c>
    </row>
    <row r="572" spans="1:11" x14ac:dyDescent="0.2">
      <c r="A572">
        <v>2009780</v>
      </c>
      <c r="B572">
        <v>2016</v>
      </c>
      <c r="C572" t="s">
        <v>6</v>
      </c>
      <c r="D572" t="s">
        <v>7</v>
      </c>
      <c r="E572" t="s">
        <v>8</v>
      </c>
      <c r="F572">
        <v>5208</v>
      </c>
      <c r="G572" t="s">
        <v>241</v>
      </c>
      <c r="H572" s="1">
        <v>238554</v>
      </c>
      <c r="I572" s="1">
        <v>510450</v>
      </c>
      <c r="J572" s="1">
        <v>749004</v>
      </c>
      <c r="K572">
        <f>VLOOKUP(F572,'LEAID Match'!$A$2:$C$2979,3,FALSE)</f>
        <v>2009780</v>
      </c>
    </row>
    <row r="573" spans="1:11" x14ac:dyDescent="0.2">
      <c r="A573">
        <v>2006660</v>
      </c>
      <c r="B573">
        <v>2016</v>
      </c>
      <c r="C573" t="s">
        <v>6</v>
      </c>
      <c r="D573" t="s">
        <v>7</v>
      </c>
      <c r="E573" t="s">
        <v>8</v>
      </c>
      <c r="F573">
        <v>5210</v>
      </c>
      <c r="G573" t="s">
        <v>242</v>
      </c>
      <c r="H573" s="20">
        <v>2620859</v>
      </c>
      <c r="I573" s="1">
        <v>5607980</v>
      </c>
      <c r="J573" s="1">
        <v>8228839</v>
      </c>
      <c r="K573">
        <f>VLOOKUP(F573,'LEAID Match'!$A$2:$C$2979,3,FALSE)</f>
        <v>2006660</v>
      </c>
    </row>
    <row r="574" spans="1:11" x14ac:dyDescent="0.2">
      <c r="A574">
        <v>2010410</v>
      </c>
      <c r="B574">
        <v>2016</v>
      </c>
      <c r="C574" t="s">
        <v>6</v>
      </c>
      <c r="D574" t="s">
        <v>7</v>
      </c>
      <c r="E574" t="s">
        <v>8</v>
      </c>
      <c r="F574">
        <v>5212</v>
      </c>
      <c r="G574" t="s">
        <v>243</v>
      </c>
      <c r="H574" s="1">
        <v>551710</v>
      </c>
      <c r="I574" s="1">
        <v>1180520</v>
      </c>
      <c r="J574" s="1">
        <v>1732230</v>
      </c>
      <c r="K574">
        <f>VLOOKUP(F574,'LEAID Match'!$A$2:$C$2979,3,FALSE)</f>
        <v>2010410</v>
      </c>
    </row>
    <row r="575" spans="1:11" x14ac:dyDescent="0.2">
      <c r="A575">
        <v>2004410</v>
      </c>
      <c r="B575">
        <v>2016</v>
      </c>
      <c r="C575" t="s">
        <v>6</v>
      </c>
      <c r="D575" t="s">
        <v>7</v>
      </c>
      <c r="E575" t="s">
        <v>8</v>
      </c>
      <c r="F575">
        <v>5213</v>
      </c>
      <c r="G575" s="9" t="s">
        <v>244</v>
      </c>
      <c r="H575" s="1">
        <v>477057</v>
      </c>
      <c r="I575" s="1">
        <v>1020780</v>
      </c>
      <c r="J575" s="1">
        <v>1497837</v>
      </c>
      <c r="K575">
        <f>VLOOKUP(F575,'LEAID Match'!$A$2:$C$2979,3,FALSE)</f>
        <v>2004410</v>
      </c>
    </row>
    <row r="576" spans="1:11" x14ac:dyDescent="0.2">
      <c r="A576">
        <v>2012180</v>
      </c>
      <c r="B576">
        <v>2016</v>
      </c>
      <c r="C576" t="s">
        <v>6</v>
      </c>
      <c r="D576" t="s">
        <v>7</v>
      </c>
      <c r="E576" t="s">
        <v>8</v>
      </c>
      <c r="F576" s="3">
        <v>5214</v>
      </c>
      <c r="G576" s="3" t="s">
        <v>245</v>
      </c>
      <c r="H576" s="22">
        <v>2289254</v>
      </c>
      <c r="I576" s="1">
        <v>4898430</v>
      </c>
      <c r="J576" s="1">
        <v>7187684</v>
      </c>
      <c r="K576">
        <f>VLOOKUP(F576,'LEAID Match'!$A$2:$C$2979,3,FALSE)</f>
        <v>2012180</v>
      </c>
    </row>
    <row r="577" spans="1:11" x14ac:dyDescent="0.2">
      <c r="A577">
        <v>2000017</v>
      </c>
      <c r="B577">
        <v>2016</v>
      </c>
      <c r="C577" t="s">
        <v>6</v>
      </c>
      <c r="D577" t="s">
        <v>7</v>
      </c>
      <c r="E577" t="s">
        <v>8</v>
      </c>
      <c r="F577" s="3">
        <v>5215</v>
      </c>
      <c r="G577" s="3" t="s">
        <v>246</v>
      </c>
      <c r="H577" s="1">
        <v>520880</v>
      </c>
      <c r="I577" s="21">
        <v>1114550</v>
      </c>
      <c r="J577" s="21">
        <v>1635430</v>
      </c>
      <c r="K577">
        <f>VLOOKUP(F577,'LEAID Match'!$A$2:$C$2979,3,FALSE)</f>
        <v>2000017</v>
      </c>
    </row>
    <row r="578" spans="1:11" x14ac:dyDescent="0.2">
      <c r="A578">
        <v>2004620</v>
      </c>
      <c r="B578">
        <v>2016</v>
      </c>
      <c r="C578" t="s">
        <v>6</v>
      </c>
      <c r="D578" t="s">
        <v>7</v>
      </c>
      <c r="E578" t="s">
        <v>8</v>
      </c>
      <c r="F578" s="3">
        <v>5216</v>
      </c>
      <c r="G578" s="3" t="s">
        <v>299</v>
      </c>
      <c r="H578" s="1">
        <v>736708</v>
      </c>
      <c r="I578" s="1">
        <v>1576370</v>
      </c>
      <c r="J578" s="1">
        <v>2313078</v>
      </c>
      <c r="K578">
        <f>VLOOKUP(F578,'LEAID Match'!$A$2:$C$2979,3,FALSE)</f>
        <v>2004620</v>
      </c>
    </row>
    <row r="579" spans="1:11" x14ac:dyDescent="0.2">
      <c r="A579">
        <v>2005190</v>
      </c>
      <c r="B579">
        <v>2016</v>
      </c>
      <c r="C579" t="s">
        <v>6</v>
      </c>
      <c r="D579" t="s">
        <v>7</v>
      </c>
      <c r="E579" t="s">
        <v>8</v>
      </c>
      <c r="F579">
        <v>5217</v>
      </c>
      <c r="G579" t="s">
        <v>248</v>
      </c>
      <c r="H579" s="1">
        <v>94538</v>
      </c>
      <c r="I579" s="1">
        <v>202290</v>
      </c>
      <c r="J579" s="1">
        <v>296828</v>
      </c>
      <c r="K579">
        <f>VLOOKUP(F579,'LEAID Match'!$A$2:$C$2979,3,FALSE)</f>
        <v>2005190</v>
      </c>
    </row>
    <row r="580" spans="1:11" x14ac:dyDescent="0.2">
      <c r="A580">
        <v>2007440</v>
      </c>
      <c r="B580">
        <v>2016</v>
      </c>
      <c r="C580" t="s">
        <v>6</v>
      </c>
      <c r="D580" t="s">
        <v>7</v>
      </c>
      <c r="E580" t="s">
        <v>8</v>
      </c>
      <c r="F580">
        <v>5218</v>
      </c>
      <c r="G580" t="s">
        <v>249</v>
      </c>
      <c r="H580" s="1">
        <v>231696</v>
      </c>
      <c r="I580" s="1">
        <v>495770</v>
      </c>
      <c r="J580" s="1">
        <v>727466</v>
      </c>
      <c r="K580">
        <f>VLOOKUP(F580,'LEAID Match'!$A$2:$C$2979,3,FALSE)</f>
        <v>2007440</v>
      </c>
    </row>
    <row r="581" spans="1:11" x14ac:dyDescent="0.2">
      <c r="A581">
        <v>2011610</v>
      </c>
      <c r="B581">
        <v>2016</v>
      </c>
      <c r="C581" t="s">
        <v>6</v>
      </c>
      <c r="D581" t="s">
        <v>7</v>
      </c>
      <c r="E581" t="s">
        <v>8</v>
      </c>
      <c r="F581">
        <v>5219</v>
      </c>
      <c r="G581" t="s">
        <v>250</v>
      </c>
      <c r="H581" s="1">
        <v>130147</v>
      </c>
      <c r="I581" s="1">
        <v>278480</v>
      </c>
      <c r="J581" s="1">
        <v>408627</v>
      </c>
      <c r="K581">
        <f>VLOOKUP(F581,'LEAID Match'!$A$2:$C$2979,3,FALSE)</f>
        <v>2011610</v>
      </c>
    </row>
    <row r="582" spans="1:11" x14ac:dyDescent="0.2">
      <c r="A582">
        <v>2012810</v>
      </c>
      <c r="B582">
        <v>2016</v>
      </c>
      <c r="C582" t="s">
        <v>6</v>
      </c>
      <c r="D582" t="s">
        <v>7</v>
      </c>
      <c r="E582" t="s">
        <v>8</v>
      </c>
      <c r="F582">
        <v>5220</v>
      </c>
      <c r="G582" t="s">
        <v>251</v>
      </c>
      <c r="H582" s="20">
        <v>302054</v>
      </c>
      <c r="I582" s="1">
        <v>646320</v>
      </c>
      <c r="J582" s="1">
        <v>948374</v>
      </c>
      <c r="K582">
        <f>VLOOKUP(F582,'LEAID Match'!$A$2:$C$2979,3,FALSE)</f>
        <v>2012810</v>
      </c>
    </row>
    <row r="583" spans="1:11" x14ac:dyDescent="0.2">
      <c r="A583">
        <v>2005800</v>
      </c>
      <c r="B583">
        <v>2016</v>
      </c>
      <c r="C583" t="s">
        <v>6</v>
      </c>
      <c r="D583" t="s">
        <v>7</v>
      </c>
      <c r="E583" t="s">
        <v>8</v>
      </c>
      <c r="F583">
        <v>5222</v>
      </c>
      <c r="G583" t="s">
        <v>252</v>
      </c>
      <c r="H583" s="1">
        <v>274345</v>
      </c>
      <c r="I583" s="1">
        <v>587030</v>
      </c>
      <c r="J583" s="1">
        <v>861375</v>
      </c>
      <c r="K583">
        <f>VLOOKUP(F583,'LEAID Match'!$A$2:$C$2979,3,FALSE)</f>
        <v>2005800</v>
      </c>
    </row>
    <row r="584" spans="1:11" x14ac:dyDescent="0.2">
      <c r="A584">
        <v>2013020</v>
      </c>
      <c r="B584">
        <v>2016</v>
      </c>
      <c r="C584" t="s">
        <v>6</v>
      </c>
      <c r="D584" t="s">
        <v>7</v>
      </c>
      <c r="E584" t="s">
        <v>8</v>
      </c>
      <c r="F584">
        <v>5223</v>
      </c>
      <c r="G584" s="9" t="s">
        <v>253</v>
      </c>
      <c r="H584" s="1">
        <v>291222</v>
      </c>
      <c r="I584" s="1">
        <v>623140</v>
      </c>
      <c r="J584" s="1">
        <v>914362</v>
      </c>
      <c r="K584">
        <f>VLOOKUP(F584,'LEAID Match'!$A$2:$C$2979,3,FALSE)</f>
        <v>2013020</v>
      </c>
    </row>
    <row r="585" spans="1:11" x14ac:dyDescent="0.2">
      <c r="A585">
        <v>2004470</v>
      </c>
      <c r="B585">
        <v>2016</v>
      </c>
      <c r="C585" t="s">
        <v>6</v>
      </c>
      <c r="D585" t="s">
        <v>7</v>
      </c>
      <c r="E585" t="s">
        <v>8</v>
      </c>
      <c r="F585" s="3">
        <v>5226</v>
      </c>
      <c r="G585" s="3" t="s">
        <v>254</v>
      </c>
      <c r="H585" s="22">
        <v>150779</v>
      </c>
      <c r="I585" s="1">
        <v>322630</v>
      </c>
      <c r="J585" s="1">
        <v>473409</v>
      </c>
      <c r="K585">
        <f>VLOOKUP(F585,'LEAID Match'!$A$2:$C$2979,3,FALSE)</f>
        <v>2004470</v>
      </c>
    </row>
    <row r="586" spans="1:11" x14ac:dyDescent="0.2">
      <c r="A586">
        <v>2000013</v>
      </c>
      <c r="B586">
        <v>2016</v>
      </c>
      <c r="C586" t="s">
        <v>6</v>
      </c>
      <c r="D586" t="s">
        <v>7</v>
      </c>
      <c r="E586" t="s">
        <v>8</v>
      </c>
      <c r="F586" s="3">
        <v>5227</v>
      </c>
      <c r="G586" s="3" t="s">
        <v>255</v>
      </c>
      <c r="H586" s="1">
        <v>57095</v>
      </c>
      <c r="I586" s="21">
        <v>122170</v>
      </c>
      <c r="J586" s="21">
        <v>179265</v>
      </c>
      <c r="K586">
        <f>VLOOKUP(F586,'LEAID Match'!$A$2:$C$2979,3,FALSE)</f>
        <v>2000013</v>
      </c>
    </row>
    <row r="587" spans="1:11" x14ac:dyDescent="0.2">
      <c r="A587">
        <v>2006630</v>
      </c>
      <c r="B587">
        <v>2016</v>
      </c>
      <c r="C587" t="s">
        <v>6</v>
      </c>
      <c r="D587" t="s">
        <v>7</v>
      </c>
      <c r="E587" t="s">
        <v>8</v>
      </c>
      <c r="F587" s="3">
        <v>5228</v>
      </c>
      <c r="G587" s="3" t="s">
        <v>256</v>
      </c>
      <c r="H587" s="1">
        <v>94168</v>
      </c>
      <c r="I587" s="1">
        <v>201500</v>
      </c>
      <c r="J587" s="1">
        <v>295668</v>
      </c>
      <c r="K587">
        <f>VLOOKUP(F587,'LEAID Match'!$A$2:$C$2979,3,FALSE)</f>
        <v>2006630</v>
      </c>
    </row>
    <row r="588" spans="1:11" x14ac:dyDescent="0.2">
      <c r="A588">
        <v>2010080</v>
      </c>
      <c r="B588">
        <v>2016</v>
      </c>
      <c r="C588" t="s">
        <v>6</v>
      </c>
      <c r="D588" t="s">
        <v>7</v>
      </c>
      <c r="E588" t="s">
        <v>8</v>
      </c>
      <c r="F588">
        <v>5229</v>
      </c>
      <c r="G588" t="s">
        <v>257</v>
      </c>
      <c r="H588" s="1">
        <v>266943</v>
      </c>
      <c r="I588" s="1">
        <v>571190</v>
      </c>
      <c r="J588" s="1">
        <v>838133</v>
      </c>
      <c r="K588">
        <f>VLOOKUP(F588,'LEAID Match'!$A$2:$C$2979,3,FALSE)</f>
        <v>2010080</v>
      </c>
    </row>
    <row r="589" spans="1:11" x14ac:dyDescent="0.2">
      <c r="A589">
        <v>2006960</v>
      </c>
      <c r="B589">
        <v>2016</v>
      </c>
      <c r="C589" t="s">
        <v>6</v>
      </c>
      <c r="D589" t="s">
        <v>7</v>
      </c>
      <c r="E589" t="s">
        <v>8</v>
      </c>
      <c r="F589">
        <v>5230</v>
      </c>
      <c r="G589" t="s">
        <v>258</v>
      </c>
      <c r="H589" s="1">
        <v>549528</v>
      </c>
      <c r="I589" s="1">
        <v>1175850</v>
      </c>
      <c r="J589" s="1">
        <v>1725378</v>
      </c>
      <c r="K589">
        <f>VLOOKUP(F589,'LEAID Match'!$A$2:$C$2979,3,FALSE)</f>
        <v>2006960</v>
      </c>
    </row>
    <row r="590" spans="1:11" x14ac:dyDescent="0.2">
      <c r="A590">
        <v>2007380</v>
      </c>
      <c r="B590">
        <v>2016</v>
      </c>
      <c r="C590" t="s">
        <v>6</v>
      </c>
      <c r="D590" t="s">
        <v>7</v>
      </c>
      <c r="E590" t="s">
        <v>8</v>
      </c>
      <c r="F590">
        <v>5231</v>
      </c>
      <c r="G590" t="s">
        <v>259</v>
      </c>
      <c r="H590" s="1">
        <v>1037709</v>
      </c>
      <c r="I590" s="1">
        <v>2220440</v>
      </c>
      <c r="J590" s="1">
        <v>3258149</v>
      </c>
      <c r="K590">
        <f>VLOOKUP(F590,'LEAID Match'!$A$2:$C$2979,3,FALSE)</f>
        <v>2007380</v>
      </c>
    </row>
    <row r="591" spans="1:11" x14ac:dyDescent="0.2">
      <c r="A591">
        <v>2003200</v>
      </c>
      <c r="B591">
        <v>2016</v>
      </c>
      <c r="C591" t="s">
        <v>6</v>
      </c>
      <c r="D591" t="s">
        <v>7</v>
      </c>
      <c r="E591" t="s">
        <v>8</v>
      </c>
      <c r="F591">
        <v>5233</v>
      </c>
      <c r="G591" t="s">
        <v>260</v>
      </c>
      <c r="H591" s="20">
        <v>3714996</v>
      </c>
      <c r="I591" s="1">
        <v>7949150</v>
      </c>
      <c r="J591" s="1">
        <v>11664146</v>
      </c>
      <c r="K591">
        <f>VLOOKUP(F591,'LEAID Match'!$A$2:$C$2979,3,FALSE)</f>
        <v>2003200</v>
      </c>
    </row>
    <row r="592" spans="1:11" x14ac:dyDescent="0.2">
      <c r="A592">
        <v>2008040</v>
      </c>
      <c r="B592">
        <v>2016</v>
      </c>
      <c r="C592" t="s">
        <v>6</v>
      </c>
      <c r="D592" t="s">
        <v>7</v>
      </c>
      <c r="E592" t="s">
        <v>8</v>
      </c>
      <c r="F592">
        <v>5235</v>
      </c>
      <c r="G592" t="s">
        <v>261</v>
      </c>
      <c r="H592" s="1">
        <v>145521</v>
      </c>
      <c r="I592" s="1">
        <v>311380</v>
      </c>
      <c r="J592" s="1">
        <v>456901</v>
      </c>
      <c r="K592">
        <f>VLOOKUP(F592,'LEAID Match'!$A$2:$C$2979,3,FALSE)</f>
        <v>2008040</v>
      </c>
    </row>
    <row r="593" spans="1:11" x14ac:dyDescent="0.2">
      <c r="A593">
        <v>2006060</v>
      </c>
      <c r="B593">
        <v>2016</v>
      </c>
      <c r="C593" t="s">
        <v>6</v>
      </c>
      <c r="D593" t="s">
        <v>7</v>
      </c>
      <c r="E593" t="s">
        <v>8</v>
      </c>
      <c r="F593">
        <v>5236</v>
      </c>
      <c r="G593" s="9" t="s">
        <v>262</v>
      </c>
      <c r="H593" s="1">
        <v>404642</v>
      </c>
      <c r="I593" s="1">
        <v>865830</v>
      </c>
      <c r="J593" s="1">
        <v>1270472</v>
      </c>
      <c r="K593">
        <f>VLOOKUP(F593,'LEAID Match'!$A$2:$C$2979,3,FALSE)</f>
        <v>2006060</v>
      </c>
    </row>
    <row r="594" spans="1:11" x14ac:dyDescent="0.2">
      <c r="A594">
        <v>2006510</v>
      </c>
      <c r="B594">
        <v>2016</v>
      </c>
      <c r="C594" t="s">
        <v>6</v>
      </c>
      <c r="D594" t="s">
        <v>7</v>
      </c>
      <c r="E594" t="s">
        <v>8</v>
      </c>
      <c r="F594" s="3">
        <v>5237</v>
      </c>
      <c r="G594" s="3" t="s">
        <v>263</v>
      </c>
      <c r="H594" s="22">
        <v>183103</v>
      </c>
      <c r="I594" s="1">
        <v>391790</v>
      </c>
      <c r="J594" s="1">
        <v>574893</v>
      </c>
      <c r="K594">
        <f>VLOOKUP(F594,'LEAID Match'!$A$2:$C$2979,3,FALSE)</f>
        <v>2006510</v>
      </c>
    </row>
    <row r="595" spans="1:11" x14ac:dyDescent="0.2">
      <c r="A595">
        <v>2004170</v>
      </c>
      <c r="B595">
        <v>2016</v>
      </c>
      <c r="C595" t="s">
        <v>6</v>
      </c>
      <c r="D595" t="s">
        <v>7</v>
      </c>
      <c r="E595" t="s">
        <v>8</v>
      </c>
      <c r="F595" s="3">
        <v>5238</v>
      </c>
      <c r="G595" s="3" t="s">
        <v>264</v>
      </c>
      <c r="H595" s="1">
        <v>148284</v>
      </c>
      <c r="I595" s="21">
        <v>317290</v>
      </c>
      <c r="J595" s="21">
        <v>465574</v>
      </c>
      <c r="K595">
        <f>VLOOKUP(F595,'LEAID Match'!$A$2:$C$2979,3,FALSE)</f>
        <v>2004170</v>
      </c>
    </row>
    <row r="596" spans="1:11" x14ac:dyDescent="0.2">
      <c r="A596">
        <v>2004650</v>
      </c>
      <c r="B596">
        <v>2016</v>
      </c>
      <c r="C596" t="s">
        <v>6</v>
      </c>
      <c r="D596" t="s">
        <v>7</v>
      </c>
      <c r="E596" t="s">
        <v>8</v>
      </c>
      <c r="F596" s="3">
        <v>5239</v>
      </c>
      <c r="G596" s="3" t="s">
        <v>265</v>
      </c>
      <c r="H596" s="1">
        <v>146088</v>
      </c>
      <c r="I596" s="1">
        <v>312590</v>
      </c>
      <c r="J596" s="1">
        <v>458678</v>
      </c>
      <c r="K596">
        <f>VLOOKUP(F596,'LEAID Match'!$A$2:$C$2979,3,FALSE)</f>
        <v>2004650</v>
      </c>
    </row>
    <row r="597" spans="1:11" x14ac:dyDescent="0.2">
      <c r="A597">
        <v>2012150</v>
      </c>
      <c r="B597">
        <v>2016</v>
      </c>
      <c r="C597" t="s">
        <v>6</v>
      </c>
      <c r="D597" t="s">
        <v>7</v>
      </c>
      <c r="E597" t="s">
        <v>8</v>
      </c>
      <c r="F597">
        <v>5240</v>
      </c>
      <c r="G597" t="s">
        <v>266</v>
      </c>
      <c r="H597" s="1">
        <v>298848</v>
      </c>
      <c r="I597" s="1">
        <v>639460</v>
      </c>
      <c r="J597" s="1">
        <v>938308</v>
      </c>
      <c r="K597">
        <f>VLOOKUP(F597,'LEAID Match'!$A$2:$C$2979,3,FALSE)</f>
        <v>2012150</v>
      </c>
    </row>
    <row r="598" spans="1:11" x14ac:dyDescent="0.2">
      <c r="A598">
        <v>2005040</v>
      </c>
      <c r="B598">
        <v>2016</v>
      </c>
      <c r="C598" t="s">
        <v>6</v>
      </c>
      <c r="D598" t="s">
        <v>7</v>
      </c>
      <c r="E598" t="s">
        <v>8</v>
      </c>
      <c r="F598">
        <v>5241</v>
      </c>
      <c r="G598" t="s">
        <v>362</v>
      </c>
      <c r="H598" s="1">
        <v>180270</v>
      </c>
      <c r="I598" s="1">
        <v>385730</v>
      </c>
      <c r="J598" s="1">
        <v>566000</v>
      </c>
      <c r="K598">
        <f>VLOOKUP(F598,'LEAID Match'!$A$2:$C$2979,3,FALSE)</f>
        <v>2005040</v>
      </c>
    </row>
    <row r="599" spans="1:11" x14ac:dyDescent="0.2">
      <c r="A599">
        <v>2000001</v>
      </c>
      <c r="B599">
        <v>2016</v>
      </c>
      <c r="C599" t="s">
        <v>6</v>
      </c>
      <c r="D599" t="s">
        <v>7</v>
      </c>
      <c r="E599" t="s">
        <v>8</v>
      </c>
      <c r="F599">
        <v>5250</v>
      </c>
      <c r="G599" t="s">
        <v>268</v>
      </c>
      <c r="H599" s="1">
        <v>444151</v>
      </c>
      <c r="I599" s="1">
        <v>950370</v>
      </c>
      <c r="J599" s="1">
        <v>1394521</v>
      </c>
      <c r="K599">
        <f>VLOOKUP(F599,'LEAID Match'!$A$2:$C$2979,3,FALSE)</f>
        <v>2000001</v>
      </c>
    </row>
    <row r="600" spans="1:11" x14ac:dyDescent="0.2">
      <c r="A600">
        <v>2010980</v>
      </c>
      <c r="B600">
        <v>2016</v>
      </c>
      <c r="C600" t="s">
        <v>6</v>
      </c>
      <c r="D600" t="s">
        <v>7</v>
      </c>
      <c r="E600" t="s">
        <v>8</v>
      </c>
      <c r="F600">
        <v>5251</v>
      </c>
      <c r="G600" t="s">
        <v>269</v>
      </c>
      <c r="H600" s="20">
        <v>145628</v>
      </c>
      <c r="I600" s="1">
        <v>311610</v>
      </c>
      <c r="J600" s="1">
        <v>457238</v>
      </c>
      <c r="K600">
        <f>VLOOKUP(F600,'LEAID Match'!$A$2:$C$2979,3,FALSE)</f>
        <v>2010980</v>
      </c>
    </row>
    <row r="601" spans="1:11" x14ac:dyDescent="0.2">
      <c r="A601">
        <v>2008940</v>
      </c>
      <c r="B601">
        <v>2016</v>
      </c>
      <c r="C601" t="s">
        <v>6</v>
      </c>
      <c r="D601" t="s">
        <v>7</v>
      </c>
      <c r="E601" t="s">
        <v>8</v>
      </c>
      <c r="F601">
        <v>5267</v>
      </c>
      <c r="G601" t="s">
        <v>270</v>
      </c>
      <c r="H601" s="1">
        <v>171075</v>
      </c>
      <c r="I601" s="1">
        <v>366060</v>
      </c>
      <c r="J601" s="1">
        <v>537135</v>
      </c>
      <c r="K601">
        <f>VLOOKUP(F601,'LEAID Match'!$A$2:$C$2979,3,FALSE)</f>
        <v>2008940</v>
      </c>
    </row>
    <row r="602" spans="1:11" x14ac:dyDescent="0.2">
      <c r="A602">
        <v>2003510</v>
      </c>
      <c r="B602">
        <v>2016</v>
      </c>
      <c r="C602" t="s">
        <v>6</v>
      </c>
      <c r="D602" t="s">
        <v>7</v>
      </c>
      <c r="E602" t="s">
        <v>8</v>
      </c>
      <c r="F602">
        <v>5268</v>
      </c>
      <c r="G602" s="9" t="s">
        <v>271</v>
      </c>
      <c r="H602" s="1">
        <v>170067</v>
      </c>
      <c r="I602" s="1">
        <v>363900</v>
      </c>
      <c r="J602" s="1">
        <v>533967</v>
      </c>
      <c r="K602">
        <f>VLOOKUP(F602,'LEAID Match'!$A$2:$C$2979,3,FALSE)</f>
        <v>2003510</v>
      </c>
    </row>
    <row r="603" spans="1:11" x14ac:dyDescent="0.2">
      <c r="A603">
        <v>2004950</v>
      </c>
      <c r="B603">
        <v>2016</v>
      </c>
      <c r="C603" t="s">
        <v>6</v>
      </c>
      <c r="D603" t="s">
        <v>7</v>
      </c>
      <c r="E603" t="s">
        <v>8</v>
      </c>
      <c r="F603" s="3">
        <v>5270</v>
      </c>
      <c r="G603" s="3" t="s">
        <v>272</v>
      </c>
      <c r="H603" s="22">
        <v>222977</v>
      </c>
      <c r="I603" s="1">
        <v>477110</v>
      </c>
      <c r="J603" s="1">
        <v>700087</v>
      </c>
      <c r="K603">
        <f>VLOOKUP(F603,'LEAID Match'!$A$2:$C$2979,3,FALSE)</f>
        <v>2004950</v>
      </c>
    </row>
    <row r="604" spans="1:11" x14ac:dyDescent="0.2">
      <c r="A604">
        <v>2006210</v>
      </c>
      <c r="B604">
        <v>2016</v>
      </c>
      <c r="C604" t="s">
        <v>6</v>
      </c>
      <c r="D604" t="s">
        <v>7</v>
      </c>
      <c r="E604" t="s">
        <v>8</v>
      </c>
      <c r="F604" s="3">
        <v>5271</v>
      </c>
      <c r="G604" s="3" t="s">
        <v>273</v>
      </c>
      <c r="H604" s="1">
        <v>125337</v>
      </c>
      <c r="I604" s="21">
        <v>268190</v>
      </c>
      <c r="J604" s="21">
        <v>393527</v>
      </c>
      <c r="K604">
        <f>VLOOKUP(F604,'LEAID Match'!$A$2:$C$2979,3,FALSE)</f>
        <v>2006210</v>
      </c>
    </row>
    <row r="605" spans="1:11" x14ac:dyDescent="0.2">
      <c r="A605">
        <v>2011850</v>
      </c>
      <c r="B605">
        <v>2016</v>
      </c>
      <c r="C605" t="s">
        <v>6</v>
      </c>
      <c r="D605" t="s">
        <v>7</v>
      </c>
      <c r="E605" t="s">
        <v>8</v>
      </c>
      <c r="F605" s="3">
        <v>5272</v>
      </c>
      <c r="G605" s="3" t="s">
        <v>274</v>
      </c>
      <c r="H605" s="1">
        <v>1788720</v>
      </c>
      <c r="I605" s="1">
        <v>3827410</v>
      </c>
      <c r="J605" s="1">
        <v>5616130</v>
      </c>
      <c r="K605">
        <f>VLOOKUP(F605,'LEAID Match'!$A$2:$C$2979,3,FALSE)</f>
        <v>2011850</v>
      </c>
    </row>
    <row r="606" spans="1:11" x14ac:dyDescent="0.2">
      <c r="A606">
        <v>2006300</v>
      </c>
      <c r="B606">
        <v>2016</v>
      </c>
      <c r="C606" t="s">
        <v>6</v>
      </c>
      <c r="D606" t="s">
        <v>7</v>
      </c>
      <c r="E606" t="s">
        <v>8</v>
      </c>
      <c r="F606">
        <v>5274</v>
      </c>
      <c r="G606" t="s">
        <v>275</v>
      </c>
      <c r="H606" s="1">
        <v>475101</v>
      </c>
      <c r="I606" s="1">
        <v>1016600</v>
      </c>
      <c r="J606" s="1">
        <v>1491701</v>
      </c>
      <c r="K606">
        <f>VLOOKUP(F606,'LEAID Match'!$A$2:$C$2979,3,FALSE)</f>
        <v>2006300</v>
      </c>
    </row>
    <row r="607" spans="1:11" x14ac:dyDescent="0.2">
      <c r="A607">
        <v>2009840</v>
      </c>
      <c r="B607">
        <v>2016</v>
      </c>
      <c r="C607" t="s">
        <v>6</v>
      </c>
      <c r="D607" t="s">
        <v>7</v>
      </c>
      <c r="E607" t="s">
        <v>8</v>
      </c>
      <c r="F607">
        <v>5275</v>
      </c>
      <c r="G607" t="s">
        <v>276</v>
      </c>
      <c r="H607" s="1">
        <v>1132608</v>
      </c>
      <c r="I607" s="1">
        <v>2423500</v>
      </c>
      <c r="J607" s="1">
        <v>3556108</v>
      </c>
      <c r="K607">
        <f>VLOOKUP(F607,'LEAID Match'!$A$2:$C$2979,3,FALSE)</f>
        <v>2009840</v>
      </c>
    </row>
    <row r="608" spans="1:11" x14ac:dyDescent="0.2">
      <c r="A608">
        <v>2004920</v>
      </c>
      <c r="B608">
        <v>2016</v>
      </c>
      <c r="C608" t="s">
        <v>6</v>
      </c>
      <c r="D608" t="s">
        <v>7</v>
      </c>
      <c r="E608" t="s">
        <v>8</v>
      </c>
      <c r="F608">
        <v>5276</v>
      </c>
      <c r="G608" t="s">
        <v>277</v>
      </c>
      <c r="H608" s="1">
        <v>624653</v>
      </c>
      <c r="I608" s="1">
        <v>1336600</v>
      </c>
      <c r="J608" s="1">
        <v>1961253</v>
      </c>
      <c r="K608">
        <f>VLOOKUP(F608,'LEAID Match'!$A$2:$C$2979,3,FALSE)</f>
        <v>2004920</v>
      </c>
    </row>
    <row r="609" spans="1:11" x14ac:dyDescent="0.2">
      <c r="A609">
        <v>2010950</v>
      </c>
      <c r="B609">
        <v>2016</v>
      </c>
      <c r="C609" t="s">
        <v>6</v>
      </c>
      <c r="D609" t="s">
        <v>7</v>
      </c>
      <c r="E609" t="s">
        <v>8</v>
      </c>
      <c r="F609">
        <v>5278</v>
      </c>
      <c r="G609" t="s">
        <v>278</v>
      </c>
      <c r="H609" s="20">
        <v>161128</v>
      </c>
      <c r="I609" s="1">
        <v>344770</v>
      </c>
      <c r="J609" s="1">
        <v>505898</v>
      </c>
      <c r="K609">
        <f>VLOOKUP(F609,'LEAID Match'!$A$2:$C$2979,3,FALSE)</f>
        <v>2010950</v>
      </c>
    </row>
    <row r="610" spans="1:11" x14ac:dyDescent="0.2">
      <c r="A610">
        <v>2007620</v>
      </c>
      <c r="B610">
        <v>2016</v>
      </c>
      <c r="C610" t="s">
        <v>6</v>
      </c>
      <c r="D610" t="s">
        <v>7</v>
      </c>
      <c r="E610" t="s">
        <v>8</v>
      </c>
      <c r="F610">
        <v>5280</v>
      </c>
      <c r="G610" t="s">
        <v>279</v>
      </c>
      <c r="H610" s="1">
        <v>3424293</v>
      </c>
      <c r="I610" s="1">
        <v>7327120</v>
      </c>
      <c r="J610" s="1">
        <v>10751413</v>
      </c>
      <c r="K610">
        <f>VLOOKUP(F610,'LEAID Match'!$A$2:$C$2979,3,FALSE)</f>
        <v>2007620</v>
      </c>
    </row>
    <row r="611" spans="1:11" x14ac:dyDescent="0.2">
      <c r="A611">
        <v>2011040</v>
      </c>
      <c r="B611">
        <v>2016</v>
      </c>
      <c r="C611" t="s">
        <v>6</v>
      </c>
      <c r="D611" t="s">
        <v>7</v>
      </c>
      <c r="E611" t="s">
        <v>8</v>
      </c>
      <c r="F611">
        <v>5281</v>
      </c>
      <c r="G611" s="9" t="s">
        <v>280</v>
      </c>
      <c r="H611" s="1">
        <v>147741</v>
      </c>
      <c r="I611" s="1">
        <v>316130</v>
      </c>
      <c r="J611" s="1">
        <v>463871</v>
      </c>
      <c r="K611">
        <f>VLOOKUP(F611,'LEAID Match'!$A$2:$C$2979,3,FALSE)</f>
        <v>2011040</v>
      </c>
    </row>
    <row r="612" spans="1:11" x14ac:dyDescent="0.2">
      <c r="A612">
        <v>2010650</v>
      </c>
      <c r="B612">
        <v>2016</v>
      </c>
      <c r="C612" t="s">
        <v>6</v>
      </c>
      <c r="D612" t="s">
        <v>7</v>
      </c>
      <c r="E612" t="s">
        <v>8</v>
      </c>
      <c r="F612" s="3">
        <v>5283</v>
      </c>
      <c r="G612" s="3" t="s">
        <v>281</v>
      </c>
      <c r="H612" s="22">
        <v>334369</v>
      </c>
      <c r="I612" s="1">
        <v>715470</v>
      </c>
      <c r="J612" s="1">
        <v>1049839</v>
      </c>
      <c r="K612">
        <f>VLOOKUP(F612,'LEAID Match'!$A$2:$C$2979,3,FALSE)</f>
        <v>2010650</v>
      </c>
    </row>
    <row r="613" spans="1:11" x14ac:dyDescent="0.2">
      <c r="A613">
        <v>2009510</v>
      </c>
      <c r="B613">
        <v>2016</v>
      </c>
      <c r="C613" t="s">
        <v>6</v>
      </c>
      <c r="D613" t="s">
        <v>7</v>
      </c>
      <c r="E613" t="s">
        <v>8</v>
      </c>
      <c r="F613" s="3">
        <v>5284</v>
      </c>
      <c r="G613" s="3" t="s">
        <v>282</v>
      </c>
      <c r="H613" s="1">
        <v>451109</v>
      </c>
      <c r="I613" s="21">
        <v>965260</v>
      </c>
      <c r="J613" s="21">
        <v>1416369</v>
      </c>
      <c r="K613">
        <f>VLOOKUP(F613,'LEAID Match'!$A$2:$C$2979,3,FALSE)</f>
        <v>2009510</v>
      </c>
    </row>
    <row r="614" spans="1:11" x14ac:dyDescent="0.2">
      <c r="A614">
        <v>2010770</v>
      </c>
      <c r="B614">
        <v>2016</v>
      </c>
      <c r="C614" t="s">
        <v>6</v>
      </c>
      <c r="D614" t="s">
        <v>7</v>
      </c>
      <c r="E614" t="s">
        <v>8</v>
      </c>
      <c r="F614" s="3">
        <v>5285</v>
      </c>
      <c r="G614" s="3" t="s">
        <v>283</v>
      </c>
      <c r="H614" s="1">
        <v>257211</v>
      </c>
      <c r="I614" s="1">
        <v>550370</v>
      </c>
      <c r="J614" s="1">
        <v>807581</v>
      </c>
      <c r="K614">
        <f>VLOOKUP(F614,'LEAID Match'!$A$2:$C$2979,3,FALSE)</f>
        <v>2010770</v>
      </c>
    </row>
    <row r="615" spans="1:11" x14ac:dyDescent="0.2">
      <c r="A615">
        <v>2011910</v>
      </c>
      <c r="B615">
        <v>2016</v>
      </c>
      <c r="C615" t="s">
        <v>6</v>
      </c>
      <c r="D615" t="s">
        <v>7</v>
      </c>
      <c r="E615" t="s">
        <v>8</v>
      </c>
      <c r="F615">
        <v>5286</v>
      </c>
      <c r="G615" t="s">
        <v>284</v>
      </c>
      <c r="H615" s="1">
        <v>239461</v>
      </c>
      <c r="I615" s="1">
        <v>512390</v>
      </c>
      <c r="J615" s="1">
        <v>751851</v>
      </c>
      <c r="K615">
        <f>VLOOKUP(F615,'LEAID Match'!$A$2:$C$2979,3,FALSE)</f>
        <v>2011910</v>
      </c>
    </row>
    <row r="616" spans="1:11" x14ac:dyDescent="0.2">
      <c r="A616">
        <v>2003900</v>
      </c>
      <c r="B616">
        <v>2016</v>
      </c>
      <c r="C616" t="s">
        <v>6</v>
      </c>
      <c r="D616" t="s">
        <v>7</v>
      </c>
      <c r="E616" t="s">
        <v>8</v>
      </c>
      <c r="F616">
        <v>5287</v>
      </c>
      <c r="G616" t="s">
        <v>285</v>
      </c>
      <c r="H616" s="1">
        <v>385186</v>
      </c>
      <c r="I616" s="1">
        <v>824200</v>
      </c>
      <c r="J616" s="1">
        <v>1209386</v>
      </c>
      <c r="K616">
        <f>VLOOKUP(F616,'LEAID Match'!$A$2:$C$2979,3,FALSE)</f>
        <v>2003900</v>
      </c>
    </row>
    <row r="617" spans="1:11" x14ac:dyDescent="0.2">
      <c r="A617">
        <v>2010440</v>
      </c>
      <c r="B617">
        <v>2016</v>
      </c>
      <c r="C617" t="s">
        <v>6</v>
      </c>
      <c r="D617" t="s">
        <v>7</v>
      </c>
      <c r="E617" t="s">
        <v>8</v>
      </c>
      <c r="F617">
        <v>5288</v>
      </c>
      <c r="G617" t="s">
        <v>286</v>
      </c>
      <c r="H617" s="1">
        <v>225823</v>
      </c>
      <c r="I617" s="1">
        <v>483200</v>
      </c>
      <c r="J617" s="1">
        <v>709023</v>
      </c>
      <c r="K617">
        <f>VLOOKUP(F617,'LEAID Match'!$A$2:$C$2979,3,FALSE)</f>
        <v>2010440</v>
      </c>
    </row>
    <row r="618" spans="1:11" x14ac:dyDescent="0.2">
      <c r="A618">
        <v>2013110</v>
      </c>
      <c r="B618">
        <v>2016</v>
      </c>
      <c r="C618" t="s">
        <v>6</v>
      </c>
      <c r="D618" t="s">
        <v>7</v>
      </c>
      <c r="E618" t="s">
        <v>8</v>
      </c>
      <c r="F618">
        <v>5289</v>
      </c>
      <c r="G618" t="s">
        <v>287</v>
      </c>
      <c r="H618" s="20">
        <v>289417</v>
      </c>
      <c r="I618" s="1">
        <v>619280</v>
      </c>
      <c r="J618" s="1">
        <v>908697</v>
      </c>
      <c r="K618">
        <f>VLOOKUP(F618,'LEAID Match'!$A$2:$C$2979,3,FALSE)</f>
        <v>2013110</v>
      </c>
    </row>
    <row r="619" spans="1:11" x14ac:dyDescent="0.2">
      <c r="A619">
        <v>2012090</v>
      </c>
      <c r="B619">
        <v>2016</v>
      </c>
      <c r="C619" t="s">
        <v>6</v>
      </c>
      <c r="D619" t="s">
        <v>7</v>
      </c>
      <c r="E619" t="s">
        <v>8</v>
      </c>
      <c r="F619">
        <v>5291</v>
      </c>
      <c r="G619" t="s">
        <v>288</v>
      </c>
      <c r="H619" s="1">
        <v>415029</v>
      </c>
      <c r="I619" s="1">
        <v>888060</v>
      </c>
      <c r="J619" s="1">
        <v>1303089</v>
      </c>
      <c r="K619">
        <f>VLOOKUP(F619,'LEAID Match'!$A$2:$C$2979,3,FALSE)</f>
        <v>2012090</v>
      </c>
    </row>
    <row r="620" spans="1:11" x14ac:dyDescent="0.2">
      <c r="A620">
        <v>2012300</v>
      </c>
      <c r="B620">
        <v>2016</v>
      </c>
      <c r="C620" t="s">
        <v>6</v>
      </c>
      <c r="D620" t="s">
        <v>7</v>
      </c>
      <c r="E620" t="s">
        <v>8</v>
      </c>
      <c r="F620">
        <v>5292</v>
      </c>
      <c r="G620" s="9" t="s">
        <v>289</v>
      </c>
      <c r="H620" s="1">
        <v>1078110</v>
      </c>
      <c r="I620" s="1">
        <v>2306880</v>
      </c>
      <c r="J620" s="1">
        <v>3384990</v>
      </c>
      <c r="K620">
        <f>VLOOKUP(F620,'LEAID Match'!$A$2:$C$2979,3,FALSE)</f>
        <v>2012300</v>
      </c>
    </row>
    <row r="621" spans="1:11" x14ac:dyDescent="0.2">
      <c r="A621">
        <v>2005850</v>
      </c>
      <c r="B621">
        <v>2016</v>
      </c>
      <c r="C621" t="s">
        <v>6</v>
      </c>
      <c r="D621" t="s">
        <v>7</v>
      </c>
      <c r="E621" t="s">
        <v>8</v>
      </c>
      <c r="F621" s="3">
        <v>5293</v>
      </c>
      <c r="G621" s="3" t="s">
        <v>290</v>
      </c>
      <c r="H621" s="1">
        <v>234913</v>
      </c>
      <c r="I621" s="21">
        <v>502650</v>
      </c>
      <c r="J621" s="21">
        <v>737563</v>
      </c>
      <c r="K621">
        <f>VLOOKUP(F621,'LEAID Match'!$A$2:$C$2979,3,FALSE)</f>
        <v>2005850</v>
      </c>
    </row>
    <row r="622" spans="1:11" x14ac:dyDescent="0.2">
      <c r="A622">
        <v>2011310</v>
      </c>
      <c r="B622">
        <v>2016</v>
      </c>
      <c r="C622" t="s">
        <v>6</v>
      </c>
      <c r="D622" t="s">
        <v>7</v>
      </c>
      <c r="E622" t="s">
        <v>8</v>
      </c>
      <c r="F622" s="3">
        <v>5294</v>
      </c>
      <c r="G622" s="3" t="s">
        <v>291</v>
      </c>
      <c r="H622" s="1">
        <v>565546</v>
      </c>
      <c r="I622" s="1">
        <v>1210130</v>
      </c>
      <c r="J622" s="1">
        <v>1775676</v>
      </c>
      <c r="K622">
        <f>VLOOKUP(F622,'LEAID Match'!$A$2:$C$2979,3,FALSE)</f>
        <v>2011310</v>
      </c>
    </row>
    <row r="623" spans="1:11" x14ac:dyDescent="0.2">
      <c r="A623">
        <v>2006570</v>
      </c>
      <c r="B623">
        <v>2016</v>
      </c>
      <c r="C623" t="s">
        <v>6</v>
      </c>
      <c r="D623" t="s">
        <v>7</v>
      </c>
      <c r="E623" t="s">
        <v>8</v>
      </c>
      <c r="F623">
        <v>5295</v>
      </c>
      <c r="G623" t="s">
        <v>292</v>
      </c>
      <c r="H623" s="1">
        <v>167586</v>
      </c>
      <c r="I623" s="1">
        <v>358590</v>
      </c>
      <c r="J623" s="1">
        <v>526176</v>
      </c>
      <c r="K623">
        <f>VLOOKUP(F623,'LEAID Match'!$A$2:$C$2979,3,FALSE)</f>
        <v>2006570</v>
      </c>
    </row>
    <row r="624" spans="1:11" x14ac:dyDescent="0.2">
      <c r="A624">
        <v>2003180</v>
      </c>
      <c r="B624">
        <v>2016</v>
      </c>
      <c r="C624" t="s">
        <v>6</v>
      </c>
      <c r="D624" t="s">
        <v>7</v>
      </c>
      <c r="E624" t="s">
        <v>8</v>
      </c>
      <c r="F624">
        <v>5296</v>
      </c>
      <c r="G624" t="s">
        <v>293</v>
      </c>
      <c r="H624" s="1">
        <v>888454</v>
      </c>
      <c r="I624" s="1">
        <v>1901070</v>
      </c>
      <c r="J624" s="1">
        <v>2789524</v>
      </c>
      <c r="K624">
        <f>VLOOKUP(F624,'LEAID Match'!$A$2:$C$2979,3,FALSE)</f>
        <v>2003180</v>
      </c>
    </row>
    <row r="625" spans="1:11" x14ac:dyDescent="0.2">
      <c r="A625">
        <v>2009900</v>
      </c>
      <c r="B625">
        <v>2016</v>
      </c>
      <c r="C625" t="s">
        <v>6</v>
      </c>
      <c r="D625" t="s">
        <v>7</v>
      </c>
      <c r="E625" t="s">
        <v>8</v>
      </c>
      <c r="F625">
        <v>5297</v>
      </c>
      <c r="G625" t="s">
        <v>294</v>
      </c>
      <c r="H625" s="1">
        <v>449027</v>
      </c>
      <c r="I625" s="1">
        <v>960800</v>
      </c>
      <c r="J625" s="1">
        <v>1409827</v>
      </c>
      <c r="K625">
        <f>VLOOKUP(F625,'LEAID Match'!$A$2:$C$2979,3,FALSE)</f>
        <v>2009900</v>
      </c>
    </row>
    <row r="626" spans="1:11" x14ac:dyDescent="0.2">
      <c r="A626">
        <v>2007080</v>
      </c>
      <c r="B626">
        <v>2016</v>
      </c>
      <c r="C626" t="s">
        <v>6</v>
      </c>
      <c r="D626" t="s">
        <v>7</v>
      </c>
      <c r="E626" t="s">
        <v>8</v>
      </c>
      <c r="F626">
        <v>5298</v>
      </c>
      <c r="G626" t="s">
        <v>295</v>
      </c>
      <c r="H626" s="20">
        <v>66940</v>
      </c>
      <c r="I626" s="1">
        <v>143230</v>
      </c>
      <c r="J626" s="1">
        <v>210170</v>
      </c>
      <c r="K626">
        <f>VLOOKUP(F626,'LEAID Match'!$A$2:$C$2979,3,FALSE)</f>
        <v>2007080</v>
      </c>
    </row>
    <row r="627" spans="1:11" x14ac:dyDescent="0.2">
      <c r="A627">
        <v>2005520</v>
      </c>
      <c r="B627">
        <v>2016</v>
      </c>
      <c r="C627" t="s">
        <v>6</v>
      </c>
      <c r="D627" t="s">
        <v>7</v>
      </c>
      <c r="E627" t="s">
        <v>8</v>
      </c>
      <c r="F627">
        <v>5299</v>
      </c>
      <c r="G627" t="s">
        <v>296</v>
      </c>
      <c r="H627" s="1">
        <v>117010</v>
      </c>
      <c r="I627" s="1">
        <v>250370</v>
      </c>
      <c r="J627" s="1">
        <v>367380</v>
      </c>
      <c r="K627">
        <f>VLOOKUP(F627,'LEAID Match'!$A$2:$C$2979,3,FALSE)</f>
        <v>2005520</v>
      </c>
    </row>
    <row r="628" spans="1:11" x14ac:dyDescent="0.2">
      <c r="A628">
        <v>2006270</v>
      </c>
      <c r="B628">
        <v>2016</v>
      </c>
      <c r="C628" t="s">
        <v>6</v>
      </c>
      <c r="D628" t="s">
        <v>7</v>
      </c>
      <c r="E628" t="s">
        <v>8</v>
      </c>
      <c r="F628">
        <v>5300</v>
      </c>
      <c r="G628" s="9" t="s">
        <v>297</v>
      </c>
      <c r="H628" s="1">
        <v>400280</v>
      </c>
      <c r="I628" s="1">
        <v>856500</v>
      </c>
      <c r="J628" s="1">
        <v>1256780</v>
      </c>
      <c r="K628">
        <f>VLOOKUP(F628,'LEAID Match'!$A$2:$C$2979,3,FALSE)</f>
        <v>2006270</v>
      </c>
    </row>
    <row r="629" spans="1:11" x14ac:dyDescent="0.2">
      <c r="A629">
        <v>2007020</v>
      </c>
      <c r="B629">
        <v>2016</v>
      </c>
      <c r="C629" t="s">
        <v>6</v>
      </c>
      <c r="D629" t="s">
        <v>7</v>
      </c>
      <c r="E629" t="s">
        <v>8</v>
      </c>
      <c r="F629" s="3">
        <v>5302</v>
      </c>
      <c r="G629" s="3" t="s">
        <v>298</v>
      </c>
      <c r="H629" s="1">
        <v>2009709</v>
      </c>
      <c r="I629" s="21">
        <v>4300270</v>
      </c>
      <c r="J629" s="21">
        <v>6309979</v>
      </c>
      <c r="K629">
        <f>VLOOKUP(F629,'LEAID Match'!$A$2:$C$2979,3,FALSE)</f>
        <v>2007020</v>
      </c>
    </row>
    <row r="630" spans="1:11" x14ac:dyDescent="0.2">
      <c r="A630">
        <v>2005730</v>
      </c>
      <c r="B630">
        <v>2016</v>
      </c>
      <c r="C630" t="s">
        <v>6</v>
      </c>
      <c r="D630" t="s">
        <v>7</v>
      </c>
      <c r="E630" t="s">
        <v>8</v>
      </c>
      <c r="F630" s="3">
        <v>5303</v>
      </c>
      <c r="G630" s="3" t="s">
        <v>345</v>
      </c>
      <c r="H630" s="1">
        <v>1075548</v>
      </c>
      <c r="I630" s="1">
        <v>2301400</v>
      </c>
      <c r="J630" s="1">
        <v>3376948</v>
      </c>
      <c r="K630">
        <f>VLOOKUP(F630,'LEAID Match'!$A$2:$C$2979,3,FALSE)</f>
        <v>2005730</v>
      </c>
    </row>
    <row r="631" spans="1:11" x14ac:dyDescent="0.2">
      <c r="A631">
        <v>2006090</v>
      </c>
      <c r="B631">
        <v>2016</v>
      </c>
      <c r="C631" t="s">
        <v>6</v>
      </c>
      <c r="D631" t="s">
        <v>7</v>
      </c>
      <c r="E631" t="s">
        <v>8</v>
      </c>
      <c r="F631">
        <v>5304</v>
      </c>
      <c r="G631" t="s">
        <v>300</v>
      </c>
      <c r="H631" s="1">
        <v>879113</v>
      </c>
      <c r="I631" s="1">
        <v>1881080</v>
      </c>
      <c r="J631" s="1">
        <v>2760193</v>
      </c>
      <c r="K631">
        <f>VLOOKUP(F631,'LEAID Match'!$A$2:$C$2979,3,FALSE)</f>
        <v>2006090</v>
      </c>
    </row>
    <row r="632" spans="1:11" x14ac:dyDescent="0.2">
      <c r="A632">
        <v>2011220</v>
      </c>
      <c r="B632">
        <v>2016</v>
      </c>
      <c r="C632" t="s">
        <v>6</v>
      </c>
      <c r="D632" t="s">
        <v>7</v>
      </c>
      <c r="E632" t="s">
        <v>8</v>
      </c>
      <c r="F632">
        <v>5305</v>
      </c>
      <c r="G632" t="s">
        <v>301</v>
      </c>
      <c r="H632" s="1">
        <v>201643</v>
      </c>
      <c r="I632" s="1">
        <v>431470</v>
      </c>
      <c r="J632" s="1">
        <v>633113</v>
      </c>
      <c r="K632">
        <f>VLOOKUP(F632,'LEAID Match'!$A$2:$C$2979,3,FALSE)</f>
        <v>2011220</v>
      </c>
    </row>
    <row r="633" spans="1:11" x14ac:dyDescent="0.2">
      <c r="A633">
        <v>2008370</v>
      </c>
      <c r="B633">
        <v>2016</v>
      </c>
      <c r="C633" t="s">
        <v>6</v>
      </c>
      <c r="D633" t="s">
        <v>7</v>
      </c>
      <c r="E633" t="s">
        <v>8</v>
      </c>
      <c r="F633">
        <v>5306</v>
      </c>
      <c r="G633" t="s">
        <v>302</v>
      </c>
      <c r="H633" s="1">
        <v>859725</v>
      </c>
      <c r="I633" s="1">
        <v>1839590</v>
      </c>
      <c r="J633" s="1">
        <v>2699315</v>
      </c>
      <c r="K633">
        <f>VLOOKUP(F633,'LEAID Match'!$A$2:$C$2979,3,FALSE)</f>
        <v>2008370</v>
      </c>
    </row>
    <row r="634" spans="1:11" x14ac:dyDescent="0.2">
      <c r="A634">
        <v>2011280</v>
      </c>
      <c r="B634">
        <v>2016</v>
      </c>
      <c r="C634" t="s">
        <v>6</v>
      </c>
      <c r="D634" t="s">
        <v>7</v>
      </c>
      <c r="E634" t="s">
        <v>8</v>
      </c>
      <c r="F634">
        <v>5307</v>
      </c>
      <c r="G634" t="s">
        <v>303</v>
      </c>
      <c r="H634" s="1">
        <v>116916</v>
      </c>
      <c r="I634" s="1">
        <v>250170</v>
      </c>
      <c r="J634" s="1">
        <v>367086</v>
      </c>
      <c r="K634">
        <f>VLOOKUP(F634,'LEAID Match'!$A$2:$C$2979,3,FALSE)</f>
        <v>2011280</v>
      </c>
    </row>
    <row r="635" spans="1:11" x14ac:dyDescent="0.2">
      <c r="A635">
        <v>2008400</v>
      </c>
      <c r="B635">
        <v>2016</v>
      </c>
      <c r="C635" t="s">
        <v>6</v>
      </c>
      <c r="D635" t="s">
        <v>7</v>
      </c>
      <c r="E635" t="s">
        <v>8</v>
      </c>
      <c r="F635">
        <v>5308</v>
      </c>
      <c r="G635" s="9" t="s">
        <v>304</v>
      </c>
      <c r="H635" s="1">
        <v>8009102</v>
      </c>
      <c r="I635" s="1">
        <v>17137460</v>
      </c>
      <c r="J635" s="1">
        <v>25146562</v>
      </c>
      <c r="K635">
        <f>VLOOKUP(F635,'LEAID Match'!$A$2:$C$2979,3,FALSE)</f>
        <v>2008400</v>
      </c>
    </row>
    <row r="636" spans="1:11" x14ac:dyDescent="0.2">
      <c r="A636">
        <v>2006360</v>
      </c>
      <c r="B636">
        <v>2016</v>
      </c>
      <c r="C636" t="s">
        <v>6</v>
      </c>
      <c r="D636" t="s">
        <v>7</v>
      </c>
      <c r="E636" t="s">
        <v>8</v>
      </c>
      <c r="F636" s="3">
        <v>5309</v>
      </c>
      <c r="G636" s="3" t="s">
        <v>305</v>
      </c>
      <c r="H636" s="1">
        <v>538162</v>
      </c>
      <c r="I636" s="21">
        <v>1151530</v>
      </c>
      <c r="J636" s="21">
        <v>1689692</v>
      </c>
      <c r="K636">
        <f>VLOOKUP(F636,'LEAID Match'!$A$2:$C$2979,3,FALSE)</f>
        <v>2006360</v>
      </c>
    </row>
    <row r="637" spans="1:11" x14ac:dyDescent="0.2">
      <c r="A637">
        <v>2008700</v>
      </c>
      <c r="B637">
        <v>2016</v>
      </c>
      <c r="C637" t="s">
        <v>6</v>
      </c>
      <c r="D637" t="s">
        <v>7</v>
      </c>
      <c r="E637" t="s">
        <v>8</v>
      </c>
      <c r="F637" s="3">
        <v>5310</v>
      </c>
      <c r="G637" s="3" t="s">
        <v>306</v>
      </c>
      <c r="H637" s="1">
        <v>76070</v>
      </c>
      <c r="I637" s="1">
        <v>162770</v>
      </c>
      <c r="J637" s="1">
        <v>238840</v>
      </c>
      <c r="K637">
        <f>VLOOKUP(F637,'LEAID Match'!$A$2:$C$2979,3,FALSE)</f>
        <v>2008700</v>
      </c>
    </row>
    <row r="638" spans="1:11" x14ac:dyDescent="0.2">
      <c r="A638">
        <v>2011490</v>
      </c>
      <c r="B638">
        <v>2016</v>
      </c>
      <c r="C638" t="s">
        <v>6</v>
      </c>
      <c r="D638" t="s">
        <v>7</v>
      </c>
      <c r="E638" t="s">
        <v>8</v>
      </c>
      <c r="F638">
        <v>5312</v>
      </c>
      <c r="G638" t="s">
        <v>307</v>
      </c>
      <c r="H638" s="1">
        <v>2628103</v>
      </c>
      <c r="I638" s="1">
        <v>5623480</v>
      </c>
      <c r="J638" s="1">
        <v>8251583</v>
      </c>
      <c r="K638">
        <f>VLOOKUP(F638,'LEAID Match'!$A$2:$C$2979,3,FALSE)</f>
        <v>2011490</v>
      </c>
    </row>
    <row r="639" spans="1:11" x14ac:dyDescent="0.2">
      <c r="A639">
        <v>2011430</v>
      </c>
      <c r="B639">
        <v>2016</v>
      </c>
      <c r="C639" t="s">
        <v>6</v>
      </c>
      <c r="D639" t="s">
        <v>7</v>
      </c>
      <c r="E639" t="s">
        <v>8</v>
      </c>
      <c r="F639">
        <v>5313</v>
      </c>
      <c r="G639" t="s">
        <v>308</v>
      </c>
      <c r="H639" s="1">
        <v>201642</v>
      </c>
      <c r="I639" s="1">
        <v>431460</v>
      </c>
      <c r="J639" s="1">
        <v>633102</v>
      </c>
      <c r="K639">
        <f>VLOOKUP(F639,'LEAID Match'!$A$2:$C$2979,3,FALSE)</f>
        <v>2011430</v>
      </c>
    </row>
    <row r="640" spans="1:11" x14ac:dyDescent="0.2">
      <c r="A640">
        <v>2012260</v>
      </c>
      <c r="B640">
        <v>2016</v>
      </c>
      <c r="C640" t="s">
        <v>6</v>
      </c>
      <c r="D640" t="s">
        <v>7</v>
      </c>
      <c r="E640" t="s">
        <v>8</v>
      </c>
      <c r="F640">
        <v>5314</v>
      </c>
      <c r="G640" t="s">
        <v>309</v>
      </c>
      <c r="H640" s="1">
        <v>10575662</v>
      </c>
      <c r="I640" s="1">
        <v>22629250</v>
      </c>
      <c r="J640" s="1">
        <v>33204912</v>
      </c>
      <c r="K640">
        <f>VLOOKUP(F640,'LEAID Match'!$A$2:$C$2979,3,FALSE)</f>
        <v>2012260</v>
      </c>
    </row>
    <row r="641" spans="1:11" x14ac:dyDescent="0.2">
      <c r="A641">
        <v>0</v>
      </c>
      <c r="B641">
        <v>2016</v>
      </c>
      <c r="C641" t="s">
        <v>6</v>
      </c>
      <c r="D641" t="s">
        <v>7</v>
      </c>
      <c r="E641" t="s">
        <v>8</v>
      </c>
      <c r="F641">
        <v>5316</v>
      </c>
      <c r="G641" t="s">
        <v>310</v>
      </c>
      <c r="H641" s="20">
        <v>278661</v>
      </c>
      <c r="I641" s="1">
        <v>596260</v>
      </c>
      <c r="J641" s="1">
        <v>874921</v>
      </c>
      <c r="K641">
        <f>VLOOKUP(F641,'LEAID Match'!$A$2:$C$2979,3,FALSE)</f>
        <v>0</v>
      </c>
    </row>
    <row r="642" spans="1:11" x14ac:dyDescent="0.2">
      <c r="A642">
        <v>0</v>
      </c>
      <c r="B642">
        <v>2016</v>
      </c>
      <c r="C642" t="s">
        <v>6</v>
      </c>
      <c r="D642" t="s">
        <v>7</v>
      </c>
      <c r="E642" t="s">
        <v>8</v>
      </c>
      <c r="F642">
        <v>5317</v>
      </c>
      <c r="G642" t="s">
        <v>311</v>
      </c>
      <c r="H642" s="1">
        <v>349954</v>
      </c>
      <c r="I642" s="1">
        <v>748810</v>
      </c>
      <c r="J642" s="1">
        <v>1098764</v>
      </c>
      <c r="K642">
        <f>VLOOKUP(F642,'LEAID Match'!$A$2:$C$2979,3,FALSE)</f>
        <v>0</v>
      </c>
    </row>
    <row r="643" spans="1:11" x14ac:dyDescent="0.2">
      <c r="A643">
        <v>2004710</v>
      </c>
      <c r="B643">
        <v>2016</v>
      </c>
      <c r="C643" t="s">
        <v>6</v>
      </c>
      <c r="D643" t="s">
        <v>7</v>
      </c>
      <c r="E643" t="s">
        <v>8</v>
      </c>
      <c r="F643">
        <v>5318</v>
      </c>
      <c r="G643" s="9" t="s">
        <v>312</v>
      </c>
      <c r="H643" s="1">
        <v>445996</v>
      </c>
      <c r="I643" s="1">
        <v>954320</v>
      </c>
      <c r="J643" s="1">
        <v>1400316</v>
      </c>
      <c r="K643">
        <f>VLOOKUP(F643,'LEAID Match'!$A$2:$C$2979,3,FALSE)</f>
        <v>2004710</v>
      </c>
    </row>
    <row r="644" spans="1:11" x14ac:dyDescent="0.2">
      <c r="A644">
        <v>2006480</v>
      </c>
      <c r="B644">
        <v>2016</v>
      </c>
      <c r="C644" t="s">
        <v>6</v>
      </c>
      <c r="D644" t="s">
        <v>7</v>
      </c>
      <c r="E644" t="s">
        <v>8</v>
      </c>
      <c r="F644" s="3">
        <v>5319</v>
      </c>
      <c r="G644" s="3" t="s">
        <v>313</v>
      </c>
      <c r="H644" s="1">
        <v>557739</v>
      </c>
      <c r="I644" s="21">
        <v>1193420</v>
      </c>
      <c r="J644" s="21">
        <v>1751159</v>
      </c>
      <c r="K644">
        <f>VLOOKUP(F644,'LEAID Match'!$A$2:$C$2979,3,FALSE)</f>
        <v>2006480</v>
      </c>
    </row>
    <row r="645" spans="1:11" x14ac:dyDescent="0.2">
      <c r="A645">
        <v>2005310</v>
      </c>
      <c r="B645">
        <v>2016</v>
      </c>
      <c r="C645" t="s">
        <v>6</v>
      </c>
      <c r="D645" t="s">
        <v>7</v>
      </c>
      <c r="E645" t="s">
        <v>8</v>
      </c>
      <c r="F645" s="3">
        <v>5320</v>
      </c>
      <c r="G645" s="3" t="s">
        <v>314</v>
      </c>
      <c r="H645" s="1">
        <v>176718</v>
      </c>
      <c r="I645" s="1">
        <v>378130</v>
      </c>
      <c r="J645" s="1">
        <v>554848</v>
      </c>
      <c r="K645">
        <f>VLOOKUP(F645,'LEAID Match'!$A$2:$C$2979,3,FALSE)</f>
        <v>2005310</v>
      </c>
    </row>
    <row r="646" spans="1:11" x14ac:dyDescent="0.2">
      <c r="A646">
        <v>2012780</v>
      </c>
      <c r="B646">
        <v>2016</v>
      </c>
      <c r="C646" t="s">
        <v>6</v>
      </c>
      <c r="D646" t="s">
        <v>7</v>
      </c>
      <c r="E646" t="s">
        <v>8</v>
      </c>
      <c r="F646">
        <v>5321</v>
      </c>
      <c r="G646" t="s">
        <v>315</v>
      </c>
      <c r="H646" s="1">
        <v>292980</v>
      </c>
      <c r="I646" s="1">
        <v>626900</v>
      </c>
      <c r="J646" s="1">
        <v>919880</v>
      </c>
      <c r="K646">
        <f>VLOOKUP(F646,'LEAID Match'!$A$2:$C$2979,3,FALSE)</f>
        <v>2012780</v>
      </c>
    </row>
    <row r="647" spans="1:11" x14ac:dyDescent="0.2">
      <c r="A647">
        <v>2010350</v>
      </c>
      <c r="B647">
        <v>2016</v>
      </c>
      <c r="C647" t="s">
        <v>6</v>
      </c>
      <c r="D647" t="s">
        <v>7</v>
      </c>
      <c r="E647" t="s">
        <v>8</v>
      </c>
      <c r="F647">
        <v>5322</v>
      </c>
      <c r="G647" t="s">
        <v>316</v>
      </c>
      <c r="H647" s="1">
        <v>322193</v>
      </c>
      <c r="I647" s="1">
        <v>689410</v>
      </c>
      <c r="J647" s="1">
        <v>1011603</v>
      </c>
      <c r="K647">
        <f>VLOOKUP(F647,'LEAID Match'!$A$2:$C$2979,3,FALSE)</f>
        <v>2010350</v>
      </c>
    </row>
    <row r="648" spans="1:11" x14ac:dyDescent="0.2">
      <c r="A648">
        <v>2007950</v>
      </c>
      <c r="B648">
        <v>2016</v>
      </c>
      <c r="C648" t="s">
        <v>6</v>
      </c>
      <c r="D648" t="s">
        <v>7</v>
      </c>
      <c r="E648" t="s">
        <v>8</v>
      </c>
      <c r="F648">
        <v>5324</v>
      </c>
      <c r="G648" t="s">
        <v>317</v>
      </c>
      <c r="H648" s="1">
        <v>15563333</v>
      </c>
      <c r="I648" s="1">
        <v>33301610</v>
      </c>
      <c r="J648" s="1">
        <v>48864943</v>
      </c>
      <c r="K648">
        <f>VLOOKUP(F648,'LEAID Match'!$A$2:$C$2979,3,FALSE)</f>
        <v>2007950</v>
      </c>
    </row>
    <row r="649" spans="1:11" x14ac:dyDescent="0.2">
      <c r="A649">
        <v>2008670</v>
      </c>
      <c r="B649">
        <v>2016</v>
      </c>
      <c r="C649" t="s">
        <v>6</v>
      </c>
      <c r="D649" t="s">
        <v>7</v>
      </c>
      <c r="E649" t="s">
        <v>8</v>
      </c>
      <c r="F649">
        <v>5329</v>
      </c>
      <c r="G649" t="s">
        <v>318</v>
      </c>
      <c r="H649" s="20">
        <v>119223</v>
      </c>
      <c r="I649" s="1">
        <v>255110</v>
      </c>
      <c r="J649" s="1">
        <v>374333</v>
      </c>
      <c r="K649">
        <f>VLOOKUP(F649,'LEAID Match'!$A$2:$C$2979,3,FALSE)</f>
        <v>2008670</v>
      </c>
    </row>
    <row r="650" spans="1:11" x14ac:dyDescent="0.2">
      <c r="A650">
        <v>2005070</v>
      </c>
      <c r="B650">
        <v>2016</v>
      </c>
      <c r="C650" t="s">
        <v>6</v>
      </c>
      <c r="D650" t="s">
        <v>7</v>
      </c>
      <c r="E650" t="s">
        <v>8</v>
      </c>
      <c r="F650">
        <v>5330</v>
      </c>
      <c r="G650" t="s">
        <v>319</v>
      </c>
      <c r="H650" s="1">
        <v>779184</v>
      </c>
      <c r="I650" s="1">
        <v>1667260</v>
      </c>
      <c r="J650" s="1">
        <v>2446444</v>
      </c>
      <c r="K650">
        <f>VLOOKUP(F650,'LEAID Match'!$A$2:$C$2979,3,FALSE)</f>
        <v>2005070</v>
      </c>
    </row>
    <row r="651" spans="1:11" x14ac:dyDescent="0.2">
      <c r="A651">
        <v>2010560</v>
      </c>
      <c r="B651">
        <v>2016</v>
      </c>
      <c r="C651" t="s">
        <v>6</v>
      </c>
      <c r="D651" t="s">
        <v>7</v>
      </c>
      <c r="E651" t="s">
        <v>8</v>
      </c>
      <c r="F651">
        <v>5331</v>
      </c>
      <c r="G651" s="9" t="s">
        <v>320</v>
      </c>
      <c r="H651" s="1">
        <v>799962</v>
      </c>
      <c r="I651" s="1">
        <v>1711720</v>
      </c>
      <c r="J651" s="1">
        <v>2511682</v>
      </c>
      <c r="K651">
        <f>VLOOKUP(F651,'LEAID Match'!$A$2:$C$2979,3,FALSE)</f>
        <v>2010560</v>
      </c>
    </row>
    <row r="652" spans="1:11" x14ac:dyDescent="0.2">
      <c r="A652">
        <v>2003300</v>
      </c>
      <c r="B652">
        <v>2016</v>
      </c>
      <c r="C652" t="s">
        <v>6</v>
      </c>
      <c r="D652" t="s">
        <v>7</v>
      </c>
      <c r="E652" t="s">
        <v>8</v>
      </c>
      <c r="F652" s="3">
        <v>5332</v>
      </c>
      <c r="G652" s="3" t="s">
        <v>321</v>
      </c>
      <c r="H652" s="1">
        <v>898048</v>
      </c>
      <c r="I652" s="21">
        <v>1921600</v>
      </c>
      <c r="J652" s="21">
        <v>2819648</v>
      </c>
      <c r="K652">
        <f>VLOOKUP(F652,'LEAID Match'!$A$2:$C$2979,3,FALSE)</f>
        <v>2003300</v>
      </c>
    </row>
    <row r="653" spans="1:11" x14ac:dyDescent="0.2">
      <c r="A653">
        <v>2004770</v>
      </c>
      <c r="B653">
        <v>2016</v>
      </c>
      <c r="C653" t="s">
        <v>6</v>
      </c>
      <c r="D653" t="s">
        <v>7</v>
      </c>
      <c r="E653" t="s">
        <v>8</v>
      </c>
      <c r="F653" s="3">
        <v>5333</v>
      </c>
      <c r="G653" s="3" t="s">
        <v>322</v>
      </c>
      <c r="H653" s="1">
        <v>305588</v>
      </c>
      <c r="I653" s="1">
        <v>653880</v>
      </c>
      <c r="J653" s="1">
        <v>959468</v>
      </c>
      <c r="K653">
        <f>VLOOKUP(F653,'LEAID Match'!$A$2:$C$2979,3,FALSE)</f>
        <v>2004770</v>
      </c>
    </row>
    <row r="654" spans="1:11" x14ac:dyDescent="0.2">
      <c r="A654">
        <v>2006330</v>
      </c>
      <c r="B654">
        <v>2016</v>
      </c>
      <c r="C654" t="s">
        <v>6</v>
      </c>
      <c r="D654" t="s">
        <v>7</v>
      </c>
      <c r="E654" t="s">
        <v>8</v>
      </c>
      <c r="F654">
        <v>5337</v>
      </c>
      <c r="G654" t="s">
        <v>323</v>
      </c>
      <c r="H654" s="1">
        <v>1216904</v>
      </c>
      <c r="I654" s="1">
        <v>2603870</v>
      </c>
      <c r="J654" s="1">
        <v>3820774</v>
      </c>
      <c r="K654">
        <f>VLOOKUP(F654,'LEAID Match'!$A$2:$C$2979,3,FALSE)</f>
        <v>2006330</v>
      </c>
    </row>
    <row r="655" spans="1:11" x14ac:dyDescent="0.2">
      <c r="A655">
        <v>2003810</v>
      </c>
      <c r="B655">
        <v>2016</v>
      </c>
      <c r="C655" t="s">
        <v>6</v>
      </c>
      <c r="D655" t="s">
        <v>7</v>
      </c>
      <c r="E655" t="s">
        <v>8</v>
      </c>
      <c r="F655">
        <v>5366</v>
      </c>
      <c r="G655" t="s">
        <v>324</v>
      </c>
      <c r="H655" s="1">
        <v>615581</v>
      </c>
      <c r="I655" s="1">
        <v>1317190</v>
      </c>
      <c r="J655" s="1">
        <v>1932771</v>
      </c>
      <c r="K655">
        <f>VLOOKUP(F655,'LEAID Match'!$A$2:$C$2979,3,FALSE)</f>
        <v>2003810</v>
      </c>
    </row>
    <row r="656" spans="1:11" x14ac:dyDescent="0.2">
      <c r="A656">
        <v>2011400</v>
      </c>
      <c r="B656">
        <v>2016</v>
      </c>
      <c r="C656" t="s">
        <v>6</v>
      </c>
      <c r="D656" t="s">
        <v>7</v>
      </c>
      <c r="E656" t="s">
        <v>8</v>
      </c>
      <c r="F656">
        <v>5367</v>
      </c>
      <c r="G656" t="s">
        <v>325</v>
      </c>
      <c r="H656" s="1">
        <v>255798</v>
      </c>
      <c r="I656" s="1">
        <v>547340</v>
      </c>
      <c r="J656" s="1">
        <v>803138</v>
      </c>
      <c r="K656">
        <f>VLOOKUP(F656,'LEAID Match'!$A$2:$C$2979,3,FALSE)</f>
        <v>2011400</v>
      </c>
    </row>
    <row r="657" spans="1:11" x14ac:dyDescent="0.2">
      <c r="A657">
        <v>0</v>
      </c>
      <c r="B657">
        <v>2016</v>
      </c>
      <c r="C657" t="s">
        <v>6</v>
      </c>
      <c r="D657" t="s">
        <v>7</v>
      </c>
      <c r="E657" t="s">
        <v>8</v>
      </c>
      <c r="F657">
        <v>5368</v>
      </c>
      <c r="G657" t="s">
        <v>326</v>
      </c>
      <c r="H657" s="20">
        <v>338950</v>
      </c>
      <c r="I657" s="1">
        <v>725270</v>
      </c>
      <c r="J657" s="1">
        <v>1064220</v>
      </c>
      <c r="K657">
        <f>VLOOKUP(F657,'LEAID Match'!$A$2:$C$2979,3,FALSE)</f>
        <v>0</v>
      </c>
    </row>
    <row r="658" spans="1:11" x14ac:dyDescent="0.2">
      <c r="A658">
        <v>2003570</v>
      </c>
      <c r="B658">
        <v>2016</v>
      </c>
      <c r="C658" t="s">
        <v>6</v>
      </c>
      <c r="D658" t="s">
        <v>7</v>
      </c>
      <c r="E658" t="s">
        <v>8</v>
      </c>
      <c r="F658">
        <v>5405</v>
      </c>
      <c r="G658" t="s">
        <v>327</v>
      </c>
      <c r="H658" s="1">
        <v>120066</v>
      </c>
      <c r="I658" s="1">
        <v>256910</v>
      </c>
      <c r="J658" s="1">
        <v>376976</v>
      </c>
      <c r="K658">
        <f>VLOOKUP(F658,'LEAID Match'!$A$2:$C$2979,3,FALSE)</f>
        <v>2003570</v>
      </c>
    </row>
    <row r="659" spans="1:11" x14ac:dyDescent="0.2">
      <c r="A659">
        <v>2006690</v>
      </c>
      <c r="B659">
        <v>2016</v>
      </c>
      <c r="C659" t="s">
        <v>6</v>
      </c>
      <c r="D659" t="s">
        <v>7</v>
      </c>
      <c r="E659" t="s">
        <v>8</v>
      </c>
      <c r="F659">
        <v>5409</v>
      </c>
      <c r="G659" s="9" t="s">
        <v>328</v>
      </c>
      <c r="H659" s="1">
        <v>161478</v>
      </c>
      <c r="I659" s="1">
        <v>345520</v>
      </c>
      <c r="J659" s="1">
        <v>506998</v>
      </c>
      <c r="K659">
        <f>VLOOKUP(F659,'LEAID Match'!$A$2:$C$2979,3,FALSE)</f>
        <v>2006690</v>
      </c>
    </row>
    <row r="660" spans="1:11" x14ac:dyDescent="0.2">
      <c r="A660">
        <v>2011790</v>
      </c>
      <c r="B660">
        <v>2016</v>
      </c>
      <c r="C660" t="s">
        <v>6</v>
      </c>
      <c r="D660" t="s">
        <v>7</v>
      </c>
      <c r="E660" t="s">
        <v>8</v>
      </c>
      <c r="F660" s="3">
        <v>5410</v>
      </c>
      <c r="G660" s="3" t="s">
        <v>329</v>
      </c>
      <c r="H660" s="1">
        <v>106184</v>
      </c>
      <c r="I660" s="21">
        <v>227210</v>
      </c>
      <c r="J660" s="21">
        <v>333394</v>
      </c>
      <c r="K660">
        <f>VLOOKUP(F660,'LEAID Match'!$A$2:$C$2979,3,FALSE)</f>
        <v>2011790</v>
      </c>
    </row>
    <row r="661" spans="1:11" x14ac:dyDescent="0.2">
      <c r="A661">
        <v>2011640</v>
      </c>
      <c r="B661">
        <v>2016</v>
      </c>
      <c r="C661" t="s">
        <v>6</v>
      </c>
      <c r="D661" t="s">
        <v>7</v>
      </c>
      <c r="E661" t="s">
        <v>8</v>
      </c>
      <c r="F661" s="3">
        <v>5430</v>
      </c>
      <c r="G661" s="3" t="s">
        <v>330</v>
      </c>
      <c r="H661" s="1">
        <v>15704339</v>
      </c>
      <c r="I661" s="1">
        <v>33603330</v>
      </c>
      <c r="J661" s="1">
        <v>49307669</v>
      </c>
      <c r="K661">
        <f>VLOOKUP(F661,'LEAID Match'!$A$2:$C$2979,3,FALSE)</f>
        <v>2011640</v>
      </c>
    </row>
    <row r="662" spans="1:11" x14ac:dyDescent="0.2">
      <c r="A662">
        <v>2004800</v>
      </c>
      <c r="B662">
        <v>2016</v>
      </c>
      <c r="C662" t="s">
        <v>6</v>
      </c>
      <c r="D662" t="s">
        <v>7</v>
      </c>
      <c r="E662" t="s">
        <v>8</v>
      </c>
      <c r="F662">
        <v>5436</v>
      </c>
      <c r="G662" t="s">
        <v>331</v>
      </c>
      <c r="H662" s="1">
        <v>416607</v>
      </c>
      <c r="I662" s="1">
        <v>891430</v>
      </c>
      <c r="J662" s="1">
        <v>1308037</v>
      </c>
      <c r="K662">
        <f>VLOOKUP(F662,'LEAID Match'!$A$2:$C$2979,3,FALSE)</f>
        <v>2004800</v>
      </c>
    </row>
    <row r="663" spans="1:11" x14ac:dyDescent="0.2">
      <c r="A663">
        <v>2004790</v>
      </c>
      <c r="B663">
        <v>2016</v>
      </c>
      <c r="C663" t="s">
        <v>6</v>
      </c>
      <c r="D663" t="s">
        <v>7</v>
      </c>
      <c r="E663" t="s">
        <v>8</v>
      </c>
      <c r="F663">
        <v>5590</v>
      </c>
      <c r="G663" t="s">
        <v>332</v>
      </c>
      <c r="H663" s="1">
        <v>96961</v>
      </c>
      <c r="I663" s="1">
        <v>207470</v>
      </c>
      <c r="J663" s="1">
        <v>304431</v>
      </c>
      <c r="K663">
        <f>VLOOKUP(F663,'LEAID Match'!$A$2:$C$2979,3,FALSE)</f>
        <v>2004790</v>
      </c>
    </row>
    <row r="664" spans="1:11" x14ac:dyDescent="0.2">
      <c r="A664">
        <v>0</v>
      </c>
      <c r="B664">
        <v>2016</v>
      </c>
      <c r="C664" t="s">
        <v>6</v>
      </c>
      <c r="D664" t="s">
        <v>7</v>
      </c>
      <c r="E664" t="s">
        <v>8</v>
      </c>
      <c r="F664">
        <v>5696</v>
      </c>
      <c r="G664" t="s">
        <v>333</v>
      </c>
      <c r="H664" s="1">
        <v>170897</v>
      </c>
      <c r="I664" s="1">
        <v>365680</v>
      </c>
      <c r="J664" s="1">
        <v>536577</v>
      </c>
      <c r="K664">
        <f>VLOOKUP(F664,'LEAID Match'!$A$2:$C$2979,3,FALSE)</f>
        <v>0</v>
      </c>
    </row>
    <row r="665" spans="1:11" x14ac:dyDescent="0.2">
      <c r="A665">
        <v>2000023</v>
      </c>
      <c r="B665">
        <v>2016</v>
      </c>
      <c r="C665" t="s">
        <v>6</v>
      </c>
      <c r="D665" t="s">
        <v>7</v>
      </c>
      <c r="E665" t="s">
        <v>8</v>
      </c>
      <c r="F665">
        <v>9291</v>
      </c>
      <c r="G665" t="s">
        <v>334</v>
      </c>
      <c r="H665" s="20">
        <v>237125</v>
      </c>
      <c r="I665" s="1">
        <v>507390</v>
      </c>
      <c r="J665" s="1">
        <v>744515</v>
      </c>
      <c r="K665">
        <f>VLOOKUP(F665,'LEAID Match'!$A$2:$C$2979,3,FALSE)</f>
        <v>2000023</v>
      </c>
    </row>
    <row r="666" spans="1:11" x14ac:dyDescent="0.2">
      <c r="A666">
        <v>2000020</v>
      </c>
      <c r="B666">
        <v>2016</v>
      </c>
      <c r="C666" t="s">
        <v>6</v>
      </c>
      <c r="D666" t="s">
        <v>7</v>
      </c>
      <c r="E666" t="s">
        <v>8</v>
      </c>
      <c r="F666">
        <v>9302</v>
      </c>
      <c r="G666" t="s">
        <v>335</v>
      </c>
      <c r="H666" s="1">
        <v>128118</v>
      </c>
      <c r="I666" s="1">
        <v>274140</v>
      </c>
      <c r="J666" s="1">
        <v>402258</v>
      </c>
      <c r="K666">
        <f>VLOOKUP(F666,'LEAID Match'!$A$2:$C$2979,3,FALSE)</f>
        <v>2000020</v>
      </c>
    </row>
    <row r="667" spans="1:11" x14ac:dyDescent="0.2">
      <c r="A667">
        <v>2000029</v>
      </c>
      <c r="B667">
        <v>2016</v>
      </c>
      <c r="C667" t="s">
        <v>6</v>
      </c>
      <c r="D667" t="s">
        <v>7</v>
      </c>
      <c r="E667" t="s">
        <v>8</v>
      </c>
      <c r="F667">
        <v>9332</v>
      </c>
      <c r="G667" s="9" t="s">
        <v>336</v>
      </c>
      <c r="H667" s="1">
        <v>229416</v>
      </c>
      <c r="I667" s="1">
        <v>490890</v>
      </c>
      <c r="J667" s="1">
        <v>720306</v>
      </c>
      <c r="K667">
        <f>VLOOKUP(F667,'LEAID Match'!$A$2:$C$2979,3,FALSE)</f>
        <v>2000029</v>
      </c>
    </row>
    <row r="668" spans="1:11" x14ac:dyDescent="0.2">
      <c r="A668">
        <v>2000028</v>
      </c>
      <c r="B668">
        <v>2016</v>
      </c>
      <c r="C668" t="s">
        <v>6</v>
      </c>
      <c r="D668" t="s">
        <v>7</v>
      </c>
      <c r="E668" t="s">
        <v>8</v>
      </c>
      <c r="F668" s="3">
        <v>9333</v>
      </c>
      <c r="G668" s="3" t="s">
        <v>337</v>
      </c>
      <c r="H668" s="22">
        <v>220961</v>
      </c>
      <c r="I668" s="1">
        <v>472800</v>
      </c>
      <c r="J668" s="1">
        <v>693761</v>
      </c>
      <c r="K668">
        <f>VLOOKUP(F668,'LEAID Match'!$A$2:$C$2979,3,FALSE)</f>
        <v>2000028</v>
      </c>
    </row>
    <row r="669" spans="1:11" x14ac:dyDescent="0.2">
      <c r="A669">
        <v>2000030</v>
      </c>
      <c r="B669">
        <v>2016</v>
      </c>
      <c r="C669" t="s">
        <v>6</v>
      </c>
      <c r="D669" t="s">
        <v>7</v>
      </c>
      <c r="E669" t="s">
        <v>8</v>
      </c>
      <c r="F669" s="3">
        <v>9335</v>
      </c>
      <c r="G669" s="3" t="s">
        <v>338</v>
      </c>
      <c r="H669" s="1">
        <v>292262</v>
      </c>
      <c r="I669" s="21">
        <v>625370</v>
      </c>
      <c r="J669" s="21">
        <v>917632</v>
      </c>
      <c r="K669">
        <f>VLOOKUP(F669,'LEAID Match'!$A$2:$C$2979,3,FALSE)</f>
        <v>2000030</v>
      </c>
    </row>
    <row r="670" spans="1:11" x14ac:dyDescent="0.2">
      <c r="A670">
        <v>2000346</v>
      </c>
      <c r="B670">
        <v>2016</v>
      </c>
      <c r="C670" t="s">
        <v>6</v>
      </c>
      <c r="D670" t="s">
        <v>7</v>
      </c>
      <c r="E670" t="s">
        <v>8</v>
      </c>
      <c r="F670" s="3">
        <v>9389</v>
      </c>
      <c r="G670" s="3" t="s">
        <v>339</v>
      </c>
      <c r="H670" s="1">
        <v>179823</v>
      </c>
      <c r="I670" s="1">
        <v>384780</v>
      </c>
      <c r="J670" s="1">
        <v>564603</v>
      </c>
      <c r="K670">
        <f>VLOOKUP(F670,'LEAID Match'!$A$2:$C$2979,3,FALSE)</f>
        <v>2000346</v>
      </c>
    </row>
    <row r="671" spans="1:11" x14ac:dyDescent="0.2">
      <c r="A671">
        <v>2000348</v>
      </c>
      <c r="B671">
        <v>2016</v>
      </c>
      <c r="C671" t="s">
        <v>6</v>
      </c>
      <c r="D671" t="s">
        <v>7</v>
      </c>
      <c r="E671" t="s">
        <v>8</v>
      </c>
      <c r="F671">
        <v>9410</v>
      </c>
      <c r="G671" t="s">
        <v>340</v>
      </c>
      <c r="H671" s="1">
        <v>255732</v>
      </c>
      <c r="I671" s="1">
        <v>547200</v>
      </c>
      <c r="J671" s="1">
        <v>802932</v>
      </c>
      <c r="K671">
        <f>VLOOKUP(F671,'LEAID Match'!$A$2:$C$2979,3,FALSE)</f>
        <v>2000348</v>
      </c>
    </row>
    <row r="672" spans="1:11" x14ac:dyDescent="0.2">
      <c r="A672">
        <v>2000351</v>
      </c>
      <c r="B672">
        <v>2016</v>
      </c>
      <c r="C672" t="s">
        <v>6</v>
      </c>
      <c r="D672" t="s">
        <v>7</v>
      </c>
      <c r="E672" t="s">
        <v>8</v>
      </c>
      <c r="F672">
        <v>9444</v>
      </c>
      <c r="G672" t="s">
        <v>341</v>
      </c>
      <c r="H672" s="1">
        <v>398755</v>
      </c>
      <c r="I672" s="1">
        <v>853240</v>
      </c>
      <c r="J672" s="1">
        <v>1251995</v>
      </c>
      <c r="K672">
        <f>VLOOKUP(F672,'LEAID Match'!$A$2:$C$2979,3,FALSE)</f>
        <v>2000351</v>
      </c>
    </row>
    <row r="673" spans="1:11" x14ac:dyDescent="0.2">
      <c r="A673">
        <v>2000349</v>
      </c>
      <c r="B673">
        <v>2016</v>
      </c>
      <c r="C673" t="s">
        <v>6</v>
      </c>
      <c r="D673" t="s">
        <v>7</v>
      </c>
      <c r="E673" t="s">
        <v>8</v>
      </c>
      <c r="F673">
        <v>9445</v>
      </c>
      <c r="G673" t="s">
        <v>342</v>
      </c>
      <c r="H673" s="1">
        <v>438036</v>
      </c>
      <c r="I673" s="1">
        <v>937290</v>
      </c>
      <c r="J673" s="1">
        <v>1375326</v>
      </c>
      <c r="K673">
        <f>VLOOKUP(F673,'LEAID Match'!$A$2:$C$2979,3,FALSE)</f>
        <v>2000349</v>
      </c>
    </row>
    <row r="674" spans="1:11" x14ac:dyDescent="0.2">
      <c r="A674">
        <v>2000350</v>
      </c>
      <c r="B674">
        <v>2016</v>
      </c>
      <c r="C674" t="s">
        <v>6</v>
      </c>
      <c r="D674" t="s">
        <v>7</v>
      </c>
      <c r="E674" t="s">
        <v>8</v>
      </c>
      <c r="F674">
        <v>9446</v>
      </c>
      <c r="G674" t="s">
        <v>343</v>
      </c>
      <c r="H674" s="20">
        <v>670520</v>
      </c>
      <c r="I674" s="1">
        <v>1434740</v>
      </c>
      <c r="J674" s="1">
        <v>2105260</v>
      </c>
      <c r="K674">
        <f>VLOOKUP(F674,'LEAID Match'!$A$2:$C$2979,3,FALSE)</f>
        <v>2000350</v>
      </c>
    </row>
    <row r="675" spans="1:11" x14ac:dyDescent="0.2">
      <c r="A675">
        <v>2000353</v>
      </c>
      <c r="B675">
        <v>2016</v>
      </c>
      <c r="C675" t="s">
        <v>6</v>
      </c>
      <c r="D675" t="s">
        <v>7</v>
      </c>
      <c r="E675" t="s">
        <v>8</v>
      </c>
      <c r="F675">
        <v>9461</v>
      </c>
      <c r="G675" t="s">
        <v>344</v>
      </c>
      <c r="H675" s="1">
        <v>464679</v>
      </c>
      <c r="I675" s="1">
        <v>994350</v>
      </c>
      <c r="J675" s="1">
        <v>1459029</v>
      </c>
      <c r="K675">
        <f>VLOOKUP(F675,'LEAID Match'!$A$2:$C$2979,3,FALSE)</f>
        <v>2000353</v>
      </c>
    </row>
    <row r="676" spans="1:11" x14ac:dyDescent="0.2">
      <c r="A676">
        <v>0</v>
      </c>
      <c r="B676">
        <v>2017</v>
      </c>
      <c r="C676" t="s">
        <v>6</v>
      </c>
      <c r="D676" t="s">
        <v>7</v>
      </c>
      <c r="E676" t="s">
        <v>8</v>
      </c>
      <c r="F676">
        <v>4931</v>
      </c>
      <c r="G676" s="9" t="s">
        <v>10</v>
      </c>
      <c r="H676" s="1">
        <v>11259</v>
      </c>
      <c r="I676" s="1">
        <v>268212.66681829724</v>
      </c>
      <c r="J676" s="1">
        <v>279471.66681829724</v>
      </c>
      <c r="K676">
        <f>VLOOKUP(F676,'LEAID Match'!$A$2:$C$2979,3,FALSE)</f>
        <v>0</v>
      </c>
    </row>
    <row r="677" spans="1:11" x14ac:dyDescent="0.2">
      <c r="A677">
        <v>0</v>
      </c>
      <c r="B677">
        <v>2017</v>
      </c>
      <c r="C677" t="s">
        <v>6</v>
      </c>
      <c r="D677" t="s">
        <v>7</v>
      </c>
      <c r="E677" t="s">
        <v>8</v>
      </c>
      <c r="F677" s="3">
        <v>5045</v>
      </c>
      <c r="G677" s="3" t="s">
        <v>11</v>
      </c>
      <c r="H677" s="22">
        <v>2936</v>
      </c>
      <c r="I677" s="1">
        <v>420014.54730292433</v>
      </c>
      <c r="J677" s="1">
        <v>422950.54730292433</v>
      </c>
      <c r="K677">
        <f>VLOOKUP(F677,'LEAID Match'!$A$2:$C$2979,3,FALSE)</f>
        <v>0</v>
      </c>
    </row>
    <row r="678" spans="1:11" x14ac:dyDescent="0.2">
      <c r="A678">
        <v>0</v>
      </c>
      <c r="B678">
        <v>2017</v>
      </c>
      <c r="C678" t="s">
        <v>6</v>
      </c>
      <c r="D678" t="s">
        <v>7</v>
      </c>
      <c r="E678" t="s">
        <v>8</v>
      </c>
      <c r="F678" s="3">
        <v>5046</v>
      </c>
      <c r="G678" s="3" t="s">
        <v>12</v>
      </c>
      <c r="H678" s="1"/>
      <c r="I678" s="21">
        <v>566513.23703610839</v>
      </c>
      <c r="J678" s="21">
        <v>566513.23703610839</v>
      </c>
      <c r="K678">
        <f>VLOOKUP(F678,'LEAID Match'!$A$2:$C$2979,3,FALSE)</f>
        <v>0</v>
      </c>
    </row>
    <row r="679" spans="1:11" x14ac:dyDescent="0.2">
      <c r="A679">
        <v>0</v>
      </c>
      <c r="B679">
        <v>2017</v>
      </c>
      <c r="C679" t="s">
        <v>6</v>
      </c>
      <c r="D679" t="s">
        <v>7</v>
      </c>
      <c r="E679" t="s">
        <v>8</v>
      </c>
      <c r="F679" s="3">
        <v>5047</v>
      </c>
      <c r="G679" s="3" t="s">
        <v>13</v>
      </c>
      <c r="H679" s="1">
        <v>7505</v>
      </c>
      <c r="I679" s="1">
        <v>910067.08840335358</v>
      </c>
      <c r="J679" s="1">
        <v>917572.08840335358</v>
      </c>
      <c r="K679">
        <f>VLOOKUP(F679,'LEAID Match'!$A$2:$C$2979,3,FALSE)</f>
        <v>0</v>
      </c>
    </row>
    <row r="680" spans="1:11" x14ac:dyDescent="0.2">
      <c r="A680">
        <v>0</v>
      </c>
      <c r="B680">
        <v>2017</v>
      </c>
      <c r="C680" t="s">
        <v>6</v>
      </c>
      <c r="D680" t="s">
        <v>7</v>
      </c>
      <c r="E680" t="s">
        <v>8</v>
      </c>
      <c r="F680">
        <v>5048</v>
      </c>
      <c r="G680" t="s">
        <v>14</v>
      </c>
      <c r="H680" s="1">
        <v>60813</v>
      </c>
      <c r="I680" s="1">
        <v>1849798.9288192887</v>
      </c>
      <c r="J680" s="1">
        <v>1910611.9288192887</v>
      </c>
      <c r="K680">
        <f>VLOOKUP(F680,'LEAID Match'!$A$2:$C$2979,3,FALSE)</f>
        <v>0</v>
      </c>
    </row>
    <row r="681" spans="1:11" x14ac:dyDescent="0.2">
      <c r="A681">
        <v>0</v>
      </c>
      <c r="B681">
        <v>2017</v>
      </c>
      <c r="C681" t="s">
        <v>6</v>
      </c>
      <c r="D681" t="s">
        <v>7</v>
      </c>
      <c r="E681" t="s">
        <v>8</v>
      </c>
      <c r="F681">
        <v>5049</v>
      </c>
      <c r="G681" t="s">
        <v>15</v>
      </c>
      <c r="H681" s="1">
        <v>160234</v>
      </c>
      <c r="I681" s="1">
        <v>2642347.6781283934</v>
      </c>
      <c r="J681" s="1">
        <v>2802581.6781283934</v>
      </c>
      <c r="K681">
        <f>VLOOKUP(F681,'LEAID Match'!$A$2:$C$2979,3,FALSE)</f>
        <v>0</v>
      </c>
    </row>
    <row r="682" spans="1:11" x14ac:dyDescent="0.2">
      <c r="A682">
        <v>0</v>
      </c>
      <c r="B682">
        <v>2017</v>
      </c>
      <c r="C682" t="s">
        <v>6</v>
      </c>
      <c r="D682" t="s">
        <v>7</v>
      </c>
      <c r="E682" t="s">
        <v>8</v>
      </c>
      <c r="F682">
        <v>5050</v>
      </c>
      <c r="G682" t="s">
        <v>16</v>
      </c>
      <c r="H682" s="1">
        <v>25658</v>
      </c>
      <c r="I682" s="1">
        <v>629819.44420411461</v>
      </c>
      <c r="J682" s="1">
        <v>655477.44420411461</v>
      </c>
      <c r="K682">
        <f>VLOOKUP(F682,'LEAID Match'!$A$2:$C$2979,3,FALSE)</f>
        <v>0</v>
      </c>
    </row>
    <row r="683" spans="1:11" x14ac:dyDescent="0.2">
      <c r="A683">
        <v>0</v>
      </c>
      <c r="B683">
        <v>2017</v>
      </c>
      <c r="C683" t="s">
        <v>6</v>
      </c>
      <c r="D683" t="s">
        <v>7</v>
      </c>
      <c r="E683" t="s">
        <v>8</v>
      </c>
      <c r="F683">
        <v>5107</v>
      </c>
      <c r="G683" t="s">
        <v>17</v>
      </c>
      <c r="H683" s="20">
        <v>20411</v>
      </c>
      <c r="I683" s="1">
        <v>1009188.4610035683</v>
      </c>
      <c r="J683" s="1">
        <v>1029599.4610035683</v>
      </c>
      <c r="K683">
        <f>VLOOKUP(F683,'LEAID Match'!$A$2:$C$2979,3,FALSE)</f>
        <v>0</v>
      </c>
    </row>
    <row r="684" spans="1:11" x14ac:dyDescent="0.2">
      <c r="A684">
        <v>0</v>
      </c>
      <c r="B684">
        <v>2017</v>
      </c>
      <c r="C684" t="s">
        <v>6</v>
      </c>
      <c r="D684" t="s">
        <v>7</v>
      </c>
      <c r="E684" t="s">
        <v>8</v>
      </c>
      <c r="F684">
        <v>5108</v>
      </c>
      <c r="G684" t="s">
        <v>18</v>
      </c>
      <c r="H684" s="1">
        <v>8771</v>
      </c>
      <c r="I684" s="1">
        <v>1317361.33705737</v>
      </c>
      <c r="J684" s="1">
        <v>1326132.33705737</v>
      </c>
      <c r="K684">
        <f>VLOOKUP(F684,'LEAID Match'!$A$2:$C$2979,3,FALSE)</f>
        <v>0</v>
      </c>
    </row>
    <row r="685" spans="1:11" x14ac:dyDescent="0.2">
      <c r="A685">
        <v>0</v>
      </c>
      <c r="B685">
        <v>2017</v>
      </c>
      <c r="C685" t="s">
        <v>6</v>
      </c>
      <c r="D685" t="s">
        <v>7</v>
      </c>
      <c r="E685" t="s">
        <v>8</v>
      </c>
      <c r="F685">
        <v>5109</v>
      </c>
      <c r="G685" s="9" t="s">
        <v>19</v>
      </c>
      <c r="H685" s="1">
        <v>63850</v>
      </c>
      <c r="I685" s="1">
        <v>2127075.3143668086</v>
      </c>
      <c r="J685" s="1">
        <v>2190925.3143668086</v>
      </c>
      <c r="K685">
        <f>VLOOKUP(F685,'LEAID Match'!$A$2:$C$2979,3,FALSE)</f>
        <v>0</v>
      </c>
    </row>
    <row r="686" spans="1:11" x14ac:dyDescent="0.2">
      <c r="A686">
        <v>0</v>
      </c>
      <c r="B686">
        <v>2017</v>
      </c>
      <c r="C686" t="s">
        <v>6</v>
      </c>
      <c r="D686" t="s">
        <v>7</v>
      </c>
      <c r="E686" t="s">
        <v>8</v>
      </c>
      <c r="F686" s="3">
        <v>5110</v>
      </c>
      <c r="G686" s="3" t="s">
        <v>20</v>
      </c>
      <c r="H686" s="22">
        <v>17084</v>
      </c>
      <c r="I686" s="1">
        <v>429485.77921564889</v>
      </c>
      <c r="J686" s="1">
        <v>446569.77921564889</v>
      </c>
      <c r="K686">
        <f>VLOOKUP(F686,'LEAID Match'!$A$2:$C$2979,3,FALSE)</f>
        <v>0</v>
      </c>
    </row>
    <row r="687" spans="1:11" x14ac:dyDescent="0.2">
      <c r="A687">
        <v>0</v>
      </c>
      <c r="B687">
        <v>2017</v>
      </c>
      <c r="C687" t="s">
        <v>6</v>
      </c>
      <c r="D687" t="s">
        <v>7</v>
      </c>
      <c r="E687" t="s">
        <v>8</v>
      </c>
      <c r="F687" s="3">
        <v>5111</v>
      </c>
      <c r="G687" s="3" t="s">
        <v>21</v>
      </c>
      <c r="H687" s="1"/>
      <c r="I687" s="21">
        <v>442466.407956952</v>
      </c>
      <c r="J687" s="21">
        <v>442466.407956952</v>
      </c>
      <c r="K687">
        <f>VLOOKUP(F687,'LEAID Match'!$A$2:$C$2979,3,FALSE)</f>
        <v>0</v>
      </c>
    </row>
    <row r="688" spans="1:11" x14ac:dyDescent="0.2">
      <c r="A688">
        <v>0</v>
      </c>
      <c r="B688">
        <v>2017</v>
      </c>
      <c r="C688" t="s">
        <v>6</v>
      </c>
      <c r="D688" t="s">
        <v>7</v>
      </c>
      <c r="E688" t="s">
        <v>8</v>
      </c>
      <c r="F688" s="3">
        <v>5112</v>
      </c>
      <c r="G688" s="3" t="s">
        <v>22</v>
      </c>
      <c r="H688" s="1">
        <v>4174</v>
      </c>
      <c r="I688" s="1">
        <v>526653.29628142039</v>
      </c>
      <c r="J688" s="1">
        <v>530827.29628142039</v>
      </c>
      <c r="K688">
        <f>VLOOKUP(F688,'LEAID Match'!$A$2:$C$2979,3,FALSE)</f>
        <v>0</v>
      </c>
    </row>
    <row r="689" spans="1:11" x14ac:dyDescent="0.2">
      <c r="A689">
        <v>0</v>
      </c>
      <c r="B689">
        <v>2017</v>
      </c>
      <c r="C689" t="s">
        <v>6</v>
      </c>
      <c r="D689" t="s">
        <v>7</v>
      </c>
      <c r="E689" t="s">
        <v>8</v>
      </c>
      <c r="F689">
        <v>5113</v>
      </c>
      <c r="G689" t="s">
        <v>23</v>
      </c>
      <c r="H689" s="1">
        <v>9912</v>
      </c>
      <c r="I689" s="1">
        <v>477641.32694284571</v>
      </c>
      <c r="J689" s="1">
        <v>487553.32694284571</v>
      </c>
      <c r="K689">
        <f>VLOOKUP(F689,'LEAID Match'!$A$2:$C$2979,3,FALSE)</f>
        <v>0</v>
      </c>
    </row>
    <row r="690" spans="1:11" x14ac:dyDescent="0.2">
      <c r="A690">
        <v>0</v>
      </c>
      <c r="B690">
        <v>2017</v>
      </c>
      <c r="C690" t="s">
        <v>6</v>
      </c>
      <c r="D690" t="s">
        <v>7</v>
      </c>
      <c r="E690" t="s">
        <v>8</v>
      </c>
      <c r="F690">
        <v>5177</v>
      </c>
      <c r="G690" t="s">
        <v>24</v>
      </c>
      <c r="H690" s="1">
        <v>5363</v>
      </c>
      <c r="I690" s="1">
        <v>552911.67962919839</v>
      </c>
      <c r="J690" s="1">
        <v>558274.67962919839</v>
      </c>
      <c r="K690">
        <f>VLOOKUP(F690,'LEAID Match'!$A$2:$C$2979,3,FALSE)</f>
        <v>0</v>
      </c>
    </row>
    <row r="691" spans="1:11" x14ac:dyDescent="0.2">
      <c r="A691">
        <v>0</v>
      </c>
      <c r="B691">
        <v>2017</v>
      </c>
      <c r="C691" t="s">
        <v>6</v>
      </c>
      <c r="D691" t="s">
        <v>7</v>
      </c>
      <c r="E691" t="s">
        <v>8</v>
      </c>
      <c r="F691">
        <v>5178</v>
      </c>
      <c r="G691" t="s">
        <v>25</v>
      </c>
      <c r="H691" s="1">
        <v>28497</v>
      </c>
      <c r="I691" s="1">
        <v>903248.83170782973</v>
      </c>
      <c r="J691" s="1">
        <v>931745.83170782973</v>
      </c>
      <c r="K691">
        <f>VLOOKUP(F691,'LEAID Match'!$A$2:$C$2979,3,FALSE)</f>
        <v>0</v>
      </c>
    </row>
    <row r="692" spans="1:11" x14ac:dyDescent="0.2">
      <c r="A692">
        <v>0</v>
      </c>
      <c r="B692">
        <v>2017</v>
      </c>
      <c r="C692" t="s">
        <v>6</v>
      </c>
      <c r="D692" t="s">
        <v>7</v>
      </c>
      <c r="E692" t="s">
        <v>8</v>
      </c>
      <c r="F692">
        <v>5179</v>
      </c>
      <c r="G692" t="s">
        <v>26</v>
      </c>
      <c r="H692" s="20">
        <v>15099</v>
      </c>
      <c r="I692" s="1">
        <v>492852.69940873666</v>
      </c>
      <c r="J692" s="1">
        <v>507951.69940873666</v>
      </c>
      <c r="K692">
        <f>VLOOKUP(F692,'LEAID Match'!$A$2:$C$2979,3,FALSE)</f>
        <v>0</v>
      </c>
    </row>
    <row r="693" spans="1:11" x14ac:dyDescent="0.2">
      <c r="A693">
        <v>0</v>
      </c>
      <c r="B693">
        <v>2017</v>
      </c>
      <c r="C693" t="s">
        <v>6</v>
      </c>
      <c r="D693" t="s">
        <v>7</v>
      </c>
      <c r="E693" t="s">
        <v>8</v>
      </c>
      <c r="F693">
        <v>5180</v>
      </c>
      <c r="G693" t="s">
        <v>27</v>
      </c>
      <c r="H693" s="1">
        <v>10858</v>
      </c>
      <c r="I693" s="1">
        <v>671458.46057255648</v>
      </c>
      <c r="J693" s="1">
        <v>682316.46057255648</v>
      </c>
      <c r="K693">
        <f>VLOOKUP(F693,'LEAID Match'!$A$2:$C$2979,3,FALSE)</f>
        <v>0</v>
      </c>
    </row>
    <row r="694" spans="1:11" x14ac:dyDescent="0.2">
      <c r="A694">
        <v>0</v>
      </c>
      <c r="B694">
        <v>2017</v>
      </c>
      <c r="C694" t="s">
        <v>6</v>
      </c>
      <c r="D694" t="s">
        <v>7</v>
      </c>
      <c r="E694" t="s">
        <v>8</v>
      </c>
      <c r="F694">
        <v>5404</v>
      </c>
      <c r="G694" s="9" t="s">
        <v>367</v>
      </c>
      <c r="H694" s="1">
        <v>7775</v>
      </c>
      <c r="I694" s="1">
        <v>788137.85604749667</v>
      </c>
      <c r="J694" s="1">
        <v>795912.85604749667</v>
      </c>
      <c r="K694">
        <f>VLOOKUP(F694,'LEAID Match'!$A$2:$C$2979,3,FALSE)</f>
        <v>0</v>
      </c>
    </row>
    <row r="695" spans="1:11" x14ac:dyDescent="0.2">
      <c r="A695">
        <v>0</v>
      </c>
      <c r="B695">
        <v>2017</v>
      </c>
      <c r="C695" t="s">
        <v>6</v>
      </c>
      <c r="D695" t="s">
        <v>7</v>
      </c>
      <c r="E695" t="s">
        <v>8</v>
      </c>
      <c r="F695" s="3">
        <v>5406</v>
      </c>
      <c r="G695" s="3" t="s">
        <v>29</v>
      </c>
      <c r="H695" s="22">
        <v>99583</v>
      </c>
      <c r="I695" s="1">
        <v>7641635.7029483272</v>
      </c>
      <c r="J695" s="1">
        <v>7741218.7029483272</v>
      </c>
      <c r="K695">
        <f>VLOOKUP(F695,'LEAID Match'!$A$2:$C$2979,3,FALSE)</f>
        <v>0</v>
      </c>
    </row>
    <row r="696" spans="1:11" x14ac:dyDescent="0.2">
      <c r="A696">
        <v>2000046</v>
      </c>
      <c r="B696">
        <v>2017</v>
      </c>
      <c r="C696" t="s">
        <v>6</v>
      </c>
      <c r="D696" t="s">
        <v>7</v>
      </c>
      <c r="E696" t="s">
        <v>8</v>
      </c>
      <c r="F696" s="3">
        <v>5596</v>
      </c>
      <c r="G696" s="3" t="s">
        <v>30</v>
      </c>
      <c r="H696" s="1">
        <v>80981</v>
      </c>
      <c r="I696" s="21">
        <v>666112.03478810086</v>
      </c>
      <c r="J696" s="21">
        <v>747093.03478810086</v>
      </c>
      <c r="K696">
        <f>VLOOKUP(F696,'LEAID Match'!$A$2:$C$2979,3,FALSE)</f>
        <v>2000046</v>
      </c>
    </row>
    <row r="697" spans="1:11" x14ac:dyDescent="0.2">
      <c r="A697">
        <v>0</v>
      </c>
      <c r="B697">
        <v>2017</v>
      </c>
      <c r="C697" t="s">
        <v>6</v>
      </c>
      <c r="D697" t="s">
        <v>7</v>
      </c>
      <c r="E697" t="s">
        <v>8</v>
      </c>
      <c r="F697" s="3">
        <v>5600</v>
      </c>
      <c r="G697" s="3" t="s">
        <v>31</v>
      </c>
      <c r="H697" s="1">
        <v>105230</v>
      </c>
      <c r="I697" s="1">
        <v>776461.63745112787</v>
      </c>
      <c r="J697" s="1">
        <v>881691.63745112787</v>
      </c>
      <c r="K697">
        <f>VLOOKUP(F697,'LEAID Match'!$A$2:$C$2979,3,FALSE)</f>
        <v>0</v>
      </c>
    </row>
    <row r="698" spans="1:11" x14ac:dyDescent="0.2">
      <c r="A698">
        <v>2000048</v>
      </c>
      <c r="B698">
        <v>2017</v>
      </c>
      <c r="C698" t="s">
        <v>6</v>
      </c>
      <c r="D698" t="s">
        <v>7</v>
      </c>
      <c r="E698" t="s">
        <v>8</v>
      </c>
      <c r="F698">
        <v>5604</v>
      </c>
      <c r="G698" t="s">
        <v>32</v>
      </c>
      <c r="H698" s="1">
        <v>76703</v>
      </c>
      <c r="I698" s="1">
        <v>712666.04650519136</v>
      </c>
      <c r="J698" s="1">
        <v>789369.04650519136</v>
      </c>
      <c r="K698">
        <f>VLOOKUP(F698,'LEAID Match'!$A$2:$C$2979,3,FALSE)</f>
        <v>2000048</v>
      </c>
    </row>
    <row r="699" spans="1:11" x14ac:dyDescent="0.2">
      <c r="A699">
        <v>2000035</v>
      </c>
      <c r="B699">
        <v>2017</v>
      </c>
      <c r="C699" t="s">
        <v>6</v>
      </c>
      <c r="D699" t="s">
        <v>7</v>
      </c>
      <c r="E699" t="s">
        <v>8</v>
      </c>
      <c r="F699">
        <v>5608</v>
      </c>
      <c r="G699" t="s">
        <v>33</v>
      </c>
      <c r="H699" s="1">
        <v>28222</v>
      </c>
      <c r="I699" s="1">
        <v>669980.19040125224</v>
      </c>
      <c r="J699" s="1">
        <v>698202.19040125224</v>
      </c>
      <c r="K699">
        <f>VLOOKUP(F699,'LEAID Match'!$A$2:$C$2979,3,FALSE)</f>
        <v>2000035</v>
      </c>
    </row>
    <row r="700" spans="1:11" x14ac:dyDescent="0.2">
      <c r="A700">
        <v>2000039</v>
      </c>
      <c r="B700">
        <v>2017</v>
      </c>
      <c r="C700" t="s">
        <v>6</v>
      </c>
      <c r="D700" t="s">
        <v>7</v>
      </c>
      <c r="E700" t="s">
        <v>8</v>
      </c>
      <c r="F700">
        <v>5609</v>
      </c>
      <c r="G700" t="s">
        <v>365</v>
      </c>
      <c r="H700" s="1">
        <v>87406</v>
      </c>
      <c r="I700" s="1">
        <v>730108.16269567027</v>
      </c>
      <c r="J700" s="1">
        <v>817514.16269567027</v>
      </c>
      <c r="K700">
        <f>VLOOKUP(F700,'LEAID Match'!$A$2:$C$2979,3,FALSE)</f>
        <v>2000039</v>
      </c>
    </row>
    <row r="701" spans="1:11" x14ac:dyDescent="0.2">
      <c r="A701">
        <v>2000041</v>
      </c>
      <c r="B701">
        <v>2017</v>
      </c>
      <c r="C701" t="s">
        <v>6</v>
      </c>
      <c r="D701" t="s">
        <v>7</v>
      </c>
      <c r="E701" t="s">
        <v>8</v>
      </c>
      <c r="F701">
        <v>5612</v>
      </c>
      <c r="G701" t="s">
        <v>35</v>
      </c>
      <c r="H701" s="20">
        <v>137489</v>
      </c>
      <c r="I701" s="1">
        <v>1507404.1442945099</v>
      </c>
      <c r="J701" s="1">
        <v>1644893.1442945099</v>
      </c>
      <c r="K701">
        <f>VLOOKUP(F701,'LEAID Match'!$A$2:$C$2979,3,FALSE)</f>
        <v>2000041</v>
      </c>
    </row>
    <row r="702" spans="1:11" x14ac:dyDescent="0.2">
      <c r="A702">
        <v>0</v>
      </c>
      <c r="B702">
        <v>2017</v>
      </c>
      <c r="C702" t="s">
        <v>6</v>
      </c>
      <c r="D702" t="s">
        <v>7</v>
      </c>
      <c r="E702" t="s">
        <v>8</v>
      </c>
      <c r="F702">
        <v>5624</v>
      </c>
      <c r="G702" t="s">
        <v>36</v>
      </c>
      <c r="H702" s="1">
        <v>38416</v>
      </c>
      <c r="I702" s="1">
        <v>537620.27635751816</v>
      </c>
      <c r="J702" s="1">
        <v>576036.27635751816</v>
      </c>
      <c r="K702">
        <f>VLOOKUP(F702,'LEAID Match'!$A$2:$C$2979,3,FALSE)</f>
        <v>0</v>
      </c>
    </row>
    <row r="703" spans="1:11" x14ac:dyDescent="0.2">
      <c r="A703">
        <v>2000044</v>
      </c>
      <c r="B703">
        <v>2017</v>
      </c>
      <c r="C703" t="s">
        <v>6</v>
      </c>
      <c r="D703" t="s">
        <v>7</v>
      </c>
      <c r="E703" t="s">
        <v>8</v>
      </c>
      <c r="F703">
        <v>5626</v>
      </c>
      <c r="G703" s="9" t="s">
        <v>37</v>
      </c>
      <c r="H703" s="1">
        <v>92883</v>
      </c>
      <c r="I703" s="1">
        <v>624622.04129940469</v>
      </c>
      <c r="J703" s="1">
        <v>717505.04129940469</v>
      </c>
      <c r="K703">
        <f>VLOOKUP(F703,'LEAID Match'!$A$2:$C$2979,3,FALSE)</f>
        <v>2000044</v>
      </c>
    </row>
    <row r="704" spans="1:11" x14ac:dyDescent="0.2">
      <c r="A704">
        <v>2000047</v>
      </c>
      <c r="B704">
        <v>2017</v>
      </c>
      <c r="C704" t="s">
        <v>6</v>
      </c>
      <c r="D704" t="s">
        <v>7</v>
      </c>
      <c r="E704" t="s">
        <v>8</v>
      </c>
      <c r="F704" s="3">
        <v>5634</v>
      </c>
      <c r="G704" s="3" t="s">
        <v>38</v>
      </c>
      <c r="H704" s="22">
        <v>48039</v>
      </c>
      <c r="I704" s="1">
        <v>912539.76433394826</v>
      </c>
      <c r="J704" s="1">
        <v>960578.76433394826</v>
      </c>
      <c r="K704">
        <f>VLOOKUP(F704,'LEAID Match'!$A$2:$C$2979,3,FALSE)</f>
        <v>2000047</v>
      </c>
    </row>
    <row r="705" spans="1:11" x14ac:dyDescent="0.2">
      <c r="A705">
        <v>2000051</v>
      </c>
      <c r="B705">
        <v>2017</v>
      </c>
      <c r="C705" t="s">
        <v>6</v>
      </c>
      <c r="D705" t="s">
        <v>7</v>
      </c>
      <c r="E705" t="s">
        <v>8</v>
      </c>
      <c r="F705" s="3">
        <v>5638</v>
      </c>
      <c r="G705" s="3" t="s">
        <v>39</v>
      </c>
      <c r="H705" s="1">
        <v>33070</v>
      </c>
      <c r="I705" s="21">
        <v>480082.72646658024</v>
      </c>
      <c r="J705" s="21">
        <v>513152.72646658024</v>
      </c>
      <c r="K705">
        <f>VLOOKUP(F705,'LEAID Match'!$A$2:$C$2979,3,FALSE)</f>
        <v>2000051</v>
      </c>
    </row>
    <row r="706" spans="1:11" x14ac:dyDescent="0.2">
      <c r="A706">
        <v>2000033</v>
      </c>
      <c r="B706">
        <v>2017</v>
      </c>
      <c r="C706" t="s">
        <v>6</v>
      </c>
      <c r="D706" t="s">
        <v>7</v>
      </c>
      <c r="E706" t="s">
        <v>8</v>
      </c>
      <c r="F706" s="3">
        <v>5655</v>
      </c>
      <c r="G706" s="3" t="s">
        <v>40</v>
      </c>
      <c r="H706" s="1">
        <v>2510</v>
      </c>
      <c r="I706" s="1">
        <v>215855.96173431986</v>
      </c>
      <c r="J706" s="1">
        <v>218365.96173431986</v>
      </c>
      <c r="K706">
        <f>VLOOKUP(F706,'LEAID Match'!$A$2:$C$2979,3,FALSE)</f>
        <v>2000033</v>
      </c>
    </row>
    <row r="707" spans="1:11" x14ac:dyDescent="0.2">
      <c r="A707">
        <v>2000037</v>
      </c>
      <c r="B707">
        <v>2017</v>
      </c>
      <c r="C707" t="s">
        <v>6</v>
      </c>
      <c r="D707" t="s">
        <v>7</v>
      </c>
      <c r="E707" t="s">
        <v>8</v>
      </c>
      <c r="F707">
        <v>5657</v>
      </c>
      <c r="G707" t="s">
        <v>41</v>
      </c>
      <c r="H707" s="1">
        <v>24376</v>
      </c>
      <c r="I707" s="1">
        <v>119216.46400789414</v>
      </c>
      <c r="J707" s="1">
        <v>143592.46400789416</v>
      </c>
      <c r="K707">
        <f>VLOOKUP(F707,'LEAID Match'!$A$2:$C$2979,3,FALSE)</f>
        <v>2000037</v>
      </c>
    </row>
    <row r="708" spans="1:11" x14ac:dyDescent="0.2">
      <c r="A708">
        <v>0</v>
      </c>
      <c r="B708">
        <v>2017</v>
      </c>
      <c r="C708" t="s">
        <v>6</v>
      </c>
      <c r="D708" t="s">
        <v>7</v>
      </c>
      <c r="E708" t="s">
        <v>8</v>
      </c>
      <c r="F708">
        <v>4930</v>
      </c>
      <c r="G708" t="s">
        <v>353</v>
      </c>
      <c r="H708" s="1">
        <v>6237</v>
      </c>
      <c r="I708" s="1">
        <v>339553.2309720976</v>
      </c>
      <c r="J708" s="1">
        <v>345790.2309720976</v>
      </c>
      <c r="K708">
        <f>VLOOKUP(F708,'LEAID Match'!$A$2:$C$2979,3,FALSE)</f>
        <v>0</v>
      </c>
    </row>
    <row r="709" spans="1:11" x14ac:dyDescent="0.2">
      <c r="A709">
        <v>2000040</v>
      </c>
      <c r="B709">
        <v>2017</v>
      </c>
      <c r="C709" t="s">
        <v>6</v>
      </c>
      <c r="D709" t="s">
        <v>7</v>
      </c>
      <c r="E709" t="s">
        <v>8</v>
      </c>
      <c r="F709">
        <v>5671</v>
      </c>
      <c r="G709" t="s">
        <v>42</v>
      </c>
      <c r="H709" s="1">
        <v>37077</v>
      </c>
      <c r="I709" s="1">
        <v>289215.69391924201</v>
      </c>
      <c r="J709" s="1">
        <v>326292.69391924201</v>
      </c>
      <c r="K709">
        <f>VLOOKUP(F709,'LEAID Match'!$A$2:$C$2979,3,FALSE)</f>
        <v>2000040</v>
      </c>
    </row>
    <row r="710" spans="1:11" x14ac:dyDescent="0.2">
      <c r="A710">
        <v>2093310</v>
      </c>
      <c r="B710">
        <v>2017</v>
      </c>
      <c r="C710" t="s">
        <v>6</v>
      </c>
      <c r="D710" t="s">
        <v>7</v>
      </c>
      <c r="E710" t="s">
        <v>8</v>
      </c>
      <c r="F710">
        <v>5682</v>
      </c>
      <c r="G710" t="s">
        <v>43</v>
      </c>
      <c r="H710" s="20">
        <v>135426</v>
      </c>
      <c r="I710" s="1">
        <v>2057046.5195124981</v>
      </c>
      <c r="J710" s="1">
        <v>2192472.5195124978</v>
      </c>
      <c r="K710">
        <f>VLOOKUP(F710,'LEAID Match'!$A$2:$C$2979,3,FALSE)</f>
        <v>2093310</v>
      </c>
    </row>
    <row r="711" spans="1:11" x14ac:dyDescent="0.2">
      <c r="A711">
        <v>2000043</v>
      </c>
      <c r="B711">
        <v>2017</v>
      </c>
      <c r="C711" t="s">
        <v>6</v>
      </c>
      <c r="D711" t="s">
        <v>7</v>
      </c>
      <c r="E711" t="s">
        <v>8</v>
      </c>
      <c r="F711">
        <v>5688</v>
      </c>
      <c r="G711" t="s">
        <v>44</v>
      </c>
      <c r="H711" s="1">
        <v>11942</v>
      </c>
      <c r="I711" s="1">
        <v>231711.2602238032</v>
      </c>
      <c r="J711" s="1">
        <v>243653.2602238032</v>
      </c>
      <c r="K711">
        <f>VLOOKUP(F711,'LEAID Match'!$A$2:$C$2979,3,FALSE)</f>
        <v>2000043</v>
      </c>
    </row>
    <row r="712" spans="1:11" x14ac:dyDescent="0.2">
      <c r="A712">
        <v>2000045</v>
      </c>
      <c r="B712">
        <v>2017</v>
      </c>
      <c r="C712" t="s">
        <v>6</v>
      </c>
      <c r="D712" t="s">
        <v>7</v>
      </c>
      <c r="E712" t="s">
        <v>8</v>
      </c>
      <c r="F712">
        <v>9034</v>
      </c>
      <c r="G712" s="9" t="s">
        <v>45</v>
      </c>
      <c r="H712" s="1">
        <v>43915</v>
      </c>
      <c r="I712" s="1">
        <v>429953.08552991308</v>
      </c>
      <c r="J712" s="1">
        <v>473868.08552991308</v>
      </c>
      <c r="K712">
        <f>VLOOKUP(F712,'LEAID Match'!$A$2:$C$2979,3,FALSE)</f>
        <v>2000045</v>
      </c>
    </row>
    <row r="713" spans="1:11" x14ac:dyDescent="0.2">
      <c r="A713">
        <v>0</v>
      </c>
      <c r="B713">
        <v>2017</v>
      </c>
      <c r="C713" t="s">
        <v>6</v>
      </c>
      <c r="D713" t="s">
        <v>7</v>
      </c>
      <c r="E713" t="s">
        <v>8</v>
      </c>
      <c r="F713" s="3">
        <v>9042</v>
      </c>
      <c r="G713" s="3" t="s">
        <v>46</v>
      </c>
      <c r="H713" s="22">
        <v>21618</v>
      </c>
      <c r="I713" s="1">
        <v>280264.20229698846</v>
      </c>
      <c r="J713" s="1">
        <v>301882.20229698846</v>
      </c>
      <c r="K713">
        <f>VLOOKUP(F713,'LEAID Match'!$A$2:$C$2979,3,FALSE)</f>
        <v>0</v>
      </c>
    </row>
    <row r="714" spans="1:11" x14ac:dyDescent="0.2">
      <c r="A714">
        <v>2000347</v>
      </c>
      <c r="B714">
        <v>2017</v>
      </c>
      <c r="C714" t="s">
        <v>6</v>
      </c>
      <c r="D714" t="s">
        <v>7</v>
      </c>
      <c r="E714" t="s">
        <v>8</v>
      </c>
      <c r="F714" s="3">
        <v>9047</v>
      </c>
      <c r="G714" s="3" t="s">
        <v>47</v>
      </c>
      <c r="H714" s="1">
        <v>34380</v>
      </c>
      <c r="I714" s="21">
        <v>242006.71744672605</v>
      </c>
      <c r="J714" s="21">
        <v>276386.71744672605</v>
      </c>
      <c r="K714">
        <f>VLOOKUP(F714,'LEAID Match'!$A$2:$C$2979,3,FALSE)</f>
        <v>2000347</v>
      </c>
    </row>
    <row r="715" spans="1:11" x14ac:dyDescent="0.2">
      <c r="A715">
        <v>0</v>
      </c>
      <c r="B715">
        <v>2017</v>
      </c>
      <c r="C715" t="s">
        <v>6</v>
      </c>
      <c r="D715" t="s">
        <v>7</v>
      </c>
      <c r="E715" t="s">
        <v>8</v>
      </c>
      <c r="F715" s="3">
        <v>9053</v>
      </c>
      <c r="G715" s="3" t="s">
        <v>48</v>
      </c>
      <c r="H715" s="1"/>
      <c r="I715" s="1">
        <v>13645.712334242053</v>
      </c>
      <c r="J715" s="1">
        <v>13645.712334242053</v>
      </c>
      <c r="K715">
        <f>VLOOKUP(F715,'LEAID Match'!$A$2:$C$2979,3,FALSE)</f>
        <v>0</v>
      </c>
    </row>
    <row r="716" spans="1:11" x14ac:dyDescent="0.2">
      <c r="A716">
        <v>2000049</v>
      </c>
      <c r="B716">
        <v>2017</v>
      </c>
      <c r="C716" t="s">
        <v>6</v>
      </c>
      <c r="D716" t="s">
        <v>7</v>
      </c>
      <c r="E716" t="s">
        <v>8</v>
      </c>
      <c r="F716">
        <v>9055</v>
      </c>
      <c r="G716" t="s">
        <v>49</v>
      </c>
      <c r="H716" s="1">
        <v>49297</v>
      </c>
      <c r="I716" s="1">
        <v>270466.4079008706</v>
      </c>
      <c r="J716" s="1">
        <v>319763.4079008706</v>
      </c>
      <c r="K716">
        <f>VLOOKUP(F716,'LEAID Match'!$A$2:$C$2979,3,FALSE)</f>
        <v>2000049</v>
      </c>
    </row>
    <row r="717" spans="1:11" x14ac:dyDescent="0.2">
      <c r="A717" t="s">
        <v>371</v>
      </c>
      <c r="B717">
        <v>2017</v>
      </c>
      <c r="C717" t="s">
        <v>6</v>
      </c>
      <c r="D717" t="s">
        <v>7</v>
      </c>
      <c r="E717" t="s">
        <v>8</v>
      </c>
      <c r="F717">
        <v>9056</v>
      </c>
      <c r="G717" t="s">
        <v>50</v>
      </c>
      <c r="H717" s="1">
        <v>14784</v>
      </c>
      <c r="I717" s="1">
        <v>227229.53509960021</v>
      </c>
      <c r="J717" s="1">
        <v>242013.53509960021</v>
      </c>
      <c r="K717" t="str">
        <f>VLOOKUP(F717,'LEAID Match'!$A$2:$C$2979,3,FALSE)</f>
        <v>20D0001</v>
      </c>
    </row>
    <row r="718" spans="1:11" x14ac:dyDescent="0.2">
      <c r="A718">
        <v>0</v>
      </c>
      <c r="B718">
        <v>2017</v>
      </c>
      <c r="C718" t="s">
        <v>6</v>
      </c>
      <c r="D718" t="s">
        <v>7</v>
      </c>
      <c r="E718" t="s">
        <v>8</v>
      </c>
      <c r="F718">
        <v>9273</v>
      </c>
      <c r="G718" t="s">
        <v>51</v>
      </c>
      <c r="H718" s="1">
        <v>19649</v>
      </c>
      <c r="I718" s="1">
        <v>455213.38354112295</v>
      </c>
      <c r="J718" s="1">
        <v>474862.38354112295</v>
      </c>
      <c r="K718">
        <f>VLOOKUP(F718,'LEAID Match'!$A$2:$C$2979,3,FALSE)</f>
        <v>0</v>
      </c>
    </row>
    <row r="719" spans="1:11" x14ac:dyDescent="0.2">
      <c r="A719">
        <v>2000034</v>
      </c>
      <c r="B719">
        <v>2017</v>
      </c>
      <c r="C719" t="s">
        <v>6</v>
      </c>
      <c r="D719" t="s">
        <v>7</v>
      </c>
      <c r="E719" t="s">
        <v>8</v>
      </c>
      <c r="F719">
        <v>9274</v>
      </c>
      <c r="G719" t="s">
        <v>52</v>
      </c>
      <c r="H719" s="20">
        <v>49123</v>
      </c>
      <c r="I719" s="1">
        <v>1238821.6799598068</v>
      </c>
      <c r="J719" s="1">
        <v>1287944.6799598068</v>
      </c>
      <c r="K719">
        <f>VLOOKUP(F719,'LEAID Match'!$A$2:$C$2979,3,FALSE)</f>
        <v>2000034</v>
      </c>
    </row>
    <row r="720" spans="1:11" x14ac:dyDescent="0.2">
      <c r="A720">
        <v>0</v>
      </c>
      <c r="B720">
        <v>2017</v>
      </c>
      <c r="C720" t="s">
        <v>6</v>
      </c>
      <c r="D720" t="s">
        <v>7</v>
      </c>
      <c r="E720" t="s">
        <v>8</v>
      </c>
      <c r="F720">
        <v>9303</v>
      </c>
      <c r="G720" t="s">
        <v>363</v>
      </c>
      <c r="H720" s="1">
        <v>18589</v>
      </c>
      <c r="I720" s="1">
        <v>860522.50025383604</v>
      </c>
      <c r="J720" s="1">
        <v>879111.50025383604</v>
      </c>
      <c r="K720">
        <f>VLOOKUP(F720,'LEAID Match'!$A$2:$C$2979,3,FALSE)</f>
        <v>0</v>
      </c>
    </row>
    <row r="721" spans="1:11" x14ac:dyDescent="0.2">
      <c r="A721">
        <v>0</v>
      </c>
      <c r="B721">
        <v>2017</v>
      </c>
      <c r="C721" t="s">
        <v>6</v>
      </c>
      <c r="D721" t="s">
        <v>7</v>
      </c>
      <c r="E721" t="s">
        <v>8</v>
      </c>
      <c r="F721">
        <v>9304</v>
      </c>
      <c r="G721" s="9" t="s">
        <v>54</v>
      </c>
      <c r="H721" s="1"/>
      <c r="I721" s="1">
        <v>290201.82062965777</v>
      </c>
      <c r="J721" s="1">
        <v>290201.82062965777</v>
      </c>
      <c r="K721">
        <f>VLOOKUP(F721,'LEAID Match'!$A$2:$C$2979,3,FALSE)</f>
        <v>0</v>
      </c>
    </row>
    <row r="722" spans="1:11" x14ac:dyDescent="0.2">
      <c r="A722">
        <v>0</v>
      </c>
      <c r="B722">
        <v>2017</v>
      </c>
      <c r="C722" t="s">
        <v>6</v>
      </c>
      <c r="D722" t="s">
        <v>7</v>
      </c>
      <c r="E722" t="s">
        <v>8</v>
      </c>
      <c r="F722" s="3">
        <v>9305</v>
      </c>
      <c r="G722" s="3" t="s">
        <v>55</v>
      </c>
      <c r="H722" s="22">
        <v>20567</v>
      </c>
      <c r="I722" s="1">
        <v>336524.93887257454</v>
      </c>
      <c r="J722" s="1">
        <v>357091.93887257454</v>
      </c>
      <c r="K722">
        <f>VLOOKUP(F722,'LEAID Match'!$A$2:$C$2979,3,FALSE)</f>
        <v>0</v>
      </c>
    </row>
    <row r="723" spans="1:11" x14ac:dyDescent="0.2">
      <c r="A723">
        <v>0</v>
      </c>
      <c r="B723">
        <v>2017</v>
      </c>
      <c r="C723" t="s">
        <v>6</v>
      </c>
      <c r="D723" t="s">
        <v>7</v>
      </c>
      <c r="E723" t="s">
        <v>8</v>
      </c>
      <c r="F723" s="3">
        <v>9395</v>
      </c>
      <c r="G723" s="3" t="s">
        <v>56</v>
      </c>
      <c r="H723" s="1">
        <v>1407</v>
      </c>
      <c r="I723" s="21">
        <v>207967.86794531313</v>
      </c>
      <c r="J723" s="21">
        <v>209374.86794531313</v>
      </c>
      <c r="K723">
        <f>VLOOKUP(F723,'LEAID Match'!$A$2:$C$2979,3,FALSE)</f>
        <v>0</v>
      </c>
    </row>
    <row r="724" spans="1:11" x14ac:dyDescent="0.2">
      <c r="A724">
        <v>0</v>
      </c>
      <c r="B724">
        <v>2017</v>
      </c>
      <c r="C724" t="s">
        <v>6</v>
      </c>
      <c r="D724" t="s">
        <v>7</v>
      </c>
      <c r="E724" t="s">
        <v>8</v>
      </c>
      <c r="F724" s="3">
        <v>9487</v>
      </c>
      <c r="G724" s="3" t="s">
        <v>57</v>
      </c>
      <c r="H724" s="1">
        <v>14830</v>
      </c>
      <c r="I724" s="1">
        <v>21224.721631924425</v>
      </c>
      <c r="J724" s="1">
        <v>36054.721631924425</v>
      </c>
      <c r="K724">
        <f>VLOOKUP(F724,'LEAID Match'!$A$2:$C$2979,3,FALSE)</f>
        <v>0</v>
      </c>
    </row>
    <row r="725" spans="1:11" x14ac:dyDescent="0.2">
      <c r="A725">
        <v>2000354</v>
      </c>
      <c r="B725">
        <v>2017</v>
      </c>
      <c r="C725" t="s">
        <v>6</v>
      </c>
      <c r="D725" t="s">
        <v>7</v>
      </c>
      <c r="E725" t="s">
        <v>8</v>
      </c>
      <c r="F725">
        <v>9507</v>
      </c>
      <c r="G725" t="s">
        <v>58</v>
      </c>
      <c r="H725" s="1">
        <v>85346</v>
      </c>
      <c r="I725" s="1">
        <v>1151900.865718029</v>
      </c>
      <c r="J725" s="1">
        <v>1237246.865718029</v>
      </c>
      <c r="K725">
        <f>VLOOKUP(F725,'LEAID Match'!$A$2:$C$2979,3,FALSE)</f>
        <v>2000354</v>
      </c>
    </row>
    <row r="726" spans="1:11" x14ac:dyDescent="0.2">
      <c r="A726">
        <v>2012360</v>
      </c>
      <c r="B726">
        <v>2017</v>
      </c>
      <c r="C726" t="s">
        <v>6</v>
      </c>
      <c r="D726" t="s">
        <v>7</v>
      </c>
      <c r="E726" t="s">
        <v>8</v>
      </c>
      <c r="F726">
        <v>4828</v>
      </c>
      <c r="G726" t="s">
        <v>59</v>
      </c>
      <c r="H726" s="1">
        <v>2529811</v>
      </c>
      <c r="I726" s="1">
        <v>0</v>
      </c>
      <c r="J726" s="1">
        <v>2529811</v>
      </c>
      <c r="K726">
        <f>VLOOKUP(F726,'LEAID Match'!$A$2:$C$2979,3,FALSE)</f>
        <v>2012360</v>
      </c>
    </row>
    <row r="727" spans="1:11" x14ac:dyDescent="0.2">
      <c r="A727">
        <v>2010680</v>
      </c>
      <c r="B727">
        <v>2017</v>
      </c>
      <c r="C727" t="s">
        <v>6</v>
      </c>
      <c r="D727" t="s">
        <v>7</v>
      </c>
      <c r="E727" t="s">
        <v>8</v>
      </c>
      <c r="F727">
        <v>4829</v>
      </c>
      <c r="G727" t="s">
        <v>60</v>
      </c>
      <c r="H727" s="1">
        <v>1109694</v>
      </c>
      <c r="I727" s="1">
        <v>0</v>
      </c>
      <c r="J727" s="1">
        <v>1109694</v>
      </c>
      <c r="K727">
        <f>VLOOKUP(F727,'LEAID Match'!$A$2:$C$2979,3,FALSE)</f>
        <v>2010680</v>
      </c>
    </row>
    <row r="728" spans="1:11" x14ac:dyDescent="0.2">
      <c r="A728">
        <v>2008550</v>
      </c>
      <c r="B728">
        <v>2017</v>
      </c>
      <c r="C728" t="s">
        <v>6</v>
      </c>
      <c r="D728" t="s">
        <v>7</v>
      </c>
      <c r="E728" t="s">
        <v>8</v>
      </c>
      <c r="F728">
        <v>4871</v>
      </c>
      <c r="G728" t="s">
        <v>61</v>
      </c>
      <c r="H728" s="20">
        <v>367483</v>
      </c>
      <c r="I728" s="1">
        <v>0</v>
      </c>
      <c r="J728" s="1">
        <v>367483</v>
      </c>
      <c r="K728">
        <f>VLOOKUP(F728,'LEAID Match'!$A$2:$C$2979,3,FALSE)</f>
        <v>2008550</v>
      </c>
    </row>
    <row r="729" spans="1:11" x14ac:dyDescent="0.2">
      <c r="A729">
        <v>2004050</v>
      </c>
      <c r="B729">
        <v>2017</v>
      </c>
      <c r="C729" t="s">
        <v>6</v>
      </c>
      <c r="D729" t="s">
        <v>7</v>
      </c>
      <c r="E729" t="s">
        <v>8</v>
      </c>
      <c r="F729">
        <v>4882</v>
      </c>
      <c r="G729" t="s">
        <v>62</v>
      </c>
      <c r="H729" s="1">
        <v>2003420</v>
      </c>
      <c r="I729" s="1">
        <v>0</v>
      </c>
      <c r="J729" s="1">
        <v>2003420</v>
      </c>
      <c r="K729">
        <f>VLOOKUP(F729,'LEAID Match'!$A$2:$C$2979,3,FALSE)</f>
        <v>2004050</v>
      </c>
    </row>
    <row r="730" spans="1:11" x14ac:dyDescent="0.2">
      <c r="A730">
        <v>2006240</v>
      </c>
      <c r="B730">
        <v>2017</v>
      </c>
      <c r="C730" t="s">
        <v>6</v>
      </c>
      <c r="D730" t="s">
        <v>7</v>
      </c>
      <c r="E730" t="s">
        <v>8</v>
      </c>
      <c r="F730">
        <v>4912</v>
      </c>
      <c r="G730" s="9" t="s">
        <v>63</v>
      </c>
      <c r="H730" s="1">
        <v>346435</v>
      </c>
      <c r="I730" s="1">
        <v>0</v>
      </c>
      <c r="J730" s="1">
        <v>346435</v>
      </c>
      <c r="K730">
        <f>VLOOKUP(F730,'LEAID Match'!$A$2:$C$2979,3,FALSE)</f>
        <v>2006240</v>
      </c>
    </row>
    <row r="731" spans="1:11" x14ac:dyDescent="0.2">
      <c r="A731">
        <v>2009720</v>
      </c>
      <c r="B731">
        <v>2017</v>
      </c>
      <c r="C731" t="s">
        <v>6</v>
      </c>
      <c r="D731" t="s">
        <v>7</v>
      </c>
      <c r="E731" t="s">
        <v>8</v>
      </c>
      <c r="F731" s="3">
        <v>4977</v>
      </c>
      <c r="G731" s="3" t="s">
        <v>64</v>
      </c>
      <c r="H731" s="22">
        <v>192019</v>
      </c>
      <c r="I731" s="1">
        <v>0</v>
      </c>
      <c r="J731" s="1">
        <v>192019</v>
      </c>
      <c r="K731">
        <f>VLOOKUP(F731,'LEAID Match'!$A$2:$C$2979,3,FALSE)</f>
        <v>2009720</v>
      </c>
    </row>
    <row r="732" spans="1:11" x14ac:dyDescent="0.2">
      <c r="A732">
        <v>2010140</v>
      </c>
      <c r="B732">
        <v>2017</v>
      </c>
      <c r="C732" t="s">
        <v>6</v>
      </c>
      <c r="D732" t="s">
        <v>7</v>
      </c>
      <c r="E732" t="s">
        <v>8</v>
      </c>
      <c r="F732" s="3">
        <v>4978</v>
      </c>
      <c r="G732" s="3" t="s">
        <v>65</v>
      </c>
      <c r="H732" s="1">
        <v>20383903</v>
      </c>
      <c r="I732" s="21">
        <v>0</v>
      </c>
      <c r="J732" s="21">
        <v>20383903</v>
      </c>
      <c r="K732">
        <f>VLOOKUP(F732,'LEAID Match'!$A$2:$C$2979,3,FALSE)</f>
        <v>2010140</v>
      </c>
    </row>
    <row r="733" spans="1:11" x14ac:dyDescent="0.2">
      <c r="A733">
        <v>2012900</v>
      </c>
      <c r="B733">
        <v>2017</v>
      </c>
      <c r="C733" t="s">
        <v>6</v>
      </c>
      <c r="D733" t="s">
        <v>7</v>
      </c>
      <c r="E733" t="s">
        <v>8</v>
      </c>
      <c r="F733" s="3">
        <v>4979</v>
      </c>
      <c r="G733" s="3" t="s">
        <v>66</v>
      </c>
      <c r="H733" s="1">
        <v>76444</v>
      </c>
      <c r="I733" s="1">
        <v>0</v>
      </c>
      <c r="J733" s="1">
        <v>76444</v>
      </c>
      <c r="K733">
        <f>VLOOKUP(F733,'LEAID Match'!$A$2:$C$2979,3,FALSE)</f>
        <v>2012900</v>
      </c>
    </row>
    <row r="734" spans="1:11" x14ac:dyDescent="0.2">
      <c r="A734">
        <v>2010710</v>
      </c>
      <c r="B734">
        <v>2017</v>
      </c>
      <c r="C734" t="s">
        <v>6</v>
      </c>
      <c r="D734" t="s">
        <v>7</v>
      </c>
      <c r="E734" t="s">
        <v>8</v>
      </c>
      <c r="F734">
        <v>4980</v>
      </c>
      <c r="G734" t="s">
        <v>67</v>
      </c>
      <c r="H734" s="1">
        <v>1826129</v>
      </c>
      <c r="I734" s="1">
        <v>0</v>
      </c>
      <c r="J734" s="1">
        <v>1826129</v>
      </c>
      <c r="K734">
        <f>VLOOKUP(F734,'LEAID Match'!$A$2:$C$2979,3,FALSE)</f>
        <v>2010710</v>
      </c>
    </row>
    <row r="735" spans="1:11" x14ac:dyDescent="0.2">
      <c r="A735">
        <v>2005940</v>
      </c>
      <c r="B735">
        <v>2017</v>
      </c>
      <c r="C735" t="s">
        <v>6</v>
      </c>
      <c r="D735" t="s">
        <v>7</v>
      </c>
      <c r="E735" t="s">
        <v>8</v>
      </c>
      <c r="F735">
        <v>4981</v>
      </c>
      <c r="G735" t="s">
        <v>68</v>
      </c>
      <c r="H735" s="1">
        <v>3686963</v>
      </c>
      <c r="I735" s="1">
        <v>0</v>
      </c>
      <c r="J735" s="1">
        <v>3686963</v>
      </c>
      <c r="K735">
        <f>VLOOKUP(F735,'LEAID Match'!$A$2:$C$2979,3,FALSE)</f>
        <v>2005940</v>
      </c>
    </row>
    <row r="736" spans="1:11" x14ac:dyDescent="0.2">
      <c r="A736">
        <v>2012990</v>
      </c>
      <c r="B736">
        <v>2017</v>
      </c>
      <c r="C736" t="s">
        <v>6</v>
      </c>
      <c r="D736" t="s">
        <v>7</v>
      </c>
      <c r="E736" t="s">
        <v>8</v>
      </c>
      <c r="F736">
        <v>4982</v>
      </c>
      <c r="G736" t="s">
        <v>69</v>
      </c>
      <c r="H736" s="1">
        <v>35137103</v>
      </c>
      <c r="I736" s="1">
        <v>0</v>
      </c>
      <c r="J736" s="1">
        <v>35137103</v>
      </c>
      <c r="K736">
        <f>VLOOKUP(F736,'LEAID Match'!$A$2:$C$2979,3,FALSE)</f>
        <v>2012990</v>
      </c>
    </row>
    <row r="737" spans="1:11" x14ac:dyDescent="0.2">
      <c r="A737">
        <v>2005460</v>
      </c>
      <c r="B737">
        <v>2017</v>
      </c>
      <c r="C737" t="s">
        <v>6</v>
      </c>
      <c r="D737" t="s">
        <v>7</v>
      </c>
      <c r="E737" t="s">
        <v>8</v>
      </c>
      <c r="F737">
        <v>4983</v>
      </c>
      <c r="G737" t="s">
        <v>70</v>
      </c>
      <c r="H737" s="20">
        <v>4604513</v>
      </c>
      <c r="I737" s="1">
        <v>0</v>
      </c>
      <c r="J737" s="1">
        <v>4604513</v>
      </c>
      <c r="K737">
        <f>VLOOKUP(F737,'LEAID Match'!$A$2:$C$2979,3,FALSE)</f>
        <v>2005460</v>
      </c>
    </row>
    <row r="738" spans="1:11" x14ac:dyDescent="0.2">
      <c r="A738">
        <v>2012510</v>
      </c>
      <c r="B738">
        <v>2017</v>
      </c>
      <c r="C738" t="s">
        <v>6</v>
      </c>
      <c r="D738" t="s">
        <v>7</v>
      </c>
      <c r="E738" t="s">
        <v>8</v>
      </c>
      <c r="F738">
        <v>4984</v>
      </c>
      <c r="G738" t="s">
        <v>71</v>
      </c>
      <c r="H738" s="1">
        <v>1434322</v>
      </c>
      <c r="I738" s="1">
        <v>0</v>
      </c>
      <c r="J738" s="1">
        <v>1434322</v>
      </c>
      <c r="K738">
        <f>VLOOKUP(F738,'LEAID Match'!$A$2:$C$2979,3,FALSE)</f>
        <v>2012510</v>
      </c>
    </row>
    <row r="739" spans="1:11" x14ac:dyDescent="0.2">
      <c r="A739">
        <v>2006540</v>
      </c>
      <c r="B739">
        <v>2017</v>
      </c>
      <c r="C739" t="s">
        <v>6</v>
      </c>
      <c r="D739" t="s">
        <v>7</v>
      </c>
      <c r="E739" t="s">
        <v>8</v>
      </c>
      <c r="F739">
        <v>4985</v>
      </c>
      <c r="G739" s="9" t="s">
        <v>72</v>
      </c>
      <c r="H739" s="1">
        <v>2987145</v>
      </c>
      <c r="I739" s="1">
        <v>0</v>
      </c>
      <c r="J739" s="1">
        <v>2987145</v>
      </c>
      <c r="K739">
        <f>VLOOKUP(F739,'LEAID Match'!$A$2:$C$2979,3,FALSE)</f>
        <v>2006540</v>
      </c>
    </row>
    <row r="740" spans="1:11" x14ac:dyDescent="0.2">
      <c r="A740">
        <v>2009140</v>
      </c>
      <c r="B740">
        <v>2017</v>
      </c>
      <c r="C740" t="s">
        <v>6</v>
      </c>
      <c r="D740" t="s">
        <v>7</v>
      </c>
      <c r="E740" t="s">
        <v>8</v>
      </c>
      <c r="F740" s="3">
        <v>4986</v>
      </c>
      <c r="G740" s="3" t="s">
        <v>73</v>
      </c>
      <c r="H740" s="22">
        <v>3470010</v>
      </c>
      <c r="I740" s="1">
        <v>0</v>
      </c>
      <c r="J740" s="1">
        <v>3470010</v>
      </c>
      <c r="K740">
        <f>VLOOKUP(F740,'LEAID Match'!$A$2:$C$2979,3,FALSE)</f>
        <v>2009140</v>
      </c>
    </row>
    <row r="741" spans="1:11" x14ac:dyDescent="0.2">
      <c r="A741">
        <v>2004670</v>
      </c>
      <c r="B741">
        <v>2017</v>
      </c>
      <c r="C741" t="s">
        <v>6</v>
      </c>
      <c r="D741" t="s">
        <v>7</v>
      </c>
      <c r="E741" t="s">
        <v>8</v>
      </c>
      <c r="F741" s="3">
        <v>4987</v>
      </c>
      <c r="G741" s="3" t="s">
        <v>74</v>
      </c>
      <c r="H741" s="1">
        <v>484456</v>
      </c>
      <c r="I741" s="21">
        <v>0</v>
      </c>
      <c r="J741" s="21">
        <v>484456</v>
      </c>
      <c r="K741">
        <f>VLOOKUP(F741,'LEAID Match'!$A$2:$C$2979,3,FALSE)</f>
        <v>2004670</v>
      </c>
    </row>
    <row r="742" spans="1:11" x14ac:dyDescent="0.2">
      <c r="A742">
        <v>2000015</v>
      </c>
      <c r="B742">
        <v>2017</v>
      </c>
      <c r="C742" t="s">
        <v>6</v>
      </c>
      <c r="D742" t="s">
        <v>7</v>
      </c>
      <c r="E742" t="s">
        <v>8</v>
      </c>
      <c r="F742" s="3">
        <v>4988</v>
      </c>
      <c r="G742" s="3" t="s">
        <v>75</v>
      </c>
      <c r="H742" s="1">
        <v>1735353</v>
      </c>
      <c r="I742" s="1">
        <v>0</v>
      </c>
      <c r="J742" s="1">
        <v>1735353</v>
      </c>
      <c r="K742">
        <f>VLOOKUP(F742,'LEAID Match'!$A$2:$C$2979,3,FALSE)</f>
        <v>2000015</v>
      </c>
    </row>
    <row r="743" spans="1:11" x14ac:dyDescent="0.2">
      <c r="A743">
        <v>2004080</v>
      </c>
      <c r="B743">
        <v>2017</v>
      </c>
      <c r="C743" t="s">
        <v>6</v>
      </c>
      <c r="D743" t="s">
        <v>7</v>
      </c>
      <c r="E743" t="s">
        <v>8</v>
      </c>
      <c r="F743">
        <v>4990</v>
      </c>
      <c r="G743" t="s">
        <v>76</v>
      </c>
      <c r="H743" s="1">
        <v>100402</v>
      </c>
      <c r="I743" s="1">
        <v>0</v>
      </c>
      <c r="J743" s="1">
        <v>100402</v>
      </c>
      <c r="K743">
        <f>VLOOKUP(F743,'LEAID Match'!$A$2:$C$2979,3,FALSE)</f>
        <v>2004080</v>
      </c>
    </row>
    <row r="744" spans="1:11" x14ac:dyDescent="0.2">
      <c r="A744">
        <v>2003720</v>
      </c>
      <c r="B744">
        <v>2017</v>
      </c>
      <c r="C744" t="s">
        <v>6</v>
      </c>
      <c r="D744" t="s">
        <v>7</v>
      </c>
      <c r="E744" t="s">
        <v>8</v>
      </c>
      <c r="F744">
        <v>4991</v>
      </c>
      <c r="G744" t="s">
        <v>77</v>
      </c>
      <c r="H744" s="1">
        <v>731786</v>
      </c>
      <c r="I744" s="1">
        <v>0</v>
      </c>
      <c r="J744" s="1">
        <v>731786</v>
      </c>
      <c r="K744">
        <f>VLOOKUP(F744,'LEAID Match'!$A$2:$C$2979,3,FALSE)</f>
        <v>2003720</v>
      </c>
    </row>
    <row r="745" spans="1:11" x14ac:dyDescent="0.2">
      <c r="A745">
        <v>2011970</v>
      </c>
      <c r="B745">
        <v>2017</v>
      </c>
      <c r="C745" t="s">
        <v>6</v>
      </c>
      <c r="D745" t="s">
        <v>7</v>
      </c>
      <c r="E745" t="s">
        <v>8</v>
      </c>
      <c r="F745">
        <v>4992</v>
      </c>
      <c r="G745" t="s">
        <v>78</v>
      </c>
      <c r="H745" s="1">
        <v>175930</v>
      </c>
      <c r="I745" s="1">
        <v>0</v>
      </c>
      <c r="J745" s="1">
        <v>175930</v>
      </c>
      <c r="K745">
        <f>VLOOKUP(F745,'LEAID Match'!$A$2:$C$2979,3,FALSE)</f>
        <v>2011970</v>
      </c>
    </row>
    <row r="746" spans="1:11" x14ac:dyDescent="0.2">
      <c r="A746">
        <v>2006580</v>
      </c>
      <c r="B746">
        <v>2017</v>
      </c>
      <c r="C746" t="s">
        <v>6</v>
      </c>
      <c r="D746" t="s">
        <v>7</v>
      </c>
      <c r="E746" t="s">
        <v>8</v>
      </c>
      <c r="F746">
        <v>4993</v>
      </c>
      <c r="G746" t="s">
        <v>79</v>
      </c>
      <c r="H746" s="20">
        <v>617210</v>
      </c>
      <c r="I746" s="1">
        <v>0</v>
      </c>
      <c r="J746" s="1">
        <v>617210</v>
      </c>
      <c r="K746">
        <f>VLOOKUP(F746,'LEAID Match'!$A$2:$C$2979,3,FALSE)</f>
        <v>2006580</v>
      </c>
    </row>
    <row r="747" spans="1:11" x14ac:dyDescent="0.2">
      <c r="A747">
        <v>2003430</v>
      </c>
      <c r="B747">
        <v>2017</v>
      </c>
      <c r="C747" t="s">
        <v>6</v>
      </c>
      <c r="D747" t="s">
        <v>7</v>
      </c>
      <c r="E747" t="s">
        <v>8</v>
      </c>
      <c r="F747">
        <v>4994</v>
      </c>
      <c r="G747" t="s">
        <v>80</v>
      </c>
      <c r="H747" s="1">
        <v>146810</v>
      </c>
      <c r="I747" s="1">
        <v>0</v>
      </c>
      <c r="J747" s="1">
        <v>146810</v>
      </c>
      <c r="K747">
        <f>VLOOKUP(F747,'LEAID Match'!$A$2:$C$2979,3,FALSE)</f>
        <v>2003430</v>
      </c>
    </row>
    <row r="748" spans="1:11" x14ac:dyDescent="0.2">
      <c r="A748">
        <v>2007350</v>
      </c>
      <c r="B748">
        <v>2017</v>
      </c>
      <c r="C748" t="s">
        <v>6</v>
      </c>
      <c r="D748" t="s">
        <v>7</v>
      </c>
      <c r="E748" t="s">
        <v>8</v>
      </c>
      <c r="F748">
        <v>4995</v>
      </c>
      <c r="G748" s="9" t="s">
        <v>81</v>
      </c>
      <c r="H748" s="1">
        <v>598772</v>
      </c>
      <c r="I748" s="1">
        <v>0</v>
      </c>
      <c r="J748" s="1">
        <v>598772</v>
      </c>
      <c r="K748">
        <f>VLOOKUP(F748,'LEAID Match'!$A$2:$C$2979,3,FALSE)</f>
        <v>2007350</v>
      </c>
    </row>
    <row r="749" spans="1:11" x14ac:dyDescent="0.2">
      <c r="A749">
        <v>2009630</v>
      </c>
      <c r="B749">
        <v>2017</v>
      </c>
      <c r="C749" t="s">
        <v>6</v>
      </c>
      <c r="D749" t="s">
        <v>7</v>
      </c>
      <c r="E749" t="s">
        <v>8</v>
      </c>
      <c r="F749" s="3">
        <v>4996</v>
      </c>
      <c r="G749" s="3" t="s">
        <v>82</v>
      </c>
      <c r="H749" s="22">
        <v>187741</v>
      </c>
      <c r="I749" s="1">
        <v>0</v>
      </c>
      <c r="J749" s="1">
        <v>187741</v>
      </c>
      <c r="K749">
        <f>VLOOKUP(F749,'LEAID Match'!$A$2:$C$2979,3,FALSE)</f>
        <v>2009630</v>
      </c>
    </row>
    <row r="750" spans="1:11" x14ac:dyDescent="0.2">
      <c r="A750">
        <v>2009960</v>
      </c>
      <c r="B750">
        <v>2017</v>
      </c>
      <c r="C750" t="s">
        <v>6</v>
      </c>
      <c r="D750" t="s">
        <v>7</v>
      </c>
      <c r="E750" t="s">
        <v>8</v>
      </c>
      <c r="F750" s="3">
        <v>4997</v>
      </c>
      <c r="G750" s="3" t="s">
        <v>83</v>
      </c>
      <c r="H750" s="1">
        <v>2692478</v>
      </c>
      <c r="I750" s="21">
        <v>0</v>
      </c>
      <c r="J750" s="21">
        <v>2692478</v>
      </c>
      <c r="K750">
        <f>VLOOKUP(F750,'LEAID Match'!$A$2:$C$2979,3,FALSE)</f>
        <v>2009960</v>
      </c>
    </row>
    <row r="751" spans="1:11" x14ac:dyDescent="0.2">
      <c r="A751">
        <v>2012030</v>
      </c>
      <c r="B751">
        <v>2017</v>
      </c>
      <c r="C751" t="s">
        <v>6</v>
      </c>
      <c r="D751" t="s">
        <v>7</v>
      </c>
      <c r="E751" t="s">
        <v>8</v>
      </c>
      <c r="F751" s="3">
        <v>4998</v>
      </c>
      <c r="G751" s="3" t="s">
        <v>84</v>
      </c>
      <c r="H751" s="1">
        <v>362767</v>
      </c>
      <c r="I751" s="1">
        <v>0</v>
      </c>
      <c r="J751" s="1">
        <v>362767</v>
      </c>
      <c r="K751">
        <f>VLOOKUP(F751,'LEAID Match'!$A$2:$C$2979,3,FALSE)</f>
        <v>2012030</v>
      </c>
    </row>
    <row r="752" spans="1:11" x14ac:dyDescent="0.2">
      <c r="A752">
        <v>2009180</v>
      </c>
      <c r="B752">
        <v>2017</v>
      </c>
      <c r="C752" t="s">
        <v>6</v>
      </c>
      <c r="D752" t="s">
        <v>7</v>
      </c>
      <c r="E752" t="s">
        <v>8</v>
      </c>
      <c r="F752">
        <v>4999</v>
      </c>
      <c r="G752" t="s">
        <v>352</v>
      </c>
      <c r="H752" s="1">
        <v>4753263</v>
      </c>
      <c r="I752" s="1">
        <v>0</v>
      </c>
      <c r="J752" s="1">
        <v>4753263</v>
      </c>
      <c r="K752">
        <f>VLOOKUP(F752,'LEAID Match'!$A$2:$C$2979,3,FALSE)</f>
        <v>2009180</v>
      </c>
    </row>
    <row r="753" spans="1:11" x14ac:dyDescent="0.2">
      <c r="A753">
        <v>2003360</v>
      </c>
      <c r="B753">
        <v>2017</v>
      </c>
      <c r="C753" t="s">
        <v>6</v>
      </c>
      <c r="D753" t="s">
        <v>7</v>
      </c>
      <c r="E753" t="s">
        <v>8</v>
      </c>
      <c r="F753">
        <v>5000</v>
      </c>
      <c r="G753" t="s">
        <v>86</v>
      </c>
      <c r="H753" s="1">
        <v>2793449</v>
      </c>
      <c r="I753" s="1">
        <v>0</v>
      </c>
      <c r="J753" s="1">
        <v>2793449</v>
      </c>
      <c r="K753">
        <f>VLOOKUP(F753,'LEAID Match'!$A$2:$C$2979,3,FALSE)</f>
        <v>2003360</v>
      </c>
    </row>
    <row r="754" spans="1:11" x14ac:dyDescent="0.2">
      <c r="A754">
        <v>2009090</v>
      </c>
      <c r="B754">
        <v>2017</v>
      </c>
      <c r="C754" t="s">
        <v>6</v>
      </c>
      <c r="D754" t="s">
        <v>7</v>
      </c>
      <c r="E754" t="s">
        <v>8</v>
      </c>
      <c r="F754">
        <v>5001</v>
      </c>
      <c r="G754" t="s">
        <v>87</v>
      </c>
      <c r="H754" s="1">
        <v>198971</v>
      </c>
      <c r="I754" s="1">
        <v>0</v>
      </c>
      <c r="J754" s="1">
        <v>198971</v>
      </c>
      <c r="K754">
        <f>VLOOKUP(F754,'LEAID Match'!$A$2:$C$2979,3,FALSE)</f>
        <v>2009090</v>
      </c>
    </row>
    <row r="755" spans="1:11" x14ac:dyDescent="0.2">
      <c r="A755">
        <v>2006870</v>
      </c>
      <c r="B755">
        <v>2017</v>
      </c>
      <c r="C755" t="s">
        <v>6</v>
      </c>
      <c r="D755" t="s">
        <v>7</v>
      </c>
      <c r="E755" t="s">
        <v>8</v>
      </c>
      <c r="F755">
        <v>5002</v>
      </c>
      <c r="G755" t="s">
        <v>88</v>
      </c>
      <c r="H755" s="20">
        <v>78618</v>
      </c>
      <c r="I755" s="1">
        <v>0</v>
      </c>
      <c r="J755" s="1">
        <v>78618</v>
      </c>
      <c r="K755">
        <f>VLOOKUP(F755,'LEAID Match'!$A$2:$C$2979,3,FALSE)</f>
        <v>2006870</v>
      </c>
    </row>
    <row r="756" spans="1:11" x14ac:dyDescent="0.2">
      <c r="A756">
        <v>2011250</v>
      </c>
      <c r="B756">
        <v>2017</v>
      </c>
      <c r="C756" t="s">
        <v>6</v>
      </c>
      <c r="D756" t="s">
        <v>7</v>
      </c>
      <c r="E756" t="s">
        <v>8</v>
      </c>
      <c r="F756">
        <v>5004</v>
      </c>
      <c r="G756" t="s">
        <v>89</v>
      </c>
      <c r="H756" s="1">
        <v>887054</v>
      </c>
      <c r="I756" s="1">
        <v>0</v>
      </c>
      <c r="J756" s="1">
        <v>887054</v>
      </c>
      <c r="K756">
        <f>VLOOKUP(F756,'LEAID Match'!$A$2:$C$2979,3,FALSE)</f>
        <v>2011250</v>
      </c>
    </row>
    <row r="757" spans="1:11" x14ac:dyDescent="0.2">
      <c r="A757">
        <v>2005610</v>
      </c>
      <c r="B757">
        <v>2017</v>
      </c>
      <c r="C757" t="s">
        <v>6</v>
      </c>
      <c r="D757" t="s">
        <v>7</v>
      </c>
      <c r="E757" t="s">
        <v>8</v>
      </c>
      <c r="F757">
        <v>5005</v>
      </c>
      <c r="G757" s="9" t="s">
        <v>90</v>
      </c>
      <c r="H757" s="1">
        <v>478190</v>
      </c>
      <c r="I757" s="1">
        <v>0</v>
      </c>
      <c r="J757" s="1">
        <v>478190</v>
      </c>
      <c r="K757">
        <f>VLOOKUP(F757,'LEAID Match'!$A$2:$C$2979,3,FALSE)</f>
        <v>2005610</v>
      </c>
    </row>
    <row r="758" spans="1:11" x14ac:dyDescent="0.2">
      <c r="A758">
        <v>2010590</v>
      </c>
      <c r="B758">
        <v>2017</v>
      </c>
      <c r="C758" t="s">
        <v>6</v>
      </c>
      <c r="D758" t="s">
        <v>7</v>
      </c>
      <c r="E758" t="s">
        <v>8</v>
      </c>
      <c r="F758" s="3">
        <v>5006</v>
      </c>
      <c r="G758" s="3" t="s">
        <v>91</v>
      </c>
      <c r="H758" s="22">
        <v>182185</v>
      </c>
      <c r="I758" s="1">
        <v>0</v>
      </c>
      <c r="J758" s="1">
        <v>182185</v>
      </c>
      <c r="K758">
        <f>VLOOKUP(F758,'LEAID Match'!$A$2:$C$2979,3,FALSE)</f>
        <v>2010590</v>
      </c>
    </row>
    <row r="759" spans="1:11" x14ac:dyDescent="0.2">
      <c r="A759">
        <v>2009850</v>
      </c>
      <c r="B759">
        <v>2017</v>
      </c>
      <c r="C759" t="s">
        <v>6</v>
      </c>
      <c r="D759" t="s">
        <v>7</v>
      </c>
      <c r="E759" t="s">
        <v>8</v>
      </c>
      <c r="F759" s="3">
        <v>5007</v>
      </c>
      <c r="G759" s="3" t="s">
        <v>143</v>
      </c>
      <c r="H759" s="1">
        <v>124452</v>
      </c>
      <c r="I759" s="21">
        <v>0</v>
      </c>
      <c r="J759" s="21">
        <v>124452</v>
      </c>
      <c r="K759">
        <f>VLOOKUP(F759,'LEAID Match'!$A$2:$C$2979,3,FALSE)</f>
        <v>2009850</v>
      </c>
    </row>
    <row r="760" spans="1:11" x14ac:dyDescent="0.2">
      <c r="A760">
        <v>2011130</v>
      </c>
      <c r="B760">
        <v>2017</v>
      </c>
      <c r="C760" t="s">
        <v>6</v>
      </c>
      <c r="D760" t="s">
        <v>7</v>
      </c>
      <c r="E760" t="s">
        <v>8</v>
      </c>
      <c r="F760" s="3">
        <v>5008</v>
      </c>
      <c r="G760" s="3" t="s">
        <v>92</v>
      </c>
      <c r="H760" s="1">
        <v>505140</v>
      </c>
      <c r="I760" s="1">
        <v>0</v>
      </c>
      <c r="J760" s="1">
        <v>505140</v>
      </c>
      <c r="K760">
        <f>VLOOKUP(F760,'LEAID Match'!$A$2:$C$2979,3,FALSE)</f>
        <v>2011130</v>
      </c>
    </row>
    <row r="761" spans="1:11" x14ac:dyDescent="0.2">
      <c r="A761">
        <v>2003540</v>
      </c>
      <c r="B761">
        <v>2017</v>
      </c>
      <c r="C761" t="s">
        <v>6</v>
      </c>
      <c r="D761" t="s">
        <v>7</v>
      </c>
      <c r="E761" t="s">
        <v>8</v>
      </c>
      <c r="F761">
        <v>5010</v>
      </c>
      <c r="G761" t="s">
        <v>93</v>
      </c>
      <c r="H761" s="1">
        <v>1168166</v>
      </c>
      <c r="I761" s="1">
        <v>0</v>
      </c>
      <c r="J761" s="1">
        <v>1168166</v>
      </c>
      <c r="K761">
        <f>VLOOKUP(F761,'LEAID Match'!$A$2:$C$2979,3,FALSE)</f>
        <v>2003540</v>
      </c>
    </row>
    <row r="762" spans="1:11" x14ac:dyDescent="0.2">
      <c r="A762">
        <v>2010230</v>
      </c>
      <c r="B762">
        <v>2017</v>
      </c>
      <c r="C762" t="s">
        <v>6</v>
      </c>
      <c r="D762" t="s">
        <v>7</v>
      </c>
      <c r="E762" t="s">
        <v>8</v>
      </c>
      <c r="F762">
        <v>5011</v>
      </c>
      <c r="G762" t="s">
        <v>94</v>
      </c>
      <c r="H762" s="1">
        <v>386739</v>
      </c>
      <c r="I762" s="1">
        <v>0</v>
      </c>
      <c r="J762" s="1">
        <v>386739</v>
      </c>
      <c r="K762">
        <f>VLOOKUP(F762,'LEAID Match'!$A$2:$C$2979,3,FALSE)</f>
        <v>2010230</v>
      </c>
    </row>
    <row r="763" spans="1:11" x14ac:dyDescent="0.2">
      <c r="A763">
        <v>2009000</v>
      </c>
      <c r="B763">
        <v>2017</v>
      </c>
      <c r="C763" t="s">
        <v>6</v>
      </c>
      <c r="D763" t="s">
        <v>7</v>
      </c>
      <c r="E763" t="s">
        <v>8</v>
      </c>
      <c r="F763">
        <v>5012</v>
      </c>
      <c r="G763" t="s">
        <v>95</v>
      </c>
      <c r="H763" s="1">
        <v>244959</v>
      </c>
      <c r="I763" s="1">
        <v>0</v>
      </c>
      <c r="J763" s="1">
        <v>244959</v>
      </c>
      <c r="K763">
        <f>VLOOKUP(F763,'LEAID Match'!$A$2:$C$2979,3,FALSE)</f>
        <v>2009000</v>
      </c>
    </row>
    <row r="764" spans="1:11" x14ac:dyDescent="0.2">
      <c r="A764">
        <v>2005580</v>
      </c>
      <c r="B764">
        <v>2017</v>
      </c>
      <c r="C764" t="s">
        <v>6</v>
      </c>
      <c r="D764" t="s">
        <v>7</v>
      </c>
      <c r="E764" t="s">
        <v>8</v>
      </c>
      <c r="F764">
        <v>5013</v>
      </c>
      <c r="G764" t="s">
        <v>96</v>
      </c>
      <c r="H764" s="20">
        <v>4626910</v>
      </c>
      <c r="I764" s="1">
        <v>0</v>
      </c>
      <c r="J764" s="1">
        <v>4626910</v>
      </c>
      <c r="K764">
        <f>VLOOKUP(F764,'LEAID Match'!$A$2:$C$2979,3,FALSE)</f>
        <v>2005580</v>
      </c>
    </row>
    <row r="765" spans="1:11" x14ac:dyDescent="0.2">
      <c r="A765">
        <v>2007650</v>
      </c>
      <c r="B765">
        <v>2017</v>
      </c>
      <c r="C765" t="s">
        <v>6</v>
      </c>
      <c r="D765" t="s">
        <v>7</v>
      </c>
      <c r="E765" t="s">
        <v>8</v>
      </c>
      <c r="F765">
        <v>5014</v>
      </c>
      <c r="G765" t="s">
        <v>97</v>
      </c>
      <c r="H765" s="1">
        <v>1182900</v>
      </c>
      <c r="I765" s="1">
        <v>0</v>
      </c>
      <c r="J765" s="1">
        <v>1182900</v>
      </c>
      <c r="K765">
        <f>VLOOKUP(F765,'LEAID Match'!$A$2:$C$2979,3,FALSE)</f>
        <v>2007650</v>
      </c>
    </row>
    <row r="766" spans="1:11" x14ac:dyDescent="0.2">
      <c r="A766">
        <v>2007710</v>
      </c>
      <c r="B766">
        <v>2017</v>
      </c>
      <c r="C766" t="s">
        <v>6</v>
      </c>
      <c r="D766" t="s">
        <v>7</v>
      </c>
      <c r="E766" t="s">
        <v>8</v>
      </c>
      <c r="F766">
        <v>5015</v>
      </c>
      <c r="G766" s="9" t="s">
        <v>98</v>
      </c>
      <c r="H766" s="1">
        <v>316889</v>
      </c>
      <c r="I766" s="1">
        <v>0</v>
      </c>
      <c r="J766" s="1">
        <v>316889</v>
      </c>
      <c r="K766">
        <f>VLOOKUP(F766,'LEAID Match'!$A$2:$C$2979,3,FALSE)</f>
        <v>2007710</v>
      </c>
    </row>
    <row r="767" spans="1:11" x14ac:dyDescent="0.2">
      <c r="A767">
        <v>2005640</v>
      </c>
      <c r="B767">
        <v>2017</v>
      </c>
      <c r="C767" t="s">
        <v>6</v>
      </c>
      <c r="D767" t="s">
        <v>7</v>
      </c>
      <c r="E767" t="s">
        <v>8</v>
      </c>
      <c r="F767" s="3">
        <v>5016</v>
      </c>
      <c r="G767" s="3" t="s">
        <v>99</v>
      </c>
      <c r="H767" s="22">
        <v>411709</v>
      </c>
      <c r="I767" s="1">
        <v>0</v>
      </c>
      <c r="J767" s="1">
        <v>411709</v>
      </c>
      <c r="K767">
        <f>VLOOKUP(F767,'LEAID Match'!$A$2:$C$2979,3,FALSE)</f>
        <v>2005640</v>
      </c>
    </row>
    <row r="768" spans="1:11" x14ac:dyDescent="0.2">
      <c r="A768">
        <v>2008430</v>
      </c>
      <c r="B768">
        <v>2017</v>
      </c>
      <c r="C768" t="s">
        <v>6</v>
      </c>
      <c r="D768" t="s">
        <v>7</v>
      </c>
      <c r="E768" t="s">
        <v>8</v>
      </c>
      <c r="F768" s="3">
        <v>5017</v>
      </c>
      <c r="G768" s="3" t="s">
        <v>100</v>
      </c>
      <c r="H768" s="1">
        <v>2615248</v>
      </c>
      <c r="I768" s="21">
        <v>0</v>
      </c>
      <c r="J768" s="21">
        <v>2615248</v>
      </c>
      <c r="K768">
        <f>VLOOKUP(F768,'LEAID Match'!$A$2:$C$2979,3,FALSE)</f>
        <v>2008430</v>
      </c>
    </row>
    <row r="769" spans="1:11" x14ac:dyDescent="0.2">
      <c r="A769">
        <v>2009480</v>
      </c>
      <c r="B769">
        <v>2017</v>
      </c>
      <c r="C769" t="s">
        <v>6</v>
      </c>
      <c r="D769" t="s">
        <v>7</v>
      </c>
      <c r="E769" t="s">
        <v>8</v>
      </c>
      <c r="F769" s="3">
        <v>5018</v>
      </c>
      <c r="G769" s="3" t="s">
        <v>101</v>
      </c>
      <c r="H769" s="1">
        <v>195558</v>
      </c>
      <c r="I769" s="1">
        <v>0</v>
      </c>
      <c r="J769" s="1">
        <v>195558</v>
      </c>
      <c r="K769">
        <f>VLOOKUP(F769,'LEAID Match'!$A$2:$C$2979,3,FALSE)</f>
        <v>2009480</v>
      </c>
    </row>
    <row r="770" spans="1:11" x14ac:dyDescent="0.2">
      <c r="A770">
        <v>2003450</v>
      </c>
      <c r="B770">
        <v>2017</v>
      </c>
      <c r="C770" t="s">
        <v>6</v>
      </c>
      <c r="D770" t="s">
        <v>7</v>
      </c>
      <c r="E770" t="s">
        <v>8</v>
      </c>
      <c r="F770">
        <v>5019</v>
      </c>
      <c r="G770" t="s">
        <v>102</v>
      </c>
      <c r="H770" s="1">
        <v>1753283</v>
      </c>
      <c r="I770" s="1">
        <v>0</v>
      </c>
      <c r="J770" s="1">
        <v>1753283</v>
      </c>
      <c r="K770">
        <f>VLOOKUP(F770,'LEAID Match'!$A$2:$C$2979,3,FALSE)</f>
        <v>2003450</v>
      </c>
    </row>
    <row r="771" spans="1:11" x14ac:dyDescent="0.2">
      <c r="A771">
        <v>2007890</v>
      </c>
      <c r="B771">
        <v>2017</v>
      </c>
      <c r="C771" t="s">
        <v>6</v>
      </c>
      <c r="D771" t="s">
        <v>7</v>
      </c>
      <c r="E771" t="s">
        <v>8</v>
      </c>
      <c r="F771">
        <v>5020</v>
      </c>
      <c r="G771" t="s">
        <v>103</v>
      </c>
      <c r="H771" s="1">
        <v>5988714</v>
      </c>
      <c r="I771" s="1">
        <v>0</v>
      </c>
      <c r="J771" s="1">
        <v>5988714</v>
      </c>
      <c r="K771">
        <f>VLOOKUP(F771,'LEAID Match'!$A$2:$C$2979,3,FALSE)</f>
        <v>2007890</v>
      </c>
    </row>
    <row r="772" spans="1:11" x14ac:dyDescent="0.2">
      <c r="A772">
        <v>2007680</v>
      </c>
      <c r="B772">
        <v>2017</v>
      </c>
      <c r="C772" t="s">
        <v>6</v>
      </c>
      <c r="D772" t="s">
        <v>7</v>
      </c>
      <c r="E772" t="s">
        <v>8</v>
      </c>
      <c r="F772">
        <v>5021</v>
      </c>
      <c r="G772" t="s">
        <v>104</v>
      </c>
      <c r="H772" s="1">
        <v>183292</v>
      </c>
      <c r="I772" s="1">
        <v>0</v>
      </c>
      <c r="J772" s="1">
        <v>183292</v>
      </c>
      <c r="K772">
        <f>VLOOKUP(F772,'LEAID Match'!$A$2:$C$2979,3,FALSE)</f>
        <v>2007680</v>
      </c>
    </row>
    <row r="773" spans="1:11" x14ac:dyDescent="0.2">
      <c r="A773">
        <v>2008730</v>
      </c>
      <c r="B773">
        <v>2017</v>
      </c>
      <c r="C773" t="s">
        <v>6</v>
      </c>
      <c r="D773" t="s">
        <v>7</v>
      </c>
      <c r="E773" t="s">
        <v>8</v>
      </c>
      <c r="F773">
        <v>5022</v>
      </c>
      <c r="G773" t="s">
        <v>105</v>
      </c>
      <c r="H773" s="20">
        <v>3323897</v>
      </c>
      <c r="I773" s="1">
        <v>0</v>
      </c>
      <c r="J773" s="1">
        <v>3323897</v>
      </c>
      <c r="K773">
        <f>VLOOKUP(F773,'LEAID Match'!$A$2:$C$2979,3,FALSE)</f>
        <v>2008730</v>
      </c>
    </row>
    <row r="774" spans="1:11" x14ac:dyDescent="0.2">
      <c r="A774">
        <v>2008280</v>
      </c>
      <c r="B774">
        <v>2017</v>
      </c>
      <c r="C774" t="s">
        <v>6</v>
      </c>
      <c r="D774" t="s">
        <v>7</v>
      </c>
      <c r="E774" t="s">
        <v>8</v>
      </c>
      <c r="F774">
        <v>5024</v>
      </c>
      <c r="G774" t="s">
        <v>106</v>
      </c>
      <c r="H774" s="1">
        <v>389362</v>
      </c>
      <c r="I774" s="1">
        <v>0</v>
      </c>
      <c r="J774" s="1">
        <v>389362</v>
      </c>
      <c r="K774">
        <f>VLOOKUP(F774,'LEAID Match'!$A$2:$C$2979,3,FALSE)</f>
        <v>2008280</v>
      </c>
    </row>
    <row r="775" spans="1:11" x14ac:dyDescent="0.2">
      <c r="A775">
        <v>2006180</v>
      </c>
      <c r="B775">
        <v>2017</v>
      </c>
      <c r="C775" t="s">
        <v>6</v>
      </c>
      <c r="D775" t="s">
        <v>7</v>
      </c>
      <c r="E775" t="s">
        <v>8</v>
      </c>
      <c r="F775">
        <v>5025</v>
      </c>
      <c r="G775" s="9" t="s">
        <v>107</v>
      </c>
      <c r="H775" s="1">
        <v>1271033</v>
      </c>
      <c r="I775" s="1">
        <v>0</v>
      </c>
      <c r="J775" s="1">
        <v>1271033</v>
      </c>
      <c r="K775">
        <f>VLOOKUP(F775,'LEAID Match'!$A$2:$C$2979,3,FALSE)</f>
        <v>2006180</v>
      </c>
    </row>
    <row r="776" spans="1:11" x14ac:dyDescent="0.2">
      <c r="A776">
        <v>2003210</v>
      </c>
      <c r="B776">
        <v>2017</v>
      </c>
      <c r="C776" t="s">
        <v>6</v>
      </c>
      <c r="D776" t="s">
        <v>7</v>
      </c>
      <c r="E776" t="s">
        <v>8</v>
      </c>
      <c r="F776" s="3">
        <v>5026</v>
      </c>
      <c r="G776" s="3" t="s">
        <v>108</v>
      </c>
      <c r="H776" s="22">
        <v>324631</v>
      </c>
      <c r="I776" s="1">
        <v>0</v>
      </c>
      <c r="J776" s="1">
        <v>324631</v>
      </c>
      <c r="K776">
        <f>VLOOKUP(F776,'LEAID Match'!$A$2:$C$2979,3,FALSE)</f>
        <v>2003210</v>
      </c>
    </row>
    <row r="777" spans="1:11" x14ac:dyDescent="0.2">
      <c r="A777">
        <v>2007050</v>
      </c>
      <c r="B777">
        <v>2017</v>
      </c>
      <c r="C777" t="s">
        <v>6</v>
      </c>
      <c r="D777" t="s">
        <v>7</v>
      </c>
      <c r="E777" t="s">
        <v>8</v>
      </c>
      <c r="F777" s="3">
        <v>5027</v>
      </c>
      <c r="G777" s="3" t="s">
        <v>109</v>
      </c>
      <c r="H777" s="1">
        <v>3996066</v>
      </c>
      <c r="I777" s="21">
        <v>0</v>
      </c>
      <c r="J777" s="21">
        <v>3996066</v>
      </c>
      <c r="K777">
        <f>VLOOKUP(F777,'LEAID Match'!$A$2:$C$2979,3,FALSE)</f>
        <v>2007050</v>
      </c>
    </row>
    <row r="778" spans="1:11" x14ac:dyDescent="0.2">
      <c r="A778">
        <v>2011080</v>
      </c>
      <c r="B778">
        <v>2017</v>
      </c>
      <c r="C778" t="s">
        <v>6</v>
      </c>
      <c r="D778" t="s">
        <v>7</v>
      </c>
      <c r="E778" t="s">
        <v>8</v>
      </c>
      <c r="F778" s="3">
        <v>5028</v>
      </c>
      <c r="G778" s="3" t="s">
        <v>110</v>
      </c>
      <c r="H778" s="1">
        <v>981719</v>
      </c>
      <c r="I778" s="1">
        <v>0</v>
      </c>
      <c r="J778" s="1">
        <v>981719</v>
      </c>
      <c r="K778">
        <f>VLOOKUP(F778,'LEAID Match'!$A$2:$C$2979,3,FALSE)</f>
        <v>2011080</v>
      </c>
    </row>
    <row r="779" spans="1:11" x14ac:dyDescent="0.2">
      <c r="A779">
        <v>2000014</v>
      </c>
      <c r="B779">
        <v>2017</v>
      </c>
      <c r="C779" t="s">
        <v>6</v>
      </c>
      <c r="D779" t="s">
        <v>7</v>
      </c>
      <c r="E779" t="s">
        <v>8</v>
      </c>
      <c r="F779">
        <v>5029</v>
      </c>
      <c r="G779" t="s">
        <v>111</v>
      </c>
      <c r="H779" s="1">
        <v>434944</v>
      </c>
      <c r="I779" s="1">
        <v>0</v>
      </c>
      <c r="J779" s="1">
        <v>434944</v>
      </c>
      <c r="K779">
        <f>VLOOKUP(F779,'LEAID Match'!$A$2:$C$2979,3,FALSE)</f>
        <v>2000014</v>
      </c>
    </row>
    <row r="780" spans="1:11" x14ac:dyDescent="0.2">
      <c r="A780">
        <v>2011370</v>
      </c>
      <c r="B780">
        <v>2017</v>
      </c>
      <c r="C780" t="s">
        <v>6</v>
      </c>
      <c r="D780" t="s">
        <v>7</v>
      </c>
      <c r="E780" t="s">
        <v>8</v>
      </c>
      <c r="F780">
        <v>5031</v>
      </c>
      <c r="G780" t="s">
        <v>112</v>
      </c>
      <c r="H780" s="1">
        <v>6721269</v>
      </c>
      <c r="I780" s="1">
        <v>0</v>
      </c>
      <c r="J780" s="1">
        <v>6721269</v>
      </c>
      <c r="K780">
        <f>VLOOKUP(F780,'LEAID Match'!$A$2:$C$2979,3,FALSE)</f>
        <v>2011370</v>
      </c>
    </row>
    <row r="781" spans="1:11" x14ac:dyDescent="0.2">
      <c r="A781">
        <v>2003390</v>
      </c>
      <c r="B781">
        <v>2017</v>
      </c>
      <c r="C781" t="s">
        <v>6</v>
      </c>
      <c r="D781" t="s">
        <v>7</v>
      </c>
      <c r="E781" t="s">
        <v>8</v>
      </c>
      <c r="F781">
        <v>5032</v>
      </c>
      <c r="G781" t="s">
        <v>359</v>
      </c>
      <c r="H781" s="1">
        <v>577499</v>
      </c>
      <c r="I781" s="1">
        <v>0</v>
      </c>
      <c r="J781" s="1">
        <v>577499</v>
      </c>
      <c r="K781">
        <f>VLOOKUP(F781,'LEAID Match'!$A$2:$C$2979,3,FALSE)</f>
        <v>2003390</v>
      </c>
    </row>
    <row r="782" spans="1:11" x14ac:dyDescent="0.2">
      <c r="A782">
        <v>2011100</v>
      </c>
      <c r="B782">
        <v>2017</v>
      </c>
      <c r="C782" t="s">
        <v>6</v>
      </c>
      <c r="D782" t="s">
        <v>7</v>
      </c>
      <c r="E782" t="s">
        <v>8</v>
      </c>
      <c r="F782">
        <v>5033</v>
      </c>
      <c r="G782" t="s">
        <v>114</v>
      </c>
      <c r="H782" s="20">
        <v>405268</v>
      </c>
      <c r="I782" s="1">
        <v>0</v>
      </c>
      <c r="J782" s="1">
        <v>405268</v>
      </c>
      <c r="K782">
        <f>VLOOKUP(F782,'LEAID Match'!$A$2:$C$2979,3,FALSE)</f>
        <v>2011100</v>
      </c>
    </row>
    <row r="783" spans="1:11" x14ac:dyDescent="0.2">
      <c r="A783">
        <v>2004020</v>
      </c>
      <c r="B783">
        <v>2017</v>
      </c>
      <c r="C783" t="s">
        <v>6</v>
      </c>
      <c r="D783" t="s">
        <v>7</v>
      </c>
      <c r="E783" t="s">
        <v>8</v>
      </c>
      <c r="F783">
        <v>5034</v>
      </c>
      <c r="G783" t="s">
        <v>115</v>
      </c>
      <c r="H783" s="1">
        <v>205116</v>
      </c>
      <c r="I783" s="1">
        <v>0</v>
      </c>
      <c r="J783" s="1">
        <v>205116</v>
      </c>
      <c r="K783">
        <f>VLOOKUP(F783,'LEAID Match'!$A$2:$C$2979,3,FALSE)</f>
        <v>2004020</v>
      </c>
    </row>
    <row r="784" spans="1:11" x14ac:dyDescent="0.2">
      <c r="A784">
        <v>2004590</v>
      </c>
      <c r="B784">
        <v>2017</v>
      </c>
      <c r="C784" t="s">
        <v>6</v>
      </c>
      <c r="D784" t="s">
        <v>7</v>
      </c>
      <c r="E784" t="s">
        <v>8</v>
      </c>
      <c r="F784">
        <v>5035</v>
      </c>
      <c r="G784" s="9" t="s">
        <v>116</v>
      </c>
      <c r="H784" s="1">
        <v>1027898</v>
      </c>
      <c r="I784" s="1">
        <v>0</v>
      </c>
      <c r="J784" s="1">
        <v>1027898</v>
      </c>
      <c r="K784">
        <f>VLOOKUP(F784,'LEAID Match'!$A$2:$C$2979,3,FALSE)</f>
        <v>2004590</v>
      </c>
    </row>
    <row r="785" spans="1:11" x14ac:dyDescent="0.2">
      <c r="A785">
        <v>2000006</v>
      </c>
      <c r="B785">
        <v>2017</v>
      </c>
      <c r="C785" t="s">
        <v>6</v>
      </c>
      <c r="D785" t="s">
        <v>7</v>
      </c>
      <c r="E785" t="s">
        <v>8</v>
      </c>
      <c r="F785" s="3">
        <v>5036</v>
      </c>
      <c r="G785" s="3" t="s">
        <v>117</v>
      </c>
      <c r="H785" s="22">
        <v>545963</v>
      </c>
      <c r="I785" s="1">
        <v>0</v>
      </c>
      <c r="J785" s="1">
        <v>545963</v>
      </c>
      <c r="K785">
        <f>VLOOKUP(F785,'LEAID Match'!$A$2:$C$2979,3,FALSE)</f>
        <v>2000006</v>
      </c>
    </row>
    <row r="786" spans="1:11" x14ac:dyDescent="0.2">
      <c r="A786">
        <v>2009390</v>
      </c>
      <c r="B786">
        <v>2017</v>
      </c>
      <c r="C786" t="s">
        <v>6</v>
      </c>
      <c r="D786" t="s">
        <v>7</v>
      </c>
      <c r="E786" t="s">
        <v>8</v>
      </c>
      <c r="F786" s="3">
        <v>5037</v>
      </c>
      <c r="G786" s="3" t="s">
        <v>118</v>
      </c>
      <c r="H786" s="1">
        <v>2121477</v>
      </c>
      <c r="I786" s="21">
        <v>0</v>
      </c>
      <c r="J786" s="21">
        <v>2121477</v>
      </c>
      <c r="K786">
        <f>VLOOKUP(F786,'LEAID Match'!$A$2:$C$2979,3,FALSE)</f>
        <v>2009390</v>
      </c>
    </row>
    <row r="787" spans="1:11" x14ac:dyDescent="0.2">
      <c r="A787">
        <v>2006720</v>
      </c>
      <c r="B787">
        <v>2017</v>
      </c>
      <c r="C787" t="s">
        <v>6</v>
      </c>
      <c r="D787" t="s">
        <v>7</v>
      </c>
      <c r="E787" t="s">
        <v>8</v>
      </c>
      <c r="F787" s="3">
        <v>5038</v>
      </c>
      <c r="G787" s="3" t="s">
        <v>119</v>
      </c>
      <c r="H787" s="1">
        <v>243655</v>
      </c>
      <c r="I787" s="1">
        <v>0</v>
      </c>
      <c r="J787" s="1">
        <v>243655</v>
      </c>
      <c r="K787">
        <f>VLOOKUP(F787,'LEAID Match'!$A$2:$C$2979,3,FALSE)</f>
        <v>2006720</v>
      </c>
    </row>
    <row r="788" spans="1:11" x14ac:dyDescent="0.2">
      <c r="A788">
        <v>2011550</v>
      </c>
      <c r="B788">
        <v>2017</v>
      </c>
      <c r="C788" t="s">
        <v>6</v>
      </c>
      <c r="D788" t="s">
        <v>7</v>
      </c>
      <c r="E788" t="s">
        <v>8</v>
      </c>
      <c r="F788">
        <v>5039</v>
      </c>
      <c r="G788" t="s">
        <v>120</v>
      </c>
      <c r="H788" s="1">
        <v>318803</v>
      </c>
      <c r="I788" s="1">
        <v>0</v>
      </c>
      <c r="J788" s="1">
        <v>318803</v>
      </c>
      <c r="K788">
        <f>VLOOKUP(F788,'LEAID Match'!$A$2:$C$2979,3,FALSE)</f>
        <v>2011550</v>
      </c>
    </row>
    <row r="789" spans="1:11" x14ac:dyDescent="0.2">
      <c r="A789">
        <v>2004980</v>
      </c>
      <c r="B789">
        <v>2017</v>
      </c>
      <c r="C789" t="s">
        <v>6</v>
      </c>
      <c r="D789" t="s">
        <v>7</v>
      </c>
      <c r="E789" t="s">
        <v>8</v>
      </c>
      <c r="F789">
        <v>5040</v>
      </c>
      <c r="G789" t="s">
        <v>121</v>
      </c>
      <c r="H789" s="1">
        <v>987677</v>
      </c>
      <c r="I789" s="1">
        <v>0</v>
      </c>
      <c r="J789" s="1">
        <v>987677</v>
      </c>
      <c r="K789">
        <f>VLOOKUP(F789,'LEAID Match'!$A$2:$C$2979,3,FALSE)</f>
        <v>2004980</v>
      </c>
    </row>
    <row r="790" spans="1:11" x14ac:dyDescent="0.2">
      <c r="A790">
        <v>2006390</v>
      </c>
      <c r="B790">
        <v>2017</v>
      </c>
      <c r="C790" t="s">
        <v>6</v>
      </c>
      <c r="D790" t="s">
        <v>7</v>
      </c>
      <c r="E790" t="s">
        <v>8</v>
      </c>
      <c r="F790">
        <v>5041</v>
      </c>
      <c r="G790" t="s">
        <v>122</v>
      </c>
      <c r="H790" s="1">
        <v>5322800</v>
      </c>
      <c r="I790" s="1">
        <v>0</v>
      </c>
      <c r="J790" s="1">
        <v>5322800</v>
      </c>
      <c r="K790">
        <f>VLOOKUP(F790,'LEAID Match'!$A$2:$C$2979,3,FALSE)</f>
        <v>2006390</v>
      </c>
    </row>
    <row r="791" spans="1:11" x14ac:dyDescent="0.2">
      <c r="A791">
        <v>2003780</v>
      </c>
      <c r="B791">
        <v>2017</v>
      </c>
      <c r="C791" t="s">
        <v>6</v>
      </c>
      <c r="D791" t="s">
        <v>7</v>
      </c>
      <c r="E791" t="s">
        <v>8</v>
      </c>
      <c r="F791">
        <v>5042</v>
      </c>
      <c r="G791" t="s">
        <v>123</v>
      </c>
      <c r="H791" s="20">
        <v>1418823</v>
      </c>
      <c r="I791" s="1">
        <v>0</v>
      </c>
      <c r="J791" s="1">
        <v>1418823</v>
      </c>
      <c r="K791">
        <f>VLOOKUP(F791,'LEAID Match'!$A$2:$C$2979,3,FALSE)</f>
        <v>2003780</v>
      </c>
    </row>
    <row r="792" spans="1:11" x14ac:dyDescent="0.2">
      <c r="A792">
        <v>2013050</v>
      </c>
      <c r="B792">
        <v>2017</v>
      </c>
      <c r="C792" t="s">
        <v>6</v>
      </c>
      <c r="D792" t="s">
        <v>7</v>
      </c>
      <c r="E792" t="s">
        <v>8</v>
      </c>
      <c r="F792">
        <v>5043</v>
      </c>
      <c r="G792" t="s">
        <v>124</v>
      </c>
      <c r="H792" s="1">
        <v>2185583</v>
      </c>
      <c r="I792" s="1">
        <v>0</v>
      </c>
      <c r="J792" s="1">
        <v>2185583</v>
      </c>
      <c r="K792">
        <f>VLOOKUP(F792,'LEAID Match'!$A$2:$C$2979,3,FALSE)</f>
        <v>2013050</v>
      </c>
    </row>
    <row r="793" spans="1:11" x14ac:dyDescent="0.2">
      <c r="A793">
        <v>2000012</v>
      </c>
      <c r="B793">
        <v>2017</v>
      </c>
      <c r="C793" t="s">
        <v>6</v>
      </c>
      <c r="D793" t="s">
        <v>7</v>
      </c>
      <c r="E793" t="s">
        <v>8</v>
      </c>
      <c r="F793">
        <v>5056</v>
      </c>
      <c r="G793" s="9" t="s">
        <v>125</v>
      </c>
      <c r="H793" s="1">
        <v>253800</v>
      </c>
      <c r="I793" s="1">
        <v>0</v>
      </c>
      <c r="J793" s="1">
        <v>253800</v>
      </c>
      <c r="K793">
        <f>VLOOKUP(F793,'LEAID Match'!$A$2:$C$2979,3,FALSE)</f>
        <v>2000012</v>
      </c>
    </row>
    <row r="794" spans="1:11" x14ac:dyDescent="0.2">
      <c r="A794">
        <v>2007590</v>
      </c>
      <c r="B794">
        <v>2017</v>
      </c>
      <c r="C794" t="s">
        <v>6</v>
      </c>
      <c r="D794" t="s">
        <v>7</v>
      </c>
      <c r="E794" t="s">
        <v>8</v>
      </c>
      <c r="F794" s="3">
        <v>5057</v>
      </c>
      <c r="G794" s="3" t="s">
        <v>126</v>
      </c>
      <c r="H794" s="22">
        <v>408994</v>
      </c>
      <c r="I794" s="1">
        <v>0</v>
      </c>
      <c r="J794" s="1">
        <v>408994</v>
      </c>
      <c r="K794">
        <f>VLOOKUP(F794,'LEAID Match'!$A$2:$C$2979,3,FALSE)</f>
        <v>2007590</v>
      </c>
    </row>
    <row r="795" spans="1:11" x14ac:dyDescent="0.2">
      <c r="A795">
        <v>2003870</v>
      </c>
      <c r="B795">
        <v>2017</v>
      </c>
      <c r="C795" t="s">
        <v>6</v>
      </c>
      <c r="D795" t="s">
        <v>7</v>
      </c>
      <c r="E795" t="s">
        <v>8</v>
      </c>
      <c r="F795" s="3">
        <v>5058</v>
      </c>
      <c r="G795" s="3" t="s">
        <v>127</v>
      </c>
      <c r="H795" s="1">
        <v>910116</v>
      </c>
      <c r="I795" s="21">
        <v>0</v>
      </c>
      <c r="J795" s="21">
        <v>910116</v>
      </c>
      <c r="K795">
        <f>VLOOKUP(F795,'LEAID Match'!$A$2:$C$2979,3,FALSE)</f>
        <v>2003870</v>
      </c>
    </row>
    <row r="796" spans="1:11" x14ac:dyDescent="0.2">
      <c r="A796">
        <v>2005250</v>
      </c>
      <c r="B796">
        <v>2017</v>
      </c>
      <c r="C796" t="s">
        <v>6</v>
      </c>
      <c r="D796" t="s">
        <v>7</v>
      </c>
      <c r="E796" t="s">
        <v>8</v>
      </c>
      <c r="F796" s="3">
        <v>5059</v>
      </c>
      <c r="G796" s="3" t="s">
        <v>128</v>
      </c>
      <c r="H796" s="1">
        <v>272186</v>
      </c>
      <c r="I796" s="1">
        <v>0</v>
      </c>
      <c r="J796" s="1">
        <v>272186</v>
      </c>
      <c r="K796">
        <f>VLOOKUP(F796,'LEAID Match'!$A$2:$C$2979,3,FALSE)</f>
        <v>2005250</v>
      </c>
    </row>
    <row r="797" spans="1:11" x14ac:dyDescent="0.2">
      <c r="A797">
        <v>2004500</v>
      </c>
      <c r="B797">
        <v>2017</v>
      </c>
      <c r="C797" t="s">
        <v>6</v>
      </c>
      <c r="D797" t="s">
        <v>7</v>
      </c>
      <c r="E797" t="s">
        <v>8</v>
      </c>
      <c r="F797">
        <v>5060</v>
      </c>
      <c r="G797" t="s">
        <v>129</v>
      </c>
      <c r="H797" s="1">
        <v>125070</v>
      </c>
      <c r="I797" s="1">
        <v>0</v>
      </c>
      <c r="J797" s="1">
        <v>125070</v>
      </c>
      <c r="K797">
        <f>VLOOKUP(F797,'LEAID Match'!$A$2:$C$2979,3,FALSE)</f>
        <v>2004500</v>
      </c>
    </row>
    <row r="798" spans="1:11" x14ac:dyDescent="0.2">
      <c r="A798">
        <v>2011520</v>
      </c>
      <c r="B798">
        <v>2017</v>
      </c>
      <c r="C798" t="s">
        <v>6</v>
      </c>
      <c r="D798" t="s">
        <v>7</v>
      </c>
      <c r="E798" t="s">
        <v>8</v>
      </c>
      <c r="F798">
        <v>5061</v>
      </c>
      <c r="G798" t="s">
        <v>130</v>
      </c>
      <c r="H798" s="1">
        <v>236279</v>
      </c>
      <c r="I798" s="1">
        <v>0</v>
      </c>
      <c r="J798" s="1">
        <v>236279</v>
      </c>
      <c r="K798">
        <f>VLOOKUP(F798,'LEAID Match'!$A$2:$C$2979,3,FALSE)</f>
        <v>2011520</v>
      </c>
    </row>
    <row r="799" spans="1:11" x14ac:dyDescent="0.2">
      <c r="A799">
        <v>2010800</v>
      </c>
      <c r="B799">
        <v>2017</v>
      </c>
      <c r="C799" t="s">
        <v>6</v>
      </c>
      <c r="D799" t="s">
        <v>7</v>
      </c>
      <c r="E799" t="s">
        <v>8</v>
      </c>
      <c r="F799">
        <v>5062</v>
      </c>
      <c r="G799" t="s">
        <v>131</v>
      </c>
      <c r="H799" s="1">
        <v>443068</v>
      </c>
      <c r="I799" s="1">
        <v>0</v>
      </c>
      <c r="J799" s="1">
        <v>443068</v>
      </c>
      <c r="K799">
        <f>VLOOKUP(F799,'LEAID Match'!$A$2:$C$2979,3,FALSE)</f>
        <v>2010800</v>
      </c>
    </row>
    <row r="800" spans="1:11" x14ac:dyDescent="0.2">
      <c r="A800">
        <v>2005870</v>
      </c>
      <c r="B800">
        <v>2017</v>
      </c>
      <c r="C800" t="s">
        <v>6</v>
      </c>
      <c r="D800" t="s">
        <v>7</v>
      </c>
      <c r="E800" t="s">
        <v>8</v>
      </c>
      <c r="F800">
        <v>5063</v>
      </c>
      <c r="G800" t="s">
        <v>132</v>
      </c>
      <c r="H800" s="20">
        <v>372136</v>
      </c>
      <c r="I800" s="1">
        <v>0</v>
      </c>
      <c r="J800" s="1">
        <v>372136</v>
      </c>
      <c r="K800">
        <f>VLOOKUP(F800,'LEAID Match'!$A$2:$C$2979,3,FALSE)</f>
        <v>2005870</v>
      </c>
    </row>
    <row r="801" spans="1:11" x14ac:dyDescent="0.2">
      <c r="A801">
        <v>2012540</v>
      </c>
      <c r="B801">
        <v>2017</v>
      </c>
      <c r="C801" t="s">
        <v>6</v>
      </c>
      <c r="D801" t="s">
        <v>7</v>
      </c>
      <c r="E801" t="s">
        <v>8</v>
      </c>
      <c r="F801">
        <v>5064</v>
      </c>
      <c r="G801" t="s">
        <v>133</v>
      </c>
      <c r="H801" s="1">
        <v>278236</v>
      </c>
      <c r="I801" s="1">
        <v>0</v>
      </c>
      <c r="J801" s="1">
        <v>278236</v>
      </c>
      <c r="K801">
        <f>VLOOKUP(F801,'LEAID Match'!$A$2:$C$2979,3,FALSE)</f>
        <v>2012540</v>
      </c>
    </row>
    <row r="802" spans="1:11" x14ac:dyDescent="0.2">
      <c r="A802">
        <v>2009360</v>
      </c>
      <c r="B802">
        <v>2017</v>
      </c>
      <c r="C802" t="s">
        <v>6</v>
      </c>
      <c r="D802" t="s">
        <v>7</v>
      </c>
      <c r="E802" t="s">
        <v>8</v>
      </c>
      <c r="F802">
        <v>5065</v>
      </c>
      <c r="G802" s="9" t="s">
        <v>134</v>
      </c>
      <c r="H802" s="1">
        <v>296491</v>
      </c>
      <c r="I802" s="1">
        <v>0</v>
      </c>
      <c r="J802" s="1">
        <v>296491</v>
      </c>
      <c r="K802">
        <f>VLOOKUP(F802,'LEAID Match'!$A$2:$C$2979,3,FALSE)</f>
        <v>2009360</v>
      </c>
    </row>
    <row r="803" spans="1:11" x14ac:dyDescent="0.2">
      <c r="A803">
        <v>2004560</v>
      </c>
      <c r="B803">
        <v>2017</v>
      </c>
      <c r="C803" t="s">
        <v>6</v>
      </c>
      <c r="D803" t="s">
        <v>7</v>
      </c>
      <c r="E803" t="s">
        <v>8</v>
      </c>
      <c r="F803" s="3">
        <v>5066</v>
      </c>
      <c r="G803" s="3" t="s">
        <v>135</v>
      </c>
      <c r="H803" s="22">
        <v>357890</v>
      </c>
      <c r="I803" s="1">
        <v>0</v>
      </c>
      <c r="J803" s="1">
        <v>357890</v>
      </c>
      <c r="K803">
        <f>VLOOKUP(F803,'LEAID Match'!$A$2:$C$2979,3,FALSE)</f>
        <v>2004560</v>
      </c>
    </row>
    <row r="804" spans="1:11" x14ac:dyDescent="0.2">
      <c r="A804">
        <v>2006120</v>
      </c>
      <c r="B804">
        <v>2017</v>
      </c>
      <c r="C804" t="s">
        <v>6</v>
      </c>
      <c r="D804" t="s">
        <v>7</v>
      </c>
      <c r="E804" t="s">
        <v>8</v>
      </c>
      <c r="F804" s="3">
        <v>5067</v>
      </c>
      <c r="G804" s="3" t="s">
        <v>136</v>
      </c>
      <c r="H804" s="1">
        <v>555522</v>
      </c>
      <c r="I804" s="21">
        <v>0</v>
      </c>
      <c r="J804" s="21">
        <v>555522</v>
      </c>
      <c r="K804">
        <f>VLOOKUP(F804,'LEAID Match'!$A$2:$C$2979,3,FALSE)</f>
        <v>2006120</v>
      </c>
    </row>
    <row r="805" spans="1:11" x14ac:dyDescent="0.2">
      <c r="A805">
        <v>0</v>
      </c>
      <c r="B805">
        <v>2017</v>
      </c>
      <c r="C805" t="s">
        <v>6</v>
      </c>
      <c r="D805" t="s">
        <v>7</v>
      </c>
      <c r="E805" t="s">
        <v>8</v>
      </c>
      <c r="F805" s="3">
        <v>5068</v>
      </c>
      <c r="G805" s="3" t="s">
        <v>137</v>
      </c>
      <c r="H805" s="1">
        <v>495731</v>
      </c>
      <c r="I805" s="1">
        <v>0</v>
      </c>
      <c r="J805" s="1">
        <v>495731</v>
      </c>
      <c r="K805">
        <f>VLOOKUP(F805,'LEAID Match'!$A$2:$C$2979,3,FALSE)</f>
        <v>0</v>
      </c>
    </row>
    <row r="806" spans="1:11" x14ac:dyDescent="0.2">
      <c r="A806">
        <v>2006840</v>
      </c>
      <c r="B806">
        <v>2017</v>
      </c>
      <c r="C806" t="s">
        <v>6</v>
      </c>
      <c r="D806" t="s">
        <v>7</v>
      </c>
      <c r="E806" t="s">
        <v>8</v>
      </c>
      <c r="F806">
        <v>5069</v>
      </c>
      <c r="G806" t="s">
        <v>138</v>
      </c>
      <c r="H806" s="1">
        <v>470067</v>
      </c>
      <c r="I806" s="1">
        <v>0</v>
      </c>
      <c r="J806" s="1">
        <v>470067</v>
      </c>
      <c r="K806">
        <f>VLOOKUP(F806,'LEAID Match'!$A$2:$C$2979,3,FALSE)</f>
        <v>2006840</v>
      </c>
    </row>
    <row r="807" spans="1:11" x14ac:dyDescent="0.2">
      <c r="A807">
        <v>2012210</v>
      </c>
      <c r="B807">
        <v>2017</v>
      </c>
      <c r="C807" t="s">
        <v>6</v>
      </c>
      <c r="D807" t="s">
        <v>7</v>
      </c>
      <c r="E807" t="s">
        <v>8</v>
      </c>
      <c r="F807">
        <v>5070</v>
      </c>
      <c r="G807" t="s">
        <v>139</v>
      </c>
      <c r="H807" s="1">
        <v>1161323</v>
      </c>
      <c r="I807" s="1">
        <v>0</v>
      </c>
      <c r="J807" s="1">
        <v>1161323</v>
      </c>
      <c r="K807">
        <f>VLOOKUP(F807,'LEAID Match'!$A$2:$C$2979,3,FALSE)</f>
        <v>2012210</v>
      </c>
    </row>
    <row r="808" spans="1:11" x14ac:dyDescent="0.2">
      <c r="A808">
        <v>2005550</v>
      </c>
      <c r="B808">
        <v>2017</v>
      </c>
      <c r="C808" t="s">
        <v>6</v>
      </c>
      <c r="D808" t="s">
        <v>7</v>
      </c>
      <c r="E808" t="s">
        <v>8</v>
      </c>
      <c r="F808">
        <v>5072</v>
      </c>
      <c r="G808" t="s">
        <v>140</v>
      </c>
      <c r="H808" s="1">
        <v>161561</v>
      </c>
      <c r="I808" s="1">
        <v>0</v>
      </c>
      <c r="J808" s="1">
        <v>161561</v>
      </c>
      <c r="K808">
        <f>VLOOKUP(F808,'LEAID Match'!$A$2:$C$2979,3,FALSE)</f>
        <v>2005550</v>
      </c>
    </row>
    <row r="809" spans="1:11" x14ac:dyDescent="0.2">
      <c r="A809">
        <v>2007110</v>
      </c>
      <c r="B809">
        <v>2017</v>
      </c>
      <c r="C809" t="s">
        <v>6</v>
      </c>
      <c r="D809" t="s">
        <v>7</v>
      </c>
      <c r="E809" t="s">
        <v>8</v>
      </c>
      <c r="F809">
        <v>5073</v>
      </c>
      <c r="G809" t="s">
        <v>141</v>
      </c>
      <c r="H809" s="20">
        <v>295921</v>
      </c>
      <c r="I809" s="1">
        <v>0</v>
      </c>
      <c r="J809" s="1">
        <v>295921</v>
      </c>
      <c r="K809">
        <f>VLOOKUP(F809,'LEAID Match'!$A$2:$C$2979,3,FALSE)</f>
        <v>2007110</v>
      </c>
    </row>
    <row r="810" spans="1:11" x14ac:dyDescent="0.2">
      <c r="A810">
        <v>2011190</v>
      </c>
      <c r="B810">
        <v>2017</v>
      </c>
      <c r="C810" t="s">
        <v>6</v>
      </c>
      <c r="D810" t="s">
        <v>7</v>
      </c>
      <c r="E810" t="s">
        <v>8</v>
      </c>
      <c r="F810">
        <v>5076</v>
      </c>
      <c r="G810" t="s">
        <v>142</v>
      </c>
      <c r="H810" s="1">
        <v>158604</v>
      </c>
      <c r="I810" s="1">
        <v>0</v>
      </c>
      <c r="J810" s="1">
        <v>158604</v>
      </c>
      <c r="K810">
        <f>VLOOKUP(F810,'LEAID Match'!$A$2:$C$2979,3,FALSE)</f>
        <v>2011190</v>
      </c>
    </row>
    <row r="811" spans="1:11" x14ac:dyDescent="0.2">
      <c r="A811">
        <v>2005790</v>
      </c>
      <c r="B811">
        <v>2017</v>
      </c>
      <c r="C811" t="s">
        <v>6</v>
      </c>
      <c r="D811" t="s">
        <v>7</v>
      </c>
      <c r="E811" t="s">
        <v>8</v>
      </c>
      <c r="F811">
        <v>5077</v>
      </c>
      <c r="G811" s="9" t="s">
        <v>195</v>
      </c>
      <c r="H811" s="1">
        <v>375646</v>
      </c>
      <c r="I811" s="1">
        <v>0</v>
      </c>
      <c r="J811" s="1">
        <v>375646</v>
      </c>
      <c r="K811">
        <f>VLOOKUP(F811,'LEAID Match'!$A$2:$C$2979,3,FALSE)</f>
        <v>2005790</v>
      </c>
    </row>
    <row r="812" spans="1:11" x14ac:dyDescent="0.2">
      <c r="A812">
        <v>2009420</v>
      </c>
      <c r="B812">
        <v>2017</v>
      </c>
      <c r="C812" t="s">
        <v>6</v>
      </c>
      <c r="D812" t="s">
        <v>7</v>
      </c>
      <c r="E812" t="s">
        <v>8</v>
      </c>
      <c r="F812" s="3">
        <v>5078</v>
      </c>
      <c r="G812" s="3" t="s">
        <v>144</v>
      </c>
      <c r="H812" s="22">
        <v>286701</v>
      </c>
      <c r="I812" s="1">
        <v>0</v>
      </c>
      <c r="J812" s="1">
        <v>286701</v>
      </c>
      <c r="K812">
        <f>VLOOKUP(F812,'LEAID Match'!$A$2:$C$2979,3,FALSE)</f>
        <v>2009420</v>
      </c>
    </row>
    <row r="813" spans="1:11" x14ac:dyDescent="0.2">
      <c r="A813">
        <v>2012450</v>
      </c>
      <c r="B813">
        <v>2017</v>
      </c>
      <c r="C813" t="s">
        <v>6</v>
      </c>
      <c r="D813" t="s">
        <v>7</v>
      </c>
      <c r="E813" t="s">
        <v>8</v>
      </c>
      <c r="F813" s="3">
        <v>5079</v>
      </c>
      <c r="G813" s="3" t="s">
        <v>145</v>
      </c>
      <c r="H813" s="1">
        <v>360845</v>
      </c>
      <c r="I813" s="21">
        <v>0</v>
      </c>
      <c r="J813" s="21">
        <v>360845</v>
      </c>
      <c r="K813">
        <f>VLOOKUP(F813,'LEAID Match'!$A$2:$C$2979,3,FALSE)</f>
        <v>2012450</v>
      </c>
    </row>
    <row r="814" spans="1:11" x14ac:dyDescent="0.2">
      <c r="A814">
        <v>2006930</v>
      </c>
      <c r="B814">
        <v>2017</v>
      </c>
      <c r="C814" t="s">
        <v>6</v>
      </c>
      <c r="D814" t="s">
        <v>7</v>
      </c>
      <c r="E814" t="s">
        <v>8</v>
      </c>
      <c r="F814" s="3">
        <v>5080</v>
      </c>
      <c r="G814" s="3" t="s">
        <v>146</v>
      </c>
      <c r="H814" s="1">
        <v>372974</v>
      </c>
      <c r="I814" s="1">
        <v>0</v>
      </c>
      <c r="J814" s="1">
        <v>372974</v>
      </c>
      <c r="K814">
        <f>VLOOKUP(F814,'LEAID Match'!$A$2:$C$2979,3,FALSE)</f>
        <v>2006930</v>
      </c>
    </row>
    <row r="815" spans="1:11" x14ac:dyDescent="0.2">
      <c r="A815">
        <v>2009450</v>
      </c>
      <c r="B815">
        <v>2017</v>
      </c>
      <c r="C815" t="s">
        <v>6</v>
      </c>
      <c r="D815" t="s">
        <v>7</v>
      </c>
      <c r="E815" t="s">
        <v>8</v>
      </c>
      <c r="F815">
        <v>5081</v>
      </c>
      <c r="G815" t="s">
        <v>147</v>
      </c>
      <c r="H815" s="1">
        <v>316604</v>
      </c>
      <c r="I815" s="1">
        <v>0</v>
      </c>
      <c r="J815" s="1">
        <v>316604</v>
      </c>
      <c r="K815">
        <f>VLOOKUP(F815,'LEAID Match'!$A$2:$C$2979,3,FALSE)</f>
        <v>2009450</v>
      </c>
    </row>
    <row r="816" spans="1:11" x14ac:dyDescent="0.2">
      <c r="A816">
        <v>2010470</v>
      </c>
      <c r="B816">
        <v>2017</v>
      </c>
      <c r="C816" t="s">
        <v>6</v>
      </c>
      <c r="D816" t="s">
        <v>7</v>
      </c>
      <c r="E816" t="s">
        <v>8</v>
      </c>
      <c r="F816">
        <v>5082</v>
      </c>
      <c r="G816" t="s">
        <v>148</v>
      </c>
      <c r="H816" s="1">
        <v>118930</v>
      </c>
      <c r="I816" s="1">
        <v>0</v>
      </c>
      <c r="J816" s="1">
        <v>118930</v>
      </c>
      <c r="K816">
        <f>VLOOKUP(F816,'LEAID Match'!$A$2:$C$2979,3,FALSE)</f>
        <v>2010470</v>
      </c>
    </row>
    <row r="817" spans="1:11" x14ac:dyDescent="0.2">
      <c r="A817">
        <v>2010740</v>
      </c>
      <c r="B817">
        <v>2017</v>
      </c>
      <c r="C817" t="s">
        <v>6</v>
      </c>
      <c r="D817" t="s">
        <v>7</v>
      </c>
      <c r="E817" t="s">
        <v>8</v>
      </c>
      <c r="F817">
        <v>5083</v>
      </c>
      <c r="G817" t="s">
        <v>149</v>
      </c>
      <c r="H817" s="1">
        <v>240484</v>
      </c>
      <c r="I817" s="1">
        <v>0</v>
      </c>
      <c r="J817" s="1">
        <v>240484</v>
      </c>
      <c r="K817">
        <f>VLOOKUP(F817,'LEAID Match'!$A$2:$C$2979,3,FALSE)</f>
        <v>2010740</v>
      </c>
    </row>
    <row r="818" spans="1:11" x14ac:dyDescent="0.2">
      <c r="A818">
        <v>2007260</v>
      </c>
      <c r="B818">
        <v>2017</v>
      </c>
      <c r="C818" t="s">
        <v>6</v>
      </c>
      <c r="D818" t="s">
        <v>7</v>
      </c>
      <c r="E818" t="s">
        <v>8</v>
      </c>
      <c r="F818">
        <v>5087</v>
      </c>
      <c r="G818" t="s">
        <v>360</v>
      </c>
      <c r="H818" s="20">
        <v>258468</v>
      </c>
      <c r="I818" s="1">
        <v>0</v>
      </c>
      <c r="J818" s="1">
        <v>258468</v>
      </c>
      <c r="K818">
        <f>VLOOKUP(F818,'LEAID Match'!$A$2:$C$2979,3,FALSE)</f>
        <v>2007260</v>
      </c>
    </row>
    <row r="819" spans="1:11" x14ac:dyDescent="0.2">
      <c r="A819">
        <v>2012870</v>
      </c>
      <c r="B819">
        <v>2017</v>
      </c>
      <c r="C819" t="s">
        <v>6</v>
      </c>
      <c r="D819" t="s">
        <v>7</v>
      </c>
      <c r="E819" t="s">
        <v>8</v>
      </c>
      <c r="F819">
        <v>5088</v>
      </c>
      <c r="G819" t="s">
        <v>151</v>
      </c>
      <c r="H819" s="1">
        <v>474951</v>
      </c>
      <c r="I819" s="1">
        <v>0</v>
      </c>
      <c r="J819" s="1">
        <v>474951</v>
      </c>
      <c r="K819">
        <f>VLOOKUP(F819,'LEAID Match'!$A$2:$C$2979,3,FALSE)</f>
        <v>2012870</v>
      </c>
    </row>
    <row r="820" spans="1:11" x14ac:dyDescent="0.2">
      <c r="A820">
        <v>2008790</v>
      </c>
      <c r="B820">
        <v>2017</v>
      </c>
      <c r="C820" t="s">
        <v>6</v>
      </c>
      <c r="D820" t="s">
        <v>7</v>
      </c>
      <c r="E820" t="s">
        <v>8</v>
      </c>
      <c r="F820">
        <v>5089</v>
      </c>
      <c r="G820" s="9" t="s">
        <v>152</v>
      </c>
      <c r="H820" s="1">
        <v>267832</v>
      </c>
      <c r="I820" s="1">
        <v>0</v>
      </c>
      <c r="J820" s="1">
        <v>267832</v>
      </c>
      <c r="K820">
        <f>VLOOKUP(F820,'LEAID Match'!$A$2:$C$2979,3,FALSE)</f>
        <v>2008790</v>
      </c>
    </row>
    <row r="821" spans="1:11" x14ac:dyDescent="0.2">
      <c r="A821">
        <v>2009930</v>
      </c>
      <c r="B821">
        <v>2017</v>
      </c>
      <c r="C821" t="s">
        <v>6</v>
      </c>
      <c r="D821" t="s">
        <v>7</v>
      </c>
      <c r="E821" t="s">
        <v>8</v>
      </c>
      <c r="F821" s="3">
        <v>5090</v>
      </c>
      <c r="G821" s="3" t="s">
        <v>153</v>
      </c>
      <c r="H821" s="22">
        <v>201495</v>
      </c>
      <c r="I821" s="1">
        <v>0</v>
      </c>
      <c r="J821" s="1">
        <v>201495</v>
      </c>
      <c r="K821">
        <f>VLOOKUP(F821,'LEAID Match'!$A$2:$C$2979,3,FALSE)</f>
        <v>2009930</v>
      </c>
    </row>
    <row r="822" spans="1:11" x14ac:dyDescent="0.2">
      <c r="A822">
        <v>2007970</v>
      </c>
      <c r="B822">
        <v>2017</v>
      </c>
      <c r="C822" t="s">
        <v>6</v>
      </c>
      <c r="D822" t="s">
        <v>7</v>
      </c>
      <c r="E822" t="s">
        <v>8</v>
      </c>
      <c r="F822" s="3">
        <v>5092</v>
      </c>
      <c r="G822" s="3" t="s">
        <v>154</v>
      </c>
      <c r="H822" s="1">
        <v>901835</v>
      </c>
      <c r="I822" s="21">
        <v>0</v>
      </c>
      <c r="J822" s="21">
        <v>901835</v>
      </c>
      <c r="K822">
        <f>VLOOKUP(F822,'LEAID Match'!$A$2:$C$2979,3,FALSE)</f>
        <v>2007970</v>
      </c>
    </row>
    <row r="823" spans="1:11" x14ac:dyDescent="0.2">
      <c r="A823">
        <v>2010170</v>
      </c>
      <c r="B823">
        <v>2017</v>
      </c>
      <c r="C823" t="s">
        <v>6</v>
      </c>
      <c r="D823" t="s">
        <v>7</v>
      </c>
      <c r="E823" t="s">
        <v>8</v>
      </c>
      <c r="F823" s="3">
        <v>5093</v>
      </c>
      <c r="G823" s="3" t="s">
        <v>155</v>
      </c>
      <c r="H823" s="1">
        <v>202844</v>
      </c>
      <c r="I823" s="1">
        <v>0</v>
      </c>
      <c r="J823" s="1">
        <v>202844</v>
      </c>
      <c r="K823">
        <f>VLOOKUP(F823,'LEAID Match'!$A$2:$C$2979,3,FALSE)</f>
        <v>2010170</v>
      </c>
    </row>
    <row r="824" spans="1:11" x14ac:dyDescent="0.2">
      <c r="A824">
        <v>2003240</v>
      </c>
      <c r="B824">
        <v>2017</v>
      </c>
      <c r="C824" t="s">
        <v>6</v>
      </c>
      <c r="D824" t="s">
        <v>7</v>
      </c>
      <c r="E824" t="s">
        <v>8</v>
      </c>
      <c r="F824">
        <v>5095</v>
      </c>
      <c r="G824" t="s">
        <v>156</v>
      </c>
      <c r="H824" s="1">
        <v>362295</v>
      </c>
      <c r="I824" s="1">
        <v>0</v>
      </c>
      <c r="J824" s="1">
        <v>362295</v>
      </c>
      <c r="K824">
        <f>VLOOKUP(F824,'LEAID Match'!$A$2:$C$2979,3,FALSE)</f>
        <v>2003240</v>
      </c>
    </row>
    <row r="825" spans="1:11" x14ac:dyDescent="0.2">
      <c r="A825">
        <v>2007750</v>
      </c>
      <c r="B825">
        <v>2017</v>
      </c>
      <c r="C825" t="s">
        <v>6</v>
      </c>
      <c r="D825" t="s">
        <v>7</v>
      </c>
      <c r="E825" t="s">
        <v>8</v>
      </c>
      <c r="F825">
        <v>5096</v>
      </c>
      <c r="G825" t="s">
        <v>157</v>
      </c>
      <c r="H825" s="1">
        <v>357293</v>
      </c>
      <c r="I825" s="1">
        <v>0</v>
      </c>
      <c r="J825" s="1">
        <v>357293</v>
      </c>
      <c r="K825">
        <f>VLOOKUP(F825,'LEAID Match'!$A$2:$C$2979,3,FALSE)</f>
        <v>2007750</v>
      </c>
    </row>
    <row r="826" spans="1:11" x14ac:dyDescent="0.2">
      <c r="A826">
        <v>2004380</v>
      </c>
      <c r="B826">
        <v>2017</v>
      </c>
      <c r="C826" t="s">
        <v>6</v>
      </c>
      <c r="D826" t="s">
        <v>7</v>
      </c>
      <c r="E826" t="s">
        <v>8</v>
      </c>
      <c r="F826">
        <v>5098</v>
      </c>
      <c r="G826" t="s">
        <v>158</v>
      </c>
      <c r="H826" s="1">
        <v>198801</v>
      </c>
      <c r="I826" s="1">
        <v>0</v>
      </c>
      <c r="J826" s="1">
        <v>198801</v>
      </c>
      <c r="K826">
        <f>VLOOKUP(F826,'LEAID Match'!$A$2:$C$2979,3,FALSE)</f>
        <v>2004380</v>
      </c>
    </row>
    <row r="827" spans="1:11" x14ac:dyDescent="0.2">
      <c r="A827">
        <v>2006450</v>
      </c>
      <c r="B827">
        <v>2017</v>
      </c>
      <c r="C827" t="s">
        <v>6</v>
      </c>
      <c r="D827" t="s">
        <v>7</v>
      </c>
      <c r="E827" t="s">
        <v>8</v>
      </c>
      <c r="F827">
        <v>5099</v>
      </c>
      <c r="G827" t="s">
        <v>159</v>
      </c>
      <c r="H827" s="20">
        <v>672470</v>
      </c>
      <c r="I827" s="1">
        <v>0</v>
      </c>
      <c r="J827" s="1">
        <v>672470</v>
      </c>
      <c r="K827">
        <f>VLOOKUP(F827,'LEAID Match'!$A$2:$C$2979,3,FALSE)</f>
        <v>2006450</v>
      </c>
    </row>
    <row r="828" spans="1:11" x14ac:dyDescent="0.2">
      <c r="A828">
        <v>2010260</v>
      </c>
      <c r="B828">
        <v>2017</v>
      </c>
      <c r="C828" t="s">
        <v>6</v>
      </c>
      <c r="D828" t="s">
        <v>7</v>
      </c>
      <c r="E828" t="s">
        <v>8</v>
      </c>
      <c r="F828">
        <v>5100</v>
      </c>
      <c r="G828" t="s">
        <v>160</v>
      </c>
      <c r="H828" s="1">
        <v>816619</v>
      </c>
      <c r="I828" s="1">
        <v>0</v>
      </c>
      <c r="J828" s="1">
        <v>816619</v>
      </c>
      <c r="K828">
        <f>VLOOKUP(F828,'LEAID Match'!$A$2:$C$2979,3,FALSE)</f>
        <v>2010260</v>
      </c>
    </row>
    <row r="829" spans="1:11" x14ac:dyDescent="0.2">
      <c r="A829">
        <v>2011700</v>
      </c>
      <c r="B829">
        <v>2017</v>
      </c>
      <c r="C829" t="s">
        <v>6</v>
      </c>
      <c r="D829" t="s">
        <v>7</v>
      </c>
      <c r="E829" t="s">
        <v>8</v>
      </c>
      <c r="F829">
        <v>5101</v>
      </c>
      <c r="G829" s="9" t="s">
        <v>161</v>
      </c>
      <c r="H829" s="1">
        <v>523884</v>
      </c>
      <c r="I829" s="1">
        <v>0</v>
      </c>
      <c r="J829" s="1">
        <v>523884</v>
      </c>
      <c r="K829">
        <f>VLOOKUP(F829,'LEAID Match'!$A$2:$C$2979,3,FALSE)</f>
        <v>2011700</v>
      </c>
    </row>
    <row r="830" spans="1:11" x14ac:dyDescent="0.2">
      <c r="A830">
        <v>2004890</v>
      </c>
      <c r="B830">
        <v>2017</v>
      </c>
      <c r="C830" t="s">
        <v>6</v>
      </c>
      <c r="D830" t="s">
        <v>7</v>
      </c>
      <c r="E830" t="s">
        <v>8</v>
      </c>
      <c r="F830" s="3">
        <v>5102</v>
      </c>
      <c r="G830" s="3" t="s">
        <v>162</v>
      </c>
      <c r="H830" s="22">
        <v>1172942</v>
      </c>
      <c r="I830" s="1">
        <v>0</v>
      </c>
      <c r="J830" s="1">
        <v>1172942</v>
      </c>
      <c r="K830">
        <f>VLOOKUP(F830,'LEAID Match'!$A$2:$C$2979,3,FALSE)</f>
        <v>2004890</v>
      </c>
    </row>
    <row r="831" spans="1:11" x14ac:dyDescent="0.2">
      <c r="A831">
        <v>2010890</v>
      </c>
      <c r="B831">
        <v>2017</v>
      </c>
      <c r="C831" t="s">
        <v>6</v>
      </c>
      <c r="D831" t="s">
        <v>7</v>
      </c>
      <c r="E831" t="s">
        <v>8</v>
      </c>
      <c r="F831" s="3">
        <v>5103</v>
      </c>
      <c r="G831" s="3" t="s">
        <v>163</v>
      </c>
      <c r="H831" s="1">
        <v>615393</v>
      </c>
      <c r="I831" s="21">
        <v>0</v>
      </c>
      <c r="J831" s="21">
        <v>615393</v>
      </c>
      <c r="K831">
        <f>VLOOKUP(F831,'LEAID Match'!$A$2:$C$2979,3,FALSE)</f>
        <v>2010890</v>
      </c>
    </row>
    <row r="832" spans="1:11" x14ac:dyDescent="0.2">
      <c r="A832">
        <v>2004440</v>
      </c>
      <c r="B832">
        <v>2017</v>
      </c>
      <c r="C832" t="s">
        <v>6</v>
      </c>
      <c r="D832" t="s">
        <v>7</v>
      </c>
      <c r="E832" t="s">
        <v>8</v>
      </c>
      <c r="F832" s="3">
        <v>5104</v>
      </c>
      <c r="G832" s="3" t="s">
        <v>164</v>
      </c>
      <c r="H832" s="1">
        <v>262901</v>
      </c>
      <c r="I832" s="1">
        <v>0</v>
      </c>
      <c r="J832" s="1">
        <v>262901</v>
      </c>
      <c r="K832">
        <f>VLOOKUP(F832,'LEAID Match'!$A$2:$C$2979,3,FALSE)</f>
        <v>2004440</v>
      </c>
    </row>
    <row r="833" spans="1:11" x14ac:dyDescent="0.2">
      <c r="A833">
        <v>2004140</v>
      </c>
      <c r="B833">
        <v>2017</v>
      </c>
      <c r="C833" t="s">
        <v>6</v>
      </c>
      <c r="D833" t="s">
        <v>7</v>
      </c>
      <c r="E833" t="s">
        <v>8</v>
      </c>
      <c r="F833">
        <v>5105</v>
      </c>
      <c r="G833" t="s">
        <v>165</v>
      </c>
      <c r="H833" s="1">
        <v>151681</v>
      </c>
      <c r="I833" s="1">
        <v>0</v>
      </c>
      <c r="J833" s="1">
        <v>151681</v>
      </c>
      <c r="K833">
        <f>VLOOKUP(F833,'LEAID Match'!$A$2:$C$2979,3,FALSE)</f>
        <v>2004140</v>
      </c>
    </row>
    <row r="834" spans="1:11" x14ac:dyDescent="0.2">
      <c r="A834">
        <v>2008190</v>
      </c>
      <c r="B834">
        <v>2017</v>
      </c>
      <c r="C834" t="s">
        <v>6</v>
      </c>
      <c r="D834" t="s">
        <v>7</v>
      </c>
      <c r="E834" t="s">
        <v>8</v>
      </c>
      <c r="F834">
        <v>5106</v>
      </c>
      <c r="G834" t="s">
        <v>166</v>
      </c>
      <c r="H834" s="1">
        <v>560736</v>
      </c>
      <c r="I834" s="1">
        <v>0</v>
      </c>
      <c r="J834" s="1">
        <v>560736</v>
      </c>
      <c r="K834">
        <f>VLOOKUP(F834,'LEAID Match'!$A$2:$C$2979,3,FALSE)</f>
        <v>2008190</v>
      </c>
    </row>
    <row r="835" spans="1:11" x14ac:dyDescent="0.2">
      <c r="A835">
        <v>2007560</v>
      </c>
      <c r="B835">
        <v>2017</v>
      </c>
      <c r="C835" t="s">
        <v>6</v>
      </c>
      <c r="D835" t="s">
        <v>7</v>
      </c>
      <c r="E835" t="s">
        <v>8</v>
      </c>
      <c r="F835">
        <v>5116</v>
      </c>
      <c r="G835" t="s">
        <v>167</v>
      </c>
      <c r="H835" s="1">
        <v>677974</v>
      </c>
      <c r="I835" s="1">
        <v>0</v>
      </c>
      <c r="J835" s="1">
        <v>677974</v>
      </c>
      <c r="K835">
        <f>VLOOKUP(F835,'LEAID Match'!$A$2:$C$2979,3,FALSE)</f>
        <v>2007560</v>
      </c>
    </row>
    <row r="836" spans="1:11" x14ac:dyDescent="0.2">
      <c r="A836">
        <v>2003270</v>
      </c>
      <c r="B836">
        <v>2017</v>
      </c>
      <c r="C836" t="s">
        <v>6</v>
      </c>
      <c r="D836" t="s">
        <v>7</v>
      </c>
      <c r="E836" t="s">
        <v>8</v>
      </c>
      <c r="F836">
        <v>5117</v>
      </c>
      <c r="G836" t="s">
        <v>168</v>
      </c>
      <c r="H836" s="20">
        <v>142084</v>
      </c>
      <c r="I836" s="1">
        <v>0</v>
      </c>
      <c r="J836" s="1">
        <v>142084</v>
      </c>
      <c r="K836">
        <f>VLOOKUP(F836,'LEAID Match'!$A$2:$C$2979,3,FALSE)</f>
        <v>2003270</v>
      </c>
    </row>
    <row r="837" spans="1:11" x14ac:dyDescent="0.2">
      <c r="A837">
        <v>2012420</v>
      </c>
      <c r="B837">
        <v>2017</v>
      </c>
      <c r="C837" t="s">
        <v>6</v>
      </c>
      <c r="D837" t="s">
        <v>7</v>
      </c>
      <c r="E837" t="s">
        <v>8</v>
      </c>
      <c r="F837">
        <v>5118</v>
      </c>
      <c r="G837" t="s">
        <v>169</v>
      </c>
      <c r="H837" s="1">
        <v>900288</v>
      </c>
      <c r="I837" s="1">
        <v>0</v>
      </c>
      <c r="J837" s="1">
        <v>900288</v>
      </c>
      <c r="K837">
        <f>VLOOKUP(F837,'LEAID Match'!$A$2:$C$2979,3,FALSE)</f>
        <v>2012420</v>
      </c>
    </row>
    <row r="838" spans="1:11" x14ac:dyDescent="0.2">
      <c r="A838">
        <v>2009600</v>
      </c>
      <c r="B838">
        <v>2017</v>
      </c>
      <c r="C838" t="s">
        <v>6</v>
      </c>
      <c r="D838" t="s">
        <v>7</v>
      </c>
      <c r="E838" t="s">
        <v>8</v>
      </c>
      <c r="F838">
        <v>5119</v>
      </c>
      <c r="G838" s="9" t="s">
        <v>170</v>
      </c>
      <c r="H838" s="1">
        <v>203428</v>
      </c>
      <c r="I838" s="1">
        <v>0</v>
      </c>
      <c r="J838" s="1">
        <v>203428</v>
      </c>
      <c r="K838">
        <f>VLOOKUP(F838,'LEAID Match'!$A$2:$C$2979,3,FALSE)</f>
        <v>2009600</v>
      </c>
    </row>
    <row r="839" spans="1:11" x14ac:dyDescent="0.2">
      <c r="A839">
        <v>2006420</v>
      </c>
      <c r="B839">
        <v>2017</v>
      </c>
      <c r="C839" t="s">
        <v>6</v>
      </c>
      <c r="D839" t="s">
        <v>7</v>
      </c>
      <c r="E839" t="s">
        <v>8</v>
      </c>
      <c r="F839" s="3">
        <v>5120</v>
      </c>
      <c r="G839" s="3" t="s">
        <v>366</v>
      </c>
      <c r="H839" s="22">
        <v>4316051</v>
      </c>
      <c r="I839" s="1">
        <v>0</v>
      </c>
      <c r="J839" s="1">
        <v>4316051</v>
      </c>
      <c r="K839">
        <f>VLOOKUP(F839,'LEAID Match'!$A$2:$C$2979,3,FALSE)</f>
        <v>2006420</v>
      </c>
    </row>
    <row r="840" spans="1:11" x14ac:dyDescent="0.2">
      <c r="A840">
        <v>2008130</v>
      </c>
      <c r="B840">
        <v>2017</v>
      </c>
      <c r="C840" t="s">
        <v>6</v>
      </c>
      <c r="D840" t="s">
        <v>7</v>
      </c>
      <c r="E840" t="s">
        <v>8</v>
      </c>
      <c r="F840" s="3">
        <v>5122</v>
      </c>
      <c r="G840" s="3" t="s">
        <v>172</v>
      </c>
      <c r="H840" s="1">
        <v>177925</v>
      </c>
      <c r="I840" s="21">
        <v>0</v>
      </c>
      <c r="J840" s="21">
        <v>177925</v>
      </c>
      <c r="K840">
        <f>VLOOKUP(F840,'LEAID Match'!$A$2:$C$2979,3,FALSE)</f>
        <v>2008130</v>
      </c>
    </row>
    <row r="841" spans="1:11" x14ac:dyDescent="0.2">
      <c r="A841">
        <v>2009660</v>
      </c>
      <c r="B841">
        <v>2017</v>
      </c>
      <c r="C841" t="s">
        <v>6</v>
      </c>
      <c r="D841" t="s">
        <v>7</v>
      </c>
      <c r="E841" t="s">
        <v>8</v>
      </c>
      <c r="F841" s="3">
        <v>5123</v>
      </c>
      <c r="G841" s="3" t="s">
        <v>173</v>
      </c>
      <c r="H841" s="1">
        <v>179582</v>
      </c>
      <c r="I841" s="1">
        <v>0</v>
      </c>
      <c r="J841" s="1">
        <v>179582</v>
      </c>
      <c r="K841">
        <f>VLOOKUP(F841,'LEAID Match'!$A$2:$C$2979,3,FALSE)</f>
        <v>2009660</v>
      </c>
    </row>
    <row r="842" spans="1:11" x14ac:dyDescent="0.2">
      <c r="A842">
        <v>2000003</v>
      </c>
      <c r="B842">
        <v>2017</v>
      </c>
      <c r="C842" t="s">
        <v>6</v>
      </c>
      <c r="D842" t="s">
        <v>7</v>
      </c>
      <c r="E842" t="s">
        <v>8</v>
      </c>
      <c r="F842">
        <v>5125</v>
      </c>
      <c r="G842" t="s">
        <v>174</v>
      </c>
      <c r="H842" s="1">
        <v>1263073</v>
      </c>
      <c r="I842" s="1">
        <v>0</v>
      </c>
      <c r="J842" s="1">
        <v>1263073</v>
      </c>
      <c r="K842">
        <f>VLOOKUP(F842,'LEAID Match'!$A$2:$C$2979,3,FALSE)</f>
        <v>2000003</v>
      </c>
    </row>
    <row r="843" spans="1:11" x14ac:dyDescent="0.2">
      <c r="A843">
        <v>2005370</v>
      </c>
      <c r="B843">
        <v>2017</v>
      </c>
      <c r="C843" t="s">
        <v>6</v>
      </c>
      <c r="D843" t="s">
        <v>7</v>
      </c>
      <c r="E843" t="s">
        <v>8</v>
      </c>
      <c r="F843">
        <v>5127</v>
      </c>
      <c r="G843" t="s">
        <v>175</v>
      </c>
      <c r="H843" s="1">
        <v>163781</v>
      </c>
      <c r="I843" s="1">
        <v>0</v>
      </c>
      <c r="J843" s="1">
        <v>163781</v>
      </c>
      <c r="K843">
        <f>VLOOKUP(F843,'LEAID Match'!$A$2:$C$2979,3,FALSE)</f>
        <v>2005370</v>
      </c>
    </row>
    <row r="844" spans="1:11" x14ac:dyDescent="0.2">
      <c r="A844">
        <v>2004830</v>
      </c>
      <c r="B844">
        <v>2017</v>
      </c>
      <c r="C844" t="s">
        <v>6</v>
      </c>
      <c r="D844" t="s">
        <v>7</v>
      </c>
      <c r="E844" t="s">
        <v>8</v>
      </c>
      <c r="F844">
        <v>5128</v>
      </c>
      <c r="G844" t="s">
        <v>176</v>
      </c>
      <c r="H844" s="1">
        <v>235620</v>
      </c>
      <c r="I844" s="1">
        <v>0</v>
      </c>
      <c r="J844" s="1">
        <v>235620</v>
      </c>
      <c r="K844">
        <f>VLOOKUP(F844,'LEAID Match'!$A$2:$C$2979,3,FALSE)</f>
        <v>2004830</v>
      </c>
    </row>
    <row r="845" spans="1:11" x14ac:dyDescent="0.2">
      <c r="A845">
        <v>2009320</v>
      </c>
      <c r="B845">
        <v>2017</v>
      </c>
      <c r="C845" t="s">
        <v>6</v>
      </c>
      <c r="D845" t="s">
        <v>7</v>
      </c>
      <c r="E845" t="s">
        <v>8</v>
      </c>
      <c r="F845">
        <v>5129</v>
      </c>
      <c r="G845" t="s">
        <v>177</v>
      </c>
      <c r="H845" s="20">
        <v>630381</v>
      </c>
      <c r="I845" s="1">
        <v>0</v>
      </c>
      <c r="J845" s="1">
        <v>630381</v>
      </c>
      <c r="K845">
        <f>VLOOKUP(F845,'LEAID Match'!$A$2:$C$2979,3,FALSE)</f>
        <v>2009320</v>
      </c>
    </row>
    <row r="846" spans="1:11" x14ac:dyDescent="0.2">
      <c r="A846">
        <v>2010620</v>
      </c>
      <c r="B846">
        <v>2017</v>
      </c>
      <c r="C846" t="s">
        <v>6</v>
      </c>
      <c r="D846" t="s">
        <v>7</v>
      </c>
      <c r="E846" t="s">
        <v>8</v>
      </c>
      <c r="F846">
        <v>5130</v>
      </c>
      <c r="G846" t="s">
        <v>178</v>
      </c>
      <c r="H846" s="1">
        <v>488322</v>
      </c>
      <c r="I846" s="1">
        <v>0</v>
      </c>
      <c r="J846" s="1">
        <v>488322</v>
      </c>
      <c r="K846">
        <f>VLOOKUP(F846,'LEAID Match'!$A$2:$C$2979,3,FALSE)</f>
        <v>2010620</v>
      </c>
    </row>
    <row r="847" spans="1:11" x14ac:dyDescent="0.2">
      <c r="A847">
        <v>2000016</v>
      </c>
      <c r="B847">
        <v>2017</v>
      </c>
      <c r="C847" t="s">
        <v>6</v>
      </c>
      <c r="D847" t="s">
        <v>7</v>
      </c>
      <c r="E847" t="s">
        <v>8</v>
      </c>
      <c r="F847">
        <v>5131</v>
      </c>
      <c r="G847" s="9" t="s">
        <v>179</v>
      </c>
      <c r="H847" s="1">
        <v>613898</v>
      </c>
      <c r="I847" s="1">
        <v>0</v>
      </c>
      <c r="J847" s="1">
        <v>613898</v>
      </c>
      <c r="K847">
        <f>VLOOKUP(F847,'LEAID Match'!$A$2:$C$2979,3,FALSE)</f>
        <v>2000016</v>
      </c>
    </row>
    <row r="848" spans="1:11" x14ac:dyDescent="0.2">
      <c r="A848">
        <v>2010500</v>
      </c>
      <c r="B848">
        <v>2017</v>
      </c>
      <c r="C848" t="s">
        <v>6</v>
      </c>
      <c r="D848" t="s">
        <v>7</v>
      </c>
      <c r="E848" t="s">
        <v>8</v>
      </c>
      <c r="F848" s="3">
        <v>5132</v>
      </c>
      <c r="G848" s="3" t="s">
        <v>180</v>
      </c>
      <c r="H848" s="22">
        <v>2225382</v>
      </c>
      <c r="I848" s="1">
        <v>0</v>
      </c>
      <c r="J848" s="1">
        <v>2225382</v>
      </c>
      <c r="K848">
        <f>VLOOKUP(F848,'LEAID Match'!$A$2:$C$2979,3,FALSE)</f>
        <v>2010500</v>
      </c>
    </row>
    <row r="849" spans="1:11" x14ac:dyDescent="0.2">
      <c r="A849">
        <v>2011820</v>
      </c>
      <c r="B849">
        <v>2017</v>
      </c>
      <c r="C849" t="s">
        <v>6</v>
      </c>
      <c r="D849" t="s">
        <v>7</v>
      </c>
      <c r="E849" t="s">
        <v>8</v>
      </c>
      <c r="F849" s="3">
        <v>5133</v>
      </c>
      <c r="G849" s="3" t="s">
        <v>361</v>
      </c>
      <c r="H849" s="1">
        <v>180987</v>
      </c>
      <c r="I849" s="21">
        <v>0</v>
      </c>
      <c r="J849" s="21">
        <v>180987</v>
      </c>
      <c r="K849">
        <f>VLOOKUP(F849,'LEAID Match'!$A$2:$C$2979,3,FALSE)</f>
        <v>2011820</v>
      </c>
    </row>
    <row r="850" spans="1:11" x14ac:dyDescent="0.2">
      <c r="A850">
        <v>2011760</v>
      </c>
      <c r="B850">
        <v>2017</v>
      </c>
      <c r="C850" t="s">
        <v>6</v>
      </c>
      <c r="D850" t="s">
        <v>7</v>
      </c>
      <c r="E850" t="s">
        <v>8</v>
      </c>
      <c r="F850" s="3">
        <v>5134</v>
      </c>
      <c r="G850" s="3" t="s">
        <v>182</v>
      </c>
      <c r="H850" s="1">
        <v>207445</v>
      </c>
      <c r="I850" s="1">
        <v>0</v>
      </c>
      <c r="J850" s="1">
        <v>207445</v>
      </c>
      <c r="K850">
        <f>VLOOKUP(F850,'LEAID Match'!$A$2:$C$2979,3,FALSE)</f>
        <v>2011760</v>
      </c>
    </row>
    <row r="851" spans="1:11" x14ac:dyDescent="0.2">
      <c r="A851">
        <v>2003630</v>
      </c>
      <c r="B851">
        <v>2017</v>
      </c>
      <c r="C851" t="s">
        <v>6</v>
      </c>
      <c r="D851" t="s">
        <v>7</v>
      </c>
      <c r="E851" t="s">
        <v>8</v>
      </c>
      <c r="F851">
        <v>5135</v>
      </c>
      <c r="G851" t="s">
        <v>183</v>
      </c>
      <c r="H851" s="1">
        <v>1159508</v>
      </c>
      <c r="I851" s="1">
        <v>0</v>
      </c>
      <c r="J851" s="1">
        <v>1159508</v>
      </c>
      <c r="K851">
        <f>VLOOKUP(F851,'LEAID Match'!$A$2:$C$2979,3,FALSE)</f>
        <v>2003630</v>
      </c>
    </row>
    <row r="852" spans="1:11" x14ac:dyDescent="0.2">
      <c r="A852">
        <v>2012600</v>
      </c>
      <c r="B852">
        <v>2017</v>
      </c>
      <c r="C852" t="s">
        <v>6</v>
      </c>
      <c r="D852" t="s">
        <v>7</v>
      </c>
      <c r="E852" t="s">
        <v>8</v>
      </c>
      <c r="F852">
        <v>5137</v>
      </c>
      <c r="G852" t="s">
        <v>184</v>
      </c>
      <c r="H852" s="1">
        <v>175399</v>
      </c>
      <c r="I852" s="1">
        <v>0</v>
      </c>
      <c r="J852" s="1">
        <v>175399</v>
      </c>
      <c r="K852">
        <f>VLOOKUP(F852,'LEAID Match'!$A$2:$C$2979,3,FALSE)</f>
        <v>2012600</v>
      </c>
    </row>
    <row r="853" spans="1:11" x14ac:dyDescent="0.2">
      <c r="A853">
        <v>2004260</v>
      </c>
      <c r="B853">
        <v>2017</v>
      </c>
      <c r="C853" t="s">
        <v>6</v>
      </c>
      <c r="D853" t="s">
        <v>7</v>
      </c>
      <c r="E853" t="s">
        <v>8</v>
      </c>
      <c r="F853">
        <v>5138</v>
      </c>
      <c r="G853" t="s">
        <v>185</v>
      </c>
      <c r="H853" s="1">
        <v>182776</v>
      </c>
      <c r="I853" s="1">
        <v>0</v>
      </c>
      <c r="J853" s="1">
        <v>182776</v>
      </c>
      <c r="K853">
        <f>VLOOKUP(F853,'LEAID Match'!$A$2:$C$2979,3,FALSE)</f>
        <v>2004260</v>
      </c>
    </row>
    <row r="854" spans="1:11" x14ac:dyDescent="0.2">
      <c r="A854">
        <v>2012390</v>
      </c>
      <c r="B854">
        <v>2017</v>
      </c>
      <c r="C854" t="s">
        <v>6</v>
      </c>
      <c r="D854" t="s">
        <v>7</v>
      </c>
      <c r="E854" t="s">
        <v>8</v>
      </c>
      <c r="F854">
        <v>5140</v>
      </c>
      <c r="G854" t="s">
        <v>186</v>
      </c>
      <c r="H854" s="20">
        <v>260490</v>
      </c>
      <c r="I854" s="1">
        <v>0</v>
      </c>
      <c r="J854" s="1">
        <v>260490</v>
      </c>
      <c r="K854">
        <f>VLOOKUP(F854,'LEAID Match'!$A$2:$C$2979,3,FALSE)</f>
        <v>2012390</v>
      </c>
    </row>
    <row r="855" spans="1:11" x14ac:dyDescent="0.2">
      <c r="A855">
        <v>0</v>
      </c>
      <c r="B855">
        <v>2017</v>
      </c>
      <c r="C855" t="s">
        <v>6</v>
      </c>
      <c r="D855" t="s">
        <v>7</v>
      </c>
      <c r="E855" t="s">
        <v>8</v>
      </c>
      <c r="F855">
        <v>5141</v>
      </c>
      <c r="G855" t="s">
        <v>187</v>
      </c>
      <c r="H855" s="1">
        <v>314753</v>
      </c>
      <c r="I855" s="1">
        <v>0</v>
      </c>
      <c r="J855" s="1">
        <v>314753</v>
      </c>
      <c r="K855">
        <f>VLOOKUP(F855,'LEAID Match'!$A$2:$C$2979,3,FALSE)</f>
        <v>0</v>
      </c>
    </row>
    <row r="856" spans="1:11" x14ac:dyDescent="0.2">
      <c r="A856">
        <v>2006990</v>
      </c>
      <c r="B856">
        <v>2017</v>
      </c>
      <c r="C856" t="s">
        <v>6</v>
      </c>
      <c r="D856" t="s">
        <v>7</v>
      </c>
      <c r="E856" t="s">
        <v>8</v>
      </c>
      <c r="F856">
        <v>5142</v>
      </c>
      <c r="G856" s="9" t="s">
        <v>188</v>
      </c>
      <c r="H856" s="1">
        <v>80886</v>
      </c>
      <c r="I856" s="1">
        <v>0</v>
      </c>
      <c r="J856" s="1">
        <v>80886</v>
      </c>
      <c r="K856">
        <f>VLOOKUP(F856,'LEAID Match'!$A$2:$C$2979,3,FALSE)</f>
        <v>2006990</v>
      </c>
    </row>
    <row r="857" spans="1:11" x14ac:dyDescent="0.2">
      <c r="A857">
        <v>2010020</v>
      </c>
      <c r="B857">
        <v>2017</v>
      </c>
      <c r="C857" t="s">
        <v>6</v>
      </c>
      <c r="D857" t="s">
        <v>7</v>
      </c>
      <c r="E857" t="s">
        <v>8</v>
      </c>
      <c r="F857" s="3">
        <v>5143</v>
      </c>
      <c r="G857" s="3" t="s">
        <v>189</v>
      </c>
      <c r="H857" s="22">
        <v>443748</v>
      </c>
      <c r="I857" s="1">
        <v>0</v>
      </c>
      <c r="J857" s="1">
        <v>443748</v>
      </c>
      <c r="K857">
        <f>VLOOKUP(F857,'LEAID Match'!$A$2:$C$2979,3,FALSE)</f>
        <v>2010020</v>
      </c>
    </row>
    <row r="858" spans="1:11" x14ac:dyDescent="0.2">
      <c r="A858">
        <v>2005400</v>
      </c>
      <c r="B858">
        <v>2017</v>
      </c>
      <c r="C858" t="s">
        <v>6</v>
      </c>
      <c r="D858" t="s">
        <v>7</v>
      </c>
      <c r="E858" t="s">
        <v>8</v>
      </c>
      <c r="F858" s="3">
        <v>5144</v>
      </c>
      <c r="G858" s="3" t="s">
        <v>190</v>
      </c>
      <c r="H858" s="1">
        <v>210502</v>
      </c>
      <c r="I858" s="21">
        <v>0</v>
      </c>
      <c r="J858" s="21">
        <v>210502</v>
      </c>
      <c r="K858">
        <f>VLOOKUP(F858,'LEAID Match'!$A$2:$C$2979,3,FALSE)</f>
        <v>2005400</v>
      </c>
    </row>
    <row r="859" spans="1:11" x14ac:dyDescent="0.2">
      <c r="A859">
        <v>0</v>
      </c>
      <c r="B859">
        <v>2017</v>
      </c>
      <c r="C859" t="s">
        <v>6</v>
      </c>
      <c r="D859" t="s">
        <v>7</v>
      </c>
      <c r="E859" t="s">
        <v>8</v>
      </c>
      <c r="F859" s="3">
        <v>5145</v>
      </c>
      <c r="G859" s="3" t="s">
        <v>191</v>
      </c>
      <c r="H859" s="1">
        <v>208240</v>
      </c>
      <c r="I859" s="1">
        <v>0</v>
      </c>
      <c r="J859" s="1">
        <v>208240</v>
      </c>
      <c r="K859">
        <f>VLOOKUP(F859,'LEAID Match'!$A$2:$C$2979,3,FALSE)</f>
        <v>0</v>
      </c>
    </row>
    <row r="860" spans="1:11" x14ac:dyDescent="0.2">
      <c r="A860">
        <v>2005490</v>
      </c>
      <c r="B860">
        <v>2017</v>
      </c>
      <c r="C860" t="s">
        <v>6</v>
      </c>
      <c r="D860" t="s">
        <v>7</v>
      </c>
      <c r="E860" t="s">
        <v>8</v>
      </c>
      <c r="F860">
        <v>5147</v>
      </c>
      <c r="G860" t="s">
        <v>192</v>
      </c>
      <c r="H860" s="1">
        <v>4272471</v>
      </c>
      <c r="I860" s="1">
        <v>0</v>
      </c>
      <c r="J860" s="1">
        <v>4272471</v>
      </c>
      <c r="K860">
        <f>VLOOKUP(F860,'LEAID Match'!$A$2:$C$2979,3,FALSE)</f>
        <v>2005490</v>
      </c>
    </row>
    <row r="861" spans="1:11" x14ac:dyDescent="0.2">
      <c r="A861">
        <v>2009570</v>
      </c>
      <c r="B861">
        <v>2017</v>
      </c>
      <c r="C861" t="s">
        <v>6</v>
      </c>
      <c r="D861" t="s">
        <v>7</v>
      </c>
      <c r="E861" t="s">
        <v>8</v>
      </c>
      <c r="F861">
        <v>5148</v>
      </c>
      <c r="G861" t="s">
        <v>193</v>
      </c>
      <c r="H861" s="1">
        <v>448724</v>
      </c>
      <c r="I861" s="1">
        <v>0</v>
      </c>
      <c r="J861" s="1">
        <v>448724</v>
      </c>
      <c r="K861">
        <f>VLOOKUP(F861,'LEAID Match'!$A$2:$C$2979,3,FALSE)</f>
        <v>2009570</v>
      </c>
    </row>
    <row r="862" spans="1:11" x14ac:dyDescent="0.2">
      <c r="A862">
        <v>2004290</v>
      </c>
      <c r="B862">
        <v>2017</v>
      </c>
      <c r="C862" t="s">
        <v>6</v>
      </c>
      <c r="D862" t="s">
        <v>7</v>
      </c>
      <c r="E862" t="s">
        <v>8</v>
      </c>
      <c r="F862">
        <v>5149</v>
      </c>
      <c r="G862" t="s">
        <v>194</v>
      </c>
      <c r="H862" s="1">
        <v>870365</v>
      </c>
      <c r="I862" s="1">
        <v>0</v>
      </c>
      <c r="J862" s="1">
        <v>870365</v>
      </c>
      <c r="K862">
        <f>VLOOKUP(F862,'LEAID Match'!$A$2:$C$2979,3,FALSE)</f>
        <v>2004290</v>
      </c>
    </row>
    <row r="863" spans="1:11" x14ac:dyDescent="0.2">
      <c r="A863">
        <v>2007740</v>
      </c>
      <c r="B863">
        <v>2017</v>
      </c>
      <c r="C863" t="s">
        <v>6</v>
      </c>
      <c r="D863" t="s">
        <v>7</v>
      </c>
      <c r="E863" t="s">
        <v>8</v>
      </c>
      <c r="F863">
        <v>5150</v>
      </c>
      <c r="G863" t="s">
        <v>247</v>
      </c>
      <c r="H863" s="20">
        <v>798523</v>
      </c>
      <c r="I863" s="1">
        <v>0</v>
      </c>
      <c r="J863" s="1">
        <v>798523</v>
      </c>
      <c r="K863">
        <f>VLOOKUP(F863,'LEAID Match'!$A$2:$C$2979,3,FALSE)</f>
        <v>2007740</v>
      </c>
    </row>
    <row r="864" spans="1:11" x14ac:dyDescent="0.2">
      <c r="A864">
        <v>2010050</v>
      </c>
      <c r="B864">
        <v>2017</v>
      </c>
      <c r="C864" t="s">
        <v>6</v>
      </c>
      <c r="D864" t="s">
        <v>7</v>
      </c>
      <c r="E864" t="s">
        <v>8</v>
      </c>
      <c r="F864">
        <v>5151</v>
      </c>
      <c r="G864" t="s">
        <v>196</v>
      </c>
      <c r="H864" s="1">
        <v>227269</v>
      </c>
      <c r="I864" s="1">
        <v>0</v>
      </c>
      <c r="J864" s="1">
        <v>227269</v>
      </c>
      <c r="K864">
        <f>VLOOKUP(F864,'LEAID Match'!$A$2:$C$2979,3,FALSE)</f>
        <v>2010050</v>
      </c>
    </row>
    <row r="865" spans="1:11" x14ac:dyDescent="0.2">
      <c r="A865">
        <v>2007500</v>
      </c>
      <c r="B865">
        <v>2017</v>
      </c>
      <c r="C865" t="s">
        <v>6</v>
      </c>
      <c r="D865" t="s">
        <v>7</v>
      </c>
      <c r="E865" t="s">
        <v>8</v>
      </c>
      <c r="F865">
        <v>5152</v>
      </c>
      <c r="G865" s="9" t="s">
        <v>197</v>
      </c>
      <c r="H865" s="1">
        <v>454649</v>
      </c>
      <c r="I865" s="1">
        <v>0</v>
      </c>
      <c r="J865" s="1">
        <v>454649</v>
      </c>
      <c r="K865">
        <f>VLOOKUP(F865,'LEAID Match'!$A$2:$C$2979,3,FALSE)</f>
        <v>2007500</v>
      </c>
    </row>
    <row r="866" spans="1:11" x14ac:dyDescent="0.2">
      <c r="A866">
        <v>2005760</v>
      </c>
      <c r="B866">
        <v>2017</v>
      </c>
      <c r="C866" t="s">
        <v>6</v>
      </c>
      <c r="D866" t="s">
        <v>7</v>
      </c>
      <c r="E866" t="s">
        <v>8</v>
      </c>
      <c r="F866" s="3">
        <v>5153</v>
      </c>
      <c r="G866" s="3" t="s">
        <v>198</v>
      </c>
      <c r="H866" s="22">
        <v>124179</v>
      </c>
      <c r="I866" s="1">
        <v>0</v>
      </c>
      <c r="J866" s="1">
        <v>124179</v>
      </c>
      <c r="K866">
        <f>VLOOKUP(F866,'LEAID Match'!$A$2:$C$2979,3,FALSE)</f>
        <v>2005760</v>
      </c>
    </row>
    <row r="867" spans="1:11" x14ac:dyDescent="0.2">
      <c r="A867">
        <v>2012120</v>
      </c>
      <c r="B867">
        <v>2017</v>
      </c>
      <c r="C867" t="s">
        <v>6</v>
      </c>
      <c r="D867" t="s">
        <v>7</v>
      </c>
      <c r="E867" t="s">
        <v>8</v>
      </c>
      <c r="F867" s="3">
        <v>5154</v>
      </c>
      <c r="G867" s="3" t="s">
        <v>199</v>
      </c>
      <c r="H867" s="1">
        <v>169977</v>
      </c>
      <c r="I867" s="21">
        <v>0</v>
      </c>
      <c r="J867" s="21">
        <v>169977</v>
      </c>
      <c r="K867">
        <f>VLOOKUP(F867,'LEAID Match'!$A$2:$C$2979,3,FALSE)</f>
        <v>2012120</v>
      </c>
    </row>
    <row r="868" spans="1:11" x14ac:dyDescent="0.2">
      <c r="A868">
        <v>2010920</v>
      </c>
      <c r="B868">
        <v>2017</v>
      </c>
      <c r="C868" t="s">
        <v>6</v>
      </c>
      <c r="D868" t="s">
        <v>7</v>
      </c>
      <c r="E868" t="s">
        <v>8</v>
      </c>
      <c r="F868" s="3">
        <v>5155</v>
      </c>
      <c r="G868" s="3" t="s">
        <v>200</v>
      </c>
      <c r="H868" s="1">
        <v>177741</v>
      </c>
      <c r="I868" s="1">
        <v>0</v>
      </c>
      <c r="J868" s="1">
        <v>177741</v>
      </c>
      <c r="K868">
        <f>VLOOKUP(F868,'LEAID Match'!$A$2:$C$2979,3,FALSE)</f>
        <v>2010920</v>
      </c>
    </row>
    <row r="869" spans="1:11" x14ac:dyDescent="0.2">
      <c r="A869">
        <v>2005010</v>
      </c>
      <c r="B869">
        <v>2017</v>
      </c>
      <c r="C869" t="s">
        <v>6</v>
      </c>
      <c r="D869" t="s">
        <v>7</v>
      </c>
      <c r="E869" t="s">
        <v>8</v>
      </c>
      <c r="F869">
        <v>5156</v>
      </c>
      <c r="G869" t="s">
        <v>201</v>
      </c>
      <c r="H869" s="1">
        <v>550873</v>
      </c>
      <c r="I869" s="1">
        <v>0</v>
      </c>
      <c r="J869" s="1">
        <v>550873</v>
      </c>
      <c r="K869">
        <f>VLOOKUP(F869,'LEAID Match'!$A$2:$C$2979,3,FALSE)</f>
        <v>2005010</v>
      </c>
    </row>
    <row r="870" spans="1:11" x14ac:dyDescent="0.2">
      <c r="A870">
        <v>2008910</v>
      </c>
      <c r="B870">
        <v>2017</v>
      </c>
      <c r="C870" t="s">
        <v>6</v>
      </c>
      <c r="D870" t="s">
        <v>7</v>
      </c>
      <c r="E870" t="s">
        <v>8</v>
      </c>
      <c r="F870">
        <v>5157</v>
      </c>
      <c r="G870" t="s">
        <v>202</v>
      </c>
      <c r="H870" s="1">
        <v>128016</v>
      </c>
      <c r="I870" s="1">
        <v>0</v>
      </c>
      <c r="J870" s="1">
        <v>128016</v>
      </c>
      <c r="K870">
        <f>VLOOKUP(F870,'LEAID Match'!$A$2:$C$2979,3,FALSE)</f>
        <v>2008910</v>
      </c>
    </row>
    <row r="871" spans="1:11" x14ac:dyDescent="0.2">
      <c r="A871">
        <v>2008070</v>
      </c>
      <c r="B871">
        <v>2017</v>
      </c>
      <c r="C871" t="s">
        <v>6</v>
      </c>
      <c r="D871" t="s">
        <v>7</v>
      </c>
      <c r="E871" t="s">
        <v>8</v>
      </c>
      <c r="F871">
        <v>5158</v>
      </c>
      <c r="G871" t="s">
        <v>203</v>
      </c>
      <c r="H871" s="1">
        <v>568072</v>
      </c>
      <c r="I871" s="1">
        <v>0</v>
      </c>
      <c r="J871" s="1">
        <v>568072</v>
      </c>
      <c r="K871">
        <f>VLOOKUP(F871,'LEAID Match'!$A$2:$C$2979,3,FALSE)</f>
        <v>2008070</v>
      </c>
    </row>
    <row r="872" spans="1:11" x14ac:dyDescent="0.2">
      <c r="A872">
        <v>2005100</v>
      </c>
      <c r="B872">
        <v>2017</v>
      </c>
      <c r="C872" t="s">
        <v>6</v>
      </c>
      <c r="D872" t="s">
        <v>7</v>
      </c>
      <c r="E872" t="s">
        <v>8</v>
      </c>
      <c r="F872">
        <v>5159</v>
      </c>
      <c r="G872" t="s">
        <v>204</v>
      </c>
      <c r="H872" s="20">
        <v>871082</v>
      </c>
      <c r="I872" s="1">
        <v>0</v>
      </c>
      <c r="J872" s="1">
        <v>871082</v>
      </c>
      <c r="K872">
        <f>VLOOKUP(F872,'LEAID Match'!$A$2:$C$2979,3,FALSE)</f>
        <v>2005100</v>
      </c>
    </row>
    <row r="873" spans="1:11" x14ac:dyDescent="0.2">
      <c r="A873">
        <v>2008100</v>
      </c>
      <c r="B873">
        <v>2017</v>
      </c>
      <c r="C873" t="s">
        <v>6</v>
      </c>
      <c r="D873" t="s">
        <v>7</v>
      </c>
      <c r="E873" t="s">
        <v>8</v>
      </c>
      <c r="F873">
        <v>5160</v>
      </c>
      <c r="G873" t="s">
        <v>205</v>
      </c>
      <c r="H873" s="1">
        <v>244947</v>
      </c>
      <c r="I873" s="1">
        <v>0</v>
      </c>
      <c r="J873" s="1">
        <v>244947</v>
      </c>
      <c r="K873">
        <f>VLOOKUP(F873,'LEAID Match'!$A$2:$C$2979,3,FALSE)</f>
        <v>2008100</v>
      </c>
    </row>
    <row r="874" spans="1:11" x14ac:dyDescent="0.2">
      <c r="A874">
        <v>2005130</v>
      </c>
      <c r="B874">
        <v>2017</v>
      </c>
      <c r="C874" t="s">
        <v>6</v>
      </c>
      <c r="D874" t="s">
        <v>7</v>
      </c>
      <c r="E874" t="s">
        <v>8</v>
      </c>
      <c r="F874">
        <v>5161</v>
      </c>
      <c r="G874" s="9" t="s">
        <v>206</v>
      </c>
      <c r="H874" s="1">
        <v>336395</v>
      </c>
      <c r="I874" s="1">
        <v>0</v>
      </c>
      <c r="J874" s="1">
        <v>336395</v>
      </c>
      <c r="K874">
        <f>VLOOKUP(F874,'LEAID Match'!$A$2:$C$2979,3,FALSE)</f>
        <v>2005130</v>
      </c>
    </row>
    <row r="875" spans="1:11" x14ac:dyDescent="0.2">
      <c r="A875">
        <v>2005700</v>
      </c>
      <c r="B875">
        <v>2017</v>
      </c>
      <c r="C875" t="s">
        <v>6</v>
      </c>
      <c r="D875" t="s">
        <v>7</v>
      </c>
      <c r="E875" t="s">
        <v>8</v>
      </c>
      <c r="F875" s="3">
        <v>5162</v>
      </c>
      <c r="G875" s="3" t="s">
        <v>207</v>
      </c>
      <c r="H875" s="22">
        <v>363843</v>
      </c>
      <c r="I875" s="1">
        <v>0</v>
      </c>
      <c r="J875" s="1">
        <v>363843</v>
      </c>
      <c r="K875">
        <f>VLOOKUP(F875,'LEAID Match'!$A$2:$C$2979,3,FALSE)</f>
        <v>2005700</v>
      </c>
    </row>
    <row r="876" spans="1:11" x14ac:dyDescent="0.2">
      <c r="A876">
        <v>2008220</v>
      </c>
      <c r="B876">
        <v>2017</v>
      </c>
      <c r="C876" t="s">
        <v>6</v>
      </c>
      <c r="D876" t="s">
        <v>7</v>
      </c>
      <c r="E876" t="s">
        <v>8</v>
      </c>
      <c r="F876" s="3">
        <v>5163</v>
      </c>
      <c r="G876" s="3" t="s">
        <v>208</v>
      </c>
      <c r="H876" s="1">
        <v>220455</v>
      </c>
      <c r="I876" s="21">
        <v>0</v>
      </c>
      <c r="J876" s="21">
        <v>220455</v>
      </c>
      <c r="K876">
        <f>VLOOKUP(F876,'LEAID Match'!$A$2:$C$2979,3,FALSE)</f>
        <v>2008220</v>
      </c>
    </row>
    <row r="877" spans="1:11" x14ac:dyDescent="0.2">
      <c r="A877">
        <v>2007530</v>
      </c>
      <c r="B877">
        <v>2017</v>
      </c>
      <c r="C877" t="s">
        <v>6</v>
      </c>
      <c r="D877" t="s">
        <v>7</v>
      </c>
      <c r="E877" t="s">
        <v>8</v>
      </c>
      <c r="F877" s="3">
        <v>5164</v>
      </c>
      <c r="G877" s="3" t="s">
        <v>209</v>
      </c>
      <c r="H877" s="1">
        <v>224486</v>
      </c>
      <c r="I877" s="1">
        <v>0</v>
      </c>
      <c r="J877" s="1">
        <v>224486</v>
      </c>
      <c r="K877">
        <f>VLOOKUP(F877,'LEAID Match'!$A$2:$C$2979,3,FALSE)</f>
        <v>2007530</v>
      </c>
    </row>
    <row r="878" spans="1:11" x14ac:dyDescent="0.2">
      <c r="A878">
        <v>2012330</v>
      </c>
      <c r="B878">
        <v>2017</v>
      </c>
      <c r="C878" t="s">
        <v>6</v>
      </c>
      <c r="D878" t="s">
        <v>7</v>
      </c>
      <c r="E878" t="s">
        <v>8</v>
      </c>
      <c r="F878">
        <v>5166</v>
      </c>
      <c r="G878" t="s">
        <v>210</v>
      </c>
      <c r="H878" s="1">
        <v>174809</v>
      </c>
      <c r="I878" s="1">
        <v>0</v>
      </c>
      <c r="J878" s="1">
        <v>174809</v>
      </c>
      <c r="K878">
        <f>VLOOKUP(F878,'LEAID Match'!$A$2:$C$2979,3,FALSE)</f>
        <v>2012330</v>
      </c>
    </row>
    <row r="879" spans="1:11" x14ac:dyDescent="0.2">
      <c r="A879">
        <v>2007470</v>
      </c>
      <c r="B879">
        <v>2017</v>
      </c>
      <c r="C879" t="s">
        <v>6</v>
      </c>
      <c r="D879" t="s">
        <v>7</v>
      </c>
      <c r="E879" t="s">
        <v>8</v>
      </c>
      <c r="F879">
        <v>5167</v>
      </c>
      <c r="G879" t="s">
        <v>211</v>
      </c>
      <c r="H879" s="1">
        <v>450673</v>
      </c>
      <c r="I879" s="1">
        <v>0</v>
      </c>
      <c r="J879" s="1">
        <v>450673</v>
      </c>
      <c r="K879">
        <f>VLOOKUP(F879,'LEAID Match'!$A$2:$C$2979,3,FALSE)</f>
        <v>2007470</v>
      </c>
    </row>
    <row r="880" spans="1:11" x14ac:dyDescent="0.2">
      <c r="A880">
        <v>2007320</v>
      </c>
      <c r="B880">
        <v>2017</v>
      </c>
      <c r="C880" t="s">
        <v>6</v>
      </c>
      <c r="D880" t="s">
        <v>7</v>
      </c>
      <c r="E880" t="s">
        <v>8</v>
      </c>
      <c r="F880">
        <v>5168</v>
      </c>
      <c r="G880" t="s">
        <v>212</v>
      </c>
      <c r="H880" s="1">
        <v>443117</v>
      </c>
      <c r="I880" s="1">
        <v>0</v>
      </c>
      <c r="J880" s="1">
        <v>443117</v>
      </c>
      <c r="K880">
        <f>VLOOKUP(F880,'LEAID Match'!$A$2:$C$2979,3,FALSE)</f>
        <v>2007320</v>
      </c>
    </row>
    <row r="881" spans="1:11" x14ac:dyDescent="0.2">
      <c r="A881">
        <v>2008880</v>
      </c>
      <c r="B881">
        <v>2017</v>
      </c>
      <c r="C881" t="s">
        <v>6</v>
      </c>
      <c r="D881" t="s">
        <v>7</v>
      </c>
      <c r="E881" t="s">
        <v>8</v>
      </c>
      <c r="F881">
        <v>5171</v>
      </c>
      <c r="G881" t="s">
        <v>213</v>
      </c>
      <c r="H881" s="20">
        <v>236462</v>
      </c>
      <c r="I881" s="1">
        <v>0</v>
      </c>
      <c r="J881" s="1">
        <v>236462</v>
      </c>
      <c r="K881">
        <f>VLOOKUP(F881,'LEAID Match'!$A$2:$C$2979,3,FALSE)</f>
        <v>2008880</v>
      </c>
    </row>
    <row r="882" spans="1:11" x14ac:dyDescent="0.2">
      <c r="A882">
        <v>2004740</v>
      </c>
      <c r="B882">
        <v>2017</v>
      </c>
      <c r="C882" t="s">
        <v>6</v>
      </c>
      <c r="D882" t="s">
        <v>7</v>
      </c>
      <c r="E882" t="s">
        <v>8</v>
      </c>
      <c r="F882">
        <v>5172</v>
      </c>
      <c r="G882" t="s">
        <v>214</v>
      </c>
      <c r="H882" s="1">
        <v>582036</v>
      </c>
      <c r="I882" s="1">
        <v>0</v>
      </c>
      <c r="J882" s="1">
        <v>582036</v>
      </c>
      <c r="K882">
        <f>VLOOKUP(F882,'LEAID Match'!$A$2:$C$2979,3,FALSE)</f>
        <v>2004740</v>
      </c>
    </row>
    <row r="883" spans="1:11" x14ac:dyDescent="0.2">
      <c r="A883">
        <v>2007860</v>
      </c>
      <c r="B883">
        <v>2017</v>
      </c>
      <c r="C883" t="s">
        <v>6</v>
      </c>
      <c r="D883" t="s">
        <v>7</v>
      </c>
      <c r="E883" t="s">
        <v>8</v>
      </c>
      <c r="F883">
        <v>5173</v>
      </c>
      <c r="G883" s="9" t="s">
        <v>215</v>
      </c>
      <c r="H883" s="1">
        <v>357043</v>
      </c>
      <c r="I883" s="1">
        <v>0</v>
      </c>
      <c r="J883" s="1">
        <v>357043</v>
      </c>
      <c r="K883">
        <f>VLOOKUP(F883,'LEAID Match'!$A$2:$C$2979,3,FALSE)</f>
        <v>2007860</v>
      </c>
    </row>
    <row r="884" spans="1:11" x14ac:dyDescent="0.2">
      <c r="A884">
        <v>2007170</v>
      </c>
      <c r="B884">
        <v>2017</v>
      </c>
      <c r="C884" t="s">
        <v>6</v>
      </c>
      <c r="D884" t="s">
        <v>7</v>
      </c>
      <c r="E884" t="s">
        <v>8</v>
      </c>
      <c r="F884" s="3">
        <v>5174</v>
      </c>
      <c r="G884" s="3" t="s">
        <v>216</v>
      </c>
      <c r="H884" s="22">
        <v>458338</v>
      </c>
      <c r="I884" s="1">
        <v>0</v>
      </c>
      <c r="J884" s="1">
        <v>458338</v>
      </c>
      <c r="K884">
        <f>VLOOKUP(F884,'LEAID Match'!$A$2:$C$2979,3,FALSE)</f>
        <v>2007170</v>
      </c>
    </row>
    <row r="885" spans="1:11" x14ac:dyDescent="0.2">
      <c r="A885">
        <v>2004230</v>
      </c>
      <c r="B885">
        <v>2017</v>
      </c>
      <c r="C885" t="s">
        <v>6</v>
      </c>
      <c r="D885" t="s">
        <v>7</v>
      </c>
      <c r="E885" t="s">
        <v>8</v>
      </c>
      <c r="F885" s="3">
        <v>5175</v>
      </c>
      <c r="G885" s="3" t="s">
        <v>217</v>
      </c>
      <c r="H885" s="1">
        <v>249684</v>
      </c>
      <c r="I885" s="21">
        <v>0</v>
      </c>
      <c r="J885" s="21">
        <v>249684</v>
      </c>
      <c r="K885">
        <f>VLOOKUP(F885,'LEAID Match'!$A$2:$C$2979,3,FALSE)</f>
        <v>2004230</v>
      </c>
    </row>
    <row r="886" spans="1:11" x14ac:dyDescent="0.2">
      <c r="A886">
        <v>2008340</v>
      </c>
      <c r="B886">
        <v>2017</v>
      </c>
      <c r="C886" t="s">
        <v>6</v>
      </c>
      <c r="D886" t="s">
        <v>7</v>
      </c>
      <c r="E886" t="s">
        <v>8</v>
      </c>
      <c r="F886" s="3">
        <v>5176</v>
      </c>
      <c r="G886" s="3" t="s">
        <v>218</v>
      </c>
      <c r="H886" s="1">
        <v>1831488</v>
      </c>
      <c r="I886" s="1">
        <v>0</v>
      </c>
      <c r="J886" s="1">
        <v>1831488</v>
      </c>
      <c r="K886">
        <f>VLOOKUP(F886,'LEAID Match'!$A$2:$C$2979,3,FALSE)</f>
        <v>2008340</v>
      </c>
    </row>
    <row r="887" spans="1:11" x14ac:dyDescent="0.2">
      <c r="A887">
        <v>2012000</v>
      </c>
      <c r="B887">
        <v>2017</v>
      </c>
      <c r="C887" t="s">
        <v>6</v>
      </c>
      <c r="D887" t="s">
        <v>7</v>
      </c>
      <c r="E887" t="s">
        <v>8</v>
      </c>
      <c r="F887">
        <v>5185</v>
      </c>
      <c r="G887" t="s">
        <v>219</v>
      </c>
      <c r="H887" s="1">
        <v>15560230</v>
      </c>
      <c r="I887" s="1">
        <v>0</v>
      </c>
      <c r="J887" s="1">
        <v>15560230</v>
      </c>
      <c r="K887">
        <f>VLOOKUP(F887,'LEAID Match'!$A$2:$C$2979,3,FALSE)</f>
        <v>2012000</v>
      </c>
    </row>
    <row r="888" spans="1:11" x14ac:dyDescent="0.2">
      <c r="A888">
        <v>2000007</v>
      </c>
      <c r="B888">
        <v>2017</v>
      </c>
      <c r="C888" t="s">
        <v>6</v>
      </c>
      <c r="D888" t="s">
        <v>7</v>
      </c>
      <c r="E888" t="s">
        <v>8</v>
      </c>
      <c r="F888">
        <v>5186</v>
      </c>
      <c r="G888" t="s">
        <v>220</v>
      </c>
      <c r="H888" s="1">
        <v>291953</v>
      </c>
      <c r="I888" s="1">
        <v>0</v>
      </c>
      <c r="J888" s="1">
        <v>291953</v>
      </c>
      <c r="K888">
        <f>VLOOKUP(F888,'LEAID Match'!$A$2:$C$2979,3,FALSE)</f>
        <v>2000007</v>
      </c>
    </row>
    <row r="889" spans="1:11" x14ac:dyDescent="0.2">
      <c r="A889">
        <v>2003960</v>
      </c>
      <c r="B889">
        <v>2017</v>
      </c>
      <c r="C889" t="s">
        <v>6</v>
      </c>
      <c r="D889" t="s">
        <v>7</v>
      </c>
      <c r="E889" t="s">
        <v>8</v>
      </c>
      <c r="F889">
        <v>5187</v>
      </c>
      <c r="G889" t="s">
        <v>221</v>
      </c>
      <c r="H889" s="1">
        <v>363124</v>
      </c>
      <c r="I889" s="1">
        <v>0</v>
      </c>
      <c r="J889" s="1">
        <v>363124</v>
      </c>
      <c r="K889">
        <f>VLOOKUP(F889,'LEAID Match'!$A$2:$C$2979,3,FALSE)</f>
        <v>2003960</v>
      </c>
    </row>
    <row r="890" spans="1:11" x14ac:dyDescent="0.2">
      <c r="A890">
        <v>2012060</v>
      </c>
      <c r="B890">
        <v>2017</v>
      </c>
      <c r="C890" t="s">
        <v>6</v>
      </c>
      <c r="D890" t="s">
        <v>7</v>
      </c>
      <c r="E890" t="s">
        <v>8</v>
      </c>
      <c r="F890">
        <v>5188</v>
      </c>
      <c r="G890" t="s">
        <v>222</v>
      </c>
      <c r="H890" s="20">
        <v>192883</v>
      </c>
      <c r="I890" s="1">
        <v>0</v>
      </c>
      <c r="J890" s="1">
        <v>192883</v>
      </c>
      <c r="K890">
        <f>VLOOKUP(F890,'LEAID Match'!$A$2:$C$2979,3,FALSE)</f>
        <v>2012060</v>
      </c>
    </row>
    <row r="891" spans="1:11" x14ac:dyDescent="0.2">
      <c r="A891">
        <v>2006780</v>
      </c>
      <c r="B891">
        <v>2017</v>
      </c>
      <c r="C891" t="s">
        <v>6</v>
      </c>
      <c r="D891" t="s">
        <v>7</v>
      </c>
      <c r="E891" t="s">
        <v>8</v>
      </c>
      <c r="F891">
        <v>5189</v>
      </c>
      <c r="G891" t="s">
        <v>223</v>
      </c>
      <c r="H891" s="1">
        <v>83983</v>
      </c>
      <c r="I891" s="1">
        <v>0</v>
      </c>
      <c r="J891" s="1">
        <v>83983</v>
      </c>
      <c r="K891">
        <f>VLOOKUP(F891,'LEAID Match'!$A$2:$C$2979,3,FALSE)</f>
        <v>2006780</v>
      </c>
    </row>
    <row r="892" spans="1:11" x14ac:dyDescent="0.2">
      <c r="A892">
        <v>2011880</v>
      </c>
      <c r="B892">
        <v>2017</v>
      </c>
      <c r="C892" t="s">
        <v>6</v>
      </c>
      <c r="D892" t="s">
        <v>7</v>
      </c>
      <c r="E892" t="s">
        <v>8</v>
      </c>
      <c r="F892">
        <v>5190</v>
      </c>
      <c r="G892" s="9" t="s">
        <v>224</v>
      </c>
      <c r="H892" s="1">
        <v>213909</v>
      </c>
      <c r="I892" s="1">
        <v>0</v>
      </c>
      <c r="J892" s="1">
        <v>213909</v>
      </c>
      <c r="K892">
        <f>VLOOKUP(F892,'LEAID Match'!$A$2:$C$2979,3,FALSE)</f>
        <v>2011880</v>
      </c>
    </row>
    <row r="893" spans="1:11" x14ac:dyDescent="0.2">
      <c r="A893">
        <v>2009990</v>
      </c>
      <c r="B893">
        <v>2017</v>
      </c>
      <c r="C893" t="s">
        <v>6</v>
      </c>
      <c r="D893" t="s">
        <v>7</v>
      </c>
      <c r="E893" t="s">
        <v>8</v>
      </c>
      <c r="F893" s="3">
        <v>5191</v>
      </c>
      <c r="G893" s="3" t="s">
        <v>225</v>
      </c>
      <c r="H893" s="22">
        <v>719034</v>
      </c>
      <c r="I893" s="1">
        <v>0</v>
      </c>
      <c r="J893" s="1">
        <v>719034</v>
      </c>
      <c r="K893">
        <f>VLOOKUP(F893,'LEAID Match'!$A$2:$C$2979,3,FALSE)</f>
        <v>2009990</v>
      </c>
    </row>
    <row r="894" spans="1:11" x14ac:dyDescent="0.2">
      <c r="A894">
        <v>2008310</v>
      </c>
      <c r="B894">
        <v>2017</v>
      </c>
      <c r="C894" t="s">
        <v>6</v>
      </c>
      <c r="D894" t="s">
        <v>7</v>
      </c>
      <c r="E894" t="s">
        <v>8</v>
      </c>
      <c r="F894" s="3">
        <v>5192</v>
      </c>
      <c r="G894" s="3" t="s">
        <v>226</v>
      </c>
      <c r="H894" s="1">
        <v>254519</v>
      </c>
      <c r="I894" s="21">
        <v>0</v>
      </c>
      <c r="J894" s="21">
        <v>254519</v>
      </c>
      <c r="K894">
        <f>VLOOKUP(F894,'LEAID Match'!$A$2:$C$2979,3,FALSE)</f>
        <v>2008310</v>
      </c>
    </row>
    <row r="895" spans="1:11" x14ac:dyDescent="0.2">
      <c r="A895">
        <v>2004200</v>
      </c>
      <c r="B895">
        <v>2017</v>
      </c>
      <c r="C895" t="s">
        <v>6</v>
      </c>
      <c r="D895" t="s">
        <v>7</v>
      </c>
      <c r="E895" t="s">
        <v>8</v>
      </c>
      <c r="F895" s="3">
        <v>5193</v>
      </c>
      <c r="G895" s="3" t="s">
        <v>227</v>
      </c>
      <c r="H895" s="1">
        <v>1255729</v>
      </c>
      <c r="I895" s="1">
        <v>0</v>
      </c>
      <c r="J895" s="1">
        <v>1255729</v>
      </c>
      <c r="K895">
        <f>VLOOKUP(F895,'LEAID Match'!$A$2:$C$2979,3,FALSE)</f>
        <v>2004200</v>
      </c>
    </row>
    <row r="896" spans="1:11" x14ac:dyDescent="0.2">
      <c r="A896">
        <v>2000004</v>
      </c>
      <c r="B896">
        <v>2017</v>
      </c>
      <c r="C896" t="s">
        <v>6</v>
      </c>
      <c r="D896" t="s">
        <v>7</v>
      </c>
      <c r="E896" t="s">
        <v>8</v>
      </c>
      <c r="F896">
        <v>5195</v>
      </c>
      <c r="G896" t="s">
        <v>228</v>
      </c>
      <c r="H896" s="1">
        <v>537147</v>
      </c>
      <c r="I896" s="1">
        <v>0</v>
      </c>
      <c r="J896" s="1">
        <v>537147</v>
      </c>
      <c r="K896">
        <f>VLOOKUP(F896,'LEAID Match'!$A$2:$C$2979,3,FALSE)</f>
        <v>2000004</v>
      </c>
    </row>
    <row r="897" spans="1:11" x14ac:dyDescent="0.2">
      <c r="A897">
        <v>2010320</v>
      </c>
      <c r="B897">
        <v>2017</v>
      </c>
      <c r="C897" t="s">
        <v>6</v>
      </c>
      <c r="D897" t="s">
        <v>7</v>
      </c>
      <c r="E897" t="s">
        <v>8</v>
      </c>
      <c r="F897">
        <v>5196</v>
      </c>
      <c r="G897" t="s">
        <v>229</v>
      </c>
      <c r="H897" s="1">
        <v>434129</v>
      </c>
      <c r="I897" s="1">
        <v>0</v>
      </c>
      <c r="J897" s="1">
        <v>434129</v>
      </c>
      <c r="K897">
        <f>VLOOKUP(F897,'LEAID Match'!$A$2:$C$2979,3,FALSE)</f>
        <v>2010320</v>
      </c>
    </row>
    <row r="898" spans="1:11" x14ac:dyDescent="0.2">
      <c r="A898">
        <v>2009060</v>
      </c>
      <c r="B898">
        <v>2017</v>
      </c>
      <c r="C898" t="s">
        <v>6</v>
      </c>
      <c r="D898" t="s">
        <v>7</v>
      </c>
      <c r="E898" t="s">
        <v>8</v>
      </c>
      <c r="F898">
        <v>5197</v>
      </c>
      <c r="G898" t="s">
        <v>230</v>
      </c>
      <c r="H898" s="1">
        <v>241353</v>
      </c>
      <c r="I898" s="1">
        <v>0</v>
      </c>
      <c r="J898" s="1">
        <v>241353</v>
      </c>
      <c r="K898">
        <f>VLOOKUP(F898,'LEAID Match'!$A$2:$C$2979,3,FALSE)</f>
        <v>2009060</v>
      </c>
    </row>
    <row r="899" spans="1:11" x14ac:dyDescent="0.2">
      <c r="A899">
        <v>2012840</v>
      </c>
      <c r="B899">
        <v>2017</v>
      </c>
      <c r="C899" t="s">
        <v>6</v>
      </c>
      <c r="D899" t="s">
        <v>7</v>
      </c>
      <c r="E899" t="s">
        <v>8</v>
      </c>
      <c r="F899">
        <v>5198</v>
      </c>
      <c r="G899" t="s">
        <v>231</v>
      </c>
      <c r="H899" s="20">
        <v>1044403</v>
      </c>
      <c r="I899" s="1">
        <v>0</v>
      </c>
      <c r="J899" s="1">
        <v>1044403</v>
      </c>
      <c r="K899">
        <f>VLOOKUP(F899,'LEAID Match'!$A$2:$C$2979,3,FALSE)</f>
        <v>2012840</v>
      </c>
    </row>
    <row r="900" spans="1:11" x14ac:dyDescent="0.2">
      <c r="A900">
        <v>2005820</v>
      </c>
      <c r="B900">
        <v>2017</v>
      </c>
      <c r="C900" t="s">
        <v>6</v>
      </c>
      <c r="D900" t="s">
        <v>7</v>
      </c>
      <c r="E900" t="s">
        <v>8</v>
      </c>
      <c r="F900">
        <v>5199</v>
      </c>
      <c r="G900" t="s">
        <v>232</v>
      </c>
      <c r="H900" s="1">
        <v>314574</v>
      </c>
      <c r="I900" s="1">
        <v>0</v>
      </c>
      <c r="J900" s="1">
        <v>314574</v>
      </c>
      <c r="K900">
        <f>VLOOKUP(F900,'LEAID Match'!$A$2:$C$2979,3,FALSE)</f>
        <v>2005820</v>
      </c>
    </row>
    <row r="901" spans="1:11" x14ac:dyDescent="0.2">
      <c r="A901">
        <v>2008250</v>
      </c>
      <c r="B901">
        <v>2017</v>
      </c>
      <c r="C901" t="s">
        <v>6</v>
      </c>
      <c r="D901" t="s">
        <v>7</v>
      </c>
      <c r="E901" t="s">
        <v>8</v>
      </c>
      <c r="F901">
        <v>5200</v>
      </c>
      <c r="G901" s="9" t="s">
        <v>233</v>
      </c>
      <c r="H901" s="1">
        <v>704306</v>
      </c>
      <c r="I901" s="1">
        <v>0</v>
      </c>
      <c r="J901" s="1">
        <v>704306</v>
      </c>
      <c r="K901">
        <f>VLOOKUP(F901,'LEAID Match'!$A$2:$C$2979,3,FALSE)</f>
        <v>2008250</v>
      </c>
    </row>
    <row r="902" spans="1:11" x14ac:dyDescent="0.2">
      <c r="A902">
        <v>2004350</v>
      </c>
      <c r="B902">
        <v>2017</v>
      </c>
      <c r="C902" t="s">
        <v>6</v>
      </c>
      <c r="D902" t="s">
        <v>7</v>
      </c>
      <c r="E902" t="s">
        <v>8</v>
      </c>
      <c r="F902" s="3">
        <v>5201</v>
      </c>
      <c r="G902" s="3" t="s">
        <v>234</v>
      </c>
      <c r="H902" s="22">
        <v>166715</v>
      </c>
      <c r="I902" s="1">
        <v>0</v>
      </c>
      <c r="J902" s="1">
        <v>166715</v>
      </c>
      <c r="K902">
        <f>VLOOKUP(F902,'LEAID Match'!$A$2:$C$2979,3,FALSE)</f>
        <v>2004350</v>
      </c>
    </row>
    <row r="903" spans="1:11" x14ac:dyDescent="0.2">
      <c r="A903">
        <v>2010290</v>
      </c>
      <c r="B903">
        <v>2017</v>
      </c>
      <c r="C903" t="s">
        <v>6</v>
      </c>
      <c r="D903" t="s">
        <v>7</v>
      </c>
      <c r="E903" t="s">
        <v>8</v>
      </c>
      <c r="F903" s="3">
        <v>5202</v>
      </c>
      <c r="G903" s="3" t="s">
        <v>235</v>
      </c>
      <c r="H903" s="1">
        <v>179726</v>
      </c>
      <c r="I903" s="21">
        <v>0</v>
      </c>
      <c r="J903" s="21">
        <v>179726</v>
      </c>
      <c r="K903">
        <f>VLOOKUP(F903,'LEAID Match'!$A$2:$C$2979,3,FALSE)</f>
        <v>2010290</v>
      </c>
    </row>
    <row r="904" spans="1:11" x14ac:dyDescent="0.2">
      <c r="A904">
        <v>2000002</v>
      </c>
      <c r="B904">
        <v>2017</v>
      </c>
      <c r="C904" t="s">
        <v>6</v>
      </c>
      <c r="D904" t="s">
        <v>7</v>
      </c>
      <c r="E904" t="s">
        <v>8</v>
      </c>
      <c r="F904" s="3">
        <v>5203</v>
      </c>
      <c r="G904" s="3" t="s">
        <v>236</v>
      </c>
      <c r="H904" s="1">
        <v>558201</v>
      </c>
      <c r="I904" s="1">
        <v>0</v>
      </c>
      <c r="J904" s="1">
        <v>558201</v>
      </c>
      <c r="K904">
        <f>VLOOKUP(F904,'LEAID Match'!$A$2:$C$2979,3,FALSE)</f>
        <v>2000002</v>
      </c>
    </row>
    <row r="905" spans="1:11" x14ac:dyDescent="0.2">
      <c r="A905">
        <v>2009030</v>
      </c>
      <c r="B905">
        <v>2017</v>
      </c>
      <c r="C905" t="s">
        <v>6</v>
      </c>
      <c r="D905" t="s">
        <v>7</v>
      </c>
      <c r="E905" t="s">
        <v>8</v>
      </c>
      <c r="F905">
        <v>5204</v>
      </c>
      <c r="G905" t="s">
        <v>237</v>
      </c>
      <c r="H905" s="1">
        <v>875927</v>
      </c>
      <c r="I905" s="1">
        <v>0</v>
      </c>
      <c r="J905" s="1">
        <v>875927</v>
      </c>
      <c r="K905">
        <f>VLOOKUP(F905,'LEAID Match'!$A$2:$C$2979,3,FALSE)</f>
        <v>2009030</v>
      </c>
    </row>
    <row r="906" spans="1:11" x14ac:dyDescent="0.2">
      <c r="A906">
        <v>2009240</v>
      </c>
      <c r="B906">
        <v>2017</v>
      </c>
      <c r="C906" t="s">
        <v>6</v>
      </c>
      <c r="D906" t="s">
        <v>7</v>
      </c>
      <c r="E906" t="s">
        <v>8</v>
      </c>
      <c r="F906">
        <v>5205</v>
      </c>
      <c r="G906" t="s">
        <v>238</v>
      </c>
      <c r="H906" s="1">
        <v>344458</v>
      </c>
      <c r="I906" s="1">
        <v>0</v>
      </c>
      <c r="J906" s="1">
        <v>344458</v>
      </c>
      <c r="K906">
        <f>VLOOKUP(F906,'LEAID Match'!$A$2:$C$2979,3,FALSE)</f>
        <v>2009240</v>
      </c>
    </row>
    <row r="907" spans="1:11" x14ac:dyDescent="0.2">
      <c r="A907">
        <v>2007290</v>
      </c>
      <c r="B907">
        <v>2017</v>
      </c>
      <c r="C907" t="s">
        <v>6</v>
      </c>
      <c r="D907" t="s">
        <v>7</v>
      </c>
      <c r="E907" t="s">
        <v>8</v>
      </c>
      <c r="F907">
        <v>5206</v>
      </c>
      <c r="G907" t="s">
        <v>239</v>
      </c>
      <c r="H907" s="1">
        <v>358309</v>
      </c>
      <c r="I907" s="1">
        <v>0</v>
      </c>
      <c r="J907" s="1">
        <v>358309</v>
      </c>
      <c r="K907">
        <f>VLOOKUP(F907,'LEAID Match'!$A$2:$C$2979,3,FALSE)</f>
        <v>2007290</v>
      </c>
    </row>
    <row r="908" spans="1:11" x14ac:dyDescent="0.2">
      <c r="A908">
        <v>2008970</v>
      </c>
      <c r="B908">
        <v>2017</v>
      </c>
      <c r="C908" t="s">
        <v>6</v>
      </c>
      <c r="D908" t="s">
        <v>7</v>
      </c>
      <c r="E908" t="s">
        <v>8</v>
      </c>
      <c r="F908">
        <v>5207</v>
      </c>
      <c r="G908" t="s">
        <v>240</v>
      </c>
      <c r="H908" s="20">
        <v>796004</v>
      </c>
      <c r="I908" s="1">
        <v>0</v>
      </c>
      <c r="J908" s="1">
        <v>796004</v>
      </c>
      <c r="K908">
        <f>VLOOKUP(F908,'LEAID Match'!$A$2:$C$2979,3,FALSE)</f>
        <v>2008970</v>
      </c>
    </row>
    <row r="909" spans="1:11" x14ac:dyDescent="0.2">
      <c r="A909">
        <v>2009780</v>
      </c>
      <c r="B909">
        <v>2017</v>
      </c>
      <c r="C909" t="s">
        <v>6</v>
      </c>
      <c r="D909" t="s">
        <v>7</v>
      </c>
      <c r="E909" t="s">
        <v>8</v>
      </c>
      <c r="F909">
        <v>5208</v>
      </c>
      <c r="G909" t="s">
        <v>241</v>
      </c>
      <c r="H909" s="1">
        <v>250734</v>
      </c>
      <c r="I909" s="1">
        <v>0</v>
      </c>
      <c r="J909" s="1">
        <v>250734</v>
      </c>
      <c r="K909">
        <f>VLOOKUP(F909,'LEAID Match'!$A$2:$C$2979,3,FALSE)</f>
        <v>2009780</v>
      </c>
    </row>
    <row r="910" spans="1:11" x14ac:dyDescent="0.2">
      <c r="A910">
        <v>2006660</v>
      </c>
      <c r="B910">
        <v>2017</v>
      </c>
      <c r="C910" t="s">
        <v>6</v>
      </c>
      <c r="D910" t="s">
        <v>7</v>
      </c>
      <c r="E910" t="s">
        <v>8</v>
      </c>
      <c r="F910">
        <v>5210</v>
      </c>
      <c r="G910" s="9" t="s">
        <v>242</v>
      </c>
      <c r="H910" s="1">
        <v>2675897</v>
      </c>
      <c r="I910" s="1">
        <v>0</v>
      </c>
      <c r="J910" s="1">
        <v>2675897</v>
      </c>
      <c r="K910">
        <f>VLOOKUP(F910,'LEAID Match'!$A$2:$C$2979,3,FALSE)</f>
        <v>2006660</v>
      </c>
    </row>
    <row r="911" spans="1:11" x14ac:dyDescent="0.2">
      <c r="A911">
        <v>2010410</v>
      </c>
      <c r="B911">
        <v>2017</v>
      </c>
      <c r="C911" t="s">
        <v>6</v>
      </c>
      <c r="D911" t="s">
        <v>7</v>
      </c>
      <c r="E911" t="s">
        <v>8</v>
      </c>
      <c r="F911" s="3">
        <v>5212</v>
      </c>
      <c r="G911" s="3" t="s">
        <v>243</v>
      </c>
      <c r="H911" s="22">
        <v>589658</v>
      </c>
      <c r="I911" s="1">
        <v>0</v>
      </c>
      <c r="J911" s="1">
        <v>589658</v>
      </c>
      <c r="K911">
        <f>VLOOKUP(F911,'LEAID Match'!$A$2:$C$2979,3,FALSE)</f>
        <v>2010410</v>
      </c>
    </row>
    <row r="912" spans="1:11" x14ac:dyDescent="0.2">
      <c r="A912">
        <v>2004410</v>
      </c>
      <c r="B912">
        <v>2017</v>
      </c>
      <c r="C912" t="s">
        <v>6</v>
      </c>
      <c r="D912" t="s">
        <v>7</v>
      </c>
      <c r="E912" t="s">
        <v>8</v>
      </c>
      <c r="F912" s="3">
        <v>5213</v>
      </c>
      <c r="G912" s="3" t="s">
        <v>244</v>
      </c>
      <c r="H912" s="1">
        <v>467876</v>
      </c>
      <c r="I912" s="21">
        <v>0</v>
      </c>
      <c r="J912" s="21">
        <v>467876</v>
      </c>
      <c r="K912">
        <f>VLOOKUP(F912,'LEAID Match'!$A$2:$C$2979,3,FALSE)</f>
        <v>2004410</v>
      </c>
    </row>
    <row r="913" spans="1:11" x14ac:dyDescent="0.2">
      <c r="A913">
        <v>2012180</v>
      </c>
      <c r="B913">
        <v>2017</v>
      </c>
      <c r="C913" t="s">
        <v>6</v>
      </c>
      <c r="D913" t="s">
        <v>7</v>
      </c>
      <c r="E913" t="s">
        <v>8</v>
      </c>
      <c r="F913" s="3">
        <v>5214</v>
      </c>
      <c r="G913" s="3" t="s">
        <v>245</v>
      </c>
      <c r="H913" s="1">
        <v>2361660</v>
      </c>
      <c r="I913" s="1">
        <v>0</v>
      </c>
      <c r="J913" s="1">
        <v>2361660</v>
      </c>
      <c r="K913">
        <f>VLOOKUP(F913,'LEAID Match'!$A$2:$C$2979,3,FALSE)</f>
        <v>2012180</v>
      </c>
    </row>
    <row r="914" spans="1:11" x14ac:dyDescent="0.2">
      <c r="A914">
        <v>2000017</v>
      </c>
      <c r="B914">
        <v>2017</v>
      </c>
      <c r="C914" t="s">
        <v>6</v>
      </c>
      <c r="D914" t="s">
        <v>7</v>
      </c>
      <c r="E914" t="s">
        <v>8</v>
      </c>
      <c r="F914">
        <v>5215</v>
      </c>
      <c r="G914" t="s">
        <v>246</v>
      </c>
      <c r="H914" s="1">
        <v>571662</v>
      </c>
      <c r="I914" s="1">
        <v>0</v>
      </c>
      <c r="J914" s="1">
        <v>571662</v>
      </c>
      <c r="K914">
        <f>VLOOKUP(F914,'LEAID Match'!$A$2:$C$2979,3,FALSE)</f>
        <v>2000017</v>
      </c>
    </row>
    <row r="915" spans="1:11" x14ac:dyDescent="0.2">
      <c r="A915">
        <v>2004620</v>
      </c>
      <c r="B915">
        <v>2017</v>
      </c>
      <c r="C915" t="s">
        <v>6</v>
      </c>
      <c r="D915" t="s">
        <v>7</v>
      </c>
      <c r="E915" t="s">
        <v>8</v>
      </c>
      <c r="F915">
        <v>5216</v>
      </c>
      <c r="G915" t="s">
        <v>299</v>
      </c>
      <c r="H915" s="1">
        <v>783800</v>
      </c>
      <c r="I915" s="1">
        <v>0</v>
      </c>
      <c r="J915" s="1">
        <v>783800</v>
      </c>
      <c r="K915">
        <f>VLOOKUP(F915,'LEAID Match'!$A$2:$C$2979,3,FALSE)</f>
        <v>2004620</v>
      </c>
    </row>
    <row r="916" spans="1:11" x14ac:dyDescent="0.2">
      <c r="A916">
        <v>2005190</v>
      </c>
      <c r="B916">
        <v>2017</v>
      </c>
      <c r="C916" t="s">
        <v>6</v>
      </c>
      <c r="D916" t="s">
        <v>7</v>
      </c>
      <c r="E916" t="s">
        <v>8</v>
      </c>
      <c r="F916">
        <v>5217</v>
      </c>
      <c r="G916" t="s">
        <v>248</v>
      </c>
      <c r="H916" s="1">
        <v>100110</v>
      </c>
      <c r="I916" s="1">
        <v>0</v>
      </c>
      <c r="J916" s="1">
        <v>100110</v>
      </c>
      <c r="K916">
        <f>VLOOKUP(F916,'LEAID Match'!$A$2:$C$2979,3,FALSE)</f>
        <v>2005190</v>
      </c>
    </row>
    <row r="917" spans="1:11" x14ac:dyDescent="0.2">
      <c r="A917">
        <v>2007440</v>
      </c>
      <c r="B917">
        <v>2017</v>
      </c>
      <c r="C917" t="s">
        <v>6</v>
      </c>
      <c r="D917" t="s">
        <v>7</v>
      </c>
      <c r="E917" t="s">
        <v>8</v>
      </c>
      <c r="F917">
        <v>5218</v>
      </c>
      <c r="G917" t="s">
        <v>249</v>
      </c>
      <c r="H917" s="20">
        <v>213149</v>
      </c>
      <c r="I917" s="1">
        <v>0</v>
      </c>
      <c r="J917" s="1">
        <v>213149</v>
      </c>
      <c r="K917">
        <f>VLOOKUP(F917,'LEAID Match'!$A$2:$C$2979,3,FALSE)</f>
        <v>2007440</v>
      </c>
    </row>
    <row r="918" spans="1:11" x14ac:dyDescent="0.2">
      <c r="A918">
        <v>2011610</v>
      </c>
      <c r="B918">
        <v>2017</v>
      </c>
      <c r="C918" t="s">
        <v>6</v>
      </c>
      <c r="D918" t="s">
        <v>7</v>
      </c>
      <c r="E918" t="s">
        <v>8</v>
      </c>
      <c r="F918">
        <v>5219</v>
      </c>
      <c r="G918" t="s">
        <v>250</v>
      </c>
      <c r="H918" s="1">
        <v>162745</v>
      </c>
      <c r="I918" s="1">
        <v>0</v>
      </c>
      <c r="J918" s="1">
        <v>162745</v>
      </c>
      <c r="K918">
        <f>VLOOKUP(F918,'LEAID Match'!$A$2:$C$2979,3,FALSE)</f>
        <v>2011610</v>
      </c>
    </row>
    <row r="919" spans="1:11" x14ac:dyDescent="0.2">
      <c r="A919">
        <v>2012810</v>
      </c>
      <c r="B919">
        <v>2017</v>
      </c>
      <c r="C919" t="s">
        <v>6</v>
      </c>
      <c r="D919" t="s">
        <v>7</v>
      </c>
      <c r="E919" t="s">
        <v>8</v>
      </c>
      <c r="F919">
        <v>5220</v>
      </c>
      <c r="G919" s="9" t="s">
        <v>251</v>
      </c>
      <c r="H919" s="1">
        <v>347256</v>
      </c>
      <c r="I919" s="1">
        <v>0</v>
      </c>
      <c r="J919" s="1">
        <v>347256</v>
      </c>
      <c r="K919">
        <f>VLOOKUP(F919,'LEAID Match'!$A$2:$C$2979,3,FALSE)</f>
        <v>2012810</v>
      </c>
    </row>
    <row r="920" spans="1:11" x14ac:dyDescent="0.2">
      <c r="A920">
        <v>2005800</v>
      </c>
      <c r="B920">
        <v>2017</v>
      </c>
      <c r="C920" t="s">
        <v>6</v>
      </c>
      <c r="D920" t="s">
        <v>7</v>
      </c>
      <c r="E920" t="s">
        <v>8</v>
      </c>
      <c r="F920" s="3">
        <v>5222</v>
      </c>
      <c r="G920" s="3" t="s">
        <v>252</v>
      </c>
      <c r="H920" s="22">
        <v>288184</v>
      </c>
      <c r="I920" s="1">
        <v>0</v>
      </c>
      <c r="J920" s="1">
        <v>288184</v>
      </c>
      <c r="K920">
        <f>VLOOKUP(F920,'LEAID Match'!$A$2:$C$2979,3,FALSE)</f>
        <v>2005800</v>
      </c>
    </row>
    <row r="921" spans="1:11" x14ac:dyDescent="0.2">
      <c r="A921">
        <v>2013020</v>
      </c>
      <c r="B921">
        <v>2017</v>
      </c>
      <c r="C921" t="s">
        <v>6</v>
      </c>
      <c r="D921" t="s">
        <v>7</v>
      </c>
      <c r="E921" t="s">
        <v>8</v>
      </c>
      <c r="F921" s="3">
        <v>5223</v>
      </c>
      <c r="G921" s="3" t="s">
        <v>253</v>
      </c>
      <c r="H921" s="1">
        <v>299678</v>
      </c>
      <c r="I921" s="21">
        <v>0</v>
      </c>
      <c r="J921" s="21">
        <v>299678</v>
      </c>
      <c r="K921">
        <f>VLOOKUP(F921,'LEAID Match'!$A$2:$C$2979,3,FALSE)</f>
        <v>2013020</v>
      </c>
    </row>
    <row r="922" spans="1:11" x14ac:dyDescent="0.2">
      <c r="A922">
        <v>2004470</v>
      </c>
      <c r="B922">
        <v>2017</v>
      </c>
      <c r="C922" t="s">
        <v>6</v>
      </c>
      <c r="D922" t="s">
        <v>7</v>
      </c>
      <c r="E922" t="s">
        <v>8</v>
      </c>
      <c r="F922" s="3">
        <v>5226</v>
      </c>
      <c r="G922" s="3" t="s">
        <v>254</v>
      </c>
      <c r="H922" s="1">
        <v>144551</v>
      </c>
      <c r="I922" s="1">
        <v>0</v>
      </c>
      <c r="J922" s="1">
        <v>144551</v>
      </c>
      <c r="K922">
        <f>VLOOKUP(F922,'LEAID Match'!$A$2:$C$2979,3,FALSE)</f>
        <v>2004470</v>
      </c>
    </row>
    <row r="923" spans="1:11" x14ac:dyDescent="0.2">
      <c r="A923">
        <v>2000013</v>
      </c>
      <c r="B923">
        <v>2017</v>
      </c>
      <c r="C923" t="s">
        <v>6</v>
      </c>
      <c r="D923" t="s">
        <v>7</v>
      </c>
      <c r="E923" t="s">
        <v>8</v>
      </c>
      <c r="F923">
        <v>5227</v>
      </c>
      <c r="G923" t="s">
        <v>255</v>
      </c>
      <c r="H923" s="1">
        <v>64087</v>
      </c>
      <c r="I923" s="1">
        <v>0</v>
      </c>
      <c r="J923" s="1">
        <v>64087</v>
      </c>
      <c r="K923">
        <f>VLOOKUP(F923,'LEAID Match'!$A$2:$C$2979,3,FALSE)</f>
        <v>2000013</v>
      </c>
    </row>
    <row r="924" spans="1:11" x14ac:dyDescent="0.2">
      <c r="A924">
        <v>2006630</v>
      </c>
      <c r="B924">
        <v>2017</v>
      </c>
      <c r="C924" t="s">
        <v>6</v>
      </c>
      <c r="D924" t="s">
        <v>7</v>
      </c>
      <c r="E924" t="s">
        <v>8</v>
      </c>
      <c r="F924">
        <v>5228</v>
      </c>
      <c r="G924" t="s">
        <v>256</v>
      </c>
      <c r="H924" s="1">
        <v>107542</v>
      </c>
      <c r="I924" s="1">
        <v>0</v>
      </c>
      <c r="J924" s="1">
        <v>107542</v>
      </c>
      <c r="K924">
        <f>VLOOKUP(F924,'LEAID Match'!$A$2:$C$2979,3,FALSE)</f>
        <v>2006630</v>
      </c>
    </row>
    <row r="925" spans="1:11" x14ac:dyDescent="0.2">
      <c r="A925">
        <v>2010080</v>
      </c>
      <c r="B925">
        <v>2017</v>
      </c>
      <c r="C925" t="s">
        <v>6</v>
      </c>
      <c r="D925" t="s">
        <v>7</v>
      </c>
      <c r="E925" t="s">
        <v>8</v>
      </c>
      <c r="F925">
        <v>5229</v>
      </c>
      <c r="G925" t="s">
        <v>257</v>
      </c>
      <c r="H925" s="1">
        <v>272890</v>
      </c>
      <c r="I925" s="1">
        <v>0</v>
      </c>
      <c r="J925" s="1">
        <v>272890</v>
      </c>
      <c r="K925">
        <f>VLOOKUP(F925,'LEAID Match'!$A$2:$C$2979,3,FALSE)</f>
        <v>2010080</v>
      </c>
    </row>
    <row r="926" spans="1:11" x14ac:dyDescent="0.2">
      <c r="A926">
        <v>2006960</v>
      </c>
      <c r="B926">
        <v>2017</v>
      </c>
      <c r="C926" t="s">
        <v>6</v>
      </c>
      <c r="D926" t="s">
        <v>7</v>
      </c>
      <c r="E926" t="s">
        <v>8</v>
      </c>
      <c r="F926">
        <v>5230</v>
      </c>
      <c r="G926" t="s">
        <v>258</v>
      </c>
      <c r="H926" s="20">
        <v>568686</v>
      </c>
      <c r="I926" s="1">
        <v>0</v>
      </c>
      <c r="J926" s="1">
        <v>568686</v>
      </c>
      <c r="K926">
        <f>VLOOKUP(F926,'LEAID Match'!$A$2:$C$2979,3,FALSE)</f>
        <v>2006960</v>
      </c>
    </row>
    <row r="927" spans="1:11" x14ac:dyDescent="0.2">
      <c r="A927">
        <v>2007380</v>
      </c>
      <c r="B927">
        <v>2017</v>
      </c>
      <c r="C927" t="s">
        <v>6</v>
      </c>
      <c r="D927" t="s">
        <v>7</v>
      </c>
      <c r="E927" t="s">
        <v>8</v>
      </c>
      <c r="F927">
        <v>5231</v>
      </c>
      <c r="G927" t="s">
        <v>259</v>
      </c>
      <c r="H927" s="1">
        <v>1221112</v>
      </c>
      <c r="I927" s="1">
        <v>0</v>
      </c>
      <c r="J927" s="1">
        <v>1221112</v>
      </c>
      <c r="K927">
        <f>VLOOKUP(F927,'LEAID Match'!$A$2:$C$2979,3,FALSE)</f>
        <v>2007380</v>
      </c>
    </row>
    <row r="928" spans="1:11" x14ac:dyDescent="0.2">
      <c r="A928">
        <v>2003200</v>
      </c>
      <c r="B928">
        <v>2017</v>
      </c>
      <c r="C928" t="s">
        <v>6</v>
      </c>
      <c r="D928" t="s">
        <v>7</v>
      </c>
      <c r="E928" t="s">
        <v>8</v>
      </c>
      <c r="F928">
        <v>5233</v>
      </c>
      <c r="G928" s="9" t="s">
        <v>260</v>
      </c>
      <c r="H928" s="1">
        <v>3950774</v>
      </c>
      <c r="I928" s="1">
        <v>0</v>
      </c>
      <c r="J928" s="1">
        <v>3950774</v>
      </c>
      <c r="K928">
        <f>VLOOKUP(F928,'LEAID Match'!$A$2:$C$2979,3,FALSE)</f>
        <v>2003200</v>
      </c>
    </row>
    <row r="929" spans="1:11" x14ac:dyDescent="0.2">
      <c r="A929">
        <v>2008040</v>
      </c>
      <c r="B929">
        <v>2017</v>
      </c>
      <c r="C929" t="s">
        <v>6</v>
      </c>
      <c r="D929" t="s">
        <v>7</v>
      </c>
      <c r="E929" t="s">
        <v>8</v>
      </c>
      <c r="F929" s="3">
        <v>5235</v>
      </c>
      <c r="G929" s="3" t="s">
        <v>261</v>
      </c>
      <c r="H929" s="22">
        <v>168428</v>
      </c>
      <c r="I929" s="1">
        <v>0</v>
      </c>
      <c r="J929" s="1">
        <v>168428</v>
      </c>
      <c r="K929">
        <f>VLOOKUP(F929,'LEAID Match'!$A$2:$C$2979,3,FALSE)</f>
        <v>2008040</v>
      </c>
    </row>
    <row r="930" spans="1:11" x14ac:dyDescent="0.2">
      <c r="A930">
        <v>2006060</v>
      </c>
      <c r="B930">
        <v>2017</v>
      </c>
      <c r="C930" t="s">
        <v>6</v>
      </c>
      <c r="D930" t="s">
        <v>7</v>
      </c>
      <c r="E930" t="s">
        <v>8</v>
      </c>
      <c r="F930" s="3">
        <v>5236</v>
      </c>
      <c r="G930" s="3" t="s">
        <v>262</v>
      </c>
      <c r="H930" s="1">
        <v>415877</v>
      </c>
      <c r="I930" s="21">
        <v>0</v>
      </c>
      <c r="J930" s="21">
        <v>415877</v>
      </c>
      <c r="K930">
        <f>VLOOKUP(F930,'LEAID Match'!$A$2:$C$2979,3,FALSE)</f>
        <v>2006060</v>
      </c>
    </row>
    <row r="931" spans="1:11" x14ac:dyDescent="0.2">
      <c r="A931">
        <v>2006510</v>
      </c>
      <c r="B931">
        <v>2017</v>
      </c>
      <c r="C931" t="s">
        <v>6</v>
      </c>
      <c r="D931" t="s">
        <v>7</v>
      </c>
      <c r="E931" t="s">
        <v>8</v>
      </c>
      <c r="F931" s="3">
        <v>5237</v>
      </c>
      <c r="G931" s="3" t="s">
        <v>263</v>
      </c>
      <c r="H931" s="1">
        <v>185277</v>
      </c>
      <c r="I931" s="1">
        <v>0</v>
      </c>
      <c r="J931" s="1">
        <v>185277</v>
      </c>
      <c r="K931">
        <f>VLOOKUP(F931,'LEAID Match'!$A$2:$C$2979,3,FALSE)</f>
        <v>2006510</v>
      </c>
    </row>
    <row r="932" spans="1:11" x14ac:dyDescent="0.2">
      <c r="A932">
        <v>2004170</v>
      </c>
      <c r="B932">
        <v>2017</v>
      </c>
      <c r="C932" t="s">
        <v>6</v>
      </c>
      <c r="D932" t="s">
        <v>7</v>
      </c>
      <c r="E932" t="s">
        <v>8</v>
      </c>
      <c r="F932">
        <v>5238</v>
      </c>
      <c r="G932" t="s">
        <v>264</v>
      </c>
      <c r="H932" s="1">
        <v>161223</v>
      </c>
      <c r="I932" s="1">
        <v>0</v>
      </c>
      <c r="J932" s="1">
        <v>161223</v>
      </c>
      <c r="K932">
        <f>VLOOKUP(F932,'LEAID Match'!$A$2:$C$2979,3,FALSE)</f>
        <v>2004170</v>
      </c>
    </row>
    <row r="933" spans="1:11" x14ac:dyDescent="0.2">
      <c r="A933">
        <v>2004650</v>
      </c>
      <c r="B933">
        <v>2017</v>
      </c>
      <c r="C933" t="s">
        <v>6</v>
      </c>
      <c r="D933" t="s">
        <v>7</v>
      </c>
      <c r="E933" t="s">
        <v>8</v>
      </c>
      <c r="F933">
        <v>5239</v>
      </c>
      <c r="G933" t="s">
        <v>265</v>
      </c>
      <c r="H933" s="1">
        <v>135898</v>
      </c>
      <c r="I933" s="1">
        <v>0</v>
      </c>
      <c r="J933" s="1">
        <v>135898</v>
      </c>
      <c r="K933">
        <f>VLOOKUP(F933,'LEAID Match'!$A$2:$C$2979,3,FALSE)</f>
        <v>2004650</v>
      </c>
    </row>
    <row r="934" spans="1:11" x14ac:dyDescent="0.2">
      <c r="A934">
        <v>2012150</v>
      </c>
      <c r="B934">
        <v>2017</v>
      </c>
      <c r="C934" t="s">
        <v>6</v>
      </c>
      <c r="D934" t="s">
        <v>7</v>
      </c>
      <c r="E934" t="s">
        <v>8</v>
      </c>
      <c r="F934">
        <v>5240</v>
      </c>
      <c r="G934" t="s">
        <v>266</v>
      </c>
      <c r="H934" s="1">
        <v>285104</v>
      </c>
      <c r="I934" s="1">
        <v>0</v>
      </c>
      <c r="J934" s="1">
        <v>285104</v>
      </c>
      <c r="K934">
        <f>VLOOKUP(F934,'LEAID Match'!$A$2:$C$2979,3,FALSE)</f>
        <v>2012150</v>
      </c>
    </row>
    <row r="935" spans="1:11" x14ac:dyDescent="0.2">
      <c r="A935">
        <v>2005040</v>
      </c>
      <c r="B935">
        <v>2017</v>
      </c>
      <c r="C935" t="s">
        <v>6</v>
      </c>
      <c r="D935" t="s">
        <v>7</v>
      </c>
      <c r="E935" t="s">
        <v>8</v>
      </c>
      <c r="F935">
        <v>5241</v>
      </c>
      <c r="G935" t="s">
        <v>362</v>
      </c>
      <c r="H935" s="20">
        <v>171440</v>
      </c>
      <c r="I935" s="1">
        <v>0</v>
      </c>
      <c r="J935" s="1">
        <v>171440</v>
      </c>
      <c r="K935">
        <f>VLOOKUP(F935,'LEAID Match'!$A$2:$C$2979,3,FALSE)</f>
        <v>2005040</v>
      </c>
    </row>
    <row r="936" spans="1:11" x14ac:dyDescent="0.2">
      <c r="A936">
        <v>2000001</v>
      </c>
      <c r="B936">
        <v>2017</v>
      </c>
      <c r="C936" t="s">
        <v>6</v>
      </c>
      <c r="D936" t="s">
        <v>7</v>
      </c>
      <c r="E936" t="s">
        <v>8</v>
      </c>
      <c r="F936">
        <v>5250</v>
      </c>
      <c r="G936" t="s">
        <v>268</v>
      </c>
      <c r="H936" s="1">
        <v>463854</v>
      </c>
      <c r="I936" s="1">
        <v>0</v>
      </c>
      <c r="J936" s="1">
        <v>463854</v>
      </c>
      <c r="K936">
        <f>VLOOKUP(F936,'LEAID Match'!$A$2:$C$2979,3,FALSE)</f>
        <v>2000001</v>
      </c>
    </row>
    <row r="937" spans="1:11" x14ac:dyDescent="0.2">
      <c r="A937">
        <v>2010980</v>
      </c>
      <c r="B937">
        <v>2017</v>
      </c>
      <c r="C937" t="s">
        <v>6</v>
      </c>
      <c r="D937" t="s">
        <v>7</v>
      </c>
      <c r="E937" t="s">
        <v>8</v>
      </c>
      <c r="F937">
        <v>5251</v>
      </c>
      <c r="G937" s="9" t="s">
        <v>269</v>
      </c>
      <c r="H937" s="1">
        <v>150858</v>
      </c>
      <c r="I937" s="1">
        <v>0</v>
      </c>
      <c r="J937" s="1">
        <v>150858</v>
      </c>
      <c r="K937">
        <f>VLOOKUP(F937,'LEAID Match'!$A$2:$C$2979,3,FALSE)</f>
        <v>2010980</v>
      </c>
    </row>
    <row r="938" spans="1:11" x14ac:dyDescent="0.2">
      <c r="A938">
        <v>2008940</v>
      </c>
      <c r="B938">
        <v>2017</v>
      </c>
      <c r="C938" t="s">
        <v>6</v>
      </c>
      <c r="D938" t="s">
        <v>7</v>
      </c>
      <c r="E938" t="s">
        <v>8</v>
      </c>
      <c r="F938" s="3">
        <v>5267</v>
      </c>
      <c r="G938" s="3" t="s">
        <v>270</v>
      </c>
      <c r="H938" s="22">
        <v>166931</v>
      </c>
      <c r="I938" s="1">
        <v>0</v>
      </c>
      <c r="J938" s="1">
        <v>166931</v>
      </c>
      <c r="K938">
        <f>VLOOKUP(F938,'LEAID Match'!$A$2:$C$2979,3,FALSE)</f>
        <v>2008940</v>
      </c>
    </row>
    <row r="939" spans="1:11" x14ac:dyDescent="0.2">
      <c r="A939">
        <v>2003510</v>
      </c>
      <c r="B939">
        <v>2017</v>
      </c>
      <c r="C939" t="s">
        <v>6</v>
      </c>
      <c r="D939" t="s">
        <v>7</v>
      </c>
      <c r="E939" t="s">
        <v>8</v>
      </c>
      <c r="F939" s="3">
        <v>5268</v>
      </c>
      <c r="G939" s="3" t="s">
        <v>271</v>
      </c>
      <c r="H939" s="1">
        <v>168756</v>
      </c>
      <c r="I939" s="21">
        <v>0</v>
      </c>
      <c r="J939" s="21">
        <v>168756</v>
      </c>
      <c r="K939">
        <f>VLOOKUP(F939,'LEAID Match'!$A$2:$C$2979,3,FALSE)</f>
        <v>2003510</v>
      </c>
    </row>
    <row r="940" spans="1:11" x14ac:dyDescent="0.2">
      <c r="A940">
        <v>2004950</v>
      </c>
      <c r="B940">
        <v>2017</v>
      </c>
      <c r="C940" t="s">
        <v>6</v>
      </c>
      <c r="D940" t="s">
        <v>7</v>
      </c>
      <c r="E940" t="s">
        <v>8</v>
      </c>
      <c r="F940" s="3">
        <v>5270</v>
      </c>
      <c r="G940" s="3" t="s">
        <v>272</v>
      </c>
      <c r="H940" s="1">
        <v>233751</v>
      </c>
      <c r="I940" s="1">
        <v>0</v>
      </c>
      <c r="J940" s="1">
        <v>233751</v>
      </c>
      <c r="K940">
        <f>VLOOKUP(F940,'LEAID Match'!$A$2:$C$2979,3,FALSE)</f>
        <v>2004950</v>
      </c>
    </row>
    <row r="941" spans="1:11" x14ac:dyDescent="0.2">
      <c r="A941">
        <v>2006210</v>
      </c>
      <c r="B941">
        <v>2017</v>
      </c>
      <c r="C941" t="s">
        <v>6</v>
      </c>
      <c r="D941" t="s">
        <v>7</v>
      </c>
      <c r="E941" t="s">
        <v>8</v>
      </c>
      <c r="F941">
        <v>5271</v>
      </c>
      <c r="G941" t="s">
        <v>273</v>
      </c>
      <c r="H941" s="1">
        <v>123358</v>
      </c>
      <c r="I941" s="1">
        <v>0</v>
      </c>
      <c r="J941" s="1">
        <v>123358</v>
      </c>
      <c r="K941">
        <f>VLOOKUP(F941,'LEAID Match'!$A$2:$C$2979,3,FALSE)</f>
        <v>2006210</v>
      </c>
    </row>
    <row r="942" spans="1:11" x14ac:dyDescent="0.2">
      <c r="A942">
        <v>2011850</v>
      </c>
      <c r="B942">
        <v>2017</v>
      </c>
      <c r="C942" t="s">
        <v>6</v>
      </c>
      <c r="D942" t="s">
        <v>7</v>
      </c>
      <c r="E942" t="s">
        <v>8</v>
      </c>
      <c r="F942">
        <v>5272</v>
      </c>
      <c r="G942" t="s">
        <v>274</v>
      </c>
      <c r="H942" s="1">
        <v>1947803</v>
      </c>
      <c r="I942" s="1">
        <v>0</v>
      </c>
      <c r="J942" s="1">
        <v>1947803</v>
      </c>
      <c r="K942">
        <f>VLOOKUP(F942,'LEAID Match'!$A$2:$C$2979,3,FALSE)</f>
        <v>2011850</v>
      </c>
    </row>
    <row r="943" spans="1:11" x14ac:dyDescent="0.2">
      <c r="A943">
        <v>2006300</v>
      </c>
      <c r="B943">
        <v>2017</v>
      </c>
      <c r="C943" t="s">
        <v>6</v>
      </c>
      <c r="D943" t="s">
        <v>7</v>
      </c>
      <c r="E943" t="s">
        <v>8</v>
      </c>
      <c r="F943">
        <v>5274</v>
      </c>
      <c r="G943" t="s">
        <v>275</v>
      </c>
      <c r="H943" s="1">
        <v>525689</v>
      </c>
      <c r="I943" s="1">
        <v>0</v>
      </c>
      <c r="J943" s="1">
        <v>525689</v>
      </c>
      <c r="K943">
        <f>VLOOKUP(F943,'LEAID Match'!$A$2:$C$2979,3,FALSE)</f>
        <v>2006300</v>
      </c>
    </row>
    <row r="944" spans="1:11" x14ac:dyDescent="0.2">
      <c r="A944">
        <v>2009840</v>
      </c>
      <c r="B944">
        <v>2017</v>
      </c>
      <c r="C944" t="s">
        <v>6</v>
      </c>
      <c r="D944" t="s">
        <v>7</v>
      </c>
      <c r="E944" t="s">
        <v>8</v>
      </c>
      <c r="F944">
        <v>5275</v>
      </c>
      <c r="G944" t="s">
        <v>276</v>
      </c>
      <c r="H944" s="20">
        <v>1222749</v>
      </c>
      <c r="I944" s="1">
        <v>0</v>
      </c>
      <c r="J944" s="1">
        <v>1222749</v>
      </c>
      <c r="K944">
        <f>VLOOKUP(F944,'LEAID Match'!$A$2:$C$2979,3,FALSE)</f>
        <v>2009840</v>
      </c>
    </row>
    <row r="945" spans="1:11" x14ac:dyDescent="0.2">
      <c r="A945">
        <v>2004920</v>
      </c>
      <c r="B945">
        <v>2017</v>
      </c>
      <c r="C945" t="s">
        <v>6</v>
      </c>
      <c r="D945" t="s">
        <v>7</v>
      </c>
      <c r="E945" t="s">
        <v>8</v>
      </c>
      <c r="F945">
        <v>5276</v>
      </c>
      <c r="G945" t="s">
        <v>277</v>
      </c>
      <c r="H945" s="1">
        <v>662553</v>
      </c>
      <c r="I945" s="1">
        <v>0</v>
      </c>
      <c r="J945" s="1">
        <v>662553</v>
      </c>
      <c r="K945">
        <f>VLOOKUP(F945,'LEAID Match'!$A$2:$C$2979,3,FALSE)</f>
        <v>2004920</v>
      </c>
    </row>
    <row r="946" spans="1:11" x14ac:dyDescent="0.2">
      <c r="A946">
        <v>2010950</v>
      </c>
      <c r="B946">
        <v>2017</v>
      </c>
      <c r="C946" t="s">
        <v>6</v>
      </c>
      <c r="D946" t="s">
        <v>7</v>
      </c>
      <c r="E946" t="s">
        <v>8</v>
      </c>
      <c r="F946">
        <v>5278</v>
      </c>
      <c r="G946" s="9" t="s">
        <v>278</v>
      </c>
      <c r="H946" s="1">
        <v>190242</v>
      </c>
      <c r="I946" s="1">
        <v>0</v>
      </c>
      <c r="J946" s="1">
        <v>190242</v>
      </c>
      <c r="K946">
        <f>VLOOKUP(F946,'LEAID Match'!$A$2:$C$2979,3,FALSE)</f>
        <v>2010950</v>
      </c>
    </row>
    <row r="947" spans="1:11" x14ac:dyDescent="0.2">
      <c r="A947">
        <v>2007620</v>
      </c>
      <c r="B947">
        <v>2017</v>
      </c>
      <c r="C947" t="s">
        <v>6</v>
      </c>
      <c r="D947" t="s">
        <v>7</v>
      </c>
      <c r="E947" t="s">
        <v>8</v>
      </c>
      <c r="F947" s="3">
        <v>5280</v>
      </c>
      <c r="G947" s="3" t="s">
        <v>279</v>
      </c>
      <c r="H947" s="22">
        <v>3505298</v>
      </c>
      <c r="I947" s="1">
        <v>0</v>
      </c>
      <c r="J947" s="1">
        <v>3505298</v>
      </c>
      <c r="K947">
        <f>VLOOKUP(F947,'LEAID Match'!$A$2:$C$2979,3,FALSE)</f>
        <v>2007620</v>
      </c>
    </row>
    <row r="948" spans="1:11" x14ac:dyDescent="0.2">
      <c r="A948">
        <v>2011040</v>
      </c>
      <c r="B948">
        <v>2017</v>
      </c>
      <c r="C948" t="s">
        <v>6</v>
      </c>
      <c r="D948" t="s">
        <v>7</v>
      </c>
      <c r="E948" t="s">
        <v>8</v>
      </c>
      <c r="F948" s="3">
        <v>5281</v>
      </c>
      <c r="G948" s="3" t="s">
        <v>280</v>
      </c>
      <c r="H948" s="1">
        <v>148437</v>
      </c>
      <c r="I948" s="21">
        <v>0</v>
      </c>
      <c r="J948" s="21">
        <v>148437</v>
      </c>
      <c r="K948">
        <f>VLOOKUP(F948,'LEAID Match'!$A$2:$C$2979,3,FALSE)</f>
        <v>2011040</v>
      </c>
    </row>
    <row r="949" spans="1:11" x14ac:dyDescent="0.2">
      <c r="A949">
        <v>2010650</v>
      </c>
      <c r="B949">
        <v>2017</v>
      </c>
      <c r="C949" t="s">
        <v>6</v>
      </c>
      <c r="D949" t="s">
        <v>7</v>
      </c>
      <c r="E949" t="s">
        <v>8</v>
      </c>
      <c r="F949" s="3">
        <v>5283</v>
      </c>
      <c r="G949" s="3" t="s">
        <v>281</v>
      </c>
      <c r="H949" s="1">
        <v>355014</v>
      </c>
      <c r="I949" s="1">
        <v>0</v>
      </c>
      <c r="J949" s="1">
        <v>355014</v>
      </c>
      <c r="K949">
        <f>VLOOKUP(F949,'LEAID Match'!$A$2:$C$2979,3,FALSE)</f>
        <v>2010650</v>
      </c>
    </row>
    <row r="950" spans="1:11" x14ac:dyDescent="0.2">
      <c r="A950">
        <v>2009510</v>
      </c>
      <c r="B950">
        <v>2017</v>
      </c>
      <c r="C950" t="s">
        <v>6</v>
      </c>
      <c r="D950" t="s">
        <v>7</v>
      </c>
      <c r="E950" t="s">
        <v>8</v>
      </c>
      <c r="F950">
        <v>5284</v>
      </c>
      <c r="G950" t="s">
        <v>282</v>
      </c>
      <c r="H950" s="1">
        <v>490735</v>
      </c>
      <c r="I950" s="1">
        <v>0</v>
      </c>
      <c r="J950" s="1">
        <v>490735</v>
      </c>
      <c r="K950">
        <f>VLOOKUP(F950,'LEAID Match'!$A$2:$C$2979,3,FALSE)</f>
        <v>2009510</v>
      </c>
    </row>
    <row r="951" spans="1:11" x14ac:dyDescent="0.2">
      <c r="A951">
        <v>2010770</v>
      </c>
      <c r="B951">
        <v>2017</v>
      </c>
      <c r="C951" t="s">
        <v>6</v>
      </c>
      <c r="D951" t="s">
        <v>7</v>
      </c>
      <c r="E951" t="s">
        <v>8</v>
      </c>
      <c r="F951">
        <v>5285</v>
      </c>
      <c r="G951" t="s">
        <v>283</v>
      </c>
      <c r="H951" s="1">
        <v>271697</v>
      </c>
      <c r="I951" s="1">
        <v>0</v>
      </c>
      <c r="J951" s="1">
        <v>271697</v>
      </c>
      <c r="K951">
        <f>VLOOKUP(F951,'LEAID Match'!$A$2:$C$2979,3,FALSE)</f>
        <v>2010770</v>
      </c>
    </row>
    <row r="952" spans="1:11" x14ac:dyDescent="0.2">
      <c r="A952">
        <v>2011910</v>
      </c>
      <c r="B952">
        <v>2017</v>
      </c>
      <c r="C952" t="s">
        <v>6</v>
      </c>
      <c r="D952" t="s">
        <v>7</v>
      </c>
      <c r="E952" t="s">
        <v>8</v>
      </c>
      <c r="F952">
        <v>5286</v>
      </c>
      <c r="G952" t="s">
        <v>284</v>
      </c>
      <c r="H952" s="1">
        <v>234437</v>
      </c>
      <c r="I952" s="1">
        <v>0</v>
      </c>
      <c r="J952" s="1">
        <v>234437</v>
      </c>
      <c r="K952">
        <f>VLOOKUP(F952,'LEAID Match'!$A$2:$C$2979,3,FALSE)</f>
        <v>2011910</v>
      </c>
    </row>
    <row r="953" spans="1:11" x14ac:dyDescent="0.2">
      <c r="A953">
        <v>2003900</v>
      </c>
      <c r="B953">
        <v>2017</v>
      </c>
      <c r="C953" t="s">
        <v>6</v>
      </c>
      <c r="D953" t="s">
        <v>7</v>
      </c>
      <c r="E953" t="s">
        <v>8</v>
      </c>
      <c r="F953">
        <v>5287</v>
      </c>
      <c r="G953" t="s">
        <v>285</v>
      </c>
      <c r="H953" s="20">
        <v>392425</v>
      </c>
      <c r="I953" s="1">
        <v>0</v>
      </c>
      <c r="J953" s="1">
        <v>392425</v>
      </c>
      <c r="K953">
        <f>VLOOKUP(F953,'LEAID Match'!$A$2:$C$2979,3,FALSE)</f>
        <v>2003900</v>
      </c>
    </row>
    <row r="954" spans="1:11" x14ac:dyDescent="0.2">
      <c r="A954">
        <v>2010440</v>
      </c>
      <c r="B954">
        <v>2017</v>
      </c>
      <c r="C954" t="s">
        <v>6</v>
      </c>
      <c r="D954" t="s">
        <v>7</v>
      </c>
      <c r="E954" t="s">
        <v>8</v>
      </c>
      <c r="F954">
        <v>5288</v>
      </c>
      <c r="G954" t="s">
        <v>286</v>
      </c>
      <c r="H954" s="1">
        <v>233377</v>
      </c>
      <c r="I954" s="1">
        <v>0</v>
      </c>
      <c r="J954" s="1">
        <v>233377</v>
      </c>
      <c r="K954">
        <f>VLOOKUP(F954,'LEAID Match'!$A$2:$C$2979,3,FALSE)</f>
        <v>2010440</v>
      </c>
    </row>
    <row r="955" spans="1:11" x14ac:dyDescent="0.2">
      <c r="A955">
        <v>2013110</v>
      </c>
      <c r="B955">
        <v>2017</v>
      </c>
      <c r="C955" t="s">
        <v>6</v>
      </c>
      <c r="D955" t="s">
        <v>7</v>
      </c>
      <c r="E955" t="s">
        <v>8</v>
      </c>
      <c r="F955">
        <v>5289</v>
      </c>
      <c r="G955" s="9" t="s">
        <v>287</v>
      </c>
      <c r="H955" s="1">
        <v>313874</v>
      </c>
      <c r="I955" s="1">
        <v>0</v>
      </c>
      <c r="J955" s="1">
        <v>313874</v>
      </c>
      <c r="K955">
        <f>VLOOKUP(F955,'LEAID Match'!$A$2:$C$2979,3,FALSE)</f>
        <v>2013110</v>
      </c>
    </row>
    <row r="956" spans="1:11" x14ac:dyDescent="0.2">
      <c r="A956">
        <v>2012090</v>
      </c>
      <c r="B956">
        <v>2017</v>
      </c>
      <c r="C956" t="s">
        <v>6</v>
      </c>
      <c r="D956" t="s">
        <v>7</v>
      </c>
      <c r="E956" t="s">
        <v>8</v>
      </c>
      <c r="F956" s="3">
        <v>5291</v>
      </c>
      <c r="G956" s="3" t="s">
        <v>288</v>
      </c>
      <c r="H956" s="22">
        <v>433803</v>
      </c>
      <c r="I956" s="1">
        <v>0</v>
      </c>
      <c r="J956" s="1">
        <v>433803</v>
      </c>
      <c r="K956">
        <f>VLOOKUP(F956,'LEAID Match'!$A$2:$C$2979,3,FALSE)</f>
        <v>2012090</v>
      </c>
    </row>
    <row r="957" spans="1:11" x14ac:dyDescent="0.2">
      <c r="A957">
        <v>2012300</v>
      </c>
      <c r="B957">
        <v>2017</v>
      </c>
      <c r="C957" t="s">
        <v>6</v>
      </c>
      <c r="D957" t="s">
        <v>7</v>
      </c>
      <c r="E957" t="s">
        <v>8</v>
      </c>
      <c r="F957" s="3">
        <v>5292</v>
      </c>
      <c r="G957" s="3" t="s">
        <v>289</v>
      </c>
      <c r="H957" s="1">
        <v>1134310</v>
      </c>
      <c r="I957" s="21">
        <v>0</v>
      </c>
      <c r="J957" s="21">
        <v>1134310</v>
      </c>
      <c r="K957">
        <f>VLOOKUP(F957,'LEAID Match'!$A$2:$C$2979,3,FALSE)</f>
        <v>2012300</v>
      </c>
    </row>
    <row r="958" spans="1:11" x14ac:dyDescent="0.2">
      <c r="A958">
        <v>2005850</v>
      </c>
      <c r="B958">
        <v>2017</v>
      </c>
      <c r="C958" t="s">
        <v>6</v>
      </c>
      <c r="D958" t="s">
        <v>7</v>
      </c>
      <c r="E958" t="s">
        <v>8</v>
      </c>
      <c r="F958" s="3">
        <v>5293</v>
      </c>
      <c r="G958" s="3" t="s">
        <v>290</v>
      </c>
      <c r="H958" s="1">
        <v>266478</v>
      </c>
      <c r="I958" s="1">
        <v>0</v>
      </c>
      <c r="J958" s="1">
        <v>266478</v>
      </c>
      <c r="K958">
        <f>VLOOKUP(F958,'LEAID Match'!$A$2:$C$2979,3,FALSE)</f>
        <v>2005850</v>
      </c>
    </row>
    <row r="959" spans="1:11" x14ac:dyDescent="0.2">
      <c r="A959">
        <v>2011310</v>
      </c>
      <c r="B959">
        <v>2017</v>
      </c>
      <c r="C959" t="s">
        <v>6</v>
      </c>
      <c r="D959" t="s">
        <v>7</v>
      </c>
      <c r="E959" t="s">
        <v>8</v>
      </c>
      <c r="F959">
        <v>5294</v>
      </c>
      <c r="G959" t="s">
        <v>291</v>
      </c>
      <c r="H959" s="1">
        <v>593203</v>
      </c>
      <c r="I959" s="1">
        <v>0</v>
      </c>
      <c r="J959" s="1">
        <v>593203</v>
      </c>
      <c r="K959">
        <f>VLOOKUP(F959,'LEAID Match'!$A$2:$C$2979,3,FALSE)</f>
        <v>2011310</v>
      </c>
    </row>
    <row r="960" spans="1:11" x14ac:dyDescent="0.2">
      <c r="A960">
        <v>2006570</v>
      </c>
      <c r="B960">
        <v>2017</v>
      </c>
      <c r="C960" t="s">
        <v>6</v>
      </c>
      <c r="D960" t="s">
        <v>7</v>
      </c>
      <c r="E960" t="s">
        <v>8</v>
      </c>
      <c r="F960">
        <v>5295</v>
      </c>
      <c r="G960" t="s">
        <v>292</v>
      </c>
      <c r="H960" s="1">
        <v>184912</v>
      </c>
      <c r="I960" s="1">
        <v>0</v>
      </c>
      <c r="J960" s="1">
        <v>184912</v>
      </c>
      <c r="K960">
        <f>VLOOKUP(F960,'LEAID Match'!$A$2:$C$2979,3,FALSE)</f>
        <v>2006570</v>
      </c>
    </row>
    <row r="961" spans="1:11" x14ac:dyDescent="0.2">
      <c r="A961">
        <v>2003180</v>
      </c>
      <c r="B961">
        <v>2017</v>
      </c>
      <c r="C961" t="s">
        <v>6</v>
      </c>
      <c r="D961" t="s">
        <v>7</v>
      </c>
      <c r="E961" t="s">
        <v>8</v>
      </c>
      <c r="F961">
        <v>5296</v>
      </c>
      <c r="G961" t="s">
        <v>293</v>
      </c>
      <c r="H961" s="1">
        <v>946174</v>
      </c>
      <c r="I961" s="1">
        <v>0</v>
      </c>
      <c r="J961" s="1">
        <v>946174</v>
      </c>
      <c r="K961">
        <f>VLOOKUP(F961,'LEAID Match'!$A$2:$C$2979,3,FALSE)</f>
        <v>2003180</v>
      </c>
    </row>
    <row r="962" spans="1:11" x14ac:dyDescent="0.2">
      <c r="A962">
        <v>2009900</v>
      </c>
      <c r="B962">
        <v>2017</v>
      </c>
      <c r="C962" t="s">
        <v>6</v>
      </c>
      <c r="D962" t="s">
        <v>7</v>
      </c>
      <c r="E962" t="s">
        <v>8</v>
      </c>
      <c r="F962">
        <v>5297</v>
      </c>
      <c r="G962" t="s">
        <v>294</v>
      </c>
      <c r="H962" s="20">
        <v>466792</v>
      </c>
      <c r="I962" s="1">
        <v>0</v>
      </c>
      <c r="J962" s="1">
        <v>466792</v>
      </c>
      <c r="K962">
        <f>VLOOKUP(F962,'LEAID Match'!$A$2:$C$2979,3,FALSE)</f>
        <v>2009900</v>
      </c>
    </row>
    <row r="963" spans="1:11" x14ac:dyDescent="0.2">
      <c r="A963">
        <v>2007080</v>
      </c>
      <c r="B963">
        <v>2017</v>
      </c>
      <c r="C963" t="s">
        <v>6</v>
      </c>
      <c r="D963" t="s">
        <v>7</v>
      </c>
      <c r="E963" t="s">
        <v>8</v>
      </c>
      <c r="F963">
        <v>5298</v>
      </c>
      <c r="G963" t="s">
        <v>295</v>
      </c>
      <c r="H963" s="1">
        <v>67323</v>
      </c>
      <c r="I963" s="1">
        <v>0</v>
      </c>
      <c r="J963" s="1">
        <v>67323</v>
      </c>
      <c r="K963">
        <f>VLOOKUP(F963,'LEAID Match'!$A$2:$C$2979,3,FALSE)</f>
        <v>2007080</v>
      </c>
    </row>
    <row r="964" spans="1:11" x14ac:dyDescent="0.2">
      <c r="A964">
        <v>2005520</v>
      </c>
      <c r="B964">
        <v>2017</v>
      </c>
      <c r="C964" t="s">
        <v>6</v>
      </c>
      <c r="D964" t="s">
        <v>7</v>
      </c>
      <c r="E964" t="s">
        <v>8</v>
      </c>
      <c r="F964">
        <v>5299</v>
      </c>
      <c r="G964" s="9" t="s">
        <v>296</v>
      </c>
      <c r="H964" s="1">
        <v>115536</v>
      </c>
      <c r="I964" s="1">
        <v>0</v>
      </c>
      <c r="J964" s="1">
        <v>115536</v>
      </c>
      <c r="K964">
        <f>VLOOKUP(F964,'LEAID Match'!$A$2:$C$2979,3,FALSE)</f>
        <v>2005520</v>
      </c>
    </row>
    <row r="965" spans="1:11" x14ac:dyDescent="0.2">
      <c r="A965">
        <v>2006270</v>
      </c>
      <c r="B965">
        <v>2017</v>
      </c>
      <c r="C965" t="s">
        <v>6</v>
      </c>
      <c r="D965" t="s">
        <v>7</v>
      </c>
      <c r="E965" t="s">
        <v>8</v>
      </c>
      <c r="F965" s="3">
        <v>5300</v>
      </c>
      <c r="G965" s="3" t="s">
        <v>297</v>
      </c>
      <c r="H965" s="22">
        <v>427109</v>
      </c>
      <c r="I965" s="1">
        <v>0</v>
      </c>
      <c r="J965" s="1">
        <v>427109</v>
      </c>
      <c r="K965">
        <f>VLOOKUP(F965,'LEAID Match'!$A$2:$C$2979,3,FALSE)</f>
        <v>2006270</v>
      </c>
    </row>
    <row r="966" spans="1:11" x14ac:dyDescent="0.2">
      <c r="A966">
        <v>2007020</v>
      </c>
      <c r="B966">
        <v>2017</v>
      </c>
      <c r="C966" t="s">
        <v>6</v>
      </c>
      <c r="D966" t="s">
        <v>7</v>
      </c>
      <c r="E966" t="s">
        <v>8</v>
      </c>
      <c r="F966" s="3">
        <v>5302</v>
      </c>
      <c r="G966" s="3" t="s">
        <v>298</v>
      </c>
      <c r="H966" s="1">
        <v>2056201</v>
      </c>
      <c r="I966" s="21">
        <v>0</v>
      </c>
      <c r="J966" s="21">
        <v>2056201</v>
      </c>
      <c r="K966">
        <f>VLOOKUP(F966,'LEAID Match'!$A$2:$C$2979,3,FALSE)</f>
        <v>2007020</v>
      </c>
    </row>
    <row r="967" spans="1:11" x14ac:dyDescent="0.2">
      <c r="A967">
        <v>2005730</v>
      </c>
      <c r="B967">
        <v>2017</v>
      </c>
      <c r="C967" t="s">
        <v>6</v>
      </c>
      <c r="D967" t="s">
        <v>7</v>
      </c>
      <c r="E967" t="s">
        <v>8</v>
      </c>
      <c r="F967" s="3">
        <v>5303</v>
      </c>
      <c r="G967" s="3" t="s">
        <v>345</v>
      </c>
      <c r="H967" s="1">
        <v>1145944</v>
      </c>
      <c r="I967" s="1">
        <v>0</v>
      </c>
      <c r="J967" s="1">
        <v>1145944</v>
      </c>
      <c r="K967">
        <f>VLOOKUP(F967,'LEAID Match'!$A$2:$C$2979,3,FALSE)</f>
        <v>2005730</v>
      </c>
    </row>
    <row r="968" spans="1:11" x14ac:dyDescent="0.2">
      <c r="A968">
        <v>2006090</v>
      </c>
      <c r="B968">
        <v>2017</v>
      </c>
      <c r="C968" t="s">
        <v>6</v>
      </c>
      <c r="D968" t="s">
        <v>7</v>
      </c>
      <c r="E968" t="s">
        <v>8</v>
      </c>
      <c r="F968">
        <v>5304</v>
      </c>
      <c r="G968" t="s">
        <v>300</v>
      </c>
      <c r="H968" s="1">
        <v>938191</v>
      </c>
      <c r="I968" s="1">
        <v>0</v>
      </c>
      <c r="J968" s="1">
        <v>938191</v>
      </c>
      <c r="K968">
        <f>VLOOKUP(F968,'LEAID Match'!$A$2:$C$2979,3,FALSE)</f>
        <v>2006090</v>
      </c>
    </row>
    <row r="969" spans="1:11" x14ac:dyDescent="0.2">
      <c r="A969">
        <v>2011220</v>
      </c>
      <c r="B969">
        <v>2017</v>
      </c>
      <c r="C969" t="s">
        <v>6</v>
      </c>
      <c r="D969" t="s">
        <v>7</v>
      </c>
      <c r="E969" t="s">
        <v>8</v>
      </c>
      <c r="F969">
        <v>5305</v>
      </c>
      <c r="G969" t="s">
        <v>301</v>
      </c>
      <c r="H969" s="1">
        <v>205383</v>
      </c>
      <c r="I969" s="1">
        <v>0</v>
      </c>
      <c r="J969" s="1">
        <v>205383</v>
      </c>
      <c r="K969">
        <f>VLOOKUP(F969,'LEAID Match'!$A$2:$C$2979,3,FALSE)</f>
        <v>2011220</v>
      </c>
    </row>
    <row r="970" spans="1:11" x14ac:dyDescent="0.2">
      <c r="A970">
        <v>2008370</v>
      </c>
      <c r="B970">
        <v>2017</v>
      </c>
      <c r="C970" t="s">
        <v>6</v>
      </c>
      <c r="D970" t="s">
        <v>7</v>
      </c>
      <c r="E970" t="s">
        <v>8</v>
      </c>
      <c r="F970">
        <v>5306</v>
      </c>
      <c r="G970" t="s">
        <v>302</v>
      </c>
      <c r="H970" s="1">
        <v>847180</v>
      </c>
      <c r="I970" s="1">
        <v>0</v>
      </c>
      <c r="J970" s="1">
        <v>847180</v>
      </c>
      <c r="K970">
        <f>VLOOKUP(F970,'LEAID Match'!$A$2:$C$2979,3,FALSE)</f>
        <v>2008370</v>
      </c>
    </row>
    <row r="971" spans="1:11" x14ac:dyDescent="0.2">
      <c r="A971">
        <v>2011280</v>
      </c>
      <c r="B971">
        <v>2017</v>
      </c>
      <c r="C971" t="s">
        <v>6</v>
      </c>
      <c r="D971" t="s">
        <v>7</v>
      </c>
      <c r="E971" t="s">
        <v>8</v>
      </c>
      <c r="F971">
        <v>5307</v>
      </c>
      <c r="G971" t="s">
        <v>303</v>
      </c>
      <c r="H971" s="20">
        <v>122028</v>
      </c>
      <c r="I971" s="1">
        <v>0</v>
      </c>
      <c r="J971" s="1">
        <v>122028</v>
      </c>
      <c r="K971">
        <f>VLOOKUP(F971,'LEAID Match'!$A$2:$C$2979,3,FALSE)</f>
        <v>2011280</v>
      </c>
    </row>
    <row r="972" spans="1:11" x14ac:dyDescent="0.2">
      <c r="A972">
        <v>2008400</v>
      </c>
      <c r="B972">
        <v>2017</v>
      </c>
      <c r="C972" t="s">
        <v>6</v>
      </c>
      <c r="D972" t="s">
        <v>7</v>
      </c>
      <c r="E972" t="s">
        <v>8</v>
      </c>
      <c r="F972">
        <v>5308</v>
      </c>
      <c r="G972" t="s">
        <v>304</v>
      </c>
      <c r="H972" s="1">
        <v>7012565</v>
      </c>
      <c r="I972" s="1">
        <v>0</v>
      </c>
      <c r="J972" s="1">
        <v>7012565</v>
      </c>
      <c r="K972">
        <f>VLOOKUP(F972,'LEAID Match'!$A$2:$C$2979,3,FALSE)</f>
        <v>2008400</v>
      </c>
    </row>
    <row r="973" spans="1:11" x14ac:dyDescent="0.2">
      <c r="A973">
        <v>2006360</v>
      </c>
      <c r="B973">
        <v>2017</v>
      </c>
      <c r="C973" t="s">
        <v>6</v>
      </c>
      <c r="D973" t="s">
        <v>7</v>
      </c>
      <c r="E973" t="s">
        <v>8</v>
      </c>
      <c r="F973">
        <v>5309</v>
      </c>
      <c r="G973" s="9" t="s">
        <v>305</v>
      </c>
      <c r="H973" s="1">
        <v>547604</v>
      </c>
      <c r="I973" s="1">
        <v>0</v>
      </c>
      <c r="J973" s="1">
        <v>547604</v>
      </c>
      <c r="K973">
        <f>VLOOKUP(F973,'LEAID Match'!$A$2:$C$2979,3,FALSE)</f>
        <v>2006360</v>
      </c>
    </row>
    <row r="974" spans="1:11" x14ac:dyDescent="0.2">
      <c r="A974">
        <v>2008700</v>
      </c>
      <c r="B974">
        <v>2017</v>
      </c>
      <c r="C974" t="s">
        <v>6</v>
      </c>
      <c r="D974" t="s">
        <v>7</v>
      </c>
      <c r="E974" t="s">
        <v>8</v>
      </c>
      <c r="F974" s="3">
        <v>5310</v>
      </c>
      <c r="G974" s="3" t="s">
        <v>306</v>
      </c>
      <c r="H974" s="22">
        <v>78001</v>
      </c>
      <c r="I974" s="1">
        <v>0</v>
      </c>
      <c r="J974" s="1">
        <v>78001</v>
      </c>
      <c r="K974">
        <f>VLOOKUP(F974,'LEAID Match'!$A$2:$C$2979,3,FALSE)</f>
        <v>2008700</v>
      </c>
    </row>
    <row r="975" spans="1:11" x14ac:dyDescent="0.2">
      <c r="A975">
        <v>2011490</v>
      </c>
      <c r="B975">
        <v>2017</v>
      </c>
      <c r="C975" t="s">
        <v>6</v>
      </c>
      <c r="D975" t="s">
        <v>7</v>
      </c>
      <c r="E975" t="s">
        <v>8</v>
      </c>
      <c r="F975" s="3">
        <v>5312</v>
      </c>
      <c r="G975" s="3" t="s">
        <v>307</v>
      </c>
      <c r="H975" s="1">
        <v>2727114</v>
      </c>
      <c r="I975" s="21">
        <v>0</v>
      </c>
      <c r="J975" s="21">
        <v>2727114</v>
      </c>
      <c r="K975">
        <f>VLOOKUP(F975,'LEAID Match'!$A$2:$C$2979,3,FALSE)</f>
        <v>2011490</v>
      </c>
    </row>
    <row r="976" spans="1:11" x14ac:dyDescent="0.2">
      <c r="A976">
        <v>2011430</v>
      </c>
      <c r="B976">
        <v>2017</v>
      </c>
      <c r="C976" t="s">
        <v>6</v>
      </c>
      <c r="D976" t="s">
        <v>7</v>
      </c>
      <c r="E976" t="s">
        <v>8</v>
      </c>
      <c r="F976" s="3">
        <v>5313</v>
      </c>
      <c r="G976" s="3" t="s">
        <v>308</v>
      </c>
      <c r="H976" s="1">
        <v>233383</v>
      </c>
      <c r="I976" s="1">
        <v>0</v>
      </c>
      <c r="J976" s="1">
        <v>233383</v>
      </c>
      <c r="K976">
        <f>VLOOKUP(F976,'LEAID Match'!$A$2:$C$2979,3,FALSE)</f>
        <v>2011430</v>
      </c>
    </row>
    <row r="977" spans="1:11" x14ac:dyDescent="0.2">
      <c r="A977">
        <v>2012260</v>
      </c>
      <c r="B977">
        <v>2017</v>
      </c>
      <c r="C977" t="s">
        <v>6</v>
      </c>
      <c r="D977" t="s">
        <v>7</v>
      </c>
      <c r="E977" t="s">
        <v>8</v>
      </c>
      <c r="F977">
        <v>5314</v>
      </c>
      <c r="G977" t="s">
        <v>309</v>
      </c>
      <c r="H977" s="1">
        <v>11052967</v>
      </c>
      <c r="I977" s="1">
        <v>0</v>
      </c>
      <c r="J977" s="1">
        <v>11052967</v>
      </c>
      <c r="K977">
        <f>VLOOKUP(F977,'LEAID Match'!$A$2:$C$2979,3,FALSE)</f>
        <v>2012260</v>
      </c>
    </row>
    <row r="978" spans="1:11" x14ac:dyDescent="0.2">
      <c r="A978">
        <v>0</v>
      </c>
      <c r="B978">
        <v>2017</v>
      </c>
      <c r="C978" t="s">
        <v>6</v>
      </c>
      <c r="D978" t="s">
        <v>7</v>
      </c>
      <c r="E978" t="s">
        <v>8</v>
      </c>
      <c r="F978">
        <v>5316</v>
      </c>
      <c r="G978" t="s">
        <v>310</v>
      </c>
      <c r="H978" s="1">
        <v>276678</v>
      </c>
      <c r="I978" s="1">
        <v>0</v>
      </c>
      <c r="J978" s="1">
        <v>276678</v>
      </c>
      <c r="K978">
        <f>VLOOKUP(F978,'LEAID Match'!$A$2:$C$2979,3,FALSE)</f>
        <v>0</v>
      </c>
    </row>
    <row r="979" spans="1:11" x14ac:dyDescent="0.2">
      <c r="A979">
        <v>0</v>
      </c>
      <c r="B979">
        <v>2017</v>
      </c>
      <c r="C979" t="s">
        <v>6</v>
      </c>
      <c r="D979" t="s">
        <v>7</v>
      </c>
      <c r="E979" t="s">
        <v>8</v>
      </c>
      <c r="F979">
        <v>5317</v>
      </c>
      <c r="G979" t="s">
        <v>311</v>
      </c>
      <c r="H979" s="1">
        <v>367258</v>
      </c>
      <c r="I979" s="1">
        <v>0</v>
      </c>
      <c r="J979" s="1">
        <v>367258</v>
      </c>
      <c r="K979">
        <f>VLOOKUP(F979,'LEAID Match'!$A$2:$C$2979,3,FALSE)</f>
        <v>0</v>
      </c>
    </row>
    <row r="980" spans="1:11" x14ac:dyDescent="0.2">
      <c r="A980">
        <v>2004710</v>
      </c>
      <c r="B980">
        <v>2017</v>
      </c>
      <c r="C980" t="s">
        <v>6</v>
      </c>
      <c r="D980" t="s">
        <v>7</v>
      </c>
      <c r="E980" t="s">
        <v>8</v>
      </c>
      <c r="F980">
        <v>5318</v>
      </c>
      <c r="G980" t="s">
        <v>312</v>
      </c>
      <c r="H980" s="20">
        <v>453117</v>
      </c>
      <c r="I980" s="1">
        <v>0</v>
      </c>
      <c r="J980" s="1">
        <v>453117</v>
      </c>
      <c r="K980">
        <f>VLOOKUP(F980,'LEAID Match'!$A$2:$C$2979,3,FALSE)</f>
        <v>2004710</v>
      </c>
    </row>
    <row r="981" spans="1:11" x14ac:dyDescent="0.2">
      <c r="A981">
        <v>2006480</v>
      </c>
      <c r="B981">
        <v>2017</v>
      </c>
      <c r="C981" t="s">
        <v>6</v>
      </c>
      <c r="D981" t="s">
        <v>7</v>
      </c>
      <c r="E981" t="s">
        <v>8</v>
      </c>
      <c r="F981">
        <v>5319</v>
      </c>
      <c r="G981" t="s">
        <v>313</v>
      </c>
      <c r="H981" s="1">
        <v>633739</v>
      </c>
      <c r="I981" s="1">
        <v>0</v>
      </c>
      <c r="J981" s="1">
        <v>633739</v>
      </c>
      <c r="K981">
        <f>VLOOKUP(F981,'LEAID Match'!$A$2:$C$2979,3,FALSE)</f>
        <v>2006480</v>
      </c>
    </row>
    <row r="982" spans="1:11" x14ac:dyDescent="0.2">
      <c r="A982">
        <v>2005310</v>
      </c>
      <c r="B982">
        <v>2017</v>
      </c>
      <c r="C982" t="s">
        <v>6</v>
      </c>
      <c r="D982" t="s">
        <v>7</v>
      </c>
      <c r="E982" t="s">
        <v>8</v>
      </c>
      <c r="F982">
        <v>5320</v>
      </c>
      <c r="G982" s="9" t="s">
        <v>314</v>
      </c>
      <c r="H982" s="1">
        <v>176888</v>
      </c>
      <c r="I982" s="1">
        <v>0</v>
      </c>
      <c r="J982" s="1">
        <v>176888</v>
      </c>
      <c r="K982">
        <f>VLOOKUP(F982,'LEAID Match'!$A$2:$C$2979,3,FALSE)</f>
        <v>2005310</v>
      </c>
    </row>
    <row r="983" spans="1:11" x14ac:dyDescent="0.2">
      <c r="A983">
        <v>2012780</v>
      </c>
      <c r="B983">
        <v>2017</v>
      </c>
      <c r="C983" t="s">
        <v>6</v>
      </c>
      <c r="D983" t="s">
        <v>7</v>
      </c>
      <c r="E983" t="s">
        <v>8</v>
      </c>
      <c r="F983" s="3">
        <v>5321</v>
      </c>
      <c r="G983" s="3" t="s">
        <v>315</v>
      </c>
      <c r="H983" s="22">
        <v>323988</v>
      </c>
      <c r="I983" s="1">
        <v>0</v>
      </c>
      <c r="J983" s="1">
        <v>323988</v>
      </c>
      <c r="K983">
        <f>VLOOKUP(F983,'LEAID Match'!$A$2:$C$2979,3,FALSE)</f>
        <v>2012780</v>
      </c>
    </row>
    <row r="984" spans="1:11" x14ac:dyDescent="0.2">
      <c r="A984">
        <v>2010350</v>
      </c>
      <c r="B984">
        <v>2017</v>
      </c>
      <c r="C984" t="s">
        <v>6</v>
      </c>
      <c r="D984" t="s">
        <v>7</v>
      </c>
      <c r="E984" t="s">
        <v>8</v>
      </c>
      <c r="F984" s="3">
        <v>5322</v>
      </c>
      <c r="G984" s="3" t="s">
        <v>316</v>
      </c>
      <c r="H984" s="1">
        <v>347319</v>
      </c>
      <c r="I984" s="21">
        <v>0</v>
      </c>
      <c r="J984" s="21">
        <v>347319</v>
      </c>
      <c r="K984">
        <f>VLOOKUP(F984,'LEAID Match'!$A$2:$C$2979,3,FALSE)</f>
        <v>2010350</v>
      </c>
    </row>
    <row r="985" spans="1:11" x14ac:dyDescent="0.2">
      <c r="A985">
        <v>2007950</v>
      </c>
      <c r="B985">
        <v>2017</v>
      </c>
      <c r="C985" t="s">
        <v>6</v>
      </c>
      <c r="D985" t="s">
        <v>7</v>
      </c>
      <c r="E985" t="s">
        <v>8</v>
      </c>
      <c r="F985" s="3">
        <v>5324</v>
      </c>
      <c r="G985" s="3" t="s">
        <v>317</v>
      </c>
      <c r="H985" s="1">
        <v>20218416</v>
      </c>
      <c r="I985" s="1">
        <v>0</v>
      </c>
      <c r="J985" s="1">
        <v>20218416</v>
      </c>
      <c r="K985">
        <f>VLOOKUP(F985,'LEAID Match'!$A$2:$C$2979,3,FALSE)</f>
        <v>2007950</v>
      </c>
    </row>
    <row r="986" spans="1:11" x14ac:dyDescent="0.2">
      <c r="A986">
        <v>2008670</v>
      </c>
      <c r="B986">
        <v>2017</v>
      </c>
      <c r="C986" t="s">
        <v>6</v>
      </c>
      <c r="D986" t="s">
        <v>7</v>
      </c>
      <c r="E986" t="s">
        <v>8</v>
      </c>
      <c r="F986">
        <v>5329</v>
      </c>
      <c r="G986" t="s">
        <v>318</v>
      </c>
      <c r="H986" s="1">
        <v>143428</v>
      </c>
      <c r="I986" s="1">
        <v>0</v>
      </c>
      <c r="J986" s="1">
        <v>143428</v>
      </c>
      <c r="K986">
        <f>VLOOKUP(F986,'LEAID Match'!$A$2:$C$2979,3,FALSE)</f>
        <v>2008670</v>
      </c>
    </row>
    <row r="987" spans="1:11" x14ac:dyDescent="0.2">
      <c r="A987">
        <v>2005070</v>
      </c>
      <c r="B987">
        <v>2017</v>
      </c>
      <c r="C987" t="s">
        <v>6</v>
      </c>
      <c r="D987" t="s">
        <v>7</v>
      </c>
      <c r="E987" t="s">
        <v>8</v>
      </c>
      <c r="F987">
        <v>5330</v>
      </c>
      <c r="G987" t="s">
        <v>319</v>
      </c>
      <c r="H987" s="1">
        <v>807724</v>
      </c>
      <c r="I987" s="1">
        <v>0</v>
      </c>
      <c r="J987" s="1">
        <v>807724</v>
      </c>
      <c r="K987">
        <f>VLOOKUP(F987,'LEAID Match'!$A$2:$C$2979,3,FALSE)</f>
        <v>2005070</v>
      </c>
    </row>
    <row r="988" spans="1:11" x14ac:dyDescent="0.2">
      <c r="A988">
        <v>2010560</v>
      </c>
      <c r="B988">
        <v>2017</v>
      </c>
      <c r="C988" t="s">
        <v>6</v>
      </c>
      <c r="D988" t="s">
        <v>7</v>
      </c>
      <c r="E988" t="s">
        <v>8</v>
      </c>
      <c r="F988">
        <v>5331</v>
      </c>
      <c r="G988" t="s">
        <v>320</v>
      </c>
      <c r="H988" s="1">
        <v>823027</v>
      </c>
      <c r="I988" s="1">
        <v>0</v>
      </c>
      <c r="J988" s="1">
        <v>823027</v>
      </c>
      <c r="K988">
        <f>VLOOKUP(F988,'LEAID Match'!$A$2:$C$2979,3,FALSE)</f>
        <v>2010560</v>
      </c>
    </row>
    <row r="989" spans="1:11" x14ac:dyDescent="0.2">
      <c r="A989">
        <v>2003300</v>
      </c>
      <c r="B989">
        <v>2017</v>
      </c>
      <c r="C989" t="s">
        <v>6</v>
      </c>
      <c r="D989" t="s">
        <v>7</v>
      </c>
      <c r="E989" t="s">
        <v>8</v>
      </c>
      <c r="F989">
        <v>5332</v>
      </c>
      <c r="G989" t="s">
        <v>321</v>
      </c>
      <c r="H989" s="20">
        <v>920473</v>
      </c>
      <c r="I989" s="1">
        <v>0</v>
      </c>
      <c r="J989" s="1">
        <v>920473</v>
      </c>
      <c r="K989">
        <f>VLOOKUP(F989,'LEAID Match'!$A$2:$C$2979,3,FALSE)</f>
        <v>2003300</v>
      </c>
    </row>
    <row r="990" spans="1:11" x14ac:dyDescent="0.2">
      <c r="A990">
        <v>2004770</v>
      </c>
      <c r="B990">
        <v>2017</v>
      </c>
      <c r="C990" t="s">
        <v>6</v>
      </c>
      <c r="D990" t="s">
        <v>7</v>
      </c>
      <c r="E990" t="s">
        <v>8</v>
      </c>
      <c r="F990">
        <v>5333</v>
      </c>
      <c r="G990" t="s">
        <v>322</v>
      </c>
      <c r="H990" s="1">
        <v>311697</v>
      </c>
      <c r="I990" s="1">
        <v>0</v>
      </c>
      <c r="J990" s="1">
        <v>311697</v>
      </c>
      <c r="K990">
        <f>VLOOKUP(F990,'LEAID Match'!$A$2:$C$2979,3,FALSE)</f>
        <v>2004770</v>
      </c>
    </row>
    <row r="991" spans="1:11" x14ac:dyDescent="0.2">
      <c r="A991">
        <v>2006330</v>
      </c>
      <c r="B991">
        <v>2017</v>
      </c>
      <c r="C991" t="s">
        <v>6</v>
      </c>
      <c r="D991" t="s">
        <v>7</v>
      </c>
      <c r="E991" t="s">
        <v>8</v>
      </c>
      <c r="F991">
        <v>5337</v>
      </c>
      <c r="G991" s="9" t="s">
        <v>323</v>
      </c>
      <c r="H991" s="1">
        <v>1248509</v>
      </c>
      <c r="I991" s="1">
        <v>0</v>
      </c>
      <c r="J991" s="1">
        <v>1248509</v>
      </c>
      <c r="K991">
        <f>VLOOKUP(F991,'LEAID Match'!$A$2:$C$2979,3,FALSE)</f>
        <v>2006330</v>
      </c>
    </row>
    <row r="992" spans="1:11" x14ac:dyDescent="0.2">
      <c r="A992">
        <v>2003810</v>
      </c>
      <c r="B992">
        <v>2017</v>
      </c>
      <c r="C992" t="s">
        <v>6</v>
      </c>
      <c r="D992" t="s">
        <v>7</v>
      </c>
      <c r="E992" t="s">
        <v>8</v>
      </c>
      <c r="F992" s="3">
        <v>5366</v>
      </c>
      <c r="G992" s="3" t="s">
        <v>324</v>
      </c>
      <c r="H992" s="22">
        <v>628837</v>
      </c>
      <c r="I992" s="1">
        <v>0</v>
      </c>
      <c r="J992" s="1">
        <v>628837</v>
      </c>
      <c r="K992">
        <f>VLOOKUP(F992,'LEAID Match'!$A$2:$C$2979,3,FALSE)</f>
        <v>2003810</v>
      </c>
    </row>
    <row r="993" spans="1:11" x14ac:dyDescent="0.2">
      <c r="A993">
        <v>2011400</v>
      </c>
      <c r="B993">
        <v>2017</v>
      </c>
      <c r="C993" t="s">
        <v>6</v>
      </c>
      <c r="D993" t="s">
        <v>7</v>
      </c>
      <c r="E993" t="s">
        <v>8</v>
      </c>
      <c r="F993" s="3">
        <v>5367</v>
      </c>
      <c r="G993" s="3" t="s">
        <v>325</v>
      </c>
      <c r="H993" s="1">
        <v>263614</v>
      </c>
      <c r="I993" s="21">
        <v>0</v>
      </c>
      <c r="J993" s="21">
        <v>263614</v>
      </c>
      <c r="K993">
        <f>VLOOKUP(F993,'LEAID Match'!$A$2:$C$2979,3,FALSE)</f>
        <v>2011400</v>
      </c>
    </row>
    <row r="994" spans="1:11" x14ac:dyDescent="0.2">
      <c r="A994">
        <v>0</v>
      </c>
      <c r="B994">
        <v>2017</v>
      </c>
      <c r="C994" t="s">
        <v>6</v>
      </c>
      <c r="D994" t="s">
        <v>7</v>
      </c>
      <c r="E994" t="s">
        <v>8</v>
      </c>
      <c r="F994" s="3">
        <v>5368</v>
      </c>
      <c r="G994" s="3" t="s">
        <v>326</v>
      </c>
      <c r="H994" s="1">
        <v>375747</v>
      </c>
      <c r="I994" s="1">
        <v>0</v>
      </c>
      <c r="J994" s="1">
        <v>375747</v>
      </c>
      <c r="K994">
        <f>VLOOKUP(F994,'LEAID Match'!$A$2:$C$2979,3,FALSE)</f>
        <v>0</v>
      </c>
    </row>
    <row r="995" spans="1:11" x14ac:dyDescent="0.2">
      <c r="A995">
        <v>2003570</v>
      </c>
      <c r="B995">
        <v>2017</v>
      </c>
      <c r="C995" t="s">
        <v>6</v>
      </c>
      <c r="D995" t="s">
        <v>7</v>
      </c>
      <c r="E995" t="s">
        <v>8</v>
      </c>
      <c r="F995">
        <v>5405</v>
      </c>
      <c r="G995" t="s">
        <v>327</v>
      </c>
      <c r="H995" s="1">
        <v>137053</v>
      </c>
      <c r="I995" s="1">
        <v>0</v>
      </c>
      <c r="J995" s="1">
        <v>137053</v>
      </c>
      <c r="K995">
        <f>VLOOKUP(F995,'LEAID Match'!$A$2:$C$2979,3,FALSE)</f>
        <v>2003570</v>
      </c>
    </row>
    <row r="996" spans="1:11" x14ac:dyDescent="0.2">
      <c r="A996">
        <v>2006690</v>
      </c>
      <c r="B996">
        <v>2017</v>
      </c>
      <c r="C996" t="s">
        <v>6</v>
      </c>
      <c r="D996" t="s">
        <v>7</v>
      </c>
      <c r="E996" t="s">
        <v>8</v>
      </c>
      <c r="F996">
        <v>5409</v>
      </c>
      <c r="G996" t="s">
        <v>328</v>
      </c>
      <c r="H996" s="1">
        <v>183536</v>
      </c>
      <c r="I996" s="1">
        <v>0</v>
      </c>
      <c r="J996" s="1">
        <v>183536</v>
      </c>
      <c r="K996">
        <f>VLOOKUP(F996,'LEAID Match'!$A$2:$C$2979,3,FALSE)</f>
        <v>2006690</v>
      </c>
    </row>
    <row r="997" spans="1:11" x14ac:dyDescent="0.2">
      <c r="A997">
        <v>2011790</v>
      </c>
      <c r="B997">
        <v>2017</v>
      </c>
      <c r="C997" t="s">
        <v>6</v>
      </c>
      <c r="D997" t="s">
        <v>7</v>
      </c>
      <c r="E997" t="s">
        <v>8</v>
      </c>
      <c r="F997">
        <v>5410</v>
      </c>
      <c r="G997" t="s">
        <v>329</v>
      </c>
      <c r="H997" s="1">
        <v>137457</v>
      </c>
      <c r="I997" s="1">
        <v>0</v>
      </c>
      <c r="J997" s="1">
        <v>137457</v>
      </c>
      <c r="K997">
        <f>VLOOKUP(F997,'LEAID Match'!$A$2:$C$2979,3,FALSE)</f>
        <v>2011790</v>
      </c>
    </row>
    <row r="998" spans="1:11" x14ac:dyDescent="0.2">
      <c r="A998">
        <v>2011640</v>
      </c>
      <c r="B998">
        <v>2017</v>
      </c>
      <c r="C998" t="s">
        <v>6</v>
      </c>
      <c r="D998" t="s">
        <v>7</v>
      </c>
      <c r="E998" t="s">
        <v>8</v>
      </c>
      <c r="F998">
        <v>5430</v>
      </c>
      <c r="G998" t="s">
        <v>330</v>
      </c>
      <c r="H998" s="20">
        <v>18461587</v>
      </c>
      <c r="I998" s="1">
        <v>0</v>
      </c>
      <c r="J998" s="1">
        <v>18461587</v>
      </c>
      <c r="K998">
        <f>VLOOKUP(F998,'LEAID Match'!$A$2:$C$2979,3,FALSE)</f>
        <v>2011640</v>
      </c>
    </row>
    <row r="999" spans="1:11" x14ac:dyDescent="0.2">
      <c r="A999">
        <v>2004800</v>
      </c>
      <c r="B999">
        <v>2017</v>
      </c>
      <c r="C999" t="s">
        <v>6</v>
      </c>
      <c r="D999" t="s">
        <v>7</v>
      </c>
      <c r="E999" t="s">
        <v>8</v>
      </c>
      <c r="F999">
        <v>5436</v>
      </c>
      <c r="G999" t="s">
        <v>331</v>
      </c>
      <c r="H999" s="1">
        <v>399970</v>
      </c>
      <c r="I999" s="1">
        <v>0</v>
      </c>
      <c r="J999" s="1">
        <v>399970</v>
      </c>
      <c r="K999">
        <f>VLOOKUP(F999,'LEAID Match'!$A$2:$C$2979,3,FALSE)</f>
        <v>2004800</v>
      </c>
    </row>
    <row r="1000" spans="1:11" x14ac:dyDescent="0.2">
      <c r="A1000">
        <v>2004790</v>
      </c>
      <c r="B1000">
        <v>2017</v>
      </c>
      <c r="C1000" t="s">
        <v>6</v>
      </c>
      <c r="D1000" t="s">
        <v>7</v>
      </c>
      <c r="E1000" t="s">
        <v>8</v>
      </c>
      <c r="F1000">
        <v>5590</v>
      </c>
      <c r="G1000" s="9" t="s">
        <v>332</v>
      </c>
      <c r="H1000" s="1">
        <v>109304</v>
      </c>
      <c r="I1000" s="1">
        <v>0</v>
      </c>
      <c r="J1000" s="1">
        <v>109304</v>
      </c>
      <c r="K1000">
        <f>VLOOKUP(F1000,'LEAID Match'!$A$2:$C$2979,3,FALSE)</f>
        <v>2004790</v>
      </c>
    </row>
    <row r="1001" spans="1:11" x14ac:dyDescent="0.2">
      <c r="A1001">
        <v>0</v>
      </c>
      <c r="B1001">
        <v>2017</v>
      </c>
      <c r="C1001" t="s">
        <v>6</v>
      </c>
      <c r="D1001" t="s">
        <v>7</v>
      </c>
      <c r="E1001" t="s">
        <v>8</v>
      </c>
      <c r="F1001" s="3">
        <v>5696</v>
      </c>
      <c r="G1001" s="3" t="s">
        <v>333</v>
      </c>
      <c r="H1001" s="22">
        <v>180801</v>
      </c>
      <c r="I1001" s="1">
        <v>0</v>
      </c>
      <c r="J1001" s="1">
        <v>180801</v>
      </c>
      <c r="K1001">
        <f>VLOOKUP(F1001,'LEAID Match'!$A$2:$C$2979,3,FALSE)</f>
        <v>0</v>
      </c>
    </row>
    <row r="1002" spans="1:11" x14ac:dyDescent="0.2">
      <c r="A1002">
        <v>2000023</v>
      </c>
      <c r="B1002">
        <v>2017</v>
      </c>
      <c r="C1002" t="s">
        <v>6</v>
      </c>
      <c r="D1002" t="s">
        <v>7</v>
      </c>
      <c r="E1002" t="s">
        <v>8</v>
      </c>
      <c r="F1002" s="3">
        <v>9291</v>
      </c>
      <c r="G1002" s="3" t="s">
        <v>334</v>
      </c>
      <c r="H1002" s="1">
        <v>219313</v>
      </c>
      <c r="I1002" s="21">
        <v>0</v>
      </c>
      <c r="J1002" s="21">
        <v>219313</v>
      </c>
      <c r="K1002">
        <f>VLOOKUP(F1002,'LEAID Match'!$A$2:$C$2979,3,FALSE)</f>
        <v>2000023</v>
      </c>
    </row>
    <row r="1003" spans="1:11" x14ac:dyDescent="0.2">
      <c r="A1003">
        <v>2000020</v>
      </c>
      <c r="B1003">
        <v>2017</v>
      </c>
      <c r="C1003" t="s">
        <v>6</v>
      </c>
      <c r="D1003" t="s">
        <v>7</v>
      </c>
      <c r="E1003" t="s">
        <v>8</v>
      </c>
      <c r="F1003" s="3">
        <v>9302</v>
      </c>
      <c r="G1003" s="3" t="s">
        <v>335</v>
      </c>
      <c r="H1003" s="1">
        <v>134841</v>
      </c>
      <c r="I1003" s="1">
        <v>0</v>
      </c>
      <c r="J1003" s="1">
        <v>134841</v>
      </c>
      <c r="K1003">
        <f>VLOOKUP(F1003,'LEAID Match'!$A$2:$C$2979,3,FALSE)</f>
        <v>2000020</v>
      </c>
    </row>
    <row r="1004" spans="1:11" x14ac:dyDescent="0.2">
      <c r="A1004">
        <v>2000029</v>
      </c>
      <c r="B1004">
        <v>2017</v>
      </c>
      <c r="C1004" t="s">
        <v>6</v>
      </c>
      <c r="D1004" t="s">
        <v>7</v>
      </c>
      <c r="E1004" t="s">
        <v>8</v>
      </c>
      <c r="F1004">
        <v>9332</v>
      </c>
      <c r="G1004" t="s">
        <v>336</v>
      </c>
      <c r="H1004" s="1">
        <v>207503</v>
      </c>
      <c r="I1004" s="1">
        <v>0</v>
      </c>
      <c r="J1004" s="1">
        <v>207503</v>
      </c>
      <c r="K1004">
        <f>VLOOKUP(F1004,'LEAID Match'!$A$2:$C$2979,3,FALSE)</f>
        <v>2000029</v>
      </c>
    </row>
    <row r="1005" spans="1:11" x14ac:dyDescent="0.2">
      <c r="A1005">
        <v>2000028</v>
      </c>
      <c r="B1005">
        <v>2017</v>
      </c>
      <c r="C1005" t="s">
        <v>6</v>
      </c>
      <c r="D1005" t="s">
        <v>7</v>
      </c>
      <c r="E1005" t="s">
        <v>8</v>
      </c>
      <c r="F1005">
        <v>9333</v>
      </c>
      <c r="G1005" t="s">
        <v>337</v>
      </c>
      <c r="H1005" s="1">
        <v>224452</v>
      </c>
      <c r="I1005" s="1">
        <v>0</v>
      </c>
      <c r="J1005" s="1">
        <v>224452</v>
      </c>
      <c r="K1005">
        <f>VLOOKUP(F1005,'LEAID Match'!$A$2:$C$2979,3,FALSE)</f>
        <v>2000028</v>
      </c>
    </row>
    <row r="1006" spans="1:11" x14ac:dyDescent="0.2">
      <c r="A1006">
        <v>2000030</v>
      </c>
      <c r="B1006">
        <v>2017</v>
      </c>
      <c r="C1006" t="s">
        <v>6</v>
      </c>
      <c r="D1006" t="s">
        <v>7</v>
      </c>
      <c r="E1006" t="s">
        <v>8</v>
      </c>
      <c r="F1006">
        <v>9335</v>
      </c>
      <c r="G1006" t="s">
        <v>338</v>
      </c>
      <c r="H1006" s="1">
        <v>301267</v>
      </c>
      <c r="I1006" s="1">
        <v>0</v>
      </c>
      <c r="J1006" s="1">
        <v>301267</v>
      </c>
      <c r="K1006">
        <f>VLOOKUP(F1006,'LEAID Match'!$A$2:$C$2979,3,FALSE)</f>
        <v>2000030</v>
      </c>
    </row>
    <row r="1007" spans="1:11" x14ac:dyDescent="0.2">
      <c r="A1007">
        <v>2000346</v>
      </c>
      <c r="B1007">
        <v>2017</v>
      </c>
      <c r="C1007" t="s">
        <v>6</v>
      </c>
      <c r="D1007" t="s">
        <v>7</v>
      </c>
      <c r="E1007" t="s">
        <v>8</v>
      </c>
      <c r="F1007">
        <v>9389</v>
      </c>
      <c r="G1007" t="s">
        <v>339</v>
      </c>
      <c r="H1007" s="20">
        <v>194366</v>
      </c>
      <c r="I1007" s="1">
        <v>0</v>
      </c>
      <c r="J1007" s="1">
        <v>194366</v>
      </c>
      <c r="K1007">
        <f>VLOOKUP(F1007,'LEAID Match'!$A$2:$C$2979,3,FALSE)</f>
        <v>2000346</v>
      </c>
    </row>
    <row r="1008" spans="1:11" x14ac:dyDescent="0.2">
      <c r="A1008">
        <v>2000348</v>
      </c>
      <c r="B1008">
        <v>2017</v>
      </c>
      <c r="C1008" t="s">
        <v>6</v>
      </c>
      <c r="D1008" t="s">
        <v>7</v>
      </c>
      <c r="E1008" t="s">
        <v>8</v>
      </c>
      <c r="F1008">
        <v>9410</v>
      </c>
      <c r="G1008" t="s">
        <v>340</v>
      </c>
      <c r="H1008" s="1">
        <v>252450</v>
      </c>
      <c r="I1008" s="1">
        <v>0</v>
      </c>
      <c r="J1008" s="1">
        <v>252450</v>
      </c>
      <c r="K1008">
        <f>VLOOKUP(F1008,'LEAID Match'!$A$2:$C$2979,3,FALSE)</f>
        <v>2000348</v>
      </c>
    </row>
    <row r="1009" spans="1:11" x14ac:dyDescent="0.2">
      <c r="A1009">
        <v>2000351</v>
      </c>
      <c r="B1009">
        <v>2017</v>
      </c>
      <c r="C1009" t="s">
        <v>6</v>
      </c>
      <c r="D1009" t="s">
        <v>7</v>
      </c>
      <c r="E1009" t="s">
        <v>8</v>
      </c>
      <c r="F1009">
        <v>9444</v>
      </c>
      <c r="G1009" s="9" t="s">
        <v>341</v>
      </c>
      <c r="H1009" s="1">
        <v>451374</v>
      </c>
      <c r="I1009" s="1">
        <v>0</v>
      </c>
      <c r="J1009" s="1">
        <v>451374</v>
      </c>
      <c r="K1009">
        <f>VLOOKUP(F1009,'LEAID Match'!$A$2:$C$2979,3,FALSE)</f>
        <v>2000351</v>
      </c>
    </row>
    <row r="1010" spans="1:11" x14ac:dyDescent="0.2">
      <c r="A1010">
        <v>2000349</v>
      </c>
      <c r="B1010">
        <v>2017</v>
      </c>
      <c r="C1010" t="s">
        <v>6</v>
      </c>
      <c r="D1010" t="s">
        <v>7</v>
      </c>
      <c r="E1010" t="s">
        <v>8</v>
      </c>
      <c r="F1010" s="3">
        <v>9445</v>
      </c>
      <c r="G1010" s="3" t="s">
        <v>342</v>
      </c>
      <c r="H1010" s="22">
        <v>456026</v>
      </c>
      <c r="I1010" s="1">
        <v>0</v>
      </c>
      <c r="J1010" s="1">
        <v>456026</v>
      </c>
      <c r="K1010">
        <f>VLOOKUP(F1010,'LEAID Match'!$A$2:$C$2979,3,FALSE)</f>
        <v>2000349</v>
      </c>
    </row>
    <row r="1011" spans="1:11" x14ac:dyDescent="0.2">
      <c r="A1011">
        <v>2000350</v>
      </c>
      <c r="B1011">
        <v>2017</v>
      </c>
      <c r="C1011" t="s">
        <v>6</v>
      </c>
      <c r="D1011" t="s">
        <v>7</v>
      </c>
      <c r="E1011" t="s">
        <v>8</v>
      </c>
      <c r="F1011" s="3">
        <v>9446</v>
      </c>
      <c r="G1011" s="3" t="s">
        <v>343</v>
      </c>
      <c r="H1011" s="1">
        <v>698345</v>
      </c>
      <c r="I1011" s="21">
        <v>0</v>
      </c>
      <c r="J1011" s="21">
        <v>698345</v>
      </c>
      <c r="K1011">
        <f>VLOOKUP(F1011,'LEAID Match'!$A$2:$C$2979,3,FALSE)</f>
        <v>2000350</v>
      </c>
    </row>
    <row r="1012" spans="1:11" x14ac:dyDescent="0.2">
      <c r="A1012">
        <v>2000353</v>
      </c>
      <c r="B1012">
        <v>2017</v>
      </c>
      <c r="C1012" t="s">
        <v>6</v>
      </c>
      <c r="D1012" t="s">
        <v>7</v>
      </c>
      <c r="E1012" t="s">
        <v>8</v>
      </c>
      <c r="F1012" s="3">
        <v>9461</v>
      </c>
      <c r="G1012" s="3" t="s">
        <v>344</v>
      </c>
      <c r="H1012" s="1">
        <v>473607</v>
      </c>
      <c r="I1012" s="1">
        <v>0</v>
      </c>
      <c r="J1012" s="1">
        <v>473607</v>
      </c>
      <c r="K1012">
        <f>VLOOKUP(F1012,'LEAID Match'!$A$2:$C$2979,3,FALSE)</f>
        <v>2000353</v>
      </c>
    </row>
    <row r="1013" spans="1:11" x14ac:dyDescent="0.2">
      <c r="A1013">
        <v>0</v>
      </c>
      <c r="B1013">
        <v>2018</v>
      </c>
      <c r="C1013" t="s">
        <v>6</v>
      </c>
      <c r="D1013" t="s">
        <v>7</v>
      </c>
      <c r="E1013" t="s">
        <v>8</v>
      </c>
      <c r="F1013">
        <v>4930</v>
      </c>
      <c r="G1013" t="s">
        <v>9</v>
      </c>
      <c r="H1013" s="1">
        <v>15500</v>
      </c>
      <c r="I1013" s="1">
        <v>492063.03842449968</v>
      </c>
      <c r="J1013" s="1">
        <v>507563.03842449968</v>
      </c>
      <c r="K1013">
        <f>VLOOKUP(F1013,'LEAID Match'!$A$2:$C$2979,3,FALSE)</f>
        <v>0</v>
      </c>
    </row>
    <row r="1014" spans="1:11" x14ac:dyDescent="0.2">
      <c r="A1014">
        <v>0</v>
      </c>
      <c r="B1014">
        <v>2018</v>
      </c>
      <c r="C1014" t="s">
        <v>6</v>
      </c>
      <c r="D1014" t="s">
        <v>7</v>
      </c>
      <c r="E1014" t="s">
        <v>8</v>
      </c>
      <c r="F1014">
        <v>4931</v>
      </c>
      <c r="G1014" t="s">
        <v>10</v>
      </c>
      <c r="H1014" s="1"/>
      <c r="I1014" s="1">
        <v>388679.97044444102</v>
      </c>
      <c r="J1014" s="1">
        <v>388679.97044444102</v>
      </c>
      <c r="K1014">
        <f>VLOOKUP(F1014,'LEAID Match'!$A$2:$C$2979,3,FALSE)</f>
        <v>0</v>
      </c>
    </row>
    <row r="1015" spans="1:11" x14ac:dyDescent="0.2">
      <c r="A1015">
        <v>0</v>
      </c>
      <c r="B1015">
        <v>2018</v>
      </c>
      <c r="C1015" t="s">
        <v>6</v>
      </c>
      <c r="D1015" t="s">
        <v>7</v>
      </c>
      <c r="E1015" t="s">
        <v>8</v>
      </c>
      <c r="F1015">
        <v>5045</v>
      </c>
      <c r="G1015" t="s">
        <v>11</v>
      </c>
      <c r="H1015" s="1">
        <v>3372</v>
      </c>
      <c r="I1015" s="1">
        <v>608663.43028657825</v>
      </c>
      <c r="J1015" s="1">
        <v>612035.43028657825</v>
      </c>
      <c r="K1015">
        <f>VLOOKUP(F1015,'LEAID Match'!$A$2:$C$2979,3,FALSE)</f>
        <v>0</v>
      </c>
    </row>
    <row r="1016" spans="1:11" x14ac:dyDescent="0.2">
      <c r="A1016">
        <v>0</v>
      </c>
      <c r="B1016">
        <v>2018</v>
      </c>
      <c r="C1016" t="s">
        <v>6</v>
      </c>
      <c r="D1016" t="s">
        <v>7</v>
      </c>
      <c r="E1016" t="s">
        <v>8</v>
      </c>
      <c r="F1016">
        <v>5046</v>
      </c>
      <c r="G1016" t="s">
        <v>12</v>
      </c>
      <c r="H1016" s="20"/>
      <c r="I1016" s="1">
        <v>820961.77947013301</v>
      </c>
      <c r="J1016" s="1">
        <v>820961.77947013301</v>
      </c>
      <c r="K1016">
        <f>VLOOKUP(F1016,'LEAID Match'!$A$2:$C$2979,3,FALSE)</f>
        <v>0</v>
      </c>
    </row>
    <row r="1017" spans="1:11" x14ac:dyDescent="0.2">
      <c r="A1017">
        <v>0</v>
      </c>
      <c r="B1017">
        <v>2018</v>
      </c>
      <c r="C1017" t="s">
        <v>6</v>
      </c>
      <c r="D1017" t="s">
        <v>7</v>
      </c>
      <c r="E1017" t="s">
        <v>8</v>
      </c>
      <c r="F1017">
        <v>5047</v>
      </c>
      <c r="G1017" t="s">
        <v>13</v>
      </c>
      <c r="H1017" s="1">
        <v>7474</v>
      </c>
      <c r="I1017" s="1">
        <v>1318822.3107401098</v>
      </c>
      <c r="J1017" s="1">
        <v>1326296.3107401098</v>
      </c>
      <c r="K1017">
        <f>VLOOKUP(F1017,'LEAID Match'!$A$2:$C$2979,3,FALSE)</f>
        <v>0</v>
      </c>
    </row>
    <row r="1018" spans="1:11" x14ac:dyDescent="0.2">
      <c r="A1018">
        <v>0</v>
      </c>
      <c r="B1018">
        <v>2018</v>
      </c>
      <c r="C1018" t="s">
        <v>6</v>
      </c>
      <c r="D1018" t="s">
        <v>7</v>
      </c>
      <c r="E1018" t="s">
        <v>8</v>
      </c>
      <c r="F1018">
        <v>5048</v>
      </c>
      <c r="G1018" s="9" t="s">
        <v>14</v>
      </c>
      <c r="H1018" s="1">
        <v>57805</v>
      </c>
      <c r="I1018" s="1">
        <v>2680633.2508848966</v>
      </c>
      <c r="J1018" s="1">
        <v>2738438.2508848966</v>
      </c>
      <c r="K1018">
        <f>VLOOKUP(F1018,'LEAID Match'!$A$2:$C$2979,3,FALSE)</f>
        <v>0</v>
      </c>
    </row>
    <row r="1019" spans="1:11" x14ac:dyDescent="0.2">
      <c r="A1019">
        <v>0</v>
      </c>
      <c r="B1019">
        <v>2018</v>
      </c>
      <c r="C1019" t="s">
        <v>6</v>
      </c>
      <c r="D1019" t="s">
        <v>7</v>
      </c>
      <c r="E1019" t="s">
        <v>8</v>
      </c>
      <c r="F1019" s="3">
        <v>5049</v>
      </c>
      <c r="G1019" s="3" t="s">
        <v>15</v>
      </c>
      <c r="H1019" s="22">
        <v>147872</v>
      </c>
      <c r="I1019" s="1">
        <v>3829154.0426561921</v>
      </c>
      <c r="J1019" s="1">
        <v>3977026.0426561921</v>
      </c>
      <c r="K1019">
        <f>VLOOKUP(F1019,'LEAID Match'!$A$2:$C$2979,3,FALSE)</f>
        <v>0</v>
      </c>
    </row>
    <row r="1020" spans="1:11" x14ac:dyDescent="0.2">
      <c r="A1020">
        <v>0</v>
      </c>
      <c r="B1020">
        <v>2018</v>
      </c>
      <c r="C1020" t="s">
        <v>6</v>
      </c>
      <c r="D1020" t="s">
        <v>7</v>
      </c>
      <c r="E1020" t="s">
        <v>8</v>
      </c>
      <c r="F1020" s="3">
        <v>5050</v>
      </c>
      <c r="G1020" s="3" t="s">
        <v>16</v>
      </c>
      <c r="H1020" s="1">
        <v>19339</v>
      </c>
      <c r="I1020" s="21">
        <v>912701.87147585372</v>
      </c>
      <c r="J1020" s="21">
        <v>932040.87147585372</v>
      </c>
      <c r="K1020">
        <f>VLOOKUP(F1020,'LEAID Match'!$A$2:$C$2979,3,FALSE)</f>
        <v>0</v>
      </c>
    </row>
    <row r="1021" spans="1:11" x14ac:dyDescent="0.2">
      <c r="A1021">
        <v>0</v>
      </c>
      <c r="B1021">
        <v>2018</v>
      </c>
      <c r="C1021" t="s">
        <v>6</v>
      </c>
      <c r="D1021" t="s">
        <v>7</v>
      </c>
      <c r="E1021" t="s">
        <v>8</v>
      </c>
      <c r="F1021" s="3">
        <v>5107</v>
      </c>
      <c r="G1021" s="3" t="s">
        <v>17</v>
      </c>
      <c r="H1021" s="1">
        <v>16344</v>
      </c>
      <c r="I1021" s="1">
        <v>1462463.8942256649</v>
      </c>
      <c r="J1021" s="1">
        <v>1478807.8942256649</v>
      </c>
      <c r="K1021">
        <f>VLOOKUP(F1021,'LEAID Match'!$A$2:$C$2979,3,FALSE)</f>
        <v>0</v>
      </c>
    </row>
    <row r="1022" spans="1:11" x14ac:dyDescent="0.2">
      <c r="A1022">
        <v>0</v>
      </c>
      <c r="B1022">
        <v>2018</v>
      </c>
      <c r="C1022" t="s">
        <v>6</v>
      </c>
      <c r="D1022" t="s">
        <v>7</v>
      </c>
      <c r="E1022" t="s">
        <v>8</v>
      </c>
      <c r="F1022">
        <v>5108</v>
      </c>
      <c r="G1022" t="s">
        <v>18</v>
      </c>
      <c r="H1022" s="1">
        <v>10695</v>
      </c>
      <c r="I1022" s="1">
        <v>1909052.1399535087</v>
      </c>
      <c r="J1022" s="1">
        <v>1919747.1399535087</v>
      </c>
      <c r="K1022">
        <f>VLOOKUP(F1022,'LEAID Match'!$A$2:$C$2979,3,FALSE)</f>
        <v>0</v>
      </c>
    </row>
    <row r="1023" spans="1:11" x14ac:dyDescent="0.2">
      <c r="A1023">
        <v>0</v>
      </c>
      <c r="B1023">
        <v>2018</v>
      </c>
      <c r="C1023" t="s">
        <v>6</v>
      </c>
      <c r="D1023" t="s">
        <v>7</v>
      </c>
      <c r="E1023" t="s">
        <v>8</v>
      </c>
      <c r="F1023">
        <v>5109</v>
      </c>
      <c r="G1023" t="s">
        <v>19</v>
      </c>
      <c r="H1023" s="1">
        <v>55557</v>
      </c>
      <c r="I1023" s="1">
        <v>3082447.8952788627</v>
      </c>
      <c r="J1023" s="1">
        <v>3138004.8952788627</v>
      </c>
      <c r="K1023">
        <f>VLOOKUP(F1023,'LEAID Match'!$A$2:$C$2979,3,FALSE)</f>
        <v>0</v>
      </c>
    </row>
    <row r="1024" spans="1:11" x14ac:dyDescent="0.2">
      <c r="A1024">
        <v>0</v>
      </c>
      <c r="B1024">
        <v>2018</v>
      </c>
      <c r="C1024" t="s">
        <v>6</v>
      </c>
      <c r="D1024" t="s">
        <v>7</v>
      </c>
      <c r="E1024" t="s">
        <v>8</v>
      </c>
      <c r="F1024">
        <v>5110</v>
      </c>
      <c r="G1024" t="s">
        <v>20</v>
      </c>
      <c r="H1024" s="1">
        <v>16463</v>
      </c>
      <c r="I1024" s="1">
        <v>622388.6513344124</v>
      </c>
      <c r="J1024" s="1">
        <v>638851.6513344124</v>
      </c>
      <c r="K1024">
        <f>VLOOKUP(F1024,'LEAID Match'!$A$2:$C$2979,3,FALSE)</f>
        <v>0</v>
      </c>
    </row>
    <row r="1025" spans="1:11" x14ac:dyDescent="0.2">
      <c r="A1025">
        <v>0</v>
      </c>
      <c r="B1025">
        <v>2018</v>
      </c>
      <c r="C1025" t="s">
        <v>6</v>
      </c>
      <c r="D1025" t="s">
        <v>7</v>
      </c>
      <c r="E1025" t="s">
        <v>8</v>
      </c>
      <c r="F1025">
        <v>5111</v>
      </c>
      <c r="G1025" t="s">
        <v>21</v>
      </c>
      <c r="H1025" s="20">
        <v>3249</v>
      </c>
      <c r="I1025" s="1">
        <v>641199.50935752701</v>
      </c>
      <c r="J1025" s="1">
        <v>644448.50935752701</v>
      </c>
      <c r="K1025">
        <f>VLOOKUP(F1025,'LEAID Match'!$A$2:$C$2979,3,FALSE)</f>
        <v>0</v>
      </c>
    </row>
    <row r="1026" spans="1:11" x14ac:dyDescent="0.2">
      <c r="A1026">
        <v>0</v>
      </c>
      <c r="B1026">
        <v>2018</v>
      </c>
      <c r="C1026" t="s">
        <v>6</v>
      </c>
      <c r="D1026" t="s">
        <v>7</v>
      </c>
      <c r="E1026" t="s">
        <v>8</v>
      </c>
      <c r="F1026">
        <v>5112</v>
      </c>
      <c r="G1026" t="s">
        <v>22</v>
      </c>
      <c r="H1026" s="1">
        <v>5138</v>
      </c>
      <c r="I1026" s="1">
        <v>763198.80810030946</v>
      </c>
      <c r="J1026" s="1">
        <v>768336.80810030946</v>
      </c>
      <c r="K1026">
        <f>VLOOKUP(F1026,'LEAID Match'!$A$2:$C$2979,3,FALSE)</f>
        <v>0</v>
      </c>
    </row>
    <row r="1027" spans="1:11" x14ac:dyDescent="0.2">
      <c r="A1027">
        <v>0</v>
      </c>
      <c r="B1027">
        <v>2018</v>
      </c>
      <c r="C1027" t="s">
        <v>6</v>
      </c>
      <c r="D1027" t="s">
        <v>7</v>
      </c>
      <c r="E1027" t="s">
        <v>8</v>
      </c>
      <c r="F1027">
        <v>5113</v>
      </c>
      <c r="G1027" s="9" t="s">
        <v>23</v>
      </c>
      <c r="H1027" s="1">
        <v>10008</v>
      </c>
      <c r="I1027" s="1">
        <v>692173.1886919369</v>
      </c>
      <c r="J1027" s="1">
        <v>702181.1886919369</v>
      </c>
      <c r="K1027">
        <f>VLOOKUP(F1027,'LEAID Match'!$A$2:$C$2979,3,FALSE)</f>
        <v>0</v>
      </c>
    </row>
    <row r="1028" spans="1:11" x14ac:dyDescent="0.2">
      <c r="A1028">
        <v>0</v>
      </c>
      <c r="B1028">
        <v>2018</v>
      </c>
      <c r="C1028" t="s">
        <v>6</v>
      </c>
      <c r="D1028" t="s">
        <v>7</v>
      </c>
      <c r="E1028" t="s">
        <v>8</v>
      </c>
      <c r="F1028" s="3">
        <v>5177</v>
      </c>
      <c r="G1028" s="3" t="s">
        <v>24</v>
      </c>
      <c r="H1028" s="22">
        <v>9687</v>
      </c>
      <c r="I1028" s="1">
        <v>801251.10363356769</v>
      </c>
      <c r="J1028" s="1">
        <v>810938.10363356769</v>
      </c>
      <c r="K1028">
        <f>VLOOKUP(F1028,'LEAID Match'!$A$2:$C$2979,3,FALSE)</f>
        <v>0</v>
      </c>
    </row>
    <row r="1029" spans="1:11" x14ac:dyDescent="0.2">
      <c r="A1029">
        <v>0</v>
      </c>
      <c r="B1029">
        <v>2018</v>
      </c>
      <c r="C1029" t="s">
        <v>6</v>
      </c>
      <c r="D1029" t="s">
        <v>7</v>
      </c>
      <c r="E1029" t="s">
        <v>8</v>
      </c>
      <c r="F1029" s="3">
        <v>5178</v>
      </c>
      <c r="G1029" s="3" t="s">
        <v>25</v>
      </c>
      <c r="H1029" s="1">
        <v>35498</v>
      </c>
      <c r="I1029" s="21">
        <v>1308941.6446167077</v>
      </c>
      <c r="J1029" s="21">
        <v>1344439.6446167077</v>
      </c>
      <c r="K1029">
        <f>VLOOKUP(F1029,'LEAID Match'!$A$2:$C$2979,3,FALSE)</f>
        <v>0</v>
      </c>
    </row>
    <row r="1030" spans="1:11" x14ac:dyDescent="0.2">
      <c r="A1030">
        <v>0</v>
      </c>
      <c r="B1030">
        <v>2018</v>
      </c>
      <c r="C1030" t="s">
        <v>6</v>
      </c>
      <c r="D1030" t="s">
        <v>7</v>
      </c>
      <c r="E1030" t="s">
        <v>8</v>
      </c>
      <c r="F1030" s="3">
        <v>5179</v>
      </c>
      <c r="G1030" s="3" t="s">
        <v>26</v>
      </c>
      <c r="H1030" s="1">
        <v>15315</v>
      </c>
      <c r="I1030" s="1">
        <v>714216.72552633716</v>
      </c>
      <c r="J1030" s="1">
        <v>729531.72552633716</v>
      </c>
      <c r="K1030">
        <f>VLOOKUP(F1030,'LEAID Match'!$A$2:$C$2979,3,FALSE)</f>
        <v>0</v>
      </c>
    </row>
    <row r="1031" spans="1:11" x14ac:dyDescent="0.2">
      <c r="A1031">
        <v>0</v>
      </c>
      <c r="B1031">
        <v>2018</v>
      </c>
      <c r="C1031" t="s">
        <v>6</v>
      </c>
      <c r="D1031" t="s">
        <v>7</v>
      </c>
      <c r="E1031" t="s">
        <v>8</v>
      </c>
      <c r="F1031">
        <v>5180</v>
      </c>
      <c r="G1031" t="s">
        <v>27</v>
      </c>
      <c r="H1031" s="1">
        <v>9929</v>
      </c>
      <c r="I1031" s="1">
        <v>973042.98751414195</v>
      </c>
      <c r="J1031" s="1">
        <v>982971.98751414195</v>
      </c>
      <c r="K1031">
        <f>VLOOKUP(F1031,'LEAID Match'!$A$2:$C$2979,3,FALSE)</f>
        <v>0</v>
      </c>
    </row>
    <row r="1032" spans="1:11" x14ac:dyDescent="0.2">
      <c r="A1032">
        <v>0</v>
      </c>
      <c r="B1032">
        <v>2018</v>
      </c>
      <c r="C1032" t="s">
        <v>6</v>
      </c>
      <c r="D1032" t="s">
        <v>7</v>
      </c>
      <c r="E1032" t="s">
        <v>8</v>
      </c>
      <c r="F1032">
        <v>5404</v>
      </c>
      <c r="G1032" t="s">
        <v>364</v>
      </c>
      <c r="H1032" s="1">
        <v>10656</v>
      </c>
      <c r="I1032" s="1">
        <v>1142128.7526372273</v>
      </c>
      <c r="J1032" s="1">
        <v>1152784.7526372273</v>
      </c>
      <c r="K1032">
        <f>VLOOKUP(F1032,'LEAID Match'!$A$2:$C$2979,3,FALSE)</f>
        <v>0</v>
      </c>
    </row>
    <row r="1033" spans="1:11" x14ac:dyDescent="0.2">
      <c r="A1033">
        <v>0</v>
      </c>
      <c r="B1033">
        <v>2018</v>
      </c>
      <c r="C1033" t="s">
        <v>6</v>
      </c>
      <c r="D1033" t="s">
        <v>7</v>
      </c>
      <c r="E1033" t="s">
        <v>8</v>
      </c>
      <c r="F1033">
        <v>5406</v>
      </c>
      <c r="G1033" t="s">
        <v>29</v>
      </c>
      <c r="H1033" s="1">
        <v>84566</v>
      </c>
      <c r="I1033" s="1">
        <v>11073864.535940401</v>
      </c>
      <c r="J1033" s="1">
        <v>11158430.535940401</v>
      </c>
      <c r="K1033">
        <f>VLOOKUP(F1033,'LEAID Match'!$A$2:$C$2979,3,FALSE)</f>
        <v>0</v>
      </c>
    </row>
    <row r="1034" spans="1:11" x14ac:dyDescent="0.2">
      <c r="A1034">
        <v>2000046</v>
      </c>
      <c r="B1034">
        <v>2018</v>
      </c>
      <c r="C1034" t="s">
        <v>6</v>
      </c>
      <c r="D1034" t="s">
        <v>7</v>
      </c>
      <c r="E1034" t="s">
        <v>8</v>
      </c>
      <c r="F1034">
        <v>5596</v>
      </c>
      <c r="G1034" t="s">
        <v>30</v>
      </c>
      <c r="H1034" s="20">
        <v>77638</v>
      </c>
      <c r="I1034" s="1">
        <v>965295.22287447483</v>
      </c>
      <c r="J1034" s="1">
        <v>1042933.2228744748</v>
      </c>
      <c r="K1034">
        <f>VLOOKUP(F1034,'LEAID Match'!$A$2:$C$2979,3,FALSE)</f>
        <v>2000046</v>
      </c>
    </row>
    <row r="1035" spans="1:11" x14ac:dyDescent="0.2">
      <c r="A1035">
        <v>0</v>
      </c>
      <c r="B1035">
        <v>2018</v>
      </c>
      <c r="C1035" t="s">
        <v>6</v>
      </c>
      <c r="D1035" t="s">
        <v>7</v>
      </c>
      <c r="E1035" t="s">
        <v>8</v>
      </c>
      <c r="F1035">
        <v>5600</v>
      </c>
      <c r="G1035" t="s">
        <v>31</v>
      </c>
      <c r="H1035" s="1">
        <v>85424</v>
      </c>
      <c r="I1035" s="1">
        <v>1125208.1785540727</v>
      </c>
      <c r="J1035" s="1">
        <v>1210632.1785540727</v>
      </c>
      <c r="K1035">
        <f>VLOOKUP(F1035,'LEAID Match'!$A$2:$C$2979,3,FALSE)</f>
        <v>0</v>
      </c>
    </row>
    <row r="1036" spans="1:11" x14ac:dyDescent="0.2">
      <c r="A1036">
        <v>2000048</v>
      </c>
      <c r="B1036">
        <v>2018</v>
      </c>
      <c r="C1036" t="s">
        <v>6</v>
      </c>
      <c r="D1036" t="s">
        <v>7</v>
      </c>
      <c r="E1036" t="s">
        <v>8</v>
      </c>
      <c r="F1036">
        <v>5604</v>
      </c>
      <c r="G1036" s="9" t="s">
        <v>32</v>
      </c>
      <c r="H1036" s="1">
        <v>55594</v>
      </c>
      <c r="I1036" s="1">
        <v>1032758.89680501</v>
      </c>
      <c r="J1036" s="1">
        <v>1088352.89680501</v>
      </c>
      <c r="K1036">
        <f>VLOOKUP(F1036,'LEAID Match'!$A$2:$C$2979,3,FALSE)</f>
        <v>2000048</v>
      </c>
    </row>
    <row r="1037" spans="1:11" x14ac:dyDescent="0.2">
      <c r="A1037">
        <v>2000035</v>
      </c>
      <c r="B1037">
        <v>2018</v>
      </c>
      <c r="C1037" t="s">
        <v>6</v>
      </c>
      <c r="D1037" t="s">
        <v>7</v>
      </c>
      <c r="E1037" t="s">
        <v>8</v>
      </c>
      <c r="F1037" s="3">
        <v>5608</v>
      </c>
      <c r="G1037" s="3" t="s">
        <v>33</v>
      </c>
      <c r="H1037" s="22">
        <v>12076</v>
      </c>
      <c r="I1037" s="1">
        <v>970900.7545864156</v>
      </c>
      <c r="J1037" s="1">
        <v>982976.7545864156</v>
      </c>
      <c r="K1037">
        <f>VLOOKUP(F1037,'LEAID Match'!$A$2:$C$2979,3,FALSE)</f>
        <v>2000035</v>
      </c>
    </row>
    <row r="1038" spans="1:11" x14ac:dyDescent="0.2">
      <c r="A1038">
        <v>2000039</v>
      </c>
      <c r="B1038">
        <v>2018</v>
      </c>
      <c r="C1038" t="s">
        <v>6</v>
      </c>
      <c r="D1038" t="s">
        <v>7</v>
      </c>
      <c r="E1038" t="s">
        <v>8</v>
      </c>
      <c r="F1038" s="3">
        <v>5609</v>
      </c>
      <c r="G1038" s="3" t="s">
        <v>365</v>
      </c>
      <c r="H1038" s="1">
        <v>75126</v>
      </c>
      <c r="I1038" s="21">
        <v>1058035.1124506963</v>
      </c>
      <c r="J1038" s="21">
        <v>1133161.1124506963</v>
      </c>
      <c r="K1038">
        <f>VLOOKUP(F1038,'LEAID Match'!$A$2:$C$2979,3,FALSE)</f>
        <v>2000039</v>
      </c>
    </row>
    <row r="1039" spans="1:11" x14ac:dyDescent="0.2">
      <c r="A1039">
        <v>2000041</v>
      </c>
      <c r="B1039">
        <v>2018</v>
      </c>
      <c r="C1039" t="s">
        <v>6</v>
      </c>
      <c r="D1039" t="s">
        <v>7</v>
      </c>
      <c r="E1039" t="s">
        <v>8</v>
      </c>
      <c r="F1039" s="3">
        <v>5612</v>
      </c>
      <c r="G1039" s="3" t="s">
        <v>35</v>
      </c>
      <c r="H1039" s="1">
        <v>109559</v>
      </c>
      <c r="I1039" s="1">
        <v>2184452.3795333612</v>
      </c>
      <c r="J1039" s="1">
        <v>2294011.3795333612</v>
      </c>
      <c r="K1039">
        <f>VLOOKUP(F1039,'LEAID Match'!$A$2:$C$2979,3,FALSE)</f>
        <v>2000041</v>
      </c>
    </row>
    <row r="1040" spans="1:11" x14ac:dyDescent="0.2">
      <c r="A1040">
        <v>0</v>
      </c>
      <c r="B1040">
        <v>2018</v>
      </c>
      <c r="C1040" t="s">
        <v>6</v>
      </c>
      <c r="D1040" t="s">
        <v>7</v>
      </c>
      <c r="E1040" t="s">
        <v>8</v>
      </c>
      <c r="F1040">
        <v>5624</v>
      </c>
      <c r="G1040" t="s">
        <v>36</v>
      </c>
      <c r="H1040" s="1">
        <v>36781</v>
      </c>
      <c r="I1040" s="1">
        <v>779091.5902809893</v>
      </c>
      <c r="J1040" s="1">
        <v>815872.5902809893</v>
      </c>
      <c r="K1040">
        <f>VLOOKUP(F1040,'LEAID Match'!$A$2:$C$2979,3,FALSE)</f>
        <v>0</v>
      </c>
    </row>
    <row r="1041" spans="1:11" x14ac:dyDescent="0.2">
      <c r="A1041">
        <v>2000044</v>
      </c>
      <c r="B1041">
        <v>2018</v>
      </c>
      <c r="C1041" t="s">
        <v>6</v>
      </c>
      <c r="D1041" t="s">
        <v>7</v>
      </c>
      <c r="E1041" t="s">
        <v>8</v>
      </c>
      <c r="F1041">
        <v>5626</v>
      </c>
      <c r="G1041" t="s">
        <v>37</v>
      </c>
      <c r="H1041" s="1">
        <v>61886</v>
      </c>
      <c r="I1041" s="1">
        <v>905170.06311141478</v>
      </c>
      <c r="J1041" s="1">
        <v>967056.06311141478</v>
      </c>
      <c r="K1041">
        <f>VLOOKUP(F1041,'LEAID Match'!$A$2:$C$2979,3,FALSE)</f>
        <v>2000044</v>
      </c>
    </row>
    <row r="1042" spans="1:11" x14ac:dyDescent="0.2">
      <c r="A1042">
        <v>2000047</v>
      </c>
      <c r="B1042">
        <v>2018</v>
      </c>
      <c r="C1042" t="s">
        <v>6</v>
      </c>
      <c r="D1042" t="s">
        <v>7</v>
      </c>
      <c r="E1042" t="s">
        <v>8</v>
      </c>
      <c r="F1042">
        <v>5634</v>
      </c>
      <c r="G1042" t="s">
        <v>38</v>
      </c>
      <c r="H1042" s="1">
        <v>49209</v>
      </c>
      <c r="I1042" s="1">
        <v>1322405.5852327843</v>
      </c>
      <c r="J1042" s="1">
        <v>1371614.5852327843</v>
      </c>
      <c r="K1042">
        <f>VLOOKUP(F1042,'LEAID Match'!$A$2:$C$2979,3,FALSE)</f>
        <v>2000047</v>
      </c>
    </row>
    <row r="1043" spans="1:11" x14ac:dyDescent="0.2">
      <c r="A1043">
        <v>2000051</v>
      </c>
      <c r="B1043">
        <v>2018</v>
      </c>
      <c r="C1043" t="s">
        <v>6</v>
      </c>
      <c r="D1043" t="s">
        <v>7</v>
      </c>
      <c r="E1043" t="s">
        <v>8</v>
      </c>
      <c r="F1043">
        <v>5638</v>
      </c>
      <c r="G1043" t="s">
        <v>39</v>
      </c>
      <c r="H1043" s="20">
        <v>21582</v>
      </c>
      <c r="I1043" s="1">
        <v>695711.13902808214</v>
      </c>
      <c r="J1043" s="1">
        <v>717293.13902808214</v>
      </c>
      <c r="K1043">
        <f>VLOOKUP(F1043,'LEAID Match'!$A$2:$C$2979,3,FALSE)</f>
        <v>2000051</v>
      </c>
    </row>
    <row r="1044" spans="1:11" x14ac:dyDescent="0.2">
      <c r="A1044">
        <v>2000033</v>
      </c>
      <c r="B1044">
        <v>2018</v>
      </c>
      <c r="C1044" t="s">
        <v>6</v>
      </c>
      <c r="D1044" t="s">
        <v>7</v>
      </c>
      <c r="E1044" t="s">
        <v>8</v>
      </c>
      <c r="F1044">
        <v>5655</v>
      </c>
      <c r="G1044" t="s">
        <v>40</v>
      </c>
      <c r="H1044" s="1"/>
      <c r="I1044" s="1">
        <v>312807.33241428074</v>
      </c>
      <c r="J1044" s="1">
        <v>312807.33241428074</v>
      </c>
      <c r="K1044">
        <f>VLOOKUP(F1044,'LEAID Match'!$A$2:$C$2979,3,FALSE)</f>
        <v>2000033</v>
      </c>
    </row>
    <row r="1045" spans="1:11" x14ac:dyDescent="0.2">
      <c r="A1045">
        <v>2000037</v>
      </c>
      <c r="B1045">
        <v>2018</v>
      </c>
      <c r="C1045" t="s">
        <v>6</v>
      </c>
      <c r="D1045" t="s">
        <v>7</v>
      </c>
      <c r="E1045" t="s">
        <v>8</v>
      </c>
      <c r="F1045">
        <v>5657</v>
      </c>
      <c r="G1045" s="9" t="s">
        <v>41</v>
      </c>
      <c r="H1045" s="1">
        <v>3855</v>
      </c>
      <c r="I1045" s="1">
        <v>172762.3540556735</v>
      </c>
      <c r="J1045" s="1">
        <v>176617.3540556735</v>
      </c>
      <c r="K1045">
        <f>VLOOKUP(F1045,'LEAID Match'!$A$2:$C$2979,3,FALSE)</f>
        <v>2000037</v>
      </c>
    </row>
    <row r="1046" spans="1:11" x14ac:dyDescent="0.2">
      <c r="A1046">
        <v>2000040</v>
      </c>
      <c r="B1046">
        <v>2018</v>
      </c>
      <c r="C1046" t="s">
        <v>6</v>
      </c>
      <c r="D1046" t="s">
        <v>7</v>
      </c>
      <c r="E1046" t="s">
        <v>8</v>
      </c>
      <c r="F1046" s="3">
        <v>5671</v>
      </c>
      <c r="G1046" s="3" t="s">
        <v>42</v>
      </c>
      <c r="H1046" s="1">
        <v>37551</v>
      </c>
      <c r="I1046" s="21">
        <v>419116.47461733822</v>
      </c>
      <c r="J1046" s="21">
        <v>456667.47461733822</v>
      </c>
      <c r="K1046">
        <f>VLOOKUP(F1046,'LEAID Match'!$A$2:$C$2979,3,FALSE)</f>
        <v>2000040</v>
      </c>
    </row>
    <row r="1047" spans="1:11" x14ac:dyDescent="0.2">
      <c r="A1047">
        <v>2093310</v>
      </c>
      <c r="B1047">
        <v>2018</v>
      </c>
      <c r="C1047" t="s">
        <v>6</v>
      </c>
      <c r="D1047" t="s">
        <v>7</v>
      </c>
      <c r="E1047" t="s">
        <v>8</v>
      </c>
      <c r="F1047" s="3">
        <v>5682</v>
      </c>
      <c r="G1047" s="3" t="s">
        <v>43</v>
      </c>
      <c r="H1047" s="1">
        <v>122875</v>
      </c>
      <c r="I1047" s="1">
        <v>2980965.775746183</v>
      </c>
      <c r="J1047" s="1">
        <v>3103840.775746183</v>
      </c>
      <c r="K1047">
        <f>VLOOKUP(F1047,'LEAID Match'!$A$2:$C$2979,3,FALSE)</f>
        <v>2093310</v>
      </c>
    </row>
    <row r="1048" spans="1:11" x14ac:dyDescent="0.2">
      <c r="A1048">
        <v>2000043</v>
      </c>
      <c r="B1048">
        <v>2018</v>
      </c>
      <c r="C1048" t="s">
        <v>6</v>
      </c>
      <c r="D1048" t="s">
        <v>7</v>
      </c>
      <c r="E1048" t="s">
        <v>8</v>
      </c>
      <c r="F1048">
        <v>5688</v>
      </c>
      <c r="G1048" t="s">
        <v>44</v>
      </c>
      <c r="H1048" s="1">
        <v>7138</v>
      </c>
      <c r="I1048" s="1">
        <v>335784.0136478151</v>
      </c>
      <c r="J1048" s="1">
        <v>342922.0136478151</v>
      </c>
      <c r="K1048">
        <f>VLOOKUP(F1048,'LEAID Match'!$A$2:$C$2979,3,FALSE)</f>
        <v>2000043</v>
      </c>
    </row>
    <row r="1049" spans="1:11" x14ac:dyDescent="0.2">
      <c r="A1049">
        <v>2000045</v>
      </c>
      <c r="B1049">
        <v>2018</v>
      </c>
      <c r="C1049" t="s">
        <v>6</v>
      </c>
      <c r="D1049" t="s">
        <v>7</v>
      </c>
      <c r="E1049" t="s">
        <v>8</v>
      </c>
      <c r="F1049">
        <v>9034</v>
      </c>
      <c r="G1049" t="s">
        <v>45</v>
      </c>
      <c r="H1049" s="1">
        <v>46987</v>
      </c>
      <c r="I1049" s="1">
        <v>623065.84755549824</v>
      </c>
      <c r="J1049" s="1">
        <v>670052.84755549824</v>
      </c>
      <c r="K1049">
        <f>VLOOKUP(F1049,'LEAID Match'!$A$2:$C$2979,3,FALSE)</f>
        <v>2000045</v>
      </c>
    </row>
    <row r="1050" spans="1:11" x14ac:dyDescent="0.2">
      <c r="A1050">
        <v>0</v>
      </c>
      <c r="B1050">
        <v>2018</v>
      </c>
      <c r="C1050" t="s">
        <v>6</v>
      </c>
      <c r="D1050" t="s">
        <v>7</v>
      </c>
      <c r="E1050" t="s">
        <v>8</v>
      </c>
      <c r="F1050">
        <v>9042</v>
      </c>
      <c r="G1050" t="s">
        <v>46</v>
      </c>
      <c r="H1050" s="1">
        <v>18805</v>
      </c>
      <c r="I1050" s="1">
        <v>406144.43440594792</v>
      </c>
      <c r="J1050" s="1">
        <v>424949.43440594792</v>
      </c>
      <c r="K1050">
        <f>VLOOKUP(F1050,'LEAID Match'!$A$2:$C$2979,3,FALSE)</f>
        <v>0</v>
      </c>
    </row>
    <row r="1051" spans="1:11" x14ac:dyDescent="0.2">
      <c r="A1051">
        <v>2000347</v>
      </c>
      <c r="B1051">
        <v>2018</v>
      </c>
      <c r="C1051" t="s">
        <v>6</v>
      </c>
      <c r="D1051" t="s">
        <v>7</v>
      </c>
      <c r="E1051" t="s">
        <v>8</v>
      </c>
      <c r="F1051">
        <v>9047</v>
      </c>
      <c r="G1051" t="s">
        <v>47</v>
      </c>
      <c r="H1051" s="20">
        <v>21956</v>
      </c>
      <c r="I1051" s="1">
        <v>350703.65952654084</v>
      </c>
      <c r="J1051" s="1">
        <v>372659.65952654084</v>
      </c>
      <c r="K1051">
        <f>VLOOKUP(F1051,'LEAID Match'!$A$2:$C$2979,3,FALSE)</f>
        <v>2000347</v>
      </c>
    </row>
    <row r="1052" spans="1:11" x14ac:dyDescent="0.2">
      <c r="A1052">
        <v>0</v>
      </c>
      <c r="B1052">
        <v>2018</v>
      </c>
      <c r="C1052" t="s">
        <v>6</v>
      </c>
      <c r="D1052" t="s">
        <v>7</v>
      </c>
      <c r="E1052" t="s">
        <v>8</v>
      </c>
      <c r="F1052">
        <v>9053</v>
      </c>
      <c r="G1052" t="s">
        <v>48</v>
      </c>
      <c r="H1052" s="1"/>
      <c r="I1052" s="1">
        <v>19774.662881077336</v>
      </c>
      <c r="J1052" s="1">
        <v>19774.662881077336</v>
      </c>
      <c r="K1052">
        <f>VLOOKUP(F1052,'LEAID Match'!$A$2:$C$2979,3,FALSE)</f>
        <v>0</v>
      </c>
    </row>
    <row r="1053" spans="1:11" x14ac:dyDescent="0.2">
      <c r="A1053">
        <v>2000049</v>
      </c>
      <c r="B1053">
        <v>2018</v>
      </c>
      <c r="C1053" t="s">
        <v>6</v>
      </c>
      <c r="D1053" t="s">
        <v>7</v>
      </c>
      <c r="E1053" t="s">
        <v>8</v>
      </c>
      <c r="F1053">
        <v>9055</v>
      </c>
      <c r="G1053" s="9" t="s">
        <v>49</v>
      </c>
      <c r="H1053" s="1">
        <v>37756</v>
      </c>
      <c r="I1053" s="1">
        <v>391945.97584141011</v>
      </c>
      <c r="J1053" s="1">
        <v>429701.97584141011</v>
      </c>
      <c r="K1053">
        <f>VLOOKUP(F1053,'LEAID Match'!$A$2:$C$2979,3,FALSE)</f>
        <v>2000049</v>
      </c>
    </row>
    <row r="1054" spans="1:11" x14ac:dyDescent="0.2">
      <c r="A1054" t="s">
        <v>371</v>
      </c>
      <c r="B1054">
        <v>2018</v>
      </c>
      <c r="C1054" t="s">
        <v>6</v>
      </c>
      <c r="D1054" t="s">
        <v>7</v>
      </c>
      <c r="E1054" t="s">
        <v>8</v>
      </c>
      <c r="F1054" s="3">
        <v>9056</v>
      </c>
      <c r="G1054" s="3" t="s">
        <v>50</v>
      </c>
      <c r="H1054" s="1">
        <v>2557</v>
      </c>
      <c r="I1054" s="21">
        <v>329289.32862984226</v>
      </c>
      <c r="J1054" s="21">
        <v>331846.32862984226</v>
      </c>
      <c r="K1054" t="str">
        <f>VLOOKUP(F1054,'LEAID Match'!$A$2:$C$2979,3,FALSE)</f>
        <v>20D0001</v>
      </c>
    </row>
    <row r="1055" spans="1:11" x14ac:dyDescent="0.2">
      <c r="A1055">
        <v>0</v>
      </c>
      <c r="B1055">
        <v>2018</v>
      </c>
      <c r="C1055" t="s">
        <v>6</v>
      </c>
      <c r="D1055" t="s">
        <v>7</v>
      </c>
      <c r="E1055" t="s">
        <v>8</v>
      </c>
      <c r="F1055" s="3">
        <v>9273</v>
      </c>
      <c r="G1055" s="3" t="s">
        <v>51</v>
      </c>
      <c r="H1055" s="1">
        <v>6196</v>
      </c>
      <c r="I1055" s="1">
        <v>659671.76927009865</v>
      </c>
      <c r="J1055" s="1">
        <v>665867.76927009865</v>
      </c>
      <c r="K1055">
        <f>VLOOKUP(F1055,'LEAID Match'!$A$2:$C$2979,3,FALSE)</f>
        <v>0</v>
      </c>
    </row>
    <row r="1056" spans="1:11" x14ac:dyDescent="0.2">
      <c r="A1056">
        <v>2000034</v>
      </c>
      <c r="B1056">
        <v>2018</v>
      </c>
      <c r="C1056" t="s">
        <v>6</v>
      </c>
      <c r="D1056" t="s">
        <v>7</v>
      </c>
      <c r="E1056" t="s">
        <v>8</v>
      </c>
      <c r="F1056">
        <v>9274</v>
      </c>
      <c r="G1056" t="s">
        <v>52</v>
      </c>
      <c r="H1056" s="1">
        <v>39257</v>
      </c>
      <c r="I1056" s="1">
        <v>1795236.5175911319</v>
      </c>
      <c r="J1056" s="1">
        <v>1834493.5175911319</v>
      </c>
      <c r="K1056">
        <f>VLOOKUP(F1056,'LEAID Match'!$A$2:$C$2979,3,FALSE)</f>
        <v>2000034</v>
      </c>
    </row>
    <row r="1057" spans="1:11" x14ac:dyDescent="0.2">
      <c r="A1057">
        <v>0</v>
      </c>
      <c r="B1057">
        <v>2018</v>
      </c>
      <c r="C1057" t="s">
        <v>6</v>
      </c>
      <c r="D1057" t="s">
        <v>7</v>
      </c>
      <c r="E1057" t="s">
        <v>8</v>
      </c>
      <c r="F1057">
        <v>9303</v>
      </c>
      <c r="G1057" t="s">
        <v>363</v>
      </c>
      <c r="H1057" s="1">
        <v>4132</v>
      </c>
      <c r="I1057" s="1">
        <v>1247024.8476073106</v>
      </c>
      <c r="J1057" s="1">
        <v>1251156.8476073106</v>
      </c>
      <c r="K1057">
        <f>VLOOKUP(F1057,'LEAID Match'!$A$2:$C$2979,3,FALSE)</f>
        <v>0</v>
      </c>
    </row>
    <row r="1058" spans="1:11" x14ac:dyDescent="0.2">
      <c r="A1058">
        <v>0</v>
      </c>
      <c r="B1058">
        <v>2018</v>
      </c>
      <c r="C1058" t="s">
        <v>6</v>
      </c>
      <c r="D1058" t="s">
        <v>7</v>
      </c>
      <c r="E1058" t="s">
        <v>8</v>
      </c>
      <c r="F1058">
        <v>9304</v>
      </c>
      <c r="G1058" t="s">
        <v>54</v>
      </c>
      <c r="H1058" s="1">
        <v>521</v>
      </c>
      <c r="I1058" s="1">
        <v>420545.51861144061</v>
      </c>
      <c r="J1058" s="1">
        <v>421066.51861144061</v>
      </c>
      <c r="K1058">
        <f>VLOOKUP(F1058,'LEAID Match'!$A$2:$C$2979,3,FALSE)</f>
        <v>0</v>
      </c>
    </row>
    <row r="1059" spans="1:11" x14ac:dyDescent="0.2">
      <c r="A1059">
        <v>0</v>
      </c>
      <c r="B1059">
        <v>2018</v>
      </c>
      <c r="C1059" t="s">
        <v>6</v>
      </c>
      <c r="D1059" t="s">
        <v>7</v>
      </c>
      <c r="E1059" t="s">
        <v>8</v>
      </c>
      <c r="F1059">
        <v>9305</v>
      </c>
      <c r="G1059" t="s">
        <v>55</v>
      </c>
      <c r="H1059" s="20">
        <v>16044</v>
      </c>
      <c r="I1059" s="1">
        <v>487674.59362171509</v>
      </c>
      <c r="J1059" s="1">
        <v>503718.59362171509</v>
      </c>
      <c r="K1059">
        <f>VLOOKUP(F1059,'LEAID Match'!$A$2:$C$2979,3,FALSE)</f>
        <v>0</v>
      </c>
    </row>
    <row r="1060" spans="1:11" x14ac:dyDescent="0.2">
      <c r="A1060">
        <v>0</v>
      </c>
      <c r="B1060">
        <v>2018</v>
      </c>
      <c r="C1060" t="s">
        <v>6</v>
      </c>
      <c r="D1060" t="s">
        <v>7</v>
      </c>
      <c r="E1060" t="s">
        <v>8</v>
      </c>
      <c r="F1060">
        <v>9395</v>
      </c>
      <c r="G1060" t="s">
        <v>56</v>
      </c>
      <c r="H1060" s="1">
        <v>3003</v>
      </c>
      <c r="I1060" s="1">
        <v>301376.31352488889</v>
      </c>
      <c r="J1060" s="1">
        <v>304379.31352488889</v>
      </c>
      <c r="K1060">
        <f>VLOOKUP(F1060,'LEAID Match'!$A$2:$C$2979,3,FALSE)</f>
        <v>0</v>
      </c>
    </row>
    <row r="1061" spans="1:11" x14ac:dyDescent="0.2">
      <c r="A1061">
        <v>0</v>
      </c>
      <c r="B1061">
        <v>2018</v>
      </c>
      <c r="C1061" t="s">
        <v>6</v>
      </c>
      <c r="D1061" t="s">
        <v>7</v>
      </c>
      <c r="E1061" t="s">
        <v>8</v>
      </c>
      <c r="F1061">
        <v>9487</v>
      </c>
      <c r="G1061" s="9" t="s">
        <v>57</v>
      </c>
      <c r="H1061" s="1">
        <v>10525</v>
      </c>
      <c r="I1061" s="1">
        <v>30757.772458884818</v>
      </c>
      <c r="J1061" s="1">
        <v>41282.772458884821</v>
      </c>
      <c r="K1061">
        <f>VLOOKUP(F1061,'LEAID Match'!$A$2:$C$2979,3,FALSE)</f>
        <v>0</v>
      </c>
    </row>
    <row r="1062" spans="1:11" x14ac:dyDescent="0.2">
      <c r="A1062">
        <v>2000354</v>
      </c>
      <c r="B1062">
        <v>2018</v>
      </c>
      <c r="C1062" t="s">
        <v>6</v>
      </c>
      <c r="D1062" t="s">
        <v>7</v>
      </c>
      <c r="E1062" t="s">
        <v>8</v>
      </c>
      <c r="F1062" s="3">
        <v>9507</v>
      </c>
      <c r="G1062" s="3" t="s">
        <v>58</v>
      </c>
      <c r="H1062" s="1">
        <v>55162</v>
      </c>
      <c r="I1062" s="21">
        <v>1669275.3543423119</v>
      </c>
      <c r="J1062" s="21">
        <v>1724437.3543423119</v>
      </c>
      <c r="K1062">
        <f>VLOOKUP(F1062,'LEAID Match'!$A$2:$C$2979,3,FALSE)</f>
        <v>2000354</v>
      </c>
    </row>
    <row r="1063" spans="1:11" x14ac:dyDescent="0.2">
      <c r="A1063">
        <v>2012360</v>
      </c>
      <c r="B1063">
        <v>2018</v>
      </c>
      <c r="C1063" t="s">
        <v>6</v>
      </c>
      <c r="D1063" t="s">
        <v>7</v>
      </c>
      <c r="E1063" t="s">
        <v>8</v>
      </c>
      <c r="F1063" s="3">
        <v>4828</v>
      </c>
      <c r="G1063" s="3" t="s">
        <v>59</v>
      </c>
      <c r="H1063" s="1">
        <v>3185199</v>
      </c>
      <c r="I1063" s="1">
        <v>0</v>
      </c>
      <c r="J1063" s="1">
        <v>3185199</v>
      </c>
      <c r="K1063">
        <f>VLOOKUP(F1063,'LEAID Match'!$A$2:$C$2979,3,FALSE)</f>
        <v>2012360</v>
      </c>
    </row>
    <row r="1064" spans="1:11" x14ac:dyDescent="0.2">
      <c r="A1064">
        <v>2010680</v>
      </c>
      <c r="B1064">
        <v>2018</v>
      </c>
      <c r="C1064" t="s">
        <v>6</v>
      </c>
      <c r="D1064" t="s">
        <v>7</v>
      </c>
      <c r="E1064" t="s">
        <v>8</v>
      </c>
      <c r="F1064">
        <v>4829</v>
      </c>
      <c r="G1064" t="s">
        <v>60</v>
      </c>
      <c r="H1064" s="1">
        <v>1364704</v>
      </c>
      <c r="I1064" s="1">
        <v>0</v>
      </c>
      <c r="J1064" s="1">
        <v>1364704</v>
      </c>
      <c r="K1064">
        <f>VLOOKUP(F1064,'LEAID Match'!$A$2:$C$2979,3,FALSE)</f>
        <v>2010680</v>
      </c>
    </row>
    <row r="1065" spans="1:11" x14ac:dyDescent="0.2">
      <c r="A1065">
        <v>2008550</v>
      </c>
      <c r="B1065">
        <v>2018</v>
      </c>
      <c r="C1065" t="s">
        <v>6</v>
      </c>
      <c r="D1065" t="s">
        <v>7</v>
      </c>
      <c r="E1065" t="s">
        <v>8</v>
      </c>
      <c r="F1065">
        <v>4871</v>
      </c>
      <c r="G1065" t="s">
        <v>61</v>
      </c>
      <c r="H1065" s="1">
        <v>390226</v>
      </c>
      <c r="I1065" s="1">
        <v>0</v>
      </c>
      <c r="J1065" s="1">
        <v>390226</v>
      </c>
      <c r="K1065">
        <f>VLOOKUP(F1065,'LEAID Match'!$A$2:$C$2979,3,FALSE)</f>
        <v>2008550</v>
      </c>
    </row>
    <row r="1066" spans="1:11" x14ac:dyDescent="0.2">
      <c r="A1066">
        <v>2004050</v>
      </c>
      <c r="B1066">
        <v>2018</v>
      </c>
      <c r="C1066" t="s">
        <v>6</v>
      </c>
      <c r="D1066" t="s">
        <v>7</v>
      </c>
      <c r="E1066" t="s">
        <v>8</v>
      </c>
      <c r="F1066">
        <v>4882</v>
      </c>
      <c r="G1066" t="s">
        <v>62</v>
      </c>
      <c r="H1066" s="1">
        <v>2246022</v>
      </c>
      <c r="I1066" s="1">
        <v>0</v>
      </c>
      <c r="J1066" s="1">
        <v>2246022</v>
      </c>
      <c r="K1066">
        <f>VLOOKUP(F1066,'LEAID Match'!$A$2:$C$2979,3,FALSE)</f>
        <v>2004050</v>
      </c>
    </row>
    <row r="1067" spans="1:11" x14ac:dyDescent="0.2">
      <c r="A1067">
        <v>2006240</v>
      </c>
      <c r="B1067">
        <v>2018</v>
      </c>
      <c r="C1067" t="s">
        <v>6</v>
      </c>
      <c r="D1067" t="s">
        <v>7</v>
      </c>
      <c r="E1067" t="s">
        <v>8</v>
      </c>
      <c r="F1067">
        <v>4912</v>
      </c>
      <c r="G1067" t="s">
        <v>63</v>
      </c>
      <c r="H1067" s="20">
        <v>400544</v>
      </c>
      <c r="I1067" s="1">
        <v>0</v>
      </c>
      <c r="J1067" s="1">
        <v>400544</v>
      </c>
      <c r="K1067">
        <f>VLOOKUP(F1067,'LEAID Match'!$A$2:$C$2979,3,FALSE)</f>
        <v>2006240</v>
      </c>
    </row>
    <row r="1068" spans="1:11" x14ac:dyDescent="0.2">
      <c r="A1068">
        <v>2009720</v>
      </c>
      <c r="B1068">
        <v>2018</v>
      </c>
      <c r="C1068" t="s">
        <v>6</v>
      </c>
      <c r="D1068" t="s">
        <v>7</v>
      </c>
      <c r="E1068" t="s">
        <v>8</v>
      </c>
      <c r="F1068">
        <v>4977</v>
      </c>
      <c r="G1068" t="s">
        <v>64</v>
      </c>
      <c r="H1068" s="1">
        <v>196596</v>
      </c>
      <c r="I1068" s="1">
        <v>0</v>
      </c>
      <c r="J1068" s="1">
        <v>196596</v>
      </c>
      <c r="K1068">
        <f>VLOOKUP(F1068,'LEAID Match'!$A$2:$C$2979,3,FALSE)</f>
        <v>2009720</v>
      </c>
    </row>
    <row r="1069" spans="1:11" x14ac:dyDescent="0.2">
      <c r="A1069">
        <v>2010140</v>
      </c>
      <c r="B1069">
        <v>2018</v>
      </c>
      <c r="C1069" t="s">
        <v>6</v>
      </c>
      <c r="D1069" t="s">
        <v>7</v>
      </c>
      <c r="E1069" t="s">
        <v>8</v>
      </c>
      <c r="F1069">
        <v>4978</v>
      </c>
      <c r="G1069" s="9" t="s">
        <v>65</v>
      </c>
      <c r="H1069" s="1">
        <v>24484767</v>
      </c>
      <c r="I1069" s="1">
        <v>0</v>
      </c>
      <c r="J1069" s="1">
        <v>24484767</v>
      </c>
      <c r="K1069">
        <f>VLOOKUP(F1069,'LEAID Match'!$A$2:$C$2979,3,FALSE)</f>
        <v>2010140</v>
      </c>
    </row>
    <row r="1070" spans="1:11" x14ac:dyDescent="0.2">
      <c r="A1070">
        <v>2012900</v>
      </c>
      <c r="B1070">
        <v>2018</v>
      </c>
      <c r="C1070" t="s">
        <v>6</v>
      </c>
      <c r="D1070" t="s">
        <v>7</v>
      </c>
      <c r="E1070" t="s">
        <v>8</v>
      </c>
      <c r="F1070" s="3">
        <v>4979</v>
      </c>
      <c r="G1070" s="3" t="s">
        <v>66</v>
      </c>
      <c r="H1070" s="1">
        <v>89630</v>
      </c>
      <c r="I1070" s="21">
        <v>0</v>
      </c>
      <c r="J1070" s="21">
        <v>89630</v>
      </c>
      <c r="K1070">
        <f>VLOOKUP(F1070,'LEAID Match'!$A$2:$C$2979,3,FALSE)</f>
        <v>2012900</v>
      </c>
    </row>
    <row r="1071" spans="1:11" x14ac:dyDescent="0.2">
      <c r="A1071">
        <v>2010710</v>
      </c>
      <c r="B1071">
        <v>2018</v>
      </c>
      <c r="C1071" t="s">
        <v>6</v>
      </c>
      <c r="D1071" t="s">
        <v>7</v>
      </c>
      <c r="E1071" t="s">
        <v>8</v>
      </c>
      <c r="F1071" s="3">
        <v>4980</v>
      </c>
      <c r="G1071" s="3" t="s">
        <v>67</v>
      </c>
      <c r="H1071" s="1">
        <v>2025217</v>
      </c>
      <c r="I1071" s="1">
        <v>0</v>
      </c>
      <c r="J1071" s="1">
        <v>2025217</v>
      </c>
      <c r="K1071">
        <f>VLOOKUP(F1071,'LEAID Match'!$A$2:$C$2979,3,FALSE)</f>
        <v>2010710</v>
      </c>
    </row>
    <row r="1072" spans="1:11" x14ac:dyDescent="0.2">
      <c r="A1072">
        <v>2005940</v>
      </c>
      <c r="B1072">
        <v>2018</v>
      </c>
      <c r="C1072" t="s">
        <v>6</v>
      </c>
      <c r="D1072" t="s">
        <v>7</v>
      </c>
      <c r="E1072" t="s">
        <v>8</v>
      </c>
      <c r="F1072">
        <v>4981</v>
      </c>
      <c r="G1072" t="s">
        <v>68</v>
      </c>
      <c r="H1072" s="1">
        <v>4227702</v>
      </c>
      <c r="I1072" s="1">
        <v>0</v>
      </c>
      <c r="J1072" s="1">
        <v>4227702</v>
      </c>
      <c r="K1072">
        <f>VLOOKUP(F1072,'LEAID Match'!$A$2:$C$2979,3,FALSE)</f>
        <v>2005940</v>
      </c>
    </row>
    <row r="1073" spans="1:11" x14ac:dyDescent="0.2">
      <c r="A1073">
        <v>2012990</v>
      </c>
      <c r="B1073">
        <v>2018</v>
      </c>
      <c r="C1073" t="s">
        <v>6</v>
      </c>
      <c r="D1073" t="s">
        <v>7</v>
      </c>
      <c r="E1073" t="s">
        <v>8</v>
      </c>
      <c r="F1073">
        <v>4982</v>
      </c>
      <c r="G1073" t="s">
        <v>69</v>
      </c>
      <c r="H1073" s="1">
        <v>45305760</v>
      </c>
      <c r="I1073" s="1">
        <v>0</v>
      </c>
      <c r="J1073" s="1">
        <v>45305760</v>
      </c>
      <c r="K1073">
        <f>VLOOKUP(F1073,'LEAID Match'!$A$2:$C$2979,3,FALSE)</f>
        <v>2012990</v>
      </c>
    </row>
    <row r="1074" spans="1:11" x14ac:dyDescent="0.2">
      <c r="A1074">
        <v>2005460</v>
      </c>
      <c r="B1074">
        <v>2018</v>
      </c>
      <c r="C1074" t="s">
        <v>6</v>
      </c>
      <c r="D1074" t="s">
        <v>7</v>
      </c>
      <c r="E1074" t="s">
        <v>8</v>
      </c>
      <c r="F1074">
        <v>4983</v>
      </c>
      <c r="G1074" t="s">
        <v>70</v>
      </c>
      <c r="H1074" s="1">
        <v>5458916</v>
      </c>
      <c r="I1074" s="1">
        <v>0</v>
      </c>
      <c r="J1074" s="1">
        <v>5458916</v>
      </c>
      <c r="K1074">
        <f>VLOOKUP(F1074,'LEAID Match'!$A$2:$C$2979,3,FALSE)</f>
        <v>2005460</v>
      </c>
    </row>
    <row r="1075" spans="1:11" x14ac:dyDescent="0.2">
      <c r="A1075">
        <v>2012510</v>
      </c>
      <c r="B1075">
        <v>2018</v>
      </c>
      <c r="C1075" t="s">
        <v>6</v>
      </c>
      <c r="D1075" t="s">
        <v>7</v>
      </c>
      <c r="E1075" t="s">
        <v>8</v>
      </c>
      <c r="F1075">
        <v>4984</v>
      </c>
      <c r="G1075" t="s">
        <v>71</v>
      </c>
      <c r="H1075" s="20">
        <v>1749398</v>
      </c>
      <c r="I1075" s="1">
        <v>0</v>
      </c>
      <c r="J1075" s="1">
        <v>1749398</v>
      </c>
      <c r="K1075">
        <f>VLOOKUP(F1075,'LEAID Match'!$A$2:$C$2979,3,FALSE)</f>
        <v>2012510</v>
      </c>
    </row>
    <row r="1076" spans="1:11" x14ac:dyDescent="0.2">
      <c r="A1076">
        <v>2006540</v>
      </c>
      <c r="B1076">
        <v>2018</v>
      </c>
      <c r="C1076" t="s">
        <v>6</v>
      </c>
      <c r="D1076" t="s">
        <v>7</v>
      </c>
      <c r="E1076" t="s">
        <v>8</v>
      </c>
      <c r="F1076">
        <v>4985</v>
      </c>
      <c r="G1076" t="s">
        <v>72</v>
      </c>
      <c r="H1076" s="1">
        <v>3815739</v>
      </c>
      <c r="I1076" s="1">
        <v>0</v>
      </c>
      <c r="J1076" s="1">
        <v>3815739</v>
      </c>
      <c r="K1076">
        <f>VLOOKUP(F1076,'LEAID Match'!$A$2:$C$2979,3,FALSE)</f>
        <v>2006540</v>
      </c>
    </row>
    <row r="1077" spans="1:11" x14ac:dyDescent="0.2">
      <c r="A1077">
        <v>2009140</v>
      </c>
      <c r="B1077">
        <v>2018</v>
      </c>
      <c r="C1077" t="s">
        <v>6</v>
      </c>
      <c r="D1077" t="s">
        <v>7</v>
      </c>
      <c r="E1077" t="s">
        <v>8</v>
      </c>
      <c r="F1077">
        <v>4986</v>
      </c>
      <c r="G1077" s="9" t="s">
        <v>73</v>
      </c>
      <c r="H1077" s="1">
        <v>4215026</v>
      </c>
      <c r="I1077" s="1">
        <v>0</v>
      </c>
      <c r="J1077" s="1">
        <v>4215026</v>
      </c>
      <c r="K1077">
        <f>VLOOKUP(F1077,'LEAID Match'!$A$2:$C$2979,3,FALSE)</f>
        <v>2009140</v>
      </c>
    </row>
    <row r="1078" spans="1:11" x14ac:dyDescent="0.2">
      <c r="A1078">
        <v>2004670</v>
      </c>
      <c r="B1078">
        <v>2018</v>
      </c>
      <c r="C1078" t="s">
        <v>6</v>
      </c>
      <c r="D1078" t="s">
        <v>7</v>
      </c>
      <c r="E1078" t="s">
        <v>8</v>
      </c>
      <c r="F1078" s="3">
        <v>4987</v>
      </c>
      <c r="G1078" s="3" t="s">
        <v>74</v>
      </c>
      <c r="H1078" s="1">
        <v>580215</v>
      </c>
      <c r="I1078" s="21">
        <v>0</v>
      </c>
      <c r="J1078" s="21">
        <v>580215</v>
      </c>
      <c r="K1078">
        <f>VLOOKUP(F1078,'LEAID Match'!$A$2:$C$2979,3,FALSE)</f>
        <v>2004670</v>
      </c>
    </row>
    <row r="1079" spans="1:11" x14ac:dyDescent="0.2">
      <c r="A1079">
        <v>2000015</v>
      </c>
      <c r="B1079">
        <v>2018</v>
      </c>
      <c r="C1079" t="s">
        <v>6</v>
      </c>
      <c r="D1079" t="s">
        <v>7</v>
      </c>
      <c r="E1079" t="s">
        <v>8</v>
      </c>
      <c r="F1079" s="3">
        <v>4988</v>
      </c>
      <c r="G1079" s="3" t="s">
        <v>75</v>
      </c>
      <c r="H1079" s="1">
        <v>2057332</v>
      </c>
      <c r="I1079" s="1">
        <v>0</v>
      </c>
      <c r="J1079" s="1">
        <v>2057332</v>
      </c>
      <c r="K1079">
        <f>VLOOKUP(F1079,'LEAID Match'!$A$2:$C$2979,3,FALSE)</f>
        <v>2000015</v>
      </c>
    </row>
    <row r="1080" spans="1:11" x14ac:dyDescent="0.2">
      <c r="A1080">
        <v>2004080</v>
      </c>
      <c r="B1080">
        <v>2018</v>
      </c>
      <c r="C1080" t="s">
        <v>6</v>
      </c>
      <c r="D1080" t="s">
        <v>7</v>
      </c>
      <c r="E1080" t="s">
        <v>8</v>
      </c>
      <c r="F1080">
        <v>4990</v>
      </c>
      <c r="G1080" t="s">
        <v>76</v>
      </c>
      <c r="H1080" s="1">
        <v>115191</v>
      </c>
      <c r="I1080" s="1">
        <v>0</v>
      </c>
      <c r="J1080" s="1">
        <v>115191</v>
      </c>
      <c r="K1080">
        <f>VLOOKUP(F1080,'LEAID Match'!$A$2:$C$2979,3,FALSE)</f>
        <v>2004080</v>
      </c>
    </row>
    <row r="1081" spans="1:11" x14ac:dyDescent="0.2">
      <c r="A1081">
        <v>2003720</v>
      </c>
      <c r="B1081">
        <v>2018</v>
      </c>
      <c r="C1081" t="s">
        <v>6</v>
      </c>
      <c r="D1081" t="s">
        <v>7</v>
      </c>
      <c r="E1081" t="s">
        <v>8</v>
      </c>
      <c r="F1081">
        <v>4991</v>
      </c>
      <c r="G1081" t="s">
        <v>77</v>
      </c>
      <c r="H1081" s="1">
        <v>862098</v>
      </c>
      <c r="I1081" s="1">
        <v>0</v>
      </c>
      <c r="J1081" s="1">
        <v>862098</v>
      </c>
      <c r="K1081">
        <f>VLOOKUP(F1081,'LEAID Match'!$A$2:$C$2979,3,FALSE)</f>
        <v>2003720</v>
      </c>
    </row>
    <row r="1082" spans="1:11" x14ac:dyDescent="0.2">
      <c r="A1082">
        <v>2011970</v>
      </c>
      <c r="B1082">
        <v>2018</v>
      </c>
      <c r="C1082" t="s">
        <v>6</v>
      </c>
      <c r="D1082" t="s">
        <v>7</v>
      </c>
      <c r="E1082" t="s">
        <v>8</v>
      </c>
      <c r="F1082">
        <v>4992</v>
      </c>
      <c r="G1082" t="s">
        <v>78</v>
      </c>
      <c r="H1082" s="1">
        <v>211557</v>
      </c>
      <c r="I1082" s="1">
        <v>0</v>
      </c>
      <c r="J1082" s="1">
        <v>211557</v>
      </c>
      <c r="K1082">
        <f>VLOOKUP(F1082,'LEAID Match'!$A$2:$C$2979,3,FALSE)</f>
        <v>2011970</v>
      </c>
    </row>
    <row r="1083" spans="1:11" x14ac:dyDescent="0.2">
      <c r="A1083">
        <v>2006580</v>
      </c>
      <c r="B1083">
        <v>2018</v>
      </c>
      <c r="C1083" t="s">
        <v>6</v>
      </c>
      <c r="D1083" t="s">
        <v>7</v>
      </c>
      <c r="E1083" t="s">
        <v>8</v>
      </c>
      <c r="F1083">
        <v>4993</v>
      </c>
      <c r="G1083" t="s">
        <v>79</v>
      </c>
      <c r="H1083" s="20">
        <v>699682</v>
      </c>
      <c r="I1083" s="1">
        <v>0</v>
      </c>
      <c r="J1083" s="1">
        <v>699682</v>
      </c>
      <c r="K1083">
        <f>VLOOKUP(F1083,'LEAID Match'!$A$2:$C$2979,3,FALSE)</f>
        <v>2006580</v>
      </c>
    </row>
    <row r="1084" spans="1:11" x14ac:dyDescent="0.2">
      <c r="A1084">
        <v>2003430</v>
      </c>
      <c r="B1084">
        <v>2018</v>
      </c>
      <c r="C1084" t="s">
        <v>6</v>
      </c>
      <c r="D1084" t="s">
        <v>7</v>
      </c>
      <c r="E1084" t="s">
        <v>8</v>
      </c>
      <c r="F1084">
        <v>4994</v>
      </c>
      <c r="G1084" t="s">
        <v>80</v>
      </c>
      <c r="H1084" s="1">
        <v>171579</v>
      </c>
      <c r="I1084" s="1">
        <v>0</v>
      </c>
      <c r="J1084" s="1">
        <v>171579</v>
      </c>
      <c r="K1084">
        <f>VLOOKUP(F1084,'LEAID Match'!$A$2:$C$2979,3,FALSE)</f>
        <v>2003430</v>
      </c>
    </row>
    <row r="1085" spans="1:11" x14ac:dyDescent="0.2">
      <c r="A1085">
        <v>2007350</v>
      </c>
      <c r="B1085">
        <v>2018</v>
      </c>
      <c r="C1085" t="s">
        <v>6</v>
      </c>
      <c r="D1085" t="s">
        <v>7</v>
      </c>
      <c r="E1085" t="s">
        <v>8</v>
      </c>
      <c r="F1085">
        <v>4995</v>
      </c>
      <c r="G1085" s="9" t="s">
        <v>81</v>
      </c>
      <c r="H1085" s="1">
        <v>702856</v>
      </c>
      <c r="I1085" s="1">
        <v>0</v>
      </c>
      <c r="J1085" s="1">
        <v>702856</v>
      </c>
      <c r="K1085">
        <f>VLOOKUP(F1085,'LEAID Match'!$A$2:$C$2979,3,FALSE)</f>
        <v>2007350</v>
      </c>
    </row>
    <row r="1086" spans="1:11" x14ac:dyDescent="0.2">
      <c r="A1086">
        <v>2009630</v>
      </c>
      <c r="B1086">
        <v>2018</v>
      </c>
      <c r="C1086" t="s">
        <v>6</v>
      </c>
      <c r="D1086" t="s">
        <v>7</v>
      </c>
      <c r="E1086" t="s">
        <v>8</v>
      </c>
      <c r="F1086" s="3">
        <v>4996</v>
      </c>
      <c r="G1086" s="3" t="s">
        <v>82</v>
      </c>
      <c r="H1086" s="1">
        <v>204456</v>
      </c>
      <c r="I1086" s="21">
        <v>0</v>
      </c>
      <c r="J1086" s="21">
        <v>204456</v>
      </c>
      <c r="K1086">
        <f>VLOOKUP(F1086,'LEAID Match'!$A$2:$C$2979,3,FALSE)</f>
        <v>2009630</v>
      </c>
    </row>
    <row r="1087" spans="1:11" x14ac:dyDescent="0.2">
      <c r="A1087">
        <v>2009960</v>
      </c>
      <c r="B1087">
        <v>2018</v>
      </c>
      <c r="C1087" t="s">
        <v>6</v>
      </c>
      <c r="D1087" t="s">
        <v>7</v>
      </c>
      <c r="E1087" t="s">
        <v>8</v>
      </c>
      <c r="F1087" s="3">
        <v>4997</v>
      </c>
      <c r="G1087" s="3" t="s">
        <v>83</v>
      </c>
      <c r="H1087" s="1">
        <v>3260183</v>
      </c>
      <c r="I1087" s="1">
        <v>0</v>
      </c>
      <c r="J1087" s="1">
        <v>3260183</v>
      </c>
      <c r="K1087">
        <f>VLOOKUP(F1087,'LEAID Match'!$A$2:$C$2979,3,FALSE)</f>
        <v>2009960</v>
      </c>
    </row>
    <row r="1088" spans="1:11" x14ac:dyDescent="0.2">
      <c r="A1088">
        <v>2012030</v>
      </c>
      <c r="B1088">
        <v>2018</v>
      </c>
      <c r="C1088" t="s">
        <v>6</v>
      </c>
      <c r="D1088" t="s">
        <v>7</v>
      </c>
      <c r="E1088" t="s">
        <v>8</v>
      </c>
      <c r="F1088">
        <v>4998</v>
      </c>
      <c r="G1088" t="s">
        <v>84</v>
      </c>
      <c r="H1088" s="1">
        <v>396135</v>
      </c>
      <c r="I1088" s="1">
        <v>0</v>
      </c>
      <c r="J1088" s="1">
        <v>396135</v>
      </c>
      <c r="K1088">
        <f>VLOOKUP(F1088,'LEAID Match'!$A$2:$C$2979,3,FALSE)</f>
        <v>2012030</v>
      </c>
    </row>
    <row r="1089" spans="1:11" x14ac:dyDescent="0.2">
      <c r="A1089">
        <v>2009180</v>
      </c>
      <c r="B1089">
        <v>2018</v>
      </c>
      <c r="C1089" t="s">
        <v>6</v>
      </c>
      <c r="D1089" t="s">
        <v>7</v>
      </c>
      <c r="E1089" t="s">
        <v>8</v>
      </c>
      <c r="F1089">
        <v>4999</v>
      </c>
      <c r="G1089" t="s">
        <v>352</v>
      </c>
      <c r="H1089" s="1">
        <v>5398053</v>
      </c>
      <c r="I1089" s="1">
        <v>0</v>
      </c>
      <c r="J1089" s="1">
        <v>5398053</v>
      </c>
      <c r="K1089">
        <f>VLOOKUP(F1089,'LEAID Match'!$A$2:$C$2979,3,FALSE)</f>
        <v>2009180</v>
      </c>
    </row>
    <row r="1090" spans="1:11" x14ac:dyDescent="0.2">
      <c r="A1090">
        <v>2003360</v>
      </c>
      <c r="B1090">
        <v>2018</v>
      </c>
      <c r="C1090" t="s">
        <v>6</v>
      </c>
      <c r="D1090" t="s">
        <v>7</v>
      </c>
      <c r="E1090" t="s">
        <v>8</v>
      </c>
      <c r="F1090">
        <v>5000</v>
      </c>
      <c r="G1090" t="s">
        <v>86</v>
      </c>
      <c r="H1090" s="1">
        <v>3339758</v>
      </c>
      <c r="I1090" s="1">
        <v>0</v>
      </c>
      <c r="J1090" s="1">
        <v>3339758</v>
      </c>
      <c r="K1090">
        <f>VLOOKUP(F1090,'LEAID Match'!$A$2:$C$2979,3,FALSE)</f>
        <v>2003360</v>
      </c>
    </row>
    <row r="1091" spans="1:11" x14ac:dyDescent="0.2">
      <c r="A1091">
        <v>2009090</v>
      </c>
      <c r="B1091">
        <v>2018</v>
      </c>
      <c r="C1091" t="s">
        <v>6</v>
      </c>
      <c r="D1091" t="s">
        <v>7</v>
      </c>
      <c r="E1091" t="s">
        <v>8</v>
      </c>
      <c r="F1091">
        <v>5001</v>
      </c>
      <c r="G1091" t="s">
        <v>87</v>
      </c>
      <c r="H1091" s="20">
        <v>235833</v>
      </c>
      <c r="I1091" s="1">
        <v>0</v>
      </c>
      <c r="J1091" s="1">
        <v>235833</v>
      </c>
      <c r="K1091">
        <f>VLOOKUP(F1091,'LEAID Match'!$A$2:$C$2979,3,FALSE)</f>
        <v>2009090</v>
      </c>
    </row>
    <row r="1092" spans="1:11" x14ac:dyDescent="0.2">
      <c r="A1092">
        <v>2006870</v>
      </c>
      <c r="B1092">
        <v>2018</v>
      </c>
      <c r="C1092" t="s">
        <v>6</v>
      </c>
      <c r="D1092" t="s">
        <v>7</v>
      </c>
      <c r="E1092" t="s">
        <v>8</v>
      </c>
      <c r="F1092">
        <v>5002</v>
      </c>
      <c r="G1092" t="s">
        <v>88</v>
      </c>
      <c r="H1092" s="1">
        <v>81551</v>
      </c>
      <c r="I1092" s="1">
        <v>0</v>
      </c>
      <c r="J1092" s="1">
        <v>81551</v>
      </c>
      <c r="K1092">
        <f>VLOOKUP(F1092,'LEAID Match'!$A$2:$C$2979,3,FALSE)</f>
        <v>2006870</v>
      </c>
    </row>
    <row r="1093" spans="1:11" x14ac:dyDescent="0.2">
      <c r="A1093">
        <v>2011250</v>
      </c>
      <c r="B1093">
        <v>2018</v>
      </c>
      <c r="C1093" t="s">
        <v>6</v>
      </c>
      <c r="D1093" t="s">
        <v>7</v>
      </c>
      <c r="E1093" t="s">
        <v>8</v>
      </c>
      <c r="F1093">
        <v>5004</v>
      </c>
      <c r="G1093" s="9" t="s">
        <v>89</v>
      </c>
      <c r="H1093" s="1">
        <v>1002492</v>
      </c>
      <c r="I1093" s="1">
        <v>0</v>
      </c>
      <c r="J1093" s="1">
        <v>1002492</v>
      </c>
      <c r="K1093">
        <f>VLOOKUP(F1093,'LEAID Match'!$A$2:$C$2979,3,FALSE)</f>
        <v>2011250</v>
      </c>
    </row>
    <row r="1094" spans="1:11" x14ac:dyDescent="0.2">
      <c r="A1094">
        <v>2005610</v>
      </c>
      <c r="B1094">
        <v>2018</v>
      </c>
      <c r="C1094" t="s">
        <v>6</v>
      </c>
      <c r="D1094" t="s">
        <v>7</v>
      </c>
      <c r="E1094" t="s">
        <v>8</v>
      </c>
      <c r="F1094" s="3">
        <v>5005</v>
      </c>
      <c r="G1094" s="3" t="s">
        <v>90</v>
      </c>
      <c r="H1094" s="1">
        <v>546423</v>
      </c>
      <c r="I1094" s="21">
        <v>0</v>
      </c>
      <c r="J1094" s="21">
        <v>546423</v>
      </c>
      <c r="K1094">
        <f>VLOOKUP(F1094,'LEAID Match'!$A$2:$C$2979,3,FALSE)</f>
        <v>2005610</v>
      </c>
    </row>
    <row r="1095" spans="1:11" x14ac:dyDescent="0.2">
      <c r="A1095">
        <v>2010590</v>
      </c>
      <c r="B1095">
        <v>2018</v>
      </c>
      <c r="C1095" t="s">
        <v>6</v>
      </c>
      <c r="D1095" t="s">
        <v>7</v>
      </c>
      <c r="E1095" t="s">
        <v>8</v>
      </c>
      <c r="F1095" s="3">
        <v>5006</v>
      </c>
      <c r="G1095" s="3" t="s">
        <v>91</v>
      </c>
      <c r="H1095" s="1">
        <v>210785</v>
      </c>
      <c r="I1095" s="1">
        <v>0</v>
      </c>
      <c r="J1095" s="1">
        <v>210785</v>
      </c>
      <c r="K1095">
        <f>VLOOKUP(F1095,'LEAID Match'!$A$2:$C$2979,3,FALSE)</f>
        <v>2010590</v>
      </c>
    </row>
    <row r="1096" spans="1:11" x14ac:dyDescent="0.2">
      <c r="A1096">
        <v>2009850</v>
      </c>
      <c r="B1096">
        <v>2018</v>
      </c>
      <c r="C1096" t="s">
        <v>6</v>
      </c>
      <c r="D1096" t="s">
        <v>7</v>
      </c>
      <c r="E1096" t="s">
        <v>8</v>
      </c>
      <c r="F1096">
        <v>5007</v>
      </c>
      <c r="G1096" t="s">
        <v>143</v>
      </c>
      <c r="H1096" s="1">
        <v>138820</v>
      </c>
      <c r="I1096" s="1">
        <v>0</v>
      </c>
      <c r="J1096" s="1">
        <v>138820</v>
      </c>
      <c r="K1096">
        <f>VLOOKUP(F1096,'LEAID Match'!$A$2:$C$2979,3,FALSE)</f>
        <v>2009850</v>
      </c>
    </row>
    <row r="1097" spans="1:11" x14ac:dyDescent="0.2">
      <c r="A1097">
        <v>2011130</v>
      </c>
      <c r="B1097">
        <v>2018</v>
      </c>
      <c r="C1097" t="s">
        <v>6</v>
      </c>
      <c r="D1097" t="s">
        <v>7</v>
      </c>
      <c r="E1097" t="s">
        <v>8</v>
      </c>
      <c r="F1097">
        <v>5008</v>
      </c>
      <c r="G1097" t="s">
        <v>92</v>
      </c>
      <c r="H1097" s="1">
        <v>581526</v>
      </c>
      <c r="I1097" s="1">
        <v>0</v>
      </c>
      <c r="J1097" s="1">
        <v>581526</v>
      </c>
      <c r="K1097">
        <f>VLOOKUP(F1097,'LEAID Match'!$A$2:$C$2979,3,FALSE)</f>
        <v>2011130</v>
      </c>
    </row>
    <row r="1098" spans="1:11" x14ac:dyDescent="0.2">
      <c r="A1098">
        <v>2003540</v>
      </c>
      <c r="B1098">
        <v>2018</v>
      </c>
      <c r="C1098" t="s">
        <v>6</v>
      </c>
      <c r="D1098" t="s">
        <v>7</v>
      </c>
      <c r="E1098" t="s">
        <v>8</v>
      </c>
      <c r="F1098">
        <v>5010</v>
      </c>
      <c r="G1098" t="s">
        <v>93</v>
      </c>
      <c r="H1098" s="1">
        <v>1396967</v>
      </c>
      <c r="I1098" s="1">
        <v>0</v>
      </c>
      <c r="J1098" s="1">
        <v>1396967</v>
      </c>
      <c r="K1098">
        <f>VLOOKUP(F1098,'LEAID Match'!$A$2:$C$2979,3,FALSE)</f>
        <v>2003540</v>
      </c>
    </row>
    <row r="1099" spans="1:11" x14ac:dyDescent="0.2">
      <c r="A1099">
        <v>2010230</v>
      </c>
      <c r="B1099">
        <v>2018</v>
      </c>
      <c r="C1099" t="s">
        <v>6</v>
      </c>
      <c r="D1099" t="s">
        <v>7</v>
      </c>
      <c r="E1099" t="s">
        <v>8</v>
      </c>
      <c r="F1099">
        <v>5011</v>
      </c>
      <c r="G1099" t="s">
        <v>94</v>
      </c>
      <c r="H1099" s="20">
        <v>479264</v>
      </c>
      <c r="I1099" s="1">
        <v>0</v>
      </c>
      <c r="J1099" s="1">
        <v>479264</v>
      </c>
      <c r="K1099">
        <f>VLOOKUP(F1099,'LEAID Match'!$A$2:$C$2979,3,FALSE)</f>
        <v>2010230</v>
      </c>
    </row>
    <row r="1100" spans="1:11" x14ac:dyDescent="0.2">
      <c r="A1100">
        <v>2009000</v>
      </c>
      <c r="B1100">
        <v>2018</v>
      </c>
      <c r="C1100" t="s">
        <v>6</v>
      </c>
      <c r="D1100" t="s">
        <v>7</v>
      </c>
      <c r="E1100" t="s">
        <v>8</v>
      </c>
      <c r="F1100">
        <v>5012</v>
      </c>
      <c r="G1100" t="s">
        <v>95</v>
      </c>
      <c r="H1100" s="1">
        <v>316427</v>
      </c>
      <c r="I1100" s="1">
        <v>0</v>
      </c>
      <c r="J1100" s="1">
        <v>316427</v>
      </c>
      <c r="K1100">
        <f>VLOOKUP(F1100,'LEAID Match'!$A$2:$C$2979,3,FALSE)</f>
        <v>2009000</v>
      </c>
    </row>
    <row r="1101" spans="1:11" x14ac:dyDescent="0.2">
      <c r="A1101">
        <v>2005580</v>
      </c>
      <c r="B1101">
        <v>2018</v>
      </c>
      <c r="C1101" t="s">
        <v>6</v>
      </c>
      <c r="D1101" t="s">
        <v>7</v>
      </c>
      <c r="E1101" t="s">
        <v>8</v>
      </c>
      <c r="F1101">
        <v>5013</v>
      </c>
      <c r="G1101" s="9" t="s">
        <v>96</v>
      </c>
      <c r="H1101" s="1">
        <v>5497940</v>
      </c>
      <c r="I1101" s="1">
        <v>0</v>
      </c>
      <c r="J1101" s="1">
        <v>5497940</v>
      </c>
      <c r="K1101">
        <f>VLOOKUP(F1101,'LEAID Match'!$A$2:$C$2979,3,FALSE)</f>
        <v>2005580</v>
      </c>
    </row>
    <row r="1102" spans="1:11" x14ac:dyDescent="0.2">
      <c r="A1102">
        <v>2007650</v>
      </c>
      <c r="B1102">
        <v>2018</v>
      </c>
      <c r="C1102" t="s">
        <v>6</v>
      </c>
      <c r="D1102" t="s">
        <v>7</v>
      </c>
      <c r="E1102" t="s">
        <v>8</v>
      </c>
      <c r="F1102" s="3">
        <v>5014</v>
      </c>
      <c r="G1102" s="3" t="s">
        <v>97</v>
      </c>
      <c r="H1102" s="22">
        <v>1365518</v>
      </c>
      <c r="I1102" s="1">
        <v>0</v>
      </c>
      <c r="J1102" s="1">
        <v>1365518</v>
      </c>
      <c r="K1102">
        <f>VLOOKUP(F1102,'LEAID Match'!$A$2:$C$2979,3,FALSE)</f>
        <v>2007650</v>
      </c>
    </row>
    <row r="1103" spans="1:11" x14ac:dyDescent="0.2">
      <c r="A1103">
        <v>2007710</v>
      </c>
      <c r="B1103">
        <v>2018</v>
      </c>
      <c r="C1103" t="s">
        <v>6</v>
      </c>
      <c r="D1103" t="s">
        <v>7</v>
      </c>
      <c r="E1103" t="s">
        <v>8</v>
      </c>
      <c r="F1103" s="3">
        <v>5015</v>
      </c>
      <c r="G1103" s="3" t="s">
        <v>98</v>
      </c>
      <c r="H1103" s="1">
        <v>320706</v>
      </c>
      <c r="I1103" s="21">
        <v>0</v>
      </c>
      <c r="J1103" s="21">
        <v>320706</v>
      </c>
      <c r="K1103">
        <f>VLOOKUP(F1103,'LEAID Match'!$A$2:$C$2979,3,FALSE)</f>
        <v>2007710</v>
      </c>
    </row>
    <row r="1104" spans="1:11" x14ac:dyDescent="0.2">
      <c r="A1104">
        <v>2005640</v>
      </c>
      <c r="B1104">
        <v>2018</v>
      </c>
      <c r="C1104" t="s">
        <v>6</v>
      </c>
      <c r="D1104" t="s">
        <v>7</v>
      </c>
      <c r="E1104" t="s">
        <v>8</v>
      </c>
      <c r="F1104" s="3">
        <v>5016</v>
      </c>
      <c r="G1104" s="3" t="s">
        <v>99</v>
      </c>
      <c r="H1104" s="1">
        <v>471611</v>
      </c>
      <c r="I1104" s="1">
        <v>0</v>
      </c>
      <c r="J1104" s="1">
        <v>471611</v>
      </c>
      <c r="K1104">
        <f>VLOOKUP(F1104,'LEAID Match'!$A$2:$C$2979,3,FALSE)</f>
        <v>2005640</v>
      </c>
    </row>
    <row r="1105" spans="1:11" x14ac:dyDescent="0.2">
      <c r="A1105">
        <v>2008430</v>
      </c>
      <c r="B1105">
        <v>2018</v>
      </c>
      <c r="C1105" t="s">
        <v>6</v>
      </c>
      <c r="D1105" t="s">
        <v>7</v>
      </c>
      <c r="E1105" t="s">
        <v>8</v>
      </c>
      <c r="F1105">
        <v>5017</v>
      </c>
      <c r="G1105" t="s">
        <v>100</v>
      </c>
      <c r="H1105" s="1">
        <v>3060192</v>
      </c>
      <c r="I1105" s="1">
        <v>0</v>
      </c>
      <c r="J1105" s="1">
        <v>3060192</v>
      </c>
      <c r="K1105">
        <f>VLOOKUP(F1105,'LEAID Match'!$A$2:$C$2979,3,FALSE)</f>
        <v>2008430</v>
      </c>
    </row>
    <row r="1106" spans="1:11" x14ac:dyDescent="0.2">
      <c r="A1106">
        <v>2009480</v>
      </c>
      <c r="B1106">
        <v>2018</v>
      </c>
      <c r="C1106" t="s">
        <v>6</v>
      </c>
      <c r="D1106" t="s">
        <v>7</v>
      </c>
      <c r="E1106" t="s">
        <v>8</v>
      </c>
      <c r="F1106">
        <v>5018</v>
      </c>
      <c r="G1106" t="s">
        <v>101</v>
      </c>
      <c r="H1106" s="1">
        <v>224638</v>
      </c>
      <c r="I1106" s="1">
        <v>0</v>
      </c>
      <c r="J1106" s="1">
        <v>224638</v>
      </c>
      <c r="K1106">
        <f>VLOOKUP(F1106,'LEAID Match'!$A$2:$C$2979,3,FALSE)</f>
        <v>2009480</v>
      </c>
    </row>
    <row r="1107" spans="1:11" x14ac:dyDescent="0.2">
      <c r="A1107">
        <v>2003450</v>
      </c>
      <c r="B1107">
        <v>2018</v>
      </c>
      <c r="C1107" t="s">
        <v>6</v>
      </c>
      <c r="D1107" t="s">
        <v>7</v>
      </c>
      <c r="E1107" t="s">
        <v>8</v>
      </c>
      <c r="F1107">
        <v>5019</v>
      </c>
      <c r="G1107" t="s">
        <v>102</v>
      </c>
      <c r="H1107" s="1">
        <v>2100406</v>
      </c>
      <c r="I1107" s="1">
        <v>0</v>
      </c>
      <c r="J1107" s="1">
        <v>2100406</v>
      </c>
      <c r="K1107">
        <f>VLOOKUP(F1107,'LEAID Match'!$A$2:$C$2979,3,FALSE)</f>
        <v>2003450</v>
      </c>
    </row>
    <row r="1108" spans="1:11" x14ac:dyDescent="0.2">
      <c r="A1108">
        <v>2007890</v>
      </c>
      <c r="B1108">
        <v>2018</v>
      </c>
      <c r="C1108" t="s">
        <v>6</v>
      </c>
      <c r="D1108" t="s">
        <v>7</v>
      </c>
      <c r="E1108" t="s">
        <v>8</v>
      </c>
      <c r="F1108">
        <v>5020</v>
      </c>
      <c r="G1108" t="s">
        <v>103</v>
      </c>
      <c r="H1108" s="20">
        <v>6589894</v>
      </c>
      <c r="I1108" s="1">
        <v>0</v>
      </c>
      <c r="J1108" s="1">
        <v>6589894</v>
      </c>
      <c r="K1108">
        <f>VLOOKUP(F1108,'LEAID Match'!$A$2:$C$2979,3,FALSE)</f>
        <v>2007890</v>
      </c>
    </row>
    <row r="1109" spans="1:11" x14ac:dyDescent="0.2">
      <c r="A1109">
        <v>2007680</v>
      </c>
      <c r="B1109">
        <v>2018</v>
      </c>
      <c r="C1109" t="s">
        <v>6</v>
      </c>
      <c r="D1109" t="s">
        <v>7</v>
      </c>
      <c r="E1109" t="s">
        <v>8</v>
      </c>
      <c r="F1109">
        <v>5021</v>
      </c>
      <c r="G1109" t="s">
        <v>104</v>
      </c>
      <c r="H1109" s="1">
        <v>205075</v>
      </c>
      <c r="I1109" s="1">
        <v>0</v>
      </c>
      <c r="J1109" s="1">
        <v>205075</v>
      </c>
      <c r="K1109">
        <f>VLOOKUP(F1109,'LEAID Match'!$A$2:$C$2979,3,FALSE)</f>
        <v>2007680</v>
      </c>
    </row>
    <row r="1110" spans="1:11" x14ac:dyDescent="0.2">
      <c r="A1110">
        <v>2008730</v>
      </c>
      <c r="B1110">
        <v>2018</v>
      </c>
      <c r="C1110" t="s">
        <v>6</v>
      </c>
      <c r="D1110" t="s">
        <v>7</v>
      </c>
      <c r="E1110" t="s">
        <v>8</v>
      </c>
      <c r="F1110">
        <v>5022</v>
      </c>
      <c r="G1110" s="9" t="s">
        <v>105</v>
      </c>
      <c r="H1110" s="1">
        <v>3925597</v>
      </c>
      <c r="I1110" s="1">
        <v>0</v>
      </c>
      <c r="J1110" s="1">
        <v>3925597</v>
      </c>
      <c r="K1110">
        <f>VLOOKUP(F1110,'LEAID Match'!$A$2:$C$2979,3,FALSE)</f>
        <v>2008730</v>
      </c>
    </row>
    <row r="1111" spans="1:11" x14ac:dyDescent="0.2">
      <c r="A1111">
        <v>2008280</v>
      </c>
      <c r="B1111">
        <v>2018</v>
      </c>
      <c r="C1111" t="s">
        <v>6</v>
      </c>
      <c r="D1111" t="s">
        <v>7</v>
      </c>
      <c r="E1111" t="s">
        <v>8</v>
      </c>
      <c r="F1111" s="3">
        <v>5024</v>
      </c>
      <c r="G1111" s="3" t="s">
        <v>106</v>
      </c>
      <c r="H1111" s="22">
        <v>529323</v>
      </c>
      <c r="I1111" s="1">
        <v>0</v>
      </c>
      <c r="J1111" s="1">
        <v>529323</v>
      </c>
      <c r="K1111">
        <f>VLOOKUP(F1111,'LEAID Match'!$A$2:$C$2979,3,FALSE)</f>
        <v>2008280</v>
      </c>
    </row>
    <row r="1112" spans="1:11" x14ac:dyDescent="0.2">
      <c r="A1112">
        <v>2006180</v>
      </c>
      <c r="B1112">
        <v>2018</v>
      </c>
      <c r="C1112" t="s">
        <v>6</v>
      </c>
      <c r="D1112" t="s">
        <v>7</v>
      </c>
      <c r="E1112" t="s">
        <v>8</v>
      </c>
      <c r="F1112" s="3">
        <v>5025</v>
      </c>
      <c r="G1112" s="3" t="s">
        <v>107</v>
      </c>
      <c r="H1112" s="1">
        <v>1475474</v>
      </c>
      <c r="I1112" s="21">
        <v>0</v>
      </c>
      <c r="J1112" s="21">
        <v>1475474</v>
      </c>
      <c r="K1112">
        <f>VLOOKUP(F1112,'LEAID Match'!$A$2:$C$2979,3,FALSE)</f>
        <v>2006180</v>
      </c>
    </row>
    <row r="1113" spans="1:11" x14ac:dyDescent="0.2">
      <c r="A1113">
        <v>2003210</v>
      </c>
      <c r="B1113">
        <v>2018</v>
      </c>
      <c r="C1113" t="s">
        <v>6</v>
      </c>
      <c r="D1113" t="s">
        <v>7</v>
      </c>
      <c r="E1113" t="s">
        <v>8</v>
      </c>
      <c r="F1113" s="3">
        <v>5026</v>
      </c>
      <c r="G1113" s="3" t="s">
        <v>108</v>
      </c>
      <c r="H1113" s="1">
        <v>347008</v>
      </c>
      <c r="I1113" s="1">
        <v>0</v>
      </c>
      <c r="J1113" s="1">
        <v>347008</v>
      </c>
      <c r="K1113">
        <f>VLOOKUP(F1113,'LEAID Match'!$A$2:$C$2979,3,FALSE)</f>
        <v>2003210</v>
      </c>
    </row>
    <row r="1114" spans="1:11" x14ac:dyDescent="0.2">
      <c r="A1114">
        <v>2007050</v>
      </c>
      <c r="B1114">
        <v>2018</v>
      </c>
      <c r="C1114" t="s">
        <v>6</v>
      </c>
      <c r="D1114" t="s">
        <v>7</v>
      </c>
      <c r="E1114" t="s">
        <v>8</v>
      </c>
      <c r="F1114">
        <v>5027</v>
      </c>
      <c r="G1114" t="s">
        <v>109</v>
      </c>
      <c r="H1114" s="1">
        <v>4741804</v>
      </c>
      <c r="I1114" s="1">
        <v>0</v>
      </c>
      <c r="J1114" s="1">
        <v>4741804</v>
      </c>
      <c r="K1114">
        <f>VLOOKUP(F1114,'LEAID Match'!$A$2:$C$2979,3,FALSE)</f>
        <v>2007050</v>
      </c>
    </row>
    <row r="1115" spans="1:11" x14ac:dyDescent="0.2">
      <c r="A1115">
        <v>2011080</v>
      </c>
      <c r="B1115">
        <v>2018</v>
      </c>
      <c r="C1115" t="s">
        <v>6</v>
      </c>
      <c r="D1115" t="s">
        <v>7</v>
      </c>
      <c r="E1115" t="s">
        <v>8</v>
      </c>
      <c r="F1115">
        <v>5028</v>
      </c>
      <c r="G1115" t="s">
        <v>110</v>
      </c>
      <c r="H1115" s="1">
        <v>1274108</v>
      </c>
      <c r="I1115" s="1">
        <v>0</v>
      </c>
      <c r="J1115" s="1">
        <v>1274108</v>
      </c>
      <c r="K1115">
        <f>VLOOKUP(F1115,'LEAID Match'!$A$2:$C$2979,3,FALSE)</f>
        <v>2011080</v>
      </c>
    </row>
    <row r="1116" spans="1:11" x14ac:dyDescent="0.2">
      <c r="A1116">
        <v>2000014</v>
      </c>
      <c r="B1116">
        <v>2018</v>
      </c>
      <c r="C1116" t="s">
        <v>6</v>
      </c>
      <c r="D1116" t="s">
        <v>7</v>
      </c>
      <c r="E1116" t="s">
        <v>8</v>
      </c>
      <c r="F1116">
        <v>5029</v>
      </c>
      <c r="G1116" t="s">
        <v>111</v>
      </c>
      <c r="H1116" s="1">
        <v>507329</v>
      </c>
      <c r="I1116" s="1">
        <v>0</v>
      </c>
      <c r="J1116" s="1">
        <v>507329</v>
      </c>
      <c r="K1116">
        <f>VLOOKUP(F1116,'LEAID Match'!$A$2:$C$2979,3,FALSE)</f>
        <v>2000014</v>
      </c>
    </row>
    <row r="1117" spans="1:11" x14ac:dyDescent="0.2">
      <c r="A1117">
        <v>2011370</v>
      </c>
      <c r="B1117">
        <v>2018</v>
      </c>
      <c r="C1117" t="s">
        <v>6</v>
      </c>
      <c r="D1117" t="s">
        <v>7</v>
      </c>
      <c r="E1117" t="s">
        <v>8</v>
      </c>
      <c r="F1117">
        <v>5031</v>
      </c>
      <c r="G1117" t="s">
        <v>112</v>
      </c>
      <c r="H1117" s="20">
        <v>7919218</v>
      </c>
      <c r="I1117" s="1">
        <v>0</v>
      </c>
      <c r="J1117" s="1">
        <v>7919218</v>
      </c>
      <c r="K1117">
        <f>VLOOKUP(F1117,'LEAID Match'!$A$2:$C$2979,3,FALSE)</f>
        <v>2011370</v>
      </c>
    </row>
    <row r="1118" spans="1:11" x14ac:dyDescent="0.2">
      <c r="A1118">
        <v>2003390</v>
      </c>
      <c r="B1118">
        <v>2018</v>
      </c>
      <c r="C1118" t="s">
        <v>6</v>
      </c>
      <c r="D1118" t="s">
        <v>7</v>
      </c>
      <c r="E1118" t="s">
        <v>8</v>
      </c>
      <c r="F1118">
        <v>5032</v>
      </c>
      <c r="G1118" t="s">
        <v>359</v>
      </c>
      <c r="H1118" s="1">
        <v>658275</v>
      </c>
      <c r="I1118" s="1">
        <v>0</v>
      </c>
      <c r="J1118" s="1">
        <v>658275</v>
      </c>
      <c r="K1118">
        <f>VLOOKUP(F1118,'LEAID Match'!$A$2:$C$2979,3,FALSE)</f>
        <v>2003390</v>
      </c>
    </row>
    <row r="1119" spans="1:11" x14ac:dyDescent="0.2">
      <c r="A1119">
        <v>2011100</v>
      </c>
      <c r="B1119">
        <v>2018</v>
      </c>
      <c r="C1119" t="s">
        <v>6</v>
      </c>
      <c r="D1119" t="s">
        <v>7</v>
      </c>
      <c r="E1119" t="s">
        <v>8</v>
      </c>
      <c r="F1119">
        <v>5033</v>
      </c>
      <c r="G1119" s="9" t="s">
        <v>114</v>
      </c>
      <c r="H1119" s="1">
        <v>454458</v>
      </c>
      <c r="I1119" s="1">
        <v>0</v>
      </c>
      <c r="J1119" s="1">
        <v>454458</v>
      </c>
      <c r="K1119">
        <f>VLOOKUP(F1119,'LEAID Match'!$A$2:$C$2979,3,FALSE)</f>
        <v>2011100</v>
      </c>
    </row>
    <row r="1120" spans="1:11" x14ac:dyDescent="0.2">
      <c r="A1120">
        <v>2004020</v>
      </c>
      <c r="B1120">
        <v>2018</v>
      </c>
      <c r="C1120" t="s">
        <v>6</v>
      </c>
      <c r="D1120" t="s">
        <v>7</v>
      </c>
      <c r="E1120" t="s">
        <v>8</v>
      </c>
      <c r="F1120" s="3">
        <v>5034</v>
      </c>
      <c r="G1120" s="3" t="s">
        <v>115</v>
      </c>
      <c r="H1120" s="22">
        <v>224414</v>
      </c>
      <c r="I1120" s="1">
        <v>0</v>
      </c>
      <c r="J1120" s="1">
        <v>224414</v>
      </c>
      <c r="K1120">
        <f>VLOOKUP(F1120,'LEAID Match'!$A$2:$C$2979,3,FALSE)</f>
        <v>2004020</v>
      </c>
    </row>
    <row r="1121" spans="1:11" x14ac:dyDescent="0.2">
      <c r="A1121">
        <v>2004590</v>
      </c>
      <c r="B1121">
        <v>2018</v>
      </c>
      <c r="C1121" t="s">
        <v>6</v>
      </c>
      <c r="D1121" t="s">
        <v>7</v>
      </c>
      <c r="E1121" t="s">
        <v>8</v>
      </c>
      <c r="F1121" s="3">
        <v>5035</v>
      </c>
      <c r="G1121" s="3" t="s">
        <v>116</v>
      </c>
      <c r="H1121" s="1">
        <v>1210952</v>
      </c>
      <c r="I1121" s="21">
        <v>0</v>
      </c>
      <c r="J1121" s="21">
        <v>1210952</v>
      </c>
      <c r="K1121">
        <f>VLOOKUP(F1121,'LEAID Match'!$A$2:$C$2979,3,FALSE)</f>
        <v>2004590</v>
      </c>
    </row>
    <row r="1122" spans="1:11" x14ac:dyDescent="0.2">
      <c r="A1122">
        <v>2000006</v>
      </c>
      <c r="B1122">
        <v>2018</v>
      </c>
      <c r="C1122" t="s">
        <v>6</v>
      </c>
      <c r="D1122" t="s">
        <v>7</v>
      </c>
      <c r="E1122" t="s">
        <v>8</v>
      </c>
      <c r="F1122" s="3">
        <v>5036</v>
      </c>
      <c r="G1122" s="3" t="s">
        <v>117</v>
      </c>
      <c r="H1122" s="1">
        <v>663420</v>
      </c>
      <c r="I1122" s="1">
        <v>0</v>
      </c>
      <c r="J1122" s="1">
        <v>663420</v>
      </c>
      <c r="K1122">
        <f>VLOOKUP(F1122,'LEAID Match'!$A$2:$C$2979,3,FALSE)</f>
        <v>2000006</v>
      </c>
    </row>
    <row r="1123" spans="1:11" x14ac:dyDescent="0.2">
      <c r="A1123">
        <v>2009390</v>
      </c>
      <c r="B1123">
        <v>2018</v>
      </c>
      <c r="C1123" t="s">
        <v>6</v>
      </c>
      <c r="D1123" t="s">
        <v>7</v>
      </c>
      <c r="E1123" t="s">
        <v>8</v>
      </c>
      <c r="F1123">
        <v>5037</v>
      </c>
      <c r="G1123" t="s">
        <v>118</v>
      </c>
      <c r="H1123" s="1">
        <v>2684773</v>
      </c>
      <c r="I1123" s="1">
        <v>0</v>
      </c>
      <c r="J1123" s="1">
        <v>2684773</v>
      </c>
      <c r="K1123">
        <f>VLOOKUP(F1123,'LEAID Match'!$A$2:$C$2979,3,FALSE)</f>
        <v>2009390</v>
      </c>
    </row>
    <row r="1124" spans="1:11" x14ac:dyDescent="0.2">
      <c r="A1124">
        <v>2006720</v>
      </c>
      <c r="B1124">
        <v>2018</v>
      </c>
      <c r="C1124" t="s">
        <v>6</v>
      </c>
      <c r="D1124" t="s">
        <v>7</v>
      </c>
      <c r="E1124" t="s">
        <v>8</v>
      </c>
      <c r="F1124">
        <v>5038</v>
      </c>
      <c r="G1124" t="s">
        <v>119</v>
      </c>
      <c r="H1124" s="1">
        <v>258450</v>
      </c>
      <c r="I1124" s="1">
        <v>0</v>
      </c>
      <c r="J1124" s="1">
        <v>258450</v>
      </c>
      <c r="K1124">
        <f>VLOOKUP(F1124,'LEAID Match'!$A$2:$C$2979,3,FALSE)</f>
        <v>2006720</v>
      </c>
    </row>
    <row r="1125" spans="1:11" x14ac:dyDescent="0.2">
      <c r="A1125">
        <v>2011550</v>
      </c>
      <c r="B1125">
        <v>2018</v>
      </c>
      <c r="C1125" t="s">
        <v>6</v>
      </c>
      <c r="D1125" t="s">
        <v>7</v>
      </c>
      <c r="E1125" t="s">
        <v>8</v>
      </c>
      <c r="F1125">
        <v>5039</v>
      </c>
      <c r="G1125" t="s">
        <v>120</v>
      </c>
      <c r="H1125" s="1">
        <v>401753</v>
      </c>
      <c r="I1125" s="1">
        <v>0</v>
      </c>
      <c r="J1125" s="1">
        <v>401753</v>
      </c>
      <c r="K1125">
        <f>VLOOKUP(F1125,'LEAID Match'!$A$2:$C$2979,3,FALSE)</f>
        <v>2011550</v>
      </c>
    </row>
    <row r="1126" spans="1:11" x14ac:dyDescent="0.2">
      <c r="A1126">
        <v>2004980</v>
      </c>
      <c r="B1126">
        <v>2018</v>
      </c>
      <c r="C1126" t="s">
        <v>6</v>
      </c>
      <c r="D1126" t="s">
        <v>7</v>
      </c>
      <c r="E1126" t="s">
        <v>8</v>
      </c>
      <c r="F1126">
        <v>5040</v>
      </c>
      <c r="G1126" t="s">
        <v>121</v>
      </c>
      <c r="H1126" s="20">
        <v>1133585</v>
      </c>
      <c r="I1126" s="1">
        <v>0</v>
      </c>
      <c r="J1126" s="1">
        <v>1133585</v>
      </c>
      <c r="K1126">
        <f>VLOOKUP(F1126,'LEAID Match'!$A$2:$C$2979,3,FALSE)</f>
        <v>2004980</v>
      </c>
    </row>
    <row r="1127" spans="1:11" x14ac:dyDescent="0.2">
      <c r="A1127">
        <v>2006390</v>
      </c>
      <c r="B1127">
        <v>2018</v>
      </c>
      <c r="C1127" t="s">
        <v>6</v>
      </c>
      <c r="D1127" t="s">
        <v>7</v>
      </c>
      <c r="E1127" t="s">
        <v>8</v>
      </c>
      <c r="F1127">
        <v>5041</v>
      </c>
      <c r="G1127" t="s">
        <v>122</v>
      </c>
      <c r="H1127" s="1">
        <v>6034326</v>
      </c>
      <c r="I1127" s="1">
        <v>0</v>
      </c>
      <c r="J1127" s="1">
        <v>6034326</v>
      </c>
      <c r="K1127">
        <f>VLOOKUP(F1127,'LEAID Match'!$A$2:$C$2979,3,FALSE)</f>
        <v>2006390</v>
      </c>
    </row>
    <row r="1128" spans="1:11" x14ac:dyDescent="0.2">
      <c r="A1128">
        <v>2003780</v>
      </c>
      <c r="B1128">
        <v>2018</v>
      </c>
      <c r="C1128" t="s">
        <v>6</v>
      </c>
      <c r="D1128" t="s">
        <v>7</v>
      </c>
      <c r="E1128" t="s">
        <v>8</v>
      </c>
      <c r="F1128">
        <v>5042</v>
      </c>
      <c r="G1128" s="9" t="s">
        <v>123</v>
      </c>
      <c r="H1128" s="1">
        <v>1785254</v>
      </c>
      <c r="I1128" s="1">
        <v>0</v>
      </c>
      <c r="J1128" s="1">
        <v>1785254</v>
      </c>
      <c r="K1128">
        <f>VLOOKUP(F1128,'LEAID Match'!$A$2:$C$2979,3,FALSE)</f>
        <v>2003780</v>
      </c>
    </row>
    <row r="1129" spans="1:11" x14ac:dyDescent="0.2">
      <c r="A1129">
        <v>2013050</v>
      </c>
      <c r="B1129">
        <v>2018</v>
      </c>
      <c r="C1129" t="s">
        <v>6</v>
      </c>
      <c r="D1129" t="s">
        <v>7</v>
      </c>
      <c r="E1129" t="s">
        <v>8</v>
      </c>
      <c r="F1129" s="3">
        <v>5043</v>
      </c>
      <c r="G1129" s="3" t="s">
        <v>124</v>
      </c>
      <c r="H1129" s="22">
        <v>2543794</v>
      </c>
      <c r="I1129" s="1">
        <v>0</v>
      </c>
      <c r="J1129" s="1">
        <v>2543794</v>
      </c>
      <c r="K1129">
        <f>VLOOKUP(F1129,'LEAID Match'!$A$2:$C$2979,3,FALSE)</f>
        <v>2013050</v>
      </c>
    </row>
    <row r="1130" spans="1:11" x14ac:dyDescent="0.2">
      <c r="A1130">
        <v>2000012</v>
      </c>
      <c r="B1130">
        <v>2018</v>
      </c>
      <c r="C1130" t="s">
        <v>6</v>
      </c>
      <c r="D1130" t="s">
        <v>7</v>
      </c>
      <c r="E1130" t="s">
        <v>8</v>
      </c>
      <c r="F1130" s="3">
        <v>5056</v>
      </c>
      <c r="G1130" s="3" t="s">
        <v>125</v>
      </c>
      <c r="H1130" s="1">
        <v>287338</v>
      </c>
      <c r="I1130" s="21">
        <v>0</v>
      </c>
      <c r="J1130" s="21">
        <v>287338</v>
      </c>
      <c r="K1130">
        <f>VLOOKUP(F1130,'LEAID Match'!$A$2:$C$2979,3,FALSE)</f>
        <v>2000012</v>
      </c>
    </row>
    <row r="1131" spans="1:11" x14ac:dyDescent="0.2">
      <c r="A1131">
        <v>2007590</v>
      </c>
      <c r="B1131">
        <v>2018</v>
      </c>
      <c r="C1131" t="s">
        <v>6</v>
      </c>
      <c r="D1131" t="s">
        <v>7</v>
      </c>
      <c r="E1131" t="s">
        <v>8</v>
      </c>
      <c r="F1131" s="3">
        <v>5057</v>
      </c>
      <c r="G1131" s="3" t="s">
        <v>126</v>
      </c>
      <c r="H1131" s="1">
        <v>487793</v>
      </c>
      <c r="I1131" s="1">
        <v>0</v>
      </c>
      <c r="J1131" s="1">
        <v>487793</v>
      </c>
      <c r="K1131">
        <f>VLOOKUP(F1131,'LEAID Match'!$A$2:$C$2979,3,FALSE)</f>
        <v>2007590</v>
      </c>
    </row>
    <row r="1132" spans="1:11" x14ac:dyDescent="0.2">
      <c r="A1132">
        <v>2003870</v>
      </c>
      <c r="B1132">
        <v>2018</v>
      </c>
      <c r="C1132" t="s">
        <v>6</v>
      </c>
      <c r="D1132" t="s">
        <v>7</v>
      </c>
      <c r="E1132" t="s">
        <v>8</v>
      </c>
      <c r="F1132">
        <v>5058</v>
      </c>
      <c r="G1132" t="s">
        <v>127</v>
      </c>
      <c r="H1132" s="1">
        <v>988604</v>
      </c>
      <c r="I1132" s="1">
        <v>0</v>
      </c>
      <c r="J1132" s="1">
        <v>988604</v>
      </c>
      <c r="K1132">
        <f>VLOOKUP(F1132,'LEAID Match'!$A$2:$C$2979,3,FALSE)</f>
        <v>2003870</v>
      </c>
    </row>
    <row r="1133" spans="1:11" x14ac:dyDescent="0.2">
      <c r="A1133">
        <v>2005250</v>
      </c>
      <c r="B1133">
        <v>2018</v>
      </c>
      <c r="C1133" t="s">
        <v>6</v>
      </c>
      <c r="D1133" t="s">
        <v>7</v>
      </c>
      <c r="E1133" t="s">
        <v>8</v>
      </c>
      <c r="F1133">
        <v>5059</v>
      </c>
      <c r="G1133" t="s">
        <v>128</v>
      </c>
      <c r="H1133" s="1">
        <v>320568</v>
      </c>
      <c r="I1133" s="1">
        <v>0</v>
      </c>
      <c r="J1133" s="1">
        <v>320568</v>
      </c>
      <c r="K1133">
        <f>VLOOKUP(F1133,'LEAID Match'!$A$2:$C$2979,3,FALSE)</f>
        <v>2005250</v>
      </c>
    </row>
    <row r="1134" spans="1:11" x14ac:dyDescent="0.2">
      <c r="A1134">
        <v>2004500</v>
      </c>
      <c r="B1134">
        <v>2018</v>
      </c>
      <c r="C1134" t="s">
        <v>6</v>
      </c>
      <c r="D1134" t="s">
        <v>7</v>
      </c>
      <c r="E1134" t="s">
        <v>8</v>
      </c>
      <c r="F1134">
        <v>5060</v>
      </c>
      <c r="G1134" t="s">
        <v>129</v>
      </c>
      <c r="H1134" s="1">
        <v>144210</v>
      </c>
      <c r="I1134" s="1">
        <v>0</v>
      </c>
      <c r="J1134" s="1">
        <v>144210</v>
      </c>
      <c r="K1134">
        <f>VLOOKUP(F1134,'LEAID Match'!$A$2:$C$2979,3,FALSE)</f>
        <v>2004500</v>
      </c>
    </row>
    <row r="1135" spans="1:11" x14ac:dyDescent="0.2">
      <c r="A1135">
        <v>2011520</v>
      </c>
      <c r="B1135">
        <v>2018</v>
      </c>
      <c r="C1135" t="s">
        <v>6</v>
      </c>
      <c r="D1135" t="s">
        <v>7</v>
      </c>
      <c r="E1135" t="s">
        <v>8</v>
      </c>
      <c r="F1135">
        <v>5061</v>
      </c>
      <c r="G1135" t="s">
        <v>130</v>
      </c>
      <c r="H1135" s="20">
        <v>285456</v>
      </c>
      <c r="I1135" s="1">
        <v>0</v>
      </c>
      <c r="J1135" s="1">
        <v>285456</v>
      </c>
      <c r="K1135">
        <f>VLOOKUP(F1135,'LEAID Match'!$A$2:$C$2979,3,FALSE)</f>
        <v>2011520</v>
      </c>
    </row>
    <row r="1136" spans="1:11" x14ac:dyDescent="0.2">
      <c r="A1136">
        <v>2010800</v>
      </c>
      <c r="B1136">
        <v>2018</v>
      </c>
      <c r="C1136" t="s">
        <v>6</v>
      </c>
      <c r="D1136" t="s">
        <v>7</v>
      </c>
      <c r="E1136" t="s">
        <v>8</v>
      </c>
      <c r="F1136">
        <v>5062</v>
      </c>
      <c r="G1136" t="s">
        <v>131</v>
      </c>
      <c r="H1136" s="1">
        <v>579205</v>
      </c>
      <c r="I1136" s="1">
        <v>0</v>
      </c>
      <c r="J1136" s="1">
        <v>579205</v>
      </c>
      <c r="K1136">
        <f>VLOOKUP(F1136,'LEAID Match'!$A$2:$C$2979,3,FALSE)</f>
        <v>2010800</v>
      </c>
    </row>
    <row r="1137" spans="1:11" x14ac:dyDescent="0.2">
      <c r="A1137">
        <v>2005870</v>
      </c>
      <c r="B1137">
        <v>2018</v>
      </c>
      <c r="C1137" t="s">
        <v>6</v>
      </c>
      <c r="D1137" t="s">
        <v>7</v>
      </c>
      <c r="E1137" t="s">
        <v>8</v>
      </c>
      <c r="F1137">
        <v>5063</v>
      </c>
      <c r="G1137" s="9" t="s">
        <v>132</v>
      </c>
      <c r="H1137" s="1">
        <v>446095</v>
      </c>
      <c r="I1137" s="1">
        <v>0</v>
      </c>
      <c r="J1137" s="1">
        <v>446095</v>
      </c>
      <c r="K1137">
        <f>VLOOKUP(F1137,'LEAID Match'!$A$2:$C$2979,3,FALSE)</f>
        <v>2005870</v>
      </c>
    </row>
    <row r="1138" spans="1:11" x14ac:dyDescent="0.2">
      <c r="A1138">
        <v>2012540</v>
      </c>
      <c r="B1138">
        <v>2018</v>
      </c>
      <c r="C1138" t="s">
        <v>6</v>
      </c>
      <c r="D1138" t="s">
        <v>7</v>
      </c>
      <c r="E1138" t="s">
        <v>8</v>
      </c>
      <c r="F1138" s="3">
        <v>5064</v>
      </c>
      <c r="G1138" s="3" t="s">
        <v>133</v>
      </c>
      <c r="H1138" s="22">
        <v>329832</v>
      </c>
      <c r="I1138" s="1">
        <v>0</v>
      </c>
      <c r="J1138" s="1">
        <v>329832</v>
      </c>
      <c r="K1138">
        <f>VLOOKUP(F1138,'LEAID Match'!$A$2:$C$2979,3,FALSE)</f>
        <v>2012540</v>
      </c>
    </row>
    <row r="1139" spans="1:11" x14ac:dyDescent="0.2">
      <c r="A1139">
        <v>2009360</v>
      </c>
      <c r="B1139">
        <v>2018</v>
      </c>
      <c r="C1139" t="s">
        <v>6</v>
      </c>
      <c r="D1139" t="s">
        <v>7</v>
      </c>
      <c r="E1139" t="s">
        <v>8</v>
      </c>
      <c r="F1139" s="3">
        <v>5065</v>
      </c>
      <c r="G1139" s="3" t="s">
        <v>134</v>
      </c>
      <c r="H1139" s="1">
        <v>324437</v>
      </c>
      <c r="I1139" s="21">
        <v>0</v>
      </c>
      <c r="J1139" s="21">
        <v>324437</v>
      </c>
      <c r="K1139">
        <f>VLOOKUP(F1139,'LEAID Match'!$A$2:$C$2979,3,FALSE)</f>
        <v>2009360</v>
      </c>
    </row>
    <row r="1140" spans="1:11" x14ac:dyDescent="0.2">
      <c r="A1140">
        <v>2004560</v>
      </c>
      <c r="B1140">
        <v>2018</v>
      </c>
      <c r="C1140" t="s">
        <v>6</v>
      </c>
      <c r="D1140" t="s">
        <v>7</v>
      </c>
      <c r="E1140" t="s">
        <v>8</v>
      </c>
      <c r="F1140" s="3">
        <v>5066</v>
      </c>
      <c r="G1140" s="3" t="s">
        <v>135</v>
      </c>
      <c r="H1140" s="1">
        <v>390673</v>
      </c>
      <c r="I1140" s="1">
        <v>0</v>
      </c>
      <c r="J1140" s="1">
        <v>390673</v>
      </c>
      <c r="K1140">
        <f>VLOOKUP(F1140,'LEAID Match'!$A$2:$C$2979,3,FALSE)</f>
        <v>2004560</v>
      </c>
    </row>
    <row r="1141" spans="1:11" x14ac:dyDescent="0.2">
      <c r="A1141">
        <v>2006120</v>
      </c>
      <c r="B1141">
        <v>2018</v>
      </c>
      <c r="C1141" t="s">
        <v>6</v>
      </c>
      <c r="D1141" t="s">
        <v>7</v>
      </c>
      <c r="E1141" t="s">
        <v>8</v>
      </c>
      <c r="F1141">
        <v>5067</v>
      </c>
      <c r="G1141" t="s">
        <v>136</v>
      </c>
      <c r="H1141" s="1">
        <v>625945</v>
      </c>
      <c r="I1141" s="1">
        <v>0</v>
      </c>
      <c r="J1141" s="1">
        <v>625945</v>
      </c>
      <c r="K1141">
        <f>VLOOKUP(F1141,'LEAID Match'!$A$2:$C$2979,3,FALSE)</f>
        <v>2006120</v>
      </c>
    </row>
    <row r="1142" spans="1:11" x14ac:dyDescent="0.2">
      <c r="A1142">
        <v>0</v>
      </c>
      <c r="B1142">
        <v>2018</v>
      </c>
      <c r="C1142" t="s">
        <v>6</v>
      </c>
      <c r="D1142" t="s">
        <v>7</v>
      </c>
      <c r="E1142" t="s">
        <v>8</v>
      </c>
      <c r="F1142">
        <v>5068</v>
      </c>
      <c r="G1142" t="s">
        <v>137</v>
      </c>
      <c r="H1142" s="1">
        <v>607210</v>
      </c>
      <c r="I1142" s="1">
        <v>0</v>
      </c>
      <c r="J1142" s="1">
        <v>607210</v>
      </c>
      <c r="K1142">
        <f>VLOOKUP(F1142,'LEAID Match'!$A$2:$C$2979,3,FALSE)</f>
        <v>0</v>
      </c>
    </row>
    <row r="1143" spans="1:11" x14ac:dyDescent="0.2">
      <c r="A1143">
        <v>2006840</v>
      </c>
      <c r="B1143">
        <v>2018</v>
      </c>
      <c r="C1143" t="s">
        <v>6</v>
      </c>
      <c r="D1143" t="s">
        <v>7</v>
      </c>
      <c r="E1143" t="s">
        <v>8</v>
      </c>
      <c r="F1143">
        <v>5069</v>
      </c>
      <c r="G1143" t="s">
        <v>138</v>
      </c>
      <c r="H1143" s="1">
        <v>524362</v>
      </c>
      <c r="I1143" s="1">
        <v>0</v>
      </c>
      <c r="J1143" s="1">
        <v>524362</v>
      </c>
      <c r="K1143">
        <f>VLOOKUP(F1143,'LEAID Match'!$A$2:$C$2979,3,FALSE)</f>
        <v>2006840</v>
      </c>
    </row>
    <row r="1144" spans="1:11" x14ac:dyDescent="0.2">
      <c r="A1144">
        <v>2012210</v>
      </c>
      <c r="B1144">
        <v>2018</v>
      </c>
      <c r="C1144" t="s">
        <v>6</v>
      </c>
      <c r="D1144" t="s">
        <v>7</v>
      </c>
      <c r="E1144" t="s">
        <v>8</v>
      </c>
      <c r="F1144">
        <v>5070</v>
      </c>
      <c r="G1144" t="s">
        <v>139</v>
      </c>
      <c r="H1144" s="20">
        <v>1324833</v>
      </c>
      <c r="I1144" s="1">
        <v>0</v>
      </c>
      <c r="J1144" s="1">
        <v>1324833</v>
      </c>
      <c r="K1144">
        <f>VLOOKUP(F1144,'LEAID Match'!$A$2:$C$2979,3,FALSE)</f>
        <v>2012210</v>
      </c>
    </row>
    <row r="1145" spans="1:11" x14ac:dyDescent="0.2">
      <c r="A1145">
        <v>2005550</v>
      </c>
      <c r="B1145">
        <v>2018</v>
      </c>
      <c r="C1145" t="s">
        <v>6</v>
      </c>
      <c r="D1145" t="s">
        <v>7</v>
      </c>
      <c r="E1145" t="s">
        <v>8</v>
      </c>
      <c r="F1145">
        <v>5072</v>
      </c>
      <c r="G1145" t="s">
        <v>140</v>
      </c>
      <c r="H1145" s="1">
        <v>189707</v>
      </c>
      <c r="I1145" s="1">
        <v>0</v>
      </c>
      <c r="J1145" s="1">
        <v>189707</v>
      </c>
      <c r="K1145">
        <f>VLOOKUP(F1145,'LEAID Match'!$A$2:$C$2979,3,FALSE)</f>
        <v>2005550</v>
      </c>
    </row>
    <row r="1146" spans="1:11" x14ac:dyDescent="0.2">
      <c r="A1146">
        <v>2007110</v>
      </c>
      <c r="B1146">
        <v>2018</v>
      </c>
      <c r="C1146" t="s">
        <v>6</v>
      </c>
      <c r="D1146" t="s">
        <v>7</v>
      </c>
      <c r="E1146" t="s">
        <v>8</v>
      </c>
      <c r="F1146">
        <v>5073</v>
      </c>
      <c r="G1146" s="9" t="s">
        <v>141</v>
      </c>
      <c r="H1146" s="1">
        <v>342891</v>
      </c>
      <c r="I1146" s="1">
        <v>0</v>
      </c>
      <c r="J1146" s="1">
        <v>342891</v>
      </c>
      <c r="K1146">
        <f>VLOOKUP(F1146,'LEAID Match'!$A$2:$C$2979,3,FALSE)</f>
        <v>2007110</v>
      </c>
    </row>
    <row r="1147" spans="1:11" x14ac:dyDescent="0.2">
      <c r="A1147">
        <v>2011190</v>
      </c>
      <c r="B1147">
        <v>2018</v>
      </c>
      <c r="C1147" t="s">
        <v>6</v>
      </c>
      <c r="D1147" t="s">
        <v>7</v>
      </c>
      <c r="E1147" t="s">
        <v>8</v>
      </c>
      <c r="F1147" s="3">
        <v>5076</v>
      </c>
      <c r="G1147" s="3" t="s">
        <v>142</v>
      </c>
      <c r="H1147" s="22">
        <v>176343</v>
      </c>
      <c r="I1147" s="1">
        <v>0</v>
      </c>
      <c r="J1147" s="1">
        <v>176343</v>
      </c>
      <c r="K1147">
        <f>VLOOKUP(F1147,'LEAID Match'!$A$2:$C$2979,3,FALSE)</f>
        <v>2011190</v>
      </c>
    </row>
    <row r="1148" spans="1:11" x14ac:dyDescent="0.2">
      <c r="A1148">
        <v>2005790</v>
      </c>
      <c r="B1148">
        <v>2018</v>
      </c>
      <c r="C1148" t="s">
        <v>6</v>
      </c>
      <c r="D1148" t="s">
        <v>7</v>
      </c>
      <c r="E1148" t="s">
        <v>8</v>
      </c>
      <c r="F1148" s="3">
        <v>5077</v>
      </c>
      <c r="G1148" s="3" t="s">
        <v>195</v>
      </c>
      <c r="H1148" s="1">
        <v>465605</v>
      </c>
      <c r="I1148" s="21">
        <v>0</v>
      </c>
      <c r="J1148" s="21">
        <v>465605</v>
      </c>
      <c r="K1148">
        <f>VLOOKUP(F1148,'LEAID Match'!$A$2:$C$2979,3,FALSE)</f>
        <v>2005790</v>
      </c>
    </row>
    <row r="1149" spans="1:11" x14ac:dyDescent="0.2">
      <c r="A1149">
        <v>2009420</v>
      </c>
      <c r="B1149">
        <v>2018</v>
      </c>
      <c r="C1149" t="s">
        <v>6</v>
      </c>
      <c r="D1149" t="s">
        <v>7</v>
      </c>
      <c r="E1149" t="s">
        <v>8</v>
      </c>
      <c r="F1149" s="3">
        <v>5078</v>
      </c>
      <c r="G1149" s="3" t="s">
        <v>144</v>
      </c>
      <c r="H1149" s="1">
        <v>364582</v>
      </c>
      <c r="I1149" s="1">
        <v>0</v>
      </c>
      <c r="J1149" s="1">
        <v>364582</v>
      </c>
      <c r="K1149">
        <f>VLOOKUP(F1149,'LEAID Match'!$A$2:$C$2979,3,FALSE)</f>
        <v>2009420</v>
      </c>
    </row>
    <row r="1150" spans="1:11" x14ac:dyDescent="0.2">
      <c r="A1150">
        <v>2012450</v>
      </c>
      <c r="B1150">
        <v>2018</v>
      </c>
      <c r="C1150" t="s">
        <v>6</v>
      </c>
      <c r="D1150" t="s">
        <v>7</v>
      </c>
      <c r="E1150" t="s">
        <v>8</v>
      </c>
      <c r="F1150">
        <v>5079</v>
      </c>
      <c r="G1150" t="s">
        <v>145</v>
      </c>
      <c r="H1150" s="1">
        <v>411490</v>
      </c>
      <c r="I1150" s="1">
        <v>0</v>
      </c>
      <c r="J1150" s="1">
        <v>411490</v>
      </c>
      <c r="K1150">
        <f>VLOOKUP(F1150,'LEAID Match'!$A$2:$C$2979,3,FALSE)</f>
        <v>2012450</v>
      </c>
    </row>
    <row r="1151" spans="1:11" x14ac:dyDescent="0.2">
      <c r="A1151">
        <v>2006930</v>
      </c>
      <c r="B1151">
        <v>2018</v>
      </c>
      <c r="C1151" t="s">
        <v>6</v>
      </c>
      <c r="D1151" t="s">
        <v>7</v>
      </c>
      <c r="E1151" t="s">
        <v>8</v>
      </c>
      <c r="F1151">
        <v>5080</v>
      </c>
      <c r="G1151" t="s">
        <v>146</v>
      </c>
      <c r="H1151" s="1">
        <v>425492</v>
      </c>
      <c r="I1151" s="1">
        <v>0</v>
      </c>
      <c r="J1151" s="1">
        <v>425492</v>
      </c>
      <c r="K1151">
        <f>VLOOKUP(F1151,'LEAID Match'!$A$2:$C$2979,3,FALSE)</f>
        <v>2006930</v>
      </c>
    </row>
    <row r="1152" spans="1:11" x14ac:dyDescent="0.2">
      <c r="A1152">
        <v>2009450</v>
      </c>
      <c r="B1152">
        <v>2018</v>
      </c>
      <c r="C1152" t="s">
        <v>6</v>
      </c>
      <c r="D1152" t="s">
        <v>7</v>
      </c>
      <c r="E1152" t="s">
        <v>8</v>
      </c>
      <c r="F1152">
        <v>5081</v>
      </c>
      <c r="G1152" t="s">
        <v>147</v>
      </c>
      <c r="H1152" s="1">
        <v>362753</v>
      </c>
      <c r="I1152" s="1">
        <v>0</v>
      </c>
      <c r="J1152" s="1">
        <v>362753</v>
      </c>
      <c r="K1152">
        <f>VLOOKUP(F1152,'LEAID Match'!$A$2:$C$2979,3,FALSE)</f>
        <v>2009450</v>
      </c>
    </row>
    <row r="1153" spans="1:11" x14ac:dyDescent="0.2">
      <c r="A1153">
        <v>2010470</v>
      </c>
      <c r="B1153">
        <v>2018</v>
      </c>
      <c r="C1153" t="s">
        <v>6</v>
      </c>
      <c r="D1153" t="s">
        <v>7</v>
      </c>
      <c r="E1153" t="s">
        <v>8</v>
      </c>
      <c r="F1153">
        <v>5082</v>
      </c>
      <c r="G1153" t="s">
        <v>148</v>
      </c>
      <c r="H1153" s="20">
        <v>114508</v>
      </c>
      <c r="I1153" s="1">
        <v>0</v>
      </c>
      <c r="J1153" s="1">
        <v>114508</v>
      </c>
      <c r="K1153">
        <f>VLOOKUP(F1153,'LEAID Match'!$A$2:$C$2979,3,FALSE)</f>
        <v>2010470</v>
      </c>
    </row>
    <row r="1154" spans="1:11" x14ac:dyDescent="0.2">
      <c r="A1154">
        <v>2010740</v>
      </c>
      <c r="B1154">
        <v>2018</v>
      </c>
      <c r="C1154" t="s">
        <v>6</v>
      </c>
      <c r="D1154" t="s">
        <v>7</v>
      </c>
      <c r="E1154" t="s">
        <v>8</v>
      </c>
      <c r="F1154">
        <v>5083</v>
      </c>
      <c r="G1154" t="s">
        <v>149</v>
      </c>
      <c r="H1154" s="1">
        <v>265504</v>
      </c>
      <c r="I1154" s="1">
        <v>0</v>
      </c>
      <c r="J1154" s="1">
        <v>265504</v>
      </c>
      <c r="K1154">
        <f>VLOOKUP(F1154,'LEAID Match'!$A$2:$C$2979,3,FALSE)</f>
        <v>2010740</v>
      </c>
    </row>
    <row r="1155" spans="1:11" x14ac:dyDescent="0.2">
      <c r="A1155">
        <v>2007260</v>
      </c>
      <c r="B1155">
        <v>2018</v>
      </c>
      <c r="C1155" t="s">
        <v>6</v>
      </c>
      <c r="D1155" t="s">
        <v>7</v>
      </c>
      <c r="E1155" t="s">
        <v>8</v>
      </c>
      <c r="F1155">
        <v>5087</v>
      </c>
      <c r="G1155" s="9" t="s">
        <v>360</v>
      </c>
      <c r="H1155" s="1">
        <v>291946</v>
      </c>
      <c r="I1155" s="1">
        <v>0</v>
      </c>
      <c r="J1155" s="1">
        <v>291946</v>
      </c>
      <c r="K1155">
        <f>VLOOKUP(F1155,'LEAID Match'!$A$2:$C$2979,3,FALSE)</f>
        <v>2007260</v>
      </c>
    </row>
    <row r="1156" spans="1:11" x14ac:dyDescent="0.2">
      <c r="A1156">
        <v>2012870</v>
      </c>
      <c r="B1156">
        <v>2018</v>
      </c>
      <c r="C1156" t="s">
        <v>6</v>
      </c>
      <c r="D1156" t="s">
        <v>7</v>
      </c>
      <c r="E1156" t="s">
        <v>8</v>
      </c>
      <c r="F1156" s="3">
        <v>5088</v>
      </c>
      <c r="G1156" s="3" t="s">
        <v>151</v>
      </c>
      <c r="H1156" s="22">
        <v>546331</v>
      </c>
      <c r="I1156" s="1">
        <v>0</v>
      </c>
      <c r="J1156" s="1">
        <v>546331</v>
      </c>
      <c r="K1156">
        <f>VLOOKUP(F1156,'LEAID Match'!$A$2:$C$2979,3,FALSE)</f>
        <v>2012870</v>
      </c>
    </row>
    <row r="1157" spans="1:11" x14ac:dyDescent="0.2">
      <c r="A1157">
        <v>2008790</v>
      </c>
      <c r="B1157">
        <v>2018</v>
      </c>
      <c r="C1157" t="s">
        <v>6</v>
      </c>
      <c r="D1157" t="s">
        <v>7</v>
      </c>
      <c r="E1157" t="s">
        <v>8</v>
      </c>
      <c r="F1157" s="3">
        <v>5089</v>
      </c>
      <c r="G1157" s="3" t="s">
        <v>152</v>
      </c>
      <c r="H1157" s="1">
        <v>292747</v>
      </c>
      <c r="I1157" s="21">
        <v>0</v>
      </c>
      <c r="J1157" s="21">
        <v>292747</v>
      </c>
      <c r="K1157">
        <f>VLOOKUP(F1157,'LEAID Match'!$A$2:$C$2979,3,FALSE)</f>
        <v>2008790</v>
      </c>
    </row>
    <row r="1158" spans="1:11" x14ac:dyDescent="0.2">
      <c r="A1158">
        <v>2009930</v>
      </c>
      <c r="B1158">
        <v>2018</v>
      </c>
      <c r="C1158" t="s">
        <v>6</v>
      </c>
      <c r="D1158" t="s">
        <v>7</v>
      </c>
      <c r="E1158" t="s">
        <v>8</v>
      </c>
      <c r="F1158" s="3">
        <v>5090</v>
      </c>
      <c r="G1158" s="3" t="s">
        <v>153</v>
      </c>
      <c r="H1158" s="1">
        <v>233054</v>
      </c>
      <c r="I1158" s="1">
        <v>0</v>
      </c>
      <c r="J1158" s="1">
        <v>233054</v>
      </c>
      <c r="K1158">
        <f>VLOOKUP(F1158,'LEAID Match'!$A$2:$C$2979,3,FALSE)</f>
        <v>2009930</v>
      </c>
    </row>
    <row r="1159" spans="1:11" x14ac:dyDescent="0.2">
      <c r="A1159">
        <v>2007970</v>
      </c>
      <c r="B1159">
        <v>2018</v>
      </c>
      <c r="C1159" t="s">
        <v>6</v>
      </c>
      <c r="D1159" t="s">
        <v>7</v>
      </c>
      <c r="E1159" t="s">
        <v>8</v>
      </c>
      <c r="F1159">
        <v>5092</v>
      </c>
      <c r="G1159" t="s">
        <v>154</v>
      </c>
      <c r="H1159" s="1">
        <v>1079614</v>
      </c>
      <c r="I1159" s="1">
        <v>0</v>
      </c>
      <c r="J1159" s="1">
        <v>1079614</v>
      </c>
      <c r="K1159">
        <f>VLOOKUP(F1159,'LEAID Match'!$A$2:$C$2979,3,FALSE)</f>
        <v>2007970</v>
      </c>
    </row>
    <row r="1160" spans="1:11" x14ac:dyDescent="0.2">
      <c r="A1160">
        <v>2010170</v>
      </c>
      <c r="B1160">
        <v>2018</v>
      </c>
      <c r="C1160" t="s">
        <v>6</v>
      </c>
      <c r="D1160" t="s">
        <v>7</v>
      </c>
      <c r="E1160" t="s">
        <v>8</v>
      </c>
      <c r="F1160">
        <v>5093</v>
      </c>
      <c r="G1160" t="s">
        <v>155</v>
      </c>
      <c r="H1160" s="1">
        <v>248999</v>
      </c>
      <c r="I1160" s="1">
        <v>0</v>
      </c>
      <c r="J1160" s="1">
        <v>248999</v>
      </c>
      <c r="K1160">
        <f>VLOOKUP(F1160,'LEAID Match'!$A$2:$C$2979,3,FALSE)</f>
        <v>2010170</v>
      </c>
    </row>
    <row r="1161" spans="1:11" x14ac:dyDescent="0.2">
      <c r="A1161">
        <v>2003240</v>
      </c>
      <c r="B1161">
        <v>2018</v>
      </c>
      <c r="C1161" t="s">
        <v>6</v>
      </c>
      <c r="D1161" t="s">
        <v>7</v>
      </c>
      <c r="E1161" t="s">
        <v>8</v>
      </c>
      <c r="F1161">
        <v>5095</v>
      </c>
      <c r="G1161" t="s">
        <v>156</v>
      </c>
      <c r="H1161" s="1">
        <v>430613</v>
      </c>
      <c r="I1161" s="1">
        <v>0</v>
      </c>
      <c r="J1161" s="1">
        <v>430613</v>
      </c>
      <c r="K1161">
        <f>VLOOKUP(F1161,'LEAID Match'!$A$2:$C$2979,3,FALSE)</f>
        <v>2003240</v>
      </c>
    </row>
    <row r="1162" spans="1:11" x14ac:dyDescent="0.2">
      <c r="A1162">
        <v>2007750</v>
      </c>
      <c r="B1162">
        <v>2018</v>
      </c>
      <c r="C1162" t="s">
        <v>6</v>
      </c>
      <c r="D1162" t="s">
        <v>7</v>
      </c>
      <c r="E1162" t="s">
        <v>8</v>
      </c>
      <c r="F1162">
        <v>5096</v>
      </c>
      <c r="G1162" t="s">
        <v>157</v>
      </c>
      <c r="H1162" s="20">
        <v>432144</v>
      </c>
      <c r="I1162" s="1">
        <v>0</v>
      </c>
      <c r="J1162" s="1">
        <v>432144</v>
      </c>
      <c r="K1162">
        <f>VLOOKUP(F1162,'LEAID Match'!$A$2:$C$2979,3,FALSE)</f>
        <v>2007750</v>
      </c>
    </row>
    <row r="1163" spans="1:11" x14ac:dyDescent="0.2">
      <c r="A1163">
        <v>2004380</v>
      </c>
      <c r="B1163">
        <v>2018</v>
      </c>
      <c r="C1163" t="s">
        <v>6</v>
      </c>
      <c r="D1163" t="s">
        <v>7</v>
      </c>
      <c r="E1163" t="s">
        <v>8</v>
      </c>
      <c r="F1163">
        <v>5098</v>
      </c>
      <c r="G1163" t="s">
        <v>158</v>
      </c>
      <c r="H1163" s="1">
        <v>231485</v>
      </c>
      <c r="I1163" s="1">
        <v>0</v>
      </c>
      <c r="J1163" s="1">
        <v>231485</v>
      </c>
      <c r="K1163">
        <f>VLOOKUP(F1163,'LEAID Match'!$A$2:$C$2979,3,FALSE)</f>
        <v>2004380</v>
      </c>
    </row>
    <row r="1164" spans="1:11" x14ac:dyDescent="0.2">
      <c r="A1164">
        <v>2006450</v>
      </c>
      <c r="B1164">
        <v>2018</v>
      </c>
      <c r="C1164" t="s">
        <v>6</v>
      </c>
      <c r="D1164" t="s">
        <v>7</v>
      </c>
      <c r="E1164" t="s">
        <v>8</v>
      </c>
      <c r="F1164">
        <v>5099</v>
      </c>
      <c r="G1164" s="9" t="s">
        <v>159</v>
      </c>
      <c r="H1164" s="1">
        <v>783139</v>
      </c>
      <c r="I1164" s="1">
        <v>0</v>
      </c>
      <c r="J1164" s="1">
        <v>783139</v>
      </c>
      <c r="K1164">
        <f>VLOOKUP(F1164,'LEAID Match'!$A$2:$C$2979,3,FALSE)</f>
        <v>2006450</v>
      </c>
    </row>
    <row r="1165" spans="1:11" x14ac:dyDescent="0.2">
      <c r="A1165">
        <v>2010260</v>
      </c>
      <c r="B1165">
        <v>2018</v>
      </c>
      <c r="C1165" t="s">
        <v>6</v>
      </c>
      <c r="D1165" t="s">
        <v>7</v>
      </c>
      <c r="E1165" t="s">
        <v>8</v>
      </c>
      <c r="F1165" s="3">
        <v>5100</v>
      </c>
      <c r="G1165" s="3" t="s">
        <v>160</v>
      </c>
      <c r="H1165" s="22">
        <v>904213</v>
      </c>
      <c r="I1165" s="1">
        <v>0</v>
      </c>
      <c r="J1165" s="1">
        <v>904213</v>
      </c>
      <c r="K1165">
        <f>VLOOKUP(F1165,'LEAID Match'!$A$2:$C$2979,3,FALSE)</f>
        <v>2010260</v>
      </c>
    </row>
    <row r="1166" spans="1:11" x14ac:dyDescent="0.2">
      <c r="A1166">
        <v>2011700</v>
      </c>
      <c r="B1166">
        <v>2018</v>
      </c>
      <c r="C1166" t="s">
        <v>6</v>
      </c>
      <c r="D1166" t="s">
        <v>7</v>
      </c>
      <c r="E1166" t="s">
        <v>8</v>
      </c>
      <c r="F1166" s="3">
        <v>5101</v>
      </c>
      <c r="G1166" s="3" t="s">
        <v>161</v>
      </c>
      <c r="H1166" s="1">
        <v>577073</v>
      </c>
      <c r="I1166" s="21">
        <v>0</v>
      </c>
      <c r="J1166" s="21">
        <v>577073</v>
      </c>
      <c r="K1166">
        <f>VLOOKUP(F1166,'LEAID Match'!$A$2:$C$2979,3,FALSE)</f>
        <v>2011700</v>
      </c>
    </row>
    <row r="1167" spans="1:11" x14ac:dyDescent="0.2">
      <c r="A1167">
        <v>2004890</v>
      </c>
      <c r="B1167">
        <v>2018</v>
      </c>
      <c r="C1167" t="s">
        <v>6</v>
      </c>
      <c r="D1167" t="s">
        <v>7</v>
      </c>
      <c r="E1167" t="s">
        <v>8</v>
      </c>
      <c r="F1167" s="3">
        <v>5102</v>
      </c>
      <c r="G1167" s="3" t="s">
        <v>162</v>
      </c>
      <c r="H1167" s="1">
        <v>1327107</v>
      </c>
      <c r="I1167" s="1">
        <v>0</v>
      </c>
      <c r="J1167" s="1">
        <v>1327107</v>
      </c>
      <c r="K1167">
        <f>VLOOKUP(F1167,'LEAID Match'!$A$2:$C$2979,3,FALSE)</f>
        <v>2004890</v>
      </c>
    </row>
    <row r="1168" spans="1:11" x14ac:dyDescent="0.2">
      <c r="A1168">
        <v>2010890</v>
      </c>
      <c r="B1168">
        <v>2018</v>
      </c>
      <c r="C1168" t="s">
        <v>6</v>
      </c>
      <c r="D1168" t="s">
        <v>7</v>
      </c>
      <c r="E1168" t="s">
        <v>8</v>
      </c>
      <c r="F1168">
        <v>5103</v>
      </c>
      <c r="G1168" t="s">
        <v>163</v>
      </c>
      <c r="H1168" s="1">
        <v>742623</v>
      </c>
      <c r="I1168" s="1">
        <v>0</v>
      </c>
      <c r="J1168" s="1">
        <v>742623</v>
      </c>
      <c r="K1168">
        <f>VLOOKUP(F1168,'LEAID Match'!$A$2:$C$2979,3,FALSE)</f>
        <v>2010890</v>
      </c>
    </row>
    <row r="1169" spans="1:11" x14ac:dyDescent="0.2">
      <c r="A1169">
        <v>2004440</v>
      </c>
      <c r="B1169">
        <v>2018</v>
      </c>
      <c r="C1169" t="s">
        <v>6</v>
      </c>
      <c r="D1169" t="s">
        <v>7</v>
      </c>
      <c r="E1169" t="s">
        <v>8</v>
      </c>
      <c r="F1169">
        <v>5104</v>
      </c>
      <c r="G1169" t="s">
        <v>164</v>
      </c>
      <c r="H1169" s="1">
        <v>278386</v>
      </c>
      <c r="I1169" s="1">
        <v>0</v>
      </c>
      <c r="J1169" s="1">
        <v>278386</v>
      </c>
      <c r="K1169">
        <f>VLOOKUP(F1169,'LEAID Match'!$A$2:$C$2979,3,FALSE)</f>
        <v>2004440</v>
      </c>
    </row>
    <row r="1170" spans="1:11" x14ac:dyDescent="0.2">
      <c r="A1170">
        <v>2004140</v>
      </c>
      <c r="B1170">
        <v>2018</v>
      </c>
      <c r="C1170" t="s">
        <v>6</v>
      </c>
      <c r="D1170" t="s">
        <v>7</v>
      </c>
      <c r="E1170" t="s">
        <v>8</v>
      </c>
      <c r="F1170">
        <v>5105</v>
      </c>
      <c r="G1170" t="s">
        <v>165</v>
      </c>
      <c r="H1170" s="1">
        <v>192029</v>
      </c>
      <c r="I1170" s="1">
        <v>0</v>
      </c>
      <c r="J1170" s="1">
        <v>192029</v>
      </c>
      <c r="K1170">
        <f>VLOOKUP(F1170,'LEAID Match'!$A$2:$C$2979,3,FALSE)</f>
        <v>2004140</v>
      </c>
    </row>
    <row r="1171" spans="1:11" x14ac:dyDescent="0.2">
      <c r="A1171">
        <v>2008190</v>
      </c>
      <c r="B1171">
        <v>2018</v>
      </c>
      <c r="C1171" t="s">
        <v>6</v>
      </c>
      <c r="D1171" t="s">
        <v>7</v>
      </c>
      <c r="E1171" t="s">
        <v>8</v>
      </c>
      <c r="F1171">
        <v>5106</v>
      </c>
      <c r="G1171" t="s">
        <v>166</v>
      </c>
      <c r="H1171" s="20">
        <v>631065</v>
      </c>
      <c r="I1171" s="1">
        <v>0</v>
      </c>
      <c r="J1171" s="1">
        <v>631065</v>
      </c>
      <c r="K1171">
        <f>VLOOKUP(F1171,'LEAID Match'!$A$2:$C$2979,3,FALSE)</f>
        <v>2008190</v>
      </c>
    </row>
    <row r="1172" spans="1:11" x14ac:dyDescent="0.2">
      <c r="A1172">
        <v>2007560</v>
      </c>
      <c r="B1172">
        <v>2018</v>
      </c>
      <c r="C1172" t="s">
        <v>6</v>
      </c>
      <c r="D1172" t="s">
        <v>7</v>
      </c>
      <c r="E1172" t="s">
        <v>8</v>
      </c>
      <c r="F1172">
        <v>5116</v>
      </c>
      <c r="G1172" t="s">
        <v>167</v>
      </c>
      <c r="H1172" s="1">
        <v>866968</v>
      </c>
      <c r="I1172" s="1">
        <v>0</v>
      </c>
      <c r="J1172" s="1">
        <v>866968</v>
      </c>
      <c r="K1172">
        <f>VLOOKUP(F1172,'LEAID Match'!$A$2:$C$2979,3,FALSE)</f>
        <v>2007560</v>
      </c>
    </row>
    <row r="1173" spans="1:11" x14ac:dyDescent="0.2">
      <c r="A1173">
        <v>2003270</v>
      </c>
      <c r="B1173">
        <v>2018</v>
      </c>
      <c r="C1173" t="s">
        <v>6</v>
      </c>
      <c r="D1173" t="s">
        <v>7</v>
      </c>
      <c r="E1173" t="s">
        <v>8</v>
      </c>
      <c r="F1173">
        <v>5117</v>
      </c>
      <c r="G1173" s="9" t="s">
        <v>168</v>
      </c>
      <c r="H1173" s="1">
        <v>157989</v>
      </c>
      <c r="I1173" s="1">
        <v>0</v>
      </c>
      <c r="J1173" s="1">
        <v>157989</v>
      </c>
      <c r="K1173">
        <f>VLOOKUP(F1173,'LEAID Match'!$A$2:$C$2979,3,FALSE)</f>
        <v>2003270</v>
      </c>
    </row>
    <row r="1174" spans="1:11" x14ac:dyDescent="0.2">
      <c r="A1174">
        <v>2012420</v>
      </c>
      <c r="B1174">
        <v>2018</v>
      </c>
      <c r="C1174" t="s">
        <v>6</v>
      </c>
      <c r="D1174" t="s">
        <v>7</v>
      </c>
      <c r="E1174" t="s">
        <v>8</v>
      </c>
      <c r="F1174" s="3">
        <v>5118</v>
      </c>
      <c r="G1174" s="3" t="s">
        <v>169</v>
      </c>
      <c r="H1174" s="22">
        <v>1210402</v>
      </c>
      <c r="I1174" s="1">
        <v>0</v>
      </c>
      <c r="J1174" s="1">
        <v>1210402</v>
      </c>
      <c r="K1174">
        <f>VLOOKUP(F1174,'LEAID Match'!$A$2:$C$2979,3,FALSE)</f>
        <v>2012420</v>
      </c>
    </row>
    <row r="1175" spans="1:11" x14ac:dyDescent="0.2">
      <c r="A1175">
        <v>2009600</v>
      </c>
      <c r="B1175">
        <v>2018</v>
      </c>
      <c r="C1175" t="s">
        <v>6</v>
      </c>
      <c r="D1175" t="s">
        <v>7</v>
      </c>
      <c r="E1175" t="s">
        <v>8</v>
      </c>
      <c r="F1175" s="3">
        <v>5119</v>
      </c>
      <c r="G1175" s="3" t="s">
        <v>170</v>
      </c>
      <c r="H1175" s="1">
        <v>231745</v>
      </c>
      <c r="I1175" s="21">
        <v>0</v>
      </c>
      <c r="J1175" s="21">
        <v>231745</v>
      </c>
      <c r="K1175">
        <f>VLOOKUP(F1175,'LEAID Match'!$A$2:$C$2979,3,FALSE)</f>
        <v>2009600</v>
      </c>
    </row>
    <row r="1176" spans="1:11" x14ac:dyDescent="0.2">
      <c r="A1176">
        <v>2006420</v>
      </c>
      <c r="B1176">
        <v>2018</v>
      </c>
      <c r="C1176" t="s">
        <v>6</v>
      </c>
      <c r="D1176" t="s">
        <v>7</v>
      </c>
      <c r="E1176" t="s">
        <v>8</v>
      </c>
      <c r="F1176" s="3">
        <v>5120</v>
      </c>
      <c r="G1176" s="3" t="s">
        <v>366</v>
      </c>
      <c r="H1176" s="1">
        <v>5085225</v>
      </c>
      <c r="I1176" s="1">
        <v>0</v>
      </c>
      <c r="J1176" s="1">
        <v>5085225</v>
      </c>
      <c r="K1176">
        <f>VLOOKUP(F1176,'LEAID Match'!$A$2:$C$2979,3,FALSE)</f>
        <v>2006420</v>
      </c>
    </row>
    <row r="1177" spans="1:11" x14ac:dyDescent="0.2">
      <c r="A1177">
        <v>2008130</v>
      </c>
      <c r="B1177">
        <v>2018</v>
      </c>
      <c r="C1177" t="s">
        <v>6</v>
      </c>
      <c r="D1177" t="s">
        <v>7</v>
      </c>
      <c r="E1177" t="s">
        <v>8</v>
      </c>
      <c r="F1177">
        <v>5122</v>
      </c>
      <c r="G1177" t="s">
        <v>172</v>
      </c>
      <c r="H1177" s="1">
        <v>212393</v>
      </c>
      <c r="I1177" s="1">
        <v>0</v>
      </c>
      <c r="J1177" s="1">
        <v>212393</v>
      </c>
      <c r="K1177">
        <f>VLOOKUP(F1177,'LEAID Match'!$A$2:$C$2979,3,FALSE)</f>
        <v>2008130</v>
      </c>
    </row>
    <row r="1178" spans="1:11" x14ac:dyDescent="0.2">
      <c r="A1178">
        <v>2009660</v>
      </c>
      <c r="B1178">
        <v>2018</v>
      </c>
      <c r="C1178" t="s">
        <v>6</v>
      </c>
      <c r="D1178" t="s">
        <v>7</v>
      </c>
      <c r="E1178" t="s">
        <v>8</v>
      </c>
      <c r="F1178">
        <v>5123</v>
      </c>
      <c r="G1178" t="s">
        <v>173</v>
      </c>
      <c r="H1178" s="1">
        <v>203934</v>
      </c>
      <c r="I1178" s="1">
        <v>0</v>
      </c>
      <c r="J1178" s="1">
        <v>203934</v>
      </c>
      <c r="K1178">
        <f>VLOOKUP(F1178,'LEAID Match'!$A$2:$C$2979,3,FALSE)</f>
        <v>2009660</v>
      </c>
    </row>
    <row r="1179" spans="1:11" x14ac:dyDescent="0.2">
      <c r="A1179">
        <v>2000003</v>
      </c>
      <c r="B1179">
        <v>2018</v>
      </c>
      <c r="C1179" t="s">
        <v>6</v>
      </c>
      <c r="D1179" t="s">
        <v>7</v>
      </c>
      <c r="E1179" t="s">
        <v>8</v>
      </c>
      <c r="F1179">
        <v>5125</v>
      </c>
      <c r="G1179" t="s">
        <v>174</v>
      </c>
      <c r="H1179" s="1">
        <v>1507180</v>
      </c>
      <c r="I1179" s="1">
        <v>0</v>
      </c>
      <c r="J1179" s="1">
        <v>1507180</v>
      </c>
      <c r="K1179">
        <f>VLOOKUP(F1179,'LEAID Match'!$A$2:$C$2979,3,FALSE)</f>
        <v>2000003</v>
      </c>
    </row>
    <row r="1180" spans="1:11" x14ac:dyDescent="0.2">
      <c r="A1180">
        <v>2005370</v>
      </c>
      <c r="B1180">
        <v>2018</v>
      </c>
      <c r="C1180" t="s">
        <v>6</v>
      </c>
      <c r="D1180" t="s">
        <v>7</v>
      </c>
      <c r="E1180" t="s">
        <v>8</v>
      </c>
      <c r="F1180">
        <v>5127</v>
      </c>
      <c r="G1180" t="s">
        <v>175</v>
      </c>
      <c r="H1180" s="20">
        <v>185277</v>
      </c>
      <c r="I1180" s="1">
        <v>0</v>
      </c>
      <c r="J1180" s="1">
        <v>185277</v>
      </c>
      <c r="K1180">
        <f>VLOOKUP(F1180,'LEAID Match'!$A$2:$C$2979,3,FALSE)</f>
        <v>2005370</v>
      </c>
    </row>
    <row r="1181" spans="1:11" x14ac:dyDescent="0.2">
      <c r="A1181">
        <v>2004830</v>
      </c>
      <c r="B1181">
        <v>2018</v>
      </c>
      <c r="C1181" t="s">
        <v>6</v>
      </c>
      <c r="D1181" t="s">
        <v>7</v>
      </c>
      <c r="E1181" t="s">
        <v>8</v>
      </c>
      <c r="F1181">
        <v>5128</v>
      </c>
      <c r="G1181" t="s">
        <v>176</v>
      </c>
      <c r="H1181" s="1">
        <v>278712</v>
      </c>
      <c r="I1181" s="1">
        <v>0</v>
      </c>
      <c r="J1181" s="1">
        <v>278712</v>
      </c>
      <c r="K1181">
        <f>VLOOKUP(F1181,'LEAID Match'!$A$2:$C$2979,3,FALSE)</f>
        <v>2004830</v>
      </c>
    </row>
    <row r="1182" spans="1:11" x14ac:dyDescent="0.2">
      <c r="A1182">
        <v>2009320</v>
      </c>
      <c r="B1182">
        <v>2018</v>
      </c>
      <c r="C1182" t="s">
        <v>6</v>
      </c>
      <c r="D1182" t="s">
        <v>7</v>
      </c>
      <c r="E1182" t="s">
        <v>8</v>
      </c>
      <c r="F1182">
        <v>5129</v>
      </c>
      <c r="G1182" s="9" t="s">
        <v>177</v>
      </c>
      <c r="H1182" s="1">
        <v>771409</v>
      </c>
      <c r="I1182" s="1">
        <v>0</v>
      </c>
      <c r="J1182" s="1">
        <v>771409</v>
      </c>
      <c r="K1182">
        <f>VLOOKUP(F1182,'LEAID Match'!$A$2:$C$2979,3,FALSE)</f>
        <v>2009320</v>
      </c>
    </row>
    <row r="1183" spans="1:11" x14ac:dyDescent="0.2">
      <c r="A1183">
        <v>2010620</v>
      </c>
      <c r="B1183">
        <v>2018</v>
      </c>
      <c r="C1183" t="s">
        <v>6</v>
      </c>
      <c r="D1183" t="s">
        <v>7</v>
      </c>
      <c r="E1183" t="s">
        <v>8</v>
      </c>
      <c r="F1183" s="3">
        <v>5130</v>
      </c>
      <c r="G1183" s="3" t="s">
        <v>178</v>
      </c>
      <c r="H1183" s="22">
        <v>519240</v>
      </c>
      <c r="I1183" s="1">
        <v>0</v>
      </c>
      <c r="J1183" s="1">
        <v>519240</v>
      </c>
      <c r="K1183">
        <f>VLOOKUP(F1183,'LEAID Match'!$A$2:$C$2979,3,FALSE)</f>
        <v>2010620</v>
      </c>
    </row>
    <row r="1184" spans="1:11" x14ac:dyDescent="0.2">
      <c r="A1184">
        <v>2000016</v>
      </c>
      <c r="B1184">
        <v>2018</v>
      </c>
      <c r="C1184" t="s">
        <v>6</v>
      </c>
      <c r="D1184" t="s">
        <v>7</v>
      </c>
      <c r="E1184" t="s">
        <v>8</v>
      </c>
      <c r="F1184" s="3">
        <v>5131</v>
      </c>
      <c r="G1184" s="3" t="s">
        <v>179</v>
      </c>
      <c r="H1184" s="1">
        <v>726438</v>
      </c>
      <c r="I1184" s="21">
        <v>0</v>
      </c>
      <c r="J1184" s="21">
        <v>726438</v>
      </c>
      <c r="K1184">
        <f>VLOOKUP(F1184,'LEAID Match'!$A$2:$C$2979,3,FALSE)</f>
        <v>2000016</v>
      </c>
    </row>
    <row r="1185" spans="1:11" x14ac:dyDescent="0.2">
      <c r="A1185">
        <v>2010500</v>
      </c>
      <c r="B1185">
        <v>2018</v>
      </c>
      <c r="C1185" t="s">
        <v>6</v>
      </c>
      <c r="D1185" t="s">
        <v>7</v>
      </c>
      <c r="E1185" t="s">
        <v>8</v>
      </c>
      <c r="F1185" s="3">
        <v>5132</v>
      </c>
      <c r="G1185" s="3" t="s">
        <v>180</v>
      </c>
      <c r="H1185" s="1">
        <v>2728655</v>
      </c>
      <c r="I1185" s="1">
        <v>0</v>
      </c>
      <c r="J1185" s="1">
        <v>2728655</v>
      </c>
      <c r="K1185">
        <f>VLOOKUP(F1185,'LEAID Match'!$A$2:$C$2979,3,FALSE)</f>
        <v>2010500</v>
      </c>
    </row>
    <row r="1186" spans="1:11" x14ac:dyDescent="0.2">
      <c r="A1186">
        <v>2011820</v>
      </c>
      <c r="B1186">
        <v>2018</v>
      </c>
      <c r="C1186" t="s">
        <v>6</v>
      </c>
      <c r="D1186" t="s">
        <v>7</v>
      </c>
      <c r="E1186" t="s">
        <v>8</v>
      </c>
      <c r="F1186">
        <v>5133</v>
      </c>
      <c r="G1186" t="s">
        <v>361</v>
      </c>
      <c r="H1186" s="1">
        <v>272819</v>
      </c>
      <c r="I1186" s="1">
        <v>0</v>
      </c>
      <c r="J1186" s="1">
        <v>272819</v>
      </c>
      <c r="K1186">
        <f>VLOOKUP(F1186,'LEAID Match'!$A$2:$C$2979,3,FALSE)</f>
        <v>2011820</v>
      </c>
    </row>
    <row r="1187" spans="1:11" x14ac:dyDescent="0.2">
      <c r="A1187">
        <v>2011760</v>
      </c>
      <c r="B1187">
        <v>2018</v>
      </c>
      <c r="C1187" t="s">
        <v>6</v>
      </c>
      <c r="D1187" t="s">
        <v>7</v>
      </c>
      <c r="E1187" t="s">
        <v>8</v>
      </c>
      <c r="F1187">
        <v>5134</v>
      </c>
      <c r="G1187" t="s">
        <v>182</v>
      </c>
      <c r="H1187" s="1">
        <v>237997</v>
      </c>
      <c r="I1187" s="1">
        <v>0</v>
      </c>
      <c r="J1187" s="1">
        <v>237997</v>
      </c>
      <c r="K1187">
        <f>VLOOKUP(F1187,'LEAID Match'!$A$2:$C$2979,3,FALSE)</f>
        <v>2011760</v>
      </c>
    </row>
    <row r="1188" spans="1:11" x14ac:dyDescent="0.2">
      <c r="A1188">
        <v>2003630</v>
      </c>
      <c r="B1188">
        <v>2018</v>
      </c>
      <c r="C1188" t="s">
        <v>6</v>
      </c>
      <c r="D1188" t="s">
        <v>7</v>
      </c>
      <c r="E1188" t="s">
        <v>8</v>
      </c>
      <c r="F1188">
        <v>5135</v>
      </c>
      <c r="G1188" t="s">
        <v>183</v>
      </c>
      <c r="H1188" s="1">
        <v>1352224</v>
      </c>
      <c r="I1188" s="1">
        <v>0</v>
      </c>
      <c r="J1188" s="1">
        <v>1352224</v>
      </c>
      <c r="K1188">
        <f>VLOOKUP(F1188,'LEAID Match'!$A$2:$C$2979,3,FALSE)</f>
        <v>2003630</v>
      </c>
    </row>
    <row r="1189" spans="1:11" x14ac:dyDescent="0.2">
      <c r="A1189">
        <v>2012600</v>
      </c>
      <c r="B1189">
        <v>2018</v>
      </c>
      <c r="C1189" t="s">
        <v>6</v>
      </c>
      <c r="D1189" t="s">
        <v>7</v>
      </c>
      <c r="E1189" t="s">
        <v>8</v>
      </c>
      <c r="F1189">
        <v>5137</v>
      </c>
      <c r="G1189" t="s">
        <v>184</v>
      </c>
      <c r="H1189" s="20">
        <v>223691</v>
      </c>
      <c r="I1189" s="1">
        <v>0</v>
      </c>
      <c r="J1189" s="1">
        <v>223691</v>
      </c>
      <c r="K1189">
        <f>VLOOKUP(F1189,'LEAID Match'!$A$2:$C$2979,3,FALSE)</f>
        <v>2012600</v>
      </c>
    </row>
    <row r="1190" spans="1:11" x14ac:dyDescent="0.2">
      <c r="A1190">
        <v>2004260</v>
      </c>
      <c r="B1190">
        <v>2018</v>
      </c>
      <c r="C1190" t="s">
        <v>6</v>
      </c>
      <c r="D1190" t="s">
        <v>7</v>
      </c>
      <c r="E1190" t="s">
        <v>8</v>
      </c>
      <c r="F1190">
        <v>5138</v>
      </c>
      <c r="G1190" t="s">
        <v>185</v>
      </c>
      <c r="H1190" s="1">
        <v>204579</v>
      </c>
      <c r="I1190" s="1">
        <v>0</v>
      </c>
      <c r="J1190" s="1">
        <v>204579</v>
      </c>
      <c r="K1190">
        <f>VLOOKUP(F1190,'LEAID Match'!$A$2:$C$2979,3,FALSE)</f>
        <v>2004260</v>
      </c>
    </row>
    <row r="1191" spans="1:11" x14ac:dyDescent="0.2">
      <c r="A1191">
        <v>2012390</v>
      </c>
      <c r="B1191">
        <v>2018</v>
      </c>
      <c r="C1191" t="s">
        <v>6</v>
      </c>
      <c r="D1191" t="s">
        <v>7</v>
      </c>
      <c r="E1191" t="s">
        <v>8</v>
      </c>
      <c r="F1191">
        <v>5140</v>
      </c>
      <c r="G1191" s="9" t="s">
        <v>186</v>
      </c>
      <c r="H1191" s="1">
        <v>273219</v>
      </c>
      <c r="I1191" s="1">
        <v>0</v>
      </c>
      <c r="J1191" s="1">
        <v>273219</v>
      </c>
      <c r="K1191">
        <f>VLOOKUP(F1191,'LEAID Match'!$A$2:$C$2979,3,FALSE)</f>
        <v>2012390</v>
      </c>
    </row>
    <row r="1192" spans="1:11" x14ac:dyDescent="0.2">
      <c r="A1192">
        <v>0</v>
      </c>
      <c r="B1192">
        <v>2018</v>
      </c>
      <c r="C1192" t="s">
        <v>6</v>
      </c>
      <c r="D1192" t="s">
        <v>7</v>
      </c>
      <c r="E1192" t="s">
        <v>8</v>
      </c>
      <c r="F1192" s="3">
        <v>5141</v>
      </c>
      <c r="G1192" s="3" t="s">
        <v>187</v>
      </c>
      <c r="H1192" s="22">
        <v>378867</v>
      </c>
      <c r="I1192" s="1">
        <v>0</v>
      </c>
      <c r="J1192" s="1">
        <v>378867</v>
      </c>
      <c r="K1192">
        <f>VLOOKUP(F1192,'LEAID Match'!$A$2:$C$2979,3,FALSE)</f>
        <v>0</v>
      </c>
    </row>
    <row r="1193" spans="1:11" x14ac:dyDescent="0.2">
      <c r="A1193">
        <v>2006990</v>
      </c>
      <c r="B1193">
        <v>2018</v>
      </c>
      <c r="C1193" t="s">
        <v>6</v>
      </c>
      <c r="D1193" t="s">
        <v>7</v>
      </c>
      <c r="E1193" t="s">
        <v>8</v>
      </c>
      <c r="F1193" s="3">
        <v>5142</v>
      </c>
      <c r="G1193" s="3" t="s">
        <v>188</v>
      </c>
      <c r="H1193" s="1">
        <v>85991</v>
      </c>
      <c r="I1193" s="21">
        <v>0</v>
      </c>
      <c r="J1193" s="21">
        <v>85991</v>
      </c>
      <c r="K1193">
        <f>VLOOKUP(F1193,'LEAID Match'!$A$2:$C$2979,3,FALSE)</f>
        <v>2006990</v>
      </c>
    </row>
    <row r="1194" spans="1:11" x14ac:dyDescent="0.2">
      <c r="A1194">
        <v>2010020</v>
      </c>
      <c r="B1194">
        <v>2018</v>
      </c>
      <c r="C1194" t="s">
        <v>6</v>
      </c>
      <c r="D1194" t="s">
        <v>7</v>
      </c>
      <c r="E1194" t="s">
        <v>8</v>
      </c>
      <c r="F1194" s="3">
        <v>5143</v>
      </c>
      <c r="G1194" s="3" t="s">
        <v>189</v>
      </c>
      <c r="H1194" s="1">
        <v>517266</v>
      </c>
      <c r="I1194" s="1">
        <v>0</v>
      </c>
      <c r="J1194" s="1">
        <v>517266</v>
      </c>
      <c r="K1194">
        <f>VLOOKUP(F1194,'LEAID Match'!$A$2:$C$2979,3,FALSE)</f>
        <v>2010020</v>
      </c>
    </row>
    <row r="1195" spans="1:11" x14ac:dyDescent="0.2">
      <c r="A1195">
        <v>2005400</v>
      </c>
      <c r="B1195">
        <v>2018</v>
      </c>
      <c r="C1195" t="s">
        <v>6</v>
      </c>
      <c r="D1195" t="s">
        <v>7</v>
      </c>
      <c r="E1195" t="s">
        <v>8</v>
      </c>
      <c r="F1195">
        <v>5144</v>
      </c>
      <c r="G1195" t="s">
        <v>190</v>
      </c>
      <c r="H1195" s="1">
        <v>243141</v>
      </c>
      <c r="I1195" s="1">
        <v>0</v>
      </c>
      <c r="J1195" s="1">
        <v>243141</v>
      </c>
      <c r="K1195">
        <f>VLOOKUP(F1195,'LEAID Match'!$A$2:$C$2979,3,FALSE)</f>
        <v>2005400</v>
      </c>
    </row>
    <row r="1196" spans="1:11" x14ac:dyDescent="0.2">
      <c r="A1196">
        <v>0</v>
      </c>
      <c r="B1196">
        <v>2018</v>
      </c>
      <c r="C1196" t="s">
        <v>6</v>
      </c>
      <c r="D1196" t="s">
        <v>7</v>
      </c>
      <c r="E1196" t="s">
        <v>8</v>
      </c>
      <c r="F1196">
        <v>5145</v>
      </c>
      <c r="G1196" t="s">
        <v>191</v>
      </c>
      <c r="H1196" s="1">
        <v>237090</v>
      </c>
      <c r="I1196" s="1">
        <v>0</v>
      </c>
      <c r="J1196" s="1">
        <v>237090</v>
      </c>
      <c r="K1196">
        <f>VLOOKUP(F1196,'LEAID Match'!$A$2:$C$2979,3,FALSE)</f>
        <v>0</v>
      </c>
    </row>
    <row r="1197" spans="1:11" x14ac:dyDescent="0.2">
      <c r="A1197">
        <v>2005490</v>
      </c>
      <c r="B1197">
        <v>2018</v>
      </c>
      <c r="C1197" t="s">
        <v>6</v>
      </c>
      <c r="D1197" t="s">
        <v>7</v>
      </c>
      <c r="E1197" t="s">
        <v>8</v>
      </c>
      <c r="F1197">
        <v>5147</v>
      </c>
      <c r="G1197" t="s">
        <v>192</v>
      </c>
      <c r="H1197" s="1">
        <v>5057103</v>
      </c>
      <c r="I1197" s="1">
        <v>0</v>
      </c>
      <c r="J1197" s="1">
        <v>5057103</v>
      </c>
      <c r="K1197">
        <f>VLOOKUP(F1197,'LEAID Match'!$A$2:$C$2979,3,FALSE)</f>
        <v>2005490</v>
      </c>
    </row>
    <row r="1198" spans="1:11" x14ac:dyDescent="0.2">
      <c r="A1198">
        <v>2009570</v>
      </c>
      <c r="B1198">
        <v>2018</v>
      </c>
      <c r="C1198" t="s">
        <v>6</v>
      </c>
      <c r="D1198" t="s">
        <v>7</v>
      </c>
      <c r="E1198" t="s">
        <v>8</v>
      </c>
      <c r="F1198">
        <v>5148</v>
      </c>
      <c r="G1198" t="s">
        <v>193</v>
      </c>
      <c r="H1198" s="20">
        <v>514436</v>
      </c>
      <c r="I1198" s="1">
        <v>0</v>
      </c>
      <c r="J1198" s="1">
        <v>514436</v>
      </c>
      <c r="K1198">
        <f>VLOOKUP(F1198,'LEAID Match'!$A$2:$C$2979,3,FALSE)</f>
        <v>2009570</v>
      </c>
    </row>
    <row r="1199" spans="1:11" x14ac:dyDescent="0.2">
      <c r="A1199">
        <v>2004290</v>
      </c>
      <c r="B1199">
        <v>2018</v>
      </c>
      <c r="C1199" t="s">
        <v>6</v>
      </c>
      <c r="D1199" t="s">
        <v>7</v>
      </c>
      <c r="E1199" t="s">
        <v>8</v>
      </c>
      <c r="F1199">
        <v>5149</v>
      </c>
      <c r="G1199" t="s">
        <v>194</v>
      </c>
      <c r="H1199" s="1">
        <v>1043442</v>
      </c>
      <c r="I1199" s="1">
        <v>0</v>
      </c>
      <c r="J1199" s="1">
        <v>1043442</v>
      </c>
      <c r="K1199">
        <f>VLOOKUP(F1199,'LEAID Match'!$A$2:$C$2979,3,FALSE)</f>
        <v>2004290</v>
      </c>
    </row>
    <row r="1200" spans="1:11" x14ac:dyDescent="0.2">
      <c r="A1200">
        <v>2007740</v>
      </c>
      <c r="B1200">
        <v>2018</v>
      </c>
      <c r="C1200" t="s">
        <v>6</v>
      </c>
      <c r="D1200" t="s">
        <v>7</v>
      </c>
      <c r="E1200" t="s">
        <v>8</v>
      </c>
      <c r="F1200">
        <v>5150</v>
      </c>
      <c r="G1200" s="9" t="s">
        <v>247</v>
      </c>
      <c r="H1200" s="1">
        <v>892212</v>
      </c>
      <c r="I1200" s="1">
        <v>0</v>
      </c>
      <c r="J1200" s="1">
        <v>892212</v>
      </c>
      <c r="K1200">
        <f>VLOOKUP(F1200,'LEAID Match'!$A$2:$C$2979,3,FALSE)</f>
        <v>2007740</v>
      </c>
    </row>
    <row r="1201" spans="1:11" x14ac:dyDescent="0.2">
      <c r="A1201">
        <v>2010050</v>
      </c>
      <c r="B1201">
        <v>2018</v>
      </c>
      <c r="C1201" t="s">
        <v>6</v>
      </c>
      <c r="D1201" t="s">
        <v>7</v>
      </c>
      <c r="E1201" t="s">
        <v>8</v>
      </c>
      <c r="F1201" s="3">
        <v>5151</v>
      </c>
      <c r="G1201" s="3" t="s">
        <v>196</v>
      </c>
      <c r="H1201" s="22">
        <v>319890</v>
      </c>
      <c r="I1201" s="1">
        <v>0</v>
      </c>
      <c r="J1201" s="1">
        <v>319890</v>
      </c>
      <c r="K1201">
        <f>VLOOKUP(F1201,'LEAID Match'!$A$2:$C$2979,3,FALSE)</f>
        <v>2010050</v>
      </c>
    </row>
    <row r="1202" spans="1:11" x14ac:dyDescent="0.2">
      <c r="A1202">
        <v>2007500</v>
      </c>
      <c r="B1202">
        <v>2018</v>
      </c>
      <c r="C1202" t="s">
        <v>6</v>
      </c>
      <c r="D1202" t="s">
        <v>7</v>
      </c>
      <c r="E1202" t="s">
        <v>8</v>
      </c>
      <c r="F1202" s="3">
        <v>5152</v>
      </c>
      <c r="G1202" s="3" t="s">
        <v>197</v>
      </c>
      <c r="H1202" s="1">
        <v>514533</v>
      </c>
      <c r="I1202" s="21">
        <v>0</v>
      </c>
      <c r="J1202" s="21">
        <v>514533</v>
      </c>
      <c r="K1202">
        <f>VLOOKUP(F1202,'LEAID Match'!$A$2:$C$2979,3,FALSE)</f>
        <v>2007500</v>
      </c>
    </row>
    <row r="1203" spans="1:11" x14ac:dyDescent="0.2">
      <c r="A1203">
        <v>2005760</v>
      </c>
      <c r="B1203">
        <v>2018</v>
      </c>
      <c r="C1203" t="s">
        <v>6</v>
      </c>
      <c r="D1203" t="s">
        <v>7</v>
      </c>
      <c r="E1203" t="s">
        <v>8</v>
      </c>
      <c r="F1203" s="3">
        <v>5153</v>
      </c>
      <c r="G1203" s="3" t="s">
        <v>198</v>
      </c>
      <c r="H1203" s="1">
        <v>140816</v>
      </c>
      <c r="I1203" s="1">
        <v>0</v>
      </c>
      <c r="J1203" s="1">
        <v>140816</v>
      </c>
      <c r="K1203">
        <f>VLOOKUP(F1203,'LEAID Match'!$A$2:$C$2979,3,FALSE)</f>
        <v>2005760</v>
      </c>
    </row>
    <row r="1204" spans="1:11" x14ac:dyDescent="0.2">
      <c r="A1204">
        <v>2012120</v>
      </c>
      <c r="B1204">
        <v>2018</v>
      </c>
      <c r="C1204" t="s">
        <v>6</v>
      </c>
      <c r="D1204" t="s">
        <v>7</v>
      </c>
      <c r="E1204" t="s">
        <v>8</v>
      </c>
      <c r="F1204">
        <v>5154</v>
      </c>
      <c r="G1204" t="s">
        <v>199</v>
      </c>
      <c r="H1204" s="1">
        <v>182008</v>
      </c>
      <c r="I1204" s="1">
        <v>0</v>
      </c>
      <c r="J1204" s="1">
        <v>182008</v>
      </c>
      <c r="K1204">
        <f>VLOOKUP(F1204,'LEAID Match'!$A$2:$C$2979,3,FALSE)</f>
        <v>2012120</v>
      </c>
    </row>
    <row r="1205" spans="1:11" x14ac:dyDescent="0.2">
      <c r="A1205">
        <v>2010920</v>
      </c>
      <c r="B1205">
        <v>2018</v>
      </c>
      <c r="C1205" t="s">
        <v>6</v>
      </c>
      <c r="D1205" t="s">
        <v>7</v>
      </c>
      <c r="E1205" t="s">
        <v>8</v>
      </c>
      <c r="F1205">
        <v>5155</v>
      </c>
      <c r="G1205" t="s">
        <v>200</v>
      </c>
      <c r="H1205" s="1">
        <v>200160</v>
      </c>
      <c r="I1205" s="1">
        <v>0</v>
      </c>
      <c r="J1205" s="1">
        <v>200160</v>
      </c>
      <c r="K1205">
        <f>VLOOKUP(F1205,'LEAID Match'!$A$2:$C$2979,3,FALSE)</f>
        <v>2010920</v>
      </c>
    </row>
    <row r="1206" spans="1:11" x14ac:dyDescent="0.2">
      <c r="A1206">
        <v>2005010</v>
      </c>
      <c r="B1206">
        <v>2018</v>
      </c>
      <c r="C1206" t="s">
        <v>6</v>
      </c>
      <c r="D1206" t="s">
        <v>7</v>
      </c>
      <c r="E1206" t="s">
        <v>8</v>
      </c>
      <c r="F1206">
        <v>5156</v>
      </c>
      <c r="G1206" t="s">
        <v>201</v>
      </c>
      <c r="H1206" s="1">
        <v>600074</v>
      </c>
      <c r="I1206" s="1">
        <v>0</v>
      </c>
      <c r="J1206" s="1">
        <v>600074</v>
      </c>
      <c r="K1206">
        <f>VLOOKUP(F1206,'LEAID Match'!$A$2:$C$2979,3,FALSE)</f>
        <v>2005010</v>
      </c>
    </row>
    <row r="1207" spans="1:11" x14ac:dyDescent="0.2">
      <c r="A1207">
        <v>2008910</v>
      </c>
      <c r="B1207">
        <v>2018</v>
      </c>
      <c r="C1207" t="s">
        <v>6</v>
      </c>
      <c r="D1207" t="s">
        <v>7</v>
      </c>
      <c r="E1207" t="s">
        <v>8</v>
      </c>
      <c r="F1207">
        <v>5157</v>
      </c>
      <c r="G1207" t="s">
        <v>202</v>
      </c>
      <c r="H1207" s="20">
        <v>142019</v>
      </c>
      <c r="I1207" s="1">
        <v>0</v>
      </c>
      <c r="J1207" s="1">
        <v>142019</v>
      </c>
      <c r="K1207">
        <f>VLOOKUP(F1207,'LEAID Match'!$A$2:$C$2979,3,FALSE)</f>
        <v>2008910</v>
      </c>
    </row>
    <row r="1208" spans="1:11" x14ac:dyDescent="0.2">
      <c r="A1208">
        <v>2008070</v>
      </c>
      <c r="B1208">
        <v>2018</v>
      </c>
      <c r="C1208" t="s">
        <v>6</v>
      </c>
      <c r="D1208" t="s">
        <v>7</v>
      </c>
      <c r="E1208" t="s">
        <v>8</v>
      </c>
      <c r="F1208">
        <v>5158</v>
      </c>
      <c r="G1208" t="s">
        <v>203</v>
      </c>
      <c r="H1208" s="1">
        <v>665214</v>
      </c>
      <c r="I1208" s="1">
        <v>0</v>
      </c>
      <c r="J1208" s="1">
        <v>665214</v>
      </c>
      <c r="K1208">
        <f>VLOOKUP(F1208,'LEAID Match'!$A$2:$C$2979,3,FALSE)</f>
        <v>2008070</v>
      </c>
    </row>
    <row r="1209" spans="1:11" x14ac:dyDescent="0.2">
      <c r="A1209">
        <v>2005100</v>
      </c>
      <c r="B1209">
        <v>2018</v>
      </c>
      <c r="C1209" t="s">
        <v>6</v>
      </c>
      <c r="D1209" t="s">
        <v>7</v>
      </c>
      <c r="E1209" t="s">
        <v>8</v>
      </c>
      <c r="F1209">
        <v>5159</v>
      </c>
      <c r="G1209" s="9" t="s">
        <v>204</v>
      </c>
      <c r="H1209" s="1">
        <v>979468</v>
      </c>
      <c r="I1209" s="1">
        <v>0</v>
      </c>
      <c r="J1209" s="1">
        <v>979468</v>
      </c>
      <c r="K1209">
        <f>VLOOKUP(F1209,'LEAID Match'!$A$2:$C$2979,3,FALSE)</f>
        <v>2005100</v>
      </c>
    </row>
    <row r="1210" spans="1:11" x14ac:dyDescent="0.2">
      <c r="A1210">
        <v>2008100</v>
      </c>
      <c r="B1210">
        <v>2018</v>
      </c>
      <c r="C1210" t="s">
        <v>6</v>
      </c>
      <c r="D1210" t="s">
        <v>7</v>
      </c>
      <c r="E1210" t="s">
        <v>8</v>
      </c>
      <c r="F1210" s="3">
        <v>5160</v>
      </c>
      <c r="G1210" s="3" t="s">
        <v>205</v>
      </c>
      <c r="H1210" s="22">
        <v>286583</v>
      </c>
      <c r="I1210" s="1">
        <v>0</v>
      </c>
      <c r="J1210" s="1">
        <v>286583</v>
      </c>
      <c r="K1210">
        <f>VLOOKUP(F1210,'LEAID Match'!$A$2:$C$2979,3,FALSE)</f>
        <v>2008100</v>
      </c>
    </row>
    <row r="1211" spans="1:11" x14ac:dyDescent="0.2">
      <c r="A1211">
        <v>2005130</v>
      </c>
      <c r="B1211">
        <v>2018</v>
      </c>
      <c r="C1211" t="s">
        <v>6</v>
      </c>
      <c r="D1211" t="s">
        <v>7</v>
      </c>
      <c r="E1211" t="s">
        <v>8</v>
      </c>
      <c r="F1211" s="3">
        <v>5161</v>
      </c>
      <c r="G1211" s="3" t="s">
        <v>206</v>
      </c>
      <c r="H1211" s="1">
        <v>396633</v>
      </c>
      <c r="I1211" s="21">
        <v>0</v>
      </c>
      <c r="J1211" s="21">
        <v>396633</v>
      </c>
      <c r="K1211">
        <f>VLOOKUP(F1211,'LEAID Match'!$A$2:$C$2979,3,FALSE)</f>
        <v>2005130</v>
      </c>
    </row>
    <row r="1212" spans="1:11" x14ac:dyDescent="0.2">
      <c r="A1212">
        <v>2005700</v>
      </c>
      <c r="B1212">
        <v>2018</v>
      </c>
      <c r="C1212" t="s">
        <v>6</v>
      </c>
      <c r="D1212" t="s">
        <v>7</v>
      </c>
      <c r="E1212" t="s">
        <v>8</v>
      </c>
      <c r="F1212" s="3">
        <v>5162</v>
      </c>
      <c r="G1212" s="3" t="s">
        <v>207</v>
      </c>
      <c r="H1212" s="1">
        <v>397659</v>
      </c>
      <c r="I1212" s="1">
        <v>0</v>
      </c>
      <c r="J1212" s="1">
        <v>397659</v>
      </c>
      <c r="K1212">
        <f>VLOOKUP(F1212,'LEAID Match'!$A$2:$C$2979,3,FALSE)</f>
        <v>2005700</v>
      </c>
    </row>
    <row r="1213" spans="1:11" x14ac:dyDescent="0.2">
      <c r="A1213">
        <v>2008220</v>
      </c>
      <c r="B1213">
        <v>2018</v>
      </c>
      <c r="C1213" t="s">
        <v>6</v>
      </c>
      <c r="D1213" t="s">
        <v>7</v>
      </c>
      <c r="E1213" t="s">
        <v>8</v>
      </c>
      <c r="F1213">
        <v>5163</v>
      </c>
      <c r="G1213" t="s">
        <v>208</v>
      </c>
      <c r="H1213" s="1">
        <v>251666</v>
      </c>
      <c r="I1213" s="1">
        <v>0</v>
      </c>
      <c r="J1213" s="1">
        <v>251666</v>
      </c>
      <c r="K1213">
        <f>VLOOKUP(F1213,'LEAID Match'!$A$2:$C$2979,3,FALSE)</f>
        <v>2008220</v>
      </c>
    </row>
    <row r="1214" spans="1:11" x14ac:dyDescent="0.2">
      <c r="A1214">
        <v>2007530</v>
      </c>
      <c r="B1214">
        <v>2018</v>
      </c>
      <c r="C1214" t="s">
        <v>6</v>
      </c>
      <c r="D1214" t="s">
        <v>7</v>
      </c>
      <c r="E1214" t="s">
        <v>8</v>
      </c>
      <c r="F1214">
        <v>5164</v>
      </c>
      <c r="G1214" t="s">
        <v>209</v>
      </c>
      <c r="H1214" s="1">
        <v>270776</v>
      </c>
      <c r="I1214" s="1">
        <v>0</v>
      </c>
      <c r="J1214" s="1">
        <v>270776</v>
      </c>
      <c r="K1214">
        <f>VLOOKUP(F1214,'LEAID Match'!$A$2:$C$2979,3,FALSE)</f>
        <v>2007530</v>
      </c>
    </row>
    <row r="1215" spans="1:11" x14ac:dyDescent="0.2">
      <c r="A1215">
        <v>2012330</v>
      </c>
      <c r="B1215">
        <v>2018</v>
      </c>
      <c r="C1215" t="s">
        <v>6</v>
      </c>
      <c r="D1215" t="s">
        <v>7</v>
      </c>
      <c r="E1215" t="s">
        <v>8</v>
      </c>
      <c r="F1215">
        <v>5166</v>
      </c>
      <c r="G1215" t="s">
        <v>210</v>
      </c>
      <c r="H1215" s="1">
        <v>193911</v>
      </c>
      <c r="I1215" s="1">
        <v>0</v>
      </c>
      <c r="J1215" s="1">
        <v>193911</v>
      </c>
      <c r="K1215">
        <f>VLOOKUP(F1215,'LEAID Match'!$A$2:$C$2979,3,FALSE)</f>
        <v>2012330</v>
      </c>
    </row>
    <row r="1216" spans="1:11" x14ac:dyDescent="0.2">
      <c r="A1216">
        <v>2007470</v>
      </c>
      <c r="B1216">
        <v>2018</v>
      </c>
      <c r="C1216" t="s">
        <v>6</v>
      </c>
      <c r="D1216" t="s">
        <v>7</v>
      </c>
      <c r="E1216" t="s">
        <v>8</v>
      </c>
      <c r="F1216">
        <v>5167</v>
      </c>
      <c r="G1216" t="s">
        <v>211</v>
      </c>
      <c r="H1216" s="20">
        <v>508289</v>
      </c>
      <c r="I1216" s="1">
        <v>0</v>
      </c>
      <c r="J1216" s="1">
        <v>508289</v>
      </c>
      <c r="K1216">
        <f>VLOOKUP(F1216,'LEAID Match'!$A$2:$C$2979,3,FALSE)</f>
        <v>2007470</v>
      </c>
    </row>
    <row r="1217" spans="1:11" x14ac:dyDescent="0.2">
      <c r="A1217">
        <v>2007320</v>
      </c>
      <c r="B1217">
        <v>2018</v>
      </c>
      <c r="C1217" t="s">
        <v>6</v>
      </c>
      <c r="D1217" t="s">
        <v>7</v>
      </c>
      <c r="E1217" t="s">
        <v>8</v>
      </c>
      <c r="F1217">
        <v>5168</v>
      </c>
      <c r="G1217" t="s">
        <v>212</v>
      </c>
      <c r="H1217" s="1">
        <v>525473</v>
      </c>
      <c r="I1217" s="1">
        <v>0</v>
      </c>
      <c r="J1217" s="1">
        <v>525473</v>
      </c>
      <c r="K1217">
        <f>VLOOKUP(F1217,'LEAID Match'!$A$2:$C$2979,3,FALSE)</f>
        <v>2007320</v>
      </c>
    </row>
    <row r="1218" spans="1:11" x14ac:dyDescent="0.2">
      <c r="A1218">
        <v>2008880</v>
      </c>
      <c r="B1218">
        <v>2018</v>
      </c>
      <c r="C1218" t="s">
        <v>6</v>
      </c>
      <c r="D1218" t="s">
        <v>7</v>
      </c>
      <c r="E1218" t="s">
        <v>8</v>
      </c>
      <c r="F1218">
        <v>5171</v>
      </c>
      <c r="G1218" s="9" t="s">
        <v>213</v>
      </c>
      <c r="H1218" s="1">
        <v>244021</v>
      </c>
      <c r="I1218" s="1">
        <v>0</v>
      </c>
      <c r="J1218" s="1">
        <v>244021</v>
      </c>
      <c r="K1218">
        <f>VLOOKUP(F1218,'LEAID Match'!$A$2:$C$2979,3,FALSE)</f>
        <v>2008880</v>
      </c>
    </row>
    <row r="1219" spans="1:11" x14ac:dyDescent="0.2">
      <c r="A1219">
        <v>2004740</v>
      </c>
      <c r="B1219">
        <v>2018</v>
      </c>
      <c r="C1219" t="s">
        <v>6</v>
      </c>
      <c r="D1219" t="s">
        <v>7</v>
      </c>
      <c r="E1219" t="s">
        <v>8</v>
      </c>
      <c r="F1219" s="3">
        <v>5172</v>
      </c>
      <c r="G1219" s="3" t="s">
        <v>214</v>
      </c>
      <c r="H1219" s="22">
        <v>662752</v>
      </c>
      <c r="I1219" s="1">
        <v>0</v>
      </c>
      <c r="J1219" s="1">
        <v>662752</v>
      </c>
      <c r="K1219">
        <f>VLOOKUP(F1219,'LEAID Match'!$A$2:$C$2979,3,FALSE)</f>
        <v>2004740</v>
      </c>
    </row>
    <row r="1220" spans="1:11" x14ac:dyDescent="0.2">
      <c r="A1220">
        <v>2007860</v>
      </c>
      <c r="B1220">
        <v>2018</v>
      </c>
      <c r="C1220" t="s">
        <v>6</v>
      </c>
      <c r="D1220" t="s">
        <v>7</v>
      </c>
      <c r="E1220" t="s">
        <v>8</v>
      </c>
      <c r="F1220" s="3">
        <v>5173</v>
      </c>
      <c r="G1220" s="3" t="s">
        <v>215</v>
      </c>
      <c r="H1220" s="1">
        <v>365522</v>
      </c>
      <c r="I1220" s="21">
        <v>0</v>
      </c>
      <c r="J1220" s="21">
        <v>365522</v>
      </c>
      <c r="K1220">
        <f>VLOOKUP(F1220,'LEAID Match'!$A$2:$C$2979,3,FALSE)</f>
        <v>2007860</v>
      </c>
    </row>
    <row r="1221" spans="1:11" x14ac:dyDescent="0.2">
      <c r="A1221">
        <v>2007170</v>
      </c>
      <c r="B1221">
        <v>2018</v>
      </c>
      <c r="C1221" t="s">
        <v>6</v>
      </c>
      <c r="D1221" t="s">
        <v>7</v>
      </c>
      <c r="E1221" t="s">
        <v>8</v>
      </c>
      <c r="F1221" s="3">
        <v>5174</v>
      </c>
      <c r="G1221" s="3" t="s">
        <v>216</v>
      </c>
      <c r="H1221" s="1">
        <v>527860</v>
      </c>
      <c r="I1221" s="1">
        <v>0</v>
      </c>
      <c r="J1221" s="1">
        <v>527860</v>
      </c>
      <c r="K1221">
        <f>VLOOKUP(F1221,'LEAID Match'!$A$2:$C$2979,3,FALSE)</f>
        <v>2007170</v>
      </c>
    </row>
    <row r="1222" spans="1:11" x14ac:dyDescent="0.2">
      <c r="A1222">
        <v>2004230</v>
      </c>
      <c r="B1222">
        <v>2018</v>
      </c>
      <c r="C1222" t="s">
        <v>6</v>
      </c>
      <c r="D1222" t="s">
        <v>7</v>
      </c>
      <c r="E1222" t="s">
        <v>8</v>
      </c>
      <c r="F1222">
        <v>5175</v>
      </c>
      <c r="G1222" t="s">
        <v>217</v>
      </c>
      <c r="H1222" s="1">
        <v>281933</v>
      </c>
      <c r="I1222" s="1">
        <v>0</v>
      </c>
      <c r="J1222" s="1">
        <v>281933</v>
      </c>
      <c r="K1222">
        <f>VLOOKUP(F1222,'LEAID Match'!$A$2:$C$2979,3,FALSE)</f>
        <v>2004230</v>
      </c>
    </row>
    <row r="1223" spans="1:11" x14ac:dyDescent="0.2">
      <c r="A1223">
        <v>2008340</v>
      </c>
      <c r="B1223">
        <v>2018</v>
      </c>
      <c r="C1223" t="s">
        <v>6</v>
      </c>
      <c r="D1223" t="s">
        <v>7</v>
      </c>
      <c r="E1223" t="s">
        <v>8</v>
      </c>
      <c r="F1223">
        <v>5176</v>
      </c>
      <c r="G1223" t="s">
        <v>218</v>
      </c>
      <c r="H1223" s="1">
        <v>2028004</v>
      </c>
      <c r="I1223" s="1">
        <v>0</v>
      </c>
      <c r="J1223" s="1">
        <v>2028004</v>
      </c>
      <c r="K1223">
        <f>VLOOKUP(F1223,'LEAID Match'!$A$2:$C$2979,3,FALSE)</f>
        <v>2008340</v>
      </c>
    </row>
    <row r="1224" spans="1:11" x14ac:dyDescent="0.2">
      <c r="A1224">
        <v>2012000</v>
      </c>
      <c r="B1224">
        <v>2018</v>
      </c>
      <c r="C1224" t="s">
        <v>6</v>
      </c>
      <c r="D1224" t="s">
        <v>7</v>
      </c>
      <c r="E1224" t="s">
        <v>8</v>
      </c>
      <c r="F1224">
        <v>5185</v>
      </c>
      <c r="G1224" t="s">
        <v>219</v>
      </c>
      <c r="H1224" s="1">
        <v>18383425</v>
      </c>
      <c r="I1224" s="1">
        <v>0</v>
      </c>
      <c r="J1224" s="1">
        <v>18383425</v>
      </c>
      <c r="K1224">
        <f>VLOOKUP(F1224,'LEAID Match'!$A$2:$C$2979,3,FALSE)</f>
        <v>2012000</v>
      </c>
    </row>
    <row r="1225" spans="1:11" x14ac:dyDescent="0.2">
      <c r="A1225">
        <v>2000007</v>
      </c>
      <c r="B1225">
        <v>2018</v>
      </c>
      <c r="C1225" t="s">
        <v>6</v>
      </c>
      <c r="D1225" t="s">
        <v>7</v>
      </c>
      <c r="E1225" t="s">
        <v>8</v>
      </c>
      <c r="F1225">
        <v>5186</v>
      </c>
      <c r="G1225" t="s">
        <v>220</v>
      </c>
      <c r="H1225" s="20">
        <v>353984</v>
      </c>
      <c r="I1225" s="1">
        <v>0</v>
      </c>
      <c r="J1225" s="1">
        <v>353984</v>
      </c>
      <c r="K1225">
        <f>VLOOKUP(F1225,'LEAID Match'!$A$2:$C$2979,3,FALSE)</f>
        <v>2000007</v>
      </c>
    </row>
    <row r="1226" spans="1:11" x14ac:dyDescent="0.2">
      <c r="A1226">
        <v>2003960</v>
      </c>
      <c r="B1226">
        <v>2018</v>
      </c>
      <c r="C1226" t="s">
        <v>6</v>
      </c>
      <c r="D1226" t="s">
        <v>7</v>
      </c>
      <c r="E1226" t="s">
        <v>8</v>
      </c>
      <c r="F1226">
        <v>5187</v>
      </c>
      <c r="G1226" t="s">
        <v>221</v>
      </c>
      <c r="H1226" s="1">
        <v>426859</v>
      </c>
      <c r="I1226" s="1">
        <v>0</v>
      </c>
      <c r="J1226" s="1">
        <v>426859</v>
      </c>
      <c r="K1226">
        <f>VLOOKUP(F1226,'LEAID Match'!$A$2:$C$2979,3,FALSE)</f>
        <v>2003960</v>
      </c>
    </row>
    <row r="1227" spans="1:11" x14ac:dyDescent="0.2">
      <c r="A1227">
        <v>2012060</v>
      </c>
      <c r="B1227">
        <v>2018</v>
      </c>
      <c r="C1227" t="s">
        <v>6</v>
      </c>
      <c r="D1227" t="s">
        <v>7</v>
      </c>
      <c r="E1227" t="s">
        <v>8</v>
      </c>
      <c r="F1227">
        <v>5188</v>
      </c>
      <c r="G1227" s="9" t="s">
        <v>222</v>
      </c>
      <c r="H1227" s="1">
        <v>218062</v>
      </c>
      <c r="I1227" s="1">
        <v>0</v>
      </c>
      <c r="J1227" s="1">
        <v>218062</v>
      </c>
      <c r="K1227">
        <f>VLOOKUP(F1227,'LEAID Match'!$A$2:$C$2979,3,FALSE)</f>
        <v>2012060</v>
      </c>
    </row>
    <row r="1228" spans="1:11" x14ac:dyDescent="0.2">
      <c r="A1228">
        <v>2006780</v>
      </c>
      <c r="B1228">
        <v>2018</v>
      </c>
      <c r="C1228" t="s">
        <v>6</v>
      </c>
      <c r="D1228" t="s">
        <v>7</v>
      </c>
      <c r="E1228" t="s">
        <v>8</v>
      </c>
      <c r="F1228" s="3">
        <v>5189</v>
      </c>
      <c r="G1228" s="3" t="s">
        <v>223</v>
      </c>
      <c r="H1228" s="22">
        <v>85175</v>
      </c>
      <c r="I1228" s="1">
        <v>0</v>
      </c>
      <c r="J1228" s="1">
        <v>85175</v>
      </c>
      <c r="K1228">
        <f>VLOOKUP(F1228,'LEAID Match'!$A$2:$C$2979,3,FALSE)</f>
        <v>2006780</v>
      </c>
    </row>
    <row r="1229" spans="1:11" x14ac:dyDescent="0.2">
      <c r="A1229">
        <v>2011880</v>
      </c>
      <c r="B1229">
        <v>2018</v>
      </c>
      <c r="C1229" t="s">
        <v>6</v>
      </c>
      <c r="D1229" t="s">
        <v>7</v>
      </c>
      <c r="E1229" t="s">
        <v>8</v>
      </c>
      <c r="F1229" s="3">
        <v>5190</v>
      </c>
      <c r="G1229" s="3" t="s">
        <v>224</v>
      </c>
      <c r="H1229" s="1">
        <v>246508</v>
      </c>
      <c r="I1229" s="21">
        <v>0</v>
      </c>
      <c r="J1229" s="21">
        <v>246508</v>
      </c>
      <c r="K1229">
        <f>VLOOKUP(F1229,'LEAID Match'!$A$2:$C$2979,3,FALSE)</f>
        <v>2011880</v>
      </c>
    </row>
    <row r="1230" spans="1:11" x14ac:dyDescent="0.2">
      <c r="A1230">
        <v>2009990</v>
      </c>
      <c r="B1230">
        <v>2018</v>
      </c>
      <c r="C1230" t="s">
        <v>6</v>
      </c>
      <c r="D1230" t="s">
        <v>7</v>
      </c>
      <c r="E1230" t="s">
        <v>8</v>
      </c>
      <c r="F1230" s="3">
        <v>5191</v>
      </c>
      <c r="G1230" s="3" t="s">
        <v>225</v>
      </c>
      <c r="H1230" s="1">
        <v>845128</v>
      </c>
      <c r="I1230" s="1">
        <v>0</v>
      </c>
      <c r="J1230" s="1">
        <v>845128</v>
      </c>
      <c r="K1230">
        <f>VLOOKUP(F1230,'LEAID Match'!$A$2:$C$2979,3,FALSE)</f>
        <v>2009990</v>
      </c>
    </row>
    <row r="1231" spans="1:11" x14ac:dyDescent="0.2">
      <c r="A1231">
        <v>2008310</v>
      </c>
      <c r="B1231">
        <v>2018</v>
      </c>
      <c r="C1231" t="s">
        <v>6</v>
      </c>
      <c r="D1231" t="s">
        <v>7</v>
      </c>
      <c r="E1231" t="s">
        <v>8</v>
      </c>
      <c r="F1231">
        <v>5192</v>
      </c>
      <c r="G1231" t="s">
        <v>226</v>
      </c>
      <c r="H1231" s="1">
        <v>286468</v>
      </c>
      <c r="I1231" s="1">
        <v>0</v>
      </c>
      <c r="J1231" s="1">
        <v>286468</v>
      </c>
      <c r="K1231">
        <f>VLOOKUP(F1231,'LEAID Match'!$A$2:$C$2979,3,FALSE)</f>
        <v>2008310</v>
      </c>
    </row>
    <row r="1232" spans="1:11" x14ac:dyDescent="0.2">
      <c r="A1232">
        <v>2004200</v>
      </c>
      <c r="B1232">
        <v>2018</v>
      </c>
      <c r="C1232" t="s">
        <v>6</v>
      </c>
      <c r="D1232" t="s">
        <v>7</v>
      </c>
      <c r="E1232" t="s">
        <v>8</v>
      </c>
      <c r="F1232">
        <v>5193</v>
      </c>
      <c r="G1232" t="s">
        <v>227</v>
      </c>
      <c r="H1232" s="1">
        <v>1402575</v>
      </c>
      <c r="I1232" s="1">
        <v>0</v>
      </c>
      <c r="J1232" s="1">
        <v>1402575</v>
      </c>
      <c r="K1232">
        <f>VLOOKUP(F1232,'LEAID Match'!$A$2:$C$2979,3,FALSE)</f>
        <v>2004200</v>
      </c>
    </row>
    <row r="1233" spans="1:11" x14ac:dyDescent="0.2">
      <c r="A1233">
        <v>2000004</v>
      </c>
      <c r="B1233">
        <v>2018</v>
      </c>
      <c r="C1233" t="s">
        <v>6</v>
      </c>
      <c r="D1233" t="s">
        <v>7</v>
      </c>
      <c r="E1233" t="s">
        <v>8</v>
      </c>
      <c r="F1233">
        <v>5195</v>
      </c>
      <c r="G1233" t="s">
        <v>228</v>
      </c>
      <c r="H1233" s="1">
        <v>664406</v>
      </c>
      <c r="I1233" s="1">
        <v>0</v>
      </c>
      <c r="J1233" s="1">
        <v>664406</v>
      </c>
      <c r="K1233">
        <f>VLOOKUP(F1233,'LEAID Match'!$A$2:$C$2979,3,FALSE)</f>
        <v>2000004</v>
      </c>
    </row>
    <row r="1234" spans="1:11" x14ac:dyDescent="0.2">
      <c r="A1234">
        <v>2010320</v>
      </c>
      <c r="B1234">
        <v>2018</v>
      </c>
      <c r="C1234" t="s">
        <v>6</v>
      </c>
      <c r="D1234" t="s">
        <v>7</v>
      </c>
      <c r="E1234" t="s">
        <v>8</v>
      </c>
      <c r="F1234">
        <v>5196</v>
      </c>
      <c r="G1234" t="s">
        <v>229</v>
      </c>
      <c r="H1234" s="20">
        <v>468608</v>
      </c>
      <c r="I1234" s="1">
        <v>0</v>
      </c>
      <c r="J1234" s="1">
        <v>468608</v>
      </c>
      <c r="K1234">
        <f>VLOOKUP(F1234,'LEAID Match'!$A$2:$C$2979,3,FALSE)</f>
        <v>2010320</v>
      </c>
    </row>
    <row r="1235" spans="1:11" x14ac:dyDescent="0.2">
      <c r="A1235">
        <v>2009060</v>
      </c>
      <c r="B1235">
        <v>2018</v>
      </c>
      <c r="C1235" t="s">
        <v>6</v>
      </c>
      <c r="D1235" t="s">
        <v>7</v>
      </c>
      <c r="E1235" t="s">
        <v>8</v>
      </c>
      <c r="F1235">
        <v>5197</v>
      </c>
      <c r="G1235" t="s">
        <v>230</v>
      </c>
      <c r="H1235" s="1">
        <v>254601</v>
      </c>
      <c r="I1235" s="1">
        <v>0</v>
      </c>
      <c r="J1235" s="1">
        <v>254601</v>
      </c>
      <c r="K1235">
        <f>VLOOKUP(F1235,'LEAID Match'!$A$2:$C$2979,3,FALSE)</f>
        <v>2009060</v>
      </c>
    </row>
    <row r="1236" spans="1:11" x14ac:dyDescent="0.2">
      <c r="A1236">
        <v>2012840</v>
      </c>
      <c r="B1236">
        <v>2018</v>
      </c>
      <c r="C1236" t="s">
        <v>6</v>
      </c>
      <c r="D1236" t="s">
        <v>7</v>
      </c>
      <c r="E1236" t="s">
        <v>8</v>
      </c>
      <c r="F1236">
        <v>5198</v>
      </c>
      <c r="G1236" s="9" t="s">
        <v>231</v>
      </c>
      <c r="H1236" s="1">
        <v>1349888</v>
      </c>
      <c r="I1236" s="1">
        <v>0</v>
      </c>
      <c r="J1236" s="1">
        <v>1349888</v>
      </c>
      <c r="K1236">
        <f>VLOOKUP(F1236,'LEAID Match'!$A$2:$C$2979,3,FALSE)</f>
        <v>2012840</v>
      </c>
    </row>
    <row r="1237" spans="1:11" x14ac:dyDescent="0.2">
      <c r="A1237">
        <v>2005820</v>
      </c>
      <c r="B1237">
        <v>2018</v>
      </c>
      <c r="C1237" t="s">
        <v>6</v>
      </c>
      <c r="D1237" t="s">
        <v>7</v>
      </c>
      <c r="E1237" t="s">
        <v>8</v>
      </c>
      <c r="F1237" s="3">
        <v>5199</v>
      </c>
      <c r="G1237" s="3" t="s">
        <v>232</v>
      </c>
      <c r="H1237" s="22">
        <v>362111</v>
      </c>
      <c r="I1237" s="1">
        <v>0</v>
      </c>
      <c r="J1237" s="1">
        <v>362111</v>
      </c>
      <c r="K1237">
        <f>VLOOKUP(F1237,'LEAID Match'!$A$2:$C$2979,3,FALSE)</f>
        <v>2005820</v>
      </c>
    </row>
    <row r="1238" spans="1:11" x14ac:dyDescent="0.2">
      <c r="A1238">
        <v>2008250</v>
      </c>
      <c r="B1238">
        <v>2018</v>
      </c>
      <c r="C1238" t="s">
        <v>6</v>
      </c>
      <c r="D1238" t="s">
        <v>7</v>
      </c>
      <c r="E1238" t="s">
        <v>8</v>
      </c>
      <c r="F1238" s="3">
        <v>5200</v>
      </c>
      <c r="G1238" s="3" t="s">
        <v>233</v>
      </c>
      <c r="H1238" s="1">
        <v>857080</v>
      </c>
      <c r="I1238" s="21">
        <v>0</v>
      </c>
      <c r="J1238" s="21">
        <v>857080</v>
      </c>
      <c r="K1238">
        <f>VLOOKUP(F1238,'LEAID Match'!$A$2:$C$2979,3,FALSE)</f>
        <v>2008250</v>
      </c>
    </row>
    <row r="1239" spans="1:11" x14ac:dyDescent="0.2">
      <c r="A1239">
        <v>2004350</v>
      </c>
      <c r="B1239">
        <v>2018</v>
      </c>
      <c r="C1239" t="s">
        <v>6</v>
      </c>
      <c r="D1239" t="s">
        <v>7</v>
      </c>
      <c r="E1239" t="s">
        <v>8</v>
      </c>
      <c r="F1239" s="3">
        <v>5201</v>
      </c>
      <c r="G1239" s="3" t="s">
        <v>234</v>
      </c>
      <c r="H1239" s="1">
        <v>195572</v>
      </c>
      <c r="I1239" s="1">
        <v>0</v>
      </c>
      <c r="J1239" s="1">
        <v>195572</v>
      </c>
      <c r="K1239">
        <f>VLOOKUP(F1239,'LEAID Match'!$A$2:$C$2979,3,FALSE)</f>
        <v>2004350</v>
      </c>
    </row>
    <row r="1240" spans="1:11" x14ac:dyDescent="0.2">
      <c r="A1240">
        <v>2010290</v>
      </c>
      <c r="B1240">
        <v>2018</v>
      </c>
      <c r="C1240" t="s">
        <v>6</v>
      </c>
      <c r="D1240" t="s">
        <v>7</v>
      </c>
      <c r="E1240" t="s">
        <v>8</v>
      </c>
      <c r="F1240">
        <v>5202</v>
      </c>
      <c r="G1240" t="s">
        <v>235</v>
      </c>
      <c r="H1240" s="1">
        <v>222883</v>
      </c>
      <c r="I1240" s="1">
        <v>0</v>
      </c>
      <c r="J1240" s="1">
        <v>222883</v>
      </c>
      <c r="K1240">
        <f>VLOOKUP(F1240,'LEAID Match'!$A$2:$C$2979,3,FALSE)</f>
        <v>2010290</v>
      </c>
    </row>
    <row r="1241" spans="1:11" x14ac:dyDescent="0.2">
      <c r="A1241">
        <v>2000002</v>
      </c>
      <c r="B1241">
        <v>2018</v>
      </c>
      <c r="C1241" t="s">
        <v>6</v>
      </c>
      <c r="D1241" t="s">
        <v>7</v>
      </c>
      <c r="E1241" t="s">
        <v>8</v>
      </c>
      <c r="F1241">
        <v>5203</v>
      </c>
      <c r="G1241" t="s">
        <v>236</v>
      </c>
      <c r="H1241" s="1">
        <v>659911</v>
      </c>
      <c r="I1241" s="1">
        <v>0</v>
      </c>
      <c r="J1241" s="1">
        <v>659911</v>
      </c>
      <c r="K1241">
        <f>VLOOKUP(F1241,'LEAID Match'!$A$2:$C$2979,3,FALSE)</f>
        <v>2000002</v>
      </c>
    </row>
    <row r="1242" spans="1:11" x14ac:dyDescent="0.2">
      <c r="A1242">
        <v>2009030</v>
      </c>
      <c r="B1242">
        <v>2018</v>
      </c>
      <c r="C1242" t="s">
        <v>6</v>
      </c>
      <c r="D1242" t="s">
        <v>7</v>
      </c>
      <c r="E1242" t="s">
        <v>8</v>
      </c>
      <c r="F1242">
        <v>5204</v>
      </c>
      <c r="G1242" t="s">
        <v>237</v>
      </c>
      <c r="H1242" s="1">
        <v>941238</v>
      </c>
      <c r="I1242" s="1">
        <v>0</v>
      </c>
      <c r="J1242" s="1">
        <v>941238</v>
      </c>
      <c r="K1242">
        <f>VLOOKUP(F1242,'LEAID Match'!$A$2:$C$2979,3,FALSE)</f>
        <v>2009030</v>
      </c>
    </row>
    <row r="1243" spans="1:11" x14ac:dyDescent="0.2">
      <c r="A1243">
        <v>2009240</v>
      </c>
      <c r="B1243">
        <v>2018</v>
      </c>
      <c r="C1243" t="s">
        <v>6</v>
      </c>
      <c r="D1243" t="s">
        <v>7</v>
      </c>
      <c r="E1243" t="s">
        <v>8</v>
      </c>
      <c r="F1243">
        <v>5205</v>
      </c>
      <c r="G1243" t="s">
        <v>238</v>
      </c>
      <c r="H1243" s="20">
        <v>387610</v>
      </c>
      <c r="I1243" s="1">
        <v>0</v>
      </c>
      <c r="J1243" s="1">
        <v>387610</v>
      </c>
      <c r="K1243">
        <f>VLOOKUP(F1243,'LEAID Match'!$A$2:$C$2979,3,FALSE)</f>
        <v>2009240</v>
      </c>
    </row>
    <row r="1244" spans="1:11" x14ac:dyDescent="0.2">
      <c r="A1244">
        <v>2007290</v>
      </c>
      <c r="B1244">
        <v>2018</v>
      </c>
      <c r="C1244" t="s">
        <v>6</v>
      </c>
      <c r="D1244" t="s">
        <v>7</v>
      </c>
      <c r="E1244" t="s">
        <v>8</v>
      </c>
      <c r="F1244">
        <v>5206</v>
      </c>
      <c r="G1244" t="s">
        <v>239</v>
      </c>
      <c r="H1244" s="1">
        <v>432956</v>
      </c>
      <c r="I1244" s="1">
        <v>0</v>
      </c>
      <c r="J1244" s="1">
        <v>432956</v>
      </c>
      <c r="K1244">
        <f>VLOOKUP(F1244,'LEAID Match'!$A$2:$C$2979,3,FALSE)</f>
        <v>2007290</v>
      </c>
    </row>
    <row r="1245" spans="1:11" x14ac:dyDescent="0.2">
      <c r="A1245">
        <v>2008970</v>
      </c>
      <c r="B1245">
        <v>2018</v>
      </c>
      <c r="C1245" t="s">
        <v>6</v>
      </c>
      <c r="D1245" t="s">
        <v>7</v>
      </c>
      <c r="E1245" t="s">
        <v>8</v>
      </c>
      <c r="F1245">
        <v>5207</v>
      </c>
      <c r="G1245" s="9" t="s">
        <v>240</v>
      </c>
      <c r="H1245" s="1">
        <v>939285</v>
      </c>
      <c r="I1245" s="1">
        <v>0</v>
      </c>
      <c r="J1245" s="1">
        <v>939285</v>
      </c>
      <c r="K1245">
        <f>VLOOKUP(F1245,'LEAID Match'!$A$2:$C$2979,3,FALSE)</f>
        <v>2008970</v>
      </c>
    </row>
    <row r="1246" spans="1:11" x14ac:dyDescent="0.2">
      <c r="A1246">
        <v>2009780</v>
      </c>
      <c r="B1246">
        <v>2018</v>
      </c>
      <c r="C1246" t="s">
        <v>6</v>
      </c>
      <c r="D1246" t="s">
        <v>7</v>
      </c>
      <c r="E1246" t="s">
        <v>8</v>
      </c>
      <c r="F1246" s="3">
        <v>5208</v>
      </c>
      <c r="G1246" s="3" t="s">
        <v>241</v>
      </c>
      <c r="H1246" s="22">
        <v>271669</v>
      </c>
      <c r="I1246" s="1">
        <v>0</v>
      </c>
      <c r="J1246" s="1">
        <v>271669</v>
      </c>
      <c r="K1246">
        <f>VLOOKUP(F1246,'LEAID Match'!$A$2:$C$2979,3,FALSE)</f>
        <v>2009780</v>
      </c>
    </row>
    <row r="1247" spans="1:11" x14ac:dyDescent="0.2">
      <c r="A1247">
        <v>2006660</v>
      </c>
      <c r="B1247">
        <v>2018</v>
      </c>
      <c r="C1247" t="s">
        <v>6</v>
      </c>
      <c r="D1247" t="s">
        <v>7</v>
      </c>
      <c r="E1247" t="s">
        <v>8</v>
      </c>
      <c r="F1247" s="3">
        <v>5210</v>
      </c>
      <c r="G1247" s="3" t="s">
        <v>242</v>
      </c>
      <c r="H1247" s="1">
        <v>3020635</v>
      </c>
      <c r="I1247" s="21">
        <v>0</v>
      </c>
      <c r="J1247" s="21">
        <v>3020635</v>
      </c>
      <c r="K1247">
        <f>VLOOKUP(F1247,'LEAID Match'!$A$2:$C$2979,3,FALSE)</f>
        <v>2006660</v>
      </c>
    </row>
    <row r="1248" spans="1:11" x14ac:dyDescent="0.2">
      <c r="A1248">
        <v>2010410</v>
      </c>
      <c r="B1248">
        <v>2018</v>
      </c>
      <c r="C1248" t="s">
        <v>6</v>
      </c>
      <c r="D1248" t="s">
        <v>7</v>
      </c>
      <c r="E1248" t="s">
        <v>8</v>
      </c>
      <c r="F1248" s="3">
        <v>5212</v>
      </c>
      <c r="G1248" s="3" t="s">
        <v>243</v>
      </c>
      <c r="H1248" s="1">
        <v>690844</v>
      </c>
      <c r="I1248" s="1">
        <v>0</v>
      </c>
      <c r="J1248" s="1">
        <v>690844</v>
      </c>
      <c r="K1248">
        <f>VLOOKUP(F1248,'LEAID Match'!$A$2:$C$2979,3,FALSE)</f>
        <v>2010410</v>
      </c>
    </row>
    <row r="1249" spans="1:11" x14ac:dyDescent="0.2">
      <c r="A1249">
        <v>2004410</v>
      </c>
      <c r="B1249">
        <v>2018</v>
      </c>
      <c r="C1249" t="s">
        <v>6</v>
      </c>
      <c r="D1249" t="s">
        <v>7</v>
      </c>
      <c r="E1249" t="s">
        <v>8</v>
      </c>
      <c r="F1249">
        <v>5213</v>
      </c>
      <c r="G1249" t="s">
        <v>244</v>
      </c>
      <c r="H1249" s="1">
        <v>543774</v>
      </c>
      <c r="I1249" s="1">
        <v>0</v>
      </c>
      <c r="J1249" s="1">
        <v>543774</v>
      </c>
      <c r="K1249">
        <f>VLOOKUP(F1249,'LEAID Match'!$A$2:$C$2979,3,FALSE)</f>
        <v>2004410</v>
      </c>
    </row>
    <row r="1250" spans="1:11" x14ac:dyDescent="0.2">
      <c r="A1250">
        <v>2012180</v>
      </c>
      <c r="B1250">
        <v>2018</v>
      </c>
      <c r="C1250" t="s">
        <v>6</v>
      </c>
      <c r="D1250" t="s">
        <v>7</v>
      </c>
      <c r="E1250" t="s">
        <v>8</v>
      </c>
      <c r="F1250">
        <v>5214</v>
      </c>
      <c r="G1250" t="s">
        <v>245</v>
      </c>
      <c r="H1250" s="1">
        <v>2669653</v>
      </c>
      <c r="I1250" s="1">
        <v>0</v>
      </c>
      <c r="J1250" s="1">
        <v>2669653</v>
      </c>
      <c r="K1250">
        <f>VLOOKUP(F1250,'LEAID Match'!$A$2:$C$2979,3,FALSE)</f>
        <v>2012180</v>
      </c>
    </row>
    <row r="1251" spans="1:11" x14ac:dyDescent="0.2">
      <c r="A1251">
        <v>2000017</v>
      </c>
      <c r="B1251">
        <v>2018</v>
      </c>
      <c r="C1251" t="s">
        <v>6</v>
      </c>
      <c r="D1251" t="s">
        <v>7</v>
      </c>
      <c r="E1251" t="s">
        <v>8</v>
      </c>
      <c r="F1251">
        <v>5215</v>
      </c>
      <c r="G1251" t="s">
        <v>246</v>
      </c>
      <c r="H1251" s="1">
        <v>675311</v>
      </c>
      <c r="I1251" s="1">
        <v>0</v>
      </c>
      <c r="J1251" s="1">
        <v>675311</v>
      </c>
      <c r="K1251">
        <f>VLOOKUP(F1251,'LEAID Match'!$A$2:$C$2979,3,FALSE)</f>
        <v>2000017</v>
      </c>
    </row>
    <row r="1252" spans="1:11" x14ac:dyDescent="0.2">
      <c r="A1252">
        <v>2004620</v>
      </c>
      <c r="B1252">
        <v>2018</v>
      </c>
      <c r="C1252" t="s">
        <v>6</v>
      </c>
      <c r="D1252" t="s">
        <v>7</v>
      </c>
      <c r="E1252" t="s">
        <v>8</v>
      </c>
      <c r="F1252">
        <v>5216</v>
      </c>
      <c r="G1252" t="s">
        <v>299</v>
      </c>
      <c r="H1252" s="20">
        <v>910769</v>
      </c>
      <c r="I1252" s="1">
        <v>0</v>
      </c>
      <c r="J1252" s="1">
        <v>910769</v>
      </c>
      <c r="K1252">
        <f>VLOOKUP(F1252,'LEAID Match'!$A$2:$C$2979,3,FALSE)</f>
        <v>2004620</v>
      </c>
    </row>
    <row r="1253" spans="1:11" x14ac:dyDescent="0.2">
      <c r="A1253">
        <v>2005190</v>
      </c>
      <c r="B1253">
        <v>2018</v>
      </c>
      <c r="C1253" t="s">
        <v>6</v>
      </c>
      <c r="D1253" t="s">
        <v>7</v>
      </c>
      <c r="E1253" t="s">
        <v>8</v>
      </c>
      <c r="F1253">
        <v>5217</v>
      </c>
      <c r="G1253" t="s">
        <v>248</v>
      </c>
      <c r="H1253" s="1">
        <v>101958</v>
      </c>
      <c r="I1253" s="1">
        <v>0</v>
      </c>
      <c r="J1253" s="1">
        <v>101958</v>
      </c>
      <c r="K1253">
        <f>VLOOKUP(F1253,'LEAID Match'!$A$2:$C$2979,3,FALSE)</f>
        <v>2005190</v>
      </c>
    </row>
    <row r="1254" spans="1:11" x14ac:dyDescent="0.2">
      <c r="A1254">
        <v>2007440</v>
      </c>
      <c r="B1254">
        <v>2018</v>
      </c>
      <c r="C1254" t="s">
        <v>6</v>
      </c>
      <c r="D1254" t="s">
        <v>7</v>
      </c>
      <c r="E1254" t="s">
        <v>8</v>
      </c>
      <c r="F1254">
        <v>5218</v>
      </c>
      <c r="G1254" s="9" t="s">
        <v>249</v>
      </c>
      <c r="H1254" s="1">
        <v>261360</v>
      </c>
      <c r="I1254" s="1">
        <v>0</v>
      </c>
      <c r="J1254" s="1">
        <v>261360</v>
      </c>
      <c r="K1254">
        <f>VLOOKUP(F1254,'LEAID Match'!$A$2:$C$2979,3,FALSE)</f>
        <v>2007440</v>
      </c>
    </row>
    <row r="1255" spans="1:11" x14ac:dyDescent="0.2">
      <c r="A1255">
        <v>2011610</v>
      </c>
      <c r="B1255">
        <v>2018</v>
      </c>
      <c r="C1255" t="s">
        <v>6</v>
      </c>
      <c r="D1255" t="s">
        <v>7</v>
      </c>
      <c r="E1255" t="s">
        <v>8</v>
      </c>
      <c r="F1255" s="3">
        <v>5219</v>
      </c>
      <c r="G1255" s="3" t="s">
        <v>250</v>
      </c>
      <c r="H1255" s="22">
        <v>190147</v>
      </c>
      <c r="I1255" s="1">
        <v>0</v>
      </c>
      <c r="J1255" s="1">
        <v>190147</v>
      </c>
      <c r="K1255">
        <f>VLOOKUP(F1255,'LEAID Match'!$A$2:$C$2979,3,FALSE)</f>
        <v>2011610</v>
      </c>
    </row>
    <row r="1256" spans="1:11" x14ac:dyDescent="0.2">
      <c r="A1256">
        <v>2012810</v>
      </c>
      <c r="B1256">
        <v>2018</v>
      </c>
      <c r="C1256" t="s">
        <v>6</v>
      </c>
      <c r="D1256" t="s">
        <v>7</v>
      </c>
      <c r="E1256" t="s">
        <v>8</v>
      </c>
      <c r="F1256" s="3">
        <v>5220</v>
      </c>
      <c r="G1256" s="3" t="s">
        <v>251</v>
      </c>
      <c r="H1256" s="1">
        <v>365273</v>
      </c>
      <c r="I1256" s="21">
        <v>0</v>
      </c>
      <c r="J1256" s="21">
        <v>365273</v>
      </c>
      <c r="K1256">
        <f>VLOOKUP(F1256,'LEAID Match'!$A$2:$C$2979,3,FALSE)</f>
        <v>2012810</v>
      </c>
    </row>
    <row r="1257" spans="1:11" x14ac:dyDescent="0.2">
      <c r="A1257">
        <v>2005800</v>
      </c>
      <c r="B1257">
        <v>2018</v>
      </c>
      <c r="C1257" t="s">
        <v>6</v>
      </c>
      <c r="D1257" t="s">
        <v>7</v>
      </c>
      <c r="E1257" t="s">
        <v>8</v>
      </c>
      <c r="F1257" s="3">
        <v>5222</v>
      </c>
      <c r="G1257" s="3" t="s">
        <v>252</v>
      </c>
      <c r="H1257" s="1">
        <v>341262</v>
      </c>
      <c r="I1257" s="1">
        <v>0</v>
      </c>
      <c r="J1257" s="1">
        <v>341262</v>
      </c>
      <c r="K1257">
        <f>VLOOKUP(F1257,'LEAID Match'!$A$2:$C$2979,3,FALSE)</f>
        <v>2005800</v>
      </c>
    </row>
    <row r="1258" spans="1:11" x14ac:dyDescent="0.2">
      <c r="A1258">
        <v>2013020</v>
      </c>
      <c r="B1258">
        <v>2018</v>
      </c>
      <c r="C1258" t="s">
        <v>6</v>
      </c>
      <c r="D1258" t="s">
        <v>7</v>
      </c>
      <c r="E1258" t="s">
        <v>8</v>
      </c>
      <c r="F1258">
        <v>5223</v>
      </c>
      <c r="G1258" t="s">
        <v>253</v>
      </c>
      <c r="H1258" s="1">
        <v>339761</v>
      </c>
      <c r="I1258" s="1">
        <v>0</v>
      </c>
      <c r="J1258" s="1">
        <v>339761</v>
      </c>
      <c r="K1258">
        <f>VLOOKUP(F1258,'LEAID Match'!$A$2:$C$2979,3,FALSE)</f>
        <v>2013020</v>
      </c>
    </row>
    <row r="1259" spans="1:11" x14ac:dyDescent="0.2">
      <c r="A1259">
        <v>2004470</v>
      </c>
      <c r="B1259">
        <v>2018</v>
      </c>
      <c r="C1259" t="s">
        <v>6</v>
      </c>
      <c r="D1259" t="s">
        <v>7</v>
      </c>
      <c r="E1259" t="s">
        <v>8</v>
      </c>
      <c r="F1259">
        <v>5226</v>
      </c>
      <c r="G1259" t="s">
        <v>254</v>
      </c>
      <c r="H1259" s="1">
        <v>180879</v>
      </c>
      <c r="I1259" s="1">
        <v>0</v>
      </c>
      <c r="J1259" s="1">
        <v>180879</v>
      </c>
      <c r="K1259">
        <f>VLOOKUP(F1259,'LEAID Match'!$A$2:$C$2979,3,FALSE)</f>
        <v>2004470</v>
      </c>
    </row>
    <row r="1260" spans="1:11" x14ac:dyDescent="0.2">
      <c r="A1260">
        <v>2000013</v>
      </c>
      <c r="B1260">
        <v>2018</v>
      </c>
      <c r="C1260" t="s">
        <v>6</v>
      </c>
      <c r="D1260" t="s">
        <v>7</v>
      </c>
      <c r="E1260" t="s">
        <v>8</v>
      </c>
      <c r="F1260">
        <v>5227</v>
      </c>
      <c r="G1260" t="s">
        <v>255</v>
      </c>
      <c r="H1260" s="1">
        <v>66798</v>
      </c>
      <c r="I1260" s="1">
        <v>0</v>
      </c>
      <c r="J1260" s="1">
        <v>66798</v>
      </c>
      <c r="K1260">
        <f>VLOOKUP(F1260,'LEAID Match'!$A$2:$C$2979,3,FALSE)</f>
        <v>2000013</v>
      </c>
    </row>
    <row r="1261" spans="1:11" x14ac:dyDescent="0.2">
      <c r="A1261">
        <v>2006630</v>
      </c>
      <c r="B1261">
        <v>2018</v>
      </c>
      <c r="C1261" t="s">
        <v>6</v>
      </c>
      <c r="D1261" t="s">
        <v>7</v>
      </c>
      <c r="E1261" t="s">
        <v>8</v>
      </c>
      <c r="F1261">
        <v>5228</v>
      </c>
      <c r="G1261" t="s">
        <v>256</v>
      </c>
      <c r="H1261" s="20">
        <v>136146</v>
      </c>
      <c r="I1261" s="1">
        <v>0</v>
      </c>
      <c r="J1261" s="1">
        <v>136146</v>
      </c>
      <c r="K1261">
        <f>VLOOKUP(F1261,'LEAID Match'!$A$2:$C$2979,3,FALSE)</f>
        <v>2006630</v>
      </c>
    </row>
    <row r="1262" spans="1:11" x14ac:dyDescent="0.2">
      <c r="A1262">
        <v>2010080</v>
      </c>
      <c r="B1262">
        <v>2018</v>
      </c>
      <c r="C1262" t="s">
        <v>6</v>
      </c>
      <c r="D1262" t="s">
        <v>7</v>
      </c>
      <c r="E1262" t="s">
        <v>8</v>
      </c>
      <c r="F1262">
        <v>5229</v>
      </c>
      <c r="G1262" t="s">
        <v>257</v>
      </c>
      <c r="H1262" s="1">
        <v>324353</v>
      </c>
      <c r="I1262" s="1">
        <v>0</v>
      </c>
      <c r="J1262" s="1">
        <v>324353</v>
      </c>
      <c r="K1262">
        <f>VLOOKUP(F1262,'LEAID Match'!$A$2:$C$2979,3,FALSE)</f>
        <v>2010080</v>
      </c>
    </row>
    <row r="1263" spans="1:11" x14ac:dyDescent="0.2">
      <c r="A1263">
        <v>2006960</v>
      </c>
      <c r="B1263">
        <v>2018</v>
      </c>
      <c r="C1263" t="s">
        <v>6</v>
      </c>
      <c r="D1263" t="s">
        <v>7</v>
      </c>
      <c r="E1263" t="s">
        <v>8</v>
      </c>
      <c r="F1263">
        <v>5230</v>
      </c>
      <c r="G1263" s="9" t="s">
        <v>258</v>
      </c>
      <c r="H1263" s="1">
        <v>656968</v>
      </c>
      <c r="I1263" s="1">
        <v>0</v>
      </c>
      <c r="J1263" s="1">
        <v>656968</v>
      </c>
      <c r="K1263">
        <f>VLOOKUP(F1263,'LEAID Match'!$A$2:$C$2979,3,FALSE)</f>
        <v>2006960</v>
      </c>
    </row>
    <row r="1264" spans="1:11" x14ac:dyDescent="0.2">
      <c r="A1264">
        <v>2007380</v>
      </c>
      <c r="B1264">
        <v>2018</v>
      </c>
      <c r="C1264" t="s">
        <v>6</v>
      </c>
      <c r="D1264" t="s">
        <v>7</v>
      </c>
      <c r="E1264" t="s">
        <v>8</v>
      </c>
      <c r="F1264" s="3">
        <v>5231</v>
      </c>
      <c r="G1264" s="3" t="s">
        <v>259</v>
      </c>
      <c r="H1264" s="22">
        <v>1475507</v>
      </c>
      <c r="I1264" s="1">
        <v>0</v>
      </c>
      <c r="J1264" s="1">
        <v>1475507</v>
      </c>
      <c r="K1264">
        <f>VLOOKUP(F1264,'LEAID Match'!$A$2:$C$2979,3,FALSE)</f>
        <v>2007380</v>
      </c>
    </row>
    <row r="1265" spans="1:11" x14ac:dyDescent="0.2">
      <c r="A1265">
        <v>2003200</v>
      </c>
      <c r="B1265">
        <v>2018</v>
      </c>
      <c r="C1265" t="s">
        <v>6</v>
      </c>
      <c r="D1265" t="s">
        <v>7</v>
      </c>
      <c r="E1265" t="s">
        <v>8</v>
      </c>
      <c r="F1265" s="3">
        <v>5233</v>
      </c>
      <c r="G1265" s="3" t="s">
        <v>260</v>
      </c>
      <c r="H1265" s="1">
        <v>4541633</v>
      </c>
      <c r="I1265" s="21">
        <v>0</v>
      </c>
      <c r="J1265" s="21">
        <v>4541633</v>
      </c>
      <c r="K1265">
        <f>VLOOKUP(F1265,'LEAID Match'!$A$2:$C$2979,3,FALSE)</f>
        <v>2003200</v>
      </c>
    </row>
    <row r="1266" spans="1:11" x14ac:dyDescent="0.2">
      <c r="A1266">
        <v>2008040</v>
      </c>
      <c r="B1266">
        <v>2018</v>
      </c>
      <c r="C1266" t="s">
        <v>6</v>
      </c>
      <c r="D1266" t="s">
        <v>7</v>
      </c>
      <c r="E1266" t="s">
        <v>8</v>
      </c>
      <c r="F1266" s="3">
        <v>5235</v>
      </c>
      <c r="G1266" s="3" t="s">
        <v>261</v>
      </c>
      <c r="H1266" s="1">
        <v>215577</v>
      </c>
      <c r="I1266" s="1">
        <v>0</v>
      </c>
      <c r="J1266" s="1">
        <v>215577</v>
      </c>
      <c r="K1266">
        <f>VLOOKUP(F1266,'LEAID Match'!$A$2:$C$2979,3,FALSE)</f>
        <v>2008040</v>
      </c>
    </row>
    <row r="1267" spans="1:11" x14ac:dyDescent="0.2">
      <c r="A1267">
        <v>2006060</v>
      </c>
      <c r="B1267">
        <v>2018</v>
      </c>
      <c r="C1267" t="s">
        <v>6</v>
      </c>
      <c r="D1267" t="s">
        <v>7</v>
      </c>
      <c r="E1267" t="s">
        <v>8</v>
      </c>
      <c r="F1267">
        <v>5236</v>
      </c>
      <c r="G1267" t="s">
        <v>262</v>
      </c>
      <c r="H1267" s="1">
        <v>480230</v>
      </c>
      <c r="I1267" s="1">
        <v>0</v>
      </c>
      <c r="J1267" s="1">
        <v>480230</v>
      </c>
      <c r="K1267">
        <f>VLOOKUP(F1267,'LEAID Match'!$A$2:$C$2979,3,FALSE)</f>
        <v>2006060</v>
      </c>
    </row>
    <row r="1268" spans="1:11" x14ac:dyDescent="0.2">
      <c r="A1268">
        <v>2006510</v>
      </c>
      <c r="B1268">
        <v>2018</v>
      </c>
      <c r="C1268" t="s">
        <v>6</v>
      </c>
      <c r="D1268" t="s">
        <v>7</v>
      </c>
      <c r="E1268" t="s">
        <v>8</v>
      </c>
      <c r="F1268">
        <v>5237</v>
      </c>
      <c r="G1268" t="s">
        <v>263</v>
      </c>
      <c r="H1268" s="1">
        <v>204376</v>
      </c>
      <c r="I1268" s="1">
        <v>0</v>
      </c>
      <c r="J1268" s="1">
        <v>204376</v>
      </c>
      <c r="K1268">
        <f>VLOOKUP(F1268,'LEAID Match'!$A$2:$C$2979,3,FALSE)</f>
        <v>2006510</v>
      </c>
    </row>
    <row r="1269" spans="1:11" x14ac:dyDescent="0.2">
      <c r="A1269">
        <v>2004170</v>
      </c>
      <c r="B1269">
        <v>2018</v>
      </c>
      <c r="C1269" t="s">
        <v>6</v>
      </c>
      <c r="D1269" t="s">
        <v>7</v>
      </c>
      <c r="E1269" t="s">
        <v>8</v>
      </c>
      <c r="F1269">
        <v>5238</v>
      </c>
      <c r="G1269" t="s">
        <v>264</v>
      </c>
      <c r="H1269" s="1">
        <v>194932</v>
      </c>
      <c r="I1269" s="1">
        <v>0</v>
      </c>
      <c r="J1269" s="1">
        <v>194932</v>
      </c>
      <c r="K1269">
        <f>VLOOKUP(F1269,'LEAID Match'!$A$2:$C$2979,3,FALSE)</f>
        <v>2004170</v>
      </c>
    </row>
    <row r="1270" spans="1:11" x14ac:dyDescent="0.2">
      <c r="A1270">
        <v>2004650</v>
      </c>
      <c r="B1270">
        <v>2018</v>
      </c>
      <c r="C1270" t="s">
        <v>6</v>
      </c>
      <c r="D1270" t="s">
        <v>7</v>
      </c>
      <c r="E1270" t="s">
        <v>8</v>
      </c>
      <c r="F1270">
        <v>5239</v>
      </c>
      <c r="G1270" t="s">
        <v>265</v>
      </c>
      <c r="H1270" s="20">
        <v>157856</v>
      </c>
      <c r="I1270" s="1">
        <v>0</v>
      </c>
      <c r="J1270" s="1">
        <v>157856</v>
      </c>
      <c r="K1270">
        <f>VLOOKUP(F1270,'LEAID Match'!$A$2:$C$2979,3,FALSE)</f>
        <v>2004650</v>
      </c>
    </row>
    <row r="1271" spans="1:11" x14ac:dyDescent="0.2">
      <c r="A1271">
        <v>2012150</v>
      </c>
      <c r="B1271">
        <v>2018</v>
      </c>
      <c r="C1271" t="s">
        <v>6</v>
      </c>
      <c r="D1271" t="s">
        <v>7</v>
      </c>
      <c r="E1271" t="s">
        <v>8</v>
      </c>
      <c r="F1271">
        <v>5240</v>
      </c>
      <c r="G1271" t="s">
        <v>266</v>
      </c>
      <c r="H1271" s="1">
        <v>346622</v>
      </c>
      <c r="I1271" s="1">
        <v>0</v>
      </c>
      <c r="J1271" s="1">
        <v>346622</v>
      </c>
      <c r="K1271">
        <f>VLOOKUP(F1271,'LEAID Match'!$A$2:$C$2979,3,FALSE)</f>
        <v>2012150</v>
      </c>
    </row>
    <row r="1272" spans="1:11" x14ac:dyDescent="0.2">
      <c r="A1272">
        <v>2005040</v>
      </c>
      <c r="B1272">
        <v>2018</v>
      </c>
      <c r="C1272" t="s">
        <v>6</v>
      </c>
      <c r="D1272" t="s">
        <v>7</v>
      </c>
      <c r="E1272" t="s">
        <v>8</v>
      </c>
      <c r="F1272">
        <v>5241</v>
      </c>
      <c r="G1272" s="9" t="s">
        <v>362</v>
      </c>
      <c r="H1272" s="1">
        <v>217226</v>
      </c>
      <c r="I1272" s="1">
        <v>0</v>
      </c>
      <c r="J1272" s="1">
        <v>217226</v>
      </c>
      <c r="K1272">
        <f>VLOOKUP(F1272,'LEAID Match'!$A$2:$C$2979,3,FALSE)</f>
        <v>2005040</v>
      </c>
    </row>
    <row r="1273" spans="1:11" x14ac:dyDescent="0.2">
      <c r="A1273">
        <v>2000001</v>
      </c>
      <c r="B1273">
        <v>2018</v>
      </c>
      <c r="C1273" t="s">
        <v>6</v>
      </c>
      <c r="D1273" t="s">
        <v>7</v>
      </c>
      <c r="E1273" t="s">
        <v>8</v>
      </c>
      <c r="F1273" s="3">
        <v>5250</v>
      </c>
      <c r="G1273" s="3" t="s">
        <v>268</v>
      </c>
      <c r="H1273" s="22">
        <v>518878</v>
      </c>
      <c r="I1273" s="1">
        <v>0</v>
      </c>
      <c r="J1273" s="1">
        <v>518878</v>
      </c>
      <c r="K1273">
        <f>VLOOKUP(F1273,'LEAID Match'!$A$2:$C$2979,3,FALSE)</f>
        <v>2000001</v>
      </c>
    </row>
    <row r="1274" spans="1:11" x14ac:dyDescent="0.2">
      <c r="A1274">
        <v>2010980</v>
      </c>
      <c r="B1274">
        <v>2018</v>
      </c>
      <c r="C1274" t="s">
        <v>6</v>
      </c>
      <c r="D1274" t="s">
        <v>7</v>
      </c>
      <c r="E1274" t="s">
        <v>8</v>
      </c>
      <c r="F1274" s="3">
        <v>5251</v>
      </c>
      <c r="G1274" s="3" t="s">
        <v>269</v>
      </c>
      <c r="H1274" s="1">
        <v>178716</v>
      </c>
      <c r="I1274" s="21">
        <v>0</v>
      </c>
      <c r="J1274" s="21">
        <v>178716</v>
      </c>
      <c r="K1274">
        <f>VLOOKUP(F1274,'LEAID Match'!$A$2:$C$2979,3,FALSE)</f>
        <v>2010980</v>
      </c>
    </row>
    <row r="1275" spans="1:11" x14ac:dyDescent="0.2">
      <c r="A1275">
        <v>2008940</v>
      </c>
      <c r="B1275">
        <v>2018</v>
      </c>
      <c r="C1275" t="s">
        <v>6</v>
      </c>
      <c r="D1275" t="s">
        <v>7</v>
      </c>
      <c r="E1275" t="s">
        <v>8</v>
      </c>
      <c r="F1275" s="3">
        <v>5267</v>
      </c>
      <c r="G1275" s="3" t="s">
        <v>270</v>
      </c>
      <c r="H1275" s="1">
        <v>192033</v>
      </c>
      <c r="I1275" s="1">
        <v>0</v>
      </c>
      <c r="J1275" s="1">
        <v>192033</v>
      </c>
      <c r="K1275">
        <f>VLOOKUP(F1275,'LEAID Match'!$A$2:$C$2979,3,FALSE)</f>
        <v>2008940</v>
      </c>
    </row>
    <row r="1276" spans="1:11" x14ac:dyDescent="0.2">
      <c r="A1276">
        <v>2003510</v>
      </c>
      <c r="B1276">
        <v>2018</v>
      </c>
      <c r="C1276" t="s">
        <v>6</v>
      </c>
      <c r="D1276" t="s">
        <v>7</v>
      </c>
      <c r="E1276" t="s">
        <v>8</v>
      </c>
      <c r="F1276">
        <v>5268</v>
      </c>
      <c r="G1276" t="s">
        <v>271</v>
      </c>
      <c r="H1276" s="1">
        <v>203141</v>
      </c>
      <c r="I1276" s="1">
        <v>0</v>
      </c>
      <c r="J1276" s="1">
        <v>203141</v>
      </c>
      <c r="K1276">
        <f>VLOOKUP(F1276,'LEAID Match'!$A$2:$C$2979,3,FALSE)</f>
        <v>2003510</v>
      </c>
    </row>
    <row r="1277" spans="1:11" x14ac:dyDescent="0.2">
      <c r="A1277">
        <v>2004950</v>
      </c>
      <c r="B1277">
        <v>2018</v>
      </c>
      <c r="C1277" t="s">
        <v>6</v>
      </c>
      <c r="D1277" t="s">
        <v>7</v>
      </c>
      <c r="E1277" t="s">
        <v>8</v>
      </c>
      <c r="F1277">
        <v>5270</v>
      </c>
      <c r="G1277" t="s">
        <v>272</v>
      </c>
      <c r="H1277" s="1">
        <v>260467</v>
      </c>
      <c r="I1277" s="1">
        <v>0</v>
      </c>
      <c r="J1277" s="1">
        <v>260467</v>
      </c>
      <c r="K1277">
        <f>VLOOKUP(F1277,'LEAID Match'!$A$2:$C$2979,3,FALSE)</f>
        <v>2004950</v>
      </c>
    </row>
    <row r="1278" spans="1:11" x14ac:dyDescent="0.2">
      <c r="A1278">
        <v>2006210</v>
      </c>
      <c r="B1278">
        <v>2018</v>
      </c>
      <c r="C1278" t="s">
        <v>6</v>
      </c>
      <c r="D1278" t="s">
        <v>7</v>
      </c>
      <c r="E1278" t="s">
        <v>8</v>
      </c>
      <c r="F1278">
        <v>5271</v>
      </c>
      <c r="G1278" t="s">
        <v>273</v>
      </c>
      <c r="H1278" s="1">
        <v>157399</v>
      </c>
      <c r="I1278" s="1">
        <v>0</v>
      </c>
      <c r="J1278" s="1">
        <v>157399</v>
      </c>
      <c r="K1278">
        <f>VLOOKUP(F1278,'LEAID Match'!$A$2:$C$2979,3,FALSE)</f>
        <v>2006210</v>
      </c>
    </row>
    <row r="1279" spans="1:11" x14ac:dyDescent="0.2">
      <c r="A1279">
        <v>2011850</v>
      </c>
      <c r="B1279">
        <v>2018</v>
      </c>
      <c r="C1279" t="s">
        <v>6</v>
      </c>
      <c r="D1279" t="s">
        <v>7</v>
      </c>
      <c r="E1279" t="s">
        <v>8</v>
      </c>
      <c r="F1279">
        <v>5272</v>
      </c>
      <c r="G1279" t="s">
        <v>274</v>
      </c>
      <c r="H1279" s="20">
        <v>2391262</v>
      </c>
      <c r="I1279" s="1">
        <v>0</v>
      </c>
      <c r="J1279" s="1">
        <v>2391262</v>
      </c>
      <c r="K1279">
        <f>VLOOKUP(F1279,'LEAID Match'!$A$2:$C$2979,3,FALSE)</f>
        <v>2011850</v>
      </c>
    </row>
    <row r="1280" spans="1:11" x14ac:dyDescent="0.2">
      <c r="A1280">
        <v>2006300</v>
      </c>
      <c r="B1280">
        <v>2018</v>
      </c>
      <c r="C1280" t="s">
        <v>6</v>
      </c>
      <c r="D1280" t="s">
        <v>7</v>
      </c>
      <c r="E1280" t="s">
        <v>8</v>
      </c>
      <c r="F1280">
        <v>5274</v>
      </c>
      <c r="G1280" t="s">
        <v>275</v>
      </c>
      <c r="H1280" s="1">
        <v>641606</v>
      </c>
      <c r="I1280" s="1">
        <v>0</v>
      </c>
      <c r="J1280" s="1">
        <v>641606</v>
      </c>
      <c r="K1280">
        <f>VLOOKUP(F1280,'LEAID Match'!$A$2:$C$2979,3,FALSE)</f>
        <v>2006300</v>
      </c>
    </row>
    <row r="1281" spans="1:11" x14ac:dyDescent="0.2">
      <c r="A1281">
        <v>2009840</v>
      </c>
      <c r="B1281">
        <v>2018</v>
      </c>
      <c r="C1281" t="s">
        <v>6</v>
      </c>
      <c r="D1281" t="s">
        <v>7</v>
      </c>
      <c r="E1281" t="s">
        <v>8</v>
      </c>
      <c r="F1281">
        <v>5275</v>
      </c>
      <c r="G1281" s="9" t="s">
        <v>276</v>
      </c>
      <c r="H1281" s="1">
        <v>1522290</v>
      </c>
      <c r="I1281" s="1">
        <v>0</v>
      </c>
      <c r="J1281" s="1">
        <v>1522290</v>
      </c>
      <c r="K1281">
        <f>VLOOKUP(F1281,'LEAID Match'!$A$2:$C$2979,3,FALSE)</f>
        <v>2009840</v>
      </c>
    </row>
    <row r="1282" spans="1:11" x14ac:dyDescent="0.2">
      <c r="A1282">
        <v>2004920</v>
      </c>
      <c r="B1282">
        <v>2018</v>
      </c>
      <c r="C1282" t="s">
        <v>6</v>
      </c>
      <c r="D1282" t="s">
        <v>7</v>
      </c>
      <c r="E1282" t="s">
        <v>8</v>
      </c>
      <c r="F1282" s="3">
        <v>5276</v>
      </c>
      <c r="G1282" s="3" t="s">
        <v>277</v>
      </c>
      <c r="H1282" s="22">
        <v>793111</v>
      </c>
      <c r="I1282" s="1">
        <v>0</v>
      </c>
      <c r="J1282" s="1">
        <v>793111</v>
      </c>
      <c r="K1282">
        <f>VLOOKUP(F1282,'LEAID Match'!$A$2:$C$2979,3,FALSE)</f>
        <v>2004920</v>
      </c>
    </row>
    <row r="1283" spans="1:11" x14ac:dyDescent="0.2">
      <c r="A1283">
        <v>2010950</v>
      </c>
      <c r="B1283">
        <v>2018</v>
      </c>
      <c r="C1283" t="s">
        <v>6</v>
      </c>
      <c r="D1283" t="s">
        <v>7</v>
      </c>
      <c r="E1283" t="s">
        <v>8</v>
      </c>
      <c r="F1283" s="3">
        <v>5278</v>
      </c>
      <c r="G1283" s="3" t="s">
        <v>278</v>
      </c>
      <c r="H1283" s="1">
        <v>243305</v>
      </c>
      <c r="I1283" s="21">
        <v>0</v>
      </c>
      <c r="J1283" s="21">
        <v>243305</v>
      </c>
      <c r="K1283">
        <f>VLOOKUP(F1283,'LEAID Match'!$A$2:$C$2979,3,FALSE)</f>
        <v>2010950</v>
      </c>
    </row>
    <row r="1284" spans="1:11" x14ac:dyDescent="0.2">
      <c r="A1284">
        <v>2007620</v>
      </c>
      <c r="B1284">
        <v>2018</v>
      </c>
      <c r="C1284" t="s">
        <v>6</v>
      </c>
      <c r="D1284" t="s">
        <v>7</v>
      </c>
      <c r="E1284" t="s">
        <v>8</v>
      </c>
      <c r="F1284" s="3">
        <v>5280</v>
      </c>
      <c r="G1284" s="3" t="s">
        <v>279</v>
      </c>
      <c r="H1284" s="1">
        <v>4006194</v>
      </c>
      <c r="I1284" s="1">
        <v>0</v>
      </c>
      <c r="J1284" s="1">
        <v>4006194</v>
      </c>
      <c r="K1284">
        <f>VLOOKUP(F1284,'LEAID Match'!$A$2:$C$2979,3,FALSE)</f>
        <v>2007620</v>
      </c>
    </row>
    <row r="1285" spans="1:11" x14ac:dyDescent="0.2">
      <c r="A1285">
        <v>2011040</v>
      </c>
      <c r="B1285">
        <v>2018</v>
      </c>
      <c r="C1285" t="s">
        <v>6</v>
      </c>
      <c r="D1285" t="s">
        <v>7</v>
      </c>
      <c r="E1285" t="s">
        <v>8</v>
      </c>
      <c r="F1285">
        <v>5281</v>
      </c>
      <c r="G1285" t="s">
        <v>280</v>
      </c>
      <c r="H1285" s="1">
        <v>164310</v>
      </c>
      <c r="I1285" s="1">
        <v>0</v>
      </c>
      <c r="J1285" s="1">
        <v>164310</v>
      </c>
      <c r="K1285">
        <f>VLOOKUP(F1285,'LEAID Match'!$A$2:$C$2979,3,FALSE)</f>
        <v>2011040</v>
      </c>
    </row>
    <row r="1286" spans="1:11" x14ac:dyDescent="0.2">
      <c r="A1286">
        <v>2010650</v>
      </c>
      <c r="B1286">
        <v>2018</v>
      </c>
      <c r="C1286" t="s">
        <v>6</v>
      </c>
      <c r="D1286" t="s">
        <v>7</v>
      </c>
      <c r="E1286" t="s">
        <v>8</v>
      </c>
      <c r="F1286">
        <v>5283</v>
      </c>
      <c r="G1286" t="s">
        <v>281</v>
      </c>
      <c r="H1286" s="1">
        <v>418374</v>
      </c>
      <c r="I1286" s="1">
        <v>0</v>
      </c>
      <c r="J1286" s="1">
        <v>418374</v>
      </c>
      <c r="K1286">
        <f>VLOOKUP(F1286,'LEAID Match'!$A$2:$C$2979,3,FALSE)</f>
        <v>2010650</v>
      </c>
    </row>
    <row r="1287" spans="1:11" x14ac:dyDescent="0.2">
      <c r="A1287">
        <v>2009510</v>
      </c>
      <c r="B1287">
        <v>2018</v>
      </c>
      <c r="C1287" t="s">
        <v>6</v>
      </c>
      <c r="D1287" t="s">
        <v>7</v>
      </c>
      <c r="E1287" t="s">
        <v>8</v>
      </c>
      <c r="F1287">
        <v>5284</v>
      </c>
      <c r="G1287" t="s">
        <v>282</v>
      </c>
      <c r="H1287" s="1">
        <v>597197</v>
      </c>
      <c r="I1287" s="1">
        <v>0</v>
      </c>
      <c r="J1287" s="1">
        <v>597197</v>
      </c>
      <c r="K1287">
        <f>VLOOKUP(F1287,'LEAID Match'!$A$2:$C$2979,3,FALSE)</f>
        <v>2009510</v>
      </c>
    </row>
    <row r="1288" spans="1:11" x14ac:dyDescent="0.2">
      <c r="A1288">
        <v>2010770</v>
      </c>
      <c r="B1288">
        <v>2018</v>
      </c>
      <c r="C1288" t="s">
        <v>6</v>
      </c>
      <c r="D1288" t="s">
        <v>7</v>
      </c>
      <c r="E1288" t="s">
        <v>8</v>
      </c>
      <c r="F1288">
        <v>5285</v>
      </c>
      <c r="G1288" t="s">
        <v>283</v>
      </c>
      <c r="H1288" s="20">
        <v>317000</v>
      </c>
      <c r="I1288" s="1">
        <v>0</v>
      </c>
      <c r="J1288" s="1">
        <v>317000</v>
      </c>
      <c r="K1288">
        <f>VLOOKUP(F1288,'LEAID Match'!$A$2:$C$2979,3,FALSE)</f>
        <v>2010770</v>
      </c>
    </row>
    <row r="1289" spans="1:11" x14ac:dyDescent="0.2">
      <c r="A1289">
        <v>2011910</v>
      </c>
      <c r="B1289">
        <v>2018</v>
      </c>
      <c r="C1289" t="s">
        <v>6</v>
      </c>
      <c r="D1289" t="s">
        <v>7</v>
      </c>
      <c r="E1289" t="s">
        <v>8</v>
      </c>
      <c r="F1289">
        <v>5286</v>
      </c>
      <c r="G1289" t="s">
        <v>284</v>
      </c>
      <c r="H1289" s="1">
        <v>290768</v>
      </c>
      <c r="I1289" s="1">
        <v>0</v>
      </c>
      <c r="J1289" s="1">
        <v>290768</v>
      </c>
      <c r="K1289">
        <f>VLOOKUP(F1289,'LEAID Match'!$A$2:$C$2979,3,FALSE)</f>
        <v>2011910</v>
      </c>
    </row>
    <row r="1290" spans="1:11" x14ac:dyDescent="0.2">
      <c r="A1290">
        <v>2003900</v>
      </c>
      <c r="B1290">
        <v>2018</v>
      </c>
      <c r="C1290" t="s">
        <v>6</v>
      </c>
      <c r="D1290" t="s">
        <v>7</v>
      </c>
      <c r="E1290" t="s">
        <v>8</v>
      </c>
      <c r="F1290">
        <v>5287</v>
      </c>
      <c r="G1290" s="9" t="s">
        <v>285</v>
      </c>
      <c r="H1290" s="1">
        <v>461063</v>
      </c>
      <c r="I1290" s="1">
        <v>0</v>
      </c>
      <c r="J1290" s="1">
        <v>461063</v>
      </c>
      <c r="K1290">
        <f>VLOOKUP(F1290,'LEAID Match'!$A$2:$C$2979,3,FALSE)</f>
        <v>2003900</v>
      </c>
    </row>
    <row r="1291" spans="1:11" x14ac:dyDescent="0.2">
      <c r="A1291">
        <v>2010440</v>
      </c>
      <c r="B1291">
        <v>2018</v>
      </c>
      <c r="C1291" t="s">
        <v>6</v>
      </c>
      <c r="D1291" t="s">
        <v>7</v>
      </c>
      <c r="E1291" t="s">
        <v>8</v>
      </c>
      <c r="F1291" s="3">
        <v>5288</v>
      </c>
      <c r="G1291" s="3" t="s">
        <v>286</v>
      </c>
      <c r="H1291" s="22">
        <v>260751</v>
      </c>
      <c r="I1291" s="1">
        <v>0</v>
      </c>
      <c r="J1291" s="1">
        <v>260751</v>
      </c>
      <c r="K1291">
        <f>VLOOKUP(F1291,'LEAID Match'!$A$2:$C$2979,3,FALSE)</f>
        <v>2010440</v>
      </c>
    </row>
    <row r="1292" spans="1:11" x14ac:dyDescent="0.2">
      <c r="A1292">
        <v>2013110</v>
      </c>
      <c r="B1292">
        <v>2018</v>
      </c>
      <c r="C1292" t="s">
        <v>6</v>
      </c>
      <c r="D1292" t="s">
        <v>7</v>
      </c>
      <c r="E1292" t="s">
        <v>8</v>
      </c>
      <c r="F1292" s="3">
        <v>5289</v>
      </c>
      <c r="G1292" s="3" t="s">
        <v>287</v>
      </c>
      <c r="H1292" s="1">
        <v>369551</v>
      </c>
      <c r="I1292" s="21">
        <v>0</v>
      </c>
      <c r="J1292" s="21">
        <v>369551</v>
      </c>
      <c r="K1292">
        <f>VLOOKUP(F1292,'LEAID Match'!$A$2:$C$2979,3,FALSE)</f>
        <v>2013110</v>
      </c>
    </row>
    <row r="1293" spans="1:11" x14ac:dyDescent="0.2">
      <c r="A1293">
        <v>2012090</v>
      </c>
      <c r="B1293">
        <v>2018</v>
      </c>
      <c r="C1293" t="s">
        <v>6</v>
      </c>
      <c r="D1293" t="s">
        <v>7</v>
      </c>
      <c r="E1293" t="s">
        <v>8</v>
      </c>
      <c r="F1293" s="3">
        <v>5291</v>
      </c>
      <c r="G1293" s="3" t="s">
        <v>288</v>
      </c>
      <c r="H1293" s="1">
        <v>491319</v>
      </c>
      <c r="I1293" s="1">
        <v>0</v>
      </c>
      <c r="J1293" s="1">
        <v>491319</v>
      </c>
      <c r="K1293">
        <f>VLOOKUP(F1293,'LEAID Match'!$A$2:$C$2979,3,FALSE)</f>
        <v>2012090</v>
      </c>
    </row>
    <row r="1294" spans="1:11" x14ac:dyDescent="0.2">
      <c r="A1294">
        <v>2012300</v>
      </c>
      <c r="B1294">
        <v>2018</v>
      </c>
      <c r="C1294" t="s">
        <v>6</v>
      </c>
      <c r="D1294" t="s">
        <v>7</v>
      </c>
      <c r="E1294" t="s">
        <v>8</v>
      </c>
      <c r="F1294">
        <v>5292</v>
      </c>
      <c r="G1294" t="s">
        <v>289</v>
      </c>
      <c r="H1294" s="1">
        <v>1266515</v>
      </c>
      <c r="I1294" s="1">
        <v>0</v>
      </c>
      <c r="J1294" s="1">
        <v>1266515</v>
      </c>
      <c r="K1294">
        <f>VLOOKUP(F1294,'LEAID Match'!$A$2:$C$2979,3,FALSE)</f>
        <v>2012300</v>
      </c>
    </row>
    <row r="1295" spans="1:11" x14ac:dyDescent="0.2">
      <c r="A1295">
        <v>2005850</v>
      </c>
      <c r="B1295">
        <v>2018</v>
      </c>
      <c r="C1295" t="s">
        <v>6</v>
      </c>
      <c r="D1295" t="s">
        <v>7</v>
      </c>
      <c r="E1295" t="s">
        <v>8</v>
      </c>
      <c r="F1295">
        <v>5293</v>
      </c>
      <c r="G1295" t="s">
        <v>290</v>
      </c>
      <c r="H1295" s="1">
        <v>303870</v>
      </c>
      <c r="I1295" s="1">
        <v>0</v>
      </c>
      <c r="J1295" s="1">
        <v>303870</v>
      </c>
      <c r="K1295">
        <f>VLOOKUP(F1295,'LEAID Match'!$A$2:$C$2979,3,FALSE)</f>
        <v>2005850</v>
      </c>
    </row>
    <row r="1296" spans="1:11" x14ac:dyDescent="0.2">
      <c r="A1296">
        <v>2011310</v>
      </c>
      <c r="B1296">
        <v>2018</v>
      </c>
      <c r="C1296" t="s">
        <v>6</v>
      </c>
      <c r="D1296" t="s">
        <v>7</v>
      </c>
      <c r="E1296" t="s">
        <v>8</v>
      </c>
      <c r="F1296">
        <v>5294</v>
      </c>
      <c r="G1296" t="s">
        <v>291</v>
      </c>
      <c r="H1296" s="1">
        <v>689020</v>
      </c>
      <c r="I1296" s="1">
        <v>0</v>
      </c>
      <c r="J1296" s="1">
        <v>689020</v>
      </c>
      <c r="K1296">
        <f>VLOOKUP(F1296,'LEAID Match'!$A$2:$C$2979,3,FALSE)</f>
        <v>2011310</v>
      </c>
    </row>
    <row r="1297" spans="1:11" x14ac:dyDescent="0.2">
      <c r="A1297">
        <v>2006570</v>
      </c>
      <c r="B1297">
        <v>2018</v>
      </c>
      <c r="C1297" t="s">
        <v>6</v>
      </c>
      <c r="D1297" t="s">
        <v>7</v>
      </c>
      <c r="E1297" t="s">
        <v>8</v>
      </c>
      <c r="F1297">
        <v>5295</v>
      </c>
      <c r="G1297" t="s">
        <v>292</v>
      </c>
      <c r="H1297" s="20">
        <v>207358</v>
      </c>
      <c r="I1297" s="1">
        <v>0</v>
      </c>
      <c r="J1297" s="1">
        <v>207358</v>
      </c>
      <c r="K1297">
        <f>VLOOKUP(F1297,'LEAID Match'!$A$2:$C$2979,3,FALSE)</f>
        <v>2006570</v>
      </c>
    </row>
    <row r="1298" spans="1:11" x14ac:dyDescent="0.2">
      <c r="A1298">
        <v>2003180</v>
      </c>
      <c r="B1298">
        <v>2018</v>
      </c>
      <c r="C1298" t="s">
        <v>6</v>
      </c>
      <c r="D1298" t="s">
        <v>7</v>
      </c>
      <c r="E1298" t="s">
        <v>8</v>
      </c>
      <c r="F1298">
        <v>5296</v>
      </c>
      <c r="G1298" t="s">
        <v>293</v>
      </c>
      <c r="H1298" s="1">
        <v>1085552</v>
      </c>
      <c r="I1298" s="1">
        <v>0</v>
      </c>
      <c r="J1298" s="1">
        <v>1085552</v>
      </c>
      <c r="K1298">
        <f>VLOOKUP(F1298,'LEAID Match'!$A$2:$C$2979,3,FALSE)</f>
        <v>2003180</v>
      </c>
    </row>
    <row r="1299" spans="1:11" x14ac:dyDescent="0.2">
      <c r="A1299">
        <v>2009900</v>
      </c>
      <c r="B1299">
        <v>2018</v>
      </c>
      <c r="C1299" t="s">
        <v>6</v>
      </c>
      <c r="D1299" t="s">
        <v>7</v>
      </c>
      <c r="E1299" t="s">
        <v>8</v>
      </c>
      <c r="F1299">
        <v>5297</v>
      </c>
      <c r="G1299" s="9" t="s">
        <v>294</v>
      </c>
      <c r="H1299" s="1">
        <v>559339</v>
      </c>
      <c r="I1299" s="1">
        <v>0</v>
      </c>
      <c r="J1299" s="1">
        <v>559339</v>
      </c>
      <c r="K1299">
        <f>VLOOKUP(F1299,'LEAID Match'!$A$2:$C$2979,3,FALSE)</f>
        <v>2009900</v>
      </c>
    </row>
    <row r="1300" spans="1:11" x14ac:dyDescent="0.2">
      <c r="A1300">
        <v>2007080</v>
      </c>
      <c r="B1300">
        <v>2018</v>
      </c>
      <c r="C1300" t="s">
        <v>6</v>
      </c>
      <c r="D1300" t="s">
        <v>7</v>
      </c>
      <c r="E1300" t="s">
        <v>8</v>
      </c>
      <c r="F1300" s="3">
        <v>5298</v>
      </c>
      <c r="G1300" s="3" t="s">
        <v>295</v>
      </c>
      <c r="H1300" s="22">
        <v>81894</v>
      </c>
      <c r="I1300" s="1">
        <v>0</v>
      </c>
      <c r="J1300" s="1">
        <v>81894</v>
      </c>
      <c r="K1300">
        <f>VLOOKUP(F1300,'LEAID Match'!$A$2:$C$2979,3,FALSE)</f>
        <v>2007080</v>
      </c>
    </row>
    <row r="1301" spans="1:11" x14ac:dyDescent="0.2">
      <c r="A1301">
        <v>2005520</v>
      </c>
      <c r="B1301">
        <v>2018</v>
      </c>
      <c r="C1301" t="s">
        <v>6</v>
      </c>
      <c r="D1301" t="s">
        <v>7</v>
      </c>
      <c r="E1301" t="s">
        <v>8</v>
      </c>
      <c r="F1301" s="3">
        <v>5299</v>
      </c>
      <c r="G1301" s="3" t="s">
        <v>296</v>
      </c>
      <c r="H1301" s="1">
        <v>136595</v>
      </c>
      <c r="I1301" s="21">
        <v>0</v>
      </c>
      <c r="J1301" s="21">
        <v>136595</v>
      </c>
      <c r="K1301">
        <f>VLOOKUP(F1301,'LEAID Match'!$A$2:$C$2979,3,FALSE)</f>
        <v>2005520</v>
      </c>
    </row>
    <row r="1302" spans="1:11" x14ac:dyDescent="0.2">
      <c r="A1302">
        <v>2006270</v>
      </c>
      <c r="B1302">
        <v>2018</v>
      </c>
      <c r="C1302" t="s">
        <v>6</v>
      </c>
      <c r="D1302" t="s">
        <v>7</v>
      </c>
      <c r="E1302" t="s">
        <v>8</v>
      </c>
      <c r="F1302" s="3">
        <v>5300</v>
      </c>
      <c r="G1302" s="3" t="s">
        <v>297</v>
      </c>
      <c r="H1302" s="1">
        <v>488689</v>
      </c>
      <c r="I1302" s="1">
        <v>0</v>
      </c>
      <c r="J1302" s="1">
        <v>488689</v>
      </c>
      <c r="K1302">
        <f>VLOOKUP(F1302,'LEAID Match'!$A$2:$C$2979,3,FALSE)</f>
        <v>2006270</v>
      </c>
    </row>
    <row r="1303" spans="1:11" x14ac:dyDescent="0.2">
      <c r="A1303">
        <v>2007020</v>
      </c>
      <c r="B1303">
        <v>2018</v>
      </c>
      <c r="C1303" t="s">
        <v>6</v>
      </c>
      <c r="D1303" t="s">
        <v>7</v>
      </c>
      <c r="E1303" t="s">
        <v>8</v>
      </c>
      <c r="F1303">
        <v>5302</v>
      </c>
      <c r="G1303" t="s">
        <v>298</v>
      </c>
      <c r="H1303" s="1">
        <v>2411663</v>
      </c>
      <c r="I1303" s="1">
        <v>0</v>
      </c>
      <c r="J1303" s="1">
        <v>2411663</v>
      </c>
      <c r="K1303">
        <f>VLOOKUP(F1303,'LEAID Match'!$A$2:$C$2979,3,FALSE)</f>
        <v>2007020</v>
      </c>
    </row>
    <row r="1304" spans="1:11" x14ac:dyDescent="0.2">
      <c r="A1304">
        <v>2005730</v>
      </c>
      <c r="B1304">
        <v>2018</v>
      </c>
      <c r="C1304" t="s">
        <v>6</v>
      </c>
      <c r="D1304" t="s">
        <v>7</v>
      </c>
      <c r="E1304" t="s">
        <v>8</v>
      </c>
      <c r="F1304">
        <v>5303</v>
      </c>
      <c r="G1304" t="s">
        <v>345</v>
      </c>
      <c r="H1304" s="1">
        <v>1367678</v>
      </c>
      <c r="I1304" s="1">
        <v>0</v>
      </c>
      <c r="J1304" s="1">
        <v>1367678</v>
      </c>
      <c r="K1304">
        <f>VLOOKUP(F1304,'LEAID Match'!$A$2:$C$2979,3,FALSE)</f>
        <v>2005730</v>
      </c>
    </row>
    <row r="1305" spans="1:11" x14ac:dyDescent="0.2">
      <c r="A1305">
        <v>2006090</v>
      </c>
      <c r="B1305">
        <v>2018</v>
      </c>
      <c r="C1305" t="s">
        <v>6</v>
      </c>
      <c r="D1305" t="s">
        <v>7</v>
      </c>
      <c r="E1305" t="s">
        <v>8</v>
      </c>
      <c r="F1305">
        <v>5304</v>
      </c>
      <c r="G1305" t="s">
        <v>300</v>
      </c>
      <c r="H1305" s="1">
        <v>1134917</v>
      </c>
      <c r="I1305" s="1">
        <v>0</v>
      </c>
      <c r="J1305" s="1">
        <v>1134917</v>
      </c>
      <c r="K1305">
        <f>VLOOKUP(F1305,'LEAID Match'!$A$2:$C$2979,3,FALSE)</f>
        <v>2006090</v>
      </c>
    </row>
    <row r="1306" spans="1:11" x14ac:dyDescent="0.2">
      <c r="A1306">
        <v>2011220</v>
      </c>
      <c r="B1306">
        <v>2018</v>
      </c>
      <c r="C1306" t="s">
        <v>6</v>
      </c>
      <c r="D1306" t="s">
        <v>7</v>
      </c>
      <c r="E1306" t="s">
        <v>8</v>
      </c>
      <c r="F1306">
        <v>5305</v>
      </c>
      <c r="G1306" t="s">
        <v>301</v>
      </c>
      <c r="H1306" s="20">
        <v>238852</v>
      </c>
      <c r="I1306" s="1">
        <v>0</v>
      </c>
      <c r="J1306" s="1">
        <v>238852</v>
      </c>
      <c r="K1306">
        <f>VLOOKUP(F1306,'LEAID Match'!$A$2:$C$2979,3,FALSE)</f>
        <v>2011220</v>
      </c>
    </row>
    <row r="1307" spans="1:11" x14ac:dyDescent="0.2">
      <c r="A1307">
        <v>2008370</v>
      </c>
      <c r="B1307">
        <v>2018</v>
      </c>
      <c r="C1307" t="s">
        <v>6</v>
      </c>
      <c r="D1307" t="s">
        <v>7</v>
      </c>
      <c r="E1307" t="s">
        <v>8</v>
      </c>
      <c r="F1307">
        <v>5306</v>
      </c>
      <c r="G1307" t="s">
        <v>302</v>
      </c>
      <c r="H1307" s="1">
        <v>940179</v>
      </c>
      <c r="I1307" s="1">
        <v>0</v>
      </c>
      <c r="J1307" s="1">
        <v>940179</v>
      </c>
      <c r="K1307">
        <f>VLOOKUP(F1307,'LEAID Match'!$A$2:$C$2979,3,FALSE)</f>
        <v>2008370</v>
      </c>
    </row>
    <row r="1308" spans="1:11" x14ac:dyDescent="0.2">
      <c r="A1308">
        <v>2011280</v>
      </c>
      <c r="B1308">
        <v>2018</v>
      </c>
      <c r="C1308" t="s">
        <v>6</v>
      </c>
      <c r="D1308" t="s">
        <v>7</v>
      </c>
      <c r="E1308" t="s">
        <v>8</v>
      </c>
      <c r="F1308">
        <v>5307</v>
      </c>
      <c r="G1308" s="9" t="s">
        <v>303</v>
      </c>
      <c r="H1308" s="1">
        <v>146887</v>
      </c>
      <c r="I1308" s="1">
        <v>0</v>
      </c>
      <c r="J1308" s="1">
        <v>146887</v>
      </c>
      <c r="K1308">
        <f>VLOOKUP(F1308,'LEAID Match'!$A$2:$C$2979,3,FALSE)</f>
        <v>2011280</v>
      </c>
    </row>
    <row r="1309" spans="1:11" x14ac:dyDescent="0.2">
      <c r="A1309">
        <v>2008400</v>
      </c>
      <c r="B1309">
        <v>2018</v>
      </c>
      <c r="C1309" t="s">
        <v>6</v>
      </c>
      <c r="D1309" t="s">
        <v>7</v>
      </c>
      <c r="E1309" t="s">
        <v>8</v>
      </c>
      <c r="F1309" s="3">
        <v>5308</v>
      </c>
      <c r="G1309" s="3" t="s">
        <v>304</v>
      </c>
      <c r="H1309" s="22">
        <v>9004458</v>
      </c>
      <c r="I1309" s="1">
        <v>0</v>
      </c>
      <c r="J1309" s="1">
        <v>9004458</v>
      </c>
      <c r="K1309">
        <f>VLOOKUP(F1309,'LEAID Match'!$A$2:$C$2979,3,FALSE)</f>
        <v>2008400</v>
      </c>
    </row>
    <row r="1310" spans="1:11" x14ac:dyDescent="0.2">
      <c r="A1310">
        <v>2006360</v>
      </c>
      <c r="B1310">
        <v>2018</v>
      </c>
      <c r="C1310" t="s">
        <v>6</v>
      </c>
      <c r="D1310" t="s">
        <v>7</v>
      </c>
      <c r="E1310" t="s">
        <v>8</v>
      </c>
      <c r="F1310" s="3">
        <v>5309</v>
      </c>
      <c r="G1310" s="3" t="s">
        <v>305</v>
      </c>
      <c r="H1310" s="1">
        <v>600540</v>
      </c>
      <c r="I1310" s="21">
        <v>0</v>
      </c>
      <c r="J1310" s="21">
        <v>600540</v>
      </c>
      <c r="K1310">
        <f>VLOOKUP(F1310,'LEAID Match'!$A$2:$C$2979,3,FALSE)</f>
        <v>2006360</v>
      </c>
    </row>
    <row r="1311" spans="1:11" x14ac:dyDescent="0.2">
      <c r="A1311">
        <v>2008700</v>
      </c>
      <c r="B1311">
        <v>2018</v>
      </c>
      <c r="C1311" t="s">
        <v>6</v>
      </c>
      <c r="D1311" t="s">
        <v>7</v>
      </c>
      <c r="E1311" t="s">
        <v>8</v>
      </c>
      <c r="F1311" s="3">
        <v>5310</v>
      </c>
      <c r="G1311" s="3" t="s">
        <v>306</v>
      </c>
      <c r="H1311" s="1">
        <v>89253</v>
      </c>
      <c r="I1311" s="1">
        <v>0</v>
      </c>
      <c r="J1311" s="1">
        <v>89253</v>
      </c>
      <c r="K1311">
        <f>VLOOKUP(F1311,'LEAID Match'!$A$2:$C$2979,3,FALSE)</f>
        <v>2008700</v>
      </c>
    </row>
    <row r="1312" spans="1:11" x14ac:dyDescent="0.2">
      <c r="A1312">
        <v>2011490</v>
      </c>
      <c r="B1312">
        <v>2018</v>
      </c>
      <c r="C1312" t="s">
        <v>6</v>
      </c>
      <c r="D1312" t="s">
        <v>7</v>
      </c>
      <c r="E1312" t="s">
        <v>8</v>
      </c>
      <c r="F1312">
        <v>5312</v>
      </c>
      <c r="G1312" t="s">
        <v>307</v>
      </c>
      <c r="H1312" s="1">
        <v>3067314</v>
      </c>
      <c r="I1312" s="1">
        <v>0</v>
      </c>
      <c r="J1312" s="1">
        <v>3067314</v>
      </c>
      <c r="K1312">
        <f>VLOOKUP(F1312,'LEAID Match'!$A$2:$C$2979,3,FALSE)</f>
        <v>2011490</v>
      </c>
    </row>
    <row r="1313" spans="1:11" x14ac:dyDescent="0.2">
      <c r="A1313">
        <v>2011430</v>
      </c>
      <c r="B1313">
        <v>2018</v>
      </c>
      <c r="C1313" t="s">
        <v>6</v>
      </c>
      <c r="D1313" t="s">
        <v>7</v>
      </c>
      <c r="E1313" t="s">
        <v>8</v>
      </c>
      <c r="F1313">
        <v>5313</v>
      </c>
      <c r="G1313" t="s">
        <v>308</v>
      </c>
      <c r="H1313" s="1">
        <v>321688</v>
      </c>
      <c r="I1313" s="1">
        <v>0</v>
      </c>
      <c r="J1313" s="1">
        <v>321688</v>
      </c>
      <c r="K1313">
        <f>VLOOKUP(F1313,'LEAID Match'!$A$2:$C$2979,3,FALSE)</f>
        <v>2011430</v>
      </c>
    </row>
    <row r="1314" spans="1:11" x14ac:dyDescent="0.2">
      <c r="A1314">
        <v>2012260</v>
      </c>
      <c r="B1314">
        <v>2018</v>
      </c>
      <c r="C1314" t="s">
        <v>6</v>
      </c>
      <c r="D1314" t="s">
        <v>7</v>
      </c>
      <c r="E1314" t="s">
        <v>8</v>
      </c>
      <c r="F1314">
        <v>5314</v>
      </c>
      <c r="G1314" t="s">
        <v>309</v>
      </c>
      <c r="H1314" s="1">
        <v>12582085</v>
      </c>
      <c r="I1314" s="1">
        <v>0</v>
      </c>
      <c r="J1314" s="1">
        <v>12582085</v>
      </c>
      <c r="K1314">
        <f>VLOOKUP(F1314,'LEAID Match'!$A$2:$C$2979,3,FALSE)</f>
        <v>2012260</v>
      </c>
    </row>
    <row r="1315" spans="1:11" x14ac:dyDescent="0.2">
      <c r="A1315">
        <v>0</v>
      </c>
      <c r="B1315">
        <v>2018</v>
      </c>
      <c r="C1315" t="s">
        <v>6</v>
      </c>
      <c r="D1315" t="s">
        <v>7</v>
      </c>
      <c r="E1315" t="s">
        <v>8</v>
      </c>
      <c r="F1315">
        <v>5316</v>
      </c>
      <c r="G1315" t="s">
        <v>310</v>
      </c>
      <c r="H1315" s="20">
        <v>324918</v>
      </c>
      <c r="I1315" s="1">
        <v>0</v>
      </c>
      <c r="J1315" s="1">
        <v>324918</v>
      </c>
      <c r="K1315">
        <f>VLOOKUP(F1315,'LEAID Match'!$A$2:$C$2979,3,FALSE)</f>
        <v>0</v>
      </c>
    </row>
    <row r="1316" spans="1:11" x14ac:dyDescent="0.2">
      <c r="A1316">
        <v>0</v>
      </c>
      <c r="B1316">
        <v>2018</v>
      </c>
      <c r="C1316" t="s">
        <v>6</v>
      </c>
      <c r="D1316" t="s">
        <v>7</v>
      </c>
      <c r="E1316" t="s">
        <v>8</v>
      </c>
      <c r="F1316">
        <v>5317</v>
      </c>
      <c r="G1316" t="s">
        <v>311</v>
      </c>
      <c r="H1316" s="1">
        <v>400035</v>
      </c>
      <c r="I1316" s="1">
        <v>0</v>
      </c>
      <c r="J1316" s="1">
        <v>400035</v>
      </c>
      <c r="K1316">
        <f>VLOOKUP(F1316,'LEAID Match'!$A$2:$C$2979,3,FALSE)</f>
        <v>0</v>
      </c>
    </row>
    <row r="1317" spans="1:11" x14ac:dyDescent="0.2">
      <c r="A1317">
        <v>2004710</v>
      </c>
      <c r="B1317">
        <v>2018</v>
      </c>
      <c r="C1317" t="s">
        <v>6</v>
      </c>
      <c r="D1317" t="s">
        <v>7</v>
      </c>
      <c r="E1317" t="s">
        <v>8</v>
      </c>
      <c r="F1317">
        <v>5318</v>
      </c>
      <c r="G1317" s="9" t="s">
        <v>312</v>
      </c>
      <c r="H1317" s="1">
        <v>452085</v>
      </c>
      <c r="I1317" s="1">
        <v>0</v>
      </c>
      <c r="J1317" s="1">
        <v>452085</v>
      </c>
      <c r="K1317">
        <f>VLOOKUP(F1317,'LEAID Match'!$A$2:$C$2979,3,FALSE)</f>
        <v>2004710</v>
      </c>
    </row>
    <row r="1318" spans="1:11" x14ac:dyDescent="0.2">
      <c r="A1318">
        <v>2006480</v>
      </c>
      <c r="B1318">
        <v>2018</v>
      </c>
      <c r="C1318" t="s">
        <v>6</v>
      </c>
      <c r="D1318" t="s">
        <v>7</v>
      </c>
      <c r="E1318" t="s">
        <v>8</v>
      </c>
      <c r="F1318" s="3">
        <v>5319</v>
      </c>
      <c r="G1318" s="3" t="s">
        <v>313</v>
      </c>
      <c r="H1318" s="22">
        <v>664731</v>
      </c>
      <c r="I1318" s="1">
        <v>0</v>
      </c>
      <c r="J1318" s="1">
        <v>664731</v>
      </c>
      <c r="K1318">
        <f>VLOOKUP(F1318,'LEAID Match'!$A$2:$C$2979,3,FALSE)</f>
        <v>2006480</v>
      </c>
    </row>
    <row r="1319" spans="1:11" x14ac:dyDescent="0.2">
      <c r="A1319">
        <v>2005310</v>
      </c>
      <c r="B1319">
        <v>2018</v>
      </c>
      <c r="C1319" t="s">
        <v>6</v>
      </c>
      <c r="D1319" t="s">
        <v>7</v>
      </c>
      <c r="E1319" t="s">
        <v>8</v>
      </c>
      <c r="F1319" s="3">
        <v>5320</v>
      </c>
      <c r="G1319" s="3" t="s">
        <v>314</v>
      </c>
      <c r="H1319" s="1">
        <v>192097</v>
      </c>
      <c r="I1319" s="21">
        <v>0</v>
      </c>
      <c r="J1319" s="21">
        <v>192097</v>
      </c>
      <c r="K1319">
        <f>VLOOKUP(F1319,'LEAID Match'!$A$2:$C$2979,3,FALSE)</f>
        <v>2005310</v>
      </c>
    </row>
    <row r="1320" spans="1:11" x14ac:dyDescent="0.2">
      <c r="A1320">
        <v>2012780</v>
      </c>
      <c r="B1320">
        <v>2018</v>
      </c>
      <c r="C1320" t="s">
        <v>6</v>
      </c>
      <c r="D1320" t="s">
        <v>7</v>
      </c>
      <c r="E1320" t="s">
        <v>8</v>
      </c>
      <c r="F1320" s="3">
        <v>5321</v>
      </c>
      <c r="G1320" s="3" t="s">
        <v>315</v>
      </c>
      <c r="H1320" s="1">
        <v>353071</v>
      </c>
      <c r="I1320" s="1">
        <v>0</v>
      </c>
      <c r="J1320" s="1">
        <v>353071</v>
      </c>
      <c r="K1320">
        <f>VLOOKUP(F1320,'LEAID Match'!$A$2:$C$2979,3,FALSE)</f>
        <v>2012780</v>
      </c>
    </row>
    <row r="1321" spans="1:11" x14ac:dyDescent="0.2">
      <c r="A1321">
        <v>2010350</v>
      </c>
      <c r="B1321">
        <v>2018</v>
      </c>
      <c r="C1321" t="s">
        <v>6</v>
      </c>
      <c r="D1321" t="s">
        <v>7</v>
      </c>
      <c r="E1321" t="s">
        <v>8</v>
      </c>
      <c r="F1321">
        <v>5322</v>
      </c>
      <c r="G1321" t="s">
        <v>316</v>
      </c>
      <c r="H1321" s="1">
        <v>392573</v>
      </c>
      <c r="I1321" s="1">
        <v>0</v>
      </c>
      <c r="J1321" s="1">
        <v>392573</v>
      </c>
      <c r="K1321">
        <f>VLOOKUP(F1321,'LEAID Match'!$A$2:$C$2979,3,FALSE)</f>
        <v>2010350</v>
      </c>
    </row>
    <row r="1322" spans="1:11" x14ac:dyDescent="0.2">
      <c r="A1322">
        <v>2007950</v>
      </c>
      <c r="B1322">
        <v>2018</v>
      </c>
      <c r="C1322" t="s">
        <v>6</v>
      </c>
      <c r="D1322" t="s">
        <v>7</v>
      </c>
      <c r="E1322" t="s">
        <v>8</v>
      </c>
      <c r="F1322">
        <v>5324</v>
      </c>
      <c r="G1322" t="s">
        <v>317</v>
      </c>
      <c r="H1322" s="1">
        <v>19689116</v>
      </c>
      <c r="I1322" s="1">
        <v>0</v>
      </c>
      <c r="J1322" s="1">
        <v>19689116</v>
      </c>
      <c r="K1322">
        <f>VLOOKUP(F1322,'LEAID Match'!$A$2:$C$2979,3,FALSE)</f>
        <v>2007950</v>
      </c>
    </row>
    <row r="1323" spans="1:11" x14ac:dyDescent="0.2">
      <c r="A1323">
        <v>2008670</v>
      </c>
      <c r="B1323">
        <v>2018</v>
      </c>
      <c r="C1323" t="s">
        <v>6</v>
      </c>
      <c r="D1323" t="s">
        <v>7</v>
      </c>
      <c r="E1323" t="s">
        <v>8</v>
      </c>
      <c r="F1323">
        <v>5329</v>
      </c>
      <c r="G1323" t="s">
        <v>318</v>
      </c>
      <c r="H1323" s="1">
        <v>168405</v>
      </c>
      <c r="I1323" s="1">
        <v>0</v>
      </c>
      <c r="J1323" s="1">
        <v>168405</v>
      </c>
      <c r="K1323">
        <f>VLOOKUP(F1323,'LEAID Match'!$A$2:$C$2979,3,FALSE)</f>
        <v>2008670</v>
      </c>
    </row>
    <row r="1324" spans="1:11" x14ac:dyDescent="0.2">
      <c r="A1324">
        <v>2005070</v>
      </c>
      <c r="B1324">
        <v>2018</v>
      </c>
      <c r="C1324" t="s">
        <v>6</v>
      </c>
      <c r="D1324" t="s">
        <v>7</v>
      </c>
      <c r="E1324" t="s">
        <v>8</v>
      </c>
      <c r="F1324">
        <v>5330</v>
      </c>
      <c r="G1324" t="s">
        <v>319</v>
      </c>
      <c r="H1324" s="20">
        <v>939359</v>
      </c>
      <c r="I1324" s="1">
        <v>0</v>
      </c>
      <c r="J1324" s="1">
        <v>939359</v>
      </c>
      <c r="K1324">
        <f>VLOOKUP(F1324,'LEAID Match'!$A$2:$C$2979,3,FALSE)</f>
        <v>2005070</v>
      </c>
    </row>
    <row r="1325" spans="1:11" x14ac:dyDescent="0.2">
      <c r="A1325">
        <v>2010560</v>
      </c>
      <c r="B1325">
        <v>2018</v>
      </c>
      <c r="C1325" t="s">
        <v>6</v>
      </c>
      <c r="D1325" t="s">
        <v>7</v>
      </c>
      <c r="E1325" t="s">
        <v>8</v>
      </c>
      <c r="F1325">
        <v>5331</v>
      </c>
      <c r="G1325" t="s">
        <v>320</v>
      </c>
      <c r="H1325" s="1">
        <v>817627</v>
      </c>
      <c r="I1325" s="1">
        <v>0</v>
      </c>
      <c r="J1325" s="1">
        <v>817627</v>
      </c>
      <c r="K1325">
        <f>VLOOKUP(F1325,'LEAID Match'!$A$2:$C$2979,3,FALSE)</f>
        <v>2010560</v>
      </c>
    </row>
    <row r="1326" spans="1:11" x14ac:dyDescent="0.2">
      <c r="A1326">
        <v>2003300</v>
      </c>
      <c r="B1326">
        <v>2018</v>
      </c>
      <c r="C1326" t="s">
        <v>6</v>
      </c>
      <c r="D1326" t="s">
        <v>7</v>
      </c>
      <c r="E1326" t="s">
        <v>8</v>
      </c>
      <c r="F1326">
        <v>5332</v>
      </c>
      <c r="G1326" s="9" t="s">
        <v>321</v>
      </c>
      <c r="H1326" s="1">
        <v>1077154</v>
      </c>
      <c r="I1326" s="1">
        <v>0</v>
      </c>
      <c r="J1326" s="1">
        <v>1077154</v>
      </c>
      <c r="K1326">
        <f>VLOOKUP(F1326,'LEAID Match'!$A$2:$C$2979,3,FALSE)</f>
        <v>2003300</v>
      </c>
    </row>
    <row r="1327" spans="1:11" x14ac:dyDescent="0.2">
      <c r="A1327">
        <v>2004770</v>
      </c>
      <c r="B1327">
        <v>2018</v>
      </c>
      <c r="C1327" t="s">
        <v>6</v>
      </c>
      <c r="D1327" t="s">
        <v>7</v>
      </c>
      <c r="E1327" t="s">
        <v>8</v>
      </c>
      <c r="F1327" s="3">
        <v>5333</v>
      </c>
      <c r="G1327" s="3" t="s">
        <v>322</v>
      </c>
      <c r="H1327" s="22">
        <v>351458</v>
      </c>
      <c r="I1327" s="1">
        <v>0</v>
      </c>
      <c r="J1327" s="1">
        <v>351458</v>
      </c>
      <c r="K1327">
        <f>VLOOKUP(F1327,'LEAID Match'!$A$2:$C$2979,3,FALSE)</f>
        <v>2004770</v>
      </c>
    </row>
    <row r="1328" spans="1:11" x14ac:dyDescent="0.2">
      <c r="A1328">
        <v>2006330</v>
      </c>
      <c r="B1328">
        <v>2018</v>
      </c>
      <c r="C1328" t="s">
        <v>6</v>
      </c>
      <c r="D1328" t="s">
        <v>7</v>
      </c>
      <c r="E1328" t="s">
        <v>8</v>
      </c>
      <c r="F1328" s="3">
        <v>5337</v>
      </c>
      <c r="G1328" s="3" t="s">
        <v>323</v>
      </c>
      <c r="H1328" s="1">
        <v>1455083</v>
      </c>
      <c r="I1328" s="21">
        <v>0</v>
      </c>
      <c r="J1328" s="21">
        <v>1455083</v>
      </c>
      <c r="K1328">
        <f>VLOOKUP(F1328,'LEAID Match'!$A$2:$C$2979,3,FALSE)</f>
        <v>2006330</v>
      </c>
    </row>
    <row r="1329" spans="1:11" x14ac:dyDescent="0.2">
      <c r="A1329">
        <v>2003810</v>
      </c>
      <c r="B1329">
        <v>2018</v>
      </c>
      <c r="C1329" t="s">
        <v>6</v>
      </c>
      <c r="D1329" t="s">
        <v>7</v>
      </c>
      <c r="E1329" t="s">
        <v>8</v>
      </c>
      <c r="F1329" s="3">
        <v>5366</v>
      </c>
      <c r="G1329" s="3" t="s">
        <v>324</v>
      </c>
      <c r="H1329" s="1">
        <v>738634</v>
      </c>
      <c r="I1329" s="1">
        <v>0</v>
      </c>
      <c r="J1329" s="1">
        <v>738634</v>
      </c>
      <c r="K1329">
        <f>VLOOKUP(F1329,'LEAID Match'!$A$2:$C$2979,3,FALSE)</f>
        <v>2003810</v>
      </c>
    </row>
    <row r="1330" spans="1:11" x14ac:dyDescent="0.2">
      <c r="A1330">
        <v>2011400</v>
      </c>
      <c r="B1330">
        <v>2018</v>
      </c>
      <c r="C1330" t="s">
        <v>6</v>
      </c>
      <c r="D1330" t="s">
        <v>7</v>
      </c>
      <c r="E1330" t="s">
        <v>8</v>
      </c>
      <c r="F1330">
        <v>5367</v>
      </c>
      <c r="G1330" t="s">
        <v>325</v>
      </c>
      <c r="H1330" s="1">
        <v>304414</v>
      </c>
      <c r="I1330" s="1">
        <v>0</v>
      </c>
      <c r="J1330" s="1">
        <v>304414</v>
      </c>
      <c r="K1330">
        <f>VLOOKUP(F1330,'LEAID Match'!$A$2:$C$2979,3,FALSE)</f>
        <v>2011400</v>
      </c>
    </row>
    <row r="1331" spans="1:11" x14ac:dyDescent="0.2">
      <c r="A1331">
        <v>0</v>
      </c>
      <c r="B1331">
        <v>2018</v>
      </c>
      <c r="C1331" t="s">
        <v>6</v>
      </c>
      <c r="D1331" t="s">
        <v>7</v>
      </c>
      <c r="E1331" t="s">
        <v>8</v>
      </c>
      <c r="F1331">
        <v>5368</v>
      </c>
      <c r="G1331" t="s">
        <v>326</v>
      </c>
      <c r="H1331" s="1">
        <v>408145</v>
      </c>
      <c r="I1331" s="1">
        <v>0</v>
      </c>
      <c r="J1331" s="1">
        <v>408145</v>
      </c>
      <c r="K1331">
        <f>VLOOKUP(F1331,'LEAID Match'!$A$2:$C$2979,3,FALSE)</f>
        <v>0</v>
      </c>
    </row>
    <row r="1332" spans="1:11" x14ac:dyDescent="0.2">
      <c r="A1332">
        <v>2003570</v>
      </c>
      <c r="B1332">
        <v>2018</v>
      </c>
      <c r="C1332" t="s">
        <v>6</v>
      </c>
      <c r="D1332" t="s">
        <v>7</v>
      </c>
      <c r="E1332" t="s">
        <v>8</v>
      </c>
      <c r="F1332">
        <v>5405</v>
      </c>
      <c r="G1332" t="s">
        <v>327</v>
      </c>
      <c r="H1332" s="1">
        <v>142557</v>
      </c>
      <c r="I1332" s="1">
        <v>0</v>
      </c>
      <c r="J1332" s="1">
        <v>142557</v>
      </c>
      <c r="K1332">
        <f>VLOOKUP(F1332,'LEAID Match'!$A$2:$C$2979,3,FALSE)</f>
        <v>2003570</v>
      </c>
    </row>
    <row r="1333" spans="1:11" x14ac:dyDescent="0.2">
      <c r="A1333">
        <v>2006690</v>
      </c>
      <c r="B1333">
        <v>2018</v>
      </c>
      <c r="C1333" t="s">
        <v>6</v>
      </c>
      <c r="D1333" t="s">
        <v>7</v>
      </c>
      <c r="E1333" t="s">
        <v>8</v>
      </c>
      <c r="F1333">
        <v>5409</v>
      </c>
      <c r="G1333" t="s">
        <v>328</v>
      </c>
      <c r="H1333" s="20">
        <v>222798</v>
      </c>
      <c r="I1333" s="1">
        <v>0</v>
      </c>
      <c r="J1333" s="1">
        <v>222798</v>
      </c>
      <c r="K1333">
        <f>VLOOKUP(F1333,'LEAID Match'!$A$2:$C$2979,3,FALSE)</f>
        <v>2006690</v>
      </c>
    </row>
    <row r="1334" spans="1:11" x14ac:dyDescent="0.2">
      <c r="A1334">
        <v>2011790</v>
      </c>
      <c r="B1334">
        <v>2018</v>
      </c>
      <c r="C1334" t="s">
        <v>6</v>
      </c>
      <c r="D1334" t="s">
        <v>7</v>
      </c>
      <c r="E1334" t="s">
        <v>8</v>
      </c>
      <c r="F1334">
        <v>5410</v>
      </c>
      <c r="G1334" t="s">
        <v>329</v>
      </c>
      <c r="H1334" s="1">
        <v>166181</v>
      </c>
      <c r="I1334" s="1">
        <v>0</v>
      </c>
      <c r="J1334" s="1">
        <v>166181</v>
      </c>
      <c r="K1334">
        <f>VLOOKUP(F1334,'LEAID Match'!$A$2:$C$2979,3,FALSE)</f>
        <v>2011790</v>
      </c>
    </row>
    <row r="1335" spans="1:11" x14ac:dyDescent="0.2">
      <c r="A1335">
        <v>2011640</v>
      </c>
      <c r="B1335">
        <v>2018</v>
      </c>
      <c r="C1335" t="s">
        <v>6</v>
      </c>
      <c r="D1335" t="s">
        <v>7</v>
      </c>
      <c r="E1335" t="s">
        <v>8</v>
      </c>
      <c r="F1335">
        <v>5430</v>
      </c>
      <c r="G1335" s="9" t="s">
        <v>330</v>
      </c>
      <c r="H1335" s="1">
        <v>24040718</v>
      </c>
      <c r="I1335" s="1">
        <v>0</v>
      </c>
      <c r="J1335" s="1">
        <v>24040718</v>
      </c>
      <c r="K1335">
        <f>VLOOKUP(F1335,'LEAID Match'!$A$2:$C$2979,3,FALSE)</f>
        <v>2011640</v>
      </c>
    </row>
    <row r="1336" spans="1:11" x14ac:dyDescent="0.2">
      <c r="A1336">
        <v>2004800</v>
      </c>
      <c r="B1336">
        <v>2018</v>
      </c>
      <c r="C1336" t="s">
        <v>6</v>
      </c>
      <c r="D1336" t="s">
        <v>7</v>
      </c>
      <c r="E1336" t="s">
        <v>8</v>
      </c>
      <c r="F1336" s="3">
        <v>5436</v>
      </c>
      <c r="G1336" s="3" t="s">
        <v>331</v>
      </c>
      <c r="H1336" s="22">
        <v>503763</v>
      </c>
      <c r="I1336" s="1">
        <v>0</v>
      </c>
      <c r="J1336" s="1">
        <v>503763</v>
      </c>
      <c r="K1336">
        <f>VLOOKUP(F1336,'LEAID Match'!$A$2:$C$2979,3,FALSE)</f>
        <v>2004800</v>
      </c>
    </row>
    <row r="1337" spans="1:11" x14ac:dyDescent="0.2">
      <c r="A1337">
        <v>2004790</v>
      </c>
      <c r="B1337">
        <v>2018</v>
      </c>
      <c r="C1337" t="s">
        <v>6</v>
      </c>
      <c r="D1337" t="s">
        <v>7</v>
      </c>
      <c r="E1337" t="s">
        <v>8</v>
      </c>
      <c r="F1337" s="3">
        <v>5590</v>
      </c>
      <c r="G1337" s="3" t="s">
        <v>332</v>
      </c>
      <c r="H1337" s="1">
        <v>132754</v>
      </c>
      <c r="I1337" s="21">
        <v>0</v>
      </c>
      <c r="J1337" s="21">
        <v>132754</v>
      </c>
      <c r="K1337">
        <f>VLOOKUP(F1337,'LEAID Match'!$A$2:$C$2979,3,FALSE)</f>
        <v>2004790</v>
      </c>
    </row>
    <row r="1338" spans="1:11" x14ac:dyDescent="0.2">
      <c r="A1338">
        <v>0</v>
      </c>
      <c r="B1338">
        <v>2018</v>
      </c>
      <c r="C1338" t="s">
        <v>6</v>
      </c>
      <c r="D1338" t="s">
        <v>7</v>
      </c>
      <c r="E1338" t="s">
        <v>8</v>
      </c>
      <c r="F1338" s="3">
        <v>5696</v>
      </c>
      <c r="G1338" s="3" t="s">
        <v>333</v>
      </c>
      <c r="H1338" s="1">
        <v>245653</v>
      </c>
      <c r="I1338" s="1">
        <v>0</v>
      </c>
      <c r="J1338" s="1">
        <v>245653</v>
      </c>
      <c r="K1338">
        <f>VLOOKUP(F1338,'LEAID Match'!$A$2:$C$2979,3,FALSE)</f>
        <v>0</v>
      </c>
    </row>
    <row r="1339" spans="1:11" x14ac:dyDescent="0.2">
      <c r="A1339">
        <v>2000023</v>
      </c>
      <c r="B1339">
        <v>2018</v>
      </c>
      <c r="C1339" t="s">
        <v>6</v>
      </c>
      <c r="D1339" t="s">
        <v>7</v>
      </c>
      <c r="E1339" t="s">
        <v>8</v>
      </c>
      <c r="F1339">
        <v>9291</v>
      </c>
      <c r="G1339" t="s">
        <v>334</v>
      </c>
      <c r="H1339" s="1">
        <v>257440</v>
      </c>
      <c r="I1339" s="1">
        <v>0</v>
      </c>
      <c r="J1339" s="1">
        <v>257440</v>
      </c>
      <c r="K1339">
        <f>VLOOKUP(F1339,'LEAID Match'!$A$2:$C$2979,3,FALSE)</f>
        <v>2000023</v>
      </c>
    </row>
    <row r="1340" spans="1:11" x14ac:dyDescent="0.2">
      <c r="A1340">
        <v>2000020</v>
      </c>
      <c r="B1340">
        <v>2018</v>
      </c>
      <c r="C1340" t="s">
        <v>6</v>
      </c>
      <c r="D1340" t="s">
        <v>7</v>
      </c>
      <c r="E1340" t="s">
        <v>8</v>
      </c>
      <c r="F1340">
        <v>9302</v>
      </c>
      <c r="G1340" t="s">
        <v>335</v>
      </c>
      <c r="H1340" s="1">
        <v>137639</v>
      </c>
      <c r="I1340" s="1">
        <v>0</v>
      </c>
      <c r="J1340" s="1">
        <v>137639</v>
      </c>
      <c r="K1340">
        <f>VLOOKUP(F1340,'LEAID Match'!$A$2:$C$2979,3,FALSE)</f>
        <v>2000020</v>
      </c>
    </row>
    <row r="1341" spans="1:11" x14ac:dyDescent="0.2">
      <c r="A1341">
        <v>2000029</v>
      </c>
      <c r="B1341">
        <v>2018</v>
      </c>
      <c r="C1341" t="s">
        <v>6</v>
      </c>
      <c r="D1341" t="s">
        <v>7</v>
      </c>
      <c r="E1341" t="s">
        <v>8</v>
      </c>
      <c r="F1341">
        <v>9332</v>
      </c>
      <c r="G1341" t="s">
        <v>336</v>
      </c>
      <c r="H1341" s="1">
        <v>243017</v>
      </c>
      <c r="I1341" s="1">
        <v>0</v>
      </c>
      <c r="J1341" s="1">
        <v>243017</v>
      </c>
      <c r="K1341">
        <f>VLOOKUP(F1341,'LEAID Match'!$A$2:$C$2979,3,FALSE)</f>
        <v>2000029</v>
      </c>
    </row>
    <row r="1342" spans="1:11" x14ac:dyDescent="0.2">
      <c r="A1342">
        <v>2000028</v>
      </c>
      <c r="B1342">
        <v>2018</v>
      </c>
      <c r="C1342" t="s">
        <v>6</v>
      </c>
      <c r="D1342" t="s">
        <v>7</v>
      </c>
      <c r="E1342" t="s">
        <v>8</v>
      </c>
      <c r="F1342">
        <v>9333</v>
      </c>
      <c r="G1342" t="s">
        <v>337</v>
      </c>
      <c r="H1342" s="20">
        <v>251629</v>
      </c>
      <c r="I1342" s="1">
        <v>0</v>
      </c>
      <c r="J1342" s="1">
        <v>251629</v>
      </c>
      <c r="K1342">
        <f>VLOOKUP(F1342,'LEAID Match'!$A$2:$C$2979,3,FALSE)</f>
        <v>2000028</v>
      </c>
    </row>
    <row r="1343" spans="1:11" x14ac:dyDescent="0.2">
      <c r="A1343">
        <v>2000030</v>
      </c>
      <c r="B1343">
        <v>2018</v>
      </c>
      <c r="C1343" t="s">
        <v>6</v>
      </c>
      <c r="D1343" t="s">
        <v>7</v>
      </c>
      <c r="E1343" t="s">
        <v>8</v>
      </c>
      <c r="F1343">
        <v>9335</v>
      </c>
      <c r="G1343" t="s">
        <v>338</v>
      </c>
      <c r="H1343" s="1">
        <v>341893</v>
      </c>
      <c r="I1343" s="1">
        <v>0</v>
      </c>
      <c r="J1343" s="1">
        <v>341893</v>
      </c>
      <c r="K1343">
        <f>VLOOKUP(F1343,'LEAID Match'!$A$2:$C$2979,3,FALSE)</f>
        <v>2000030</v>
      </c>
    </row>
    <row r="1344" spans="1:11" x14ac:dyDescent="0.2">
      <c r="A1344">
        <v>2000346</v>
      </c>
      <c r="B1344">
        <v>2018</v>
      </c>
      <c r="C1344" t="s">
        <v>6</v>
      </c>
      <c r="D1344" t="s">
        <v>7</v>
      </c>
      <c r="E1344" t="s">
        <v>8</v>
      </c>
      <c r="F1344">
        <v>9389</v>
      </c>
      <c r="G1344" s="9" t="s">
        <v>339</v>
      </c>
      <c r="H1344" s="1">
        <v>213747</v>
      </c>
      <c r="I1344" s="1">
        <v>0</v>
      </c>
      <c r="J1344" s="1">
        <v>213747</v>
      </c>
      <c r="K1344">
        <f>VLOOKUP(F1344,'LEAID Match'!$A$2:$C$2979,3,FALSE)</f>
        <v>2000346</v>
      </c>
    </row>
    <row r="1345" spans="1:11" x14ac:dyDescent="0.2">
      <c r="A1345">
        <v>2000348</v>
      </c>
      <c r="B1345">
        <v>2018</v>
      </c>
      <c r="C1345" t="s">
        <v>6</v>
      </c>
      <c r="D1345" t="s">
        <v>7</v>
      </c>
      <c r="E1345" t="s">
        <v>8</v>
      </c>
      <c r="F1345" s="3">
        <v>9410</v>
      </c>
      <c r="G1345" s="3" t="s">
        <v>340</v>
      </c>
      <c r="H1345" s="22">
        <v>287563</v>
      </c>
      <c r="I1345" s="1">
        <v>0</v>
      </c>
      <c r="J1345" s="1">
        <v>287563</v>
      </c>
      <c r="K1345">
        <f>VLOOKUP(F1345,'LEAID Match'!$A$2:$C$2979,3,FALSE)</f>
        <v>2000348</v>
      </c>
    </row>
    <row r="1346" spans="1:11" x14ac:dyDescent="0.2">
      <c r="A1346">
        <v>2000351</v>
      </c>
      <c r="B1346">
        <v>2018</v>
      </c>
      <c r="C1346" t="s">
        <v>6</v>
      </c>
      <c r="D1346" t="s">
        <v>7</v>
      </c>
      <c r="E1346" t="s">
        <v>8</v>
      </c>
      <c r="F1346" s="3">
        <v>9444</v>
      </c>
      <c r="G1346" s="3" t="s">
        <v>341</v>
      </c>
      <c r="H1346" s="1">
        <v>529435</v>
      </c>
      <c r="I1346" s="21">
        <v>0</v>
      </c>
      <c r="J1346" s="21">
        <v>529435</v>
      </c>
      <c r="K1346">
        <f>VLOOKUP(F1346,'LEAID Match'!$A$2:$C$2979,3,FALSE)</f>
        <v>2000351</v>
      </c>
    </row>
    <row r="1347" spans="1:11" x14ac:dyDescent="0.2">
      <c r="A1347">
        <v>2000349</v>
      </c>
      <c r="B1347">
        <v>2018</v>
      </c>
      <c r="C1347" t="s">
        <v>6</v>
      </c>
      <c r="D1347" t="s">
        <v>7</v>
      </c>
      <c r="E1347" t="s">
        <v>8</v>
      </c>
      <c r="F1347" s="3">
        <v>9445</v>
      </c>
      <c r="G1347" s="3" t="s">
        <v>342</v>
      </c>
      <c r="H1347" s="1">
        <v>504161</v>
      </c>
      <c r="I1347" s="1">
        <v>0</v>
      </c>
      <c r="J1347" s="1">
        <v>504161</v>
      </c>
      <c r="K1347">
        <f>VLOOKUP(F1347,'LEAID Match'!$A$2:$C$2979,3,FALSE)</f>
        <v>2000349</v>
      </c>
    </row>
    <row r="1348" spans="1:11" x14ac:dyDescent="0.2">
      <c r="A1348">
        <v>2000350</v>
      </c>
      <c r="B1348">
        <v>2018</v>
      </c>
      <c r="C1348" t="s">
        <v>6</v>
      </c>
      <c r="D1348" t="s">
        <v>7</v>
      </c>
      <c r="E1348" t="s">
        <v>8</v>
      </c>
      <c r="F1348">
        <v>9446</v>
      </c>
      <c r="G1348" t="s">
        <v>343</v>
      </c>
      <c r="H1348" s="1">
        <v>799655</v>
      </c>
      <c r="I1348" s="1">
        <v>0</v>
      </c>
      <c r="J1348" s="1">
        <v>799655</v>
      </c>
      <c r="K1348">
        <f>VLOOKUP(F1348,'LEAID Match'!$A$2:$C$2979,3,FALSE)</f>
        <v>2000350</v>
      </c>
    </row>
    <row r="1349" spans="1:11" x14ac:dyDescent="0.2">
      <c r="A1349">
        <v>2000353</v>
      </c>
      <c r="B1349">
        <v>2018</v>
      </c>
      <c r="C1349" t="s">
        <v>6</v>
      </c>
      <c r="D1349" t="s">
        <v>7</v>
      </c>
      <c r="E1349" t="s">
        <v>8</v>
      </c>
      <c r="F1349">
        <v>9461</v>
      </c>
      <c r="G1349" t="s">
        <v>344</v>
      </c>
      <c r="H1349" s="1">
        <v>563276</v>
      </c>
      <c r="I1349" s="1">
        <v>0</v>
      </c>
      <c r="J1349" s="1">
        <v>563276</v>
      </c>
      <c r="K1349">
        <f>VLOOKUP(F1349,'LEAID Match'!$A$2:$C$2979,3,FALSE)</f>
        <v>2000353</v>
      </c>
    </row>
    <row r="1350" spans="1:11" x14ac:dyDescent="0.2">
      <c r="A1350">
        <v>0</v>
      </c>
      <c r="B1350">
        <v>2019</v>
      </c>
      <c r="C1350" t="s">
        <v>6</v>
      </c>
      <c r="D1350" t="s">
        <v>7</v>
      </c>
      <c r="E1350" t="s">
        <v>8</v>
      </c>
      <c r="F1350">
        <v>4930</v>
      </c>
      <c r="G1350" t="s">
        <v>9</v>
      </c>
      <c r="H1350" s="1">
        <v>5694</v>
      </c>
      <c r="I1350" s="1">
        <v>556483.28886867152</v>
      </c>
      <c r="J1350" s="1">
        <v>562177.28886867152</v>
      </c>
      <c r="K1350">
        <f>VLOOKUP(F1350,'LEAID Match'!$A$2:$C$2979,3,FALSE)</f>
        <v>0</v>
      </c>
    </row>
    <row r="1351" spans="1:11" x14ac:dyDescent="0.2">
      <c r="A1351">
        <v>0</v>
      </c>
      <c r="B1351">
        <v>2019</v>
      </c>
      <c r="C1351" t="s">
        <v>6</v>
      </c>
      <c r="D1351" t="s">
        <v>7</v>
      </c>
      <c r="E1351" t="s">
        <v>8</v>
      </c>
      <c r="F1351">
        <v>4931</v>
      </c>
      <c r="G1351" t="s">
        <v>10</v>
      </c>
      <c r="H1351" s="20">
        <v>3293</v>
      </c>
      <c r="I1351" s="1">
        <v>439565.44462846889</v>
      </c>
      <c r="J1351" s="1">
        <v>442858.44462846889</v>
      </c>
      <c r="K1351">
        <f>VLOOKUP(F1351,'LEAID Match'!$A$2:$C$2979,3,FALSE)</f>
        <v>0</v>
      </c>
    </row>
    <row r="1352" spans="1:11" x14ac:dyDescent="0.2">
      <c r="A1352">
        <v>0</v>
      </c>
      <c r="B1352">
        <v>2019</v>
      </c>
      <c r="C1352" t="s">
        <v>6</v>
      </c>
      <c r="D1352" t="s">
        <v>7</v>
      </c>
      <c r="E1352" t="s">
        <v>8</v>
      </c>
      <c r="F1352">
        <v>5045</v>
      </c>
      <c r="G1352" t="s">
        <v>11</v>
      </c>
      <c r="H1352" s="1">
        <v>5083</v>
      </c>
      <c r="I1352" s="1">
        <v>688348.85177406599</v>
      </c>
      <c r="J1352" s="1">
        <v>693431.85177406599</v>
      </c>
      <c r="K1352">
        <f>VLOOKUP(F1352,'LEAID Match'!$A$2:$C$2979,3,FALSE)</f>
        <v>0</v>
      </c>
    </row>
    <row r="1353" spans="1:11" x14ac:dyDescent="0.2">
      <c r="A1353">
        <v>0</v>
      </c>
      <c r="B1353">
        <v>2019</v>
      </c>
      <c r="C1353" t="s">
        <v>6</v>
      </c>
      <c r="D1353" t="s">
        <v>7</v>
      </c>
      <c r="E1353" t="s">
        <v>8</v>
      </c>
      <c r="F1353">
        <v>5046</v>
      </c>
      <c r="G1353" s="9" t="s">
        <v>12</v>
      </c>
      <c r="H1353" s="1"/>
      <c r="I1353" s="1">
        <v>928441.02360903961</v>
      </c>
      <c r="J1353" s="1">
        <v>928441.02360903961</v>
      </c>
      <c r="K1353">
        <f>VLOOKUP(F1353,'LEAID Match'!$A$2:$C$2979,3,FALSE)</f>
        <v>0</v>
      </c>
    </row>
    <row r="1354" spans="1:11" x14ac:dyDescent="0.2">
      <c r="A1354">
        <v>0</v>
      </c>
      <c r="B1354">
        <v>2019</v>
      </c>
      <c r="C1354" t="s">
        <v>6</v>
      </c>
      <c r="D1354" t="s">
        <v>7</v>
      </c>
      <c r="E1354" t="s">
        <v>8</v>
      </c>
      <c r="F1354" s="3">
        <v>5047</v>
      </c>
      <c r="G1354" s="3" t="s">
        <v>13</v>
      </c>
      <c r="H1354" s="22">
        <v>4500</v>
      </c>
      <c r="I1354" s="1">
        <v>1491480.8055160288</v>
      </c>
      <c r="J1354" s="1">
        <v>1495980.8055160288</v>
      </c>
      <c r="K1354">
        <f>VLOOKUP(F1354,'LEAID Match'!$A$2:$C$2979,3,FALSE)</f>
        <v>0</v>
      </c>
    </row>
    <row r="1355" spans="1:11" x14ac:dyDescent="0.2">
      <c r="A1355">
        <v>0</v>
      </c>
      <c r="B1355">
        <v>2019</v>
      </c>
      <c r="C1355" t="s">
        <v>6</v>
      </c>
      <c r="D1355" t="s">
        <v>7</v>
      </c>
      <c r="E1355" t="s">
        <v>8</v>
      </c>
      <c r="F1355" s="3">
        <v>5048</v>
      </c>
      <c r="G1355" s="3" t="s">
        <v>14</v>
      </c>
      <c r="H1355" s="1">
        <v>66702</v>
      </c>
      <c r="I1355" s="21">
        <v>3031578.2556629297</v>
      </c>
      <c r="J1355" s="21">
        <v>3098280.2556629297</v>
      </c>
      <c r="K1355">
        <f>VLOOKUP(F1355,'LEAID Match'!$A$2:$C$2979,3,FALSE)</f>
        <v>0</v>
      </c>
    </row>
    <row r="1356" spans="1:11" x14ac:dyDescent="0.2">
      <c r="A1356">
        <v>0</v>
      </c>
      <c r="B1356">
        <v>2019</v>
      </c>
      <c r="C1356" t="s">
        <v>6</v>
      </c>
      <c r="D1356" t="s">
        <v>7</v>
      </c>
      <c r="E1356" t="s">
        <v>8</v>
      </c>
      <c r="F1356" s="3">
        <v>5049</v>
      </c>
      <c r="G1356" s="3" t="s">
        <v>15</v>
      </c>
      <c r="H1356" s="1">
        <v>108247</v>
      </c>
      <c r="I1356" s="1">
        <v>4330461.8897300866</v>
      </c>
      <c r="J1356" s="1">
        <v>4438708.8897300866</v>
      </c>
      <c r="K1356">
        <f>VLOOKUP(F1356,'LEAID Match'!$A$2:$C$2979,3,FALSE)</f>
        <v>0</v>
      </c>
    </row>
    <row r="1357" spans="1:11" x14ac:dyDescent="0.2">
      <c r="A1357">
        <v>0</v>
      </c>
      <c r="B1357">
        <v>2019</v>
      </c>
      <c r="C1357" t="s">
        <v>6</v>
      </c>
      <c r="D1357" t="s">
        <v>7</v>
      </c>
      <c r="E1357" t="s">
        <v>8</v>
      </c>
      <c r="F1357">
        <v>5050</v>
      </c>
      <c r="G1357" t="s">
        <v>16</v>
      </c>
      <c r="H1357" s="1">
        <v>4987</v>
      </c>
      <c r="I1357" s="1">
        <v>1032191.6086639892</v>
      </c>
      <c r="J1357" s="1">
        <v>1037178.6086639892</v>
      </c>
      <c r="K1357">
        <f>VLOOKUP(F1357,'LEAID Match'!$A$2:$C$2979,3,FALSE)</f>
        <v>0</v>
      </c>
    </row>
    <row r="1358" spans="1:11" x14ac:dyDescent="0.2">
      <c r="A1358">
        <v>0</v>
      </c>
      <c r="B1358">
        <v>2019</v>
      </c>
      <c r="C1358" t="s">
        <v>6</v>
      </c>
      <c r="D1358" t="s">
        <v>7</v>
      </c>
      <c r="E1358" t="s">
        <v>8</v>
      </c>
      <c r="F1358">
        <v>5107</v>
      </c>
      <c r="G1358" t="s">
        <v>17</v>
      </c>
      <c r="H1358" s="1">
        <v>21365</v>
      </c>
      <c r="I1358" s="1">
        <v>1653927.7575412833</v>
      </c>
      <c r="J1358" s="1">
        <v>1675292.7575412833</v>
      </c>
      <c r="K1358">
        <f>VLOOKUP(F1358,'LEAID Match'!$A$2:$C$2979,3,FALSE)</f>
        <v>0</v>
      </c>
    </row>
    <row r="1359" spans="1:11" x14ac:dyDescent="0.2">
      <c r="A1359">
        <v>0</v>
      </c>
      <c r="B1359">
        <v>2019</v>
      </c>
      <c r="C1359" t="s">
        <v>6</v>
      </c>
      <c r="D1359" t="s">
        <v>7</v>
      </c>
      <c r="E1359" t="s">
        <v>8</v>
      </c>
      <c r="F1359">
        <v>5108</v>
      </c>
      <c r="G1359" t="s">
        <v>18</v>
      </c>
      <c r="H1359" s="1">
        <v>13808</v>
      </c>
      <c r="I1359" s="1">
        <v>2158982.7532354025</v>
      </c>
      <c r="J1359" s="1">
        <v>2172790.7532354025</v>
      </c>
      <c r="K1359">
        <f>VLOOKUP(F1359,'LEAID Match'!$A$2:$C$2979,3,FALSE)</f>
        <v>0</v>
      </c>
    </row>
    <row r="1360" spans="1:11" x14ac:dyDescent="0.2">
      <c r="A1360">
        <v>0</v>
      </c>
      <c r="B1360">
        <v>2019</v>
      </c>
      <c r="C1360" t="s">
        <v>6</v>
      </c>
      <c r="D1360" t="s">
        <v>7</v>
      </c>
      <c r="E1360" t="s">
        <v>8</v>
      </c>
      <c r="F1360">
        <v>5109</v>
      </c>
      <c r="G1360" t="s">
        <v>19</v>
      </c>
      <c r="H1360" s="20">
        <v>48060</v>
      </c>
      <c r="I1360" s="1">
        <v>3485997.9486028599</v>
      </c>
      <c r="J1360" s="1">
        <v>3534057.9486028599</v>
      </c>
      <c r="K1360">
        <f>VLOOKUP(F1360,'LEAID Match'!$A$2:$C$2979,3,FALSE)</f>
        <v>0</v>
      </c>
    </row>
    <row r="1361" spans="1:11" x14ac:dyDescent="0.2">
      <c r="A1361">
        <v>0</v>
      </c>
      <c r="B1361">
        <v>2019</v>
      </c>
      <c r="C1361" t="s">
        <v>6</v>
      </c>
      <c r="D1361" t="s">
        <v>7</v>
      </c>
      <c r="E1361" t="s">
        <v>8</v>
      </c>
      <c r="F1361">
        <v>5110</v>
      </c>
      <c r="G1361" t="s">
        <v>20</v>
      </c>
      <c r="H1361" s="1">
        <v>16386</v>
      </c>
      <c r="I1361" s="1">
        <v>703870.96083879739</v>
      </c>
      <c r="J1361" s="1">
        <v>720256.96083879739</v>
      </c>
      <c r="K1361">
        <f>VLOOKUP(F1361,'LEAID Match'!$A$2:$C$2979,3,FALSE)</f>
        <v>0</v>
      </c>
    </row>
    <row r="1362" spans="1:11" x14ac:dyDescent="0.2">
      <c r="A1362">
        <v>0</v>
      </c>
      <c r="B1362">
        <v>2019</v>
      </c>
      <c r="C1362" t="s">
        <v>6</v>
      </c>
      <c r="D1362" t="s">
        <v>7</v>
      </c>
      <c r="E1362" t="s">
        <v>8</v>
      </c>
      <c r="F1362">
        <v>5111</v>
      </c>
      <c r="G1362" s="3" t="s">
        <v>21</v>
      </c>
      <c r="H1362" s="1"/>
      <c r="I1362" s="1">
        <v>725144.51183068042</v>
      </c>
      <c r="J1362" s="1">
        <v>725144.51183068042</v>
      </c>
      <c r="K1362">
        <f>VLOOKUP(F1362,'LEAID Match'!$A$2:$C$2979,3,FALSE)</f>
        <v>0</v>
      </c>
    </row>
    <row r="1363" spans="1:11" x14ac:dyDescent="0.2">
      <c r="A1363">
        <v>0</v>
      </c>
      <c r="B1363">
        <v>2019</v>
      </c>
      <c r="C1363" t="s">
        <v>6</v>
      </c>
      <c r="D1363" t="s">
        <v>7</v>
      </c>
      <c r="E1363" t="s">
        <v>8</v>
      </c>
      <c r="F1363" s="3">
        <v>5112</v>
      </c>
      <c r="G1363" s="3" t="s">
        <v>22</v>
      </c>
      <c r="H1363" s="22">
        <v>6760</v>
      </c>
      <c r="I1363" s="1">
        <v>863115.79945559322</v>
      </c>
      <c r="J1363" s="1">
        <v>869875.79945559322</v>
      </c>
      <c r="K1363">
        <f>VLOOKUP(F1363,'LEAID Match'!$A$2:$C$2979,3,FALSE)</f>
        <v>0</v>
      </c>
    </row>
    <row r="1364" spans="1:11" x14ac:dyDescent="0.2">
      <c r="A1364">
        <v>0</v>
      </c>
      <c r="B1364">
        <v>2019</v>
      </c>
      <c r="C1364" t="s">
        <v>6</v>
      </c>
      <c r="D1364" t="s">
        <v>7</v>
      </c>
      <c r="E1364" t="s">
        <v>8</v>
      </c>
      <c r="F1364" s="3">
        <v>5113</v>
      </c>
      <c r="G1364" s="3" t="s">
        <v>23</v>
      </c>
      <c r="H1364" s="1">
        <v>10423</v>
      </c>
      <c r="I1364" s="21">
        <v>782791.5987010384</v>
      </c>
      <c r="J1364" s="21">
        <v>793214.5987010384</v>
      </c>
      <c r="K1364">
        <f>VLOOKUP(F1364,'LEAID Match'!$A$2:$C$2979,3,FALSE)</f>
        <v>0</v>
      </c>
    </row>
    <row r="1365" spans="1:11" x14ac:dyDescent="0.2">
      <c r="A1365">
        <v>0</v>
      </c>
      <c r="B1365">
        <v>2019</v>
      </c>
      <c r="C1365" t="s">
        <v>6</v>
      </c>
      <c r="D1365" t="s">
        <v>7</v>
      </c>
      <c r="E1365" t="s">
        <v>8</v>
      </c>
      <c r="F1365" s="3">
        <v>5177</v>
      </c>
      <c r="G1365" s="3" t="s">
        <v>24</v>
      </c>
      <c r="H1365" s="1">
        <v>22632</v>
      </c>
      <c r="I1365" s="1">
        <v>906149.85183057014</v>
      </c>
      <c r="J1365" s="1">
        <v>928781.85183057014</v>
      </c>
      <c r="K1365">
        <f>VLOOKUP(F1365,'LEAID Match'!$A$2:$C$2979,3,FALSE)</f>
        <v>0</v>
      </c>
    </row>
    <row r="1366" spans="1:11" x14ac:dyDescent="0.2">
      <c r="A1366">
        <v>0</v>
      </c>
      <c r="B1366">
        <v>2019</v>
      </c>
      <c r="C1366" t="s">
        <v>6</v>
      </c>
      <c r="D1366" t="s">
        <v>7</v>
      </c>
      <c r="E1366" t="s">
        <v>8</v>
      </c>
      <c r="F1366">
        <v>5178</v>
      </c>
      <c r="G1366" t="s">
        <v>25</v>
      </c>
      <c r="H1366" s="1">
        <v>35251</v>
      </c>
      <c r="I1366" s="1">
        <v>1480306.5754861347</v>
      </c>
      <c r="J1366" s="1">
        <v>1515557.5754861347</v>
      </c>
      <c r="K1366">
        <f>VLOOKUP(F1366,'LEAID Match'!$A$2:$C$2979,3,FALSE)</f>
        <v>0</v>
      </c>
    </row>
    <row r="1367" spans="1:11" x14ac:dyDescent="0.2">
      <c r="A1367">
        <v>0</v>
      </c>
      <c r="B1367">
        <v>2019</v>
      </c>
      <c r="C1367" t="s">
        <v>6</v>
      </c>
      <c r="D1367" t="s">
        <v>7</v>
      </c>
      <c r="E1367" t="s">
        <v>8</v>
      </c>
      <c r="F1367">
        <v>5179</v>
      </c>
      <c r="G1367" t="s">
        <v>26</v>
      </c>
      <c r="H1367" s="1">
        <v>29838</v>
      </c>
      <c r="I1367" s="1">
        <v>807721.04659287992</v>
      </c>
      <c r="J1367" s="1">
        <v>837559.04659287992</v>
      </c>
      <c r="K1367">
        <f>VLOOKUP(F1367,'LEAID Match'!$A$2:$C$2979,3,FALSE)</f>
        <v>0</v>
      </c>
    </row>
    <row r="1368" spans="1:11" x14ac:dyDescent="0.2">
      <c r="A1368">
        <v>0</v>
      </c>
      <c r="B1368">
        <v>2019</v>
      </c>
      <c r="C1368" t="s">
        <v>6</v>
      </c>
      <c r="D1368" t="s">
        <v>7</v>
      </c>
      <c r="E1368" t="s">
        <v>8</v>
      </c>
      <c r="F1368">
        <v>5180</v>
      </c>
      <c r="G1368" t="s">
        <v>27</v>
      </c>
      <c r="H1368" s="1">
        <v>7544</v>
      </c>
      <c r="I1368" s="1">
        <v>1100432.5048192996</v>
      </c>
      <c r="J1368" s="1">
        <v>1107976.5048192996</v>
      </c>
      <c r="K1368">
        <f>VLOOKUP(F1368,'LEAID Match'!$A$2:$C$2979,3,FALSE)</f>
        <v>0</v>
      </c>
    </row>
    <row r="1369" spans="1:11" x14ac:dyDescent="0.2">
      <c r="A1369">
        <v>0</v>
      </c>
      <c r="B1369">
        <v>2019</v>
      </c>
      <c r="C1369" t="s">
        <v>6</v>
      </c>
      <c r="D1369" t="s">
        <v>7</v>
      </c>
      <c r="E1369" t="s">
        <v>8</v>
      </c>
      <c r="F1369">
        <v>5404</v>
      </c>
      <c r="G1369" t="s">
        <v>28</v>
      </c>
      <c r="H1369" s="20">
        <v>8258</v>
      </c>
      <c r="I1369" s="1">
        <v>1291654.7575165168</v>
      </c>
      <c r="J1369" s="1">
        <v>1299912.7575165168</v>
      </c>
      <c r="K1369">
        <f>VLOOKUP(F1369,'LEAID Match'!$A$2:$C$2979,3,FALSE)</f>
        <v>0</v>
      </c>
    </row>
    <row r="1370" spans="1:11" x14ac:dyDescent="0.2">
      <c r="A1370">
        <v>0</v>
      </c>
      <c r="B1370">
        <v>2019</v>
      </c>
      <c r="C1370" t="s">
        <v>6</v>
      </c>
      <c r="D1370" t="s">
        <v>7</v>
      </c>
      <c r="E1370" t="s">
        <v>8</v>
      </c>
      <c r="F1370">
        <v>5406</v>
      </c>
      <c r="G1370" t="s">
        <v>29</v>
      </c>
      <c r="H1370" s="1">
        <v>70033</v>
      </c>
      <c r="I1370" s="1">
        <v>12523640.420498274</v>
      </c>
      <c r="J1370" s="1">
        <v>12593673.420498274</v>
      </c>
      <c r="K1370">
        <f>VLOOKUP(F1370,'LEAID Match'!$A$2:$C$2979,3,FALSE)</f>
        <v>0</v>
      </c>
    </row>
    <row r="1371" spans="1:11" x14ac:dyDescent="0.2">
      <c r="A1371">
        <v>2000046</v>
      </c>
      <c r="B1371">
        <v>2019</v>
      </c>
      <c r="C1371" t="s">
        <v>6</v>
      </c>
      <c r="D1371" t="s">
        <v>7</v>
      </c>
      <c r="E1371" t="s">
        <v>8</v>
      </c>
      <c r="F1371">
        <v>5596</v>
      </c>
      <c r="G1371" s="9" t="s">
        <v>30</v>
      </c>
      <c r="H1371" s="1">
        <v>83347</v>
      </c>
      <c r="I1371" s="1">
        <v>1091670.4129502028</v>
      </c>
      <c r="J1371" s="1">
        <v>1175017.4129502028</v>
      </c>
      <c r="K1371">
        <f>VLOOKUP(F1371,'LEAID Match'!$A$2:$C$2979,3,FALSE)</f>
        <v>2000046</v>
      </c>
    </row>
    <row r="1372" spans="1:11" x14ac:dyDescent="0.2">
      <c r="A1372">
        <v>0</v>
      </c>
      <c r="B1372">
        <v>2019</v>
      </c>
      <c r="C1372" t="s">
        <v>6</v>
      </c>
      <c r="D1372" t="s">
        <v>7</v>
      </c>
      <c r="E1372" t="s">
        <v>8</v>
      </c>
      <c r="F1372" s="3">
        <v>5600</v>
      </c>
      <c r="G1372" s="3" t="s">
        <v>31</v>
      </c>
      <c r="H1372" s="22">
        <v>82485</v>
      </c>
      <c r="I1372" s="1">
        <v>1272518.9639696407</v>
      </c>
      <c r="J1372" s="1">
        <v>1355003.9639696407</v>
      </c>
      <c r="K1372">
        <f>VLOOKUP(F1372,'LEAID Match'!$A$2:$C$2979,3,FALSE)</f>
        <v>0</v>
      </c>
    </row>
    <row r="1373" spans="1:11" x14ac:dyDescent="0.2">
      <c r="A1373">
        <v>2000048</v>
      </c>
      <c r="B1373">
        <v>2019</v>
      </c>
      <c r="C1373" t="s">
        <v>6</v>
      </c>
      <c r="D1373" t="s">
        <v>7</v>
      </c>
      <c r="E1373" t="s">
        <v>8</v>
      </c>
      <c r="F1373" s="3">
        <v>5604</v>
      </c>
      <c r="G1373" s="3" t="s">
        <v>32</v>
      </c>
      <c r="H1373" s="1">
        <v>59406</v>
      </c>
      <c r="I1373" s="21">
        <v>1167966.3429762258</v>
      </c>
      <c r="J1373" s="21">
        <v>1227372.3429762258</v>
      </c>
      <c r="K1373">
        <f>VLOOKUP(F1373,'LEAID Match'!$A$2:$C$2979,3,FALSE)</f>
        <v>2000048</v>
      </c>
    </row>
    <row r="1374" spans="1:11" x14ac:dyDescent="0.2">
      <c r="A1374">
        <v>2000035</v>
      </c>
      <c r="B1374">
        <v>2019</v>
      </c>
      <c r="C1374" t="s">
        <v>6</v>
      </c>
      <c r="D1374" t="s">
        <v>7</v>
      </c>
      <c r="E1374" t="s">
        <v>8</v>
      </c>
      <c r="F1374" s="3">
        <v>5608</v>
      </c>
      <c r="G1374" s="3" t="s">
        <v>33</v>
      </c>
      <c r="H1374" s="1">
        <v>14809</v>
      </c>
      <c r="I1374" s="1">
        <v>1098009.8135540485</v>
      </c>
      <c r="J1374" s="1">
        <v>1112818.8135540485</v>
      </c>
      <c r="K1374">
        <f>VLOOKUP(F1374,'LEAID Match'!$A$2:$C$2979,3,FALSE)</f>
        <v>2000035</v>
      </c>
    </row>
    <row r="1375" spans="1:11" x14ac:dyDescent="0.2">
      <c r="A1375">
        <v>2000039</v>
      </c>
      <c r="B1375">
        <v>2019</v>
      </c>
      <c r="C1375" t="s">
        <v>6</v>
      </c>
      <c r="D1375" t="s">
        <v>7</v>
      </c>
      <c r="E1375" t="s">
        <v>8</v>
      </c>
      <c r="F1375">
        <v>5609</v>
      </c>
      <c r="G1375" t="s">
        <v>34</v>
      </c>
      <c r="H1375" s="1">
        <v>59794</v>
      </c>
      <c r="I1375" s="1">
        <v>1196551.687768026</v>
      </c>
      <c r="J1375" s="1">
        <v>1256345.687768026</v>
      </c>
      <c r="K1375">
        <f>VLOOKUP(F1375,'LEAID Match'!$A$2:$C$2979,3,FALSE)</f>
        <v>2000039</v>
      </c>
    </row>
    <row r="1376" spans="1:11" x14ac:dyDescent="0.2">
      <c r="A1376">
        <v>2000041</v>
      </c>
      <c r="B1376">
        <v>2019</v>
      </c>
      <c r="C1376" t="s">
        <v>6</v>
      </c>
      <c r="D1376" t="s">
        <v>7</v>
      </c>
      <c r="E1376" t="s">
        <v>8</v>
      </c>
      <c r="F1376">
        <v>5612</v>
      </c>
      <c r="G1376" t="s">
        <v>35</v>
      </c>
      <c r="H1376" s="1">
        <v>96575</v>
      </c>
      <c r="I1376" s="1">
        <v>2470438.032557569</v>
      </c>
      <c r="J1376" s="1">
        <v>2567013.032557569</v>
      </c>
      <c r="K1376">
        <f>VLOOKUP(F1376,'LEAID Match'!$A$2:$C$2979,3,FALSE)</f>
        <v>2000041</v>
      </c>
    </row>
    <row r="1377" spans="1:11" x14ac:dyDescent="0.2">
      <c r="A1377">
        <v>0</v>
      </c>
      <c r="B1377">
        <v>2019</v>
      </c>
      <c r="C1377" t="s">
        <v>6</v>
      </c>
      <c r="D1377" t="s">
        <v>7</v>
      </c>
      <c r="E1377" t="s">
        <v>8</v>
      </c>
      <c r="F1377">
        <v>5624</v>
      </c>
      <c r="G1377" t="s">
        <v>36</v>
      </c>
      <c r="H1377" s="1">
        <v>36784</v>
      </c>
      <c r="I1377" s="1">
        <v>881089.24392623524</v>
      </c>
      <c r="J1377" s="1">
        <v>917873.24392623524</v>
      </c>
      <c r="K1377">
        <f>VLOOKUP(F1377,'LEAID Match'!$A$2:$C$2979,3,FALSE)</f>
        <v>0</v>
      </c>
    </row>
    <row r="1378" spans="1:11" x14ac:dyDescent="0.2">
      <c r="A1378">
        <v>2000044</v>
      </c>
      <c r="B1378">
        <v>2019</v>
      </c>
      <c r="C1378" t="s">
        <v>6</v>
      </c>
      <c r="D1378" t="s">
        <v>7</v>
      </c>
      <c r="E1378" t="s">
        <v>8</v>
      </c>
      <c r="F1378">
        <v>5626</v>
      </c>
      <c r="G1378" t="s">
        <v>37</v>
      </c>
      <c r="H1378" s="20">
        <v>43060</v>
      </c>
      <c r="I1378" s="1">
        <v>1023673.7457836733</v>
      </c>
      <c r="J1378" s="1">
        <v>1066733.7457836731</v>
      </c>
      <c r="K1378">
        <f>VLOOKUP(F1378,'LEAID Match'!$A$2:$C$2979,3,FALSE)</f>
        <v>2000044</v>
      </c>
    </row>
    <row r="1379" spans="1:11" x14ac:dyDescent="0.2">
      <c r="A1379">
        <v>2000047</v>
      </c>
      <c r="B1379">
        <v>2019</v>
      </c>
      <c r="C1379" t="s">
        <v>6</v>
      </c>
      <c r="D1379" t="s">
        <v>7</v>
      </c>
      <c r="E1379" t="s">
        <v>8</v>
      </c>
      <c r="F1379">
        <v>5634</v>
      </c>
      <c r="G1379" t="s">
        <v>38</v>
      </c>
      <c r="H1379" s="1">
        <v>75151</v>
      </c>
      <c r="I1379" s="1">
        <v>1495533.1976261684</v>
      </c>
      <c r="J1379" s="1">
        <v>1570684.1976261684</v>
      </c>
      <c r="K1379">
        <f>VLOOKUP(F1379,'LEAID Match'!$A$2:$C$2979,3,FALSE)</f>
        <v>2000047</v>
      </c>
    </row>
    <row r="1380" spans="1:11" x14ac:dyDescent="0.2">
      <c r="A1380">
        <v>2000051</v>
      </c>
      <c r="B1380">
        <v>2019</v>
      </c>
      <c r="C1380" t="s">
        <v>6</v>
      </c>
      <c r="D1380" t="s">
        <v>7</v>
      </c>
      <c r="E1380" t="s">
        <v>8</v>
      </c>
      <c r="F1380">
        <v>5638</v>
      </c>
      <c r="G1380" s="9" t="s">
        <v>39</v>
      </c>
      <c r="H1380" s="1">
        <v>37186</v>
      </c>
      <c r="I1380" s="1">
        <v>786792.73287526111</v>
      </c>
      <c r="J1380" s="1">
        <v>823978.73287526111</v>
      </c>
      <c r="K1380">
        <f>VLOOKUP(F1380,'LEAID Match'!$A$2:$C$2979,3,FALSE)</f>
        <v>2000051</v>
      </c>
    </row>
    <row r="1381" spans="1:11" x14ac:dyDescent="0.2">
      <c r="A1381">
        <v>2000033</v>
      </c>
      <c r="B1381">
        <v>2019</v>
      </c>
      <c r="C1381" t="s">
        <v>6</v>
      </c>
      <c r="D1381" t="s">
        <v>7</v>
      </c>
      <c r="E1381" t="s">
        <v>8</v>
      </c>
      <c r="F1381" s="3">
        <v>5655</v>
      </c>
      <c r="G1381" s="3" t="s">
        <v>40</v>
      </c>
      <c r="H1381" s="22"/>
      <c r="I1381" s="1">
        <v>353759.6599035018</v>
      </c>
      <c r="J1381" s="1">
        <v>353759.6599035018</v>
      </c>
      <c r="K1381">
        <f>VLOOKUP(F1381,'LEAID Match'!$A$2:$C$2979,3,FALSE)</f>
        <v>2000033</v>
      </c>
    </row>
    <row r="1382" spans="1:11" x14ac:dyDescent="0.2">
      <c r="A1382">
        <v>2000037</v>
      </c>
      <c r="B1382">
        <v>2019</v>
      </c>
      <c r="C1382" t="s">
        <v>6</v>
      </c>
      <c r="D1382" t="s">
        <v>7</v>
      </c>
      <c r="E1382" t="s">
        <v>8</v>
      </c>
      <c r="F1382" s="3">
        <v>5657</v>
      </c>
      <c r="G1382" s="3" t="s">
        <v>41</v>
      </c>
      <c r="H1382" s="1">
        <v>1286</v>
      </c>
      <c r="I1382" s="21">
        <v>195380.17585189204</v>
      </c>
      <c r="J1382" s="21">
        <v>196666.17585189204</v>
      </c>
      <c r="K1382">
        <f>VLOOKUP(F1382,'LEAID Match'!$A$2:$C$2979,3,FALSE)</f>
        <v>2000037</v>
      </c>
    </row>
    <row r="1383" spans="1:11" x14ac:dyDescent="0.2">
      <c r="A1383">
        <v>2000040</v>
      </c>
      <c r="B1383">
        <v>2019</v>
      </c>
      <c r="C1383" t="s">
        <v>6</v>
      </c>
      <c r="D1383" t="s">
        <v>7</v>
      </c>
      <c r="E1383" t="s">
        <v>8</v>
      </c>
      <c r="F1383" s="3">
        <v>5671</v>
      </c>
      <c r="G1383" s="3" t="s">
        <v>42</v>
      </c>
      <c r="H1383" s="1">
        <v>25099</v>
      </c>
      <c r="I1383" s="1">
        <v>473986.65618304844</v>
      </c>
      <c r="J1383" s="1">
        <v>499085.65618304844</v>
      </c>
      <c r="K1383">
        <f>VLOOKUP(F1383,'LEAID Match'!$A$2:$C$2979,3,FALSE)</f>
        <v>2000040</v>
      </c>
    </row>
    <row r="1384" spans="1:11" x14ac:dyDescent="0.2">
      <c r="A1384">
        <v>2093310</v>
      </c>
      <c r="B1384">
        <v>2019</v>
      </c>
      <c r="C1384" t="s">
        <v>6</v>
      </c>
      <c r="D1384" t="s">
        <v>7</v>
      </c>
      <c r="E1384" t="s">
        <v>8</v>
      </c>
      <c r="F1384">
        <v>5682</v>
      </c>
      <c r="G1384" t="s">
        <v>43</v>
      </c>
      <c r="H1384" s="1">
        <v>130055</v>
      </c>
      <c r="I1384" s="1">
        <v>3371229.9224984678</v>
      </c>
      <c r="J1384" s="1">
        <v>3501284.9224984678</v>
      </c>
      <c r="K1384">
        <f>VLOOKUP(F1384,'LEAID Match'!$A$2:$C$2979,3,FALSE)</f>
        <v>2093310</v>
      </c>
    </row>
    <row r="1385" spans="1:11" x14ac:dyDescent="0.2">
      <c r="A1385">
        <v>2000043</v>
      </c>
      <c r="B1385">
        <v>2019</v>
      </c>
      <c r="C1385" t="s">
        <v>6</v>
      </c>
      <c r="D1385" t="s">
        <v>7</v>
      </c>
      <c r="E1385" t="s">
        <v>8</v>
      </c>
      <c r="F1385">
        <v>5688</v>
      </c>
      <c r="G1385" t="s">
        <v>44</v>
      </c>
      <c r="H1385" s="1">
        <v>4984</v>
      </c>
      <c r="I1385" s="1">
        <v>379744.41824069223</v>
      </c>
      <c r="J1385" s="1">
        <v>384728.41824069223</v>
      </c>
      <c r="K1385">
        <f>VLOOKUP(F1385,'LEAID Match'!$A$2:$C$2979,3,FALSE)</f>
        <v>2000043</v>
      </c>
    </row>
    <row r="1386" spans="1:11" x14ac:dyDescent="0.2">
      <c r="A1386">
        <v>2000045</v>
      </c>
      <c r="B1386">
        <v>2019</v>
      </c>
      <c r="C1386" t="s">
        <v>6</v>
      </c>
      <c r="D1386" t="s">
        <v>7</v>
      </c>
      <c r="E1386" t="s">
        <v>8</v>
      </c>
      <c r="F1386">
        <v>9034</v>
      </c>
      <c r="G1386" t="s">
        <v>45</v>
      </c>
      <c r="H1386" s="1">
        <v>53007</v>
      </c>
      <c r="I1386" s="1">
        <v>704636.81470485067</v>
      </c>
      <c r="J1386" s="1">
        <v>757643.81470485067</v>
      </c>
      <c r="K1386">
        <f>VLOOKUP(F1386,'LEAID Match'!$A$2:$C$2979,3,FALSE)</f>
        <v>2000045</v>
      </c>
    </row>
    <row r="1387" spans="1:11" x14ac:dyDescent="0.2">
      <c r="A1387">
        <v>0</v>
      </c>
      <c r="B1387">
        <v>2019</v>
      </c>
      <c r="C1387" t="s">
        <v>6</v>
      </c>
      <c r="D1387" t="s">
        <v>7</v>
      </c>
      <c r="E1387" t="s">
        <v>8</v>
      </c>
      <c r="F1387">
        <v>9042</v>
      </c>
      <c r="G1387" t="s">
        <v>46</v>
      </c>
      <c r="H1387" s="20">
        <v>11258</v>
      </c>
      <c r="I1387" s="1">
        <v>459316.33340634848</v>
      </c>
      <c r="J1387" s="1">
        <v>470574.33340634848</v>
      </c>
      <c r="K1387">
        <f>VLOOKUP(F1387,'LEAID Match'!$A$2:$C$2979,3,FALSE)</f>
        <v>0</v>
      </c>
    </row>
    <row r="1388" spans="1:11" x14ac:dyDescent="0.2">
      <c r="A1388">
        <v>2000347</v>
      </c>
      <c r="B1388">
        <v>2019</v>
      </c>
      <c r="C1388" t="s">
        <v>6</v>
      </c>
      <c r="D1388" t="s">
        <v>7</v>
      </c>
      <c r="E1388" t="s">
        <v>8</v>
      </c>
      <c r="F1388">
        <v>9047</v>
      </c>
      <c r="G1388" t="s">
        <v>47</v>
      </c>
      <c r="H1388" s="1">
        <v>25550</v>
      </c>
      <c r="I1388" s="1">
        <v>396617.32467547042</v>
      </c>
      <c r="J1388" s="1">
        <v>422167.32467547042</v>
      </c>
      <c r="K1388">
        <f>VLOOKUP(F1388,'LEAID Match'!$A$2:$C$2979,3,FALSE)</f>
        <v>2000347</v>
      </c>
    </row>
    <row r="1389" spans="1:11" x14ac:dyDescent="0.2">
      <c r="A1389">
        <v>0</v>
      </c>
      <c r="B1389">
        <v>2019</v>
      </c>
      <c r="C1389" t="s">
        <v>6</v>
      </c>
      <c r="D1389" t="s">
        <v>7</v>
      </c>
      <c r="E1389" t="s">
        <v>8</v>
      </c>
      <c r="F1389">
        <v>9053</v>
      </c>
      <c r="G1389" s="9" t="s">
        <v>48</v>
      </c>
      <c r="H1389" s="1"/>
      <c r="I1389" s="1">
        <v>22363.535923293311</v>
      </c>
      <c r="J1389" s="1">
        <v>22363.535923293311</v>
      </c>
      <c r="K1389">
        <f>VLOOKUP(F1389,'LEAID Match'!$A$2:$C$2979,3,FALSE)</f>
        <v>0</v>
      </c>
    </row>
    <row r="1390" spans="1:11" x14ac:dyDescent="0.2">
      <c r="A1390">
        <v>2000049</v>
      </c>
      <c r="B1390">
        <v>2019</v>
      </c>
      <c r="C1390" t="s">
        <v>6</v>
      </c>
      <c r="D1390" t="s">
        <v>7</v>
      </c>
      <c r="E1390" t="s">
        <v>8</v>
      </c>
      <c r="F1390" s="3">
        <v>9055</v>
      </c>
      <c r="G1390" s="3" t="s">
        <v>49</v>
      </c>
      <c r="H1390" s="22">
        <v>54225</v>
      </c>
      <c r="I1390" s="1">
        <v>443259.03118718998</v>
      </c>
      <c r="J1390" s="1">
        <v>497484.03118718998</v>
      </c>
      <c r="K1390">
        <f>VLOOKUP(F1390,'LEAID Match'!$A$2:$C$2979,3,FALSE)</f>
        <v>2000049</v>
      </c>
    </row>
    <row r="1391" spans="1:11" x14ac:dyDescent="0.2">
      <c r="A1391" t="s">
        <v>371</v>
      </c>
      <c r="B1391">
        <v>2019</v>
      </c>
      <c r="C1391" t="s">
        <v>6</v>
      </c>
      <c r="D1391" t="s">
        <v>7</v>
      </c>
      <c r="E1391" t="s">
        <v>8</v>
      </c>
      <c r="F1391" s="3">
        <v>9056</v>
      </c>
      <c r="G1391" s="3" t="s">
        <v>50</v>
      </c>
      <c r="H1391" s="1"/>
      <c r="I1391" s="21">
        <v>372399.45754106401</v>
      </c>
      <c r="J1391" s="21">
        <v>372399.45754106401</v>
      </c>
      <c r="K1391" t="str">
        <f>VLOOKUP(F1391,'LEAID Match'!$A$2:$C$2979,3,FALSE)</f>
        <v>20D0001</v>
      </c>
    </row>
    <row r="1392" spans="1:11" x14ac:dyDescent="0.2">
      <c r="A1392">
        <v>0</v>
      </c>
      <c r="B1392">
        <v>2019</v>
      </c>
      <c r="C1392" t="s">
        <v>6</v>
      </c>
      <c r="D1392" t="s">
        <v>7</v>
      </c>
      <c r="E1392" t="s">
        <v>8</v>
      </c>
      <c r="F1392" s="3">
        <v>9273</v>
      </c>
      <c r="G1392" s="3" t="s">
        <v>51</v>
      </c>
      <c r="H1392" s="1">
        <v>1541</v>
      </c>
      <c r="I1392" s="1">
        <v>746035.13588953682</v>
      </c>
      <c r="J1392" s="1">
        <v>747576.13588953682</v>
      </c>
      <c r="K1392">
        <f>VLOOKUP(F1392,'LEAID Match'!$A$2:$C$2979,3,FALSE)</f>
        <v>0</v>
      </c>
    </row>
    <row r="1393" spans="1:11" x14ac:dyDescent="0.2">
      <c r="A1393">
        <v>2000034</v>
      </c>
      <c r="B1393">
        <v>2019</v>
      </c>
      <c r="C1393" t="s">
        <v>6</v>
      </c>
      <c r="D1393" t="s">
        <v>7</v>
      </c>
      <c r="E1393" t="s">
        <v>8</v>
      </c>
      <c r="F1393">
        <v>9274</v>
      </c>
      <c r="G1393" t="s">
        <v>52</v>
      </c>
      <c r="H1393" s="1">
        <v>37268</v>
      </c>
      <c r="I1393" s="1">
        <v>2030266.5382161997</v>
      </c>
      <c r="J1393" s="1">
        <v>2067534.5382161997</v>
      </c>
      <c r="K1393">
        <f>VLOOKUP(F1393,'LEAID Match'!$A$2:$C$2979,3,FALSE)</f>
        <v>2000034</v>
      </c>
    </row>
    <row r="1394" spans="1:11" x14ac:dyDescent="0.2">
      <c r="A1394">
        <v>0</v>
      </c>
      <c r="B1394">
        <v>2019</v>
      </c>
      <c r="C1394" t="s">
        <v>6</v>
      </c>
      <c r="D1394" t="s">
        <v>7</v>
      </c>
      <c r="E1394" t="s">
        <v>8</v>
      </c>
      <c r="F1394">
        <v>9303</v>
      </c>
      <c r="G1394" t="s">
        <v>363</v>
      </c>
      <c r="H1394" s="1">
        <v>2658</v>
      </c>
      <c r="I1394" s="1">
        <v>1410283.7122645353</v>
      </c>
      <c r="J1394" s="1">
        <v>1412941.7122645353</v>
      </c>
      <c r="K1394">
        <f>VLOOKUP(F1394,'LEAID Match'!$A$2:$C$2979,3,FALSE)</f>
        <v>0</v>
      </c>
    </row>
    <row r="1395" spans="1:11" x14ac:dyDescent="0.2">
      <c r="A1395">
        <v>0</v>
      </c>
      <c r="B1395">
        <v>2019</v>
      </c>
      <c r="C1395" t="s">
        <v>6</v>
      </c>
      <c r="D1395" t="s">
        <v>7</v>
      </c>
      <c r="E1395" t="s">
        <v>8</v>
      </c>
      <c r="F1395">
        <v>9304</v>
      </c>
      <c r="G1395" t="s">
        <v>54</v>
      </c>
      <c r="H1395" s="1"/>
      <c r="I1395" s="1">
        <v>475602.78875078273</v>
      </c>
      <c r="J1395" s="1">
        <v>475602.78875078273</v>
      </c>
      <c r="K1395">
        <f>VLOOKUP(F1395,'LEAID Match'!$A$2:$C$2979,3,FALSE)</f>
        <v>0</v>
      </c>
    </row>
    <row r="1396" spans="1:11" x14ac:dyDescent="0.2">
      <c r="A1396">
        <v>0</v>
      </c>
      <c r="B1396">
        <v>2019</v>
      </c>
      <c r="C1396" t="s">
        <v>6</v>
      </c>
      <c r="D1396" t="s">
        <v>7</v>
      </c>
      <c r="E1396" t="s">
        <v>8</v>
      </c>
      <c r="F1396">
        <v>9305</v>
      </c>
      <c r="G1396" t="s">
        <v>55</v>
      </c>
      <c r="H1396" s="20">
        <v>20663</v>
      </c>
      <c r="I1396" s="1">
        <v>551520.3146028308</v>
      </c>
      <c r="J1396" s="1">
        <v>572183.3146028308</v>
      </c>
      <c r="K1396">
        <f>VLOOKUP(F1396,'LEAID Match'!$A$2:$C$2979,3,FALSE)</f>
        <v>0</v>
      </c>
    </row>
    <row r="1397" spans="1:11" x14ac:dyDescent="0.2">
      <c r="A1397">
        <v>0</v>
      </c>
      <c r="B1397">
        <v>2019</v>
      </c>
      <c r="C1397" t="s">
        <v>6</v>
      </c>
      <c r="D1397" t="s">
        <v>7</v>
      </c>
      <c r="E1397" t="s">
        <v>8</v>
      </c>
      <c r="F1397">
        <v>9395</v>
      </c>
      <c r="G1397" t="s">
        <v>56</v>
      </c>
      <c r="H1397" s="1">
        <v>3303</v>
      </c>
      <c r="I1397" s="1">
        <v>340832.10694797797</v>
      </c>
      <c r="J1397" s="1">
        <v>344135.10694797797</v>
      </c>
      <c r="K1397">
        <f>VLOOKUP(F1397,'LEAID Match'!$A$2:$C$2979,3,FALSE)</f>
        <v>0</v>
      </c>
    </row>
    <row r="1398" spans="1:11" x14ac:dyDescent="0.2">
      <c r="A1398">
        <v>0</v>
      </c>
      <c r="B1398">
        <v>2019</v>
      </c>
      <c r="C1398" t="s">
        <v>6</v>
      </c>
      <c r="D1398" t="s">
        <v>7</v>
      </c>
      <c r="E1398" t="s">
        <v>8</v>
      </c>
      <c r="F1398">
        <v>9487</v>
      </c>
      <c r="G1398" s="9" t="s">
        <v>57</v>
      </c>
      <c r="H1398" s="1">
        <v>12660</v>
      </c>
      <c r="I1398" s="1">
        <v>34784.539865049657</v>
      </c>
      <c r="J1398" s="1">
        <v>47444.539865049657</v>
      </c>
      <c r="K1398">
        <f>VLOOKUP(F1398,'LEAID Match'!$A$2:$C$2979,3,FALSE)</f>
        <v>0</v>
      </c>
    </row>
    <row r="1399" spans="1:11" x14ac:dyDescent="0.2">
      <c r="A1399">
        <v>2000354</v>
      </c>
      <c r="B1399">
        <v>2019</v>
      </c>
      <c r="C1399" t="s">
        <v>6</v>
      </c>
      <c r="D1399" t="s">
        <v>7</v>
      </c>
      <c r="E1399" t="s">
        <v>8</v>
      </c>
      <c r="F1399" s="3">
        <v>9507</v>
      </c>
      <c r="G1399" s="3" t="s">
        <v>58</v>
      </c>
      <c r="H1399" s="22">
        <v>59117</v>
      </c>
      <c r="I1399" s="1">
        <v>1887814.7039576054</v>
      </c>
      <c r="J1399" s="1">
        <v>1946931.7039576054</v>
      </c>
      <c r="K1399">
        <f>VLOOKUP(F1399,'LEAID Match'!$A$2:$C$2979,3,FALSE)</f>
        <v>2000354</v>
      </c>
    </row>
    <row r="1400" spans="1:11" x14ac:dyDescent="0.2">
      <c r="A1400">
        <v>2012360</v>
      </c>
      <c r="B1400">
        <v>2019</v>
      </c>
      <c r="C1400" t="s">
        <v>6</v>
      </c>
      <c r="D1400" t="s">
        <v>7</v>
      </c>
      <c r="E1400" t="s">
        <v>8</v>
      </c>
      <c r="F1400" s="3">
        <v>4828</v>
      </c>
      <c r="G1400" s="3" t="s">
        <v>59</v>
      </c>
      <c r="H1400" s="1">
        <v>3297349</v>
      </c>
      <c r="I1400" s="21">
        <v>0</v>
      </c>
      <c r="J1400" s="21">
        <v>3297349</v>
      </c>
      <c r="K1400">
        <f>VLOOKUP(F1400,'LEAID Match'!$A$2:$C$2979,3,FALSE)</f>
        <v>2012360</v>
      </c>
    </row>
    <row r="1401" spans="1:11" x14ac:dyDescent="0.2">
      <c r="A1401">
        <v>2010680</v>
      </c>
      <c r="B1401">
        <v>2019</v>
      </c>
      <c r="C1401" t="s">
        <v>6</v>
      </c>
      <c r="D1401" t="s">
        <v>7</v>
      </c>
      <c r="E1401" t="s">
        <v>8</v>
      </c>
      <c r="F1401" s="3">
        <v>4829</v>
      </c>
      <c r="G1401" s="3" t="s">
        <v>60</v>
      </c>
      <c r="H1401" s="1">
        <v>1608601</v>
      </c>
      <c r="I1401" s="1">
        <v>0</v>
      </c>
      <c r="J1401" s="1">
        <v>1608601</v>
      </c>
      <c r="K1401">
        <f>VLOOKUP(F1401,'LEAID Match'!$A$2:$C$2979,3,FALSE)</f>
        <v>2010680</v>
      </c>
    </row>
    <row r="1402" spans="1:11" x14ac:dyDescent="0.2">
      <c r="A1402">
        <v>2008550</v>
      </c>
      <c r="B1402">
        <v>2019</v>
      </c>
      <c r="C1402" t="s">
        <v>6</v>
      </c>
      <c r="D1402" t="s">
        <v>7</v>
      </c>
      <c r="E1402" t="s">
        <v>8</v>
      </c>
      <c r="F1402">
        <v>4871</v>
      </c>
      <c r="G1402" t="s">
        <v>61</v>
      </c>
      <c r="H1402" s="1">
        <v>456320</v>
      </c>
      <c r="I1402" s="1">
        <v>0</v>
      </c>
      <c r="J1402" s="1">
        <v>456320</v>
      </c>
      <c r="K1402">
        <f>VLOOKUP(F1402,'LEAID Match'!$A$2:$C$2979,3,FALSE)</f>
        <v>2008550</v>
      </c>
    </row>
    <row r="1403" spans="1:11" x14ac:dyDescent="0.2">
      <c r="A1403">
        <v>2004050</v>
      </c>
      <c r="B1403">
        <v>2019</v>
      </c>
      <c r="C1403" t="s">
        <v>6</v>
      </c>
      <c r="D1403" t="s">
        <v>7</v>
      </c>
      <c r="E1403" t="s">
        <v>8</v>
      </c>
      <c r="F1403">
        <v>4882</v>
      </c>
      <c r="G1403" t="s">
        <v>62</v>
      </c>
      <c r="H1403" s="1">
        <v>2525381</v>
      </c>
      <c r="I1403" s="1">
        <v>0</v>
      </c>
      <c r="J1403" s="1">
        <v>2525381</v>
      </c>
      <c r="K1403">
        <f>VLOOKUP(F1403,'LEAID Match'!$A$2:$C$2979,3,FALSE)</f>
        <v>2004050</v>
      </c>
    </row>
    <row r="1404" spans="1:11" x14ac:dyDescent="0.2">
      <c r="A1404">
        <v>2006240</v>
      </c>
      <c r="B1404">
        <v>2019</v>
      </c>
      <c r="C1404" t="s">
        <v>6</v>
      </c>
      <c r="D1404" t="s">
        <v>7</v>
      </c>
      <c r="E1404" t="s">
        <v>8</v>
      </c>
      <c r="F1404">
        <v>4912</v>
      </c>
      <c r="G1404" t="s">
        <v>63</v>
      </c>
      <c r="H1404" s="1">
        <v>465239</v>
      </c>
      <c r="I1404" s="1">
        <v>0</v>
      </c>
      <c r="J1404" s="1">
        <v>465239</v>
      </c>
      <c r="K1404">
        <f>VLOOKUP(F1404,'LEAID Match'!$A$2:$C$2979,3,FALSE)</f>
        <v>2006240</v>
      </c>
    </row>
    <row r="1405" spans="1:11" x14ac:dyDescent="0.2">
      <c r="A1405">
        <v>2009720</v>
      </c>
      <c r="B1405">
        <v>2019</v>
      </c>
      <c r="C1405" t="s">
        <v>6</v>
      </c>
      <c r="D1405" t="s">
        <v>7</v>
      </c>
      <c r="E1405" t="s">
        <v>8</v>
      </c>
      <c r="F1405">
        <v>4977</v>
      </c>
      <c r="G1405" t="s">
        <v>64</v>
      </c>
      <c r="H1405" s="20">
        <v>219307</v>
      </c>
      <c r="I1405" s="1">
        <v>0</v>
      </c>
      <c r="J1405" s="1">
        <v>219307</v>
      </c>
      <c r="K1405">
        <f>VLOOKUP(F1405,'LEAID Match'!$A$2:$C$2979,3,FALSE)</f>
        <v>2009720</v>
      </c>
    </row>
    <row r="1406" spans="1:11" x14ac:dyDescent="0.2">
      <c r="A1406">
        <v>2010140</v>
      </c>
      <c r="B1406">
        <v>2019</v>
      </c>
      <c r="C1406" t="s">
        <v>6</v>
      </c>
      <c r="D1406" t="s">
        <v>7</v>
      </c>
      <c r="E1406" t="s">
        <v>8</v>
      </c>
      <c r="F1406">
        <v>4978</v>
      </c>
      <c r="G1406" t="s">
        <v>65</v>
      </c>
      <c r="H1406" s="1">
        <v>28650545</v>
      </c>
      <c r="I1406" s="1">
        <v>0</v>
      </c>
      <c r="J1406" s="1">
        <v>28650545</v>
      </c>
      <c r="K1406">
        <f>VLOOKUP(F1406,'LEAID Match'!$A$2:$C$2979,3,FALSE)</f>
        <v>2010140</v>
      </c>
    </row>
    <row r="1407" spans="1:11" x14ac:dyDescent="0.2">
      <c r="A1407">
        <v>2012900</v>
      </c>
      <c r="B1407">
        <v>2019</v>
      </c>
      <c r="C1407" t="s">
        <v>6</v>
      </c>
      <c r="D1407" t="s">
        <v>7</v>
      </c>
      <c r="E1407" t="s">
        <v>8</v>
      </c>
      <c r="F1407">
        <v>4979</v>
      </c>
      <c r="G1407" s="9" t="s">
        <v>66</v>
      </c>
      <c r="H1407" s="1">
        <v>102476</v>
      </c>
      <c r="I1407" s="1">
        <v>0</v>
      </c>
      <c r="J1407" s="1">
        <v>102476</v>
      </c>
      <c r="K1407">
        <f>VLOOKUP(F1407,'LEAID Match'!$A$2:$C$2979,3,FALSE)</f>
        <v>2012900</v>
      </c>
    </row>
    <row r="1408" spans="1:11" x14ac:dyDescent="0.2">
      <c r="A1408">
        <v>2010710</v>
      </c>
      <c r="B1408">
        <v>2019</v>
      </c>
      <c r="C1408" t="s">
        <v>6</v>
      </c>
      <c r="D1408" t="s">
        <v>7</v>
      </c>
      <c r="E1408" t="s">
        <v>8</v>
      </c>
      <c r="F1408" s="3">
        <v>4980</v>
      </c>
      <c r="G1408" s="3" t="s">
        <v>67</v>
      </c>
      <c r="H1408" s="22">
        <v>2298189</v>
      </c>
      <c r="I1408" s="1">
        <v>0</v>
      </c>
      <c r="J1408" s="1">
        <v>2298189</v>
      </c>
      <c r="K1408">
        <f>VLOOKUP(F1408,'LEAID Match'!$A$2:$C$2979,3,FALSE)</f>
        <v>2010710</v>
      </c>
    </row>
    <row r="1409" spans="1:11" x14ac:dyDescent="0.2">
      <c r="A1409">
        <v>2005940</v>
      </c>
      <c r="B1409">
        <v>2019</v>
      </c>
      <c r="C1409" t="s">
        <v>6</v>
      </c>
      <c r="D1409" t="s">
        <v>7</v>
      </c>
      <c r="E1409" t="s">
        <v>8</v>
      </c>
      <c r="F1409" s="3">
        <v>4981</v>
      </c>
      <c r="G1409" s="3" t="s">
        <v>68</v>
      </c>
      <c r="H1409" s="1">
        <v>4903117</v>
      </c>
      <c r="I1409" s="21">
        <v>0</v>
      </c>
      <c r="J1409" s="21">
        <v>4903117</v>
      </c>
      <c r="K1409">
        <f>VLOOKUP(F1409,'LEAID Match'!$A$2:$C$2979,3,FALSE)</f>
        <v>2005940</v>
      </c>
    </row>
    <row r="1410" spans="1:11" x14ac:dyDescent="0.2">
      <c r="A1410">
        <v>2012990</v>
      </c>
      <c r="B1410">
        <v>2019</v>
      </c>
      <c r="C1410" t="s">
        <v>6</v>
      </c>
      <c r="D1410" t="s">
        <v>7</v>
      </c>
      <c r="E1410" t="s">
        <v>8</v>
      </c>
      <c r="F1410" s="3">
        <v>4982</v>
      </c>
      <c r="G1410" s="3" t="s">
        <v>69</v>
      </c>
      <c r="H1410" s="1">
        <v>48108249</v>
      </c>
      <c r="I1410" s="1">
        <v>0</v>
      </c>
      <c r="J1410" s="1">
        <v>48108249</v>
      </c>
      <c r="K1410">
        <f>VLOOKUP(F1410,'LEAID Match'!$A$2:$C$2979,3,FALSE)</f>
        <v>2012990</v>
      </c>
    </row>
    <row r="1411" spans="1:11" x14ac:dyDescent="0.2">
      <c r="A1411">
        <v>2005460</v>
      </c>
      <c r="B1411">
        <v>2019</v>
      </c>
      <c r="C1411" t="s">
        <v>6</v>
      </c>
      <c r="D1411" t="s">
        <v>7</v>
      </c>
      <c r="E1411" t="s">
        <v>8</v>
      </c>
      <c r="F1411">
        <v>4983</v>
      </c>
      <c r="G1411" t="s">
        <v>70</v>
      </c>
      <c r="H1411" s="1">
        <v>6038281</v>
      </c>
      <c r="I1411" s="1">
        <v>0</v>
      </c>
      <c r="J1411" s="1">
        <v>6038281</v>
      </c>
      <c r="K1411">
        <f>VLOOKUP(F1411,'LEAID Match'!$A$2:$C$2979,3,FALSE)</f>
        <v>2005460</v>
      </c>
    </row>
    <row r="1412" spans="1:11" x14ac:dyDescent="0.2">
      <c r="A1412">
        <v>2012510</v>
      </c>
      <c r="B1412">
        <v>2019</v>
      </c>
      <c r="C1412" t="s">
        <v>6</v>
      </c>
      <c r="D1412" t="s">
        <v>7</v>
      </c>
      <c r="E1412" t="s">
        <v>8</v>
      </c>
      <c r="F1412">
        <v>4984</v>
      </c>
      <c r="G1412" t="s">
        <v>71</v>
      </c>
      <c r="H1412" s="1">
        <v>1971383</v>
      </c>
      <c r="I1412" s="1">
        <v>0</v>
      </c>
      <c r="J1412" s="1">
        <v>1971383</v>
      </c>
      <c r="K1412">
        <f>VLOOKUP(F1412,'LEAID Match'!$A$2:$C$2979,3,FALSE)</f>
        <v>2012510</v>
      </c>
    </row>
    <row r="1413" spans="1:11" x14ac:dyDescent="0.2">
      <c r="A1413">
        <v>2006540</v>
      </c>
      <c r="B1413">
        <v>2019</v>
      </c>
      <c r="C1413" t="s">
        <v>6</v>
      </c>
      <c r="D1413" t="s">
        <v>7</v>
      </c>
      <c r="E1413" t="s">
        <v>8</v>
      </c>
      <c r="F1413">
        <v>4985</v>
      </c>
      <c r="G1413" t="s">
        <v>72</v>
      </c>
      <c r="H1413" s="1">
        <v>4032178</v>
      </c>
      <c r="I1413" s="1">
        <v>0</v>
      </c>
      <c r="J1413" s="1">
        <v>4032178</v>
      </c>
      <c r="K1413">
        <f>VLOOKUP(F1413,'LEAID Match'!$A$2:$C$2979,3,FALSE)</f>
        <v>2006540</v>
      </c>
    </row>
    <row r="1414" spans="1:11" x14ac:dyDescent="0.2">
      <c r="A1414">
        <v>2009140</v>
      </c>
      <c r="B1414">
        <v>2019</v>
      </c>
      <c r="C1414" t="s">
        <v>6</v>
      </c>
      <c r="D1414" t="s">
        <v>7</v>
      </c>
      <c r="E1414" t="s">
        <v>8</v>
      </c>
      <c r="F1414">
        <v>4986</v>
      </c>
      <c r="G1414" t="s">
        <v>73</v>
      </c>
      <c r="H1414" s="20">
        <v>4603555</v>
      </c>
      <c r="I1414" s="1">
        <v>0</v>
      </c>
      <c r="J1414" s="1">
        <v>4603555</v>
      </c>
      <c r="K1414">
        <f>VLOOKUP(F1414,'LEAID Match'!$A$2:$C$2979,3,FALSE)</f>
        <v>2009140</v>
      </c>
    </row>
    <row r="1415" spans="1:11" x14ac:dyDescent="0.2">
      <c r="A1415">
        <v>2004670</v>
      </c>
      <c r="B1415">
        <v>2019</v>
      </c>
      <c r="C1415" t="s">
        <v>6</v>
      </c>
      <c r="D1415" t="s">
        <v>7</v>
      </c>
      <c r="E1415" t="s">
        <v>8</v>
      </c>
      <c r="F1415">
        <v>4987</v>
      </c>
      <c r="G1415" t="s">
        <v>74</v>
      </c>
      <c r="H1415" s="1">
        <v>613871</v>
      </c>
      <c r="I1415" s="1">
        <v>0</v>
      </c>
      <c r="J1415" s="1">
        <v>613871</v>
      </c>
      <c r="K1415">
        <f>VLOOKUP(F1415,'LEAID Match'!$A$2:$C$2979,3,FALSE)</f>
        <v>2004670</v>
      </c>
    </row>
    <row r="1416" spans="1:11" x14ac:dyDescent="0.2">
      <c r="A1416">
        <v>2000015</v>
      </c>
      <c r="B1416">
        <v>2019</v>
      </c>
      <c r="C1416" t="s">
        <v>6</v>
      </c>
      <c r="D1416" t="s">
        <v>7</v>
      </c>
      <c r="E1416" t="s">
        <v>8</v>
      </c>
      <c r="F1416">
        <v>4988</v>
      </c>
      <c r="G1416" s="9" t="s">
        <v>75</v>
      </c>
      <c r="H1416" s="1">
        <v>2300020</v>
      </c>
      <c r="I1416" s="1">
        <v>0</v>
      </c>
      <c r="J1416" s="1">
        <v>2300020</v>
      </c>
      <c r="K1416">
        <f>VLOOKUP(F1416,'LEAID Match'!$A$2:$C$2979,3,FALSE)</f>
        <v>2000015</v>
      </c>
    </row>
    <row r="1417" spans="1:11" x14ac:dyDescent="0.2">
      <c r="A1417">
        <v>2004080</v>
      </c>
      <c r="B1417">
        <v>2019</v>
      </c>
      <c r="C1417" t="s">
        <v>6</v>
      </c>
      <c r="D1417" t="s">
        <v>7</v>
      </c>
      <c r="E1417" t="s">
        <v>8</v>
      </c>
      <c r="F1417" s="3">
        <v>4990</v>
      </c>
      <c r="G1417" s="3" t="s">
        <v>76</v>
      </c>
      <c r="H1417" s="22">
        <v>140097</v>
      </c>
      <c r="I1417" s="1">
        <v>0</v>
      </c>
      <c r="J1417" s="1">
        <v>140097</v>
      </c>
      <c r="K1417">
        <f>VLOOKUP(F1417,'LEAID Match'!$A$2:$C$2979,3,FALSE)</f>
        <v>2004080</v>
      </c>
    </row>
    <row r="1418" spans="1:11" x14ac:dyDescent="0.2">
      <c r="A1418">
        <v>2003720</v>
      </c>
      <c r="B1418">
        <v>2019</v>
      </c>
      <c r="C1418" t="s">
        <v>6</v>
      </c>
      <c r="D1418" t="s">
        <v>7</v>
      </c>
      <c r="E1418" t="s">
        <v>8</v>
      </c>
      <c r="F1418" s="3">
        <v>4991</v>
      </c>
      <c r="G1418" s="3" t="s">
        <v>77</v>
      </c>
      <c r="H1418" s="1">
        <v>1025698</v>
      </c>
      <c r="I1418" s="21">
        <v>0</v>
      </c>
      <c r="J1418" s="21">
        <v>1025698</v>
      </c>
      <c r="K1418">
        <f>VLOOKUP(F1418,'LEAID Match'!$A$2:$C$2979,3,FALSE)</f>
        <v>2003720</v>
      </c>
    </row>
    <row r="1419" spans="1:11" x14ac:dyDescent="0.2">
      <c r="A1419">
        <v>2011970</v>
      </c>
      <c r="B1419">
        <v>2019</v>
      </c>
      <c r="C1419" t="s">
        <v>6</v>
      </c>
      <c r="D1419" t="s">
        <v>7</v>
      </c>
      <c r="E1419" t="s">
        <v>8</v>
      </c>
      <c r="F1419" s="3">
        <v>4992</v>
      </c>
      <c r="G1419" s="3" t="s">
        <v>78</v>
      </c>
      <c r="H1419" s="1">
        <v>242469</v>
      </c>
      <c r="I1419" s="1">
        <v>0</v>
      </c>
      <c r="J1419" s="1">
        <v>242469</v>
      </c>
      <c r="K1419">
        <f>VLOOKUP(F1419,'LEAID Match'!$A$2:$C$2979,3,FALSE)</f>
        <v>2011970</v>
      </c>
    </row>
    <row r="1420" spans="1:11" x14ac:dyDescent="0.2">
      <c r="A1420">
        <v>2006580</v>
      </c>
      <c r="B1420">
        <v>2019</v>
      </c>
      <c r="C1420" t="s">
        <v>6</v>
      </c>
      <c r="D1420" t="s">
        <v>7</v>
      </c>
      <c r="E1420" t="s">
        <v>8</v>
      </c>
      <c r="F1420">
        <v>4993</v>
      </c>
      <c r="G1420" t="s">
        <v>79</v>
      </c>
      <c r="H1420" s="1">
        <v>779588</v>
      </c>
      <c r="I1420" s="1">
        <v>0</v>
      </c>
      <c r="J1420" s="1">
        <v>779588</v>
      </c>
      <c r="K1420">
        <f>VLOOKUP(F1420,'LEAID Match'!$A$2:$C$2979,3,FALSE)</f>
        <v>2006580</v>
      </c>
    </row>
    <row r="1421" spans="1:11" x14ac:dyDescent="0.2">
      <c r="A1421">
        <v>2003430</v>
      </c>
      <c r="B1421">
        <v>2019</v>
      </c>
      <c r="C1421" t="s">
        <v>6</v>
      </c>
      <c r="D1421" t="s">
        <v>7</v>
      </c>
      <c r="E1421" t="s">
        <v>8</v>
      </c>
      <c r="F1421">
        <v>4994</v>
      </c>
      <c r="G1421" t="s">
        <v>80</v>
      </c>
      <c r="H1421" s="1">
        <v>172781</v>
      </c>
      <c r="I1421" s="1">
        <v>0</v>
      </c>
      <c r="J1421" s="1">
        <v>172781</v>
      </c>
      <c r="K1421">
        <f>VLOOKUP(F1421,'LEAID Match'!$A$2:$C$2979,3,FALSE)</f>
        <v>2003430</v>
      </c>
    </row>
    <row r="1422" spans="1:11" x14ac:dyDescent="0.2">
      <c r="A1422">
        <v>2007350</v>
      </c>
      <c r="B1422">
        <v>2019</v>
      </c>
      <c r="C1422" t="s">
        <v>6</v>
      </c>
      <c r="D1422" t="s">
        <v>7</v>
      </c>
      <c r="E1422" t="s">
        <v>8</v>
      </c>
      <c r="F1422">
        <v>4995</v>
      </c>
      <c r="G1422" t="s">
        <v>81</v>
      </c>
      <c r="H1422" s="1">
        <v>770068</v>
      </c>
      <c r="I1422" s="1">
        <v>0</v>
      </c>
      <c r="J1422" s="1">
        <v>770068</v>
      </c>
      <c r="K1422">
        <f>VLOOKUP(F1422,'LEAID Match'!$A$2:$C$2979,3,FALSE)</f>
        <v>2007350</v>
      </c>
    </row>
    <row r="1423" spans="1:11" x14ac:dyDescent="0.2">
      <c r="A1423">
        <v>2009630</v>
      </c>
      <c r="B1423">
        <v>2019</v>
      </c>
      <c r="C1423" t="s">
        <v>6</v>
      </c>
      <c r="D1423" t="s">
        <v>7</v>
      </c>
      <c r="E1423" t="s">
        <v>8</v>
      </c>
      <c r="F1423">
        <v>4996</v>
      </c>
      <c r="G1423" t="s">
        <v>82</v>
      </c>
      <c r="H1423" s="20">
        <v>235838</v>
      </c>
      <c r="I1423" s="1">
        <v>0</v>
      </c>
      <c r="J1423" s="1">
        <v>235838</v>
      </c>
      <c r="K1423">
        <f>VLOOKUP(F1423,'LEAID Match'!$A$2:$C$2979,3,FALSE)</f>
        <v>2009630</v>
      </c>
    </row>
    <row r="1424" spans="1:11" x14ac:dyDescent="0.2">
      <c r="A1424">
        <v>2009960</v>
      </c>
      <c r="B1424">
        <v>2019</v>
      </c>
      <c r="C1424" t="s">
        <v>6</v>
      </c>
      <c r="D1424" t="s">
        <v>7</v>
      </c>
      <c r="E1424" t="s">
        <v>8</v>
      </c>
      <c r="F1424">
        <v>4997</v>
      </c>
      <c r="G1424" t="s">
        <v>83</v>
      </c>
      <c r="H1424" s="1">
        <v>3450533</v>
      </c>
      <c r="I1424" s="1">
        <v>0</v>
      </c>
      <c r="J1424" s="1">
        <v>3450533</v>
      </c>
      <c r="K1424">
        <f>VLOOKUP(F1424,'LEAID Match'!$A$2:$C$2979,3,FALSE)</f>
        <v>2009960</v>
      </c>
    </row>
    <row r="1425" spans="1:11" x14ac:dyDescent="0.2">
      <c r="A1425">
        <v>2012030</v>
      </c>
      <c r="B1425">
        <v>2019</v>
      </c>
      <c r="C1425" t="s">
        <v>6</v>
      </c>
      <c r="D1425" t="s">
        <v>7</v>
      </c>
      <c r="E1425" t="s">
        <v>8</v>
      </c>
      <c r="F1425">
        <v>4998</v>
      </c>
      <c r="G1425" s="9" t="s">
        <v>84</v>
      </c>
      <c r="H1425" s="1">
        <v>435545</v>
      </c>
      <c r="I1425" s="1">
        <v>0</v>
      </c>
      <c r="J1425" s="1">
        <v>435545</v>
      </c>
      <c r="K1425">
        <f>VLOOKUP(F1425,'LEAID Match'!$A$2:$C$2979,3,FALSE)</f>
        <v>2012030</v>
      </c>
    </row>
    <row r="1426" spans="1:11" x14ac:dyDescent="0.2">
      <c r="A1426">
        <v>2009180</v>
      </c>
      <c r="B1426">
        <v>2019</v>
      </c>
      <c r="C1426" t="s">
        <v>6</v>
      </c>
      <c r="D1426" t="s">
        <v>7</v>
      </c>
      <c r="E1426" t="s">
        <v>8</v>
      </c>
      <c r="F1426" s="3">
        <v>4999</v>
      </c>
      <c r="G1426" s="3" t="s">
        <v>352</v>
      </c>
      <c r="H1426" s="22">
        <v>6170079</v>
      </c>
      <c r="I1426" s="1">
        <v>0</v>
      </c>
      <c r="J1426" s="1">
        <v>6170079</v>
      </c>
      <c r="K1426">
        <f>VLOOKUP(F1426,'LEAID Match'!$A$2:$C$2979,3,FALSE)</f>
        <v>2009180</v>
      </c>
    </row>
    <row r="1427" spans="1:11" x14ac:dyDescent="0.2">
      <c r="A1427">
        <v>2003360</v>
      </c>
      <c r="B1427">
        <v>2019</v>
      </c>
      <c r="C1427" t="s">
        <v>6</v>
      </c>
      <c r="D1427" t="s">
        <v>7</v>
      </c>
      <c r="E1427" t="s">
        <v>8</v>
      </c>
      <c r="F1427" s="3">
        <v>5000</v>
      </c>
      <c r="G1427" s="3" t="s">
        <v>86</v>
      </c>
      <c r="H1427" s="1">
        <v>3742073</v>
      </c>
      <c r="I1427" s="21">
        <v>0</v>
      </c>
      <c r="J1427" s="21">
        <v>3742073</v>
      </c>
      <c r="K1427">
        <f>VLOOKUP(F1427,'LEAID Match'!$A$2:$C$2979,3,FALSE)</f>
        <v>2003360</v>
      </c>
    </row>
    <row r="1428" spans="1:11" x14ac:dyDescent="0.2">
      <c r="A1428">
        <v>2009090</v>
      </c>
      <c r="B1428">
        <v>2019</v>
      </c>
      <c r="C1428" t="s">
        <v>6</v>
      </c>
      <c r="D1428" t="s">
        <v>7</v>
      </c>
      <c r="E1428" t="s">
        <v>8</v>
      </c>
      <c r="F1428" s="3">
        <v>5001</v>
      </c>
      <c r="G1428" s="3" t="s">
        <v>87</v>
      </c>
      <c r="H1428" s="1">
        <v>235904</v>
      </c>
      <c r="I1428" s="1">
        <v>0</v>
      </c>
      <c r="J1428" s="1">
        <v>235904</v>
      </c>
      <c r="K1428">
        <f>VLOOKUP(F1428,'LEAID Match'!$A$2:$C$2979,3,FALSE)</f>
        <v>2009090</v>
      </c>
    </row>
    <row r="1429" spans="1:11" x14ac:dyDescent="0.2">
      <c r="A1429">
        <v>2006870</v>
      </c>
      <c r="B1429">
        <v>2019</v>
      </c>
      <c r="C1429" t="s">
        <v>6</v>
      </c>
      <c r="D1429" t="s">
        <v>7</v>
      </c>
      <c r="E1429" t="s">
        <v>8</v>
      </c>
      <c r="F1429">
        <v>5002</v>
      </c>
      <c r="G1429" t="s">
        <v>88</v>
      </c>
      <c r="H1429" s="1">
        <v>89919</v>
      </c>
      <c r="I1429" s="1">
        <v>0</v>
      </c>
      <c r="J1429" s="1">
        <v>89919</v>
      </c>
      <c r="K1429">
        <f>VLOOKUP(F1429,'LEAID Match'!$A$2:$C$2979,3,FALSE)</f>
        <v>2006870</v>
      </c>
    </row>
    <row r="1430" spans="1:11" x14ac:dyDescent="0.2">
      <c r="A1430">
        <v>2011250</v>
      </c>
      <c r="B1430">
        <v>2019</v>
      </c>
      <c r="C1430" t="s">
        <v>6</v>
      </c>
      <c r="D1430" t="s">
        <v>7</v>
      </c>
      <c r="E1430" t="s">
        <v>8</v>
      </c>
      <c r="F1430">
        <v>5004</v>
      </c>
      <c r="G1430" t="s">
        <v>89</v>
      </c>
      <c r="H1430" s="1">
        <v>1154156</v>
      </c>
      <c r="I1430" s="1">
        <v>0</v>
      </c>
      <c r="J1430" s="1">
        <v>1154156</v>
      </c>
      <c r="K1430">
        <f>VLOOKUP(F1430,'LEAID Match'!$A$2:$C$2979,3,FALSE)</f>
        <v>2011250</v>
      </c>
    </row>
    <row r="1431" spans="1:11" x14ac:dyDescent="0.2">
      <c r="A1431">
        <v>2005610</v>
      </c>
      <c r="B1431">
        <v>2019</v>
      </c>
      <c r="C1431" t="s">
        <v>6</v>
      </c>
      <c r="D1431" t="s">
        <v>7</v>
      </c>
      <c r="E1431" t="s">
        <v>8</v>
      </c>
      <c r="F1431">
        <v>5005</v>
      </c>
      <c r="G1431" t="s">
        <v>90</v>
      </c>
      <c r="H1431" s="1">
        <v>603167</v>
      </c>
      <c r="I1431" s="1">
        <v>0</v>
      </c>
      <c r="J1431" s="1">
        <v>603167</v>
      </c>
      <c r="K1431">
        <f>VLOOKUP(F1431,'LEAID Match'!$A$2:$C$2979,3,FALSE)</f>
        <v>2005610</v>
      </c>
    </row>
    <row r="1432" spans="1:11" x14ac:dyDescent="0.2">
      <c r="A1432">
        <v>2010590</v>
      </c>
      <c r="B1432">
        <v>2019</v>
      </c>
      <c r="C1432" t="s">
        <v>6</v>
      </c>
      <c r="D1432" t="s">
        <v>7</v>
      </c>
      <c r="E1432" t="s">
        <v>8</v>
      </c>
      <c r="F1432">
        <v>5006</v>
      </c>
      <c r="G1432" t="s">
        <v>91</v>
      </c>
      <c r="H1432" s="20">
        <v>251915</v>
      </c>
      <c r="I1432" s="1">
        <v>0</v>
      </c>
      <c r="J1432" s="1">
        <v>251915</v>
      </c>
      <c r="K1432">
        <f>VLOOKUP(F1432,'LEAID Match'!$A$2:$C$2979,3,FALSE)</f>
        <v>2010590</v>
      </c>
    </row>
    <row r="1433" spans="1:11" x14ac:dyDescent="0.2">
      <c r="A1433">
        <v>2009850</v>
      </c>
      <c r="B1433">
        <v>2019</v>
      </c>
      <c r="C1433" t="s">
        <v>6</v>
      </c>
      <c r="D1433" t="s">
        <v>7</v>
      </c>
      <c r="E1433" t="s">
        <v>8</v>
      </c>
      <c r="F1433">
        <v>5007</v>
      </c>
      <c r="G1433" t="s">
        <v>143</v>
      </c>
      <c r="H1433" s="1">
        <v>153613</v>
      </c>
      <c r="I1433" s="1">
        <v>0</v>
      </c>
      <c r="J1433" s="1">
        <v>153613</v>
      </c>
      <c r="K1433">
        <f>VLOOKUP(F1433,'LEAID Match'!$A$2:$C$2979,3,FALSE)</f>
        <v>2009850</v>
      </c>
    </row>
    <row r="1434" spans="1:11" x14ac:dyDescent="0.2">
      <c r="A1434">
        <v>2011130</v>
      </c>
      <c r="B1434">
        <v>2019</v>
      </c>
      <c r="C1434" t="s">
        <v>6</v>
      </c>
      <c r="D1434" t="s">
        <v>7</v>
      </c>
      <c r="E1434" t="s">
        <v>8</v>
      </c>
      <c r="F1434">
        <v>5008</v>
      </c>
      <c r="G1434" s="9" t="s">
        <v>92</v>
      </c>
      <c r="H1434" s="1">
        <v>626506</v>
      </c>
      <c r="I1434" s="1">
        <v>0</v>
      </c>
      <c r="J1434" s="1">
        <v>626506</v>
      </c>
      <c r="K1434">
        <f>VLOOKUP(F1434,'LEAID Match'!$A$2:$C$2979,3,FALSE)</f>
        <v>2011130</v>
      </c>
    </row>
    <row r="1435" spans="1:11" x14ac:dyDescent="0.2">
      <c r="A1435">
        <v>2003540</v>
      </c>
      <c r="B1435">
        <v>2019</v>
      </c>
      <c r="C1435" t="s">
        <v>6</v>
      </c>
      <c r="D1435" t="s">
        <v>7</v>
      </c>
      <c r="E1435" t="s">
        <v>8</v>
      </c>
      <c r="F1435" s="3">
        <v>5010</v>
      </c>
      <c r="G1435" s="3" t="s">
        <v>93</v>
      </c>
      <c r="H1435" s="22">
        <v>1551828</v>
      </c>
      <c r="I1435" s="1">
        <v>0</v>
      </c>
      <c r="J1435" s="1">
        <v>1551828</v>
      </c>
      <c r="K1435">
        <f>VLOOKUP(F1435,'LEAID Match'!$A$2:$C$2979,3,FALSE)</f>
        <v>2003540</v>
      </c>
    </row>
    <row r="1436" spans="1:11" x14ac:dyDescent="0.2">
      <c r="A1436">
        <v>2010230</v>
      </c>
      <c r="B1436">
        <v>2019</v>
      </c>
      <c r="C1436" t="s">
        <v>6</v>
      </c>
      <c r="D1436" t="s">
        <v>7</v>
      </c>
      <c r="E1436" t="s">
        <v>8</v>
      </c>
      <c r="F1436" s="3">
        <v>5011</v>
      </c>
      <c r="G1436" s="3" t="s">
        <v>94</v>
      </c>
      <c r="H1436" s="1">
        <v>535856</v>
      </c>
      <c r="I1436" s="21">
        <v>0</v>
      </c>
      <c r="J1436" s="21">
        <v>535856</v>
      </c>
      <c r="K1436">
        <f>VLOOKUP(F1436,'LEAID Match'!$A$2:$C$2979,3,FALSE)</f>
        <v>2010230</v>
      </c>
    </row>
    <row r="1437" spans="1:11" x14ac:dyDescent="0.2">
      <c r="A1437">
        <v>2009000</v>
      </c>
      <c r="B1437">
        <v>2019</v>
      </c>
      <c r="C1437" t="s">
        <v>6</v>
      </c>
      <c r="D1437" t="s">
        <v>7</v>
      </c>
      <c r="E1437" t="s">
        <v>8</v>
      </c>
      <c r="F1437" s="3">
        <v>5012</v>
      </c>
      <c r="G1437" s="3" t="s">
        <v>95</v>
      </c>
      <c r="H1437" s="1">
        <v>344489</v>
      </c>
      <c r="I1437" s="1">
        <v>0</v>
      </c>
      <c r="J1437" s="1">
        <v>344489</v>
      </c>
      <c r="K1437">
        <f>VLOOKUP(F1437,'LEAID Match'!$A$2:$C$2979,3,FALSE)</f>
        <v>2009000</v>
      </c>
    </row>
    <row r="1438" spans="1:11" x14ac:dyDescent="0.2">
      <c r="A1438">
        <v>2005580</v>
      </c>
      <c r="B1438">
        <v>2019</v>
      </c>
      <c r="C1438" t="s">
        <v>6</v>
      </c>
      <c r="D1438" t="s">
        <v>7</v>
      </c>
      <c r="E1438" t="s">
        <v>8</v>
      </c>
      <c r="F1438">
        <v>5013</v>
      </c>
      <c r="G1438" t="s">
        <v>96</v>
      </c>
      <c r="H1438" s="1">
        <v>6746387</v>
      </c>
      <c r="I1438" s="1">
        <v>0</v>
      </c>
      <c r="J1438" s="1">
        <v>6746387</v>
      </c>
      <c r="K1438">
        <f>VLOOKUP(F1438,'LEAID Match'!$A$2:$C$2979,3,FALSE)</f>
        <v>2005580</v>
      </c>
    </row>
    <row r="1439" spans="1:11" x14ac:dyDescent="0.2">
      <c r="A1439">
        <v>2007650</v>
      </c>
      <c r="B1439">
        <v>2019</v>
      </c>
      <c r="C1439" t="s">
        <v>6</v>
      </c>
      <c r="D1439" t="s">
        <v>7</v>
      </c>
      <c r="E1439" t="s">
        <v>8</v>
      </c>
      <c r="F1439">
        <v>5014</v>
      </c>
      <c r="G1439" t="s">
        <v>97</v>
      </c>
      <c r="H1439" s="1">
        <v>1512165</v>
      </c>
      <c r="I1439" s="1">
        <v>0</v>
      </c>
      <c r="J1439" s="1">
        <v>1512165</v>
      </c>
      <c r="K1439">
        <f>VLOOKUP(F1439,'LEAID Match'!$A$2:$C$2979,3,FALSE)</f>
        <v>2007650</v>
      </c>
    </row>
    <row r="1440" spans="1:11" x14ac:dyDescent="0.2">
      <c r="A1440">
        <v>2007710</v>
      </c>
      <c r="B1440">
        <v>2019</v>
      </c>
      <c r="C1440" t="s">
        <v>6</v>
      </c>
      <c r="D1440" t="s">
        <v>7</v>
      </c>
      <c r="E1440" t="s">
        <v>8</v>
      </c>
      <c r="F1440">
        <v>5015</v>
      </c>
      <c r="G1440" t="s">
        <v>98</v>
      </c>
      <c r="H1440" s="1">
        <v>390701</v>
      </c>
      <c r="I1440" s="1">
        <v>0</v>
      </c>
      <c r="J1440" s="1">
        <v>390701</v>
      </c>
      <c r="K1440">
        <f>VLOOKUP(F1440,'LEAID Match'!$A$2:$C$2979,3,FALSE)</f>
        <v>2007710</v>
      </c>
    </row>
    <row r="1441" spans="1:11" x14ac:dyDescent="0.2">
      <c r="A1441">
        <v>2005640</v>
      </c>
      <c r="B1441">
        <v>2019</v>
      </c>
      <c r="C1441" t="s">
        <v>6</v>
      </c>
      <c r="D1441" t="s">
        <v>7</v>
      </c>
      <c r="E1441" t="s">
        <v>8</v>
      </c>
      <c r="F1441">
        <v>5016</v>
      </c>
      <c r="G1441" t="s">
        <v>99</v>
      </c>
      <c r="H1441" s="20">
        <v>504210</v>
      </c>
      <c r="I1441" s="1">
        <v>0</v>
      </c>
      <c r="J1441" s="1">
        <v>504210</v>
      </c>
      <c r="K1441">
        <f>VLOOKUP(F1441,'LEAID Match'!$A$2:$C$2979,3,FALSE)</f>
        <v>2005640</v>
      </c>
    </row>
    <row r="1442" spans="1:11" x14ac:dyDescent="0.2">
      <c r="A1442">
        <v>2008430</v>
      </c>
      <c r="B1442">
        <v>2019</v>
      </c>
      <c r="C1442" t="s">
        <v>6</v>
      </c>
      <c r="D1442" t="s">
        <v>7</v>
      </c>
      <c r="E1442" t="s">
        <v>8</v>
      </c>
      <c r="F1442">
        <v>5017</v>
      </c>
      <c r="G1442" t="s">
        <v>100</v>
      </c>
      <c r="H1442" s="1">
        <v>3436441</v>
      </c>
      <c r="I1442" s="1">
        <v>0</v>
      </c>
      <c r="J1442" s="1">
        <v>3436441</v>
      </c>
      <c r="K1442">
        <f>VLOOKUP(F1442,'LEAID Match'!$A$2:$C$2979,3,FALSE)</f>
        <v>2008430</v>
      </c>
    </row>
    <row r="1443" spans="1:11" x14ac:dyDescent="0.2">
      <c r="A1443">
        <v>2009480</v>
      </c>
      <c r="B1443">
        <v>2019</v>
      </c>
      <c r="C1443" t="s">
        <v>6</v>
      </c>
      <c r="D1443" t="s">
        <v>7</v>
      </c>
      <c r="E1443" t="s">
        <v>8</v>
      </c>
      <c r="F1443">
        <v>5018</v>
      </c>
      <c r="G1443" s="9" t="s">
        <v>101</v>
      </c>
      <c r="H1443" s="1">
        <v>239764</v>
      </c>
      <c r="I1443" s="1">
        <v>0</v>
      </c>
      <c r="J1443" s="1">
        <v>239764</v>
      </c>
      <c r="K1443">
        <f>VLOOKUP(F1443,'LEAID Match'!$A$2:$C$2979,3,FALSE)</f>
        <v>2009480</v>
      </c>
    </row>
    <row r="1444" spans="1:11" x14ac:dyDescent="0.2">
      <c r="A1444">
        <v>2003450</v>
      </c>
      <c r="B1444">
        <v>2019</v>
      </c>
      <c r="C1444" t="s">
        <v>6</v>
      </c>
      <c r="D1444" t="s">
        <v>7</v>
      </c>
      <c r="E1444" t="s">
        <v>8</v>
      </c>
      <c r="F1444" s="3">
        <v>5019</v>
      </c>
      <c r="G1444" s="3" t="s">
        <v>102</v>
      </c>
      <c r="H1444" s="22">
        <v>2293139</v>
      </c>
      <c r="I1444" s="1">
        <v>0</v>
      </c>
      <c r="J1444" s="1">
        <v>2293139</v>
      </c>
      <c r="K1444">
        <f>VLOOKUP(F1444,'LEAID Match'!$A$2:$C$2979,3,FALSE)</f>
        <v>2003450</v>
      </c>
    </row>
    <row r="1445" spans="1:11" x14ac:dyDescent="0.2">
      <c r="A1445">
        <v>2007890</v>
      </c>
      <c r="B1445">
        <v>2019</v>
      </c>
      <c r="C1445" t="s">
        <v>6</v>
      </c>
      <c r="D1445" t="s">
        <v>7</v>
      </c>
      <c r="E1445" t="s">
        <v>8</v>
      </c>
      <c r="F1445" s="3">
        <v>5020</v>
      </c>
      <c r="G1445" s="3" t="s">
        <v>103</v>
      </c>
      <c r="H1445" s="1">
        <v>7355778</v>
      </c>
      <c r="I1445" s="21">
        <v>0</v>
      </c>
      <c r="J1445" s="21">
        <v>7355778</v>
      </c>
      <c r="K1445">
        <f>VLOOKUP(F1445,'LEAID Match'!$A$2:$C$2979,3,FALSE)</f>
        <v>2007890</v>
      </c>
    </row>
    <row r="1446" spans="1:11" x14ac:dyDescent="0.2">
      <c r="A1446">
        <v>2007680</v>
      </c>
      <c r="B1446">
        <v>2019</v>
      </c>
      <c r="C1446" t="s">
        <v>6</v>
      </c>
      <c r="D1446" t="s">
        <v>7</v>
      </c>
      <c r="E1446" t="s">
        <v>8</v>
      </c>
      <c r="F1446" s="3">
        <v>5021</v>
      </c>
      <c r="G1446" s="3" t="s">
        <v>104</v>
      </c>
      <c r="H1446" s="1">
        <v>242126</v>
      </c>
      <c r="I1446" s="1">
        <v>0</v>
      </c>
      <c r="J1446" s="1">
        <v>242126</v>
      </c>
      <c r="K1446">
        <f>VLOOKUP(F1446,'LEAID Match'!$A$2:$C$2979,3,FALSE)</f>
        <v>2007680</v>
      </c>
    </row>
    <row r="1447" spans="1:11" x14ac:dyDescent="0.2">
      <c r="A1447">
        <v>2008730</v>
      </c>
      <c r="B1447">
        <v>2019</v>
      </c>
      <c r="C1447" t="s">
        <v>6</v>
      </c>
      <c r="D1447" t="s">
        <v>7</v>
      </c>
      <c r="E1447" t="s">
        <v>8</v>
      </c>
      <c r="F1447">
        <v>5022</v>
      </c>
      <c r="G1447" t="s">
        <v>105</v>
      </c>
      <c r="H1447" s="1">
        <v>4567722</v>
      </c>
      <c r="I1447" s="1">
        <v>0</v>
      </c>
      <c r="J1447" s="1">
        <v>4567722</v>
      </c>
      <c r="K1447">
        <f>VLOOKUP(F1447,'LEAID Match'!$A$2:$C$2979,3,FALSE)</f>
        <v>2008730</v>
      </c>
    </row>
    <row r="1448" spans="1:11" x14ac:dyDescent="0.2">
      <c r="A1448">
        <v>2008280</v>
      </c>
      <c r="B1448">
        <v>2019</v>
      </c>
      <c r="C1448" t="s">
        <v>6</v>
      </c>
      <c r="D1448" t="s">
        <v>7</v>
      </c>
      <c r="E1448" t="s">
        <v>8</v>
      </c>
      <c r="F1448">
        <v>5024</v>
      </c>
      <c r="G1448" t="s">
        <v>106</v>
      </c>
      <c r="H1448" s="1">
        <v>583094</v>
      </c>
      <c r="I1448" s="1">
        <v>0</v>
      </c>
      <c r="J1448" s="1">
        <v>583094</v>
      </c>
      <c r="K1448">
        <f>VLOOKUP(F1448,'LEAID Match'!$A$2:$C$2979,3,FALSE)</f>
        <v>2008280</v>
      </c>
    </row>
    <row r="1449" spans="1:11" x14ac:dyDescent="0.2">
      <c r="A1449">
        <v>2006180</v>
      </c>
      <c r="B1449">
        <v>2019</v>
      </c>
      <c r="C1449" t="s">
        <v>6</v>
      </c>
      <c r="D1449" t="s">
        <v>7</v>
      </c>
      <c r="E1449" t="s">
        <v>8</v>
      </c>
      <c r="F1449">
        <v>5025</v>
      </c>
      <c r="G1449" t="s">
        <v>107</v>
      </c>
      <c r="H1449" s="1">
        <v>1661130</v>
      </c>
      <c r="I1449" s="1">
        <v>0</v>
      </c>
      <c r="J1449" s="1">
        <v>1661130</v>
      </c>
      <c r="K1449">
        <f>VLOOKUP(F1449,'LEAID Match'!$A$2:$C$2979,3,FALSE)</f>
        <v>2006180</v>
      </c>
    </row>
    <row r="1450" spans="1:11" x14ac:dyDescent="0.2">
      <c r="A1450">
        <v>2003210</v>
      </c>
      <c r="B1450">
        <v>2019</v>
      </c>
      <c r="C1450" t="s">
        <v>6</v>
      </c>
      <c r="D1450" t="s">
        <v>7</v>
      </c>
      <c r="E1450" t="s">
        <v>8</v>
      </c>
      <c r="F1450">
        <v>5026</v>
      </c>
      <c r="G1450" t="s">
        <v>108</v>
      </c>
      <c r="H1450" s="20">
        <v>358470</v>
      </c>
      <c r="I1450" s="1">
        <v>0</v>
      </c>
      <c r="J1450" s="1">
        <v>358470</v>
      </c>
      <c r="K1450">
        <f>VLOOKUP(F1450,'LEAID Match'!$A$2:$C$2979,3,FALSE)</f>
        <v>2003210</v>
      </c>
    </row>
    <row r="1451" spans="1:11" x14ac:dyDescent="0.2">
      <c r="A1451">
        <v>2007050</v>
      </c>
      <c r="B1451">
        <v>2019</v>
      </c>
      <c r="C1451" t="s">
        <v>6</v>
      </c>
      <c r="D1451" t="s">
        <v>7</v>
      </c>
      <c r="E1451" t="s">
        <v>8</v>
      </c>
      <c r="F1451">
        <v>5027</v>
      </c>
      <c r="G1451" t="s">
        <v>109</v>
      </c>
      <c r="H1451" s="1">
        <v>5536929</v>
      </c>
      <c r="I1451" s="1">
        <v>0</v>
      </c>
      <c r="J1451" s="1">
        <v>5536929</v>
      </c>
      <c r="K1451">
        <f>VLOOKUP(F1451,'LEAID Match'!$A$2:$C$2979,3,FALSE)</f>
        <v>2007050</v>
      </c>
    </row>
    <row r="1452" spans="1:11" x14ac:dyDescent="0.2">
      <c r="A1452">
        <v>2011080</v>
      </c>
      <c r="B1452">
        <v>2019</v>
      </c>
      <c r="C1452" t="s">
        <v>6</v>
      </c>
      <c r="D1452" t="s">
        <v>7</v>
      </c>
      <c r="E1452" t="s">
        <v>8</v>
      </c>
      <c r="F1452">
        <v>5028</v>
      </c>
      <c r="G1452" s="9" t="s">
        <v>110</v>
      </c>
      <c r="H1452" s="1">
        <v>1363986</v>
      </c>
      <c r="I1452" s="1">
        <v>0</v>
      </c>
      <c r="J1452" s="1">
        <v>1363986</v>
      </c>
      <c r="K1452">
        <f>VLOOKUP(F1452,'LEAID Match'!$A$2:$C$2979,3,FALSE)</f>
        <v>2011080</v>
      </c>
    </row>
    <row r="1453" spans="1:11" x14ac:dyDescent="0.2">
      <c r="A1453">
        <v>2000014</v>
      </c>
      <c r="B1453">
        <v>2019</v>
      </c>
      <c r="C1453" t="s">
        <v>6</v>
      </c>
      <c r="D1453" t="s">
        <v>7</v>
      </c>
      <c r="E1453" t="s">
        <v>8</v>
      </c>
      <c r="F1453" s="3">
        <v>5029</v>
      </c>
      <c r="G1453" s="3" t="s">
        <v>111</v>
      </c>
      <c r="H1453" s="22">
        <v>442518</v>
      </c>
      <c r="I1453" s="1">
        <v>0</v>
      </c>
      <c r="J1453" s="1">
        <v>442518</v>
      </c>
      <c r="K1453">
        <f>VLOOKUP(F1453,'LEAID Match'!$A$2:$C$2979,3,FALSE)</f>
        <v>2000014</v>
      </c>
    </row>
    <row r="1454" spans="1:11" x14ac:dyDescent="0.2">
      <c r="A1454">
        <v>2011370</v>
      </c>
      <c r="B1454">
        <v>2019</v>
      </c>
      <c r="C1454" t="s">
        <v>6</v>
      </c>
      <c r="D1454" t="s">
        <v>7</v>
      </c>
      <c r="E1454" t="s">
        <v>8</v>
      </c>
      <c r="F1454" s="3">
        <v>5031</v>
      </c>
      <c r="G1454" s="3" t="s">
        <v>112</v>
      </c>
      <c r="H1454" s="1">
        <v>8830249</v>
      </c>
      <c r="I1454" s="21">
        <v>0</v>
      </c>
      <c r="J1454" s="21">
        <v>8830249</v>
      </c>
      <c r="K1454">
        <f>VLOOKUP(F1454,'LEAID Match'!$A$2:$C$2979,3,FALSE)</f>
        <v>2011370</v>
      </c>
    </row>
    <row r="1455" spans="1:11" x14ac:dyDescent="0.2">
      <c r="A1455">
        <v>2003390</v>
      </c>
      <c r="B1455">
        <v>2019</v>
      </c>
      <c r="C1455" t="s">
        <v>6</v>
      </c>
      <c r="D1455" t="s">
        <v>7</v>
      </c>
      <c r="E1455" t="s">
        <v>8</v>
      </c>
      <c r="F1455" s="3">
        <v>5032</v>
      </c>
      <c r="G1455" s="3" t="s">
        <v>359</v>
      </c>
      <c r="H1455" s="1">
        <v>732554</v>
      </c>
      <c r="I1455" s="1">
        <v>0</v>
      </c>
      <c r="J1455" s="1">
        <v>732554</v>
      </c>
      <c r="K1455">
        <f>VLOOKUP(F1455,'LEAID Match'!$A$2:$C$2979,3,FALSE)</f>
        <v>2003390</v>
      </c>
    </row>
    <row r="1456" spans="1:11" x14ac:dyDescent="0.2">
      <c r="A1456">
        <v>2011100</v>
      </c>
      <c r="B1456">
        <v>2019</v>
      </c>
      <c r="C1456" t="s">
        <v>6</v>
      </c>
      <c r="D1456" t="s">
        <v>7</v>
      </c>
      <c r="E1456" t="s">
        <v>8</v>
      </c>
      <c r="F1456">
        <v>5033</v>
      </c>
      <c r="G1456" t="s">
        <v>114</v>
      </c>
      <c r="H1456" s="1">
        <v>531005</v>
      </c>
      <c r="I1456" s="1">
        <v>0</v>
      </c>
      <c r="J1456" s="1">
        <v>531005</v>
      </c>
      <c r="K1456">
        <f>VLOOKUP(F1456,'LEAID Match'!$A$2:$C$2979,3,FALSE)</f>
        <v>2011100</v>
      </c>
    </row>
    <row r="1457" spans="1:11" x14ac:dyDescent="0.2">
      <c r="A1457">
        <v>2004020</v>
      </c>
      <c r="B1457">
        <v>2019</v>
      </c>
      <c r="C1457" t="s">
        <v>6</v>
      </c>
      <c r="D1457" t="s">
        <v>7</v>
      </c>
      <c r="E1457" t="s">
        <v>8</v>
      </c>
      <c r="F1457">
        <v>5034</v>
      </c>
      <c r="G1457" t="s">
        <v>115</v>
      </c>
      <c r="H1457" s="1">
        <v>251885</v>
      </c>
      <c r="I1457" s="1">
        <v>0</v>
      </c>
      <c r="J1457" s="1">
        <v>251885</v>
      </c>
      <c r="K1457">
        <f>VLOOKUP(F1457,'LEAID Match'!$A$2:$C$2979,3,FALSE)</f>
        <v>2004020</v>
      </c>
    </row>
    <row r="1458" spans="1:11" x14ac:dyDescent="0.2">
      <c r="A1458">
        <v>2004590</v>
      </c>
      <c r="B1458">
        <v>2019</v>
      </c>
      <c r="C1458" t="s">
        <v>6</v>
      </c>
      <c r="D1458" t="s">
        <v>7</v>
      </c>
      <c r="E1458" t="s">
        <v>8</v>
      </c>
      <c r="F1458">
        <v>5035</v>
      </c>
      <c r="G1458" t="s">
        <v>116</v>
      </c>
      <c r="H1458" s="1">
        <v>1354557</v>
      </c>
      <c r="I1458" s="1">
        <v>0</v>
      </c>
      <c r="J1458" s="1">
        <v>1354557</v>
      </c>
      <c r="K1458">
        <f>VLOOKUP(F1458,'LEAID Match'!$A$2:$C$2979,3,FALSE)</f>
        <v>2004590</v>
      </c>
    </row>
    <row r="1459" spans="1:11" x14ac:dyDescent="0.2">
      <c r="A1459">
        <v>2000006</v>
      </c>
      <c r="B1459">
        <v>2019</v>
      </c>
      <c r="C1459" t="s">
        <v>6</v>
      </c>
      <c r="D1459" t="s">
        <v>7</v>
      </c>
      <c r="E1459" t="s">
        <v>8</v>
      </c>
      <c r="F1459">
        <v>5036</v>
      </c>
      <c r="G1459" t="s">
        <v>117</v>
      </c>
      <c r="H1459" s="20">
        <v>744314</v>
      </c>
      <c r="I1459" s="1">
        <v>0</v>
      </c>
      <c r="J1459" s="1">
        <v>744314</v>
      </c>
      <c r="K1459">
        <f>VLOOKUP(F1459,'LEAID Match'!$A$2:$C$2979,3,FALSE)</f>
        <v>2000006</v>
      </c>
    </row>
    <row r="1460" spans="1:11" x14ac:dyDescent="0.2">
      <c r="A1460">
        <v>2009390</v>
      </c>
      <c r="B1460">
        <v>2019</v>
      </c>
      <c r="C1460" t="s">
        <v>6</v>
      </c>
      <c r="D1460" t="s">
        <v>7</v>
      </c>
      <c r="E1460" t="s">
        <v>8</v>
      </c>
      <c r="F1460">
        <v>5037</v>
      </c>
      <c r="G1460" t="s">
        <v>118</v>
      </c>
      <c r="H1460" s="1">
        <v>2639305</v>
      </c>
      <c r="I1460" s="1">
        <v>0</v>
      </c>
      <c r="J1460" s="1">
        <v>2639305</v>
      </c>
      <c r="K1460">
        <f>VLOOKUP(F1460,'LEAID Match'!$A$2:$C$2979,3,FALSE)</f>
        <v>2009390</v>
      </c>
    </row>
    <row r="1461" spans="1:11" x14ac:dyDescent="0.2">
      <c r="A1461">
        <v>2006720</v>
      </c>
      <c r="B1461">
        <v>2019</v>
      </c>
      <c r="C1461" t="s">
        <v>6</v>
      </c>
      <c r="D1461" t="s">
        <v>7</v>
      </c>
      <c r="E1461" t="s">
        <v>8</v>
      </c>
      <c r="F1461">
        <v>5038</v>
      </c>
      <c r="G1461" s="9" t="s">
        <v>119</v>
      </c>
      <c r="H1461" s="1">
        <v>291670</v>
      </c>
      <c r="I1461" s="1">
        <v>0</v>
      </c>
      <c r="J1461" s="1">
        <v>291670</v>
      </c>
      <c r="K1461">
        <f>VLOOKUP(F1461,'LEAID Match'!$A$2:$C$2979,3,FALSE)</f>
        <v>2006720</v>
      </c>
    </row>
    <row r="1462" spans="1:11" x14ac:dyDescent="0.2">
      <c r="A1462">
        <v>2011550</v>
      </c>
      <c r="B1462">
        <v>2019</v>
      </c>
      <c r="C1462" t="s">
        <v>6</v>
      </c>
      <c r="D1462" t="s">
        <v>7</v>
      </c>
      <c r="E1462" t="s">
        <v>8</v>
      </c>
      <c r="F1462" s="3">
        <v>5039</v>
      </c>
      <c r="G1462" s="3" t="s">
        <v>120</v>
      </c>
      <c r="H1462" s="22">
        <v>411814</v>
      </c>
      <c r="I1462" s="1">
        <v>0</v>
      </c>
      <c r="J1462" s="1">
        <v>411814</v>
      </c>
      <c r="K1462">
        <f>VLOOKUP(F1462,'LEAID Match'!$A$2:$C$2979,3,FALSE)</f>
        <v>2011550</v>
      </c>
    </row>
    <row r="1463" spans="1:11" x14ac:dyDescent="0.2">
      <c r="A1463">
        <v>2004980</v>
      </c>
      <c r="B1463">
        <v>2019</v>
      </c>
      <c r="C1463" t="s">
        <v>6</v>
      </c>
      <c r="D1463" t="s">
        <v>7</v>
      </c>
      <c r="E1463" t="s">
        <v>8</v>
      </c>
      <c r="F1463" s="3">
        <v>5040</v>
      </c>
      <c r="G1463" s="3" t="s">
        <v>121</v>
      </c>
      <c r="H1463" s="1">
        <v>1289655</v>
      </c>
      <c r="I1463" s="21">
        <v>0</v>
      </c>
      <c r="J1463" s="21">
        <v>1289655</v>
      </c>
      <c r="K1463">
        <f>VLOOKUP(F1463,'LEAID Match'!$A$2:$C$2979,3,FALSE)</f>
        <v>2004980</v>
      </c>
    </row>
    <row r="1464" spans="1:11" x14ac:dyDescent="0.2">
      <c r="A1464">
        <v>2006390</v>
      </c>
      <c r="B1464">
        <v>2019</v>
      </c>
      <c r="C1464" t="s">
        <v>6</v>
      </c>
      <c r="D1464" t="s">
        <v>7</v>
      </c>
      <c r="E1464" t="s">
        <v>8</v>
      </c>
      <c r="F1464" s="3">
        <v>5041</v>
      </c>
      <c r="G1464" s="3" t="s">
        <v>122</v>
      </c>
      <c r="H1464" s="1">
        <v>6805599</v>
      </c>
      <c r="I1464" s="1">
        <v>0</v>
      </c>
      <c r="J1464" s="1">
        <v>6805599</v>
      </c>
      <c r="K1464">
        <f>VLOOKUP(F1464,'LEAID Match'!$A$2:$C$2979,3,FALSE)</f>
        <v>2006390</v>
      </c>
    </row>
    <row r="1465" spans="1:11" x14ac:dyDescent="0.2">
      <c r="A1465">
        <v>2003780</v>
      </c>
      <c r="B1465">
        <v>2019</v>
      </c>
      <c r="C1465" t="s">
        <v>6</v>
      </c>
      <c r="D1465" t="s">
        <v>7</v>
      </c>
      <c r="E1465" t="s">
        <v>8</v>
      </c>
      <c r="F1465">
        <v>5042</v>
      </c>
      <c r="G1465" t="s">
        <v>123</v>
      </c>
      <c r="H1465" s="1">
        <v>2053932</v>
      </c>
      <c r="I1465" s="1">
        <v>0</v>
      </c>
      <c r="J1465" s="1">
        <v>2053932</v>
      </c>
      <c r="K1465">
        <f>VLOOKUP(F1465,'LEAID Match'!$A$2:$C$2979,3,FALSE)</f>
        <v>2003780</v>
      </c>
    </row>
    <row r="1466" spans="1:11" x14ac:dyDescent="0.2">
      <c r="A1466">
        <v>2013050</v>
      </c>
      <c r="B1466">
        <v>2019</v>
      </c>
      <c r="C1466" t="s">
        <v>6</v>
      </c>
      <c r="D1466" t="s">
        <v>7</v>
      </c>
      <c r="E1466" t="s">
        <v>8</v>
      </c>
      <c r="F1466">
        <v>5043</v>
      </c>
      <c r="G1466" t="s">
        <v>124</v>
      </c>
      <c r="H1466" s="1">
        <v>3045546</v>
      </c>
      <c r="I1466" s="1">
        <v>0</v>
      </c>
      <c r="J1466" s="1">
        <v>3045546</v>
      </c>
      <c r="K1466">
        <f>VLOOKUP(F1466,'LEAID Match'!$A$2:$C$2979,3,FALSE)</f>
        <v>2013050</v>
      </c>
    </row>
    <row r="1467" spans="1:11" x14ac:dyDescent="0.2">
      <c r="A1467">
        <v>2000012</v>
      </c>
      <c r="B1467">
        <v>2019</v>
      </c>
      <c r="C1467" t="s">
        <v>6</v>
      </c>
      <c r="D1467" t="s">
        <v>7</v>
      </c>
      <c r="E1467" t="s">
        <v>8</v>
      </c>
      <c r="F1467">
        <v>5056</v>
      </c>
      <c r="G1467" t="s">
        <v>125</v>
      </c>
      <c r="H1467" s="1">
        <v>322832</v>
      </c>
      <c r="I1467" s="1">
        <v>0</v>
      </c>
      <c r="J1467" s="1">
        <v>322832</v>
      </c>
      <c r="K1467">
        <f>VLOOKUP(F1467,'LEAID Match'!$A$2:$C$2979,3,FALSE)</f>
        <v>2000012</v>
      </c>
    </row>
    <row r="1468" spans="1:11" x14ac:dyDescent="0.2">
      <c r="A1468">
        <v>2007590</v>
      </c>
      <c r="B1468">
        <v>2019</v>
      </c>
      <c r="C1468" t="s">
        <v>6</v>
      </c>
      <c r="D1468" t="s">
        <v>7</v>
      </c>
      <c r="E1468" t="s">
        <v>8</v>
      </c>
      <c r="F1468">
        <v>5057</v>
      </c>
      <c r="G1468" t="s">
        <v>126</v>
      </c>
      <c r="H1468" s="20">
        <v>539593</v>
      </c>
      <c r="I1468" s="1">
        <v>0</v>
      </c>
      <c r="J1468" s="1">
        <v>539593</v>
      </c>
      <c r="K1468">
        <f>VLOOKUP(F1468,'LEAID Match'!$A$2:$C$2979,3,FALSE)</f>
        <v>2007590</v>
      </c>
    </row>
    <row r="1469" spans="1:11" x14ac:dyDescent="0.2">
      <c r="A1469">
        <v>2003870</v>
      </c>
      <c r="B1469">
        <v>2019</v>
      </c>
      <c r="C1469" t="s">
        <v>6</v>
      </c>
      <c r="D1469" t="s">
        <v>7</v>
      </c>
      <c r="E1469" t="s">
        <v>8</v>
      </c>
      <c r="F1469">
        <v>5058</v>
      </c>
      <c r="G1469" t="s">
        <v>127</v>
      </c>
      <c r="H1469" s="1">
        <v>1196550</v>
      </c>
      <c r="I1469" s="1">
        <v>0</v>
      </c>
      <c r="J1469" s="1">
        <v>1196550</v>
      </c>
      <c r="K1469">
        <f>VLOOKUP(F1469,'LEAID Match'!$A$2:$C$2979,3,FALSE)</f>
        <v>2003870</v>
      </c>
    </row>
    <row r="1470" spans="1:11" x14ac:dyDescent="0.2">
      <c r="A1470">
        <v>2005250</v>
      </c>
      <c r="B1470">
        <v>2019</v>
      </c>
      <c r="C1470" t="s">
        <v>6</v>
      </c>
      <c r="D1470" t="s">
        <v>7</v>
      </c>
      <c r="E1470" t="s">
        <v>8</v>
      </c>
      <c r="F1470">
        <v>5059</v>
      </c>
      <c r="G1470" s="9" t="s">
        <v>128</v>
      </c>
      <c r="H1470" s="1">
        <v>345821</v>
      </c>
      <c r="I1470" s="1">
        <v>0</v>
      </c>
      <c r="J1470" s="1">
        <v>345821</v>
      </c>
      <c r="K1470">
        <f>VLOOKUP(F1470,'LEAID Match'!$A$2:$C$2979,3,FALSE)</f>
        <v>2005250</v>
      </c>
    </row>
    <row r="1471" spans="1:11" x14ac:dyDescent="0.2">
      <c r="A1471">
        <v>2004500</v>
      </c>
      <c r="B1471">
        <v>2019</v>
      </c>
      <c r="C1471" t="s">
        <v>6</v>
      </c>
      <c r="D1471" t="s">
        <v>7</v>
      </c>
      <c r="E1471" t="s">
        <v>8</v>
      </c>
      <c r="F1471" s="3">
        <v>5060</v>
      </c>
      <c r="G1471" s="3" t="s">
        <v>129</v>
      </c>
      <c r="H1471" s="22">
        <v>162999</v>
      </c>
      <c r="I1471" s="1">
        <v>0</v>
      </c>
      <c r="J1471" s="1">
        <v>162999</v>
      </c>
      <c r="K1471">
        <f>VLOOKUP(F1471,'LEAID Match'!$A$2:$C$2979,3,FALSE)</f>
        <v>2004500</v>
      </c>
    </row>
    <row r="1472" spans="1:11" x14ac:dyDescent="0.2">
      <c r="A1472">
        <v>2011520</v>
      </c>
      <c r="B1472">
        <v>2019</v>
      </c>
      <c r="C1472" t="s">
        <v>6</v>
      </c>
      <c r="D1472" t="s">
        <v>7</v>
      </c>
      <c r="E1472" t="s">
        <v>8</v>
      </c>
      <c r="F1472" s="3">
        <v>5061</v>
      </c>
      <c r="G1472" s="3" t="s">
        <v>130</v>
      </c>
      <c r="H1472" s="1">
        <v>311783</v>
      </c>
      <c r="I1472" s="21">
        <v>0</v>
      </c>
      <c r="J1472" s="21">
        <v>311783</v>
      </c>
      <c r="K1472">
        <f>VLOOKUP(F1472,'LEAID Match'!$A$2:$C$2979,3,FALSE)</f>
        <v>2011520</v>
      </c>
    </row>
    <row r="1473" spans="1:11" x14ac:dyDescent="0.2">
      <c r="A1473">
        <v>2010800</v>
      </c>
      <c r="B1473">
        <v>2019</v>
      </c>
      <c r="C1473" t="s">
        <v>6</v>
      </c>
      <c r="D1473" t="s">
        <v>7</v>
      </c>
      <c r="E1473" t="s">
        <v>8</v>
      </c>
      <c r="F1473" s="3">
        <v>5062</v>
      </c>
      <c r="G1473" s="3" t="s">
        <v>131</v>
      </c>
      <c r="H1473" s="1">
        <v>590087</v>
      </c>
      <c r="I1473" s="1">
        <v>0</v>
      </c>
      <c r="J1473" s="1">
        <v>590087</v>
      </c>
      <c r="K1473">
        <f>VLOOKUP(F1473,'LEAID Match'!$A$2:$C$2979,3,FALSE)</f>
        <v>2010800</v>
      </c>
    </row>
    <row r="1474" spans="1:11" x14ac:dyDescent="0.2">
      <c r="A1474">
        <v>2005870</v>
      </c>
      <c r="B1474">
        <v>2019</v>
      </c>
      <c r="C1474" t="s">
        <v>6</v>
      </c>
      <c r="D1474" t="s">
        <v>7</v>
      </c>
      <c r="E1474" t="s">
        <v>8</v>
      </c>
      <c r="F1474">
        <v>5063</v>
      </c>
      <c r="G1474" t="s">
        <v>132</v>
      </c>
      <c r="H1474" s="1">
        <v>509087</v>
      </c>
      <c r="I1474" s="1">
        <v>0</v>
      </c>
      <c r="J1474" s="1">
        <v>509087</v>
      </c>
      <c r="K1474">
        <f>VLOOKUP(F1474,'LEAID Match'!$A$2:$C$2979,3,FALSE)</f>
        <v>2005870</v>
      </c>
    </row>
    <row r="1475" spans="1:11" x14ac:dyDescent="0.2">
      <c r="A1475">
        <v>2012540</v>
      </c>
      <c r="B1475">
        <v>2019</v>
      </c>
      <c r="C1475" t="s">
        <v>6</v>
      </c>
      <c r="D1475" t="s">
        <v>7</v>
      </c>
      <c r="E1475" t="s">
        <v>8</v>
      </c>
      <c r="F1475">
        <v>5064</v>
      </c>
      <c r="G1475" t="s">
        <v>133</v>
      </c>
      <c r="H1475" s="1">
        <v>310147</v>
      </c>
      <c r="I1475" s="1">
        <v>0</v>
      </c>
      <c r="J1475" s="1">
        <v>310147</v>
      </c>
      <c r="K1475">
        <f>VLOOKUP(F1475,'LEAID Match'!$A$2:$C$2979,3,FALSE)</f>
        <v>2012540</v>
      </c>
    </row>
    <row r="1476" spans="1:11" x14ac:dyDescent="0.2">
      <c r="A1476">
        <v>2009360</v>
      </c>
      <c r="B1476">
        <v>2019</v>
      </c>
      <c r="C1476" t="s">
        <v>6</v>
      </c>
      <c r="D1476" t="s">
        <v>7</v>
      </c>
      <c r="E1476" t="s">
        <v>8</v>
      </c>
      <c r="F1476">
        <v>5065</v>
      </c>
      <c r="G1476" t="s">
        <v>134</v>
      </c>
      <c r="H1476" s="1">
        <v>385159</v>
      </c>
      <c r="I1476" s="1">
        <v>0</v>
      </c>
      <c r="J1476" s="1">
        <v>385159</v>
      </c>
      <c r="K1476">
        <f>VLOOKUP(F1476,'LEAID Match'!$A$2:$C$2979,3,FALSE)</f>
        <v>2009360</v>
      </c>
    </row>
    <row r="1477" spans="1:11" x14ac:dyDescent="0.2">
      <c r="A1477">
        <v>2004560</v>
      </c>
      <c r="B1477">
        <v>2019</v>
      </c>
      <c r="C1477" t="s">
        <v>6</v>
      </c>
      <c r="D1477" t="s">
        <v>7</v>
      </c>
      <c r="E1477" t="s">
        <v>8</v>
      </c>
      <c r="F1477">
        <v>5066</v>
      </c>
      <c r="G1477" t="s">
        <v>135</v>
      </c>
      <c r="H1477" s="20">
        <v>453440</v>
      </c>
      <c r="I1477" s="1">
        <v>0</v>
      </c>
      <c r="J1477" s="1">
        <v>453440</v>
      </c>
      <c r="K1477">
        <f>VLOOKUP(F1477,'LEAID Match'!$A$2:$C$2979,3,FALSE)</f>
        <v>2004560</v>
      </c>
    </row>
    <row r="1478" spans="1:11" x14ac:dyDescent="0.2">
      <c r="A1478">
        <v>2006120</v>
      </c>
      <c r="B1478">
        <v>2019</v>
      </c>
      <c r="C1478" t="s">
        <v>6</v>
      </c>
      <c r="D1478" t="s">
        <v>7</v>
      </c>
      <c r="E1478" t="s">
        <v>8</v>
      </c>
      <c r="F1478">
        <v>5067</v>
      </c>
      <c r="G1478" t="s">
        <v>136</v>
      </c>
      <c r="H1478" s="1">
        <v>695412</v>
      </c>
      <c r="I1478" s="1">
        <v>0</v>
      </c>
      <c r="J1478" s="1">
        <v>695412</v>
      </c>
      <c r="K1478">
        <f>VLOOKUP(F1478,'LEAID Match'!$A$2:$C$2979,3,FALSE)</f>
        <v>2006120</v>
      </c>
    </row>
    <row r="1479" spans="1:11" x14ac:dyDescent="0.2">
      <c r="A1479">
        <v>0</v>
      </c>
      <c r="B1479">
        <v>2019</v>
      </c>
      <c r="C1479" t="s">
        <v>6</v>
      </c>
      <c r="D1479" t="s">
        <v>7</v>
      </c>
      <c r="E1479" t="s">
        <v>8</v>
      </c>
      <c r="F1479">
        <v>5068</v>
      </c>
      <c r="G1479" s="9" t="s">
        <v>137</v>
      </c>
      <c r="H1479" s="1">
        <v>625699</v>
      </c>
      <c r="I1479" s="1">
        <v>0</v>
      </c>
      <c r="J1479" s="1">
        <v>625699</v>
      </c>
      <c r="K1479">
        <f>VLOOKUP(F1479,'LEAID Match'!$A$2:$C$2979,3,FALSE)</f>
        <v>0</v>
      </c>
    </row>
    <row r="1480" spans="1:11" x14ac:dyDescent="0.2">
      <c r="A1480">
        <v>2006840</v>
      </c>
      <c r="B1480">
        <v>2019</v>
      </c>
      <c r="C1480" t="s">
        <v>6</v>
      </c>
      <c r="D1480" t="s">
        <v>7</v>
      </c>
      <c r="E1480" t="s">
        <v>8</v>
      </c>
      <c r="F1480" s="3">
        <v>5069</v>
      </c>
      <c r="G1480" s="3" t="s">
        <v>138</v>
      </c>
      <c r="H1480" s="22">
        <v>618298</v>
      </c>
      <c r="I1480" s="1">
        <v>0</v>
      </c>
      <c r="J1480" s="1">
        <v>618298</v>
      </c>
      <c r="K1480">
        <f>VLOOKUP(F1480,'LEAID Match'!$A$2:$C$2979,3,FALSE)</f>
        <v>2006840</v>
      </c>
    </row>
    <row r="1481" spans="1:11" x14ac:dyDescent="0.2">
      <c r="A1481">
        <v>2012210</v>
      </c>
      <c r="B1481">
        <v>2019</v>
      </c>
      <c r="C1481" t="s">
        <v>6</v>
      </c>
      <c r="D1481" t="s">
        <v>7</v>
      </c>
      <c r="E1481" t="s">
        <v>8</v>
      </c>
      <c r="F1481" s="3">
        <v>5070</v>
      </c>
      <c r="G1481" s="3" t="s">
        <v>139</v>
      </c>
      <c r="H1481" s="1">
        <v>1494224</v>
      </c>
      <c r="I1481" s="21">
        <v>0</v>
      </c>
      <c r="J1481" s="21">
        <v>1494224</v>
      </c>
      <c r="K1481">
        <f>VLOOKUP(F1481,'LEAID Match'!$A$2:$C$2979,3,FALSE)</f>
        <v>2012210</v>
      </c>
    </row>
    <row r="1482" spans="1:11" x14ac:dyDescent="0.2">
      <c r="A1482">
        <v>2005550</v>
      </c>
      <c r="B1482">
        <v>2019</v>
      </c>
      <c r="C1482" t="s">
        <v>6</v>
      </c>
      <c r="D1482" t="s">
        <v>7</v>
      </c>
      <c r="E1482" t="s">
        <v>8</v>
      </c>
      <c r="F1482" s="3">
        <v>5072</v>
      </c>
      <c r="G1482" s="3" t="s">
        <v>140</v>
      </c>
      <c r="H1482" s="1">
        <v>212101</v>
      </c>
      <c r="I1482" s="1">
        <v>0</v>
      </c>
      <c r="J1482" s="1">
        <v>212101</v>
      </c>
      <c r="K1482">
        <f>VLOOKUP(F1482,'LEAID Match'!$A$2:$C$2979,3,FALSE)</f>
        <v>2005550</v>
      </c>
    </row>
    <row r="1483" spans="1:11" x14ac:dyDescent="0.2">
      <c r="A1483">
        <v>2007110</v>
      </c>
      <c r="B1483">
        <v>2019</v>
      </c>
      <c r="C1483" t="s">
        <v>6</v>
      </c>
      <c r="D1483" t="s">
        <v>7</v>
      </c>
      <c r="E1483" t="s">
        <v>8</v>
      </c>
      <c r="F1483">
        <v>5073</v>
      </c>
      <c r="G1483" t="s">
        <v>141</v>
      </c>
      <c r="H1483" s="1">
        <v>381597</v>
      </c>
      <c r="I1483" s="1">
        <v>0</v>
      </c>
      <c r="J1483" s="1">
        <v>381597</v>
      </c>
      <c r="K1483">
        <f>VLOOKUP(F1483,'LEAID Match'!$A$2:$C$2979,3,FALSE)</f>
        <v>2007110</v>
      </c>
    </row>
    <row r="1484" spans="1:11" x14ac:dyDescent="0.2">
      <c r="A1484">
        <v>2011190</v>
      </c>
      <c r="B1484">
        <v>2019</v>
      </c>
      <c r="C1484" t="s">
        <v>6</v>
      </c>
      <c r="D1484" t="s">
        <v>7</v>
      </c>
      <c r="E1484" t="s">
        <v>8</v>
      </c>
      <c r="F1484">
        <v>5076</v>
      </c>
      <c r="G1484" t="s">
        <v>142</v>
      </c>
      <c r="H1484" s="1">
        <v>177290</v>
      </c>
      <c r="I1484" s="1">
        <v>0</v>
      </c>
      <c r="J1484" s="1">
        <v>177290</v>
      </c>
      <c r="K1484">
        <f>VLOOKUP(F1484,'LEAID Match'!$A$2:$C$2979,3,FALSE)</f>
        <v>2011190</v>
      </c>
    </row>
    <row r="1485" spans="1:11" x14ac:dyDescent="0.2">
      <c r="A1485">
        <v>2005790</v>
      </c>
      <c r="B1485">
        <v>2019</v>
      </c>
      <c r="C1485" t="s">
        <v>6</v>
      </c>
      <c r="D1485" t="s">
        <v>7</v>
      </c>
      <c r="E1485" t="s">
        <v>8</v>
      </c>
      <c r="F1485">
        <v>5077</v>
      </c>
      <c r="G1485" t="s">
        <v>195</v>
      </c>
      <c r="H1485" s="1">
        <v>461364</v>
      </c>
      <c r="I1485" s="1">
        <v>0</v>
      </c>
      <c r="J1485" s="1">
        <v>461364</v>
      </c>
      <c r="K1485">
        <f>VLOOKUP(F1485,'LEAID Match'!$A$2:$C$2979,3,FALSE)</f>
        <v>2005790</v>
      </c>
    </row>
    <row r="1486" spans="1:11" x14ac:dyDescent="0.2">
      <c r="A1486">
        <v>2009420</v>
      </c>
      <c r="B1486">
        <v>2019</v>
      </c>
      <c r="C1486" t="s">
        <v>6</v>
      </c>
      <c r="D1486" t="s">
        <v>7</v>
      </c>
      <c r="E1486" t="s">
        <v>8</v>
      </c>
      <c r="F1486">
        <v>5078</v>
      </c>
      <c r="G1486" t="s">
        <v>144</v>
      </c>
      <c r="H1486" s="20">
        <v>385474</v>
      </c>
      <c r="I1486" s="1">
        <v>0</v>
      </c>
      <c r="J1486" s="1">
        <v>385474</v>
      </c>
      <c r="K1486">
        <f>VLOOKUP(F1486,'LEAID Match'!$A$2:$C$2979,3,FALSE)</f>
        <v>2009420</v>
      </c>
    </row>
    <row r="1487" spans="1:11" x14ac:dyDescent="0.2">
      <c r="A1487">
        <v>2012450</v>
      </c>
      <c r="B1487">
        <v>2019</v>
      </c>
      <c r="C1487" t="s">
        <v>6</v>
      </c>
      <c r="D1487" t="s">
        <v>7</v>
      </c>
      <c r="E1487" t="s">
        <v>8</v>
      </c>
      <c r="F1487">
        <v>5079</v>
      </c>
      <c r="G1487" t="s">
        <v>145</v>
      </c>
      <c r="H1487" s="1">
        <v>423503</v>
      </c>
      <c r="I1487" s="1">
        <v>0</v>
      </c>
      <c r="J1487" s="1">
        <v>423503</v>
      </c>
      <c r="K1487">
        <f>VLOOKUP(F1487,'LEAID Match'!$A$2:$C$2979,3,FALSE)</f>
        <v>2012450</v>
      </c>
    </row>
    <row r="1488" spans="1:11" x14ac:dyDescent="0.2">
      <c r="A1488">
        <v>2006930</v>
      </c>
      <c r="B1488">
        <v>2019</v>
      </c>
      <c r="C1488" t="s">
        <v>6</v>
      </c>
      <c r="D1488" t="s">
        <v>7</v>
      </c>
      <c r="E1488" t="s">
        <v>8</v>
      </c>
      <c r="F1488">
        <v>5080</v>
      </c>
      <c r="G1488" s="9" t="s">
        <v>146</v>
      </c>
      <c r="H1488" s="1">
        <v>477096</v>
      </c>
      <c r="I1488" s="1">
        <v>0</v>
      </c>
      <c r="J1488" s="1">
        <v>477096</v>
      </c>
      <c r="K1488">
        <f>VLOOKUP(F1488,'LEAID Match'!$A$2:$C$2979,3,FALSE)</f>
        <v>2006930</v>
      </c>
    </row>
    <row r="1489" spans="1:11" x14ac:dyDescent="0.2">
      <c r="A1489">
        <v>2009450</v>
      </c>
      <c r="B1489">
        <v>2019</v>
      </c>
      <c r="C1489" t="s">
        <v>6</v>
      </c>
      <c r="D1489" t="s">
        <v>7</v>
      </c>
      <c r="E1489" t="s">
        <v>8</v>
      </c>
      <c r="F1489" s="3">
        <v>5081</v>
      </c>
      <c r="G1489" s="3" t="s">
        <v>147</v>
      </c>
      <c r="H1489" s="22">
        <v>411465</v>
      </c>
      <c r="I1489" s="1">
        <v>0</v>
      </c>
      <c r="J1489" s="1">
        <v>411465</v>
      </c>
      <c r="K1489">
        <f>VLOOKUP(F1489,'LEAID Match'!$A$2:$C$2979,3,FALSE)</f>
        <v>2009450</v>
      </c>
    </row>
    <row r="1490" spans="1:11" x14ac:dyDescent="0.2">
      <c r="A1490">
        <v>2010470</v>
      </c>
      <c r="B1490">
        <v>2019</v>
      </c>
      <c r="C1490" t="s">
        <v>6</v>
      </c>
      <c r="D1490" t="s">
        <v>7</v>
      </c>
      <c r="E1490" t="s">
        <v>8</v>
      </c>
      <c r="F1490" s="3">
        <v>5082</v>
      </c>
      <c r="G1490" s="3" t="s">
        <v>148</v>
      </c>
      <c r="H1490" s="1">
        <v>122551</v>
      </c>
      <c r="I1490" s="21">
        <v>0</v>
      </c>
      <c r="J1490" s="21">
        <v>122551</v>
      </c>
      <c r="K1490">
        <f>VLOOKUP(F1490,'LEAID Match'!$A$2:$C$2979,3,FALSE)</f>
        <v>2010470</v>
      </c>
    </row>
    <row r="1491" spans="1:11" x14ac:dyDescent="0.2">
      <c r="A1491">
        <v>2010740</v>
      </c>
      <c r="B1491">
        <v>2019</v>
      </c>
      <c r="C1491" t="s">
        <v>6</v>
      </c>
      <c r="D1491" t="s">
        <v>7</v>
      </c>
      <c r="E1491" t="s">
        <v>8</v>
      </c>
      <c r="F1491" s="3">
        <v>5083</v>
      </c>
      <c r="G1491" s="3" t="s">
        <v>149</v>
      </c>
      <c r="H1491" s="1">
        <v>300004</v>
      </c>
      <c r="I1491" s="1">
        <v>0</v>
      </c>
      <c r="J1491" s="1">
        <v>300004</v>
      </c>
      <c r="K1491">
        <f>VLOOKUP(F1491,'LEAID Match'!$A$2:$C$2979,3,FALSE)</f>
        <v>2010740</v>
      </c>
    </row>
    <row r="1492" spans="1:11" x14ac:dyDescent="0.2">
      <c r="A1492">
        <v>2007260</v>
      </c>
      <c r="B1492">
        <v>2019</v>
      </c>
      <c r="C1492" t="s">
        <v>6</v>
      </c>
      <c r="D1492" t="s">
        <v>7</v>
      </c>
      <c r="E1492" t="s">
        <v>8</v>
      </c>
      <c r="F1492">
        <v>5087</v>
      </c>
      <c r="G1492" t="s">
        <v>360</v>
      </c>
      <c r="H1492" s="1">
        <v>336061</v>
      </c>
      <c r="I1492" s="1">
        <v>0</v>
      </c>
      <c r="J1492" s="1">
        <v>336061</v>
      </c>
      <c r="K1492">
        <f>VLOOKUP(F1492,'LEAID Match'!$A$2:$C$2979,3,FALSE)</f>
        <v>2007260</v>
      </c>
    </row>
    <row r="1493" spans="1:11" x14ac:dyDescent="0.2">
      <c r="A1493">
        <v>2012870</v>
      </c>
      <c r="B1493">
        <v>2019</v>
      </c>
      <c r="C1493" t="s">
        <v>6</v>
      </c>
      <c r="D1493" t="s">
        <v>7</v>
      </c>
      <c r="E1493" t="s">
        <v>8</v>
      </c>
      <c r="F1493">
        <v>5088</v>
      </c>
      <c r="G1493" t="s">
        <v>151</v>
      </c>
      <c r="H1493" s="1">
        <v>599650</v>
      </c>
      <c r="I1493" s="1">
        <v>0</v>
      </c>
      <c r="J1493" s="1">
        <v>599650</v>
      </c>
      <c r="K1493">
        <f>VLOOKUP(F1493,'LEAID Match'!$A$2:$C$2979,3,FALSE)</f>
        <v>2012870</v>
      </c>
    </row>
    <row r="1494" spans="1:11" x14ac:dyDescent="0.2">
      <c r="A1494">
        <v>2008790</v>
      </c>
      <c r="B1494">
        <v>2019</v>
      </c>
      <c r="C1494" t="s">
        <v>6</v>
      </c>
      <c r="D1494" t="s">
        <v>7</v>
      </c>
      <c r="E1494" t="s">
        <v>8</v>
      </c>
      <c r="F1494">
        <v>5089</v>
      </c>
      <c r="G1494" t="s">
        <v>152</v>
      </c>
      <c r="H1494" s="1">
        <v>316287</v>
      </c>
      <c r="I1494" s="1">
        <v>0</v>
      </c>
      <c r="J1494" s="1">
        <v>316287</v>
      </c>
      <c r="K1494">
        <f>VLOOKUP(F1494,'LEAID Match'!$A$2:$C$2979,3,FALSE)</f>
        <v>2008790</v>
      </c>
    </row>
    <row r="1495" spans="1:11" x14ac:dyDescent="0.2">
      <c r="A1495">
        <v>2009930</v>
      </c>
      <c r="B1495">
        <v>2019</v>
      </c>
      <c r="C1495" t="s">
        <v>6</v>
      </c>
      <c r="D1495" t="s">
        <v>7</v>
      </c>
      <c r="E1495" t="s">
        <v>8</v>
      </c>
      <c r="F1495">
        <v>5090</v>
      </c>
      <c r="G1495" t="s">
        <v>153</v>
      </c>
      <c r="H1495" s="20">
        <v>232419</v>
      </c>
      <c r="I1495" s="1">
        <v>0</v>
      </c>
      <c r="J1495" s="1">
        <v>232419</v>
      </c>
      <c r="K1495">
        <f>VLOOKUP(F1495,'LEAID Match'!$A$2:$C$2979,3,FALSE)</f>
        <v>2009930</v>
      </c>
    </row>
    <row r="1496" spans="1:11" x14ac:dyDescent="0.2">
      <c r="A1496">
        <v>2007970</v>
      </c>
      <c r="B1496">
        <v>2019</v>
      </c>
      <c r="C1496" t="s">
        <v>6</v>
      </c>
      <c r="D1496" t="s">
        <v>7</v>
      </c>
      <c r="E1496" t="s">
        <v>8</v>
      </c>
      <c r="F1496">
        <v>5092</v>
      </c>
      <c r="G1496" t="s">
        <v>154</v>
      </c>
      <c r="H1496" s="1">
        <v>1236792</v>
      </c>
      <c r="I1496" s="1">
        <v>0</v>
      </c>
      <c r="J1496" s="1">
        <v>1236792</v>
      </c>
      <c r="K1496">
        <f>VLOOKUP(F1496,'LEAID Match'!$A$2:$C$2979,3,FALSE)</f>
        <v>2007970</v>
      </c>
    </row>
    <row r="1497" spans="1:11" x14ac:dyDescent="0.2">
      <c r="A1497">
        <v>2010170</v>
      </c>
      <c r="B1497">
        <v>2019</v>
      </c>
      <c r="C1497" t="s">
        <v>6</v>
      </c>
      <c r="D1497" t="s">
        <v>7</v>
      </c>
      <c r="E1497" t="s">
        <v>8</v>
      </c>
      <c r="F1497">
        <v>5093</v>
      </c>
      <c r="G1497" s="9" t="s">
        <v>155</v>
      </c>
      <c r="H1497" s="1">
        <v>284182</v>
      </c>
      <c r="I1497" s="1">
        <v>0</v>
      </c>
      <c r="J1497" s="1">
        <v>284182</v>
      </c>
      <c r="K1497">
        <f>VLOOKUP(F1497,'LEAID Match'!$A$2:$C$2979,3,FALSE)</f>
        <v>2010170</v>
      </c>
    </row>
    <row r="1498" spans="1:11" x14ac:dyDescent="0.2">
      <c r="A1498">
        <v>2003240</v>
      </c>
      <c r="B1498">
        <v>2019</v>
      </c>
      <c r="C1498" t="s">
        <v>6</v>
      </c>
      <c r="D1498" t="s">
        <v>7</v>
      </c>
      <c r="E1498" t="s">
        <v>8</v>
      </c>
      <c r="F1498" s="3">
        <v>5095</v>
      </c>
      <c r="G1498" s="3" t="s">
        <v>156</v>
      </c>
      <c r="H1498" s="22">
        <v>446336</v>
      </c>
      <c r="I1498" s="1">
        <v>0</v>
      </c>
      <c r="J1498" s="1">
        <v>446336</v>
      </c>
      <c r="K1498">
        <f>VLOOKUP(F1498,'LEAID Match'!$A$2:$C$2979,3,FALSE)</f>
        <v>2003240</v>
      </c>
    </row>
    <row r="1499" spans="1:11" x14ac:dyDescent="0.2">
      <c r="A1499">
        <v>2007750</v>
      </c>
      <c r="B1499">
        <v>2019</v>
      </c>
      <c r="C1499" t="s">
        <v>6</v>
      </c>
      <c r="D1499" t="s">
        <v>7</v>
      </c>
      <c r="E1499" t="s">
        <v>8</v>
      </c>
      <c r="F1499" s="3">
        <v>5096</v>
      </c>
      <c r="G1499" s="3" t="s">
        <v>157</v>
      </c>
      <c r="H1499" s="1">
        <v>488333</v>
      </c>
      <c r="I1499" s="21">
        <v>0</v>
      </c>
      <c r="J1499" s="21">
        <v>488333</v>
      </c>
      <c r="K1499">
        <f>VLOOKUP(F1499,'LEAID Match'!$A$2:$C$2979,3,FALSE)</f>
        <v>2007750</v>
      </c>
    </row>
    <row r="1500" spans="1:11" x14ac:dyDescent="0.2">
      <c r="A1500">
        <v>2004380</v>
      </c>
      <c r="B1500">
        <v>2019</v>
      </c>
      <c r="C1500" t="s">
        <v>6</v>
      </c>
      <c r="D1500" t="s">
        <v>7</v>
      </c>
      <c r="E1500" t="s">
        <v>8</v>
      </c>
      <c r="F1500" s="3">
        <v>5098</v>
      </c>
      <c r="G1500" s="3" t="s">
        <v>158</v>
      </c>
      <c r="H1500" s="1">
        <v>252227</v>
      </c>
      <c r="I1500" s="1">
        <v>0</v>
      </c>
      <c r="J1500" s="1">
        <v>252227</v>
      </c>
      <c r="K1500">
        <f>VLOOKUP(F1500,'LEAID Match'!$A$2:$C$2979,3,FALSE)</f>
        <v>2004380</v>
      </c>
    </row>
    <row r="1501" spans="1:11" x14ac:dyDescent="0.2">
      <c r="A1501">
        <v>2006450</v>
      </c>
      <c r="B1501">
        <v>2019</v>
      </c>
      <c r="C1501" t="s">
        <v>6</v>
      </c>
      <c r="D1501" t="s">
        <v>7</v>
      </c>
      <c r="E1501" t="s">
        <v>8</v>
      </c>
      <c r="F1501">
        <v>5099</v>
      </c>
      <c r="G1501" t="s">
        <v>159</v>
      </c>
      <c r="H1501" s="1">
        <v>881367</v>
      </c>
      <c r="I1501" s="1">
        <v>0</v>
      </c>
      <c r="J1501" s="1">
        <v>881367</v>
      </c>
      <c r="K1501">
        <f>VLOOKUP(F1501,'LEAID Match'!$A$2:$C$2979,3,FALSE)</f>
        <v>2006450</v>
      </c>
    </row>
    <row r="1502" spans="1:11" x14ac:dyDescent="0.2">
      <c r="A1502">
        <v>2010260</v>
      </c>
      <c r="B1502">
        <v>2019</v>
      </c>
      <c r="C1502" t="s">
        <v>6</v>
      </c>
      <c r="D1502" t="s">
        <v>7</v>
      </c>
      <c r="E1502" t="s">
        <v>8</v>
      </c>
      <c r="F1502">
        <v>5100</v>
      </c>
      <c r="G1502" t="s">
        <v>160</v>
      </c>
      <c r="H1502" s="1">
        <v>1001608</v>
      </c>
      <c r="I1502" s="1">
        <v>0</v>
      </c>
      <c r="J1502" s="1">
        <v>1001608</v>
      </c>
      <c r="K1502">
        <f>VLOOKUP(F1502,'LEAID Match'!$A$2:$C$2979,3,FALSE)</f>
        <v>2010260</v>
      </c>
    </row>
    <row r="1503" spans="1:11" x14ac:dyDescent="0.2">
      <c r="A1503">
        <v>2011700</v>
      </c>
      <c r="B1503">
        <v>2019</v>
      </c>
      <c r="C1503" t="s">
        <v>6</v>
      </c>
      <c r="D1503" t="s">
        <v>7</v>
      </c>
      <c r="E1503" t="s">
        <v>8</v>
      </c>
      <c r="F1503">
        <v>5101</v>
      </c>
      <c r="G1503" t="s">
        <v>161</v>
      </c>
      <c r="H1503" s="1">
        <v>672137</v>
      </c>
      <c r="I1503" s="1">
        <v>0</v>
      </c>
      <c r="J1503" s="1">
        <v>672137</v>
      </c>
      <c r="K1503">
        <f>VLOOKUP(F1503,'LEAID Match'!$A$2:$C$2979,3,FALSE)</f>
        <v>2011700</v>
      </c>
    </row>
    <row r="1504" spans="1:11" x14ac:dyDescent="0.2">
      <c r="A1504">
        <v>2004890</v>
      </c>
      <c r="B1504">
        <v>2019</v>
      </c>
      <c r="C1504" t="s">
        <v>6</v>
      </c>
      <c r="D1504" t="s">
        <v>7</v>
      </c>
      <c r="E1504" t="s">
        <v>8</v>
      </c>
      <c r="F1504">
        <v>5102</v>
      </c>
      <c r="G1504" t="s">
        <v>162</v>
      </c>
      <c r="H1504" s="20">
        <v>1597206</v>
      </c>
      <c r="I1504" s="1">
        <v>0</v>
      </c>
      <c r="J1504" s="1">
        <v>1597206</v>
      </c>
      <c r="K1504">
        <f>VLOOKUP(F1504,'LEAID Match'!$A$2:$C$2979,3,FALSE)</f>
        <v>2004890</v>
      </c>
    </row>
    <row r="1505" spans="1:11" x14ac:dyDescent="0.2">
      <c r="A1505">
        <v>2010890</v>
      </c>
      <c r="B1505">
        <v>2019</v>
      </c>
      <c r="C1505" t="s">
        <v>6</v>
      </c>
      <c r="D1505" t="s">
        <v>7</v>
      </c>
      <c r="E1505" t="s">
        <v>8</v>
      </c>
      <c r="F1505">
        <v>5103</v>
      </c>
      <c r="G1505" t="s">
        <v>163</v>
      </c>
      <c r="H1505" s="1">
        <v>837553</v>
      </c>
      <c r="I1505" s="1">
        <v>0</v>
      </c>
      <c r="J1505" s="1">
        <v>837553</v>
      </c>
      <c r="K1505">
        <f>VLOOKUP(F1505,'LEAID Match'!$A$2:$C$2979,3,FALSE)</f>
        <v>2010890</v>
      </c>
    </row>
    <row r="1506" spans="1:11" x14ac:dyDescent="0.2">
      <c r="A1506">
        <v>2004440</v>
      </c>
      <c r="B1506">
        <v>2019</v>
      </c>
      <c r="C1506" t="s">
        <v>6</v>
      </c>
      <c r="D1506" t="s">
        <v>7</v>
      </c>
      <c r="E1506" t="s">
        <v>8</v>
      </c>
      <c r="F1506">
        <v>5104</v>
      </c>
      <c r="G1506" s="9" t="s">
        <v>164</v>
      </c>
      <c r="H1506" s="1">
        <v>284430</v>
      </c>
      <c r="I1506" s="1">
        <v>0</v>
      </c>
      <c r="J1506" s="1">
        <v>284430</v>
      </c>
      <c r="K1506">
        <f>VLOOKUP(F1506,'LEAID Match'!$A$2:$C$2979,3,FALSE)</f>
        <v>2004440</v>
      </c>
    </row>
    <row r="1507" spans="1:11" x14ac:dyDescent="0.2">
      <c r="A1507">
        <v>2004140</v>
      </c>
      <c r="B1507">
        <v>2019</v>
      </c>
      <c r="C1507" t="s">
        <v>6</v>
      </c>
      <c r="D1507" t="s">
        <v>7</v>
      </c>
      <c r="E1507" t="s">
        <v>8</v>
      </c>
      <c r="F1507" s="3">
        <v>5105</v>
      </c>
      <c r="G1507" s="3" t="s">
        <v>165</v>
      </c>
      <c r="H1507" s="22">
        <v>212857</v>
      </c>
      <c r="I1507" s="1">
        <v>0</v>
      </c>
      <c r="J1507" s="1">
        <v>212857</v>
      </c>
      <c r="K1507">
        <f>VLOOKUP(F1507,'LEAID Match'!$A$2:$C$2979,3,FALSE)</f>
        <v>2004140</v>
      </c>
    </row>
    <row r="1508" spans="1:11" x14ac:dyDescent="0.2">
      <c r="A1508">
        <v>2008190</v>
      </c>
      <c r="B1508">
        <v>2019</v>
      </c>
      <c r="C1508" t="s">
        <v>6</v>
      </c>
      <c r="D1508" t="s">
        <v>7</v>
      </c>
      <c r="E1508" t="s">
        <v>8</v>
      </c>
      <c r="F1508" s="3">
        <v>5106</v>
      </c>
      <c r="G1508" s="3" t="s">
        <v>166</v>
      </c>
      <c r="H1508" s="1">
        <v>713834</v>
      </c>
      <c r="I1508" s="21">
        <v>0</v>
      </c>
      <c r="J1508" s="21">
        <v>713834</v>
      </c>
      <c r="K1508">
        <f>VLOOKUP(F1508,'LEAID Match'!$A$2:$C$2979,3,FALSE)</f>
        <v>2008190</v>
      </c>
    </row>
    <row r="1509" spans="1:11" x14ac:dyDescent="0.2">
      <c r="A1509">
        <v>2007560</v>
      </c>
      <c r="B1509">
        <v>2019</v>
      </c>
      <c r="C1509" t="s">
        <v>6</v>
      </c>
      <c r="D1509" t="s">
        <v>7</v>
      </c>
      <c r="E1509" t="s">
        <v>8</v>
      </c>
      <c r="F1509" s="3">
        <v>5116</v>
      </c>
      <c r="G1509" s="3" t="s">
        <v>167</v>
      </c>
      <c r="H1509" s="1">
        <v>887682</v>
      </c>
      <c r="I1509" s="1">
        <v>0</v>
      </c>
      <c r="J1509" s="1">
        <v>887682</v>
      </c>
      <c r="K1509">
        <f>VLOOKUP(F1509,'LEAID Match'!$A$2:$C$2979,3,FALSE)</f>
        <v>2007560</v>
      </c>
    </row>
    <row r="1510" spans="1:11" x14ac:dyDescent="0.2">
      <c r="A1510">
        <v>2003270</v>
      </c>
      <c r="B1510">
        <v>2019</v>
      </c>
      <c r="C1510" t="s">
        <v>6</v>
      </c>
      <c r="D1510" t="s">
        <v>7</v>
      </c>
      <c r="E1510" t="s">
        <v>8</v>
      </c>
      <c r="F1510">
        <v>5117</v>
      </c>
      <c r="G1510" t="s">
        <v>168</v>
      </c>
      <c r="H1510" s="1">
        <v>176311</v>
      </c>
      <c r="I1510" s="1">
        <v>0</v>
      </c>
      <c r="J1510" s="1">
        <v>176311</v>
      </c>
      <c r="K1510">
        <f>VLOOKUP(F1510,'LEAID Match'!$A$2:$C$2979,3,FALSE)</f>
        <v>2003270</v>
      </c>
    </row>
    <row r="1511" spans="1:11" x14ac:dyDescent="0.2">
      <c r="A1511">
        <v>2012420</v>
      </c>
      <c r="B1511">
        <v>2019</v>
      </c>
      <c r="C1511" t="s">
        <v>6</v>
      </c>
      <c r="D1511" t="s">
        <v>7</v>
      </c>
      <c r="E1511" t="s">
        <v>8</v>
      </c>
      <c r="F1511">
        <v>5118</v>
      </c>
      <c r="G1511" t="s">
        <v>169</v>
      </c>
      <c r="H1511" s="1">
        <v>1243409</v>
      </c>
      <c r="I1511" s="1">
        <v>0</v>
      </c>
      <c r="J1511" s="1">
        <v>1243409</v>
      </c>
      <c r="K1511">
        <f>VLOOKUP(F1511,'LEAID Match'!$A$2:$C$2979,3,FALSE)</f>
        <v>2012420</v>
      </c>
    </row>
    <row r="1512" spans="1:11" x14ac:dyDescent="0.2">
      <c r="A1512">
        <v>2009600</v>
      </c>
      <c r="B1512">
        <v>2019</v>
      </c>
      <c r="C1512" t="s">
        <v>6</v>
      </c>
      <c r="D1512" t="s">
        <v>7</v>
      </c>
      <c r="E1512" t="s">
        <v>8</v>
      </c>
      <c r="F1512">
        <v>5119</v>
      </c>
      <c r="G1512" t="s">
        <v>170</v>
      </c>
      <c r="H1512" s="1">
        <v>269043</v>
      </c>
      <c r="I1512" s="1">
        <v>0</v>
      </c>
      <c r="J1512" s="1">
        <v>269043</v>
      </c>
      <c r="K1512">
        <f>VLOOKUP(F1512,'LEAID Match'!$A$2:$C$2979,3,FALSE)</f>
        <v>2009600</v>
      </c>
    </row>
    <row r="1513" spans="1:11" x14ac:dyDescent="0.2">
      <c r="A1513">
        <v>2006420</v>
      </c>
      <c r="B1513">
        <v>2019</v>
      </c>
      <c r="C1513" t="s">
        <v>6</v>
      </c>
      <c r="D1513" t="s">
        <v>7</v>
      </c>
      <c r="E1513" t="s">
        <v>8</v>
      </c>
      <c r="F1513">
        <v>5120</v>
      </c>
      <c r="G1513" t="s">
        <v>171</v>
      </c>
      <c r="H1513" s="20">
        <v>6004836</v>
      </c>
      <c r="I1513" s="1">
        <v>0</v>
      </c>
      <c r="J1513" s="1">
        <v>6004836</v>
      </c>
      <c r="K1513">
        <f>VLOOKUP(F1513,'LEAID Match'!$A$2:$C$2979,3,FALSE)</f>
        <v>2006420</v>
      </c>
    </row>
    <row r="1514" spans="1:11" x14ac:dyDescent="0.2">
      <c r="A1514">
        <v>2008130</v>
      </c>
      <c r="B1514">
        <v>2019</v>
      </c>
      <c r="C1514" t="s">
        <v>6</v>
      </c>
      <c r="D1514" t="s">
        <v>7</v>
      </c>
      <c r="E1514" t="s">
        <v>8</v>
      </c>
      <c r="F1514">
        <v>5122</v>
      </c>
      <c r="G1514" t="s">
        <v>172</v>
      </c>
      <c r="H1514" s="1">
        <v>235288</v>
      </c>
      <c r="I1514" s="1">
        <v>0</v>
      </c>
      <c r="J1514" s="1">
        <v>235288</v>
      </c>
      <c r="K1514">
        <f>VLOOKUP(F1514,'LEAID Match'!$A$2:$C$2979,3,FALSE)</f>
        <v>2008130</v>
      </c>
    </row>
    <row r="1515" spans="1:11" x14ac:dyDescent="0.2">
      <c r="A1515">
        <v>2009660</v>
      </c>
      <c r="B1515">
        <v>2019</v>
      </c>
      <c r="C1515" t="s">
        <v>6</v>
      </c>
      <c r="D1515" t="s">
        <v>7</v>
      </c>
      <c r="E1515" t="s">
        <v>8</v>
      </c>
      <c r="F1515">
        <v>5123</v>
      </c>
      <c r="G1515" s="9" t="s">
        <v>173</v>
      </c>
      <c r="H1515" s="1">
        <v>243953</v>
      </c>
      <c r="I1515" s="1">
        <v>0</v>
      </c>
      <c r="J1515" s="1">
        <v>243953</v>
      </c>
      <c r="K1515">
        <f>VLOOKUP(F1515,'LEAID Match'!$A$2:$C$2979,3,FALSE)</f>
        <v>2009660</v>
      </c>
    </row>
    <row r="1516" spans="1:11" x14ac:dyDescent="0.2">
      <c r="A1516">
        <v>2000003</v>
      </c>
      <c r="B1516">
        <v>2019</v>
      </c>
      <c r="C1516" t="s">
        <v>6</v>
      </c>
      <c r="D1516" t="s">
        <v>7</v>
      </c>
      <c r="E1516" t="s">
        <v>8</v>
      </c>
      <c r="F1516" s="3">
        <v>5125</v>
      </c>
      <c r="G1516" s="3" t="s">
        <v>174</v>
      </c>
      <c r="H1516" s="22">
        <v>1620491</v>
      </c>
      <c r="I1516" s="1">
        <v>0</v>
      </c>
      <c r="J1516" s="1">
        <v>1620491</v>
      </c>
      <c r="K1516">
        <f>VLOOKUP(F1516,'LEAID Match'!$A$2:$C$2979,3,FALSE)</f>
        <v>2000003</v>
      </c>
    </row>
    <row r="1517" spans="1:11" x14ac:dyDescent="0.2">
      <c r="A1517">
        <v>2005370</v>
      </c>
      <c r="B1517">
        <v>2019</v>
      </c>
      <c r="C1517" t="s">
        <v>6</v>
      </c>
      <c r="D1517" t="s">
        <v>7</v>
      </c>
      <c r="E1517" t="s">
        <v>8</v>
      </c>
      <c r="F1517" s="3">
        <v>5127</v>
      </c>
      <c r="G1517" s="3" t="s">
        <v>175</v>
      </c>
      <c r="H1517" s="1">
        <v>208332</v>
      </c>
      <c r="I1517" s="21">
        <v>0</v>
      </c>
      <c r="J1517" s="21">
        <v>208332</v>
      </c>
      <c r="K1517">
        <f>VLOOKUP(F1517,'LEAID Match'!$A$2:$C$2979,3,FALSE)</f>
        <v>2005370</v>
      </c>
    </row>
    <row r="1518" spans="1:11" x14ac:dyDescent="0.2">
      <c r="A1518">
        <v>2004830</v>
      </c>
      <c r="B1518">
        <v>2019</v>
      </c>
      <c r="C1518" t="s">
        <v>6</v>
      </c>
      <c r="D1518" t="s">
        <v>7</v>
      </c>
      <c r="E1518" t="s">
        <v>8</v>
      </c>
      <c r="F1518" s="3">
        <v>5128</v>
      </c>
      <c r="G1518" s="3" t="s">
        <v>176</v>
      </c>
      <c r="H1518" s="1">
        <v>309787</v>
      </c>
      <c r="I1518" s="1">
        <v>0</v>
      </c>
      <c r="J1518" s="1">
        <v>309787</v>
      </c>
      <c r="K1518">
        <f>VLOOKUP(F1518,'LEAID Match'!$A$2:$C$2979,3,FALSE)</f>
        <v>2004830</v>
      </c>
    </row>
    <row r="1519" spans="1:11" x14ac:dyDescent="0.2">
      <c r="A1519">
        <v>2009320</v>
      </c>
      <c r="B1519">
        <v>2019</v>
      </c>
      <c r="C1519" t="s">
        <v>6</v>
      </c>
      <c r="D1519" t="s">
        <v>7</v>
      </c>
      <c r="E1519" t="s">
        <v>8</v>
      </c>
      <c r="F1519">
        <v>5129</v>
      </c>
      <c r="G1519" t="s">
        <v>177</v>
      </c>
      <c r="H1519" s="1">
        <v>774711</v>
      </c>
      <c r="I1519" s="1">
        <v>0</v>
      </c>
      <c r="J1519" s="1">
        <v>774711</v>
      </c>
      <c r="K1519">
        <f>VLOOKUP(F1519,'LEAID Match'!$A$2:$C$2979,3,FALSE)</f>
        <v>2009320</v>
      </c>
    </row>
    <row r="1520" spans="1:11" x14ac:dyDescent="0.2">
      <c r="A1520">
        <v>2010620</v>
      </c>
      <c r="B1520">
        <v>2019</v>
      </c>
      <c r="C1520" t="s">
        <v>6</v>
      </c>
      <c r="D1520" t="s">
        <v>7</v>
      </c>
      <c r="E1520" t="s">
        <v>8</v>
      </c>
      <c r="F1520">
        <v>5130</v>
      </c>
      <c r="G1520" t="s">
        <v>178</v>
      </c>
      <c r="H1520" s="1">
        <v>592812</v>
      </c>
      <c r="I1520" s="1">
        <v>0</v>
      </c>
      <c r="J1520" s="1">
        <v>592812</v>
      </c>
      <c r="K1520">
        <f>VLOOKUP(F1520,'LEAID Match'!$A$2:$C$2979,3,FALSE)</f>
        <v>2010620</v>
      </c>
    </row>
    <row r="1521" spans="1:11" x14ac:dyDescent="0.2">
      <c r="A1521">
        <v>2000016</v>
      </c>
      <c r="B1521">
        <v>2019</v>
      </c>
      <c r="C1521" t="s">
        <v>6</v>
      </c>
      <c r="D1521" t="s">
        <v>7</v>
      </c>
      <c r="E1521" t="s">
        <v>8</v>
      </c>
      <c r="F1521">
        <v>5131</v>
      </c>
      <c r="G1521" t="s">
        <v>179</v>
      </c>
      <c r="H1521" s="1">
        <v>813156</v>
      </c>
      <c r="I1521" s="1">
        <v>0</v>
      </c>
      <c r="J1521" s="1">
        <v>813156</v>
      </c>
      <c r="K1521">
        <f>VLOOKUP(F1521,'LEAID Match'!$A$2:$C$2979,3,FALSE)</f>
        <v>2000016</v>
      </c>
    </row>
    <row r="1522" spans="1:11" x14ac:dyDescent="0.2">
      <c r="A1522">
        <v>2010500</v>
      </c>
      <c r="B1522">
        <v>2019</v>
      </c>
      <c r="C1522" t="s">
        <v>6</v>
      </c>
      <c r="D1522" t="s">
        <v>7</v>
      </c>
      <c r="E1522" t="s">
        <v>8</v>
      </c>
      <c r="F1522">
        <v>5132</v>
      </c>
      <c r="G1522" t="s">
        <v>180</v>
      </c>
      <c r="H1522" s="20">
        <v>3100519</v>
      </c>
      <c r="I1522" s="1">
        <v>0</v>
      </c>
      <c r="J1522" s="1">
        <v>3100519</v>
      </c>
      <c r="K1522">
        <f>VLOOKUP(F1522,'LEAID Match'!$A$2:$C$2979,3,FALSE)</f>
        <v>2010500</v>
      </c>
    </row>
    <row r="1523" spans="1:11" x14ac:dyDescent="0.2">
      <c r="A1523">
        <v>2011820</v>
      </c>
      <c r="B1523">
        <v>2019</v>
      </c>
      <c r="C1523" t="s">
        <v>6</v>
      </c>
      <c r="D1523" t="s">
        <v>7</v>
      </c>
      <c r="E1523" t="s">
        <v>8</v>
      </c>
      <c r="F1523">
        <v>5133</v>
      </c>
      <c r="G1523" t="s">
        <v>361</v>
      </c>
      <c r="H1523" s="1">
        <v>268732</v>
      </c>
      <c r="I1523" s="1">
        <v>0</v>
      </c>
      <c r="J1523" s="1">
        <v>268732</v>
      </c>
      <c r="K1523">
        <f>VLOOKUP(F1523,'LEAID Match'!$A$2:$C$2979,3,FALSE)</f>
        <v>2011820</v>
      </c>
    </row>
    <row r="1524" spans="1:11" x14ac:dyDescent="0.2">
      <c r="A1524">
        <v>2011760</v>
      </c>
      <c r="B1524">
        <v>2019</v>
      </c>
      <c r="C1524" t="s">
        <v>6</v>
      </c>
      <c r="D1524" t="s">
        <v>7</v>
      </c>
      <c r="E1524" t="s">
        <v>8</v>
      </c>
      <c r="F1524">
        <v>5134</v>
      </c>
      <c r="G1524" s="9" t="s">
        <v>182</v>
      </c>
      <c r="H1524" s="1">
        <v>289055</v>
      </c>
      <c r="I1524" s="1">
        <v>0</v>
      </c>
      <c r="J1524" s="1">
        <v>289055</v>
      </c>
      <c r="K1524">
        <f>VLOOKUP(F1524,'LEAID Match'!$A$2:$C$2979,3,FALSE)</f>
        <v>2011760</v>
      </c>
    </row>
    <row r="1525" spans="1:11" x14ac:dyDescent="0.2">
      <c r="A1525">
        <v>2003630</v>
      </c>
      <c r="B1525">
        <v>2019</v>
      </c>
      <c r="C1525" t="s">
        <v>6</v>
      </c>
      <c r="D1525" t="s">
        <v>7</v>
      </c>
      <c r="E1525" t="s">
        <v>8</v>
      </c>
      <c r="F1525" s="3">
        <v>5135</v>
      </c>
      <c r="G1525" s="3" t="s">
        <v>183</v>
      </c>
      <c r="H1525" s="22">
        <v>1493818</v>
      </c>
      <c r="I1525" s="1">
        <v>0</v>
      </c>
      <c r="J1525" s="1">
        <v>1493818</v>
      </c>
      <c r="K1525">
        <f>VLOOKUP(F1525,'LEAID Match'!$A$2:$C$2979,3,FALSE)</f>
        <v>2003630</v>
      </c>
    </row>
    <row r="1526" spans="1:11" x14ac:dyDescent="0.2">
      <c r="A1526">
        <v>2012600</v>
      </c>
      <c r="B1526">
        <v>2019</v>
      </c>
      <c r="C1526" t="s">
        <v>6</v>
      </c>
      <c r="D1526" t="s">
        <v>7</v>
      </c>
      <c r="E1526" t="s">
        <v>8</v>
      </c>
      <c r="F1526" s="3">
        <v>5137</v>
      </c>
      <c r="G1526" s="3" t="s">
        <v>184</v>
      </c>
      <c r="H1526" s="1">
        <v>227077</v>
      </c>
      <c r="I1526" s="21">
        <v>0</v>
      </c>
      <c r="J1526" s="21">
        <v>227077</v>
      </c>
      <c r="K1526">
        <f>VLOOKUP(F1526,'LEAID Match'!$A$2:$C$2979,3,FALSE)</f>
        <v>2012600</v>
      </c>
    </row>
    <row r="1527" spans="1:11" x14ac:dyDescent="0.2">
      <c r="A1527">
        <v>2004260</v>
      </c>
      <c r="B1527">
        <v>2019</v>
      </c>
      <c r="C1527" t="s">
        <v>6</v>
      </c>
      <c r="D1527" t="s">
        <v>7</v>
      </c>
      <c r="E1527" t="s">
        <v>8</v>
      </c>
      <c r="F1527" s="3">
        <v>5138</v>
      </c>
      <c r="G1527" s="3" t="s">
        <v>185</v>
      </c>
      <c r="H1527" s="1">
        <v>220733</v>
      </c>
      <c r="I1527" s="1">
        <v>0</v>
      </c>
      <c r="J1527" s="1">
        <v>220733</v>
      </c>
      <c r="K1527">
        <f>VLOOKUP(F1527,'LEAID Match'!$A$2:$C$2979,3,FALSE)</f>
        <v>2004260</v>
      </c>
    </row>
    <row r="1528" spans="1:11" x14ac:dyDescent="0.2">
      <c r="A1528">
        <v>2012390</v>
      </c>
      <c r="B1528">
        <v>2019</v>
      </c>
      <c r="C1528" t="s">
        <v>6</v>
      </c>
      <c r="D1528" t="s">
        <v>7</v>
      </c>
      <c r="E1528" t="s">
        <v>8</v>
      </c>
      <c r="F1528">
        <v>5140</v>
      </c>
      <c r="G1528" t="s">
        <v>186</v>
      </c>
      <c r="H1528" s="1">
        <v>293545</v>
      </c>
      <c r="I1528" s="1">
        <v>0</v>
      </c>
      <c r="J1528" s="1">
        <v>293545</v>
      </c>
      <c r="K1528">
        <f>VLOOKUP(F1528,'LEAID Match'!$A$2:$C$2979,3,FALSE)</f>
        <v>2012390</v>
      </c>
    </row>
    <row r="1529" spans="1:11" x14ac:dyDescent="0.2">
      <c r="A1529">
        <v>0</v>
      </c>
      <c r="B1529">
        <v>2019</v>
      </c>
      <c r="C1529" t="s">
        <v>6</v>
      </c>
      <c r="D1529" t="s">
        <v>7</v>
      </c>
      <c r="E1529" t="s">
        <v>8</v>
      </c>
      <c r="F1529">
        <v>5141</v>
      </c>
      <c r="G1529" t="s">
        <v>187</v>
      </c>
      <c r="H1529" s="1">
        <v>393739</v>
      </c>
      <c r="I1529" s="1">
        <v>0</v>
      </c>
      <c r="J1529" s="1">
        <v>393739</v>
      </c>
      <c r="K1529">
        <f>VLOOKUP(F1529,'LEAID Match'!$A$2:$C$2979,3,FALSE)</f>
        <v>0</v>
      </c>
    </row>
    <row r="1530" spans="1:11" x14ac:dyDescent="0.2">
      <c r="A1530">
        <v>2006990</v>
      </c>
      <c r="B1530">
        <v>2019</v>
      </c>
      <c r="C1530" t="s">
        <v>6</v>
      </c>
      <c r="D1530" t="s">
        <v>7</v>
      </c>
      <c r="E1530" t="s">
        <v>8</v>
      </c>
      <c r="F1530">
        <v>5142</v>
      </c>
      <c r="G1530" t="s">
        <v>188</v>
      </c>
      <c r="H1530" s="1">
        <v>91029</v>
      </c>
      <c r="I1530" s="1">
        <v>0</v>
      </c>
      <c r="J1530" s="1">
        <v>91029</v>
      </c>
      <c r="K1530">
        <f>VLOOKUP(F1530,'LEAID Match'!$A$2:$C$2979,3,FALSE)</f>
        <v>2006990</v>
      </c>
    </row>
    <row r="1531" spans="1:11" x14ac:dyDescent="0.2">
      <c r="A1531">
        <v>2010020</v>
      </c>
      <c r="B1531">
        <v>2019</v>
      </c>
      <c r="C1531" t="s">
        <v>6</v>
      </c>
      <c r="D1531" t="s">
        <v>7</v>
      </c>
      <c r="E1531" t="s">
        <v>8</v>
      </c>
      <c r="F1531">
        <v>5143</v>
      </c>
      <c r="G1531" t="s">
        <v>189</v>
      </c>
      <c r="H1531" s="20">
        <v>576870</v>
      </c>
      <c r="I1531" s="1">
        <v>0</v>
      </c>
      <c r="J1531" s="1">
        <v>576870</v>
      </c>
      <c r="K1531">
        <f>VLOOKUP(F1531,'LEAID Match'!$A$2:$C$2979,3,FALSE)</f>
        <v>2010020</v>
      </c>
    </row>
    <row r="1532" spans="1:11" x14ac:dyDescent="0.2">
      <c r="A1532">
        <v>2005400</v>
      </c>
      <c r="B1532">
        <v>2019</v>
      </c>
      <c r="C1532" t="s">
        <v>6</v>
      </c>
      <c r="D1532" t="s">
        <v>7</v>
      </c>
      <c r="E1532" t="s">
        <v>8</v>
      </c>
      <c r="F1532">
        <v>5144</v>
      </c>
      <c r="G1532" t="s">
        <v>190</v>
      </c>
      <c r="H1532" s="1">
        <v>284853</v>
      </c>
      <c r="I1532" s="1">
        <v>0</v>
      </c>
      <c r="J1532" s="1">
        <v>284853</v>
      </c>
      <c r="K1532">
        <f>VLOOKUP(F1532,'LEAID Match'!$A$2:$C$2979,3,FALSE)</f>
        <v>2005400</v>
      </c>
    </row>
    <row r="1533" spans="1:11" x14ac:dyDescent="0.2">
      <c r="A1533">
        <v>0</v>
      </c>
      <c r="B1533">
        <v>2019</v>
      </c>
      <c r="C1533" t="s">
        <v>6</v>
      </c>
      <c r="D1533" t="s">
        <v>7</v>
      </c>
      <c r="E1533" t="s">
        <v>8</v>
      </c>
      <c r="F1533">
        <v>5145</v>
      </c>
      <c r="G1533" s="9" t="s">
        <v>191</v>
      </c>
      <c r="H1533" s="1">
        <v>264129</v>
      </c>
      <c r="I1533" s="1">
        <v>0</v>
      </c>
      <c r="J1533" s="1">
        <v>264129</v>
      </c>
      <c r="K1533">
        <f>VLOOKUP(F1533,'LEAID Match'!$A$2:$C$2979,3,FALSE)</f>
        <v>0</v>
      </c>
    </row>
    <row r="1534" spans="1:11" x14ac:dyDescent="0.2">
      <c r="A1534">
        <v>2005490</v>
      </c>
      <c r="B1534">
        <v>2019</v>
      </c>
      <c r="C1534" t="s">
        <v>6</v>
      </c>
      <c r="D1534" t="s">
        <v>7</v>
      </c>
      <c r="E1534" t="s">
        <v>8</v>
      </c>
      <c r="F1534" s="3">
        <v>5147</v>
      </c>
      <c r="G1534" s="3" t="s">
        <v>192</v>
      </c>
      <c r="H1534" s="22">
        <v>5743516</v>
      </c>
      <c r="I1534" s="1">
        <v>0</v>
      </c>
      <c r="J1534" s="1">
        <v>5743516</v>
      </c>
      <c r="K1534">
        <f>VLOOKUP(F1534,'LEAID Match'!$A$2:$C$2979,3,FALSE)</f>
        <v>2005490</v>
      </c>
    </row>
    <row r="1535" spans="1:11" x14ac:dyDescent="0.2">
      <c r="A1535">
        <v>2009570</v>
      </c>
      <c r="B1535">
        <v>2019</v>
      </c>
      <c r="C1535" t="s">
        <v>6</v>
      </c>
      <c r="D1535" t="s">
        <v>7</v>
      </c>
      <c r="E1535" t="s">
        <v>8</v>
      </c>
      <c r="F1535" s="3">
        <v>5148</v>
      </c>
      <c r="G1535" s="3" t="s">
        <v>193</v>
      </c>
      <c r="H1535" s="1">
        <v>569634</v>
      </c>
      <c r="I1535" s="21">
        <v>0</v>
      </c>
      <c r="J1535" s="21">
        <v>569634</v>
      </c>
      <c r="K1535">
        <f>VLOOKUP(F1535,'LEAID Match'!$A$2:$C$2979,3,FALSE)</f>
        <v>2009570</v>
      </c>
    </row>
    <row r="1536" spans="1:11" x14ac:dyDescent="0.2">
      <c r="A1536">
        <v>2004290</v>
      </c>
      <c r="B1536">
        <v>2019</v>
      </c>
      <c r="C1536" t="s">
        <v>6</v>
      </c>
      <c r="D1536" t="s">
        <v>7</v>
      </c>
      <c r="E1536" t="s">
        <v>8</v>
      </c>
      <c r="F1536" s="3">
        <v>5149</v>
      </c>
      <c r="G1536" s="3" t="s">
        <v>194</v>
      </c>
      <c r="H1536" s="1">
        <v>1154643</v>
      </c>
      <c r="I1536" s="1">
        <v>0</v>
      </c>
      <c r="J1536" s="1">
        <v>1154643</v>
      </c>
      <c r="K1536">
        <f>VLOOKUP(F1536,'LEAID Match'!$A$2:$C$2979,3,FALSE)</f>
        <v>2004290</v>
      </c>
    </row>
    <row r="1537" spans="1:11" x14ac:dyDescent="0.2">
      <c r="A1537">
        <v>2007740</v>
      </c>
      <c r="B1537">
        <v>2019</v>
      </c>
      <c r="C1537" t="s">
        <v>6</v>
      </c>
      <c r="D1537" t="s">
        <v>7</v>
      </c>
      <c r="E1537" t="s">
        <v>8</v>
      </c>
      <c r="F1537">
        <v>5150</v>
      </c>
      <c r="G1537" t="s">
        <v>247</v>
      </c>
      <c r="H1537" s="1">
        <v>972770</v>
      </c>
      <c r="I1537" s="1">
        <v>0</v>
      </c>
      <c r="J1537" s="1">
        <v>972770</v>
      </c>
      <c r="K1537">
        <f>VLOOKUP(F1537,'LEAID Match'!$A$2:$C$2979,3,FALSE)</f>
        <v>2007740</v>
      </c>
    </row>
    <row r="1538" spans="1:11" x14ac:dyDescent="0.2">
      <c r="A1538">
        <v>2010050</v>
      </c>
      <c r="B1538">
        <v>2019</v>
      </c>
      <c r="C1538" t="s">
        <v>6</v>
      </c>
      <c r="D1538" t="s">
        <v>7</v>
      </c>
      <c r="E1538" t="s">
        <v>8</v>
      </c>
      <c r="F1538">
        <v>5151</v>
      </c>
      <c r="G1538" t="s">
        <v>196</v>
      </c>
      <c r="H1538" s="1">
        <v>298217</v>
      </c>
      <c r="I1538" s="1">
        <v>0</v>
      </c>
      <c r="J1538" s="1">
        <v>298217</v>
      </c>
      <c r="K1538">
        <f>VLOOKUP(F1538,'LEAID Match'!$A$2:$C$2979,3,FALSE)</f>
        <v>2010050</v>
      </c>
    </row>
    <row r="1539" spans="1:11" x14ac:dyDescent="0.2">
      <c r="A1539">
        <v>2007500</v>
      </c>
      <c r="B1539">
        <v>2019</v>
      </c>
      <c r="C1539" t="s">
        <v>6</v>
      </c>
      <c r="D1539" t="s">
        <v>7</v>
      </c>
      <c r="E1539" t="s">
        <v>8</v>
      </c>
      <c r="F1539">
        <v>5152</v>
      </c>
      <c r="G1539" t="s">
        <v>197</v>
      </c>
      <c r="H1539" s="1">
        <v>642359</v>
      </c>
      <c r="I1539" s="1">
        <v>0</v>
      </c>
      <c r="J1539" s="1">
        <v>642359</v>
      </c>
      <c r="K1539">
        <f>VLOOKUP(F1539,'LEAID Match'!$A$2:$C$2979,3,FALSE)</f>
        <v>2007500</v>
      </c>
    </row>
    <row r="1540" spans="1:11" x14ac:dyDescent="0.2">
      <c r="A1540">
        <v>2005760</v>
      </c>
      <c r="B1540">
        <v>2019</v>
      </c>
      <c r="C1540" t="s">
        <v>6</v>
      </c>
      <c r="D1540" t="s">
        <v>7</v>
      </c>
      <c r="E1540" t="s">
        <v>8</v>
      </c>
      <c r="F1540">
        <v>5153</v>
      </c>
      <c r="G1540" t="s">
        <v>198</v>
      </c>
      <c r="H1540" s="20">
        <v>130037</v>
      </c>
      <c r="I1540" s="1">
        <v>0</v>
      </c>
      <c r="J1540" s="1">
        <v>130037</v>
      </c>
      <c r="K1540">
        <f>VLOOKUP(F1540,'LEAID Match'!$A$2:$C$2979,3,FALSE)</f>
        <v>2005760</v>
      </c>
    </row>
    <row r="1541" spans="1:11" x14ac:dyDescent="0.2">
      <c r="A1541">
        <v>2012120</v>
      </c>
      <c r="B1541">
        <v>2019</v>
      </c>
      <c r="C1541" t="s">
        <v>6</v>
      </c>
      <c r="D1541" t="s">
        <v>7</v>
      </c>
      <c r="E1541" t="s">
        <v>8</v>
      </c>
      <c r="F1541">
        <v>5154</v>
      </c>
      <c r="G1541" t="s">
        <v>199</v>
      </c>
      <c r="H1541" s="1">
        <v>203558</v>
      </c>
      <c r="I1541" s="1">
        <v>0</v>
      </c>
      <c r="J1541" s="1">
        <v>203558</v>
      </c>
      <c r="K1541">
        <f>VLOOKUP(F1541,'LEAID Match'!$A$2:$C$2979,3,FALSE)</f>
        <v>2012120</v>
      </c>
    </row>
    <row r="1542" spans="1:11" x14ac:dyDescent="0.2">
      <c r="A1542">
        <v>2010920</v>
      </c>
      <c r="B1542">
        <v>2019</v>
      </c>
      <c r="C1542" t="s">
        <v>6</v>
      </c>
      <c r="D1542" t="s">
        <v>7</v>
      </c>
      <c r="E1542" t="s">
        <v>8</v>
      </c>
      <c r="F1542">
        <v>5155</v>
      </c>
      <c r="G1542" s="9" t="s">
        <v>200</v>
      </c>
      <c r="H1542" s="1">
        <v>232604</v>
      </c>
      <c r="I1542" s="1">
        <v>0</v>
      </c>
      <c r="J1542" s="1">
        <v>232604</v>
      </c>
      <c r="K1542">
        <f>VLOOKUP(F1542,'LEAID Match'!$A$2:$C$2979,3,FALSE)</f>
        <v>2010920</v>
      </c>
    </row>
    <row r="1543" spans="1:11" x14ac:dyDescent="0.2">
      <c r="A1543">
        <v>2005010</v>
      </c>
      <c r="B1543">
        <v>2019</v>
      </c>
      <c r="C1543" t="s">
        <v>6</v>
      </c>
      <c r="D1543" t="s">
        <v>7</v>
      </c>
      <c r="E1543" t="s">
        <v>8</v>
      </c>
      <c r="F1543" s="3">
        <v>5156</v>
      </c>
      <c r="G1543" s="3" t="s">
        <v>201</v>
      </c>
      <c r="H1543" s="22">
        <v>679643</v>
      </c>
      <c r="I1543" s="1">
        <v>0</v>
      </c>
      <c r="J1543" s="1">
        <v>679643</v>
      </c>
      <c r="K1543">
        <f>VLOOKUP(F1543,'LEAID Match'!$A$2:$C$2979,3,FALSE)</f>
        <v>2005010</v>
      </c>
    </row>
    <row r="1544" spans="1:11" x14ac:dyDescent="0.2">
      <c r="A1544">
        <v>2008910</v>
      </c>
      <c r="B1544">
        <v>2019</v>
      </c>
      <c r="C1544" t="s">
        <v>6</v>
      </c>
      <c r="D1544" t="s">
        <v>7</v>
      </c>
      <c r="E1544" t="s">
        <v>8</v>
      </c>
      <c r="F1544" s="3">
        <v>5157</v>
      </c>
      <c r="G1544" s="3" t="s">
        <v>202</v>
      </c>
      <c r="H1544" s="1">
        <v>150420</v>
      </c>
      <c r="I1544" s="21">
        <v>0</v>
      </c>
      <c r="J1544" s="21">
        <v>150420</v>
      </c>
      <c r="K1544">
        <f>VLOOKUP(F1544,'LEAID Match'!$A$2:$C$2979,3,FALSE)</f>
        <v>2008910</v>
      </c>
    </row>
    <row r="1545" spans="1:11" x14ac:dyDescent="0.2">
      <c r="A1545">
        <v>2008070</v>
      </c>
      <c r="B1545">
        <v>2019</v>
      </c>
      <c r="C1545" t="s">
        <v>6</v>
      </c>
      <c r="D1545" t="s">
        <v>7</v>
      </c>
      <c r="E1545" t="s">
        <v>8</v>
      </c>
      <c r="F1545" s="3">
        <v>5158</v>
      </c>
      <c r="G1545" s="3" t="s">
        <v>203</v>
      </c>
      <c r="H1545" s="1">
        <v>747761</v>
      </c>
      <c r="I1545" s="1">
        <v>0</v>
      </c>
      <c r="J1545" s="1">
        <v>747761</v>
      </c>
      <c r="K1545">
        <f>VLOOKUP(F1545,'LEAID Match'!$A$2:$C$2979,3,FALSE)</f>
        <v>2008070</v>
      </c>
    </row>
    <row r="1546" spans="1:11" x14ac:dyDescent="0.2">
      <c r="A1546">
        <v>2005100</v>
      </c>
      <c r="B1546">
        <v>2019</v>
      </c>
      <c r="C1546" t="s">
        <v>6</v>
      </c>
      <c r="D1546" t="s">
        <v>7</v>
      </c>
      <c r="E1546" t="s">
        <v>8</v>
      </c>
      <c r="F1546">
        <v>5159</v>
      </c>
      <c r="G1546" t="s">
        <v>204</v>
      </c>
      <c r="H1546" s="1">
        <v>1218525</v>
      </c>
      <c r="I1546" s="1">
        <v>0</v>
      </c>
      <c r="J1546" s="1">
        <v>1218525</v>
      </c>
      <c r="K1546">
        <f>VLOOKUP(F1546,'LEAID Match'!$A$2:$C$2979,3,FALSE)</f>
        <v>2005100</v>
      </c>
    </row>
    <row r="1547" spans="1:11" x14ac:dyDescent="0.2">
      <c r="A1547">
        <v>2008100</v>
      </c>
      <c r="B1547">
        <v>2019</v>
      </c>
      <c r="C1547" t="s">
        <v>6</v>
      </c>
      <c r="D1547" t="s">
        <v>7</v>
      </c>
      <c r="E1547" t="s">
        <v>8</v>
      </c>
      <c r="F1547">
        <v>5160</v>
      </c>
      <c r="G1547" t="s">
        <v>205</v>
      </c>
      <c r="H1547" s="1">
        <v>296531</v>
      </c>
      <c r="I1547" s="1">
        <v>0</v>
      </c>
      <c r="J1547" s="1">
        <v>296531</v>
      </c>
      <c r="K1547">
        <f>VLOOKUP(F1547,'LEAID Match'!$A$2:$C$2979,3,FALSE)</f>
        <v>2008100</v>
      </c>
    </row>
    <row r="1548" spans="1:11" x14ac:dyDescent="0.2">
      <c r="A1548">
        <v>2005130</v>
      </c>
      <c r="B1548">
        <v>2019</v>
      </c>
      <c r="C1548" t="s">
        <v>6</v>
      </c>
      <c r="D1548" t="s">
        <v>7</v>
      </c>
      <c r="E1548" t="s">
        <v>8</v>
      </c>
      <c r="F1548">
        <v>5161</v>
      </c>
      <c r="G1548" t="s">
        <v>206</v>
      </c>
      <c r="H1548" s="1">
        <v>413423</v>
      </c>
      <c r="I1548" s="1">
        <v>0</v>
      </c>
      <c r="J1548" s="1">
        <v>413423</v>
      </c>
      <c r="K1548">
        <f>VLOOKUP(F1548,'LEAID Match'!$A$2:$C$2979,3,FALSE)</f>
        <v>2005130</v>
      </c>
    </row>
    <row r="1549" spans="1:11" x14ac:dyDescent="0.2">
      <c r="A1549">
        <v>2005700</v>
      </c>
      <c r="B1549">
        <v>2019</v>
      </c>
      <c r="C1549" t="s">
        <v>6</v>
      </c>
      <c r="D1549" t="s">
        <v>7</v>
      </c>
      <c r="E1549" t="s">
        <v>8</v>
      </c>
      <c r="F1549">
        <v>5162</v>
      </c>
      <c r="G1549" t="s">
        <v>207</v>
      </c>
      <c r="H1549" s="20">
        <v>411875</v>
      </c>
      <c r="I1549" s="1">
        <v>0</v>
      </c>
      <c r="J1549" s="1">
        <v>411875</v>
      </c>
      <c r="K1549">
        <f>VLOOKUP(F1549,'LEAID Match'!$A$2:$C$2979,3,FALSE)</f>
        <v>2005700</v>
      </c>
    </row>
    <row r="1550" spans="1:11" x14ac:dyDescent="0.2">
      <c r="A1550">
        <v>2008220</v>
      </c>
      <c r="B1550">
        <v>2019</v>
      </c>
      <c r="C1550" t="s">
        <v>6</v>
      </c>
      <c r="D1550" t="s">
        <v>7</v>
      </c>
      <c r="E1550" t="s">
        <v>8</v>
      </c>
      <c r="F1550">
        <v>5163</v>
      </c>
      <c r="G1550" t="s">
        <v>208</v>
      </c>
      <c r="H1550" s="1">
        <v>282823</v>
      </c>
      <c r="I1550" s="1">
        <v>0</v>
      </c>
      <c r="J1550" s="1">
        <v>282823</v>
      </c>
      <c r="K1550">
        <f>VLOOKUP(F1550,'LEAID Match'!$A$2:$C$2979,3,FALSE)</f>
        <v>2008220</v>
      </c>
    </row>
    <row r="1551" spans="1:11" x14ac:dyDescent="0.2">
      <c r="A1551">
        <v>2007530</v>
      </c>
      <c r="B1551">
        <v>2019</v>
      </c>
      <c r="C1551" t="s">
        <v>6</v>
      </c>
      <c r="D1551" t="s">
        <v>7</v>
      </c>
      <c r="E1551" t="s">
        <v>8</v>
      </c>
      <c r="F1551">
        <v>5164</v>
      </c>
      <c r="G1551" s="9" t="s">
        <v>209</v>
      </c>
      <c r="H1551" s="1">
        <v>310049</v>
      </c>
      <c r="I1551" s="1">
        <v>0</v>
      </c>
      <c r="J1551" s="1">
        <v>310049</v>
      </c>
      <c r="K1551">
        <f>VLOOKUP(F1551,'LEAID Match'!$A$2:$C$2979,3,FALSE)</f>
        <v>2007530</v>
      </c>
    </row>
    <row r="1552" spans="1:11" x14ac:dyDescent="0.2">
      <c r="A1552">
        <v>2012330</v>
      </c>
      <c r="B1552">
        <v>2019</v>
      </c>
      <c r="C1552" t="s">
        <v>6</v>
      </c>
      <c r="D1552" t="s">
        <v>7</v>
      </c>
      <c r="E1552" t="s">
        <v>8</v>
      </c>
      <c r="F1552" s="3">
        <v>5166</v>
      </c>
      <c r="G1552" s="3" t="s">
        <v>210</v>
      </c>
      <c r="H1552" s="22">
        <v>241134</v>
      </c>
      <c r="I1552" s="1">
        <v>0</v>
      </c>
      <c r="J1552" s="1">
        <v>241134</v>
      </c>
      <c r="K1552">
        <f>VLOOKUP(F1552,'LEAID Match'!$A$2:$C$2979,3,FALSE)</f>
        <v>2012330</v>
      </c>
    </row>
    <row r="1553" spans="1:11" x14ac:dyDescent="0.2">
      <c r="A1553">
        <v>2007470</v>
      </c>
      <c r="B1553">
        <v>2019</v>
      </c>
      <c r="C1553" t="s">
        <v>6</v>
      </c>
      <c r="D1553" t="s">
        <v>7</v>
      </c>
      <c r="E1553" t="s">
        <v>8</v>
      </c>
      <c r="F1553" s="3">
        <v>5167</v>
      </c>
      <c r="G1553" s="3" t="s">
        <v>211</v>
      </c>
      <c r="H1553" s="1">
        <v>557717</v>
      </c>
      <c r="I1553" s="21">
        <v>0</v>
      </c>
      <c r="J1553" s="21">
        <v>557717</v>
      </c>
      <c r="K1553">
        <f>VLOOKUP(F1553,'LEAID Match'!$A$2:$C$2979,3,FALSE)</f>
        <v>2007470</v>
      </c>
    </row>
    <row r="1554" spans="1:11" x14ac:dyDescent="0.2">
      <c r="A1554">
        <v>2007320</v>
      </c>
      <c r="B1554">
        <v>2019</v>
      </c>
      <c r="C1554" t="s">
        <v>6</v>
      </c>
      <c r="D1554" t="s">
        <v>7</v>
      </c>
      <c r="E1554" t="s">
        <v>8</v>
      </c>
      <c r="F1554" s="3">
        <v>5168</v>
      </c>
      <c r="G1554" s="3" t="s">
        <v>212</v>
      </c>
      <c r="H1554" s="1">
        <v>610342</v>
      </c>
      <c r="I1554" s="1">
        <v>0</v>
      </c>
      <c r="J1554" s="1">
        <v>610342</v>
      </c>
      <c r="K1554">
        <f>VLOOKUP(F1554,'LEAID Match'!$A$2:$C$2979,3,FALSE)</f>
        <v>2007320</v>
      </c>
    </row>
    <row r="1555" spans="1:11" x14ac:dyDescent="0.2">
      <c r="A1555">
        <v>2008880</v>
      </c>
      <c r="B1555">
        <v>2019</v>
      </c>
      <c r="C1555" t="s">
        <v>6</v>
      </c>
      <c r="D1555" t="s">
        <v>7</v>
      </c>
      <c r="E1555" t="s">
        <v>8</v>
      </c>
      <c r="F1555">
        <v>5171</v>
      </c>
      <c r="G1555" t="s">
        <v>213</v>
      </c>
      <c r="H1555" s="1">
        <v>265285</v>
      </c>
      <c r="I1555" s="1">
        <v>0</v>
      </c>
      <c r="J1555" s="1">
        <v>265285</v>
      </c>
      <c r="K1555">
        <f>VLOOKUP(F1555,'LEAID Match'!$A$2:$C$2979,3,FALSE)</f>
        <v>2008880</v>
      </c>
    </row>
    <row r="1556" spans="1:11" x14ac:dyDescent="0.2">
      <c r="A1556">
        <v>2004740</v>
      </c>
      <c r="B1556">
        <v>2019</v>
      </c>
      <c r="C1556" t="s">
        <v>6</v>
      </c>
      <c r="D1556" t="s">
        <v>7</v>
      </c>
      <c r="E1556" t="s">
        <v>8</v>
      </c>
      <c r="F1556">
        <v>5172</v>
      </c>
      <c r="G1556" t="s">
        <v>214</v>
      </c>
      <c r="H1556" s="1">
        <v>710111</v>
      </c>
      <c r="I1556" s="1">
        <v>0</v>
      </c>
      <c r="J1556" s="1">
        <v>710111</v>
      </c>
      <c r="K1556">
        <f>VLOOKUP(F1556,'LEAID Match'!$A$2:$C$2979,3,FALSE)</f>
        <v>2004740</v>
      </c>
    </row>
    <row r="1557" spans="1:11" x14ac:dyDescent="0.2">
      <c r="A1557">
        <v>2007860</v>
      </c>
      <c r="B1557">
        <v>2019</v>
      </c>
      <c r="C1557" t="s">
        <v>6</v>
      </c>
      <c r="D1557" t="s">
        <v>7</v>
      </c>
      <c r="E1557" t="s">
        <v>8</v>
      </c>
      <c r="F1557">
        <v>5173</v>
      </c>
      <c r="G1557" t="s">
        <v>215</v>
      </c>
      <c r="H1557" s="1">
        <v>413732</v>
      </c>
      <c r="I1557" s="1">
        <v>0</v>
      </c>
      <c r="J1557" s="1">
        <v>413732</v>
      </c>
      <c r="K1557">
        <f>VLOOKUP(F1557,'LEAID Match'!$A$2:$C$2979,3,FALSE)</f>
        <v>2007860</v>
      </c>
    </row>
    <row r="1558" spans="1:11" x14ac:dyDescent="0.2">
      <c r="A1558">
        <v>2007170</v>
      </c>
      <c r="B1558">
        <v>2019</v>
      </c>
      <c r="C1558" t="s">
        <v>6</v>
      </c>
      <c r="D1558" t="s">
        <v>7</v>
      </c>
      <c r="E1558" t="s">
        <v>8</v>
      </c>
      <c r="F1558">
        <v>5174</v>
      </c>
      <c r="G1558" t="s">
        <v>216</v>
      </c>
      <c r="H1558" s="20">
        <v>588870</v>
      </c>
      <c r="I1558" s="1">
        <v>0</v>
      </c>
      <c r="J1558" s="1">
        <v>588870</v>
      </c>
      <c r="K1558">
        <f>VLOOKUP(F1558,'LEAID Match'!$A$2:$C$2979,3,FALSE)</f>
        <v>2007170</v>
      </c>
    </row>
    <row r="1559" spans="1:11" x14ac:dyDescent="0.2">
      <c r="A1559">
        <v>2004230</v>
      </c>
      <c r="B1559">
        <v>2019</v>
      </c>
      <c r="C1559" t="s">
        <v>6</v>
      </c>
      <c r="D1559" t="s">
        <v>7</v>
      </c>
      <c r="E1559" t="s">
        <v>8</v>
      </c>
      <c r="F1559">
        <v>5175</v>
      </c>
      <c r="G1559" t="s">
        <v>217</v>
      </c>
      <c r="H1559" s="1">
        <v>321253</v>
      </c>
      <c r="I1559" s="1">
        <v>0</v>
      </c>
      <c r="J1559" s="1">
        <v>321253</v>
      </c>
      <c r="K1559">
        <f>VLOOKUP(F1559,'LEAID Match'!$A$2:$C$2979,3,FALSE)</f>
        <v>2004230</v>
      </c>
    </row>
    <row r="1560" spans="1:11" x14ac:dyDescent="0.2">
      <c r="A1560">
        <v>2008340</v>
      </c>
      <c r="B1560">
        <v>2019</v>
      </c>
      <c r="C1560" t="s">
        <v>6</v>
      </c>
      <c r="D1560" t="s">
        <v>7</v>
      </c>
      <c r="E1560" t="s">
        <v>8</v>
      </c>
      <c r="F1560">
        <v>5176</v>
      </c>
      <c r="G1560" s="9" t="s">
        <v>218</v>
      </c>
      <c r="H1560" s="1">
        <v>2242454</v>
      </c>
      <c r="I1560" s="1">
        <v>0</v>
      </c>
      <c r="J1560" s="1">
        <v>2242454</v>
      </c>
      <c r="K1560">
        <f>VLOOKUP(F1560,'LEAID Match'!$A$2:$C$2979,3,FALSE)</f>
        <v>2008340</v>
      </c>
    </row>
    <row r="1561" spans="1:11" x14ac:dyDescent="0.2">
      <c r="A1561">
        <v>2012000</v>
      </c>
      <c r="B1561">
        <v>2019</v>
      </c>
      <c r="C1561" t="s">
        <v>6</v>
      </c>
      <c r="D1561" t="s">
        <v>7</v>
      </c>
      <c r="E1561" t="s">
        <v>8</v>
      </c>
      <c r="F1561" s="3">
        <v>5185</v>
      </c>
      <c r="G1561" s="3" t="s">
        <v>219</v>
      </c>
      <c r="H1561" s="22">
        <v>21067990</v>
      </c>
      <c r="I1561" s="1">
        <v>0</v>
      </c>
      <c r="J1561" s="1">
        <v>21067990</v>
      </c>
      <c r="K1561">
        <f>VLOOKUP(F1561,'LEAID Match'!$A$2:$C$2979,3,FALSE)</f>
        <v>2012000</v>
      </c>
    </row>
    <row r="1562" spans="1:11" x14ac:dyDescent="0.2">
      <c r="A1562">
        <v>2000007</v>
      </c>
      <c r="B1562">
        <v>2019</v>
      </c>
      <c r="C1562" t="s">
        <v>6</v>
      </c>
      <c r="D1562" t="s">
        <v>7</v>
      </c>
      <c r="E1562" t="s">
        <v>8</v>
      </c>
      <c r="F1562" s="3">
        <v>5186</v>
      </c>
      <c r="G1562" s="3" t="s">
        <v>220</v>
      </c>
      <c r="H1562" s="1">
        <v>369454</v>
      </c>
      <c r="I1562" s="21">
        <v>0</v>
      </c>
      <c r="J1562" s="21">
        <v>369454</v>
      </c>
      <c r="K1562">
        <f>VLOOKUP(F1562,'LEAID Match'!$A$2:$C$2979,3,FALSE)</f>
        <v>2000007</v>
      </c>
    </row>
    <row r="1563" spans="1:11" x14ac:dyDescent="0.2">
      <c r="A1563">
        <v>2003960</v>
      </c>
      <c r="B1563">
        <v>2019</v>
      </c>
      <c r="C1563" t="s">
        <v>6</v>
      </c>
      <c r="D1563" t="s">
        <v>7</v>
      </c>
      <c r="E1563" t="s">
        <v>8</v>
      </c>
      <c r="F1563" s="3">
        <v>5187</v>
      </c>
      <c r="G1563" s="3" t="s">
        <v>221</v>
      </c>
      <c r="H1563" s="1">
        <v>483746</v>
      </c>
      <c r="I1563" s="1">
        <v>0</v>
      </c>
      <c r="J1563" s="1">
        <v>483746</v>
      </c>
      <c r="K1563">
        <f>VLOOKUP(F1563,'LEAID Match'!$A$2:$C$2979,3,FALSE)</f>
        <v>2003960</v>
      </c>
    </row>
    <row r="1564" spans="1:11" x14ac:dyDescent="0.2">
      <c r="A1564">
        <v>2012060</v>
      </c>
      <c r="B1564">
        <v>2019</v>
      </c>
      <c r="C1564" t="s">
        <v>6</v>
      </c>
      <c r="D1564" t="s">
        <v>7</v>
      </c>
      <c r="E1564" t="s">
        <v>8</v>
      </c>
      <c r="F1564">
        <v>5188</v>
      </c>
      <c r="G1564" t="s">
        <v>222</v>
      </c>
      <c r="H1564" s="1">
        <v>264348</v>
      </c>
      <c r="I1564" s="1">
        <v>0</v>
      </c>
      <c r="J1564" s="1">
        <v>264348</v>
      </c>
      <c r="K1564">
        <f>VLOOKUP(F1564,'LEAID Match'!$A$2:$C$2979,3,FALSE)</f>
        <v>2012060</v>
      </c>
    </row>
    <row r="1565" spans="1:11" x14ac:dyDescent="0.2">
      <c r="A1565">
        <v>2006780</v>
      </c>
      <c r="B1565">
        <v>2019</v>
      </c>
      <c r="C1565" t="s">
        <v>6</v>
      </c>
      <c r="D1565" t="s">
        <v>7</v>
      </c>
      <c r="E1565" t="s">
        <v>8</v>
      </c>
      <c r="F1565">
        <v>5189</v>
      </c>
      <c r="G1565" t="s">
        <v>223</v>
      </c>
      <c r="H1565" s="1">
        <v>97520</v>
      </c>
      <c r="I1565" s="1">
        <v>0</v>
      </c>
      <c r="J1565" s="1">
        <v>97520</v>
      </c>
      <c r="K1565">
        <f>VLOOKUP(F1565,'LEAID Match'!$A$2:$C$2979,3,FALSE)</f>
        <v>2006780</v>
      </c>
    </row>
    <row r="1566" spans="1:11" x14ac:dyDescent="0.2">
      <c r="A1566">
        <v>2011880</v>
      </c>
      <c r="B1566">
        <v>2019</v>
      </c>
      <c r="C1566" t="s">
        <v>6</v>
      </c>
      <c r="D1566" t="s">
        <v>7</v>
      </c>
      <c r="E1566" t="s">
        <v>8</v>
      </c>
      <c r="F1566">
        <v>5190</v>
      </c>
      <c r="G1566" t="s">
        <v>224</v>
      </c>
      <c r="H1566" s="1">
        <v>281688</v>
      </c>
      <c r="I1566" s="1">
        <v>0</v>
      </c>
      <c r="J1566" s="1">
        <v>281688</v>
      </c>
      <c r="K1566">
        <f>VLOOKUP(F1566,'LEAID Match'!$A$2:$C$2979,3,FALSE)</f>
        <v>2011880</v>
      </c>
    </row>
    <row r="1567" spans="1:11" x14ac:dyDescent="0.2">
      <c r="A1567">
        <v>2009990</v>
      </c>
      <c r="B1567">
        <v>2019</v>
      </c>
      <c r="C1567" t="s">
        <v>6</v>
      </c>
      <c r="D1567" t="s">
        <v>7</v>
      </c>
      <c r="E1567" t="s">
        <v>8</v>
      </c>
      <c r="F1567">
        <v>5191</v>
      </c>
      <c r="G1567" t="s">
        <v>225</v>
      </c>
      <c r="H1567" s="20">
        <v>1017989</v>
      </c>
      <c r="I1567" s="1">
        <v>0</v>
      </c>
      <c r="J1567" s="1">
        <v>1017989</v>
      </c>
      <c r="K1567">
        <f>VLOOKUP(F1567,'LEAID Match'!$A$2:$C$2979,3,FALSE)</f>
        <v>2009990</v>
      </c>
    </row>
    <row r="1568" spans="1:11" x14ac:dyDescent="0.2">
      <c r="A1568">
        <v>2008310</v>
      </c>
      <c r="B1568">
        <v>2019</v>
      </c>
      <c r="C1568" t="s">
        <v>6</v>
      </c>
      <c r="D1568" t="s">
        <v>7</v>
      </c>
      <c r="E1568" t="s">
        <v>8</v>
      </c>
      <c r="F1568">
        <v>5192</v>
      </c>
      <c r="G1568" t="s">
        <v>226</v>
      </c>
      <c r="H1568" s="1">
        <v>319196</v>
      </c>
      <c r="I1568" s="1">
        <v>0</v>
      </c>
      <c r="J1568" s="1">
        <v>319196</v>
      </c>
      <c r="K1568">
        <f>VLOOKUP(F1568,'LEAID Match'!$A$2:$C$2979,3,FALSE)</f>
        <v>2008310</v>
      </c>
    </row>
    <row r="1569" spans="1:11" x14ac:dyDescent="0.2">
      <c r="A1569">
        <v>2004200</v>
      </c>
      <c r="B1569">
        <v>2019</v>
      </c>
      <c r="C1569" t="s">
        <v>6</v>
      </c>
      <c r="D1569" t="s">
        <v>7</v>
      </c>
      <c r="E1569" t="s">
        <v>8</v>
      </c>
      <c r="F1569">
        <v>5193</v>
      </c>
      <c r="G1569" s="9" t="s">
        <v>227</v>
      </c>
      <c r="H1569" s="1">
        <v>1620039</v>
      </c>
      <c r="I1569" s="1">
        <v>0</v>
      </c>
      <c r="J1569" s="1">
        <v>1620039</v>
      </c>
      <c r="K1569">
        <f>VLOOKUP(F1569,'LEAID Match'!$A$2:$C$2979,3,FALSE)</f>
        <v>2004200</v>
      </c>
    </row>
    <row r="1570" spans="1:11" x14ac:dyDescent="0.2">
      <c r="A1570">
        <v>2000004</v>
      </c>
      <c r="B1570">
        <v>2019</v>
      </c>
      <c r="C1570" t="s">
        <v>6</v>
      </c>
      <c r="D1570" t="s">
        <v>7</v>
      </c>
      <c r="E1570" t="s">
        <v>8</v>
      </c>
      <c r="F1570" s="3">
        <v>5195</v>
      </c>
      <c r="G1570" s="3" t="s">
        <v>228</v>
      </c>
      <c r="H1570" s="1">
        <v>716065</v>
      </c>
      <c r="I1570" s="21">
        <v>0</v>
      </c>
      <c r="J1570" s="21">
        <v>716065</v>
      </c>
      <c r="K1570">
        <f>VLOOKUP(F1570,'LEAID Match'!$A$2:$C$2979,3,FALSE)</f>
        <v>2000004</v>
      </c>
    </row>
    <row r="1571" spans="1:11" x14ac:dyDescent="0.2">
      <c r="A1571">
        <v>2010320</v>
      </c>
      <c r="B1571">
        <v>2019</v>
      </c>
      <c r="C1571" t="s">
        <v>6</v>
      </c>
      <c r="D1571" t="s">
        <v>7</v>
      </c>
      <c r="E1571" t="s">
        <v>8</v>
      </c>
      <c r="F1571" s="3">
        <v>5196</v>
      </c>
      <c r="G1571" s="3" t="s">
        <v>229</v>
      </c>
      <c r="H1571" s="1">
        <v>526163</v>
      </c>
      <c r="I1571" s="1">
        <v>0</v>
      </c>
      <c r="J1571" s="1">
        <v>526163</v>
      </c>
      <c r="K1571">
        <f>VLOOKUP(F1571,'LEAID Match'!$A$2:$C$2979,3,FALSE)</f>
        <v>2010320</v>
      </c>
    </row>
    <row r="1572" spans="1:11" x14ac:dyDescent="0.2">
      <c r="A1572">
        <v>2009060</v>
      </c>
      <c r="B1572">
        <v>2019</v>
      </c>
      <c r="C1572" t="s">
        <v>6</v>
      </c>
      <c r="D1572" t="s">
        <v>7</v>
      </c>
      <c r="E1572" t="s">
        <v>8</v>
      </c>
      <c r="F1572">
        <v>5197</v>
      </c>
      <c r="G1572" t="s">
        <v>230</v>
      </c>
      <c r="H1572" s="1">
        <v>282898</v>
      </c>
      <c r="I1572" s="1">
        <v>0</v>
      </c>
      <c r="J1572" s="1">
        <v>282898</v>
      </c>
      <c r="K1572">
        <f>VLOOKUP(F1572,'LEAID Match'!$A$2:$C$2979,3,FALSE)</f>
        <v>2009060</v>
      </c>
    </row>
    <row r="1573" spans="1:11" x14ac:dyDescent="0.2">
      <c r="A1573">
        <v>2012840</v>
      </c>
      <c r="B1573">
        <v>2019</v>
      </c>
      <c r="C1573" t="s">
        <v>6</v>
      </c>
      <c r="D1573" t="s">
        <v>7</v>
      </c>
      <c r="E1573" t="s">
        <v>8</v>
      </c>
      <c r="F1573">
        <v>5198</v>
      </c>
      <c r="G1573" t="s">
        <v>231</v>
      </c>
      <c r="H1573" s="1">
        <v>1418382</v>
      </c>
      <c r="I1573" s="1">
        <v>0</v>
      </c>
      <c r="J1573" s="1">
        <v>1418382</v>
      </c>
      <c r="K1573">
        <f>VLOOKUP(F1573,'LEAID Match'!$A$2:$C$2979,3,FALSE)</f>
        <v>2012840</v>
      </c>
    </row>
    <row r="1574" spans="1:11" x14ac:dyDescent="0.2">
      <c r="A1574">
        <v>2005820</v>
      </c>
      <c r="B1574">
        <v>2019</v>
      </c>
      <c r="C1574" t="s">
        <v>6</v>
      </c>
      <c r="D1574" t="s">
        <v>7</v>
      </c>
      <c r="E1574" t="s">
        <v>8</v>
      </c>
      <c r="F1574">
        <v>5199</v>
      </c>
      <c r="G1574" t="s">
        <v>232</v>
      </c>
      <c r="H1574" s="1">
        <v>412629</v>
      </c>
      <c r="I1574" s="1">
        <v>0</v>
      </c>
      <c r="J1574" s="1">
        <v>412629</v>
      </c>
      <c r="K1574">
        <f>VLOOKUP(F1574,'LEAID Match'!$A$2:$C$2979,3,FALSE)</f>
        <v>2005820</v>
      </c>
    </row>
    <row r="1575" spans="1:11" x14ac:dyDescent="0.2">
      <c r="A1575">
        <v>2008250</v>
      </c>
      <c r="B1575">
        <v>2019</v>
      </c>
      <c r="C1575" t="s">
        <v>6</v>
      </c>
      <c r="D1575" t="s">
        <v>7</v>
      </c>
      <c r="E1575" t="s">
        <v>8</v>
      </c>
      <c r="F1575">
        <v>5200</v>
      </c>
      <c r="G1575" t="s">
        <v>233</v>
      </c>
      <c r="H1575" s="20">
        <v>911558</v>
      </c>
      <c r="I1575" s="1">
        <v>0</v>
      </c>
      <c r="J1575" s="1">
        <v>911558</v>
      </c>
      <c r="K1575">
        <f>VLOOKUP(F1575,'LEAID Match'!$A$2:$C$2979,3,FALSE)</f>
        <v>2008250</v>
      </c>
    </row>
    <row r="1576" spans="1:11" x14ac:dyDescent="0.2">
      <c r="A1576">
        <v>2004350</v>
      </c>
      <c r="B1576">
        <v>2019</v>
      </c>
      <c r="C1576" t="s">
        <v>6</v>
      </c>
      <c r="D1576" t="s">
        <v>7</v>
      </c>
      <c r="E1576" t="s">
        <v>8</v>
      </c>
      <c r="F1576">
        <v>5201</v>
      </c>
      <c r="G1576" t="s">
        <v>234</v>
      </c>
      <c r="H1576" s="1">
        <v>216111</v>
      </c>
      <c r="I1576" s="1">
        <v>0</v>
      </c>
      <c r="J1576" s="1">
        <v>216111</v>
      </c>
      <c r="K1576">
        <f>VLOOKUP(F1576,'LEAID Match'!$A$2:$C$2979,3,FALSE)</f>
        <v>2004350</v>
      </c>
    </row>
    <row r="1577" spans="1:11" x14ac:dyDescent="0.2">
      <c r="A1577">
        <v>2010290</v>
      </c>
      <c r="B1577">
        <v>2019</v>
      </c>
      <c r="C1577" t="s">
        <v>6</v>
      </c>
      <c r="D1577" t="s">
        <v>7</v>
      </c>
      <c r="E1577" t="s">
        <v>8</v>
      </c>
      <c r="F1577">
        <v>5202</v>
      </c>
      <c r="G1577" s="9" t="s">
        <v>235</v>
      </c>
      <c r="H1577" s="1">
        <v>242317</v>
      </c>
      <c r="I1577" s="1">
        <v>0</v>
      </c>
      <c r="J1577" s="1">
        <v>242317</v>
      </c>
      <c r="K1577">
        <f>VLOOKUP(F1577,'LEAID Match'!$A$2:$C$2979,3,FALSE)</f>
        <v>2010290</v>
      </c>
    </row>
    <row r="1578" spans="1:11" x14ac:dyDescent="0.2">
      <c r="A1578">
        <v>2000002</v>
      </c>
      <c r="B1578">
        <v>2019</v>
      </c>
      <c r="C1578" t="s">
        <v>6</v>
      </c>
      <c r="D1578" t="s">
        <v>7</v>
      </c>
      <c r="E1578" t="s">
        <v>8</v>
      </c>
      <c r="F1578" s="3">
        <v>5203</v>
      </c>
      <c r="G1578" s="3" t="s">
        <v>236</v>
      </c>
      <c r="H1578" s="1">
        <v>703201</v>
      </c>
      <c r="I1578" s="21">
        <v>0</v>
      </c>
      <c r="J1578" s="21">
        <v>703201</v>
      </c>
      <c r="K1578">
        <f>VLOOKUP(F1578,'LEAID Match'!$A$2:$C$2979,3,FALSE)</f>
        <v>2000002</v>
      </c>
    </row>
    <row r="1579" spans="1:11" x14ac:dyDescent="0.2">
      <c r="A1579">
        <v>2009030</v>
      </c>
      <c r="B1579">
        <v>2019</v>
      </c>
      <c r="C1579" t="s">
        <v>6</v>
      </c>
      <c r="D1579" t="s">
        <v>7</v>
      </c>
      <c r="E1579" t="s">
        <v>8</v>
      </c>
      <c r="F1579" s="3">
        <v>5204</v>
      </c>
      <c r="G1579" s="3" t="s">
        <v>237</v>
      </c>
      <c r="H1579" s="1">
        <v>1039738</v>
      </c>
      <c r="I1579" s="1">
        <v>0</v>
      </c>
      <c r="J1579" s="1">
        <v>1039738</v>
      </c>
      <c r="K1579">
        <f>VLOOKUP(F1579,'LEAID Match'!$A$2:$C$2979,3,FALSE)</f>
        <v>2009030</v>
      </c>
    </row>
    <row r="1580" spans="1:11" x14ac:dyDescent="0.2">
      <c r="A1580">
        <v>2009240</v>
      </c>
      <c r="B1580">
        <v>2019</v>
      </c>
      <c r="C1580" t="s">
        <v>6</v>
      </c>
      <c r="D1580" t="s">
        <v>7</v>
      </c>
      <c r="E1580" t="s">
        <v>8</v>
      </c>
      <c r="F1580">
        <v>5205</v>
      </c>
      <c r="G1580" t="s">
        <v>238</v>
      </c>
      <c r="H1580" s="1">
        <v>444948</v>
      </c>
      <c r="I1580" s="1">
        <v>0</v>
      </c>
      <c r="J1580" s="1">
        <v>444948</v>
      </c>
      <c r="K1580">
        <f>VLOOKUP(F1580,'LEAID Match'!$A$2:$C$2979,3,FALSE)</f>
        <v>2009240</v>
      </c>
    </row>
    <row r="1581" spans="1:11" x14ac:dyDescent="0.2">
      <c r="A1581">
        <v>2007290</v>
      </c>
      <c r="B1581">
        <v>2019</v>
      </c>
      <c r="C1581" t="s">
        <v>6</v>
      </c>
      <c r="D1581" t="s">
        <v>7</v>
      </c>
      <c r="E1581" t="s">
        <v>8</v>
      </c>
      <c r="F1581">
        <v>5206</v>
      </c>
      <c r="G1581" t="s">
        <v>239</v>
      </c>
      <c r="H1581" s="1">
        <v>493230</v>
      </c>
      <c r="I1581" s="1">
        <v>0</v>
      </c>
      <c r="J1581" s="1">
        <v>493230</v>
      </c>
      <c r="K1581">
        <f>VLOOKUP(F1581,'LEAID Match'!$A$2:$C$2979,3,FALSE)</f>
        <v>2007290</v>
      </c>
    </row>
    <row r="1582" spans="1:11" x14ac:dyDescent="0.2">
      <c r="A1582">
        <v>2008970</v>
      </c>
      <c r="B1582">
        <v>2019</v>
      </c>
      <c r="C1582" t="s">
        <v>6</v>
      </c>
      <c r="D1582" t="s">
        <v>7</v>
      </c>
      <c r="E1582" t="s">
        <v>8</v>
      </c>
      <c r="F1582">
        <v>5207</v>
      </c>
      <c r="G1582" t="s">
        <v>240</v>
      </c>
      <c r="H1582" s="1">
        <v>1053645</v>
      </c>
      <c r="I1582" s="1">
        <v>0</v>
      </c>
      <c r="J1582" s="1">
        <v>1053645</v>
      </c>
      <c r="K1582">
        <f>VLOOKUP(F1582,'LEAID Match'!$A$2:$C$2979,3,FALSE)</f>
        <v>2008970</v>
      </c>
    </row>
    <row r="1583" spans="1:11" x14ac:dyDescent="0.2">
      <c r="A1583">
        <v>2009780</v>
      </c>
      <c r="B1583">
        <v>2019</v>
      </c>
      <c r="C1583" t="s">
        <v>6</v>
      </c>
      <c r="D1583" t="s">
        <v>7</v>
      </c>
      <c r="E1583" t="s">
        <v>8</v>
      </c>
      <c r="F1583">
        <v>5208</v>
      </c>
      <c r="G1583" t="s">
        <v>241</v>
      </c>
      <c r="H1583" s="20">
        <v>319251</v>
      </c>
      <c r="I1583" s="1">
        <v>0</v>
      </c>
      <c r="J1583" s="1">
        <v>319251</v>
      </c>
      <c r="K1583">
        <f>VLOOKUP(F1583,'LEAID Match'!$A$2:$C$2979,3,FALSE)</f>
        <v>2009780</v>
      </c>
    </row>
    <row r="1584" spans="1:11" x14ac:dyDescent="0.2">
      <c r="A1584">
        <v>2006660</v>
      </c>
      <c r="B1584">
        <v>2019</v>
      </c>
      <c r="C1584" t="s">
        <v>6</v>
      </c>
      <c r="D1584" t="s">
        <v>7</v>
      </c>
      <c r="E1584" t="s">
        <v>8</v>
      </c>
      <c r="F1584">
        <v>5210</v>
      </c>
      <c r="G1584" t="s">
        <v>242</v>
      </c>
      <c r="H1584" s="1">
        <v>3379688</v>
      </c>
      <c r="I1584" s="1">
        <v>0</v>
      </c>
      <c r="J1584" s="1">
        <v>3379688</v>
      </c>
      <c r="K1584">
        <f>VLOOKUP(F1584,'LEAID Match'!$A$2:$C$2979,3,FALSE)</f>
        <v>2006660</v>
      </c>
    </row>
    <row r="1585" spans="1:11" x14ac:dyDescent="0.2">
      <c r="A1585">
        <v>2010410</v>
      </c>
      <c r="B1585">
        <v>2019</v>
      </c>
      <c r="C1585" t="s">
        <v>6</v>
      </c>
      <c r="D1585" t="s">
        <v>7</v>
      </c>
      <c r="E1585" t="s">
        <v>8</v>
      </c>
      <c r="F1585">
        <v>5212</v>
      </c>
      <c r="G1585" s="9" t="s">
        <v>243</v>
      </c>
      <c r="H1585" s="1">
        <v>859020</v>
      </c>
      <c r="I1585" s="1">
        <v>0</v>
      </c>
      <c r="J1585" s="1">
        <v>859020</v>
      </c>
      <c r="K1585">
        <f>VLOOKUP(F1585,'LEAID Match'!$A$2:$C$2979,3,FALSE)</f>
        <v>2010410</v>
      </c>
    </row>
    <row r="1586" spans="1:11" x14ac:dyDescent="0.2">
      <c r="A1586">
        <v>2004410</v>
      </c>
      <c r="B1586">
        <v>2019</v>
      </c>
      <c r="C1586" t="s">
        <v>6</v>
      </c>
      <c r="D1586" t="s">
        <v>7</v>
      </c>
      <c r="E1586" t="s">
        <v>8</v>
      </c>
      <c r="F1586" s="3">
        <v>5213</v>
      </c>
      <c r="G1586" s="3" t="s">
        <v>244</v>
      </c>
      <c r="H1586" s="1">
        <v>650235</v>
      </c>
      <c r="I1586" s="21">
        <v>0</v>
      </c>
      <c r="J1586" s="21">
        <v>650235</v>
      </c>
      <c r="K1586">
        <f>VLOOKUP(F1586,'LEAID Match'!$A$2:$C$2979,3,FALSE)</f>
        <v>2004410</v>
      </c>
    </row>
    <row r="1587" spans="1:11" x14ac:dyDescent="0.2">
      <c r="A1587">
        <v>2012180</v>
      </c>
      <c r="B1587">
        <v>2019</v>
      </c>
      <c r="C1587" t="s">
        <v>6</v>
      </c>
      <c r="D1587" t="s">
        <v>7</v>
      </c>
      <c r="E1587" t="s">
        <v>8</v>
      </c>
      <c r="F1587" s="3">
        <v>5214</v>
      </c>
      <c r="G1587" s="3" t="s">
        <v>245</v>
      </c>
      <c r="H1587" s="1">
        <v>3064148</v>
      </c>
      <c r="I1587" s="1">
        <v>0</v>
      </c>
      <c r="J1587" s="1">
        <v>3064148</v>
      </c>
      <c r="K1587">
        <f>VLOOKUP(F1587,'LEAID Match'!$A$2:$C$2979,3,FALSE)</f>
        <v>2012180</v>
      </c>
    </row>
    <row r="1588" spans="1:11" x14ac:dyDescent="0.2">
      <c r="A1588">
        <v>2000017</v>
      </c>
      <c r="B1588">
        <v>2019</v>
      </c>
      <c r="C1588" t="s">
        <v>6</v>
      </c>
      <c r="D1588" t="s">
        <v>7</v>
      </c>
      <c r="E1588" t="s">
        <v>8</v>
      </c>
      <c r="F1588">
        <v>5215</v>
      </c>
      <c r="G1588" t="s">
        <v>246</v>
      </c>
      <c r="H1588" s="1">
        <v>732260</v>
      </c>
      <c r="I1588" s="1">
        <v>0</v>
      </c>
      <c r="J1588" s="1">
        <v>732260</v>
      </c>
      <c r="K1588">
        <f>VLOOKUP(F1588,'LEAID Match'!$A$2:$C$2979,3,FALSE)</f>
        <v>2000017</v>
      </c>
    </row>
    <row r="1589" spans="1:11" x14ac:dyDescent="0.2">
      <c r="A1589">
        <v>2004620</v>
      </c>
      <c r="B1589">
        <v>2019</v>
      </c>
      <c r="C1589" t="s">
        <v>6</v>
      </c>
      <c r="D1589" t="s">
        <v>7</v>
      </c>
      <c r="E1589" t="s">
        <v>8</v>
      </c>
      <c r="F1589">
        <v>5216</v>
      </c>
      <c r="G1589" t="s">
        <v>299</v>
      </c>
      <c r="H1589" s="1">
        <v>949887</v>
      </c>
      <c r="I1589" s="1">
        <v>0</v>
      </c>
      <c r="J1589" s="1">
        <v>949887</v>
      </c>
      <c r="K1589">
        <f>VLOOKUP(F1589,'LEAID Match'!$A$2:$C$2979,3,FALSE)</f>
        <v>2004620</v>
      </c>
    </row>
    <row r="1590" spans="1:11" x14ac:dyDescent="0.2">
      <c r="A1590">
        <v>2005190</v>
      </c>
      <c r="B1590">
        <v>2019</v>
      </c>
      <c r="C1590" t="s">
        <v>6</v>
      </c>
      <c r="D1590" t="s">
        <v>7</v>
      </c>
      <c r="E1590" t="s">
        <v>8</v>
      </c>
      <c r="F1590">
        <v>5217</v>
      </c>
      <c r="G1590" t="s">
        <v>248</v>
      </c>
      <c r="H1590" s="1">
        <v>114529</v>
      </c>
      <c r="I1590" s="1">
        <v>0</v>
      </c>
      <c r="J1590" s="1">
        <v>114529</v>
      </c>
      <c r="K1590">
        <f>VLOOKUP(F1590,'LEAID Match'!$A$2:$C$2979,3,FALSE)</f>
        <v>2005190</v>
      </c>
    </row>
    <row r="1591" spans="1:11" x14ac:dyDescent="0.2">
      <c r="A1591">
        <v>2007440</v>
      </c>
      <c r="B1591">
        <v>2019</v>
      </c>
      <c r="C1591" t="s">
        <v>6</v>
      </c>
      <c r="D1591" t="s">
        <v>7</v>
      </c>
      <c r="E1591" t="s">
        <v>8</v>
      </c>
      <c r="F1591">
        <v>5218</v>
      </c>
      <c r="G1591" t="s">
        <v>249</v>
      </c>
      <c r="H1591" s="20">
        <v>287252</v>
      </c>
      <c r="I1591" s="1">
        <v>0</v>
      </c>
      <c r="J1591" s="1">
        <v>287252</v>
      </c>
      <c r="K1591">
        <f>VLOOKUP(F1591,'LEAID Match'!$A$2:$C$2979,3,FALSE)</f>
        <v>2007440</v>
      </c>
    </row>
    <row r="1592" spans="1:11" x14ac:dyDescent="0.2">
      <c r="A1592">
        <v>2011610</v>
      </c>
      <c r="B1592">
        <v>2019</v>
      </c>
      <c r="C1592" t="s">
        <v>6</v>
      </c>
      <c r="D1592" t="s">
        <v>7</v>
      </c>
      <c r="E1592" t="s">
        <v>8</v>
      </c>
      <c r="F1592">
        <v>5219</v>
      </c>
      <c r="G1592" t="s">
        <v>250</v>
      </c>
      <c r="H1592" s="1">
        <v>207130</v>
      </c>
      <c r="I1592" s="1">
        <v>0</v>
      </c>
      <c r="J1592" s="1">
        <v>207130</v>
      </c>
      <c r="K1592">
        <f>VLOOKUP(F1592,'LEAID Match'!$A$2:$C$2979,3,FALSE)</f>
        <v>2011610</v>
      </c>
    </row>
    <row r="1593" spans="1:11" x14ac:dyDescent="0.2">
      <c r="A1593">
        <v>2012810</v>
      </c>
      <c r="B1593">
        <v>2019</v>
      </c>
      <c r="C1593" t="s">
        <v>6</v>
      </c>
      <c r="D1593" t="s">
        <v>7</v>
      </c>
      <c r="E1593" t="s">
        <v>8</v>
      </c>
      <c r="F1593">
        <v>5220</v>
      </c>
      <c r="G1593" s="9" t="s">
        <v>251</v>
      </c>
      <c r="H1593" s="1">
        <v>410119</v>
      </c>
      <c r="I1593" s="1">
        <v>0</v>
      </c>
      <c r="J1593" s="1">
        <v>410119</v>
      </c>
      <c r="K1593">
        <f>VLOOKUP(F1593,'LEAID Match'!$A$2:$C$2979,3,FALSE)</f>
        <v>2012810</v>
      </c>
    </row>
    <row r="1594" spans="1:11" x14ac:dyDescent="0.2">
      <c r="A1594">
        <v>2005800</v>
      </c>
      <c r="B1594">
        <v>2019</v>
      </c>
      <c r="C1594" t="s">
        <v>6</v>
      </c>
      <c r="D1594" t="s">
        <v>7</v>
      </c>
      <c r="E1594" t="s">
        <v>8</v>
      </c>
      <c r="F1594" s="3">
        <v>5222</v>
      </c>
      <c r="G1594" s="3" t="s">
        <v>252</v>
      </c>
      <c r="H1594" s="1">
        <v>391217</v>
      </c>
      <c r="I1594" s="21">
        <v>0</v>
      </c>
      <c r="J1594" s="21">
        <v>391217</v>
      </c>
      <c r="K1594">
        <f>VLOOKUP(F1594,'LEAID Match'!$A$2:$C$2979,3,FALSE)</f>
        <v>2005800</v>
      </c>
    </row>
    <row r="1595" spans="1:11" x14ac:dyDescent="0.2">
      <c r="A1595">
        <v>2013020</v>
      </c>
      <c r="B1595">
        <v>2019</v>
      </c>
      <c r="C1595" t="s">
        <v>6</v>
      </c>
      <c r="D1595" t="s">
        <v>7</v>
      </c>
      <c r="E1595" t="s">
        <v>8</v>
      </c>
      <c r="F1595" s="3">
        <v>5223</v>
      </c>
      <c r="G1595" s="3" t="s">
        <v>253</v>
      </c>
      <c r="H1595" s="1">
        <v>376090</v>
      </c>
      <c r="I1595" s="1">
        <v>0</v>
      </c>
      <c r="J1595" s="1">
        <v>376090</v>
      </c>
      <c r="K1595">
        <f>VLOOKUP(F1595,'LEAID Match'!$A$2:$C$2979,3,FALSE)</f>
        <v>2013020</v>
      </c>
    </row>
    <row r="1596" spans="1:11" x14ac:dyDescent="0.2">
      <c r="A1596">
        <v>2004470</v>
      </c>
      <c r="B1596">
        <v>2019</v>
      </c>
      <c r="C1596" t="s">
        <v>6</v>
      </c>
      <c r="D1596" t="s">
        <v>7</v>
      </c>
      <c r="E1596" t="s">
        <v>8</v>
      </c>
      <c r="F1596">
        <v>5226</v>
      </c>
      <c r="G1596" t="s">
        <v>254</v>
      </c>
      <c r="H1596" s="1">
        <v>228291</v>
      </c>
      <c r="I1596" s="1">
        <v>0</v>
      </c>
      <c r="J1596" s="1">
        <v>228291</v>
      </c>
      <c r="K1596">
        <f>VLOOKUP(F1596,'LEAID Match'!$A$2:$C$2979,3,FALSE)</f>
        <v>2004470</v>
      </c>
    </row>
    <row r="1597" spans="1:11" x14ac:dyDescent="0.2">
      <c r="A1597">
        <v>2000013</v>
      </c>
      <c r="B1597">
        <v>2019</v>
      </c>
      <c r="C1597" t="s">
        <v>6</v>
      </c>
      <c r="D1597" t="s">
        <v>7</v>
      </c>
      <c r="E1597" t="s">
        <v>8</v>
      </c>
      <c r="F1597">
        <v>5227</v>
      </c>
      <c r="G1597" t="s">
        <v>255</v>
      </c>
      <c r="H1597" s="1">
        <v>78982</v>
      </c>
      <c r="I1597" s="1">
        <v>0</v>
      </c>
      <c r="J1597" s="1">
        <v>78982</v>
      </c>
      <c r="K1597">
        <f>VLOOKUP(F1597,'LEAID Match'!$A$2:$C$2979,3,FALSE)</f>
        <v>2000013</v>
      </c>
    </row>
    <row r="1598" spans="1:11" x14ac:dyDescent="0.2">
      <c r="A1598">
        <v>2006630</v>
      </c>
      <c r="B1598">
        <v>2019</v>
      </c>
      <c r="C1598" t="s">
        <v>6</v>
      </c>
      <c r="D1598" t="s">
        <v>7</v>
      </c>
      <c r="E1598" t="s">
        <v>8</v>
      </c>
      <c r="F1598">
        <v>5228</v>
      </c>
      <c r="G1598" t="s">
        <v>256</v>
      </c>
      <c r="H1598" s="1">
        <v>153807</v>
      </c>
      <c r="I1598" s="1">
        <v>0</v>
      </c>
      <c r="J1598" s="1">
        <v>153807</v>
      </c>
      <c r="K1598">
        <f>VLOOKUP(F1598,'LEAID Match'!$A$2:$C$2979,3,FALSE)</f>
        <v>2006630</v>
      </c>
    </row>
    <row r="1599" spans="1:11" x14ac:dyDescent="0.2">
      <c r="A1599">
        <v>2010080</v>
      </c>
      <c r="B1599">
        <v>2019</v>
      </c>
      <c r="C1599" t="s">
        <v>6</v>
      </c>
      <c r="D1599" t="s">
        <v>7</v>
      </c>
      <c r="E1599" t="s">
        <v>8</v>
      </c>
      <c r="F1599">
        <v>5229</v>
      </c>
      <c r="G1599" t="s">
        <v>257</v>
      </c>
      <c r="H1599" s="20">
        <v>352576</v>
      </c>
      <c r="I1599" s="1">
        <v>0</v>
      </c>
      <c r="J1599" s="1">
        <v>352576</v>
      </c>
      <c r="K1599">
        <f>VLOOKUP(F1599,'LEAID Match'!$A$2:$C$2979,3,FALSE)</f>
        <v>2010080</v>
      </c>
    </row>
    <row r="1600" spans="1:11" x14ac:dyDescent="0.2">
      <c r="A1600">
        <v>2006960</v>
      </c>
      <c r="B1600">
        <v>2019</v>
      </c>
      <c r="C1600" t="s">
        <v>6</v>
      </c>
      <c r="D1600" t="s">
        <v>7</v>
      </c>
      <c r="E1600" t="s">
        <v>8</v>
      </c>
      <c r="F1600">
        <v>5230</v>
      </c>
      <c r="G1600" t="s">
        <v>258</v>
      </c>
      <c r="H1600" s="1">
        <v>690183</v>
      </c>
      <c r="I1600" s="1">
        <v>0</v>
      </c>
      <c r="J1600" s="1">
        <v>690183</v>
      </c>
      <c r="K1600">
        <f>VLOOKUP(F1600,'LEAID Match'!$A$2:$C$2979,3,FALSE)</f>
        <v>2006960</v>
      </c>
    </row>
    <row r="1601" spans="1:11" x14ac:dyDescent="0.2">
      <c r="A1601">
        <v>2007380</v>
      </c>
      <c r="B1601">
        <v>2019</v>
      </c>
      <c r="C1601" t="s">
        <v>6</v>
      </c>
      <c r="D1601" t="s">
        <v>7</v>
      </c>
      <c r="E1601" t="s">
        <v>8</v>
      </c>
      <c r="F1601">
        <v>5231</v>
      </c>
      <c r="G1601" s="9" t="s">
        <v>259</v>
      </c>
      <c r="H1601" s="1">
        <v>1478266</v>
      </c>
      <c r="I1601" s="1">
        <v>0</v>
      </c>
      <c r="J1601" s="1">
        <v>1478266</v>
      </c>
      <c r="K1601">
        <f>VLOOKUP(F1601,'LEAID Match'!$A$2:$C$2979,3,FALSE)</f>
        <v>2007380</v>
      </c>
    </row>
    <row r="1602" spans="1:11" x14ac:dyDescent="0.2">
      <c r="A1602">
        <v>2003200</v>
      </c>
      <c r="B1602">
        <v>2019</v>
      </c>
      <c r="C1602" t="s">
        <v>6</v>
      </c>
      <c r="D1602" t="s">
        <v>7</v>
      </c>
      <c r="E1602" t="s">
        <v>8</v>
      </c>
      <c r="F1602" s="3">
        <v>5233</v>
      </c>
      <c r="G1602" s="3" t="s">
        <v>260</v>
      </c>
      <c r="H1602" s="22">
        <v>5303053</v>
      </c>
      <c r="I1602" s="1">
        <v>0</v>
      </c>
      <c r="J1602" s="1">
        <v>5303053</v>
      </c>
      <c r="K1602">
        <f>VLOOKUP(F1602,'LEAID Match'!$A$2:$C$2979,3,FALSE)</f>
        <v>2003200</v>
      </c>
    </row>
    <row r="1603" spans="1:11" x14ac:dyDescent="0.2">
      <c r="A1603">
        <v>2008040</v>
      </c>
      <c r="B1603">
        <v>2019</v>
      </c>
      <c r="C1603" t="s">
        <v>6</v>
      </c>
      <c r="D1603" t="s">
        <v>7</v>
      </c>
      <c r="E1603" t="s">
        <v>8</v>
      </c>
      <c r="F1603" s="3">
        <v>5235</v>
      </c>
      <c r="G1603" s="3" t="s">
        <v>261</v>
      </c>
      <c r="H1603" s="1">
        <v>228807</v>
      </c>
      <c r="I1603" s="21">
        <v>0</v>
      </c>
      <c r="J1603" s="21">
        <v>228807</v>
      </c>
      <c r="K1603">
        <f>VLOOKUP(F1603,'LEAID Match'!$A$2:$C$2979,3,FALSE)</f>
        <v>2008040</v>
      </c>
    </row>
    <row r="1604" spans="1:11" x14ac:dyDescent="0.2">
      <c r="A1604">
        <v>2006060</v>
      </c>
      <c r="B1604">
        <v>2019</v>
      </c>
      <c r="C1604" t="s">
        <v>6</v>
      </c>
      <c r="D1604" t="s">
        <v>7</v>
      </c>
      <c r="E1604" t="s">
        <v>8</v>
      </c>
      <c r="F1604" s="3">
        <v>5236</v>
      </c>
      <c r="G1604" s="3" t="s">
        <v>262</v>
      </c>
      <c r="H1604" s="1">
        <v>543268</v>
      </c>
      <c r="I1604" s="1">
        <v>0</v>
      </c>
      <c r="J1604" s="1">
        <v>543268</v>
      </c>
      <c r="K1604">
        <f>VLOOKUP(F1604,'LEAID Match'!$A$2:$C$2979,3,FALSE)</f>
        <v>2006060</v>
      </c>
    </row>
    <row r="1605" spans="1:11" x14ac:dyDescent="0.2">
      <c r="A1605">
        <v>2006510</v>
      </c>
      <c r="B1605">
        <v>2019</v>
      </c>
      <c r="C1605" t="s">
        <v>6</v>
      </c>
      <c r="D1605" t="s">
        <v>7</v>
      </c>
      <c r="E1605" t="s">
        <v>8</v>
      </c>
      <c r="F1605">
        <v>5237</v>
      </c>
      <c r="G1605" t="s">
        <v>263</v>
      </c>
      <c r="H1605" s="1">
        <v>229999</v>
      </c>
      <c r="I1605" s="1">
        <v>0</v>
      </c>
      <c r="J1605" s="1">
        <v>229999</v>
      </c>
      <c r="K1605">
        <f>VLOOKUP(F1605,'LEAID Match'!$A$2:$C$2979,3,FALSE)</f>
        <v>2006510</v>
      </c>
    </row>
    <row r="1606" spans="1:11" x14ac:dyDescent="0.2">
      <c r="A1606">
        <v>2004170</v>
      </c>
      <c r="B1606">
        <v>2019</v>
      </c>
      <c r="C1606" t="s">
        <v>6</v>
      </c>
      <c r="D1606" t="s">
        <v>7</v>
      </c>
      <c r="E1606" t="s">
        <v>8</v>
      </c>
      <c r="F1606">
        <v>5238</v>
      </c>
      <c r="G1606" t="s">
        <v>264</v>
      </c>
      <c r="H1606" s="1">
        <v>225964</v>
      </c>
      <c r="I1606" s="1">
        <v>0</v>
      </c>
      <c r="J1606" s="1">
        <v>225964</v>
      </c>
      <c r="K1606">
        <f>VLOOKUP(F1606,'LEAID Match'!$A$2:$C$2979,3,FALSE)</f>
        <v>2004170</v>
      </c>
    </row>
    <row r="1607" spans="1:11" x14ac:dyDescent="0.2">
      <c r="A1607">
        <v>2004650</v>
      </c>
      <c r="B1607">
        <v>2019</v>
      </c>
      <c r="C1607" t="s">
        <v>6</v>
      </c>
      <c r="D1607" t="s">
        <v>7</v>
      </c>
      <c r="E1607" t="s">
        <v>8</v>
      </c>
      <c r="F1607">
        <v>5239</v>
      </c>
      <c r="G1607" t="s">
        <v>265</v>
      </c>
      <c r="H1607" s="1">
        <v>156487</v>
      </c>
      <c r="I1607" s="1">
        <v>0</v>
      </c>
      <c r="J1607" s="1">
        <v>156487</v>
      </c>
      <c r="K1607">
        <f>VLOOKUP(F1607,'LEAID Match'!$A$2:$C$2979,3,FALSE)</f>
        <v>2004650</v>
      </c>
    </row>
    <row r="1608" spans="1:11" x14ac:dyDescent="0.2">
      <c r="A1608">
        <v>2012150</v>
      </c>
      <c r="B1608">
        <v>2019</v>
      </c>
      <c r="C1608" t="s">
        <v>6</v>
      </c>
      <c r="D1608" t="s">
        <v>7</v>
      </c>
      <c r="E1608" t="s">
        <v>8</v>
      </c>
      <c r="F1608">
        <v>5240</v>
      </c>
      <c r="G1608" t="s">
        <v>266</v>
      </c>
      <c r="H1608" s="20">
        <v>398391</v>
      </c>
      <c r="I1608" s="1">
        <v>0</v>
      </c>
      <c r="J1608" s="1">
        <v>398391</v>
      </c>
      <c r="K1608">
        <f>VLOOKUP(F1608,'LEAID Match'!$A$2:$C$2979,3,FALSE)</f>
        <v>2012150</v>
      </c>
    </row>
    <row r="1609" spans="1:11" x14ac:dyDescent="0.2">
      <c r="A1609">
        <v>2005040</v>
      </c>
      <c r="B1609">
        <v>2019</v>
      </c>
      <c r="C1609" t="s">
        <v>6</v>
      </c>
      <c r="D1609" t="s">
        <v>7</v>
      </c>
      <c r="E1609" t="s">
        <v>8</v>
      </c>
      <c r="F1609">
        <v>5241</v>
      </c>
      <c r="G1609" t="s">
        <v>362</v>
      </c>
      <c r="H1609" s="1">
        <v>245348</v>
      </c>
      <c r="I1609" s="1">
        <v>0</v>
      </c>
      <c r="J1609" s="1">
        <v>245348</v>
      </c>
      <c r="K1609">
        <f>VLOOKUP(F1609,'LEAID Match'!$A$2:$C$2979,3,FALSE)</f>
        <v>2005040</v>
      </c>
    </row>
    <row r="1610" spans="1:11" x14ac:dyDescent="0.2">
      <c r="A1610">
        <v>2000001</v>
      </c>
      <c r="B1610">
        <v>2019</v>
      </c>
      <c r="C1610" t="s">
        <v>6</v>
      </c>
      <c r="D1610" t="s">
        <v>7</v>
      </c>
      <c r="E1610" t="s">
        <v>8</v>
      </c>
      <c r="F1610">
        <v>5250</v>
      </c>
      <c r="G1610" s="9" t="s">
        <v>268</v>
      </c>
      <c r="H1610" s="1">
        <v>594526</v>
      </c>
      <c r="I1610" s="1">
        <v>0</v>
      </c>
      <c r="J1610" s="1">
        <v>594526</v>
      </c>
      <c r="K1610">
        <f>VLOOKUP(F1610,'LEAID Match'!$A$2:$C$2979,3,FALSE)</f>
        <v>2000001</v>
      </c>
    </row>
    <row r="1611" spans="1:11" x14ac:dyDescent="0.2">
      <c r="A1611">
        <v>2010980</v>
      </c>
      <c r="B1611">
        <v>2019</v>
      </c>
      <c r="C1611" t="s">
        <v>6</v>
      </c>
      <c r="D1611" t="s">
        <v>7</v>
      </c>
      <c r="E1611" t="s">
        <v>8</v>
      </c>
      <c r="F1611" s="3">
        <v>5251</v>
      </c>
      <c r="G1611" s="3" t="s">
        <v>269</v>
      </c>
      <c r="H1611" s="22">
        <v>196387</v>
      </c>
      <c r="I1611" s="1">
        <v>0</v>
      </c>
      <c r="J1611" s="1">
        <v>196387</v>
      </c>
      <c r="K1611">
        <f>VLOOKUP(F1611,'LEAID Match'!$A$2:$C$2979,3,FALSE)</f>
        <v>2010980</v>
      </c>
    </row>
    <row r="1612" spans="1:11" x14ac:dyDescent="0.2">
      <c r="A1612">
        <v>2008940</v>
      </c>
      <c r="B1612">
        <v>2019</v>
      </c>
      <c r="C1612" t="s">
        <v>6</v>
      </c>
      <c r="D1612" t="s">
        <v>7</v>
      </c>
      <c r="E1612" t="s">
        <v>8</v>
      </c>
      <c r="F1612" s="3">
        <v>5267</v>
      </c>
      <c r="G1612" s="3" t="s">
        <v>270</v>
      </c>
      <c r="H1612" s="1">
        <v>217956</v>
      </c>
      <c r="I1612" s="21">
        <v>0</v>
      </c>
      <c r="J1612" s="21">
        <v>217956</v>
      </c>
      <c r="K1612">
        <f>VLOOKUP(F1612,'LEAID Match'!$A$2:$C$2979,3,FALSE)</f>
        <v>2008940</v>
      </c>
    </row>
    <row r="1613" spans="1:11" x14ac:dyDescent="0.2">
      <c r="A1613">
        <v>2003510</v>
      </c>
      <c r="B1613">
        <v>2019</v>
      </c>
      <c r="C1613" t="s">
        <v>6</v>
      </c>
      <c r="D1613" t="s">
        <v>7</v>
      </c>
      <c r="E1613" t="s">
        <v>8</v>
      </c>
      <c r="F1613" s="3">
        <v>5268</v>
      </c>
      <c r="G1613" s="3" t="s">
        <v>271</v>
      </c>
      <c r="H1613" s="1">
        <v>229611</v>
      </c>
      <c r="I1613" s="1">
        <v>0</v>
      </c>
      <c r="J1613" s="1">
        <v>229611</v>
      </c>
      <c r="K1613">
        <f>VLOOKUP(F1613,'LEAID Match'!$A$2:$C$2979,3,FALSE)</f>
        <v>2003510</v>
      </c>
    </row>
    <row r="1614" spans="1:11" x14ac:dyDescent="0.2">
      <c r="A1614">
        <v>2004950</v>
      </c>
      <c r="B1614">
        <v>2019</v>
      </c>
      <c r="C1614" t="s">
        <v>6</v>
      </c>
      <c r="D1614" t="s">
        <v>7</v>
      </c>
      <c r="E1614" t="s">
        <v>8</v>
      </c>
      <c r="F1614">
        <v>5270</v>
      </c>
      <c r="G1614" t="s">
        <v>272</v>
      </c>
      <c r="H1614" s="1">
        <v>284140</v>
      </c>
      <c r="I1614" s="1">
        <v>0</v>
      </c>
      <c r="J1614" s="1">
        <v>284140</v>
      </c>
      <c r="K1614">
        <f>VLOOKUP(F1614,'LEAID Match'!$A$2:$C$2979,3,FALSE)</f>
        <v>2004950</v>
      </c>
    </row>
    <row r="1615" spans="1:11" x14ac:dyDescent="0.2">
      <c r="A1615">
        <v>2006210</v>
      </c>
      <c r="B1615">
        <v>2019</v>
      </c>
      <c r="C1615" t="s">
        <v>6</v>
      </c>
      <c r="D1615" t="s">
        <v>7</v>
      </c>
      <c r="E1615" t="s">
        <v>8</v>
      </c>
      <c r="F1615">
        <v>5271</v>
      </c>
      <c r="G1615" t="s">
        <v>273</v>
      </c>
      <c r="H1615" s="1">
        <v>161813</v>
      </c>
      <c r="I1615" s="1">
        <v>0</v>
      </c>
      <c r="J1615" s="1">
        <v>161813</v>
      </c>
      <c r="K1615">
        <f>VLOOKUP(F1615,'LEAID Match'!$A$2:$C$2979,3,FALSE)</f>
        <v>2006210</v>
      </c>
    </row>
    <row r="1616" spans="1:11" x14ac:dyDescent="0.2">
      <c r="A1616">
        <v>2011850</v>
      </c>
      <c r="B1616">
        <v>2019</v>
      </c>
      <c r="C1616" t="s">
        <v>6</v>
      </c>
      <c r="D1616" t="s">
        <v>7</v>
      </c>
      <c r="E1616" t="s">
        <v>8</v>
      </c>
      <c r="F1616">
        <v>5272</v>
      </c>
      <c r="G1616" t="s">
        <v>274</v>
      </c>
      <c r="H1616" s="1">
        <v>3028016</v>
      </c>
      <c r="I1616" s="1">
        <v>0</v>
      </c>
      <c r="J1616" s="1">
        <v>3028016</v>
      </c>
      <c r="K1616">
        <f>VLOOKUP(F1616,'LEAID Match'!$A$2:$C$2979,3,FALSE)</f>
        <v>2011850</v>
      </c>
    </row>
    <row r="1617" spans="1:11" x14ac:dyDescent="0.2">
      <c r="A1617">
        <v>2006300</v>
      </c>
      <c r="B1617">
        <v>2019</v>
      </c>
      <c r="C1617" t="s">
        <v>6</v>
      </c>
      <c r="D1617" t="s">
        <v>7</v>
      </c>
      <c r="E1617" t="s">
        <v>8</v>
      </c>
      <c r="F1617">
        <v>5274</v>
      </c>
      <c r="G1617" t="s">
        <v>275</v>
      </c>
      <c r="H1617" s="20">
        <v>714487</v>
      </c>
      <c r="I1617" s="1">
        <v>0</v>
      </c>
      <c r="J1617" s="1">
        <v>714487</v>
      </c>
      <c r="K1617">
        <f>VLOOKUP(F1617,'LEAID Match'!$A$2:$C$2979,3,FALSE)</f>
        <v>2006300</v>
      </c>
    </row>
    <row r="1618" spans="1:11" x14ac:dyDescent="0.2">
      <c r="A1618">
        <v>2009840</v>
      </c>
      <c r="B1618">
        <v>2019</v>
      </c>
      <c r="C1618" t="s">
        <v>6</v>
      </c>
      <c r="D1618" t="s">
        <v>7</v>
      </c>
      <c r="E1618" t="s">
        <v>8</v>
      </c>
      <c r="F1618">
        <v>5275</v>
      </c>
      <c r="G1618" t="s">
        <v>276</v>
      </c>
      <c r="H1618" s="1">
        <v>1616493</v>
      </c>
      <c r="I1618" s="1">
        <v>0</v>
      </c>
      <c r="J1618" s="1">
        <v>1616493</v>
      </c>
      <c r="K1618">
        <f>VLOOKUP(F1618,'LEAID Match'!$A$2:$C$2979,3,FALSE)</f>
        <v>2009840</v>
      </c>
    </row>
    <row r="1619" spans="1:11" x14ac:dyDescent="0.2">
      <c r="A1619">
        <v>2004920</v>
      </c>
      <c r="B1619">
        <v>2019</v>
      </c>
      <c r="C1619" t="s">
        <v>6</v>
      </c>
      <c r="D1619" t="s">
        <v>7</v>
      </c>
      <c r="E1619" t="s">
        <v>8</v>
      </c>
      <c r="F1619">
        <v>5276</v>
      </c>
      <c r="G1619" s="9" t="s">
        <v>277</v>
      </c>
      <c r="H1619" s="1">
        <v>865485</v>
      </c>
      <c r="I1619" s="1">
        <v>0</v>
      </c>
      <c r="J1619" s="1">
        <v>865485</v>
      </c>
      <c r="K1619">
        <f>VLOOKUP(F1619,'LEAID Match'!$A$2:$C$2979,3,FALSE)</f>
        <v>2004920</v>
      </c>
    </row>
    <row r="1620" spans="1:11" x14ac:dyDescent="0.2">
      <c r="A1620">
        <v>2010950</v>
      </c>
      <c r="B1620">
        <v>2019</v>
      </c>
      <c r="C1620" t="s">
        <v>6</v>
      </c>
      <c r="D1620" t="s">
        <v>7</v>
      </c>
      <c r="E1620" t="s">
        <v>8</v>
      </c>
      <c r="F1620" s="3">
        <v>5278</v>
      </c>
      <c r="G1620" s="3" t="s">
        <v>278</v>
      </c>
      <c r="H1620" s="22">
        <v>223550</v>
      </c>
      <c r="I1620" s="1">
        <v>0</v>
      </c>
      <c r="J1620" s="1">
        <v>223550</v>
      </c>
      <c r="K1620">
        <f>VLOOKUP(F1620,'LEAID Match'!$A$2:$C$2979,3,FALSE)</f>
        <v>2010950</v>
      </c>
    </row>
    <row r="1621" spans="1:11" x14ac:dyDescent="0.2">
      <c r="A1621">
        <v>2007620</v>
      </c>
      <c r="B1621">
        <v>2019</v>
      </c>
      <c r="C1621" t="s">
        <v>6</v>
      </c>
      <c r="D1621" t="s">
        <v>7</v>
      </c>
      <c r="E1621" t="s">
        <v>8</v>
      </c>
      <c r="F1621" s="3">
        <v>5280</v>
      </c>
      <c r="G1621" s="3" t="s">
        <v>279</v>
      </c>
      <c r="H1621" s="1">
        <v>4645813</v>
      </c>
      <c r="I1621" s="21">
        <v>0</v>
      </c>
      <c r="J1621" s="21">
        <v>4645813</v>
      </c>
      <c r="K1621">
        <f>VLOOKUP(F1621,'LEAID Match'!$A$2:$C$2979,3,FALSE)</f>
        <v>2007620</v>
      </c>
    </row>
    <row r="1622" spans="1:11" x14ac:dyDescent="0.2">
      <c r="A1622">
        <v>2011040</v>
      </c>
      <c r="B1622">
        <v>2019</v>
      </c>
      <c r="C1622" t="s">
        <v>6</v>
      </c>
      <c r="D1622" t="s">
        <v>7</v>
      </c>
      <c r="E1622" t="s">
        <v>8</v>
      </c>
      <c r="F1622" s="3">
        <v>5281</v>
      </c>
      <c r="G1622" s="3" t="s">
        <v>280</v>
      </c>
      <c r="H1622" s="1">
        <v>224958</v>
      </c>
      <c r="I1622" s="1">
        <v>0</v>
      </c>
      <c r="J1622" s="1">
        <v>224958</v>
      </c>
      <c r="K1622">
        <f>VLOOKUP(F1622,'LEAID Match'!$A$2:$C$2979,3,FALSE)</f>
        <v>2011040</v>
      </c>
    </row>
    <row r="1623" spans="1:11" x14ac:dyDescent="0.2">
      <c r="A1623">
        <v>2010650</v>
      </c>
      <c r="B1623">
        <v>2019</v>
      </c>
      <c r="C1623" t="s">
        <v>6</v>
      </c>
      <c r="D1623" t="s">
        <v>7</v>
      </c>
      <c r="E1623" t="s">
        <v>8</v>
      </c>
      <c r="F1623">
        <v>5283</v>
      </c>
      <c r="G1623" t="s">
        <v>281</v>
      </c>
      <c r="H1623" s="1">
        <v>459787</v>
      </c>
      <c r="I1623" s="1">
        <v>0</v>
      </c>
      <c r="J1623" s="1">
        <v>459787</v>
      </c>
      <c r="K1623">
        <f>VLOOKUP(F1623,'LEAID Match'!$A$2:$C$2979,3,FALSE)</f>
        <v>2010650</v>
      </c>
    </row>
    <row r="1624" spans="1:11" x14ac:dyDescent="0.2">
      <c r="A1624">
        <v>2009510</v>
      </c>
      <c r="B1624">
        <v>2019</v>
      </c>
      <c r="C1624" t="s">
        <v>6</v>
      </c>
      <c r="D1624" t="s">
        <v>7</v>
      </c>
      <c r="E1624" t="s">
        <v>8</v>
      </c>
      <c r="F1624">
        <v>5284</v>
      </c>
      <c r="G1624" t="s">
        <v>282</v>
      </c>
      <c r="H1624" s="1">
        <v>626262</v>
      </c>
      <c r="I1624" s="1">
        <v>0</v>
      </c>
      <c r="J1624" s="1">
        <v>626262</v>
      </c>
      <c r="K1624">
        <f>VLOOKUP(F1624,'LEAID Match'!$A$2:$C$2979,3,FALSE)</f>
        <v>2009510</v>
      </c>
    </row>
    <row r="1625" spans="1:11" x14ac:dyDescent="0.2">
      <c r="A1625">
        <v>2010770</v>
      </c>
      <c r="B1625">
        <v>2019</v>
      </c>
      <c r="C1625" t="s">
        <v>6</v>
      </c>
      <c r="D1625" t="s">
        <v>7</v>
      </c>
      <c r="E1625" t="s">
        <v>8</v>
      </c>
      <c r="F1625">
        <v>5285</v>
      </c>
      <c r="G1625" t="s">
        <v>283</v>
      </c>
      <c r="H1625" s="1">
        <v>356799</v>
      </c>
      <c r="I1625" s="1">
        <v>0</v>
      </c>
      <c r="J1625" s="1">
        <v>356799</v>
      </c>
      <c r="K1625">
        <f>VLOOKUP(F1625,'LEAID Match'!$A$2:$C$2979,3,FALSE)</f>
        <v>2010770</v>
      </c>
    </row>
    <row r="1626" spans="1:11" x14ac:dyDescent="0.2">
      <c r="A1626">
        <v>2011910</v>
      </c>
      <c r="B1626">
        <v>2019</v>
      </c>
      <c r="C1626" t="s">
        <v>6</v>
      </c>
      <c r="D1626" t="s">
        <v>7</v>
      </c>
      <c r="E1626" t="s">
        <v>8</v>
      </c>
      <c r="F1626">
        <v>5286</v>
      </c>
      <c r="G1626" t="s">
        <v>284</v>
      </c>
      <c r="H1626" s="20">
        <v>278757</v>
      </c>
      <c r="I1626" s="1">
        <v>0</v>
      </c>
      <c r="J1626" s="1">
        <v>278757</v>
      </c>
      <c r="K1626">
        <f>VLOOKUP(F1626,'LEAID Match'!$A$2:$C$2979,3,FALSE)</f>
        <v>2011910</v>
      </c>
    </row>
    <row r="1627" spans="1:11" x14ac:dyDescent="0.2">
      <c r="A1627">
        <v>2003900</v>
      </c>
      <c r="B1627">
        <v>2019</v>
      </c>
      <c r="C1627" t="s">
        <v>6</v>
      </c>
      <c r="D1627" t="s">
        <v>7</v>
      </c>
      <c r="E1627" t="s">
        <v>8</v>
      </c>
      <c r="F1627">
        <v>5287</v>
      </c>
      <c r="G1627" t="s">
        <v>285</v>
      </c>
      <c r="H1627" s="1">
        <v>530189</v>
      </c>
      <c r="I1627" s="1">
        <v>0</v>
      </c>
      <c r="J1627" s="1">
        <v>530189</v>
      </c>
      <c r="K1627">
        <f>VLOOKUP(F1627,'LEAID Match'!$A$2:$C$2979,3,FALSE)</f>
        <v>2003900</v>
      </c>
    </row>
    <row r="1628" spans="1:11" x14ac:dyDescent="0.2">
      <c r="A1628">
        <v>2010440</v>
      </c>
      <c r="B1628">
        <v>2019</v>
      </c>
      <c r="C1628" t="s">
        <v>6</v>
      </c>
      <c r="D1628" t="s">
        <v>7</v>
      </c>
      <c r="E1628" t="s">
        <v>8</v>
      </c>
      <c r="F1628">
        <v>5288</v>
      </c>
      <c r="G1628" s="9" t="s">
        <v>286</v>
      </c>
      <c r="H1628" s="1">
        <v>301212</v>
      </c>
      <c r="I1628" s="1">
        <v>0</v>
      </c>
      <c r="J1628" s="1">
        <v>301212</v>
      </c>
      <c r="K1628">
        <f>VLOOKUP(F1628,'LEAID Match'!$A$2:$C$2979,3,FALSE)</f>
        <v>2010440</v>
      </c>
    </row>
    <row r="1629" spans="1:11" x14ac:dyDescent="0.2">
      <c r="A1629">
        <v>2013110</v>
      </c>
      <c r="B1629">
        <v>2019</v>
      </c>
      <c r="C1629" t="s">
        <v>6</v>
      </c>
      <c r="D1629" t="s">
        <v>7</v>
      </c>
      <c r="E1629" t="s">
        <v>8</v>
      </c>
      <c r="F1629" s="3">
        <v>5289</v>
      </c>
      <c r="G1629" s="3" t="s">
        <v>287</v>
      </c>
      <c r="H1629" s="22">
        <v>353446</v>
      </c>
      <c r="I1629" s="1">
        <v>0</v>
      </c>
      <c r="J1629" s="1">
        <v>353446</v>
      </c>
      <c r="K1629">
        <f>VLOOKUP(F1629,'LEAID Match'!$A$2:$C$2979,3,FALSE)</f>
        <v>2013110</v>
      </c>
    </row>
    <row r="1630" spans="1:11" x14ac:dyDescent="0.2">
      <c r="A1630">
        <v>2012090</v>
      </c>
      <c r="B1630">
        <v>2019</v>
      </c>
      <c r="C1630" t="s">
        <v>6</v>
      </c>
      <c r="D1630" t="s">
        <v>7</v>
      </c>
      <c r="E1630" t="s">
        <v>8</v>
      </c>
      <c r="F1630" s="3">
        <v>5291</v>
      </c>
      <c r="G1630" s="3" t="s">
        <v>288</v>
      </c>
      <c r="H1630" s="1">
        <v>548811</v>
      </c>
      <c r="I1630" s="21">
        <v>0</v>
      </c>
      <c r="J1630" s="21">
        <v>548811</v>
      </c>
      <c r="K1630">
        <f>VLOOKUP(F1630,'LEAID Match'!$A$2:$C$2979,3,FALSE)</f>
        <v>2012090</v>
      </c>
    </row>
    <row r="1631" spans="1:11" x14ac:dyDescent="0.2">
      <c r="A1631">
        <v>2012300</v>
      </c>
      <c r="B1631">
        <v>2019</v>
      </c>
      <c r="C1631" t="s">
        <v>6</v>
      </c>
      <c r="D1631" t="s">
        <v>7</v>
      </c>
      <c r="E1631" t="s">
        <v>8</v>
      </c>
      <c r="F1631" s="3">
        <v>5292</v>
      </c>
      <c r="G1631" s="3" t="s">
        <v>289</v>
      </c>
      <c r="H1631" s="1">
        <v>1424044</v>
      </c>
      <c r="I1631" s="1">
        <v>0</v>
      </c>
      <c r="J1631" s="1">
        <v>1424044</v>
      </c>
      <c r="K1631">
        <f>VLOOKUP(F1631,'LEAID Match'!$A$2:$C$2979,3,FALSE)</f>
        <v>2012300</v>
      </c>
    </row>
    <row r="1632" spans="1:11" x14ac:dyDescent="0.2">
      <c r="A1632">
        <v>2005850</v>
      </c>
      <c r="B1632">
        <v>2019</v>
      </c>
      <c r="C1632" t="s">
        <v>6</v>
      </c>
      <c r="D1632" t="s">
        <v>7</v>
      </c>
      <c r="E1632" t="s">
        <v>8</v>
      </c>
      <c r="F1632">
        <v>5293</v>
      </c>
      <c r="G1632" t="s">
        <v>290</v>
      </c>
      <c r="H1632" s="1">
        <v>350499</v>
      </c>
      <c r="I1632" s="1">
        <v>0</v>
      </c>
      <c r="J1632" s="1">
        <v>350499</v>
      </c>
      <c r="K1632">
        <f>VLOOKUP(F1632,'LEAID Match'!$A$2:$C$2979,3,FALSE)</f>
        <v>2005850</v>
      </c>
    </row>
    <row r="1633" spans="1:11" x14ac:dyDescent="0.2">
      <c r="A1633">
        <v>2011310</v>
      </c>
      <c r="B1633">
        <v>2019</v>
      </c>
      <c r="C1633" t="s">
        <v>6</v>
      </c>
      <c r="D1633" t="s">
        <v>7</v>
      </c>
      <c r="E1633" t="s">
        <v>8</v>
      </c>
      <c r="F1633">
        <v>5294</v>
      </c>
      <c r="G1633" t="s">
        <v>291</v>
      </c>
      <c r="H1633" s="1">
        <v>797526</v>
      </c>
      <c r="I1633" s="1">
        <v>0</v>
      </c>
      <c r="J1633" s="1">
        <v>797526</v>
      </c>
      <c r="K1633">
        <f>VLOOKUP(F1633,'LEAID Match'!$A$2:$C$2979,3,FALSE)</f>
        <v>2011310</v>
      </c>
    </row>
    <row r="1634" spans="1:11" x14ac:dyDescent="0.2">
      <c r="A1634">
        <v>2006570</v>
      </c>
      <c r="B1634">
        <v>2019</v>
      </c>
      <c r="C1634" t="s">
        <v>6</v>
      </c>
      <c r="D1634" t="s">
        <v>7</v>
      </c>
      <c r="E1634" t="s">
        <v>8</v>
      </c>
      <c r="F1634">
        <v>5295</v>
      </c>
      <c r="G1634" t="s">
        <v>292</v>
      </c>
      <c r="H1634" s="1">
        <v>255265</v>
      </c>
      <c r="I1634" s="1">
        <v>0</v>
      </c>
      <c r="J1634" s="1">
        <v>255265</v>
      </c>
      <c r="K1634">
        <f>VLOOKUP(F1634,'LEAID Match'!$A$2:$C$2979,3,FALSE)</f>
        <v>2006570</v>
      </c>
    </row>
    <row r="1635" spans="1:11" x14ac:dyDescent="0.2">
      <c r="A1635">
        <v>2003180</v>
      </c>
      <c r="B1635">
        <v>2019</v>
      </c>
      <c r="C1635" t="s">
        <v>6</v>
      </c>
      <c r="D1635" t="s">
        <v>7</v>
      </c>
      <c r="E1635" t="s">
        <v>8</v>
      </c>
      <c r="F1635">
        <v>5296</v>
      </c>
      <c r="G1635" t="s">
        <v>293</v>
      </c>
      <c r="H1635" s="20">
        <v>1191124</v>
      </c>
      <c r="I1635" s="1">
        <v>0</v>
      </c>
      <c r="J1635" s="1">
        <v>1191124</v>
      </c>
      <c r="K1635">
        <f>VLOOKUP(F1635,'LEAID Match'!$A$2:$C$2979,3,FALSE)</f>
        <v>2003180</v>
      </c>
    </row>
    <row r="1636" spans="1:11" x14ac:dyDescent="0.2">
      <c r="A1636">
        <v>2009900</v>
      </c>
      <c r="B1636">
        <v>2019</v>
      </c>
      <c r="C1636" t="s">
        <v>6</v>
      </c>
      <c r="D1636" t="s">
        <v>7</v>
      </c>
      <c r="E1636" t="s">
        <v>8</v>
      </c>
      <c r="F1636">
        <v>5297</v>
      </c>
      <c r="G1636" t="s">
        <v>294</v>
      </c>
      <c r="H1636" s="1">
        <v>614279</v>
      </c>
      <c r="I1636" s="1">
        <v>0</v>
      </c>
      <c r="J1636" s="1">
        <v>614279</v>
      </c>
      <c r="K1636">
        <f>VLOOKUP(F1636,'LEAID Match'!$A$2:$C$2979,3,FALSE)</f>
        <v>2009900</v>
      </c>
    </row>
    <row r="1637" spans="1:11" x14ac:dyDescent="0.2">
      <c r="A1637">
        <v>2007080</v>
      </c>
      <c r="B1637">
        <v>2019</v>
      </c>
      <c r="C1637" t="s">
        <v>6</v>
      </c>
      <c r="D1637" t="s">
        <v>7</v>
      </c>
      <c r="E1637" t="s">
        <v>8</v>
      </c>
      <c r="F1637">
        <v>5298</v>
      </c>
      <c r="G1637" s="9" t="s">
        <v>295</v>
      </c>
      <c r="H1637" s="1">
        <v>77688</v>
      </c>
      <c r="I1637" s="1">
        <v>0</v>
      </c>
      <c r="J1637" s="1">
        <v>77688</v>
      </c>
      <c r="K1637">
        <f>VLOOKUP(F1637,'LEAID Match'!$A$2:$C$2979,3,FALSE)</f>
        <v>2007080</v>
      </c>
    </row>
    <row r="1638" spans="1:11" x14ac:dyDescent="0.2">
      <c r="A1638">
        <v>2005520</v>
      </c>
      <c r="B1638">
        <v>2019</v>
      </c>
      <c r="C1638" t="s">
        <v>6</v>
      </c>
      <c r="D1638" t="s">
        <v>7</v>
      </c>
      <c r="E1638" t="s">
        <v>8</v>
      </c>
      <c r="F1638" s="3">
        <v>5299</v>
      </c>
      <c r="G1638" s="3" t="s">
        <v>296</v>
      </c>
      <c r="H1638" s="22">
        <v>164646</v>
      </c>
      <c r="I1638" s="1">
        <v>0</v>
      </c>
      <c r="J1638" s="1">
        <v>164646</v>
      </c>
      <c r="K1638">
        <f>VLOOKUP(F1638,'LEAID Match'!$A$2:$C$2979,3,FALSE)</f>
        <v>2005520</v>
      </c>
    </row>
    <row r="1639" spans="1:11" x14ac:dyDescent="0.2">
      <c r="A1639">
        <v>2006270</v>
      </c>
      <c r="B1639">
        <v>2019</v>
      </c>
      <c r="C1639" t="s">
        <v>6</v>
      </c>
      <c r="D1639" t="s">
        <v>7</v>
      </c>
      <c r="E1639" t="s">
        <v>8</v>
      </c>
      <c r="F1639" s="3">
        <v>5300</v>
      </c>
      <c r="G1639" s="3" t="s">
        <v>297</v>
      </c>
      <c r="H1639" s="1">
        <v>569246</v>
      </c>
      <c r="I1639" s="21">
        <v>0</v>
      </c>
      <c r="J1639" s="21">
        <v>569246</v>
      </c>
      <c r="K1639">
        <f>VLOOKUP(F1639,'LEAID Match'!$A$2:$C$2979,3,FALSE)</f>
        <v>2006270</v>
      </c>
    </row>
    <row r="1640" spans="1:11" x14ac:dyDescent="0.2">
      <c r="A1640">
        <v>2007020</v>
      </c>
      <c r="B1640">
        <v>2019</v>
      </c>
      <c r="C1640" t="s">
        <v>6</v>
      </c>
      <c r="D1640" t="s">
        <v>7</v>
      </c>
      <c r="E1640" t="s">
        <v>8</v>
      </c>
      <c r="F1640" s="3">
        <v>5302</v>
      </c>
      <c r="G1640" s="3" t="s">
        <v>298</v>
      </c>
      <c r="H1640" s="1">
        <v>3256602</v>
      </c>
      <c r="I1640" s="1">
        <v>0</v>
      </c>
      <c r="J1640" s="1">
        <v>3256602</v>
      </c>
      <c r="K1640">
        <f>VLOOKUP(F1640,'LEAID Match'!$A$2:$C$2979,3,FALSE)</f>
        <v>2007020</v>
      </c>
    </row>
    <row r="1641" spans="1:11" x14ac:dyDescent="0.2">
      <c r="A1641">
        <v>2005730</v>
      </c>
      <c r="B1641">
        <v>2019</v>
      </c>
      <c r="C1641" t="s">
        <v>6</v>
      </c>
      <c r="D1641" t="s">
        <v>7</v>
      </c>
      <c r="E1641" t="s">
        <v>8</v>
      </c>
      <c r="F1641">
        <v>5303</v>
      </c>
      <c r="G1641" t="s">
        <v>345</v>
      </c>
      <c r="H1641" s="1">
        <v>1596862</v>
      </c>
      <c r="I1641" s="1">
        <v>0</v>
      </c>
      <c r="J1641" s="1">
        <v>1596862</v>
      </c>
      <c r="K1641">
        <f>VLOOKUP(F1641,'LEAID Match'!$A$2:$C$2979,3,FALSE)</f>
        <v>2005730</v>
      </c>
    </row>
    <row r="1642" spans="1:11" x14ac:dyDescent="0.2">
      <c r="A1642">
        <v>2006090</v>
      </c>
      <c r="B1642">
        <v>2019</v>
      </c>
      <c r="C1642" t="s">
        <v>6</v>
      </c>
      <c r="D1642" t="s">
        <v>7</v>
      </c>
      <c r="E1642" t="s">
        <v>8</v>
      </c>
      <c r="F1642">
        <v>5304</v>
      </c>
      <c r="G1642" t="s">
        <v>300</v>
      </c>
      <c r="H1642" s="1">
        <v>1252607</v>
      </c>
      <c r="I1642" s="1">
        <v>0</v>
      </c>
      <c r="J1642" s="1">
        <v>1252607</v>
      </c>
      <c r="K1642">
        <f>VLOOKUP(F1642,'LEAID Match'!$A$2:$C$2979,3,FALSE)</f>
        <v>2006090</v>
      </c>
    </row>
    <row r="1643" spans="1:11" x14ac:dyDescent="0.2">
      <c r="A1643">
        <v>2011220</v>
      </c>
      <c r="B1643">
        <v>2019</v>
      </c>
      <c r="C1643" t="s">
        <v>6</v>
      </c>
      <c r="D1643" t="s">
        <v>7</v>
      </c>
      <c r="E1643" t="s">
        <v>8</v>
      </c>
      <c r="F1643">
        <v>5305</v>
      </c>
      <c r="G1643" t="s">
        <v>301</v>
      </c>
      <c r="H1643" s="1">
        <v>272985</v>
      </c>
      <c r="I1643" s="1">
        <v>0</v>
      </c>
      <c r="J1643" s="1">
        <v>272985</v>
      </c>
      <c r="K1643">
        <f>VLOOKUP(F1643,'LEAID Match'!$A$2:$C$2979,3,FALSE)</f>
        <v>2011220</v>
      </c>
    </row>
    <row r="1644" spans="1:11" x14ac:dyDescent="0.2">
      <c r="A1644">
        <v>2008370</v>
      </c>
      <c r="B1644">
        <v>2019</v>
      </c>
      <c r="C1644" t="s">
        <v>6</v>
      </c>
      <c r="D1644" t="s">
        <v>7</v>
      </c>
      <c r="E1644" t="s">
        <v>8</v>
      </c>
      <c r="F1644">
        <v>5306</v>
      </c>
      <c r="G1644" t="s">
        <v>302</v>
      </c>
      <c r="H1644" s="20">
        <v>1071526</v>
      </c>
      <c r="I1644" s="1">
        <v>0</v>
      </c>
      <c r="J1644" s="1">
        <v>1071526</v>
      </c>
      <c r="K1644">
        <f>VLOOKUP(F1644,'LEAID Match'!$A$2:$C$2979,3,FALSE)</f>
        <v>2008370</v>
      </c>
    </row>
    <row r="1645" spans="1:11" x14ac:dyDescent="0.2">
      <c r="A1645">
        <v>2011280</v>
      </c>
      <c r="B1645">
        <v>2019</v>
      </c>
      <c r="C1645" t="s">
        <v>6</v>
      </c>
      <c r="D1645" t="s">
        <v>7</v>
      </c>
      <c r="E1645" t="s">
        <v>8</v>
      </c>
      <c r="F1645">
        <v>5307</v>
      </c>
      <c r="G1645" t="s">
        <v>303</v>
      </c>
      <c r="H1645" s="1">
        <v>163936</v>
      </c>
      <c r="I1645" s="1">
        <v>0</v>
      </c>
      <c r="J1645" s="1">
        <v>163936</v>
      </c>
      <c r="K1645">
        <f>VLOOKUP(F1645,'LEAID Match'!$A$2:$C$2979,3,FALSE)</f>
        <v>2011280</v>
      </c>
    </row>
    <row r="1646" spans="1:11" x14ac:dyDescent="0.2">
      <c r="A1646">
        <v>2008400</v>
      </c>
      <c r="B1646">
        <v>2019</v>
      </c>
      <c r="C1646" t="s">
        <v>6</v>
      </c>
      <c r="D1646" t="s">
        <v>7</v>
      </c>
      <c r="E1646" t="s">
        <v>8</v>
      </c>
      <c r="F1646">
        <v>5308</v>
      </c>
      <c r="G1646" s="9" t="s">
        <v>304</v>
      </c>
      <c r="H1646" s="1">
        <v>10253035</v>
      </c>
      <c r="I1646" s="1">
        <v>0</v>
      </c>
      <c r="J1646" s="1">
        <v>10253035</v>
      </c>
      <c r="K1646">
        <f>VLOOKUP(F1646,'LEAID Match'!$A$2:$C$2979,3,FALSE)</f>
        <v>2008400</v>
      </c>
    </row>
    <row r="1647" spans="1:11" x14ac:dyDescent="0.2">
      <c r="A1647">
        <v>2006360</v>
      </c>
      <c r="B1647">
        <v>2019</v>
      </c>
      <c r="C1647" t="s">
        <v>6</v>
      </c>
      <c r="D1647" t="s">
        <v>7</v>
      </c>
      <c r="E1647" t="s">
        <v>8</v>
      </c>
      <c r="F1647" s="3">
        <v>5309</v>
      </c>
      <c r="G1647" s="3" t="s">
        <v>305</v>
      </c>
      <c r="H1647" s="22">
        <v>691684</v>
      </c>
      <c r="I1647" s="1">
        <v>0</v>
      </c>
      <c r="J1647" s="1">
        <v>691684</v>
      </c>
      <c r="K1647">
        <f>VLOOKUP(F1647,'LEAID Match'!$A$2:$C$2979,3,FALSE)</f>
        <v>2006360</v>
      </c>
    </row>
    <row r="1648" spans="1:11" x14ac:dyDescent="0.2">
      <c r="A1648">
        <v>2008700</v>
      </c>
      <c r="B1648">
        <v>2019</v>
      </c>
      <c r="C1648" t="s">
        <v>6</v>
      </c>
      <c r="D1648" t="s">
        <v>7</v>
      </c>
      <c r="E1648" t="s">
        <v>8</v>
      </c>
      <c r="F1648" s="3">
        <v>5310</v>
      </c>
      <c r="G1648" s="3" t="s">
        <v>306</v>
      </c>
      <c r="H1648" s="1">
        <v>98790</v>
      </c>
      <c r="I1648" s="21">
        <v>0</v>
      </c>
      <c r="J1648" s="21">
        <v>98790</v>
      </c>
      <c r="K1648">
        <f>VLOOKUP(F1648,'LEAID Match'!$A$2:$C$2979,3,FALSE)</f>
        <v>2008700</v>
      </c>
    </row>
    <row r="1649" spans="1:11" x14ac:dyDescent="0.2">
      <c r="A1649">
        <v>2011490</v>
      </c>
      <c r="B1649">
        <v>2019</v>
      </c>
      <c r="C1649" t="s">
        <v>6</v>
      </c>
      <c r="D1649" t="s">
        <v>7</v>
      </c>
      <c r="E1649" t="s">
        <v>8</v>
      </c>
      <c r="F1649" s="3">
        <v>5312</v>
      </c>
      <c r="G1649" s="3" t="s">
        <v>307</v>
      </c>
      <c r="H1649" s="1">
        <v>3643643</v>
      </c>
      <c r="I1649" s="1">
        <v>0</v>
      </c>
      <c r="J1649" s="1">
        <v>3643643</v>
      </c>
      <c r="K1649">
        <f>VLOOKUP(F1649,'LEAID Match'!$A$2:$C$2979,3,FALSE)</f>
        <v>2011490</v>
      </c>
    </row>
    <row r="1650" spans="1:11" x14ac:dyDescent="0.2">
      <c r="A1650">
        <v>2011430</v>
      </c>
      <c r="B1650">
        <v>2019</v>
      </c>
      <c r="C1650" t="s">
        <v>6</v>
      </c>
      <c r="D1650" t="s">
        <v>7</v>
      </c>
      <c r="E1650" t="s">
        <v>8</v>
      </c>
      <c r="F1650">
        <v>5313</v>
      </c>
      <c r="G1650" t="s">
        <v>308</v>
      </c>
      <c r="H1650" s="1">
        <v>285724</v>
      </c>
      <c r="I1650" s="1">
        <v>0</v>
      </c>
      <c r="J1650" s="1">
        <v>285724</v>
      </c>
      <c r="K1650">
        <f>VLOOKUP(F1650,'LEAID Match'!$A$2:$C$2979,3,FALSE)</f>
        <v>2011430</v>
      </c>
    </row>
    <row r="1651" spans="1:11" x14ac:dyDescent="0.2">
      <c r="A1651">
        <v>2012260</v>
      </c>
      <c r="B1651">
        <v>2019</v>
      </c>
      <c r="C1651" t="s">
        <v>6</v>
      </c>
      <c r="D1651" t="s">
        <v>7</v>
      </c>
      <c r="E1651" t="s">
        <v>8</v>
      </c>
      <c r="F1651">
        <v>5314</v>
      </c>
      <c r="G1651" t="s">
        <v>309</v>
      </c>
      <c r="H1651" s="1">
        <v>14879741</v>
      </c>
      <c r="I1651" s="1">
        <v>0</v>
      </c>
      <c r="J1651" s="1">
        <v>14879741</v>
      </c>
      <c r="K1651">
        <f>VLOOKUP(F1651,'LEAID Match'!$A$2:$C$2979,3,FALSE)</f>
        <v>2012260</v>
      </c>
    </row>
    <row r="1652" spans="1:11" x14ac:dyDescent="0.2">
      <c r="A1652">
        <v>0</v>
      </c>
      <c r="B1652">
        <v>2019</v>
      </c>
      <c r="C1652" t="s">
        <v>6</v>
      </c>
      <c r="D1652" t="s">
        <v>7</v>
      </c>
      <c r="E1652" t="s">
        <v>8</v>
      </c>
      <c r="F1652">
        <v>5316</v>
      </c>
      <c r="G1652" t="s">
        <v>310</v>
      </c>
      <c r="H1652" s="1">
        <v>337512</v>
      </c>
      <c r="I1652" s="1">
        <v>0</v>
      </c>
      <c r="J1652" s="1">
        <v>337512</v>
      </c>
      <c r="K1652">
        <f>VLOOKUP(F1652,'LEAID Match'!$A$2:$C$2979,3,FALSE)</f>
        <v>0</v>
      </c>
    </row>
    <row r="1653" spans="1:11" x14ac:dyDescent="0.2">
      <c r="A1653">
        <v>0</v>
      </c>
      <c r="B1653">
        <v>2019</v>
      </c>
      <c r="C1653" t="s">
        <v>6</v>
      </c>
      <c r="D1653" t="s">
        <v>7</v>
      </c>
      <c r="E1653" t="s">
        <v>8</v>
      </c>
      <c r="F1653">
        <v>5317</v>
      </c>
      <c r="G1653" t="s">
        <v>311</v>
      </c>
      <c r="H1653" s="20">
        <v>451147</v>
      </c>
      <c r="I1653" s="1">
        <v>0</v>
      </c>
      <c r="J1653" s="1">
        <v>451147</v>
      </c>
      <c r="K1653">
        <f>VLOOKUP(F1653,'LEAID Match'!$A$2:$C$2979,3,FALSE)</f>
        <v>0</v>
      </c>
    </row>
    <row r="1654" spans="1:11" x14ac:dyDescent="0.2">
      <c r="A1654">
        <v>2004710</v>
      </c>
      <c r="B1654">
        <v>2019</v>
      </c>
      <c r="C1654" t="s">
        <v>6</v>
      </c>
      <c r="D1654" t="s">
        <v>7</v>
      </c>
      <c r="E1654" t="s">
        <v>8</v>
      </c>
      <c r="F1654">
        <v>5318</v>
      </c>
      <c r="G1654" t="s">
        <v>312</v>
      </c>
      <c r="H1654" s="1">
        <v>495291</v>
      </c>
      <c r="I1654" s="1">
        <v>0</v>
      </c>
      <c r="J1654" s="1">
        <v>495291</v>
      </c>
      <c r="K1654">
        <f>VLOOKUP(F1654,'LEAID Match'!$A$2:$C$2979,3,FALSE)</f>
        <v>2004710</v>
      </c>
    </row>
    <row r="1655" spans="1:11" x14ac:dyDescent="0.2">
      <c r="A1655">
        <v>2006480</v>
      </c>
      <c r="B1655">
        <v>2019</v>
      </c>
      <c r="C1655" t="s">
        <v>6</v>
      </c>
      <c r="D1655" t="s">
        <v>7</v>
      </c>
      <c r="E1655" t="s">
        <v>8</v>
      </c>
      <c r="F1655">
        <v>5319</v>
      </c>
      <c r="G1655" s="9" t="s">
        <v>313</v>
      </c>
      <c r="H1655" s="1">
        <v>727325</v>
      </c>
      <c r="I1655" s="1">
        <v>0</v>
      </c>
      <c r="J1655" s="1">
        <v>727325</v>
      </c>
      <c r="K1655">
        <f>VLOOKUP(F1655,'LEAID Match'!$A$2:$C$2979,3,FALSE)</f>
        <v>2006480</v>
      </c>
    </row>
    <row r="1656" spans="1:11" x14ac:dyDescent="0.2">
      <c r="A1656">
        <v>2005310</v>
      </c>
      <c r="B1656">
        <v>2019</v>
      </c>
      <c r="C1656" t="s">
        <v>6</v>
      </c>
      <c r="D1656" t="s">
        <v>7</v>
      </c>
      <c r="E1656" t="s">
        <v>8</v>
      </c>
      <c r="F1656" s="3">
        <v>5320</v>
      </c>
      <c r="G1656" s="3" t="s">
        <v>314</v>
      </c>
      <c r="H1656" s="22">
        <v>213131</v>
      </c>
      <c r="I1656" s="1">
        <v>0</v>
      </c>
      <c r="J1656" s="1">
        <v>213131</v>
      </c>
      <c r="K1656">
        <f>VLOOKUP(F1656,'LEAID Match'!$A$2:$C$2979,3,FALSE)</f>
        <v>2005310</v>
      </c>
    </row>
    <row r="1657" spans="1:11" x14ac:dyDescent="0.2">
      <c r="A1657">
        <v>2012780</v>
      </c>
      <c r="B1657">
        <v>2019</v>
      </c>
      <c r="C1657" t="s">
        <v>6</v>
      </c>
      <c r="D1657" t="s">
        <v>7</v>
      </c>
      <c r="E1657" t="s">
        <v>8</v>
      </c>
      <c r="F1657" s="3">
        <v>5321</v>
      </c>
      <c r="G1657" s="3" t="s">
        <v>315</v>
      </c>
      <c r="H1657" s="1">
        <v>397394</v>
      </c>
      <c r="I1657" s="21">
        <v>0</v>
      </c>
      <c r="J1657" s="21">
        <v>397394</v>
      </c>
      <c r="K1657">
        <f>VLOOKUP(F1657,'LEAID Match'!$A$2:$C$2979,3,FALSE)</f>
        <v>2012780</v>
      </c>
    </row>
    <row r="1658" spans="1:11" x14ac:dyDescent="0.2">
      <c r="A1658">
        <v>2010350</v>
      </c>
      <c r="B1658">
        <v>2019</v>
      </c>
      <c r="C1658" t="s">
        <v>6</v>
      </c>
      <c r="D1658" t="s">
        <v>7</v>
      </c>
      <c r="E1658" t="s">
        <v>8</v>
      </c>
      <c r="F1658" s="3">
        <v>5322</v>
      </c>
      <c r="G1658" s="3" t="s">
        <v>316</v>
      </c>
      <c r="H1658" s="1">
        <v>441307</v>
      </c>
      <c r="I1658" s="1">
        <v>0</v>
      </c>
      <c r="J1658" s="1">
        <v>441307</v>
      </c>
      <c r="K1658">
        <f>VLOOKUP(F1658,'LEAID Match'!$A$2:$C$2979,3,FALSE)</f>
        <v>2010350</v>
      </c>
    </row>
    <row r="1659" spans="1:11" x14ac:dyDescent="0.2">
      <c r="A1659">
        <v>2007950</v>
      </c>
      <c r="B1659">
        <v>2019</v>
      </c>
      <c r="C1659" t="s">
        <v>6</v>
      </c>
      <c r="D1659" t="s">
        <v>7</v>
      </c>
      <c r="E1659" t="s">
        <v>8</v>
      </c>
      <c r="F1659">
        <v>5324</v>
      </c>
      <c r="G1659" t="s">
        <v>317</v>
      </c>
      <c r="H1659" s="1">
        <v>24799404</v>
      </c>
      <c r="I1659" s="1">
        <v>0</v>
      </c>
      <c r="J1659" s="1">
        <v>24799404</v>
      </c>
      <c r="K1659">
        <f>VLOOKUP(F1659,'LEAID Match'!$A$2:$C$2979,3,FALSE)</f>
        <v>2007950</v>
      </c>
    </row>
    <row r="1660" spans="1:11" x14ac:dyDescent="0.2">
      <c r="A1660">
        <v>2008670</v>
      </c>
      <c r="B1660">
        <v>2019</v>
      </c>
      <c r="C1660" t="s">
        <v>6</v>
      </c>
      <c r="D1660" t="s">
        <v>7</v>
      </c>
      <c r="E1660" t="s">
        <v>8</v>
      </c>
      <c r="F1660">
        <v>5329</v>
      </c>
      <c r="G1660" t="s">
        <v>318</v>
      </c>
      <c r="H1660" s="1">
        <v>200212</v>
      </c>
      <c r="I1660" s="1">
        <v>0</v>
      </c>
      <c r="J1660" s="1">
        <v>200212</v>
      </c>
      <c r="K1660">
        <f>VLOOKUP(F1660,'LEAID Match'!$A$2:$C$2979,3,FALSE)</f>
        <v>2008670</v>
      </c>
    </row>
    <row r="1661" spans="1:11" x14ac:dyDescent="0.2">
      <c r="A1661">
        <v>2005070</v>
      </c>
      <c r="B1661">
        <v>2019</v>
      </c>
      <c r="C1661" t="s">
        <v>6</v>
      </c>
      <c r="D1661" t="s">
        <v>7</v>
      </c>
      <c r="E1661" t="s">
        <v>8</v>
      </c>
      <c r="F1661">
        <v>5330</v>
      </c>
      <c r="G1661" t="s">
        <v>319</v>
      </c>
      <c r="H1661" s="1">
        <v>1009826</v>
      </c>
      <c r="I1661" s="1">
        <v>0</v>
      </c>
      <c r="J1661" s="1">
        <v>1009826</v>
      </c>
      <c r="K1661">
        <f>VLOOKUP(F1661,'LEAID Match'!$A$2:$C$2979,3,FALSE)</f>
        <v>2005070</v>
      </c>
    </row>
    <row r="1662" spans="1:11" x14ac:dyDescent="0.2">
      <c r="A1662">
        <v>2010560</v>
      </c>
      <c r="B1662">
        <v>2019</v>
      </c>
      <c r="C1662" t="s">
        <v>6</v>
      </c>
      <c r="D1662" t="s">
        <v>7</v>
      </c>
      <c r="E1662" t="s">
        <v>8</v>
      </c>
      <c r="F1662">
        <v>5331</v>
      </c>
      <c r="G1662" t="s">
        <v>320</v>
      </c>
      <c r="H1662" s="20">
        <v>1230883</v>
      </c>
      <c r="I1662" s="1">
        <v>0</v>
      </c>
      <c r="J1662" s="1">
        <v>1230883</v>
      </c>
      <c r="K1662">
        <f>VLOOKUP(F1662,'LEAID Match'!$A$2:$C$2979,3,FALSE)</f>
        <v>2010560</v>
      </c>
    </row>
    <row r="1663" spans="1:11" x14ac:dyDescent="0.2">
      <c r="A1663">
        <v>2003300</v>
      </c>
      <c r="B1663">
        <v>2019</v>
      </c>
      <c r="C1663" t="s">
        <v>6</v>
      </c>
      <c r="D1663" t="s">
        <v>7</v>
      </c>
      <c r="E1663" t="s">
        <v>8</v>
      </c>
      <c r="F1663">
        <v>5332</v>
      </c>
      <c r="G1663" t="s">
        <v>321</v>
      </c>
      <c r="H1663" s="1">
        <v>1235262</v>
      </c>
      <c r="I1663" s="1">
        <v>0</v>
      </c>
      <c r="J1663" s="1">
        <v>1235262</v>
      </c>
      <c r="K1663">
        <f>VLOOKUP(F1663,'LEAID Match'!$A$2:$C$2979,3,FALSE)</f>
        <v>2003300</v>
      </c>
    </row>
    <row r="1664" spans="1:11" x14ac:dyDescent="0.2">
      <c r="A1664">
        <v>2004770</v>
      </c>
      <c r="B1664">
        <v>2019</v>
      </c>
      <c r="C1664" t="s">
        <v>6</v>
      </c>
      <c r="D1664" t="s">
        <v>7</v>
      </c>
      <c r="E1664" t="s">
        <v>8</v>
      </c>
      <c r="F1664">
        <v>5333</v>
      </c>
      <c r="G1664" s="9" t="s">
        <v>322</v>
      </c>
      <c r="H1664" s="1">
        <v>382052</v>
      </c>
      <c r="I1664" s="1">
        <v>0</v>
      </c>
      <c r="J1664" s="1">
        <v>382052</v>
      </c>
      <c r="K1664">
        <f>VLOOKUP(F1664,'LEAID Match'!$A$2:$C$2979,3,FALSE)</f>
        <v>2004770</v>
      </c>
    </row>
    <row r="1665" spans="1:11" x14ac:dyDescent="0.2">
      <c r="A1665">
        <v>2006330</v>
      </c>
      <c r="B1665">
        <v>2019</v>
      </c>
      <c r="C1665" t="s">
        <v>6</v>
      </c>
      <c r="D1665" t="s">
        <v>7</v>
      </c>
      <c r="E1665" t="s">
        <v>8</v>
      </c>
      <c r="F1665" s="3">
        <v>5337</v>
      </c>
      <c r="G1665" s="3" t="s">
        <v>323</v>
      </c>
      <c r="H1665" s="22">
        <v>1747127</v>
      </c>
      <c r="I1665" s="1">
        <v>0</v>
      </c>
      <c r="J1665" s="1">
        <v>1747127</v>
      </c>
      <c r="K1665">
        <f>VLOOKUP(F1665,'LEAID Match'!$A$2:$C$2979,3,FALSE)</f>
        <v>2006330</v>
      </c>
    </row>
    <row r="1666" spans="1:11" x14ac:dyDescent="0.2">
      <c r="A1666">
        <v>2003810</v>
      </c>
      <c r="B1666">
        <v>2019</v>
      </c>
      <c r="C1666" t="s">
        <v>6</v>
      </c>
      <c r="D1666" t="s">
        <v>7</v>
      </c>
      <c r="E1666" t="s">
        <v>8</v>
      </c>
      <c r="F1666" s="3">
        <v>5366</v>
      </c>
      <c r="G1666" s="3" t="s">
        <v>324</v>
      </c>
      <c r="H1666" s="1">
        <v>812479</v>
      </c>
      <c r="I1666" s="21">
        <v>0</v>
      </c>
      <c r="J1666" s="21">
        <v>812479</v>
      </c>
      <c r="K1666">
        <f>VLOOKUP(F1666,'LEAID Match'!$A$2:$C$2979,3,FALSE)</f>
        <v>2003810</v>
      </c>
    </row>
    <row r="1667" spans="1:11" x14ac:dyDescent="0.2">
      <c r="A1667">
        <v>2011400</v>
      </c>
      <c r="B1667">
        <v>2019</v>
      </c>
      <c r="C1667" t="s">
        <v>6</v>
      </c>
      <c r="D1667" t="s">
        <v>7</v>
      </c>
      <c r="E1667" t="s">
        <v>8</v>
      </c>
      <c r="F1667" s="3">
        <v>5367</v>
      </c>
      <c r="G1667" s="3" t="s">
        <v>325</v>
      </c>
      <c r="H1667" s="1">
        <v>330568</v>
      </c>
      <c r="I1667" s="1">
        <v>0</v>
      </c>
      <c r="J1667" s="1">
        <v>330568</v>
      </c>
      <c r="K1667">
        <f>VLOOKUP(F1667,'LEAID Match'!$A$2:$C$2979,3,FALSE)</f>
        <v>2011400</v>
      </c>
    </row>
    <row r="1668" spans="1:11" x14ac:dyDescent="0.2">
      <c r="A1668">
        <v>0</v>
      </c>
      <c r="B1668">
        <v>2019</v>
      </c>
      <c r="C1668" t="s">
        <v>6</v>
      </c>
      <c r="D1668" t="s">
        <v>7</v>
      </c>
      <c r="E1668" t="s">
        <v>8</v>
      </c>
      <c r="F1668">
        <v>5368</v>
      </c>
      <c r="G1668" t="s">
        <v>326</v>
      </c>
      <c r="H1668" s="1">
        <v>419072</v>
      </c>
      <c r="I1668" s="1">
        <v>0</v>
      </c>
      <c r="J1668" s="1">
        <v>419072</v>
      </c>
      <c r="K1668">
        <f>VLOOKUP(F1668,'LEAID Match'!$A$2:$C$2979,3,FALSE)</f>
        <v>0</v>
      </c>
    </row>
    <row r="1669" spans="1:11" x14ac:dyDescent="0.2">
      <c r="A1669">
        <v>2003570</v>
      </c>
      <c r="B1669">
        <v>2019</v>
      </c>
      <c r="C1669" t="s">
        <v>6</v>
      </c>
      <c r="D1669" t="s">
        <v>7</v>
      </c>
      <c r="E1669" t="s">
        <v>8</v>
      </c>
      <c r="F1669">
        <v>5405</v>
      </c>
      <c r="G1669" t="s">
        <v>327</v>
      </c>
      <c r="H1669" s="1">
        <v>169571</v>
      </c>
      <c r="I1669" s="1">
        <v>0</v>
      </c>
      <c r="J1669" s="1">
        <v>169571</v>
      </c>
      <c r="K1669">
        <f>VLOOKUP(F1669,'LEAID Match'!$A$2:$C$2979,3,FALSE)</f>
        <v>2003570</v>
      </c>
    </row>
    <row r="1670" spans="1:11" x14ac:dyDescent="0.2">
      <c r="A1670">
        <v>2006690</v>
      </c>
      <c r="B1670">
        <v>2019</v>
      </c>
      <c r="C1670" t="s">
        <v>6</v>
      </c>
      <c r="D1670" t="s">
        <v>7</v>
      </c>
      <c r="E1670" t="s">
        <v>8</v>
      </c>
      <c r="F1670">
        <v>5409</v>
      </c>
      <c r="G1670" t="s">
        <v>328</v>
      </c>
      <c r="H1670" s="1">
        <v>217757</v>
      </c>
      <c r="I1670" s="1">
        <v>0</v>
      </c>
      <c r="J1670" s="1">
        <v>217757</v>
      </c>
      <c r="K1670">
        <f>VLOOKUP(F1670,'LEAID Match'!$A$2:$C$2979,3,FALSE)</f>
        <v>2006690</v>
      </c>
    </row>
    <row r="1671" spans="1:11" x14ac:dyDescent="0.2">
      <c r="A1671">
        <v>2011790</v>
      </c>
      <c r="B1671">
        <v>2019</v>
      </c>
      <c r="C1671" t="s">
        <v>6</v>
      </c>
      <c r="D1671" t="s">
        <v>7</v>
      </c>
      <c r="E1671" t="s">
        <v>8</v>
      </c>
      <c r="F1671">
        <v>5410</v>
      </c>
      <c r="G1671" t="s">
        <v>329</v>
      </c>
      <c r="H1671" s="20">
        <v>194252</v>
      </c>
      <c r="I1671" s="1">
        <v>0</v>
      </c>
      <c r="J1671" s="1">
        <v>194252</v>
      </c>
      <c r="K1671">
        <f>VLOOKUP(F1671,'LEAID Match'!$A$2:$C$2979,3,FALSE)</f>
        <v>2011790</v>
      </c>
    </row>
    <row r="1672" spans="1:11" x14ac:dyDescent="0.2">
      <c r="A1672">
        <v>2011640</v>
      </c>
      <c r="B1672">
        <v>2019</v>
      </c>
      <c r="C1672" t="s">
        <v>6</v>
      </c>
      <c r="D1672" t="s">
        <v>7</v>
      </c>
      <c r="E1672" t="s">
        <v>8</v>
      </c>
      <c r="F1672">
        <v>5430</v>
      </c>
      <c r="G1672" t="s">
        <v>330</v>
      </c>
      <c r="H1672" s="1">
        <v>24358219</v>
      </c>
      <c r="I1672" s="1">
        <v>0</v>
      </c>
      <c r="J1672" s="1">
        <v>24358219</v>
      </c>
      <c r="K1672">
        <f>VLOOKUP(F1672,'LEAID Match'!$A$2:$C$2979,3,FALSE)</f>
        <v>2011640</v>
      </c>
    </row>
    <row r="1673" spans="1:11" x14ac:dyDescent="0.2">
      <c r="A1673">
        <v>2004800</v>
      </c>
      <c r="B1673">
        <v>2019</v>
      </c>
      <c r="C1673" t="s">
        <v>6</v>
      </c>
      <c r="D1673" t="s">
        <v>7</v>
      </c>
      <c r="E1673" t="s">
        <v>8</v>
      </c>
      <c r="F1673">
        <v>5436</v>
      </c>
      <c r="G1673" s="9" t="s">
        <v>331</v>
      </c>
      <c r="H1673" s="1">
        <v>577925</v>
      </c>
      <c r="I1673" s="1">
        <v>0</v>
      </c>
      <c r="J1673" s="1">
        <v>577925</v>
      </c>
      <c r="K1673">
        <f>VLOOKUP(F1673,'LEAID Match'!$A$2:$C$2979,3,FALSE)</f>
        <v>2004800</v>
      </c>
    </row>
    <row r="1674" spans="1:11" x14ac:dyDescent="0.2">
      <c r="A1674">
        <v>2004790</v>
      </c>
      <c r="B1674">
        <v>2019</v>
      </c>
      <c r="C1674" t="s">
        <v>6</v>
      </c>
      <c r="D1674" t="s">
        <v>7</v>
      </c>
      <c r="E1674" t="s">
        <v>8</v>
      </c>
      <c r="F1674" s="3">
        <v>5590</v>
      </c>
      <c r="G1674" s="3" t="s">
        <v>332</v>
      </c>
      <c r="H1674" s="22">
        <v>132559</v>
      </c>
      <c r="I1674" s="1">
        <v>0</v>
      </c>
      <c r="J1674" s="1">
        <v>132559</v>
      </c>
      <c r="K1674">
        <f>VLOOKUP(F1674,'LEAID Match'!$A$2:$C$2979,3,FALSE)</f>
        <v>2004790</v>
      </c>
    </row>
    <row r="1675" spans="1:11" x14ac:dyDescent="0.2">
      <c r="A1675">
        <v>0</v>
      </c>
      <c r="B1675">
        <v>2019</v>
      </c>
      <c r="C1675" t="s">
        <v>6</v>
      </c>
      <c r="D1675" t="s">
        <v>7</v>
      </c>
      <c r="E1675" t="s">
        <v>8</v>
      </c>
      <c r="F1675" s="3">
        <v>5696</v>
      </c>
      <c r="G1675" s="3" t="s">
        <v>333</v>
      </c>
      <c r="H1675" s="1">
        <v>230846</v>
      </c>
      <c r="I1675" s="21">
        <v>0</v>
      </c>
      <c r="J1675" s="21">
        <v>230846</v>
      </c>
      <c r="K1675">
        <f>VLOOKUP(F1675,'LEAID Match'!$A$2:$C$2979,3,FALSE)</f>
        <v>0</v>
      </c>
    </row>
    <row r="1676" spans="1:11" x14ac:dyDescent="0.2">
      <c r="A1676">
        <v>2000023</v>
      </c>
      <c r="B1676">
        <v>2019</v>
      </c>
      <c r="C1676" t="s">
        <v>6</v>
      </c>
      <c r="D1676" t="s">
        <v>7</v>
      </c>
      <c r="E1676" t="s">
        <v>8</v>
      </c>
      <c r="F1676" s="3">
        <v>9291</v>
      </c>
      <c r="G1676" s="3" t="s">
        <v>334</v>
      </c>
      <c r="H1676" s="1">
        <v>304225</v>
      </c>
      <c r="I1676" s="1">
        <v>0</v>
      </c>
      <c r="J1676" s="1">
        <v>304225</v>
      </c>
      <c r="K1676">
        <f>VLOOKUP(F1676,'LEAID Match'!$A$2:$C$2979,3,FALSE)</f>
        <v>2000023</v>
      </c>
    </row>
    <row r="1677" spans="1:11" x14ac:dyDescent="0.2">
      <c r="A1677">
        <v>2000020</v>
      </c>
      <c r="B1677">
        <v>2019</v>
      </c>
      <c r="C1677" t="s">
        <v>6</v>
      </c>
      <c r="D1677" t="s">
        <v>7</v>
      </c>
      <c r="E1677" t="s">
        <v>8</v>
      </c>
      <c r="F1677">
        <v>9302</v>
      </c>
      <c r="G1677" t="s">
        <v>335</v>
      </c>
      <c r="H1677" s="1">
        <v>169220</v>
      </c>
      <c r="I1677" s="1">
        <v>0</v>
      </c>
      <c r="J1677" s="1">
        <v>169220</v>
      </c>
      <c r="K1677">
        <f>VLOOKUP(F1677,'LEAID Match'!$A$2:$C$2979,3,FALSE)</f>
        <v>2000020</v>
      </c>
    </row>
    <row r="1678" spans="1:11" x14ac:dyDescent="0.2">
      <c r="A1678">
        <v>2000029</v>
      </c>
      <c r="B1678">
        <v>2019</v>
      </c>
      <c r="C1678" t="s">
        <v>6</v>
      </c>
      <c r="D1678" t="s">
        <v>7</v>
      </c>
      <c r="E1678" t="s">
        <v>8</v>
      </c>
      <c r="F1678">
        <v>9332</v>
      </c>
      <c r="G1678" t="s">
        <v>336</v>
      </c>
      <c r="H1678" s="1">
        <v>282633</v>
      </c>
      <c r="I1678" s="1">
        <v>0</v>
      </c>
      <c r="J1678" s="1">
        <v>282633</v>
      </c>
      <c r="K1678">
        <f>VLOOKUP(F1678,'LEAID Match'!$A$2:$C$2979,3,FALSE)</f>
        <v>2000029</v>
      </c>
    </row>
    <row r="1679" spans="1:11" x14ac:dyDescent="0.2">
      <c r="A1679">
        <v>2000028</v>
      </c>
      <c r="B1679">
        <v>2019</v>
      </c>
      <c r="C1679" t="s">
        <v>6</v>
      </c>
      <c r="D1679" t="s">
        <v>7</v>
      </c>
      <c r="E1679" t="s">
        <v>8</v>
      </c>
      <c r="F1679">
        <v>9333</v>
      </c>
      <c r="G1679" t="s">
        <v>337</v>
      </c>
      <c r="H1679" s="1">
        <v>304068</v>
      </c>
      <c r="I1679" s="1">
        <v>0</v>
      </c>
      <c r="J1679" s="1">
        <v>304068</v>
      </c>
      <c r="K1679">
        <f>VLOOKUP(F1679,'LEAID Match'!$A$2:$C$2979,3,FALSE)</f>
        <v>2000028</v>
      </c>
    </row>
    <row r="1680" spans="1:11" x14ac:dyDescent="0.2">
      <c r="A1680">
        <v>2000030</v>
      </c>
      <c r="B1680">
        <v>2019</v>
      </c>
      <c r="C1680" t="s">
        <v>6</v>
      </c>
      <c r="D1680" t="s">
        <v>7</v>
      </c>
      <c r="E1680" t="s">
        <v>8</v>
      </c>
      <c r="F1680">
        <v>9335</v>
      </c>
      <c r="G1680" t="s">
        <v>338</v>
      </c>
      <c r="H1680" s="20">
        <v>395464</v>
      </c>
      <c r="I1680" s="1">
        <v>0</v>
      </c>
      <c r="J1680" s="1">
        <v>395464</v>
      </c>
      <c r="K1680">
        <f>VLOOKUP(F1680,'LEAID Match'!$A$2:$C$2979,3,FALSE)</f>
        <v>2000030</v>
      </c>
    </row>
    <row r="1681" spans="1:11" x14ac:dyDescent="0.2">
      <c r="A1681">
        <v>2000346</v>
      </c>
      <c r="B1681">
        <v>2019</v>
      </c>
      <c r="C1681" t="s">
        <v>6</v>
      </c>
      <c r="D1681" t="s">
        <v>7</v>
      </c>
      <c r="E1681" t="s">
        <v>8</v>
      </c>
      <c r="F1681">
        <v>9389</v>
      </c>
      <c r="G1681" t="s">
        <v>339</v>
      </c>
      <c r="H1681" s="1">
        <v>237810</v>
      </c>
      <c r="I1681" s="1">
        <v>0</v>
      </c>
      <c r="J1681" s="1">
        <v>237810</v>
      </c>
      <c r="K1681">
        <f>VLOOKUP(F1681,'LEAID Match'!$A$2:$C$2979,3,FALSE)</f>
        <v>2000346</v>
      </c>
    </row>
    <row r="1682" spans="1:11" x14ac:dyDescent="0.2">
      <c r="A1682">
        <v>2000348</v>
      </c>
      <c r="B1682">
        <v>2019</v>
      </c>
      <c r="C1682" t="s">
        <v>6</v>
      </c>
      <c r="D1682" t="s">
        <v>7</v>
      </c>
      <c r="E1682" t="s">
        <v>8</v>
      </c>
      <c r="F1682">
        <v>9410</v>
      </c>
      <c r="G1682" s="9" t="s">
        <v>340</v>
      </c>
      <c r="H1682" s="1">
        <v>321827</v>
      </c>
      <c r="I1682" s="1">
        <v>0</v>
      </c>
      <c r="J1682" s="1">
        <v>321827</v>
      </c>
      <c r="K1682">
        <f>VLOOKUP(F1682,'LEAID Match'!$A$2:$C$2979,3,FALSE)</f>
        <v>2000348</v>
      </c>
    </row>
    <row r="1683" spans="1:11" x14ac:dyDescent="0.2">
      <c r="A1683">
        <v>2000351</v>
      </c>
      <c r="B1683">
        <v>2019</v>
      </c>
      <c r="C1683" t="s">
        <v>6</v>
      </c>
      <c r="D1683" t="s">
        <v>7</v>
      </c>
      <c r="E1683" t="s">
        <v>8</v>
      </c>
      <c r="F1683" s="3">
        <v>9444</v>
      </c>
      <c r="G1683" s="3" t="s">
        <v>341</v>
      </c>
      <c r="H1683" s="22">
        <v>440004</v>
      </c>
      <c r="I1683" s="1">
        <v>0</v>
      </c>
      <c r="J1683" s="1">
        <v>440004</v>
      </c>
      <c r="K1683">
        <f>VLOOKUP(F1683,'LEAID Match'!$A$2:$C$2979,3,FALSE)</f>
        <v>2000351</v>
      </c>
    </row>
    <row r="1684" spans="1:11" x14ac:dyDescent="0.2">
      <c r="A1684">
        <v>2000349</v>
      </c>
      <c r="B1684">
        <v>2019</v>
      </c>
      <c r="C1684" t="s">
        <v>6</v>
      </c>
      <c r="D1684" t="s">
        <v>7</v>
      </c>
      <c r="E1684" t="s">
        <v>8</v>
      </c>
      <c r="F1684" s="3">
        <v>9445</v>
      </c>
      <c r="G1684" s="3" t="s">
        <v>342</v>
      </c>
      <c r="H1684" s="1">
        <v>528682</v>
      </c>
      <c r="I1684" s="21">
        <v>0</v>
      </c>
      <c r="J1684" s="21">
        <v>528682</v>
      </c>
      <c r="K1684">
        <f>VLOOKUP(F1684,'LEAID Match'!$A$2:$C$2979,3,FALSE)</f>
        <v>2000349</v>
      </c>
    </row>
    <row r="1685" spans="1:11" x14ac:dyDescent="0.2">
      <c r="A1685">
        <v>2000350</v>
      </c>
      <c r="B1685">
        <v>2019</v>
      </c>
      <c r="C1685" t="s">
        <v>6</v>
      </c>
      <c r="D1685" t="s">
        <v>7</v>
      </c>
      <c r="E1685" t="s">
        <v>8</v>
      </c>
      <c r="F1685" s="3">
        <v>9446</v>
      </c>
      <c r="G1685" s="3" t="s">
        <v>343</v>
      </c>
      <c r="H1685" s="1">
        <v>902033</v>
      </c>
      <c r="I1685" s="1">
        <v>0</v>
      </c>
      <c r="J1685" s="1">
        <v>902033</v>
      </c>
      <c r="K1685">
        <f>VLOOKUP(F1685,'LEAID Match'!$A$2:$C$2979,3,FALSE)</f>
        <v>2000350</v>
      </c>
    </row>
    <row r="1686" spans="1:11" x14ac:dyDescent="0.2">
      <c r="A1686">
        <v>2000353</v>
      </c>
      <c r="B1686">
        <v>2019</v>
      </c>
      <c r="C1686" t="s">
        <v>6</v>
      </c>
      <c r="D1686" t="s">
        <v>7</v>
      </c>
      <c r="E1686" t="s">
        <v>8</v>
      </c>
      <c r="F1686">
        <v>9461</v>
      </c>
      <c r="G1686" t="s">
        <v>344</v>
      </c>
      <c r="H1686" s="1">
        <v>610490</v>
      </c>
      <c r="I1686" s="1">
        <v>0</v>
      </c>
      <c r="J1686" s="1">
        <v>610490</v>
      </c>
      <c r="K1686">
        <f>VLOOKUP(F1686,'LEAID Match'!$A$2:$C$2979,3,FALSE)</f>
        <v>2000353</v>
      </c>
    </row>
    <row r="1687" spans="1:11" x14ac:dyDescent="0.2">
      <c r="A1687">
        <v>0</v>
      </c>
      <c r="B1687">
        <v>2020</v>
      </c>
      <c r="C1687" t="s">
        <v>6</v>
      </c>
      <c r="D1687" t="s">
        <v>7</v>
      </c>
      <c r="E1687" t="s">
        <v>8</v>
      </c>
      <c r="F1687">
        <v>4931</v>
      </c>
      <c r="G1687" t="s">
        <v>10</v>
      </c>
      <c r="H1687" s="1">
        <v>4923</v>
      </c>
      <c r="I1687" s="1">
        <v>480323.23449101206</v>
      </c>
      <c r="J1687" s="1">
        <v>485246.23449101206</v>
      </c>
      <c r="K1687">
        <f>VLOOKUP(F1687,'LEAID Match'!$A$2:$C$2979,3,FALSE)</f>
        <v>0</v>
      </c>
    </row>
    <row r="1688" spans="1:11" x14ac:dyDescent="0.2">
      <c r="A1688">
        <v>0</v>
      </c>
      <c r="B1688">
        <v>2020</v>
      </c>
      <c r="C1688" t="s">
        <v>6</v>
      </c>
      <c r="D1688" t="s">
        <v>7</v>
      </c>
      <c r="E1688" t="s">
        <v>8</v>
      </c>
      <c r="F1688">
        <v>5045</v>
      </c>
      <c r="G1688" t="s">
        <v>11</v>
      </c>
      <c r="H1688" s="1">
        <v>5507</v>
      </c>
      <c r="I1688" s="1">
        <v>752174.56463564781</v>
      </c>
      <c r="J1688" s="1">
        <v>757681.56463564781</v>
      </c>
      <c r="K1688">
        <f>VLOOKUP(F1688,'LEAID Match'!$A$2:$C$2979,3,FALSE)</f>
        <v>0</v>
      </c>
    </row>
    <row r="1689" spans="1:11" x14ac:dyDescent="0.2">
      <c r="A1689">
        <v>0</v>
      </c>
      <c r="B1689">
        <v>2020</v>
      </c>
      <c r="C1689" t="s">
        <v>6</v>
      </c>
      <c r="D1689" t="s">
        <v>7</v>
      </c>
      <c r="E1689" t="s">
        <v>8</v>
      </c>
      <c r="F1689">
        <v>5046</v>
      </c>
      <c r="G1689" t="s">
        <v>12</v>
      </c>
      <c r="H1689" s="20">
        <v>142</v>
      </c>
      <c r="I1689" s="1">
        <v>1014528.7827867565</v>
      </c>
      <c r="J1689" s="1">
        <v>1014670.7827867565</v>
      </c>
      <c r="K1689">
        <f>VLOOKUP(F1689,'LEAID Match'!$A$2:$C$2979,3,FALSE)</f>
        <v>0</v>
      </c>
    </row>
    <row r="1690" spans="1:11" x14ac:dyDescent="0.2">
      <c r="A1690">
        <v>0</v>
      </c>
      <c r="B1690">
        <v>2020</v>
      </c>
      <c r="C1690" t="s">
        <v>6</v>
      </c>
      <c r="D1690" t="s">
        <v>7</v>
      </c>
      <c r="E1690" t="s">
        <v>8</v>
      </c>
      <c r="F1690">
        <v>5047</v>
      </c>
      <c r="G1690" t="s">
        <v>13</v>
      </c>
      <c r="H1690" s="1">
        <v>10534</v>
      </c>
      <c r="I1690" s="1">
        <v>1629775.2551778296</v>
      </c>
      <c r="J1690" s="1">
        <v>1640309.2551778296</v>
      </c>
      <c r="K1690">
        <f>VLOOKUP(F1690,'LEAID Match'!$A$2:$C$2979,3,FALSE)</f>
        <v>0</v>
      </c>
    </row>
    <row r="1691" spans="1:11" x14ac:dyDescent="0.2">
      <c r="A1691">
        <v>0</v>
      </c>
      <c r="B1691">
        <v>2020</v>
      </c>
      <c r="C1691" t="s">
        <v>6</v>
      </c>
      <c r="D1691" t="s">
        <v>7</v>
      </c>
      <c r="E1691" t="s">
        <v>8</v>
      </c>
      <c r="F1691">
        <v>5048</v>
      </c>
      <c r="G1691" s="9" t="s">
        <v>14</v>
      </c>
      <c r="H1691" s="1">
        <v>68518</v>
      </c>
      <c r="I1691" s="1">
        <v>3312675.0320498929</v>
      </c>
      <c r="J1691" s="1">
        <v>3381193.0320498929</v>
      </c>
      <c r="K1691">
        <f>VLOOKUP(F1691,'LEAID Match'!$A$2:$C$2979,3,FALSE)</f>
        <v>0</v>
      </c>
    </row>
    <row r="1692" spans="1:11" x14ac:dyDescent="0.2">
      <c r="A1692">
        <v>0</v>
      </c>
      <c r="B1692">
        <v>2020</v>
      </c>
      <c r="C1692" t="s">
        <v>6</v>
      </c>
      <c r="D1692" t="s">
        <v>7</v>
      </c>
      <c r="E1692" t="s">
        <v>8</v>
      </c>
      <c r="F1692" s="3">
        <v>5049</v>
      </c>
      <c r="G1692" s="3" t="s">
        <v>15</v>
      </c>
      <c r="H1692" s="22">
        <v>157689</v>
      </c>
      <c r="I1692" s="1">
        <v>4731994.9444008255</v>
      </c>
      <c r="J1692" s="1">
        <v>4889683.9444008255</v>
      </c>
      <c r="K1692">
        <f>VLOOKUP(F1692,'LEAID Match'!$A$2:$C$2979,3,FALSE)</f>
        <v>0</v>
      </c>
    </row>
    <row r="1693" spans="1:11" x14ac:dyDescent="0.2">
      <c r="A1693">
        <v>0</v>
      </c>
      <c r="B1693">
        <v>2020</v>
      </c>
      <c r="C1693" t="s">
        <v>6</v>
      </c>
      <c r="D1693" t="s">
        <v>7</v>
      </c>
      <c r="E1693" t="s">
        <v>8</v>
      </c>
      <c r="F1693" s="3">
        <v>5050</v>
      </c>
      <c r="G1693" s="3" t="s">
        <v>16</v>
      </c>
      <c r="H1693" s="1">
        <v>13988</v>
      </c>
      <c r="I1693" s="21">
        <v>1127899.4246397552</v>
      </c>
      <c r="J1693" s="21">
        <v>1141887.4246397552</v>
      </c>
      <c r="K1693">
        <f>VLOOKUP(F1693,'LEAID Match'!$A$2:$C$2979,3,FALSE)</f>
        <v>0</v>
      </c>
    </row>
    <row r="1694" spans="1:11" x14ac:dyDescent="0.2">
      <c r="A1694">
        <v>0</v>
      </c>
      <c r="B1694">
        <v>2020</v>
      </c>
      <c r="C1694" t="s">
        <v>6</v>
      </c>
      <c r="D1694" t="s">
        <v>7</v>
      </c>
      <c r="E1694" t="s">
        <v>8</v>
      </c>
      <c r="F1694" s="3">
        <v>5107</v>
      </c>
      <c r="G1694" s="3" t="s">
        <v>17</v>
      </c>
      <c r="H1694" s="1">
        <v>22648</v>
      </c>
      <c r="I1694" s="1">
        <v>1807284.7623137392</v>
      </c>
      <c r="J1694" s="1">
        <v>1829932.7623137392</v>
      </c>
      <c r="K1694">
        <f>VLOOKUP(F1694,'LEAID Match'!$A$2:$C$2979,3,FALSE)</f>
        <v>0</v>
      </c>
    </row>
    <row r="1695" spans="1:11" x14ac:dyDescent="0.2">
      <c r="A1695">
        <v>0</v>
      </c>
      <c r="B1695">
        <v>2020</v>
      </c>
      <c r="C1695" t="s">
        <v>6</v>
      </c>
      <c r="D1695" t="s">
        <v>7</v>
      </c>
      <c r="E1695" t="s">
        <v>8</v>
      </c>
      <c r="F1695">
        <v>5108</v>
      </c>
      <c r="G1695" t="s">
        <v>18</v>
      </c>
      <c r="H1695" s="1">
        <v>21644</v>
      </c>
      <c r="I1695" s="1">
        <v>2359169.9300222383</v>
      </c>
      <c r="J1695" s="1">
        <v>2380813.9300222383</v>
      </c>
      <c r="K1695">
        <f>VLOOKUP(F1695,'LEAID Match'!$A$2:$C$2979,3,FALSE)</f>
        <v>0</v>
      </c>
    </row>
    <row r="1696" spans="1:11" x14ac:dyDescent="0.2">
      <c r="A1696">
        <v>0</v>
      </c>
      <c r="B1696">
        <v>2020</v>
      </c>
      <c r="C1696" t="s">
        <v>6</v>
      </c>
      <c r="D1696" t="s">
        <v>7</v>
      </c>
      <c r="E1696" t="s">
        <v>8</v>
      </c>
      <c r="F1696">
        <v>5109</v>
      </c>
      <c r="G1696" t="s">
        <v>19</v>
      </c>
      <c r="H1696" s="1">
        <v>42479</v>
      </c>
      <c r="I1696" s="1">
        <v>3809229.8440729473</v>
      </c>
      <c r="J1696" s="1">
        <v>3851708.8440729473</v>
      </c>
      <c r="K1696">
        <f>VLOOKUP(F1696,'LEAID Match'!$A$2:$C$2979,3,FALSE)</f>
        <v>0</v>
      </c>
    </row>
    <row r="1697" spans="1:11" x14ac:dyDescent="0.2">
      <c r="A1697">
        <v>0</v>
      </c>
      <c r="B1697">
        <v>2020</v>
      </c>
      <c r="C1697" t="s">
        <v>6</v>
      </c>
      <c r="D1697" t="s">
        <v>7</v>
      </c>
      <c r="E1697" t="s">
        <v>8</v>
      </c>
      <c r="F1697">
        <v>5110</v>
      </c>
      <c r="G1697" t="s">
        <v>20</v>
      </c>
      <c r="H1697" s="1">
        <v>15539</v>
      </c>
      <c r="I1697" s="1">
        <v>769135.92891758261</v>
      </c>
      <c r="J1697" s="1">
        <v>784674.92891758261</v>
      </c>
      <c r="K1697">
        <f>VLOOKUP(F1697,'LEAID Match'!$A$2:$C$2979,3,FALSE)</f>
        <v>0</v>
      </c>
    </row>
    <row r="1698" spans="1:11" x14ac:dyDescent="0.2">
      <c r="A1698">
        <v>0</v>
      </c>
      <c r="B1698">
        <v>2020</v>
      </c>
      <c r="C1698" t="s">
        <v>6</v>
      </c>
      <c r="D1698" t="s">
        <v>7</v>
      </c>
      <c r="E1698" t="s">
        <v>8</v>
      </c>
      <c r="F1698">
        <v>5111</v>
      </c>
      <c r="G1698" t="s">
        <v>21</v>
      </c>
      <c r="H1698" s="20">
        <v>33455</v>
      </c>
      <c r="I1698" s="1">
        <v>792382.02559419326</v>
      </c>
      <c r="J1698" s="1">
        <v>825837.02559419326</v>
      </c>
      <c r="K1698">
        <f>VLOOKUP(F1698,'LEAID Match'!$A$2:$C$2979,3,FALSE)</f>
        <v>0</v>
      </c>
    </row>
    <row r="1699" spans="1:11" x14ac:dyDescent="0.2">
      <c r="A1699">
        <v>0</v>
      </c>
      <c r="B1699">
        <v>2020</v>
      </c>
      <c r="C1699" t="s">
        <v>6</v>
      </c>
      <c r="D1699" t="s">
        <v>7</v>
      </c>
      <c r="E1699" t="s">
        <v>8</v>
      </c>
      <c r="F1699">
        <v>5112</v>
      </c>
      <c r="G1699" t="s">
        <v>22</v>
      </c>
      <c r="H1699" s="1">
        <v>5318</v>
      </c>
      <c r="I1699" s="1">
        <v>943146.41335197422</v>
      </c>
      <c r="J1699" s="1">
        <v>948464.41335197422</v>
      </c>
      <c r="K1699">
        <f>VLOOKUP(F1699,'LEAID Match'!$A$2:$C$2979,3,FALSE)</f>
        <v>0</v>
      </c>
    </row>
    <row r="1700" spans="1:11" x14ac:dyDescent="0.2">
      <c r="A1700">
        <v>0</v>
      </c>
      <c r="B1700">
        <v>2020</v>
      </c>
      <c r="C1700" t="s">
        <v>6</v>
      </c>
      <c r="D1700" t="s">
        <v>7</v>
      </c>
      <c r="E1700" t="s">
        <v>8</v>
      </c>
      <c r="F1700">
        <v>5113</v>
      </c>
      <c r="G1700" s="9" t="s">
        <v>23</v>
      </c>
      <c r="H1700" s="1">
        <v>12882</v>
      </c>
      <c r="I1700" s="1">
        <v>855374.31846643728</v>
      </c>
      <c r="J1700" s="1">
        <v>868256.31846643728</v>
      </c>
      <c r="K1700">
        <f>VLOOKUP(F1700,'LEAID Match'!$A$2:$C$2979,3,FALSE)</f>
        <v>0</v>
      </c>
    </row>
    <row r="1701" spans="1:11" x14ac:dyDescent="0.2">
      <c r="A1701">
        <v>0</v>
      </c>
      <c r="B1701">
        <v>2020</v>
      </c>
      <c r="C1701" t="s">
        <v>6</v>
      </c>
      <c r="D1701" t="s">
        <v>7</v>
      </c>
      <c r="E1701" t="s">
        <v>8</v>
      </c>
      <c r="F1701" s="3">
        <v>5177</v>
      </c>
      <c r="G1701" s="3" t="s">
        <v>24</v>
      </c>
      <c r="H1701" s="22">
        <v>32074</v>
      </c>
      <c r="I1701" s="1">
        <v>990170.70855669735</v>
      </c>
      <c r="J1701" s="1">
        <v>1022244.7085566974</v>
      </c>
      <c r="K1701">
        <f>VLOOKUP(F1701,'LEAID Match'!$A$2:$C$2979,3,FALSE)</f>
        <v>0</v>
      </c>
    </row>
    <row r="1702" spans="1:11" x14ac:dyDescent="0.2">
      <c r="A1702">
        <v>0</v>
      </c>
      <c r="B1702">
        <v>2020</v>
      </c>
      <c r="C1702" t="s">
        <v>6</v>
      </c>
      <c r="D1702" t="s">
        <v>7</v>
      </c>
      <c r="E1702" t="s">
        <v>8</v>
      </c>
      <c r="F1702" s="3">
        <v>5178</v>
      </c>
      <c r="G1702" s="3" t="s">
        <v>25</v>
      </c>
      <c r="H1702" s="1">
        <v>36626</v>
      </c>
      <c r="I1702" s="21">
        <v>1617564.9179538882</v>
      </c>
      <c r="J1702" s="21">
        <v>1654190.9179538882</v>
      </c>
      <c r="K1702">
        <f>VLOOKUP(F1702,'LEAID Match'!$A$2:$C$2979,3,FALSE)</f>
        <v>0</v>
      </c>
    </row>
    <row r="1703" spans="1:11" x14ac:dyDescent="0.2">
      <c r="A1703">
        <v>0</v>
      </c>
      <c r="B1703">
        <v>2020</v>
      </c>
      <c r="C1703" t="s">
        <v>6</v>
      </c>
      <c r="D1703" t="s">
        <v>7</v>
      </c>
      <c r="E1703" t="s">
        <v>8</v>
      </c>
      <c r="F1703" s="3">
        <v>5179</v>
      </c>
      <c r="G1703" s="3" t="s">
        <v>26</v>
      </c>
      <c r="H1703" s="1">
        <v>23173</v>
      </c>
      <c r="I1703" s="1">
        <v>882615.29746469622</v>
      </c>
      <c r="J1703" s="1">
        <v>905788.29746469622</v>
      </c>
      <c r="K1703">
        <f>VLOOKUP(F1703,'LEAID Match'!$A$2:$C$2979,3,FALSE)</f>
        <v>0</v>
      </c>
    </row>
    <row r="1704" spans="1:11" x14ac:dyDescent="0.2">
      <c r="A1704">
        <v>0</v>
      </c>
      <c r="B1704">
        <v>2020</v>
      </c>
      <c r="C1704" t="s">
        <v>6</v>
      </c>
      <c r="D1704" t="s">
        <v>7</v>
      </c>
      <c r="E1704" t="s">
        <v>8</v>
      </c>
      <c r="F1704">
        <v>5180</v>
      </c>
      <c r="G1704" t="s">
        <v>27</v>
      </c>
      <c r="H1704" s="1">
        <v>3329</v>
      </c>
      <c r="I1704" s="1">
        <v>1202467.8156869367</v>
      </c>
      <c r="J1704" s="1">
        <v>1205796.8156869367</v>
      </c>
      <c r="K1704">
        <f>VLOOKUP(F1704,'LEAID Match'!$A$2:$C$2979,3,FALSE)</f>
        <v>0</v>
      </c>
    </row>
    <row r="1705" spans="1:11" x14ac:dyDescent="0.2">
      <c r="A1705">
        <v>0</v>
      </c>
      <c r="B1705">
        <v>2020</v>
      </c>
      <c r="C1705" t="s">
        <v>6</v>
      </c>
      <c r="D1705" t="s">
        <v>7</v>
      </c>
      <c r="E1705" t="s">
        <v>8</v>
      </c>
      <c r="F1705">
        <v>5404</v>
      </c>
      <c r="G1705" t="s">
        <v>28</v>
      </c>
      <c r="H1705" s="1">
        <v>6714</v>
      </c>
      <c r="I1705" s="1">
        <v>1411420.7532860641</v>
      </c>
      <c r="J1705" s="1">
        <v>1418134.7532860641</v>
      </c>
      <c r="K1705">
        <f>VLOOKUP(F1705,'LEAID Match'!$A$2:$C$2979,3,FALSE)</f>
        <v>0</v>
      </c>
    </row>
    <row r="1706" spans="1:11" x14ac:dyDescent="0.2">
      <c r="A1706">
        <v>0</v>
      </c>
      <c r="B1706">
        <v>2020</v>
      </c>
      <c r="C1706" t="s">
        <v>6</v>
      </c>
      <c r="D1706" t="s">
        <v>7</v>
      </c>
      <c r="E1706" t="s">
        <v>8</v>
      </c>
      <c r="F1706">
        <v>5406</v>
      </c>
      <c r="G1706" t="s">
        <v>29</v>
      </c>
      <c r="H1706" s="1">
        <v>30335</v>
      </c>
      <c r="I1706" s="1">
        <v>13684868.881038781</v>
      </c>
      <c r="J1706" s="1">
        <v>13715203.881038781</v>
      </c>
      <c r="K1706">
        <f>VLOOKUP(F1706,'LEAID Match'!$A$2:$C$2979,3,FALSE)</f>
        <v>0</v>
      </c>
    </row>
    <row r="1707" spans="1:11" x14ac:dyDescent="0.2">
      <c r="A1707">
        <v>2000046</v>
      </c>
      <c r="B1707">
        <v>2020</v>
      </c>
      <c r="C1707" t="s">
        <v>6</v>
      </c>
      <c r="D1707" t="s">
        <v>7</v>
      </c>
      <c r="E1707" t="s">
        <v>8</v>
      </c>
      <c r="F1707">
        <v>5596</v>
      </c>
      <c r="G1707" t="s">
        <v>30</v>
      </c>
      <c r="H1707" s="20">
        <v>85198</v>
      </c>
      <c r="I1707" s="1">
        <v>1192893.2771082066</v>
      </c>
      <c r="J1707" s="1">
        <v>1278091.2771082066</v>
      </c>
      <c r="K1707">
        <f>VLOOKUP(F1707,'LEAID Match'!$A$2:$C$2979,3,FALSE)</f>
        <v>2000046</v>
      </c>
    </row>
    <row r="1708" spans="1:11" x14ac:dyDescent="0.2">
      <c r="A1708">
        <v>0</v>
      </c>
      <c r="B1708">
        <v>2020</v>
      </c>
      <c r="C1708" t="s">
        <v>6</v>
      </c>
      <c r="D1708" t="s">
        <v>7</v>
      </c>
      <c r="E1708" t="s">
        <v>8</v>
      </c>
      <c r="F1708">
        <v>5600</v>
      </c>
      <c r="G1708" t="s">
        <v>31</v>
      </c>
      <c r="H1708" s="1">
        <v>67133</v>
      </c>
      <c r="I1708" s="1">
        <v>1390510.633158772</v>
      </c>
      <c r="J1708" s="1">
        <v>1457643.633158772</v>
      </c>
      <c r="K1708">
        <f>VLOOKUP(F1708,'LEAID Match'!$A$2:$C$2979,3,FALSE)</f>
        <v>0</v>
      </c>
    </row>
    <row r="1709" spans="1:11" x14ac:dyDescent="0.2">
      <c r="A1709">
        <v>2000048</v>
      </c>
      <c r="B1709">
        <v>2020</v>
      </c>
      <c r="C1709" t="s">
        <v>6</v>
      </c>
      <c r="D1709" t="s">
        <v>7</v>
      </c>
      <c r="E1709" t="s">
        <v>8</v>
      </c>
      <c r="F1709">
        <v>5604</v>
      </c>
      <c r="G1709" s="9" t="s">
        <v>32</v>
      </c>
      <c r="H1709" s="1">
        <v>51019</v>
      </c>
      <c r="I1709" s="1">
        <v>1276263.5882562406</v>
      </c>
      <c r="J1709" s="1">
        <v>1327282.5882562406</v>
      </c>
      <c r="K1709">
        <f>VLOOKUP(F1709,'LEAID Match'!$A$2:$C$2979,3,FALSE)</f>
        <v>2000048</v>
      </c>
    </row>
    <row r="1710" spans="1:11" x14ac:dyDescent="0.2">
      <c r="A1710">
        <v>2000035</v>
      </c>
      <c r="B1710">
        <v>2020</v>
      </c>
      <c r="C1710" t="s">
        <v>6</v>
      </c>
      <c r="D1710" t="s">
        <v>7</v>
      </c>
      <c r="E1710" t="s">
        <v>8</v>
      </c>
      <c r="F1710" s="3">
        <v>5608</v>
      </c>
      <c r="G1710" s="3" t="s">
        <v>33</v>
      </c>
      <c r="H1710" s="22">
        <v>29130</v>
      </c>
      <c r="I1710" s="1">
        <v>1199820.4854226524</v>
      </c>
      <c r="J1710" s="1">
        <v>1228950.4854226524</v>
      </c>
      <c r="K1710">
        <f>VLOOKUP(F1710,'LEAID Match'!$A$2:$C$2979,3,FALSE)</f>
        <v>2000035</v>
      </c>
    </row>
    <row r="1711" spans="1:11" x14ac:dyDescent="0.2">
      <c r="A1711">
        <v>2000039</v>
      </c>
      <c r="B1711">
        <v>2020</v>
      </c>
      <c r="C1711" t="s">
        <v>6</v>
      </c>
      <c r="D1711" t="s">
        <v>7</v>
      </c>
      <c r="E1711" t="s">
        <v>8</v>
      </c>
      <c r="F1711" s="3">
        <v>5609</v>
      </c>
      <c r="G1711" s="3" t="s">
        <v>34</v>
      </c>
      <c r="H1711" s="1">
        <v>71823</v>
      </c>
      <c r="I1711" s="21">
        <v>1307499.4495761481</v>
      </c>
      <c r="J1711" s="21">
        <v>1379322.4495761481</v>
      </c>
      <c r="K1711">
        <f>VLOOKUP(F1711,'LEAID Match'!$A$2:$C$2979,3,FALSE)</f>
        <v>2000039</v>
      </c>
    </row>
    <row r="1712" spans="1:11" x14ac:dyDescent="0.2">
      <c r="A1712">
        <v>2000041</v>
      </c>
      <c r="B1712">
        <v>2020</v>
      </c>
      <c r="C1712" t="s">
        <v>6</v>
      </c>
      <c r="D1712" t="s">
        <v>7</v>
      </c>
      <c r="E1712" t="s">
        <v>8</v>
      </c>
      <c r="F1712" s="3">
        <v>5612</v>
      </c>
      <c r="G1712" s="3" t="s">
        <v>35</v>
      </c>
      <c r="H1712" s="1">
        <v>98227</v>
      </c>
      <c r="I1712" s="1">
        <v>2699504.251091924</v>
      </c>
      <c r="J1712" s="1">
        <v>2797731.251091924</v>
      </c>
      <c r="K1712">
        <f>VLOOKUP(F1712,'LEAID Match'!$A$2:$C$2979,3,FALSE)</f>
        <v>2000041</v>
      </c>
    </row>
    <row r="1713" spans="1:11" x14ac:dyDescent="0.2">
      <c r="A1713">
        <v>0</v>
      </c>
      <c r="B1713">
        <v>2020</v>
      </c>
      <c r="C1713" t="s">
        <v>6</v>
      </c>
      <c r="D1713" t="s">
        <v>7</v>
      </c>
      <c r="E1713" t="s">
        <v>8</v>
      </c>
      <c r="F1713">
        <v>5624</v>
      </c>
      <c r="G1713" t="s">
        <v>36</v>
      </c>
      <c r="H1713" s="1">
        <v>30939</v>
      </c>
      <c r="I1713" s="1">
        <v>962786.40800710511</v>
      </c>
      <c r="J1713" s="1">
        <v>993725.40800710511</v>
      </c>
      <c r="K1713">
        <f>VLOOKUP(F1713,'LEAID Match'!$A$2:$C$2979,3,FALSE)</f>
        <v>0</v>
      </c>
    </row>
    <row r="1714" spans="1:11" x14ac:dyDescent="0.2">
      <c r="A1714">
        <v>2000044</v>
      </c>
      <c r="B1714">
        <v>2020</v>
      </c>
      <c r="C1714" t="s">
        <v>6</v>
      </c>
      <c r="D1714" t="s">
        <v>7</v>
      </c>
      <c r="E1714" t="s">
        <v>8</v>
      </c>
      <c r="F1714">
        <v>5626</v>
      </c>
      <c r="G1714" t="s">
        <v>37</v>
      </c>
      <c r="H1714" s="1">
        <v>29592</v>
      </c>
      <c r="I1714" s="1">
        <v>1118591.7606738526</v>
      </c>
      <c r="J1714" s="1">
        <v>1148183.7606738526</v>
      </c>
      <c r="K1714">
        <f>VLOOKUP(F1714,'LEAID Match'!$A$2:$C$2979,3,FALSE)</f>
        <v>2000044</v>
      </c>
    </row>
    <row r="1715" spans="1:11" x14ac:dyDescent="0.2">
      <c r="A1715">
        <v>2000047</v>
      </c>
      <c r="B1715">
        <v>2020</v>
      </c>
      <c r="C1715" t="s">
        <v>6</v>
      </c>
      <c r="D1715" t="s">
        <v>7</v>
      </c>
      <c r="E1715" t="s">
        <v>8</v>
      </c>
      <c r="F1715">
        <v>5634</v>
      </c>
      <c r="G1715" t="s">
        <v>38</v>
      </c>
      <c r="H1715" s="1">
        <v>110824</v>
      </c>
      <c r="I1715" s="1">
        <v>1634203.3969017845</v>
      </c>
      <c r="J1715" s="1">
        <v>1745027.3969017845</v>
      </c>
      <c r="K1715">
        <f>VLOOKUP(F1715,'LEAID Match'!$A$2:$C$2979,3,FALSE)</f>
        <v>2000047</v>
      </c>
    </row>
    <row r="1716" spans="1:11" x14ac:dyDescent="0.2">
      <c r="A1716">
        <v>2000051</v>
      </c>
      <c r="B1716">
        <v>2020</v>
      </c>
      <c r="C1716" t="s">
        <v>6</v>
      </c>
      <c r="D1716" t="s">
        <v>7</v>
      </c>
      <c r="E1716" t="s">
        <v>8</v>
      </c>
      <c r="F1716">
        <v>5638</v>
      </c>
      <c r="G1716" t="s">
        <v>39</v>
      </c>
      <c r="H1716" s="20">
        <v>31662</v>
      </c>
      <c r="I1716" s="1">
        <v>859746.44946918148</v>
      </c>
      <c r="J1716" s="1">
        <v>891408.44946918148</v>
      </c>
      <c r="K1716">
        <f>VLOOKUP(F1716,'LEAID Match'!$A$2:$C$2979,3,FALSE)</f>
        <v>2000051</v>
      </c>
    </row>
    <row r="1717" spans="1:11" x14ac:dyDescent="0.2">
      <c r="A1717">
        <v>2000033</v>
      </c>
      <c r="B1717">
        <v>2020</v>
      </c>
      <c r="C1717" t="s">
        <v>6</v>
      </c>
      <c r="D1717" t="s">
        <v>7</v>
      </c>
      <c r="E1717" t="s">
        <v>8</v>
      </c>
      <c r="F1717">
        <v>5655</v>
      </c>
      <c r="G1717" t="s">
        <v>40</v>
      </c>
      <c r="H1717" s="1"/>
      <c r="I1717" s="1">
        <v>386561.28718423238</v>
      </c>
      <c r="J1717" s="1">
        <v>386561.28718423238</v>
      </c>
      <c r="K1717">
        <f>VLOOKUP(F1717,'LEAID Match'!$A$2:$C$2979,3,FALSE)</f>
        <v>2000033</v>
      </c>
    </row>
    <row r="1718" spans="1:11" x14ac:dyDescent="0.2">
      <c r="A1718">
        <v>2000037</v>
      </c>
      <c r="B1718">
        <v>2020</v>
      </c>
      <c r="C1718" t="s">
        <v>6</v>
      </c>
      <c r="D1718" t="s">
        <v>7</v>
      </c>
      <c r="E1718" t="s">
        <v>8</v>
      </c>
      <c r="F1718">
        <v>5657</v>
      </c>
      <c r="G1718" s="9" t="s">
        <v>41</v>
      </c>
      <c r="H1718" s="1">
        <v>1316</v>
      </c>
      <c r="I1718" s="1">
        <v>213496.39551381036</v>
      </c>
      <c r="J1718" s="1">
        <v>214812.39551381036</v>
      </c>
      <c r="K1718">
        <f>VLOOKUP(F1718,'LEAID Match'!$A$2:$C$2979,3,FALSE)</f>
        <v>2000037</v>
      </c>
    </row>
    <row r="1719" spans="1:11" x14ac:dyDescent="0.2">
      <c r="A1719">
        <v>0</v>
      </c>
      <c r="B1719">
        <v>2020</v>
      </c>
      <c r="C1719" t="s">
        <v>6</v>
      </c>
      <c r="D1719" t="s">
        <v>7</v>
      </c>
      <c r="E1719" t="s">
        <v>8</v>
      </c>
      <c r="F1719" s="3">
        <v>4930</v>
      </c>
      <c r="G1719" s="3" t="s">
        <v>353</v>
      </c>
      <c r="H1719" s="22">
        <v>8590</v>
      </c>
      <c r="I1719" s="1">
        <v>608082.04219855799</v>
      </c>
      <c r="J1719" s="1">
        <v>616672.04219855799</v>
      </c>
      <c r="K1719">
        <f>VLOOKUP(F1719,'LEAID Match'!$A$2:$C$2979,3,FALSE)</f>
        <v>0</v>
      </c>
    </row>
    <row r="1720" spans="1:11" x14ac:dyDescent="0.2">
      <c r="A1720">
        <v>2093310</v>
      </c>
      <c r="B1720">
        <v>2020</v>
      </c>
      <c r="C1720" t="s">
        <v>6</v>
      </c>
      <c r="D1720" t="s">
        <v>7</v>
      </c>
      <c r="E1720" t="s">
        <v>8</v>
      </c>
      <c r="F1720" s="3">
        <v>5682</v>
      </c>
      <c r="G1720" s="3" t="s">
        <v>43</v>
      </c>
      <c r="H1720" s="1">
        <v>134352</v>
      </c>
      <c r="I1720" s="21">
        <v>3683820.191907946</v>
      </c>
      <c r="J1720" s="21">
        <v>3818172.191907946</v>
      </c>
      <c r="K1720">
        <f>VLOOKUP(F1720,'LEAID Match'!$A$2:$C$2979,3,FALSE)</f>
        <v>2093310</v>
      </c>
    </row>
    <row r="1721" spans="1:11" x14ac:dyDescent="0.2">
      <c r="A1721">
        <v>2000043</v>
      </c>
      <c r="B1721">
        <v>2020</v>
      </c>
      <c r="C1721" t="s">
        <v>6</v>
      </c>
      <c r="D1721" t="s">
        <v>7</v>
      </c>
      <c r="E1721" t="s">
        <v>8</v>
      </c>
      <c r="F1721" s="3">
        <v>5688</v>
      </c>
      <c r="G1721" s="3" t="s">
        <v>44</v>
      </c>
      <c r="H1721" s="1">
        <v>4914</v>
      </c>
      <c r="I1721" s="1">
        <v>414955.4280897713</v>
      </c>
      <c r="J1721" s="1">
        <v>419869.4280897713</v>
      </c>
      <c r="K1721">
        <f>VLOOKUP(F1721,'LEAID Match'!$A$2:$C$2979,3,FALSE)</f>
        <v>2000043</v>
      </c>
    </row>
    <row r="1722" spans="1:11" x14ac:dyDescent="0.2">
      <c r="A1722">
        <v>2000045</v>
      </c>
      <c r="B1722">
        <v>2020</v>
      </c>
      <c r="C1722" t="s">
        <v>6</v>
      </c>
      <c r="D1722" t="s">
        <v>7</v>
      </c>
      <c r="E1722" t="s">
        <v>8</v>
      </c>
      <c r="F1722">
        <v>9034</v>
      </c>
      <c r="G1722" t="s">
        <v>45</v>
      </c>
      <c r="H1722" s="1">
        <v>74640</v>
      </c>
      <c r="I1722" s="1">
        <v>769972.7949874372</v>
      </c>
      <c r="J1722" s="1">
        <v>844612.7949874372</v>
      </c>
      <c r="K1722">
        <f>VLOOKUP(F1722,'LEAID Match'!$A$2:$C$2979,3,FALSE)</f>
        <v>2000045</v>
      </c>
    </row>
    <row r="1723" spans="1:11" x14ac:dyDescent="0.2">
      <c r="A1723">
        <v>0</v>
      </c>
      <c r="B1723">
        <v>2020</v>
      </c>
      <c r="C1723" t="s">
        <v>6</v>
      </c>
      <c r="D1723" t="s">
        <v>7</v>
      </c>
      <c r="E1723" t="s">
        <v>8</v>
      </c>
      <c r="F1723">
        <v>9042</v>
      </c>
      <c r="G1723" t="s">
        <v>46</v>
      </c>
      <c r="H1723" s="1">
        <v>11788</v>
      </c>
      <c r="I1723" s="1">
        <v>501905.48327283299</v>
      </c>
      <c r="J1723" s="1">
        <v>513693.48327283299</v>
      </c>
      <c r="K1723">
        <f>VLOOKUP(F1723,'LEAID Match'!$A$2:$C$2979,3,FALSE)</f>
        <v>0</v>
      </c>
    </row>
    <row r="1724" spans="1:11" x14ac:dyDescent="0.2">
      <c r="A1724">
        <v>2000347</v>
      </c>
      <c r="B1724">
        <v>2020</v>
      </c>
      <c r="C1724" t="s">
        <v>6</v>
      </c>
      <c r="D1724" t="s">
        <v>7</v>
      </c>
      <c r="E1724" t="s">
        <v>8</v>
      </c>
      <c r="F1724">
        <v>9047</v>
      </c>
      <c r="G1724" t="s">
        <v>47</v>
      </c>
      <c r="H1724" s="1">
        <v>20067</v>
      </c>
      <c r="I1724" s="1">
        <v>433392.83961302455</v>
      </c>
      <c r="J1724" s="1">
        <v>453459.83961302455</v>
      </c>
      <c r="K1724">
        <f>VLOOKUP(F1724,'LEAID Match'!$A$2:$C$2979,3,FALSE)</f>
        <v>2000347</v>
      </c>
    </row>
    <row r="1725" spans="1:11" x14ac:dyDescent="0.2">
      <c r="A1725">
        <v>0</v>
      </c>
      <c r="B1725">
        <v>2020</v>
      </c>
      <c r="C1725" t="s">
        <v>6</v>
      </c>
      <c r="D1725" t="s">
        <v>7</v>
      </c>
      <c r="E1725" t="s">
        <v>8</v>
      </c>
      <c r="F1725">
        <v>9053</v>
      </c>
      <c r="G1725" t="s">
        <v>48</v>
      </c>
      <c r="H1725" s="20"/>
      <c r="I1725" s="1">
        <v>24437.148189415446</v>
      </c>
      <c r="J1725" s="1">
        <v>24437.148189415446</v>
      </c>
      <c r="K1725">
        <f>VLOOKUP(F1725,'LEAID Match'!$A$2:$C$2979,3,FALSE)</f>
        <v>0</v>
      </c>
    </row>
    <row r="1726" spans="1:11" x14ac:dyDescent="0.2">
      <c r="A1726">
        <v>2000049</v>
      </c>
      <c r="B1726">
        <v>2020</v>
      </c>
      <c r="C1726" t="s">
        <v>6</v>
      </c>
      <c r="D1726" t="s">
        <v>7</v>
      </c>
      <c r="E1726" t="s">
        <v>8</v>
      </c>
      <c r="F1726">
        <v>9055</v>
      </c>
      <c r="G1726" t="s">
        <v>49</v>
      </c>
      <c r="H1726" s="1">
        <v>67277</v>
      </c>
      <c r="I1726" s="1">
        <v>484359.30116649187</v>
      </c>
      <c r="J1726" s="1">
        <v>551636.30116649182</v>
      </c>
      <c r="K1726">
        <f>VLOOKUP(F1726,'LEAID Match'!$A$2:$C$2979,3,FALSE)</f>
        <v>2000049</v>
      </c>
    </row>
    <row r="1727" spans="1:11" x14ac:dyDescent="0.2">
      <c r="A1727" t="s">
        <v>371</v>
      </c>
      <c r="B1727">
        <v>2020</v>
      </c>
      <c r="C1727" t="s">
        <v>6</v>
      </c>
      <c r="D1727" t="s">
        <v>7</v>
      </c>
      <c r="E1727" t="s">
        <v>8</v>
      </c>
      <c r="F1727">
        <v>9056</v>
      </c>
      <c r="G1727" s="9" t="s">
        <v>50</v>
      </c>
      <c r="H1727" s="1">
        <v>7254</v>
      </c>
      <c r="I1727" s="1">
        <v>406929.42121510283</v>
      </c>
      <c r="J1727" s="1">
        <v>414183.42121510283</v>
      </c>
      <c r="K1727" t="str">
        <f>VLOOKUP(F1727,'LEAID Match'!$A$2:$C$2979,3,FALSE)</f>
        <v>20D0001</v>
      </c>
    </row>
    <row r="1728" spans="1:11" x14ac:dyDescent="0.2">
      <c r="A1728">
        <v>0</v>
      </c>
      <c r="B1728">
        <v>2020</v>
      </c>
      <c r="C1728" t="s">
        <v>6</v>
      </c>
      <c r="D1728" t="s">
        <v>7</v>
      </c>
      <c r="E1728" t="s">
        <v>8</v>
      </c>
      <c r="F1728" s="3">
        <v>9273</v>
      </c>
      <c r="G1728" s="3" t="s">
        <v>51</v>
      </c>
      <c r="H1728" s="22">
        <v>2208</v>
      </c>
      <c r="I1728" s="1">
        <v>815209.68923587655</v>
      </c>
      <c r="J1728" s="1">
        <v>817417.68923587655</v>
      </c>
      <c r="K1728">
        <f>VLOOKUP(F1728,'LEAID Match'!$A$2:$C$2979,3,FALSE)</f>
        <v>0</v>
      </c>
    </row>
    <row r="1729" spans="1:11" x14ac:dyDescent="0.2">
      <c r="A1729">
        <v>2000034</v>
      </c>
      <c r="B1729">
        <v>2020</v>
      </c>
      <c r="C1729" t="s">
        <v>6</v>
      </c>
      <c r="D1729" t="s">
        <v>7</v>
      </c>
      <c r="E1729" t="s">
        <v>8</v>
      </c>
      <c r="F1729" s="3">
        <v>9274</v>
      </c>
      <c r="G1729" s="3" t="s">
        <v>52</v>
      </c>
      <c r="H1729" s="1">
        <v>38459</v>
      </c>
      <c r="I1729" s="21">
        <v>2218518.7721913029</v>
      </c>
      <c r="J1729" s="21">
        <v>2256977.7721913029</v>
      </c>
      <c r="K1729">
        <f>VLOOKUP(F1729,'LEAID Match'!$A$2:$C$2979,3,FALSE)</f>
        <v>2000034</v>
      </c>
    </row>
    <row r="1730" spans="1:11" x14ac:dyDescent="0.2">
      <c r="A1730">
        <v>0</v>
      </c>
      <c r="B1730">
        <v>2020</v>
      </c>
      <c r="C1730" t="s">
        <v>6</v>
      </c>
      <c r="D1730" t="s">
        <v>7</v>
      </c>
      <c r="E1730" t="s">
        <v>8</v>
      </c>
      <c r="F1730" s="3">
        <v>9303</v>
      </c>
      <c r="G1730" s="3" t="s">
        <v>53</v>
      </c>
      <c r="H1730" s="1">
        <v>3683</v>
      </c>
      <c r="I1730" s="1">
        <v>1541049.3306575569</v>
      </c>
      <c r="J1730" s="1">
        <v>1544732.3306575569</v>
      </c>
      <c r="K1730">
        <f>VLOOKUP(F1730,'LEAID Match'!$A$2:$C$2979,3,FALSE)</f>
        <v>0</v>
      </c>
    </row>
    <row r="1731" spans="1:11" x14ac:dyDescent="0.2">
      <c r="A1731">
        <v>0</v>
      </c>
      <c r="B1731">
        <v>2020</v>
      </c>
      <c r="C1731" t="s">
        <v>6</v>
      </c>
      <c r="D1731" t="s">
        <v>7</v>
      </c>
      <c r="E1731" t="s">
        <v>8</v>
      </c>
      <c r="F1731">
        <v>9304</v>
      </c>
      <c r="G1731" t="s">
        <v>54</v>
      </c>
      <c r="H1731" s="1"/>
      <c r="I1731" s="1">
        <v>519702.06625046919</v>
      </c>
      <c r="J1731" s="1">
        <v>519702.06625046919</v>
      </c>
      <c r="K1731">
        <f>VLOOKUP(F1731,'LEAID Match'!$A$2:$C$2979,3,FALSE)</f>
        <v>0</v>
      </c>
    </row>
    <row r="1732" spans="1:11" x14ac:dyDescent="0.2">
      <c r="A1732">
        <v>0</v>
      </c>
      <c r="B1732">
        <v>2020</v>
      </c>
      <c r="C1732" t="s">
        <v>6</v>
      </c>
      <c r="D1732" t="s">
        <v>7</v>
      </c>
      <c r="E1732" t="s">
        <v>8</v>
      </c>
      <c r="F1732">
        <v>9305</v>
      </c>
      <c r="G1732" t="s">
        <v>55</v>
      </c>
      <c r="H1732" s="1">
        <v>26980</v>
      </c>
      <c r="I1732" s="1">
        <v>602658.88648603566</v>
      </c>
      <c r="J1732" s="1">
        <v>629638.88648603566</v>
      </c>
      <c r="K1732">
        <f>VLOOKUP(F1732,'LEAID Match'!$A$2:$C$2979,3,FALSE)</f>
        <v>0</v>
      </c>
    </row>
    <row r="1733" spans="1:11" x14ac:dyDescent="0.2">
      <c r="A1733">
        <v>0</v>
      </c>
      <c r="B1733">
        <v>2020</v>
      </c>
      <c r="C1733" t="s">
        <v>6</v>
      </c>
      <c r="D1733" t="s">
        <v>7</v>
      </c>
      <c r="E1733" t="s">
        <v>8</v>
      </c>
      <c r="F1733">
        <v>9395</v>
      </c>
      <c r="G1733" t="s">
        <v>56</v>
      </c>
      <c r="H1733" s="1"/>
      <c r="I1733" s="1">
        <v>372435.05382005294</v>
      </c>
      <c r="J1733" s="1">
        <v>372435.05382005294</v>
      </c>
      <c r="K1733">
        <f>VLOOKUP(F1733,'LEAID Match'!$A$2:$C$2979,3,FALSE)</f>
        <v>0</v>
      </c>
    </row>
    <row r="1734" spans="1:11" x14ac:dyDescent="0.2">
      <c r="A1734">
        <v>0</v>
      </c>
      <c r="B1734">
        <v>2020</v>
      </c>
      <c r="C1734" t="s">
        <v>6</v>
      </c>
      <c r="D1734" t="s">
        <v>7</v>
      </c>
      <c r="E1734" t="s">
        <v>8</v>
      </c>
      <c r="F1734">
        <v>9487</v>
      </c>
      <c r="G1734" t="s">
        <v>57</v>
      </c>
      <c r="H1734" s="20">
        <v>11436</v>
      </c>
      <c r="I1734" s="1">
        <v>38009.863838100486</v>
      </c>
      <c r="J1734" s="1">
        <v>49445.863838100486</v>
      </c>
      <c r="K1734">
        <f>VLOOKUP(F1734,'LEAID Match'!$A$2:$C$2979,3,FALSE)</f>
        <v>0</v>
      </c>
    </row>
    <row r="1735" spans="1:11" x14ac:dyDescent="0.2">
      <c r="A1735">
        <v>2000354</v>
      </c>
      <c r="B1735">
        <v>2020</v>
      </c>
      <c r="C1735" t="s">
        <v>6</v>
      </c>
      <c r="D1735" t="s">
        <v>7</v>
      </c>
      <c r="E1735" t="s">
        <v>8</v>
      </c>
      <c r="F1735">
        <v>9507</v>
      </c>
      <c r="G1735" t="s">
        <v>58</v>
      </c>
      <c r="H1735" s="1">
        <v>64967</v>
      </c>
      <c r="I1735" s="1">
        <v>2062858.3884500419</v>
      </c>
      <c r="J1735" s="1">
        <v>2127825.3884500419</v>
      </c>
      <c r="K1735">
        <f>VLOOKUP(F1735,'LEAID Match'!$A$2:$C$2979,3,FALSE)</f>
        <v>2000354</v>
      </c>
    </row>
    <row r="1736" spans="1:11" x14ac:dyDescent="0.2">
      <c r="A1736">
        <v>2012360</v>
      </c>
      <c r="B1736">
        <v>2020</v>
      </c>
      <c r="C1736" t="s">
        <v>6</v>
      </c>
      <c r="D1736" t="s">
        <v>7</v>
      </c>
      <c r="E1736" t="s">
        <v>8</v>
      </c>
      <c r="F1736">
        <v>4828</v>
      </c>
      <c r="G1736" s="9" t="s">
        <v>59</v>
      </c>
      <c r="H1736" s="1">
        <v>4228066</v>
      </c>
      <c r="I1736" s="1">
        <v>0</v>
      </c>
      <c r="J1736" s="1">
        <v>4228066</v>
      </c>
      <c r="K1736">
        <f>VLOOKUP(F1736,'LEAID Match'!$A$2:$C$2979,3,FALSE)</f>
        <v>2012360</v>
      </c>
    </row>
    <row r="1737" spans="1:11" x14ac:dyDescent="0.2">
      <c r="A1737">
        <v>2010680</v>
      </c>
      <c r="B1737">
        <v>2020</v>
      </c>
      <c r="C1737" t="s">
        <v>6</v>
      </c>
      <c r="D1737" t="s">
        <v>7</v>
      </c>
      <c r="E1737" t="s">
        <v>8</v>
      </c>
      <c r="F1737" s="3">
        <v>4829</v>
      </c>
      <c r="G1737" s="3" t="s">
        <v>60</v>
      </c>
      <c r="H1737" s="22">
        <v>1915578</v>
      </c>
      <c r="I1737" s="1">
        <v>0</v>
      </c>
      <c r="J1737" s="1">
        <v>1915578</v>
      </c>
      <c r="K1737">
        <f>VLOOKUP(F1737,'LEAID Match'!$A$2:$C$2979,3,FALSE)</f>
        <v>2010680</v>
      </c>
    </row>
    <row r="1738" spans="1:11" x14ac:dyDescent="0.2">
      <c r="A1738">
        <v>2008550</v>
      </c>
      <c r="B1738">
        <v>2020</v>
      </c>
      <c r="C1738" t="s">
        <v>6</v>
      </c>
      <c r="D1738" t="s">
        <v>7</v>
      </c>
      <c r="E1738" t="s">
        <v>8</v>
      </c>
      <c r="F1738" s="3">
        <v>4871</v>
      </c>
      <c r="G1738" s="3" t="s">
        <v>61</v>
      </c>
      <c r="H1738" s="1">
        <v>501651</v>
      </c>
      <c r="I1738" s="21">
        <v>0</v>
      </c>
      <c r="J1738" s="21">
        <v>501651</v>
      </c>
      <c r="K1738">
        <f>VLOOKUP(F1738,'LEAID Match'!$A$2:$C$2979,3,FALSE)</f>
        <v>2008550</v>
      </c>
    </row>
    <row r="1739" spans="1:11" x14ac:dyDescent="0.2">
      <c r="A1739">
        <v>2004050</v>
      </c>
      <c r="B1739">
        <v>2020</v>
      </c>
      <c r="C1739" t="s">
        <v>6</v>
      </c>
      <c r="D1739" t="s">
        <v>7</v>
      </c>
      <c r="E1739" t="s">
        <v>8</v>
      </c>
      <c r="F1739" s="3">
        <v>4882</v>
      </c>
      <c r="G1739" s="3" t="s">
        <v>62</v>
      </c>
      <c r="H1739" s="1">
        <v>2810002</v>
      </c>
      <c r="I1739" s="1">
        <v>0</v>
      </c>
      <c r="J1739" s="1">
        <v>2810002</v>
      </c>
      <c r="K1739">
        <f>VLOOKUP(F1739,'LEAID Match'!$A$2:$C$2979,3,FALSE)</f>
        <v>2004050</v>
      </c>
    </row>
    <row r="1740" spans="1:11" x14ac:dyDescent="0.2">
      <c r="A1740">
        <v>2006240</v>
      </c>
      <c r="B1740">
        <v>2020</v>
      </c>
      <c r="C1740" t="s">
        <v>6</v>
      </c>
      <c r="D1740" t="s">
        <v>7</v>
      </c>
      <c r="E1740" t="s">
        <v>8</v>
      </c>
      <c r="F1740">
        <v>4912</v>
      </c>
      <c r="G1740" t="s">
        <v>63</v>
      </c>
      <c r="H1740" s="1">
        <v>525084</v>
      </c>
      <c r="I1740" s="1">
        <v>0</v>
      </c>
      <c r="J1740" s="1">
        <v>525084</v>
      </c>
      <c r="K1740">
        <f>VLOOKUP(F1740,'LEAID Match'!$A$2:$C$2979,3,FALSE)</f>
        <v>2006240</v>
      </c>
    </row>
    <row r="1741" spans="1:11" x14ac:dyDescent="0.2">
      <c r="A1741">
        <v>2009720</v>
      </c>
      <c r="B1741">
        <v>2020</v>
      </c>
      <c r="C1741" t="s">
        <v>6</v>
      </c>
      <c r="D1741" t="s">
        <v>7</v>
      </c>
      <c r="E1741" t="s">
        <v>8</v>
      </c>
      <c r="F1741">
        <v>4977</v>
      </c>
      <c r="G1741" t="s">
        <v>64</v>
      </c>
      <c r="H1741" s="1">
        <v>225733</v>
      </c>
      <c r="I1741" s="1">
        <v>0</v>
      </c>
      <c r="J1741" s="1">
        <v>225733</v>
      </c>
      <c r="K1741">
        <f>VLOOKUP(F1741,'LEAID Match'!$A$2:$C$2979,3,FALSE)</f>
        <v>2009720</v>
      </c>
    </row>
    <row r="1742" spans="1:11" x14ac:dyDescent="0.2">
      <c r="A1742">
        <v>2010140</v>
      </c>
      <c r="B1742">
        <v>2020</v>
      </c>
      <c r="C1742" t="s">
        <v>6</v>
      </c>
      <c r="D1742" t="s">
        <v>7</v>
      </c>
      <c r="E1742" t="s">
        <v>8</v>
      </c>
      <c r="F1742">
        <v>4978</v>
      </c>
      <c r="G1742" t="s">
        <v>65</v>
      </c>
      <c r="H1742" s="1">
        <v>32673010</v>
      </c>
      <c r="I1742" s="1">
        <v>0</v>
      </c>
      <c r="J1742" s="1">
        <v>32673010</v>
      </c>
      <c r="K1742">
        <f>VLOOKUP(F1742,'LEAID Match'!$A$2:$C$2979,3,FALSE)</f>
        <v>2010140</v>
      </c>
    </row>
    <row r="1743" spans="1:11" x14ac:dyDescent="0.2">
      <c r="A1743">
        <v>2012900</v>
      </c>
      <c r="B1743">
        <v>2020</v>
      </c>
      <c r="C1743" t="s">
        <v>6</v>
      </c>
      <c r="D1743" t="s">
        <v>7</v>
      </c>
      <c r="E1743" t="s">
        <v>8</v>
      </c>
      <c r="F1743">
        <v>4979</v>
      </c>
      <c r="G1743" t="s">
        <v>66</v>
      </c>
      <c r="H1743" s="20">
        <v>120180</v>
      </c>
      <c r="I1743" s="1">
        <v>0</v>
      </c>
      <c r="J1743" s="1">
        <v>120180</v>
      </c>
      <c r="K1743">
        <f>VLOOKUP(F1743,'LEAID Match'!$A$2:$C$2979,3,FALSE)</f>
        <v>2012900</v>
      </c>
    </row>
    <row r="1744" spans="1:11" x14ac:dyDescent="0.2">
      <c r="A1744">
        <v>2010710</v>
      </c>
      <c r="B1744">
        <v>2020</v>
      </c>
      <c r="C1744" t="s">
        <v>6</v>
      </c>
      <c r="D1744" t="s">
        <v>7</v>
      </c>
      <c r="E1744" t="s">
        <v>8</v>
      </c>
      <c r="F1744">
        <v>4980</v>
      </c>
      <c r="G1744" t="s">
        <v>67</v>
      </c>
      <c r="H1744" s="1">
        <v>2563397</v>
      </c>
      <c r="I1744" s="1">
        <v>0</v>
      </c>
      <c r="J1744" s="1">
        <v>2563397</v>
      </c>
      <c r="K1744">
        <f>VLOOKUP(F1744,'LEAID Match'!$A$2:$C$2979,3,FALSE)</f>
        <v>2010710</v>
      </c>
    </row>
    <row r="1745" spans="1:11" x14ac:dyDescent="0.2">
      <c r="A1745">
        <v>2005940</v>
      </c>
      <c r="B1745">
        <v>2020</v>
      </c>
      <c r="C1745" t="s">
        <v>6</v>
      </c>
      <c r="D1745" t="s">
        <v>7</v>
      </c>
      <c r="E1745" t="s">
        <v>8</v>
      </c>
      <c r="F1745">
        <v>4981</v>
      </c>
      <c r="G1745" s="9" t="s">
        <v>68</v>
      </c>
      <c r="H1745" s="1">
        <v>5466743</v>
      </c>
      <c r="I1745" s="1">
        <v>0</v>
      </c>
      <c r="J1745" s="1">
        <v>5466743</v>
      </c>
      <c r="K1745">
        <f>VLOOKUP(F1745,'LEAID Match'!$A$2:$C$2979,3,FALSE)</f>
        <v>2005940</v>
      </c>
    </row>
    <row r="1746" spans="1:11" x14ac:dyDescent="0.2">
      <c r="A1746">
        <v>2012990</v>
      </c>
      <c r="B1746">
        <v>2020</v>
      </c>
      <c r="C1746" t="s">
        <v>6</v>
      </c>
      <c r="D1746" t="s">
        <v>7</v>
      </c>
      <c r="E1746" t="s">
        <v>8</v>
      </c>
      <c r="F1746" s="3">
        <v>4982</v>
      </c>
      <c r="G1746" s="3" t="s">
        <v>69</v>
      </c>
      <c r="H1746" s="22">
        <v>53292998</v>
      </c>
      <c r="I1746" s="1">
        <v>0</v>
      </c>
      <c r="J1746" s="1">
        <v>53292998</v>
      </c>
      <c r="K1746">
        <f>VLOOKUP(F1746,'LEAID Match'!$A$2:$C$2979,3,FALSE)</f>
        <v>2012990</v>
      </c>
    </row>
    <row r="1747" spans="1:11" x14ac:dyDescent="0.2">
      <c r="A1747">
        <v>2005460</v>
      </c>
      <c r="B1747">
        <v>2020</v>
      </c>
      <c r="C1747" t="s">
        <v>6</v>
      </c>
      <c r="D1747" t="s">
        <v>7</v>
      </c>
      <c r="E1747" t="s">
        <v>8</v>
      </c>
      <c r="F1747" s="3">
        <v>4983</v>
      </c>
      <c r="G1747" s="3" t="s">
        <v>70</v>
      </c>
      <c r="H1747" s="1">
        <v>6692117</v>
      </c>
      <c r="I1747" s="21">
        <v>0</v>
      </c>
      <c r="J1747" s="21">
        <v>6692117</v>
      </c>
      <c r="K1747">
        <f>VLOOKUP(F1747,'LEAID Match'!$A$2:$C$2979,3,FALSE)</f>
        <v>2005460</v>
      </c>
    </row>
    <row r="1748" spans="1:11" x14ac:dyDescent="0.2">
      <c r="A1748">
        <v>2012510</v>
      </c>
      <c r="B1748">
        <v>2020</v>
      </c>
      <c r="C1748" t="s">
        <v>6</v>
      </c>
      <c r="D1748" t="s">
        <v>7</v>
      </c>
      <c r="E1748" t="s">
        <v>8</v>
      </c>
      <c r="F1748" s="3">
        <v>4984</v>
      </c>
      <c r="G1748" s="3" t="s">
        <v>71</v>
      </c>
      <c r="H1748" s="1">
        <v>2293823</v>
      </c>
      <c r="I1748" s="1">
        <v>0</v>
      </c>
      <c r="J1748" s="1">
        <v>2293823</v>
      </c>
      <c r="K1748">
        <f>VLOOKUP(F1748,'LEAID Match'!$A$2:$C$2979,3,FALSE)</f>
        <v>2012510</v>
      </c>
    </row>
    <row r="1749" spans="1:11" x14ac:dyDescent="0.2">
      <c r="A1749">
        <v>2006540</v>
      </c>
      <c r="B1749">
        <v>2020</v>
      </c>
      <c r="C1749" t="s">
        <v>6</v>
      </c>
      <c r="D1749" t="s">
        <v>7</v>
      </c>
      <c r="E1749" t="s">
        <v>8</v>
      </c>
      <c r="F1749">
        <v>4985</v>
      </c>
      <c r="G1749" t="s">
        <v>72</v>
      </c>
      <c r="H1749" s="1">
        <v>4632329</v>
      </c>
      <c r="I1749" s="1">
        <v>0</v>
      </c>
      <c r="J1749" s="1">
        <v>4632329</v>
      </c>
      <c r="K1749">
        <f>VLOOKUP(F1749,'LEAID Match'!$A$2:$C$2979,3,FALSE)</f>
        <v>2006540</v>
      </c>
    </row>
    <row r="1750" spans="1:11" x14ac:dyDescent="0.2">
      <c r="A1750">
        <v>2009140</v>
      </c>
      <c r="B1750">
        <v>2020</v>
      </c>
      <c r="C1750" t="s">
        <v>6</v>
      </c>
      <c r="D1750" t="s">
        <v>7</v>
      </c>
      <c r="E1750" t="s">
        <v>8</v>
      </c>
      <c r="F1750">
        <v>4986</v>
      </c>
      <c r="G1750" t="s">
        <v>73</v>
      </c>
      <c r="H1750" s="1">
        <v>5178339</v>
      </c>
      <c r="I1750" s="1">
        <v>0</v>
      </c>
      <c r="J1750" s="1">
        <v>5178339</v>
      </c>
      <c r="K1750">
        <f>VLOOKUP(F1750,'LEAID Match'!$A$2:$C$2979,3,FALSE)</f>
        <v>2009140</v>
      </c>
    </row>
    <row r="1751" spans="1:11" x14ac:dyDescent="0.2">
      <c r="A1751">
        <v>2004670</v>
      </c>
      <c r="B1751">
        <v>2020</v>
      </c>
      <c r="C1751" t="s">
        <v>6</v>
      </c>
      <c r="D1751" t="s">
        <v>7</v>
      </c>
      <c r="E1751" t="s">
        <v>8</v>
      </c>
      <c r="F1751">
        <v>4987</v>
      </c>
      <c r="G1751" t="s">
        <v>74</v>
      </c>
      <c r="H1751" s="1">
        <v>692004</v>
      </c>
      <c r="I1751" s="1">
        <v>0</v>
      </c>
      <c r="J1751" s="1">
        <v>692004</v>
      </c>
      <c r="K1751">
        <f>VLOOKUP(F1751,'LEAID Match'!$A$2:$C$2979,3,FALSE)</f>
        <v>2004670</v>
      </c>
    </row>
    <row r="1752" spans="1:11" x14ac:dyDescent="0.2">
      <c r="A1752">
        <v>2000015</v>
      </c>
      <c r="B1752">
        <v>2020</v>
      </c>
      <c r="C1752" t="s">
        <v>6</v>
      </c>
      <c r="D1752" t="s">
        <v>7</v>
      </c>
      <c r="E1752" t="s">
        <v>8</v>
      </c>
      <c r="F1752">
        <v>4988</v>
      </c>
      <c r="G1752" t="s">
        <v>75</v>
      </c>
      <c r="H1752" s="20">
        <v>2567941</v>
      </c>
      <c r="I1752" s="1">
        <v>0</v>
      </c>
      <c r="J1752" s="1">
        <v>2567941</v>
      </c>
      <c r="K1752">
        <f>VLOOKUP(F1752,'LEAID Match'!$A$2:$C$2979,3,FALSE)</f>
        <v>2000015</v>
      </c>
    </row>
    <row r="1753" spans="1:11" x14ac:dyDescent="0.2">
      <c r="A1753">
        <v>2004080</v>
      </c>
      <c r="B1753">
        <v>2020</v>
      </c>
      <c r="C1753" t="s">
        <v>6</v>
      </c>
      <c r="D1753" t="s">
        <v>7</v>
      </c>
      <c r="E1753" t="s">
        <v>8</v>
      </c>
      <c r="F1753">
        <v>4990</v>
      </c>
      <c r="G1753" t="s">
        <v>76</v>
      </c>
      <c r="H1753" s="1">
        <v>162177</v>
      </c>
      <c r="I1753" s="1">
        <v>0</v>
      </c>
      <c r="J1753" s="1">
        <v>162177</v>
      </c>
      <c r="K1753">
        <f>VLOOKUP(F1753,'LEAID Match'!$A$2:$C$2979,3,FALSE)</f>
        <v>2004080</v>
      </c>
    </row>
    <row r="1754" spans="1:11" x14ac:dyDescent="0.2">
      <c r="A1754">
        <v>2003720</v>
      </c>
      <c r="B1754">
        <v>2020</v>
      </c>
      <c r="C1754" t="s">
        <v>6</v>
      </c>
      <c r="D1754" t="s">
        <v>7</v>
      </c>
      <c r="E1754" t="s">
        <v>8</v>
      </c>
      <c r="F1754">
        <v>4991</v>
      </c>
      <c r="G1754" s="9" t="s">
        <v>77</v>
      </c>
      <c r="H1754" s="1">
        <v>1126555</v>
      </c>
      <c r="I1754" s="1">
        <v>0</v>
      </c>
      <c r="J1754" s="1">
        <v>1126555</v>
      </c>
      <c r="K1754">
        <f>VLOOKUP(F1754,'LEAID Match'!$A$2:$C$2979,3,FALSE)</f>
        <v>2003720</v>
      </c>
    </row>
    <row r="1755" spans="1:11" x14ac:dyDescent="0.2">
      <c r="A1755">
        <v>2011970</v>
      </c>
      <c r="B1755">
        <v>2020</v>
      </c>
      <c r="C1755" t="s">
        <v>6</v>
      </c>
      <c r="D1755" t="s">
        <v>7</v>
      </c>
      <c r="E1755" t="s">
        <v>8</v>
      </c>
      <c r="F1755" s="3">
        <v>4992</v>
      </c>
      <c r="G1755" s="3" t="s">
        <v>78</v>
      </c>
      <c r="H1755" s="22">
        <v>276444</v>
      </c>
      <c r="I1755" s="1">
        <v>0</v>
      </c>
      <c r="J1755" s="1">
        <v>276444</v>
      </c>
      <c r="K1755">
        <f>VLOOKUP(F1755,'LEAID Match'!$A$2:$C$2979,3,FALSE)</f>
        <v>2011970</v>
      </c>
    </row>
    <row r="1756" spans="1:11" x14ac:dyDescent="0.2">
      <c r="A1756">
        <v>2006580</v>
      </c>
      <c r="B1756">
        <v>2020</v>
      </c>
      <c r="C1756" t="s">
        <v>6</v>
      </c>
      <c r="D1756" t="s">
        <v>7</v>
      </c>
      <c r="E1756" t="s">
        <v>8</v>
      </c>
      <c r="F1756" s="3">
        <v>4993</v>
      </c>
      <c r="G1756" s="3" t="s">
        <v>79</v>
      </c>
      <c r="H1756" s="1">
        <v>870239</v>
      </c>
      <c r="I1756" s="21">
        <v>0</v>
      </c>
      <c r="J1756" s="21">
        <v>870239</v>
      </c>
      <c r="K1756">
        <f>VLOOKUP(F1756,'LEAID Match'!$A$2:$C$2979,3,FALSE)</f>
        <v>2006580</v>
      </c>
    </row>
    <row r="1757" spans="1:11" x14ac:dyDescent="0.2">
      <c r="A1757">
        <v>2003430</v>
      </c>
      <c r="B1757">
        <v>2020</v>
      </c>
      <c r="C1757" t="s">
        <v>6</v>
      </c>
      <c r="D1757" t="s">
        <v>7</v>
      </c>
      <c r="E1757" t="s">
        <v>8</v>
      </c>
      <c r="F1757" s="3">
        <v>4994</v>
      </c>
      <c r="G1757" s="3" t="s">
        <v>80</v>
      </c>
      <c r="H1757" s="1">
        <v>204167</v>
      </c>
      <c r="I1757" s="1">
        <v>0</v>
      </c>
      <c r="J1757" s="1">
        <v>204167</v>
      </c>
      <c r="K1757">
        <f>VLOOKUP(F1757,'LEAID Match'!$A$2:$C$2979,3,FALSE)</f>
        <v>2003430</v>
      </c>
    </row>
    <row r="1758" spans="1:11" x14ac:dyDescent="0.2">
      <c r="A1758">
        <v>2007350</v>
      </c>
      <c r="B1758">
        <v>2020</v>
      </c>
      <c r="C1758" t="s">
        <v>6</v>
      </c>
      <c r="D1758" t="s">
        <v>7</v>
      </c>
      <c r="E1758" t="s">
        <v>8</v>
      </c>
      <c r="F1758">
        <v>4995</v>
      </c>
      <c r="G1758" t="s">
        <v>81</v>
      </c>
      <c r="H1758" s="1">
        <v>840544</v>
      </c>
      <c r="I1758" s="1">
        <v>0</v>
      </c>
      <c r="J1758" s="1">
        <v>840544</v>
      </c>
      <c r="K1758">
        <f>VLOOKUP(F1758,'LEAID Match'!$A$2:$C$2979,3,FALSE)</f>
        <v>2007350</v>
      </c>
    </row>
    <row r="1759" spans="1:11" x14ac:dyDescent="0.2">
      <c r="A1759">
        <v>2009630</v>
      </c>
      <c r="B1759">
        <v>2020</v>
      </c>
      <c r="C1759" t="s">
        <v>6</v>
      </c>
      <c r="D1759" t="s">
        <v>7</v>
      </c>
      <c r="E1759" t="s">
        <v>8</v>
      </c>
      <c r="F1759">
        <v>4996</v>
      </c>
      <c r="G1759" t="s">
        <v>82</v>
      </c>
      <c r="H1759" s="1">
        <v>267922</v>
      </c>
      <c r="I1759" s="1">
        <v>0</v>
      </c>
      <c r="J1759" s="1">
        <v>267922</v>
      </c>
      <c r="K1759">
        <f>VLOOKUP(F1759,'LEAID Match'!$A$2:$C$2979,3,FALSE)</f>
        <v>2009630</v>
      </c>
    </row>
    <row r="1760" spans="1:11" x14ac:dyDescent="0.2">
      <c r="A1760">
        <v>2009960</v>
      </c>
      <c r="B1760">
        <v>2020</v>
      </c>
      <c r="C1760" t="s">
        <v>6</v>
      </c>
      <c r="D1760" t="s">
        <v>7</v>
      </c>
      <c r="E1760" t="s">
        <v>8</v>
      </c>
      <c r="F1760">
        <v>4997</v>
      </c>
      <c r="G1760" t="s">
        <v>83</v>
      </c>
      <c r="H1760" s="1">
        <v>3901254</v>
      </c>
      <c r="I1760" s="1">
        <v>0</v>
      </c>
      <c r="J1760" s="1">
        <v>3901254</v>
      </c>
      <c r="K1760">
        <f>VLOOKUP(F1760,'LEAID Match'!$A$2:$C$2979,3,FALSE)</f>
        <v>2009960</v>
      </c>
    </row>
    <row r="1761" spans="1:11" x14ac:dyDescent="0.2">
      <c r="A1761">
        <v>2012030</v>
      </c>
      <c r="B1761">
        <v>2020</v>
      </c>
      <c r="C1761" t="s">
        <v>6</v>
      </c>
      <c r="D1761" t="s">
        <v>7</v>
      </c>
      <c r="E1761" t="s">
        <v>8</v>
      </c>
      <c r="F1761">
        <v>4998</v>
      </c>
      <c r="G1761" t="s">
        <v>84</v>
      </c>
      <c r="H1761" s="20">
        <v>471554</v>
      </c>
      <c r="I1761" s="1">
        <v>0</v>
      </c>
      <c r="J1761" s="1">
        <v>471554</v>
      </c>
      <c r="K1761">
        <f>VLOOKUP(F1761,'LEAID Match'!$A$2:$C$2979,3,FALSE)</f>
        <v>2012030</v>
      </c>
    </row>
    <row r="1762" spans="1:11" x14ac:dyDescent="0.2">
      <c r="A1762">
        <v>2009180</v>
      </c>
      <c r="B1762">
        <v>2020</v>
      </c>
      <c r="C1762" t="s">
        <v>6</v>
      </c>
      <c r="D1762" t="s">
        <v>7</v>
      </c>
      <c r="E1762" t="s">
        <v>8</v>
      </c>
      <c r="F1762">
        <v>4999</v>
      </c>
      <c r="G1762" t="s">
        <v>352</v>
      </c>
      <c r="H1762" s="1">
        <v>7341180</v>
      </c>
      <c r="I1762" s="1">
        <v>0</v>
      </c>
      <c r="J1762" s="1">
        <v>7341180</v>
      </c>
      <c r="K1762">
        <f>VLOOKUP(F1762,'LEAID Match'!$A$2:$C$2979,3,FALSE)</f>
        <v>2009180</v>
      </c>
    </row>
    <row r="1763" spans="1:11" x14ac:dyDescent="0.2">
      <c r="A1763">
        <v>2003360</v>
      </c>
      <c r="B1763">
        <v>2020</v>
      </c>
      <c r="C1763" t="s">
        <v>6</v>
      </c>
      <c r="D1763" t="s">
        <v>7</v>
      </c>
      <c r="E1763" t="s">
        <v>8</v>
      </c>
      <c r="F1763">
        <v>5000</v>
      </c>
      <c r="G1763" s="9" t="s">
        <v>86</v>
      </c>
      <c r="H1763" s="1">
        <v>4132138</v>
      </c>
      <c r="I1763" s="1">
        <v>0</v>
      </c>
      <c r="J1763" s="1">
        <v>4132138</v>
      </c>
      <c r="K1763">
        <f>VLOOKUP(F1763,'LEAID Match'!$A$2:$C$2979,3,FALSE)</f>
        <v>2003360</v>
      </c>
    </row>
    <row r="1764" spans="1:11" x14ac:dyDescent="0.2">
      <c r="A1764">
        <v>2009090</v>
      </c>
      <c r="B1764">
        <v>2020</v>
      </c>
      <c r="C1764" t="s">
        <v>6</v>
      </c>
      <c r="D1764" t="s">
        <v>7</v>
      </c>
      <c r="E1764" t="s">
        <v>8</v>
      </c>
      <c r="F1764" s="3">
        <v>5001</v>
      </c>
      <c r="G1764" s="3" t="s">
        <v>87</v>
      </c>
      <c r="H1764" s="22">
        <v>271606</v>
      </c>
      <c r="I1764" s="1">
        <v>0</v>
      </c>
      <c r="J1764" s="1">
        <v>271606</v>
      </c>
      <c r="K1764">
        <f>VLOOKUP(F1764,'LEAID Match'!$A$2:$C$2979,3,FALSE)</f>
        <v>2009090</v>
      </c>
    </row>
    <row r="1765" spans="1:11" x14ac:dyDescent="0.2">
      <c r="A1765">
        <v>2006870</v>
      </c>
      <c r="B1765">
        <v>2020</v>
      </c>
      <c r="C1765" t="s">
        <v>6</v>
      </c>
      <c r="D1765" t="s">
        <v>7</v>
      </c>
      <c r="E1765" t="s">
        <v>8</v>
      </c>
      <c r="F1765" s="3">
        <v>5002</v>
      </c>
      <c r="G1765" s="3" t="s">
        <v>88</v>
      </c>
      <c r="H1765" s="1">
        <v>103877</v>
      </c>
      <c r="I1765" s="21">
        <v>0</v>
      </c>
      <c r="J1765" s="21">
        <v>103877</v>
      </c>
      <c r="K1765">
        <f>VLOOKUP(F1765,'LEAID Match'!$A$2:$C$2979,3,FALSE)</f>
        <v>2006870</v>
      </c>
    </row>
    <row r="1766" spans="1:11" x14ac:dyDescent="0.2">
      <c r="A1766">
        <v>2011250</v>
      </c>
      <c r="B1766">
        <v>2020</v>
      </c>
      <c r="C1766" t="s">
        <v>6</v>
      </c>
      <c r="D1766" t="s">
        <v>7</v>
      </c>
      <c r="E1766" t="s">
        <v>8</v>
      </c>
      <c r="F1766" s="3">
        <v>5004</v>
      </c>
      <c r="G1766" s="3" t="s">
        <v>89</v>
      </c>
      <c r="H1766" s="1">
        <v>1320526</v>
      </c>
      <c r="I1766" s="1">
        <v>0</v>
      </c>
      <c r="J1766" s="1">
        <v>1320526</v>
      </c>
      <c r="K1766">
        <f>VLOOKUP(F1766,'LEAID Match'!$A$2:$C$2979,3,FALSE)</f>
        <v>2011250</v>
      </c>
    </row>
    <row r="1767" spans="1:11" x14ac:dyDescent="0.2">
      <c r="A1767">
        <v>2005610</v>
      </c>
      <c r="B1767">
        <v>2020</v>
      </c>
      <c r="C1767" t="s">
        <v>6</v>
      </c>
      <c r="D1767" t="s">
        <v>7</v>
      </c>
      <c r="E1767" t="s">
        <v>8</v>
      </c>
      <c r="F1767">
        <v>5005</v>
      </c>
      <c r="G1767" t="s">
        <v>90</v>
      </c>
      <c r="H1767" s="1">
        <v>652275</v>
      </c>
      <c r="I1767" s="1">
        <v>0</v>
      </c>
      <c r="J1767" s="1">
        <v>652275</v>
      </c>
      <c r="K1767">
        <f>VLOOKUP(F1767,'LEAID Match'!$A$2:$C$2979,3,FALSE)</f>
        <v>2005610</v>
      </c>
    </row>
    <row r="1768" spans="1:11" x14ac:dyDescent="0.2">
      <c r="A1768">
        <v>2010590</v>
      </c>
      <c r="B1768">
        <v>2020</v>
      </c>
      <c r="C1768" t="s">
        <v>6</v>
      </c>
      <c r="D1768" t="s">
        <v>7</v>
      </c>
      <c r="E1768" t="s">
        <v>8</v>
      </c>
      <c r="F1768">
        <v>5006</v>
      </c>
      <c r="G1768" t="s">
        <v>91</v>
      </c>
      <c r="H1768" s="1">
        <v>256126</v>
      </c>
      <c r="I1768" s="1">
        <v>0</v>
      </c>
      <c r="J1768" s="1">
        <v>256126</v>
      </c>
      <c r="K1768">
        <f>VLOOKUP(F1768,'LEAID Match'!$A$2:$C$2979,3,FALSE)</f>
        <v>2010590</v>
      </c>
    </row>
    <row r="1769" spans="1:11" x14ac:dyDescent="0.2">
      <c r="A1769">
        <v>2009850</v>
      </c>
      <c r="B1769">
        <v>2020</v>
      </c>
      <c r="C1769" t="s">
        <v>6</v>
      </c>
      <c r="D1769" t="s">
        <v>7</v>
      </c>
      <c r="E1769" t="s">
        <v>8</v>
      </c>
      <c r="F1769">
        <v>5007</v>
      </c>
      <c r="G1769" t="s">
        <v>143</v>
      </c>
      <c r="H1769" s="1">
        <v>156494</v>
      </c>
      <c r="I1769" s="1">
        <v>0</v>
      </c>
      <c r="J1769" s="1">
        <v>156494</v>
      </c>
      <c r="K1769">
        <f>VLOOKUP(F1769,'LEAID Match'!$A$2:$C$2979,3,FALSE)</f>
        <v>2009850</v>
      </c>
    </row>
    <row r="1770" spans="1:11" x14ac:dyDescent="0.2">
      <c r="A1770">
        <v>2011130</v>
      </c>
      <c r="B1770">
        <v>2020</v>
      </c>
      <c r="C1770" t="s">
        <v>6</v>
      </c>
      <c r="D1770" t="s">
        <v>7</v>
      </c>
      <c r="E1770" t="s">
        <v>8</v>
      </c>
      <c r="F1770">
        <v>5008</v>
      </c>
      <c r="G1770" t="s">
        <v>92</v>
      </c>
      <c r="H1770" s="20">
        <v>731038</v>
      </c>
      <c r="I1770" s="1">
        <v>0</v>
      </c>
      <c r="J1770" s="1">
        <v>731038</v>
      </c>
      <c r="K1770">
        <f>VLOOKUP(F1770,'LEAID Match'!$A$2:$C$2979,3,FALSE)</f>
        <v>2011130</v>
      </c>
    </row>
    <row r="1771" spans="1:11" x14ac:dyDescent="0.2">
      <c r="A1771">
        <v>2003540</v>
      </c>
      <c r="B1771">
        <v>2020</v>
      </c>
      <c r="C1771" t="s">
        <v>6</v>
      </c>
      <c r="D1771" t="s">
        <v>7</v>
      </c>
      <c r="E1771" t="s">
        <v>8</v>
      </c>
      <c r="F1771">
        <v>5010</v>
      </c>
      <c r="G1771" t="s">
        <v>93</v>
      </c>
      <c r="H1771" s="1">
        <v>1876557</v>
      </c>
      <c r="I1771" s="1">
        <v>0</v>
      </c>
      <c r="J1771" s="1">
        <v>1876557</v>
      </c>
      <c r="K1771">
        <f>VLOOKUP(F1771,'LEAID Match'!$A$2:$C$2979,3,FALSE)</f>
        <v>2003540</v>
      </c>
    </row>
    <row r="1772" spans="1:11" x14ac:dyDescent="0.2">
      <c r="A1772">
        <v>2010230</v>
      </c>
      <c r="B1772">
        <v>2020</v>
      </c>
      <c r="C1772" t="s">
        <v>6</v>
      </c>
      <c r="D1772" t="s">
        <v>7</v>
      </c>
      <c r="E1772" t="s">
        <v>8</v>
      </c>
      <c r="F1772">
        <v>5011</v>
      </c>
      <c r="G1772" s="9" t="s">
        <v>94</v>
      </c>
      <c r="H1772" s="1">
        <v>595267</v>
      </c>
      <c r="I1772" s="1">
        <v>0</v>
      </c>
      <c r="J1772" s="1">
        <v>595267</v>
      </c>
      <c r="K1772">
        <f>VLOOKUP(F1772,'LEAID Match'!$A$2:$C$2979,3,FALSE)</f>
        <v>2010230</v>
      </c>
    </row>
    <row r="1773" spans="1:11" x14ac:dyDescent="0.2">
      <c r="A1773">
        <v>2009000</v>
      </c>
      <c r="B1773">
        <v>2020</v>
      </c>
      <c r="C1773" t="s">
        <v>6</v>
      </c>
      <c r="D1773" t="s">
        <v>7</v>
      </c>
      <c r="E1773" t="s">
        <v>8</v>
      </c>
      <c r="F1773" s="3">
        <v>5012</v>
      </c>
      <c r="G1773" s="3" t="s">
        <v>95</v>
      </c>
      <c r="H1773" s="22">
        <v>377694</v>
      </c>
      <c r="I1773" s="1">
        <v>0</v>
      </c>
      <c r="J1773" s="1">
        <v>377694</v>
      </c>
      <c r="K1773">
        <f>VLOOKUP(F1773,'LEAID Match'!$A$2:$C$2979,3,FALSE)</f>
        <v>2009000</v>
      </c>
    </row>
    <row r="1774" spans="1:11" x14ac:dyDescent="0.2">
      <c r="A1774">
        <v>2000040</v>
      </c>
      <c r="B1774">
        <v>2020</v>
      </c>
      <c r="C1774" t="s">
        <v>6</v>
      </c>
      <c r="D1774" t="s">
        <v>7</v>
      </c>
      <c r="E1774" t="s">
        <v>8</v>
      </c>
      <c r="F1774" s="3">
        <v>5671</v>
      </c>
      <c r="G1774" s="3" t="s">
        <v>42</v>
      </c>
      <c r="H1774" s="1">
        <v>23557</v>
      </c>
      <c r="I1774" s="21">
        <v>517936.08115817758</v>
      </c>
      <c r="J1774" s="21">
        <v>541493.08115817758</v>
      </c>
      <c r="K1774">
        <f>VLOOKUP(F1774,'LEAID Match'!$A$2:$C$2979,3,FALSE)</f>
        <v>2000040</v>
      </c>
    </row>
    <row r="1775" spans="1:11" x14ac:dyDescent="0.2">
      <c r="A1775">
        <v>2007650</v>
      </c>
      <c r="B1775">
        <v>2020</v>
      </c>
      <c r="C1775" t="s">
        <v>6</v>
      </c>
      <c r="D1775" t="s">
        <v>7</v>
      </c>
      <c r="E1775" t="s">
        <v>8</v>
      </c>
      <c r="F1775" s="3">
        <v>5014</v>
      </c>
      <c r="G1775" s="3" t="s">
        <v>97</v>
      </c>
      <c r="H1775" s="1">
        <v>1684928</v>
      </c>
      <c r="I1775" s="1">
        <v>0</v>
      </c>
      <c r="J1775" s="1">
        <v>1684928</v>
      </c>
      <c r="K1775">
        <f>VLOOKUP(F1775,'LEAID Match'!$A$2:$C$2979,3,FALSE)</f>
        <v>2007650</v>
      </c>
    </row>
    <row r="1776" spans="1:11" x14ac:dyDescent="0.2">
      <c r="A1776">
        <v>2007710</v>
      </c>
      <c r="B1776">
        <v>2020</v>
      </c>
      <c r="C1776" t="s">
        <v>6</v>
      </c>
      <c r="D1776" t="s">
        <v>7</v>
      </c>
      <c r="E1776" t="s">
        <v>8</v>
      </c>
      <c r="F1776">
        <v>5015</v>
      </c>
      <c r="G1776" t="s">
        <v>98</v>
      </c>
      <c r="H1776" s="1">
        <v>426909</v>
      </c>
      <c r="I1776" s="1">
        <v>0</v>
      </c>
      <c r="J1776" s="1">
        <v>426909</v>
      </c>
      <c r="K1776">
        <f>VLOOKUP(F1776,'LEAID Match'!$A$2:$C$2979,3,FALSE)</f>
        <v>2007710</v>
      </c>
    </row>
    <row r="1777" spans="1:11" x14ac:dyDescent="0.2">
      <c r="A1777">
        <v>2005640</v>
      </c>
      <c r="B1777">
        <v>2020</v>
      </c>
      <c r="C1777" t="s">
        <v>6</v>
      </c>
      <c r="D1777" t="s">
        <v>7</v>
      </c>
      <c r="E1777" t="s">
        <v>8</v>
      </c>
      <c r="F1777">
        <v>5016</v>
      </c>
      <c r="G1777" t="s">
        <v>99</v>
      </c>
      <c r="H1777" s="1">
        <v>578462</v>
      </c>
      <c r="I1777" s="1">
        <v>0</v>
      </c>
      <c r="J1777" s="1">
        <v>578462</v>
      </c>
      <c r="K1777">
        <f>VLOOKUP(F1777,'LEAID Match'!$A$2:$C$2979,3,FALSE)</f>
        <v>2005640</v>
      </c>
    </row>
    <row r="1778" spans="1:11" x14ac:dyDescent="0.2">
      <c r="A1778">
        <v>2008430</v>
      </c>
      <c r="B1778">
        <v>2020</v>
      </c>
      <c r="C1778" t="s">
        <v>6</v>
      </c>
      <c r="D1778" t="s">
        <v>7</v>
      </c>
      <c r="E1778" t="s">
        <v>8</v>
      </c>
      <c r="F1778">
        <v>5017</v>
      </c>
      <c r="G1778" t="s">
        <v>100</v>
      </c>
      <c r="H1778" s="1">
        <v>3775591</v>
      </c>
      <c r="I1778" s="1">
        <v>0</v>
      </c>
      <c r="J1778" s="1">
        <v>3775591</v>
      </c>
      <c r="K1778">
        <f>VLOOKUP(F1778,'LEAID Match'!$A$2:$C$2979,3,FALSE)</f>
        <v>2008430</v>
      </c>
    </row>
    <row r="1779" spans="1:11" x14ac:dyDescent="0.2">
      <c r="A1779">
        <v>2009480</v>
      </c>
      <c r="B1779">
        <v>2020</v>
      </c>
      <c r="C1779" t="s">
        <v>6</v>
      </c>
      <c r="D1779" t="s">
        <v>7</v>
      </c>
      <c r="E1779" t="s">
        <v>8</v>
      </c>
      <c r="F1779">
        <v>5018</v>
      </c>
      <c r="G1779" t="s">
        <v>101</v>
      </c>
      <c r="H1779" s="20">
        <v>273572</v>
      </c>
      <c r="I1779" s="1">
        <v>0</v>
      </c>
      <c r="J1779" s="1">
        <v>273572</v>
      </c>
      <c r="K1779">
        <f>VLOOKUP(F1779,'LEAID Match'!$A$2:$C$2979,3,FALSE)</f>
        <v>2009480</v>
      </c>
    </row>
    <row r="1780" spans="1:11" x14ac:dyDescent="0.2">
      <c r="A1780">
        <v>2003450</v>
      </c>
      <c r="B1780">
        <v>2020</v>
      </c>
      <c r="C1780" t="s">
        <v>6</v>
      </c>
      <c r="D1780" t="s">
        <v>7</v>
      </c>
      <c r="E1780" t="s">
        <v>8</v>
      </c>
      <c r="F1780">
        <v>5019</v>
      </c>
      <c r="G1780" t="s">
        <v>102</v>
      </c>
      <c r="H1780" s="1">
        <v>2762146</v>
      </c>
      <c r="I1780" s="1">
        <v>0</v>
      </c>
      <c r="J1780" s="1">
        <v>2762146</v>
      </c>
      <c r="K1780">
        <f>VLOOKUP(F1780,'LEAID Match'!$A$2:$C$2979,3,FALSE)</f>
        <v>2003450</v>
      </c>
    </row>
    <row r="1781" spans="1:11" x14ac:dyDescent="0.2">
      <c r="A1781">
        <v>2007890</v>
      </c>
      <c r="B1781">
        <v>2020</v>
      </c>
      <c r="C1781" t="s">
        <v>6</v>
      </c>
      <c r="D1781" t="s">
        <v>7</v>
      </c>
      <c r="E1781" t="s">
        <v>8</v>
      </c>
      <c r="F1781">
        <v>5020</v>
      </c>
      <c r="G1781" s="9" t="s">
        <v>103</v>
      </c>
      <c r="H1781" s="1">
        <v>7907556</v>
      </c>
      <c r="I1781" s="1">
        <v>0</v>
      </c>
      <c r="J1781" s="1">
        <v>7907556</v>
      </c>
      <c r="K1781">
        <f>VLOOKUP(F1781,'LEAID Match'!$A$2:$C$2979,3,FALSE)</f>
        <v>2007890</v>
      </c>
    </row>
    <row r="1782" spans="1:11" x14ac:dyDescent="0.2">
      <c r="A1782">
        <v>2007680</v>
      </c>
      <c r="B1782">
        <v>2020</v>
      </c>
      <c r="C1782" t="s">
        <v>6</v>
      </c>
      <c r="D1782" t="s">
        <v>7</v>
      </c>
      <c r="E1782" t="s">
        <v>8</v>
      </c>
      <c r="F1782" s="3">
        <v>5021</v>
      </c>
      <c r="G1782" s="3" t="s">
        <v>104</v>
      </c>
      <c r="H1782" s="22">
        <v>267159</v>
      </c>
      <c r="I1782" s="1">
        <v>0</v>
      </c>
      <c r="J1782" s="1">
        <v>267159</v>
      </c>
      <c r="K1782">
        <f>VLOOKUP(F1782,'LEAID Match'!$A$2:$C$2979,3,FALSE)</f>
        <v>2007680</v>
      </c>
    </row>
    <row r="1783" spans="1:11" x14ac:dyDescent="0.2">
      <c r="A1783">
        <v>2008730</v>
      </c>
      <c r="B1783">
        <v>2020</v>
      </c>
      <c r="C1783" t="s">
        <v>6</v>
      </c>
      <c r="D1783" t="s">
        <v>7</v>
      </c>
      <c r="E1783" t="s">
        <v>8</v>
      </c>
      <c r="F1783" s="3">
        <v>5022</v>
      </c>
      <c r="G1783" s="3" t="s">
        <v>105</v>
      </c>
      <c r="H1783" s="1">
        <v>4941168</v>
      </c>
      <c r="I1783" s="21">
        <v>0</v>
      </c>
      <c r="J1783" s="21">
        <v>4941168</v>
      </c>
      <c r="K1783">
        <f>VLOOKUP(F1783,'LEAID Match'!$A$2:$C$2979,3,FALSE)</f>
        <v>2008730</v>
      </c>
    </row>
    <row r="1784" spans="1:11" x14ac:dyDescent="0.2">
      <c r="A1784">
        <v>2008280</v>
      </c>
      <c r="B1784">
        <v>2020</v>
      </c>
      <c r="C1784" t="s">
        <v>6</v>
      </c>
      <c r="D1784" t="s">
        <v>7</v>
      </c>
      <c r="E1784" t="s">
        <v>8</v>
      </c>
      <c r="F1784" s="3">
        <v>5024</v>
      </c>
      <c r="G1784" s="3" t="s">
        <v>106</v>
      </c>
      <c r="H1784" s="1">
        <v>668358</v>
      </c>
      <c r="I1784" s="1">
        <v>0</v>
      </c>
      <c r="J1784" s="1">
        <v>668358</v>
      </c>
      <c r="K1784">
        <f>VLOOKUP(F1784,'LEAID Match'!$A$2:$C$2979,3,FALSE)</f>
        <v>2008280</v>
      </c>
    </row>
    <row r="1785" spans="1:11" x14ac:dyDescent="0.2">
      <c r="A1785">
        <v>2006180</v>
      </c>
      <c r="B1785">
        <v>2020</v>
      </c>
      <c r="C1785" t="s">
        <v>6</v>
      </c>
      <c r="D1785" t="s">
        <v>7</v>
      </c>
      <c r="E1785" t="s">
        <v>8</v>
      </c>
      <c r="F1785">
        <v>5025</v>
      </c>
      <c r="G1785" t="s">
        <v>107</v>
      </c>
      <c r="H1785" s="1">
        <v>1864244</v>
      </c>
      <c r="I1785" s="1">
        <v>0</v>
      </c>
      <c r="J1785" s="1">
        <v>1864244</v>
      </c>
      <c r="K1785">
        <f>VLOOKUP(F1785,'LEAID Match'!$A$2:$C$2979,3,FALSE)</f>
        <v>2006180</v>
      </c>
    </row>
    <row r="1786" spans="1:11" x14ac:dyDescent="0.2">
      <c r="A1786">
        <v>2003210</v>
      </c>
      <c r="B1786">
        <v>2020</v>
      </c>
      <c r="C1786" t="s">
        <v>6</v>
      </c>
      <c r="D1786" t="s">
        <v>7</v>
      </c>
      <c r="E1786" t="s">
        <v>8</v>
      </c>
      <c r="F1786">
        <v>5026</v>
      </c>
      <c r="G1786" t="s">
        <v>108</v>
      </c>
      <c r="H1786" s="1">
        <v>408455</v>
      </c>
      <c r="I1786" s="1">
        <v>0</v>
      </c>
      <c r="J1786" s="1">
        <v>408455</v>
      </c>
      <c r="K1786">
        <f>VLOOKUP(F1786,'LEAID Match'!$A$2:$C$2979,3,FALSE)</f>
        <v>2003210</v>
      </c>
    </row>
    <row r="1787" spans="1:11" x14ac:dyDescent="0.2">
      <c r="A1787">
        <v>2007050</v>
      </c>
      <c r="B1787">
        <v>2020</v>
      </c>
      <c r="C1787" t="s">
        <v>6</v>
      </c>
      <c r="D1787" t="s">
        <v>7</v>
      </c>
      <c r="E1787" t="s">
        <v>8</v>
      </c>
      <c r="F1787">
        <v>5027</v>
      </c>
      <c r="G1787" t="s">
        <v>109</v>
      </c>
      <c r="H1787" s="1">
        <v>6181190</v>
      </c>
      <c r="I1787" s="1">
        <v>0</v>
      </c>
      <c r="J1787" s="1">
        <v>6181190</v>
      </c>
      <c r="K1787">
        <f>VLOOKUP(F1787,'LEAID Match'!$A$2:$C$2979,3,FALSE)</f>
        <v>2007050</v>
      </c>
    </row>
    <row r="1788" spans="1:11" x14ac:dyDescent="0.2">
      <c r="A1788">
        <v>2011080</v>
      </c>
      <c r="B1788">
        <v>2020</v>
      </c>
      <c r="C1788" t="s">
        <v>6</v>
      </c>
      <c r="D1788" t="s">
        <v>7</v>
      </c>
      <c r="E1788" t="s">
        <v>8</v>
      </c>
      <c r="F1788">
        <v>5028</v>
      </c>
      <c r="G1788" t="s">
        <v>110</v>
      </c>
      <c r="H1788" s="20">
        <v>1398579</v>
      </c>
      <c r="I1788" s="1">
        <v>0</v>
      </c>
      <c r="J1788" s="1">
        <v>1398579</v>
      </c>
      <c r="K1788">
        <f>VLOOKUP(F1788,'LEAID Match'!$A$2:$C$2979,3,FALSE)</f>
        <v>2011080</v>
      </c>
    </row>
    <row r="1789" spans="1:11" x14ac:dyDescent="0.2">
      <c r="A1789">
        <v>2000014</v>
      </c>
      <c r="B1789">
        <v>2020</v>
      </c>
      <c r="C1789" t="s">
        <v>6</v>
      </c>
      <c r="D1789" t="s">
        <v>7</v>
      </c>
      <c r="E1789" t="s">
        <v>8</v>
      </c>
      <c r="F1789">
        <v>5029</v>
      </c>
      <c r="G1789" t="s">
        <v>111</v>
      </c>
      <c r="H1789" s="1">
        <v>545588</v>
      </c>
      <c r="I1789" s="1">
        <v>0</v>
      </c>
      <c r="J1789" s="1">
        <v>545588</v>
      </c>
      <c r="K1789">
        <f>VLOOKUP(F1789,'LEAID Match'!$A$2:$C$2979,3,FALSE)</f>
        <v>2000014</v>
      </c>
    </row>
    <row r="1790" spans="1:11" x14ac:dyDescent="0.2">
      <c r="A1790">
        <v>2011370</v>
      </c>
      <c r="B1790">
        <v>2020</v>
      </c>
      <c r="C1790" t="s">
        <v>6</v>
      </c>
      <c r="D1790" t="s">
        <v>7</v>
      </c>
      <c r="E1790" t="s">
        <v>8</v>
      </c>
      <c r="F1790">
        <v>5031</v>
      </c>
      <c r="G1790" s="9" t="s">
        <v>112</v>
      </c>
      <c r="H1790" s="1">
        <v>9613989</v>
      </c>
      <c r="I1790" s="1">
        <v>0</v>
      </c>
      <c r="J1790" s="1">
        <v>9613989</v>
      </c>
      <c r="K1790">
        <f>VLOOKUP(F1790,'LEAID Match'!$A$2:$C$2979,3,FALSE)</f>
        <v>2011370</v>
      </c>
    </row>
    <row r="1791" spans="1:11" x14ac:dyDescent="0.2">
      <c r="A1791">
        <v>2003390</v>
      </c>
      <c r="B1791">
        <v>2020</v>
      </c>
      <c r="C1791" t="s">
        <v>6</v>
      </c>
      <c r="D1791" t="s">
        <v>7</v>
      </c>
      <c r="E1791" t="s">
        <v>8</v>
      </c>
      <c r="F1791" s="3">
        <v>5032</v>
      </c>
      <c r="G1791" s="3" t="s">
        <v>359</v>
      </c>
      <c r="H1791" s="22">
        <v>809978</v>
      </c>
      <c r="I1791" s="1">
        <v>0</v>
      </c>
      <c r="J1791" s="1">
        <v>809978</v>
      </c>
      <c r="K1791">
        <f>VLOOKUP(F1791,'LEAID Match'!$A$2:$C$2979,3,FALSE)</f>
        <v>2003390</v>
      </c>
    </row>
    <row r="1792" spans="1:11" x14ac:dyDescent="0.2">
      <c r="A1792">
        <v>2011100</v>
      </c>
      <c r="B1792">
        <v>2020</v>
      </c>
      <c r="C1792" t="s">
        <v>6</v>
      </c>
      <c r="D1792" t="s">
        <v>7</v>
      </c>
      <c r="E1792" t="s">
        <v>8</v>
      </c>
      <c r="F1792" s="3">
        <v>5033</v>
      </c>
      <c r="G1792" s="3" t="s">
        <v>114</v>
      </c>
      <c r="H1792" s="1">
        <v>613380</v>
      </c>
      <c r="I1792" s="21">
        <v>0</v>
      </c>
      <c r="J1792" s="21">
        <v>613380</v>
      </c>
      <c r="K1792">
        <f>VLOOKUP(F1792,'LEAID Match'!$A$2:$C$2979,3,FALSE)</f>
        <v>2011100</v>
      </c>
    </row>
    <row r="1793" spans="1:11" x14ac:dyDescent="0.2">
      <c r="A1793">
        <v>2004020</v>
      </c>
      <c r="B1793">
        <v>2020</v>
      </c>
      <c r="C1793" t="s">
        <v>6</v>
      </c>
      <c r="D1793" t="s">
        <v>7</v>
      </c>
      <c r="E1793" t="s">
        <v>8</v>
      </c>
      <c r="F1793" s="3">
        <v>5034</v>
      </c>
      <c r="G1793" s="3" t="s">
        <v>115</v>
      </c>
      <c r="H1793" s="1">
        <v>266622</v>
      </c>
      <c r="I1793" s="1">
        <v>0</v>
      </c>
      <c r="J1793" s="1">
        <v>266622</v>
      </c>
      <c r="K1793">
        <f>VLOOKUP(F1793,'LEAID Match'!$A$2:$C$2979,3,FALSE)</f>
        <v>2004020</v>
      </c>
    </row>
    <row r="1794" spans="1:11" x14ac:dyDescent="0.2">
      <c r="A1794">
        <v>2004590</v>
      </c>
      <c r="B1794">
        <v>2020</v>
      </c>
      <c r="C1794" t="s">
        <v>6</v>
      </c>
      <c r="D1794" t="s">
        <v>7</v>
      </c>
      <c r="E1794" t="s">
        <v>8</v>
      </c>
      <c r="F1794">
        <v>5035</v>
      </c>
      <c r="G1794" t="s">
        <v>116</v>
      </c>
      <c r="H1794" s="1">
        <v>1449925</v>
      </c>
      <c r="I1794" s="1">
        <v>0</v>
      </c>
      <c r="J1794" s="1">
        <v>1449925</v>
      </c>
      <c r="K1794">
        <f>VLOOKUP(F1794,'LEAID Match'!$A$2:$C$2979,3,FALSE)</f>
        <v>2004590</v>
      </c>
    </row>
    <row r="1795" spans="1:11" x14ac:dyDescent="0.2">
      <c r="A1795">
        <v>2000006</v>
      </c>
      <c r="B1795">
        <v>2020</v>
      </c>
      <c r="C1795" t="s">
        <v>6</v>
      </c>
      <c r="D1795" t="s">
        <v>7</v>
      </c>
      <c r="E1795" t="s">
        <v>8</v>
      </c>
      <c r="F1795">
        <v>5036</v>
      </c>
      <c r="G1795" t="s">
        <v>117</v>
      </c>
      <c r="H1795" s="1">
        <v>841586</v>
      </c>
      <c r="I1795" s="1">
        <v>0</v>
      </c>
      <c r="J1795" s="1">
        <v>841586</v>
      </c>
      <c r="K1795">
        <f>VLOOKUP(F1795,'LEAID Match'!$A$2:$C$2979,3,FALSE)</f>
        <v>2000006</v>
      </c>
    </row>
    <row r="1796" spans="1:11" x14ac:dyDescent="0.2">
      <c r="A1796">
        <v>2009390</v>
      </c>
      <c r="B1796">
        <v>2020</v>
      </c>
      <c r="C1796" t="s">
        <v>6</v>
      </c>
      <c r="D1796" t="s">
        <v>7</v>
      </c>
      <c r="E1796" t="s">
        <v>8</v>
      </c>
      <c r="F1796">
        <v>5037</v>
      </c>
      <c r="G1796" t="s">
        <v>118</v>
      </c>
      <c r="H1796" s="1">
        <v>3059453</v>
      </c>
      <c r="I1796" s="1">
        <v>0</v>
      </c>
      <c r="J1796" s="1">
        <v>3059453</v>
      </c>
      <c r="K1796">
        <f>VLOOKUP(F1796,'LEAID Match'!$A$2:$C$2979,3,FALSE)</f>
        <v>2009390</v>
      </c>
    </row>
    <row r="1797" spans="1:11" x14ac:dyDescent="0.2">
      <c r="A1797">
        <v>2006720</v>
      </c>
      <c r="B1797">
        <v>2020</v>
      </c>
      <c r="C1797" t="s">
        <v>6</v>
      </c>
      <c r="D1797" t="s">
        <v>7</v>
      </c>
      <c r="E1797" t="s">
        <v>8</v>
      </c>
      <c r="F1797">
        <v>5038</v>
      </c>
      <c r="G1797" t="s">
        <v>119</v>
      </c>
      <c r="H1797" s="20">
        <v>358644</v>
      </c>
      <c r="I1797" s="1">
        <v>0</v>
      </c>
      <c r="J1797" s="1">
        <v>358644</v>
      </c>
      <c r="K1797">
        <f>VLOOKUP(F1797,'LEAID Match'!$A$2:$C$2979,3,FALSE)</f>
        <v>2006720</v>
      </c>
    </row>
    <row r="1798" spans="1:11" x14ac:dyDescent="0.2">
      <c r="A1798">
        <v>2011550</v>
      </c>
      <c r="B1798">
        <v>2020</v>
      </c>
      <c r="C1798" t="s">
        <v>6</v>
      </c>
      <c r="D1798" t="s">
        <v>7</v>
      </c>
      <c r="E1798" t="s">
        <v>8</v>
      </c>
      <c r="F1798">
        <v>5039</v>
      </c>
      <c r="G1798" t="s">
        <v>120</v>
      </c>
      <c r="H1798" s="1">
        <v>463970</v>
      </c>
      <c r="I1798" s="1">
        <v>0</v>
      </c>
      <c r="J1798" s="1">
        <v>463970</v>
      </c>
      <c r="K1798">
        <f>VLOOKUP(F1798,'LEAID Match'!$A$2:$C$2979,3,FALSE)</f>
        <v>2011550</v>
      </c>
    </row>
    <row r="1799" spans="1:11" x14ac:dyDescent="0.2">
      <c r="A1799">
        <v>2004980</v>
      </c>
      <c r="B1799">
        <v>2020</v>
      </c>
      <c r="C1799" t="s">
        <v>6</v>
      </c>
      <c r="D1799" t="s">
        <v>7</v>
      </c>
      <c r="E1799" t="s">
        <v>8</v>
      </c>
      <c r="F1799">
        <v>5040</v>
      </c>
      <c r="G1799" s="9" t="s">
        <v>121</v>
      </c>
      <c r="H1799" s="1">
        <v>1459665</v>
      </c>
      <c r="I1799" s="1">
        <v>0</v>
      </c>
      <c r="J1799" s="1">
        <v>1459665</v>
      </c>
      <c r="K1799">
        <f>VLOOKUP(F1799,'LEAID Match'!$A$2:$C$2979,3,FALSE)</f>
        <v>2004980</v>
      </c>
    </row>
    <row r="1800" spans="1:11" x14ac:dyDescent="0.2">
      <c r="A1800">
        <v>2006390</v>
      </c>
      <c r="B1800">
        <v>2020</v>
      </c>
      <c r="C1800" t="s">
        <v>6</v>
      </c>
      <c r="D1800" t="s">
        <v>7</v>
      </c>
      <c r="E1800" t="s">
        <v>8</v>
      </c>
      <c r="F1800" s="3">
        <v>5041</v>
      </c>
      <c r="G1800" s="3" t="s">
        <v>122</v>
      </c>
      <c r="H1800" s="22">
        <v>7458817</v>
      </c>
      <c r="I1800" s="1">
        <v>0</v>
      </c>
      <c r="J1800" s="1">
        <v>7458817</v>
      </c>
      <c r="K1800">
        <f>VLOOKUP(F1800,'LEAID Match'!$A$2:$C$2979,3,FALSE)</f>
        <v>2006390</v>
      </c>
    </row>
    <row r="1801" spans="1:11" x14ac:dyDescent="0.2">
      <c r="A1801">
        <v>2003780</v>
      </c>
      <c r="B1801">
        <v>2020</v>
      </c>
      <c r="C1801" t="s">
        <v>6</v>
      </c>
      <c r="D1801" t="s">
        <v>7</v>
      </c>
      <c r="E1801" t="s">
        <v>8</v>
      </c>
      <c r="F1801" s="3">
        <v>5042</v>
      </c>
      <c r="G1801" s="3" t="s">
        <v>123</v>
      </c>
      <c r="H1801" s="1">
        <v>2345628</v>
      </c>
      <c r="I1801" s="21">
        <v>0</v>
      </c>
      <c r="J1801" s="21">
        <v>2345628</v>
      </c>
      <c r="K1801">
        <f>VLOOKUP(F1801,'LEAID Match'!$A$2:$C$2979,3,FALSE)</f>
        <v>2003780</v>
      </c>
    </row>
    <row r="1802" spans="1:11" x14ac:dyDescent="0.2">
      <c r="A1802">
        <v>2013050</v>
      </c>
      <c r="B1802">
        <v>2020</v>
      </c>
      <c r="C1802" t="s">
        <v>6</v>
      </c>
      <c r="D1802" t="s">
        <v>7</v>
      </c>
      <c r="E1802" t="s">
        <v>8</v>
      </c>
      <c r="F1802" s="3">
        <v>5043</v>
      </c>
      <c r="G1802" s="3" t="s">
        <v>124</v>
      </c>
      <c r="H1802" s="1">
        <v>3300215</v>
      </c>
      <c r="I1802" s="1">
        <v>0</v>
      </c>
      <c r="J1802" s="1">
        <v>3300215</v>
      </c>
      <c r="K1802">
        <f>VLOOKUP(F1802,'LEAID Match'!$A$2:$C$2979,3,FALSE)</f>
        <v>2013050</v>
      </c>
    </row>
    <row r="1803" spans="1:11" x14ac:dyDescent="0.2">
      <c r="A1803">
        <v>2000012</v>
      </c>
      <c r="B1803">
        <v>2020</v>
      </c>
      <c r="C1803" t="s">
        <v>6</v>
      </c>
      <c r="D1803" t="s">
        <v>7</v>
      </c>
      <c r="E1803" t="s">
        <v>8</v>
      </c>
      <c r="F1803">
        <v>5056</v>
      </c>
      <c r="G1803" t="s">
        <v>125</v>
      </c>
      <c r="H1803" s="1">
        <v>353065</v>
      </c>
      <c r="I1803" s="1">
        <v>0</v>
      </c>
      <c r="J1803" s="1">
        <v>353065</v>
      </c>
      <c r="K1803">
        <f>VLOOKUP(F1803,'LEAID Match'!$A$2:$C$2979,3,FALSE)</f>
        <v>2000012</v>
      </c>
    </row>
    <row r="1804" spans="1:11" x14ac:dyDescent="0.2">
      <c r="A1804">
        <v>2007590</v>
      </c>
      <c r="B1804">
        <v>2020</v>
      </c>
      <c r="C1804" t="s">
        <v>6</v>
      </c>
      <c r="D1804" t="s">
        <v>7</v>
      </c>
      <c r="E1804" t="s">
        <v>8</v>
      </c>
      <c r="F1804">
        <v>5057</v>
      </c>
      <c r="G1804" t="s">
        <v>126</v>
      </c>
      <c r="H1804" s="1">
        <v>618530</v>
      </c>
      <c r="I1804" s="1">
        <v>0</v>
      </c>
      <c r="J1804" s="1">
        <v>618530</v>
      </c>
      <c r="K1804">
        <f>VLOOKUP(F1804,'LEAID Match'!$A$2:$C$2979,3,FALSE)</f>
        <v>2007590</v>
      </c>
    </row>
    <row r="1805" spans="1:11" x14ac:dyDescent="0.2">
      <c r="A1805">
        <v>2003870</v>
      </c>
      <c r="B1805">
        <v>2020</v>
      </c>
      <c r="C1805" t="s">
        <v>6</v>
      </c>
      <c r="D1805" t="s">
        <v>7</v>
      </c>
      <c r="E1805" t="s">
        <v>8</v>
      </c>
      <c r="F1805">
        <v>5058</v>
      </c>
      <c r="G1805" t="s">
        <v>127</v>
      </c>
      <c r="H1805" s="1">
        <v>1368489</v>
      </c>
      <c r="I1805" s="1">
        <v>0</v>
      </c>
      <c r="J1805" s="1">
        <v>1368489</v>
      </c>
      <c r="K1805">
        <f>VLOOKUP(F1805,'LEAID Match'!$A$2:$C$2979,3,FALSE)</f>
        <v>2003870</v>
      </c>
    </row>
    <row r="1806" spans="1:11" x14ac:dyDescent="0.2">
      <c r="A1806">
        <v>2005250</v>
      </c>
      <c r="B1806">
        <v>2020</v>
      </c>
      <c r="C1806" t="s">
        <v>6</v>
      </c>
      <c r="D1806" t="s">
        <v>7</v>
      </c>
      <c r="E1806" t="s">
        <v>8</v>
      </c>
      <c r="F1806">
        <v>5059</v>
      </c>
      <c r="G1806" t="s">
        <v>128</v>
      </c>
      <c r="H1806" s="20">
        <v>368818</v>
      </c>
      <c r="I1806" s="1">
        <v>0</v>
      </c>
      <c r="J1806" s="1">
        <v>368818</v>
      </c>
      <c r="K1806">
        <f>VLOOKUP(F1806,'LEAID Match'!$A$2:$C$2979,3,FALSE)</f>
        <v>2005250</v>
      </c>
    </row>
    <row r="1807" spans="1:11" x14ac:dyDescent="0.2">
      <c r="A1807">
        <v>2004500</v>
      </c>
      <c r="B1807">
        <v>2020</v>
      </c>
      <c r="C1807" t="s">
        <v>6</v>
      </c>
      <c r="D1807" t="s">
        <v>7</v>
      </c>
      <c r="E1807" t="s">
        <v>8</v>
      </c>
      <c r="F1807">
        <v>5060</v>
      </c>
      <c r="G1807" t="s">
        <v>129</v>
      </c>
      <c r="H1807" s="1">
        <v>181830</v>
      </c>
      <c r="I1807" s="1">
        <v>0</v>
      </c>
      <c r="J1807" s="1">
        <v>181830</v>
      </c>
      <c r="K1807">
        <f>VLOOKUP(F1807,'LEAID Match'!$A$2:$C$2979,3,FALSE)</f>
        <v>2004500</v>
      </c>
    </row>
    <row r="1808" spans="1:11" x14ac:dyDescent="0.2">
      <c r="A1808">
        <v>2011520</v>
      </c>
      <c r="B1808">
        <v>2020</v>
      </c>
      <c r="C1808" t="s">
        <v>6</v>
      </c>
      <c r="D1808" t="s">
        <v>7</v>
      </c>
      <c r="E1808" t="s">
        <v>8</v>
      </c>
      <c r="F1808">
        <v>5061</v>
      </c>
      <c r="G1808" s="9" t="s">
        <v>130</v>
      </c>
      <c r="H1808" s="1">
        <v>345620</v>
      </c>
      <c r="I1808" s="1">
        <v>0</v>
      </c>
      <c r="J1808" s="1">
        <v>345620</v>
      </c>
      <c r="K1808">
        <f>VLOOKUP(F1808,'LEAID Match'!$A$2:$C$2979,3,FALSE)</f>
        <v>2011520</v>
      </c>
    </row>
    <row r="1809" spans="1:11" x14ac:dyDescent="0.2">
      <c r="A1809">
        <v>2010800</v>
      </c>
      <c r="B1809">
        <v>2020</v>
      </c>
      <c r="C1809" t="s">
        <v>6</v>
      </c>
      <c r="D1809" t="s">
        <v>7</v>
      </c>
      <c r="E1809" t="s">
        <v>8</v>
      </c>
      <c r="F1809" s="3">
        <v>5062</v>
      </c>
      <c r="G1809" s="3" t="s">
        <v>131</v>
      </c>
      <c r="H1809" s="22">
        <v>653961</v>
      </c>
      <c r="I1809" s="1">
        <v>0</v>
      </c>
      <c r="J1809" s="1">
        <v>653961</v>
      </c>
      <c r="K1809">
        <f>VLOOKUP(F1809,'LEAID Match'!$A$2:$C$2979,3,FALSE)</f>
        <v>2010800</v>
      </c>
    </row>
    <row r="1810" spans="1:11" x14ac:dyDescent="0.2">
      <c r="A1810">
        <v>2005870</v>
      </c>
      <c r="B1810">
        <v>2020</v>
      </c>
      <c r="C1810" t="s">
        <v>6</v>
      </c>
      <c r="D1810" t="s">
        <v>7</v>
      </c>
      <c r="E1810" t="s">
        <v>8</v>
      </c>
      <c r="F1810" s="3">
        <v>5063</v>
      </c>
      <c r="G1810" s="3" t="s">
        <v>132</v>
      </c>
      <c r="H1810" s="1">
        <v>556593</v>
      </c>
      <c r="I1810" s="21">
        <v>0</v>
      </c>
      <c r="J1810" s="21">
        <v>556593</v>
      </c>
      <c r="K1810">
        <f>VLOOKUP(F1810,'LEAID Match'!$A$2:$C$2979,3,FALSE)</f>
        <v>2005870</v>
      </c>
    </row>
    <row r="1811" spans="1:11" x14ac:dyDescent="0.2">
      <c r="A1811">
        <v>2012540</v>
      </c>
      <c r="B1811">
        <v>2020</v>
      </c>
      <c r="C1811" t="s">
        <v>6</v>
      </c>
      <c r="D1811" t="s">
        <v>7</v>
      </c>
      <c r="E1811" t="s">
        <v>8</v>
      </c>
      <c r="F1811" s="3">
        <v>5064</v>
      </c>
      <c r="G1811" s="3" t="s">
        <v>133</v>
      </c>
      <c r="H1811" s="1">
        <v>342099</v>
      </c>
      <c r="I1811" s="1">
        <v>0</v>
      </c>
      <c r="J1811" s="1">
        <v>342099</v>
      </c>
      <c r="K1811">
        <f>VLOOKUP(F1811,'LEAID Match'!$A$2:$C$2979,3,FALSE)</f>
        <v>2012540</v>
      </c>
    </row>
    <row r="1812" spans="1:11" x14ac:dyDescent="0.2">
      <c r="A1812">
        <v>2009360</v>
      </c>
      <c r="B1812">
        <v>2020</v>
      </c>
      <c r="C1812" t="s">
        <v>6</v>
      </c>
      <c r="D1812" t="s">
        <v>7</v>
      </c>
      <c r="E1812" t="s">
        <v>8</v>
      </c>
      <c r="F1812">
        <v>5065</v>
      </c>
      <c r="G1812" t="s">
        <v>134</v>
      </c>
      <c r="H1812" s="1">
        <v>413063</v>
      </c>
      <c r="I1812" s="1">
        <v>0</v>
      </c>
      <c r="J1812" s="1">
        <v>413063</v>
      </c>
      <c r="K1812">
        <f>VLOOKUP(F1812,'LEAID Match'!$A$2:$C$2979,3,FALSE)</f>
        <v>2009360</v>
      </c>
    </row>
    <row r="1813" spans="1:11" x14ac:dyDescent="0.2">
      <c r="A1813">
        <v>2004560</v>
      </c>
      <c r="B1813">
        <v>2020</v>
      </c>
      <c r="C1813" t="s">
        <v>6</v>
      </c>
      <c r="D1813" t="s">
        <v>7</v>
      </c>
      <c r="E1813" t="s">
        <v>8</v>
      </c>
      <c r="F1813">
        <v>5066</v>
      </c>
      <c r="G1813" t="s">
        <v>135</v>
      </c>
      <c r="H1813" s="1">
        <v>502721</v>
      </c>
      <c r="I1813" s="1">
        <v>0</v>
      </c>
      <c r="J1813" s="1">
        <v>502721</v>
      </c>
      <c r="K1813">
        <f>VLOOKUP(F1813,'LEAID Match'!$A$2:$C$2979,3,FALSE)</f>
        <v>2004560</v>
      </c>
    </row>
    <row r="1814" spans="1:11" x14ac:dyDescent="0.2">
      <c r="A1814">
        <v>2006120</v>
      </c>
      <c r="B1814">
        <v>2020</v>
      </c>
      <c r="C1814" t="s">
        <v>6</v>
      </c>
      <c r="D1814" t="s">
        <v>7</v>
      </c>
      <c r="E1814" t="s">
        <v>8</v>
      </c>
      <c r="F1814">
        <v>5067</v>
      </c>
      <c r="G1814" t="s">
        <v>136</v>
      </c>
      <c r="H1814" s="1">
        <v>752012</v>
      </c>
      <c r="I1814" s="1">
        <v>0</v>
      </c>
      <c r="J1814" s="1">
        <v>752012</v>
      </c>
      <c r="K1814">
        <f>VLOOKUP(F1814,'LEAID Match'!$A$2:$C$2979,3,FALSE)</f>
        <v>2006120</v>
      </c>
    </row>
    <row r="1815" spans="1:11" x14ac:dyDescent="0.2">
      <c r="A1815">
        <v>0</v>
      </c>
      <c r="B1815">
        <v>2020</v>
      </c>
      <c r="C1815" t="s">
        <v>6</v>
      </c>
      <c r="D1815" t="s">
        <v>7</v>
      </c>
      <c r="E1815" t="s">
        <v>8</v>
      </c>
      <c r="F1815">
        <v>5068</v>
      </c>
      <c r="G1815" t="s">
        <v>137</v>
      </c>
      <c r="H1815" s="20">
        <v>682206</v>
      </c>
      <c r="I1815" s="1">
        <v>0</v>
      </c>
      <c r="J1815" s="1">
        <v>682206</v>
      </c>
      <c r="K1815">
        <f>VLOOKUP(F1815,'LEAID Match'!$A$2:$C$2979,3,FALSE)</f>
        <v>0</v>
      </c>
    </row>
    <row r="1816" spans="1:11" x14ac:dyDescent="0.2">
      <c r="A1816">
        <v>2006840</v>
      </c>
      <c r="B1816">
        <v>2020</v>
      </c>
      <c r="C1816" t="s">
        <v>6</v>
      </c>
      <c r="D1816" t="s">
        <v>7</v>
      </c>
      <c r="E1816" t="s">
        <v>8</v>
      </c>
      <c r="F1816">
        <v>5069</v>
      </c>
      <c r="G1816" t="s">
        <v>138</v>
      </c>
      <c r="H1816" s="1">
        <v>676732</v>
      </c>
      <c r="I1816" s="1">
        <v>0</v>
      </c>
      <c r="J1816" s="1">
        <v>676732</v>
      </c>
      <c r="K1816">
        <f>VLOOKUP(F1816,'LEAID Match'!$A$2:$C$2979,3,FALSE)</f>
        <v>2006840</v>
      </c>
    </row>
    <row r="1817" spans="1:11" x14ac:dyDescent="0.2">
      <c r="A1817">
        <v>2012210</v>
      </c>
      <c r="B1817">
        <v>2020</v>
      </c>
      <c r="C1817" t="s">
        <v>6</v>
      </c>
      <c r="D1817" t="s">
        <v>7</v>
      </c>
      <c r="E1817" t="s">
        <v>8</v>
      </c>
      <c r="F1817">
        <v>5070</v>
      </c>
      <c r="G1817" s="9" t="s">
        <v>139</v>
      </c>
      <c r="H1817" s="1">
        <v>1686386</v>
      </c>
      <c r="I1817" s="1">
        <v>0</v>
      </c>
      <c r="J1817" s="1">
        <v>1686386</v>
      </c>
      <c r="K1817">
        <f>VLOOKUP(F1817,'LEAID Match'!$A$2:$C$2979,3,FALSE)</f>
        <v>2012210</v>
      </c>
    </row>
    <row r="1818" spans="1:11" x14ac:dyDescent="0.2">
      <c r="A1818">
        <v>2005550</v>
      </c>
      <c r="B1818">
        <v>2020</v>
      </c>
      <c r="C1818" t="s">
        <v>6</v>
      </c>
      <c r="D1818" t="s">
        <v>7</v>
      </c>
      <c r="E1818" t="s">
        <v>8</v>
      </c>
      <c r="F1818" s="3">
        <v>5072</v>
      </c>
      <c r="G1818" s="3" t="s">
        <v>140</v>
      </c>
      <c r="H1818" s="22">
        <v>229954</v>
      </c>
      <c r="I1818" s="1">
        <v>0</v>
      </c>
      <c r="J1818" s="1">
        <v>229954</v>
      </c>
      <c r="K1818">
        <f>VLOOKUP(F1818,'LEAID Match'!$A$2:$C$2979,3,FALSE)</f>
        <v>2005550</v>
      </c>
    </row>
    <row r="1819" spans="1:11" x14ac:dyDescent="0.2">
      <c r="A1819">
        <v>2007110</v>
      </c>
      <c r="B1819">
        <v>2020</v>
      </c>
      <c r="C1819" t="s">
        <v>6</v>
      </c>
      <c r="D1819" t="s">
        <v>7</v>
      </c>
      <c r="E1819" t="s">
        <v>8</v>
      </c>
      <c r="F1819" s="3">
        <v>5073</v>
      </c>
      <c r="G1819" s="3" t="s">
        <v>141</v>
      </c>
      <c r="H1819" s="1">
        <v>420301</v>
      </c>
      <c r="I1819" s="21">
        <v>0</v>
      </c>
      <c r="J1819" s="21">
        <v>420301</v>
      </c>
      <c r="K1819">
        <f>VLOOKUP(F1819,'LEAID Match'!$A$2:$C$2979,3,FALSE)</f>
        <v>2007110</v>
      </c>
    </row>
    <row r="1820" spans="1:11" x14ac:dyDescent="0.2">
      <c r="A1820">
        <v>2011190</v>
      </c>
      <c r="B1820">
        <v>2020</v>
      </c>
      <c r="C1820" t="s">
        <v>6</v>
      </c>
      <c r="D1820" t="s">
        <v>7</v>
      </c>
      <c r="E1820" t="s">
        <v>8</v>
      </c>
      <c r="F1820" s="3">
        <v>5076</v>
      </c>
      <c r="G1820" s="3" t="s">
        <v>142</v>
      </c>
      <c r="H1820" s="1">
        <v>178690</v>
      </c>
      <c r="I1820" s="1">
        <v>0</v>
      </c>
      <c r="J1820" s="1">
        <v>178690</v>
      </c>
      <c r="K1820">
        <f>VLOOKUP(F1820,'LEAID Match'!$A$2:$C$2979,3,FALSE)</f>
        <v>2011190</v>
      </c>
    </row>
    <row r="1821" spans="1:11" x14ac:dyDescent="0.2">
      <c r="A1821">
        <v>2005790</v>
      </c>
      <c r="B1821">
        <v>2020</v>
      </c>
      <c r="C1821" t="s">
        <v>6</v>
      </c>
      <c r="D1821" t="s">
        <v>7</v>
      </c>
      <c r="E1821" t="s">
        <v>8</v>
      </c>
      <c r="F1821">
        <v>5077</v>
      </c>
      <c r="G1821" t="s">
        <v>195</v>
      </c>
      <c r="H1821" s="1">
        <v>476915</v>
      </c>
      <c r="I1821" s="1">
        <v>0</v>
      </c>
      <c r="J1821" s="1">
        <v>476915</v>
      </c>
      <c r="K1821">
        <f>VLOOKUP(F1821,'LEAID Match'!$A$2:$C$2979,3,FALSE)</f>
        <v>2005790</v>
      </c>
    </row>
    <row r="1822" spans="1:11" x14ac:dyDescent="0.2">
      <c r="A1822">
        <v>2009420</v>
      </c>
      <c r="B1822">
        <v>2020</v>
      </c>
      <c r="C1822" t="s">
        <v>6</v>
      </c>
      <c r="D1822" t="s">
        <v>7</v>
      </c>
      <c r="E1822" t="s">
        <v>8</v>
      </c>
      <c r="F1822">
        <v>5078</v>
      </c>
      <c r="G1822" t="s">
        <v>144</v>
      </c>
      <c r="H1822" s="1">
        <v>417404</v>
      </c>
      <c r="I1822" s="1">
        <v>0</v>
      </c>
      <c r="J1822" s="1">
        <v>417404</v>
      </c>
      <c r="K1822">
        <f>VLOOKUP(F1822,'LEAID Match'!$A$2:$C$2979,3,FALSE)</f>
        <v>2009420</v>
      </c>
    </row>
    <row r="1823" spans="1:11" x14ac:dyDescent="0.2">
      <c r="A1823">
        <v>2012450</v>
      </c>
      <c r="B1823">
        <v>2020</v>
      </c>
      <c r="C1823" t="s">
        <v>6</v>
      </c>
      <c r="D1823" t="s">
        <v>7</v>
      </c>
      <c r="E1823" t="s">
        <v>8</v>
      </c>
      <c r="F1823">
        <v>5079</v>
      </c>
      <c r="G1823" t="s">
        <v>145</v>
      </c>
      <c r="H1823" s="1">
        <v>449882</v>
      </c>
      <c r="I1823" s="1">
        <v>0</v>
      </c>
      <c r="J1823" s="1">
        <v>449882</v>
      </c>
      <c r="K1823">
        <f>VLOOKUP(F1823,'LEAID Match'!$A$2:$C$2979,3,FALSE)</f>
        <v>2012450</v>
      </c>
    </row>
    <row r="1824" spans="1:11" x14ac:dyDescent="0.2">
      <c r="A1824">
        <v>2006930</v>
      </c>
      <c r="B1824">
        <v>2020</v>
      </c>
      <c r="C1824" t="s">
        <v>6</v>
      </c>
      <c r="D1824" t="s">
        <v>7</v>
      </c>
      <c r="E1824" t="s">
        <v>8</v>
      </c>
      <c r="F1824">
        <v>5080</v>
      </c>
      <c r="G1824" t="s">
        <v>146</v>
      </c>
      <c r="H1824" s="20">
        <v>549527</v>
      </c>
      <c r="I1824" s="1">
        <v>0</v>
      </c>
      <c r="J1824" s="1">
        <v>549527</v>
      </c>
      <c r="K1824">
        <f>VLOOKUP(F1824,'LEAID Match'!$A$2:$C$2979,3,FALSE)</f>
        <v>2006930</v>
      </c>
    </row>
    <row r="1825" spans="1:11" x14ac:dyDescent="0.2">
      <c r="A1825">
        <v>2009450</v>
      </c>
      <c r="B1825">
        <v>2020</v>
      </c>
      <c r="C1825" t="s">
        <v>6</v>
      </c>
      <c r="D1825" t="s">
        <v>7</v>
      </c>
      <c r="E1825" t="s">
        <v>8</v>
      </c>
      <c r="F1825">
        <v>5081</v>
      </c>
      <c r="G1825" t="s">
        <v>147</v>
      </c>
      <c r="H1825" s="1">
        <v>470000</v>
      </c>
      <c r="I1825" s="1">
        <v>0</v>
      </c>
      <c r="J1825" s="1">
        <v>470000</v>
      </c>
      <c r="K1825">
        <f>VLOOKUP(F1825,'LEAID Match'!$A$2:$C$2979,3,FALSE)</f>
        <v>2009450</v>
      </c>
    </row>
    <row r="1826" spans="1:11" x14ac:dyDescent="0.2">
      <c r="A1826">
        <v>2010470</v>
      </c>
      <c r="B1826">
        <v>2020</v>
      </c>
      <c r="C1826" t="s">
        <v>6</v>
      </c>
      <c r="D1826" t="s">
        <v>7</v>
      </c>
      <c r="E1826" t="s">
        <v>8</v>
      </c>
      <c r="F1826">
        <v>5082</v>
      </c>
      <c r="G1826" s="9" t="s">
        <v>148</v>
      </c>
      <c r="H1826" s="1">
        <v>120396</v>
      </c>
      <c r="I1826" s="1">
        <v>0</v>
      </c>
      <c r="J1826" s="1">
        <v>120396</v>
      </c>
      <c r="K1826">
        <f>VLOOKUP(F1826,'LEAID Match'!$A$2:$C$2979,3,FALSE)</f>
        <v>2010470</v>
      </c>
    </row>
    <row r="1827" spans="1:11" x14ac:dyDescent="0.2">
      <c r="A1827">
        <v>2005580</v>
      </c>
      <c r="B1827">
        <v>2020</v>
      </c>
      <c r="C1827" t="s">
        <v>6</v>
      </c>
      <c r="D1827" t="s">
        <v>7</v>
      </c>
      <c r="E1827" t="s">
        <v>8</v>
      </c>
      <c r="F1827" s="3">
        <v>5013</v>
      </c>
      <c r="G1827" s="3" t="s">
        <v>355</v>
      </c>
      <c r="H1827" s="22">
        <v>7273752</v>
      </c>
      <c r="I1827" s="1">
        <v>0</v>
      </c>
      <c r="J1827" s="1">
        <v>7273752</v>
      </c>
      <c r="K1827">
        <f>VLOOKUP(F1827,'LEAID Match'!$A$2:$C$2979,3,FALSE)</f>
        <v>2005580</v>
      </c>
    </row>
    <row r="1828" spans="1:11" x14ac:dyDescent="0.2">
      <c r="A1828">
        <v>2007260</v>
      </c>
      <c r="B1828">
        <v>2020</v>
      </c>
      <c r="C1828" t="s">
        <v>6</v>
      </c>
      <c r="D1828" t="s">
        <v>7</v>
      </c>
      <c r="E1828" t="s">
        <v>8</v>
      </c>
      <c r="F1828" s="3">
        <v>5087</v>
      </c>
      <c r="G1828" s="3" t="s">
        <v>360</v>
      </c>
      <c r="H1828" s="1">
        <v>368175</v>
      </c>
      <c r="I1828" s="21">
        <v>0</v>
      </c>
      <c r="J1828" s="21">
        <v>368175</v>
      </c>
      <c r="K1828">
        <f>VLOOKUP(F1828,'LEAID Match'!$A$2:$C$2979,3,FALSE)</f>
        <v>2007260</v>
      </c>
    </row>
    <row r="1829" spans="1:11" x14ac:dyDescent="0.2">
      <c r="A1829">
        <v>2012870</v>
      </c>
      <c r="B1829">
        <v>2020</v>
      </c>
      <c r="C1829" t="s">
        <v>6</v>
      </c>
      <c r="D1829" t="s">
        <v>7</v>
      </c>
      <c r="E1829" t="s">
        <v>8</v>
      </c>
      <c r="F1829" s="3">
        <v>5088</v>
      </c>
      <c r="G1829" s="3" t="s">
        <v>151</v>
      </c>
      <c r="H1829" s="1">
        <v>687758</v>
      </c>
      <c r="I1829" s="1">
        <v>0</v>
      </c>
      <c r="J1829" s="1">
        <v>687758</v>
      </c>
      <c r="K1829">
        <f>VLOOKUP(F1829,'LEAID Match'!$A$2:$C$2979,3,FALSE)</f>
        <v>2012870</v>
      </c>
    </row>
    <row r="1830" spans="1:11" x14ac:dyDescent="0.2">
      <c r="A1830">
        <v>2008790</v>
      </c>
      <c r="B1830">
        <v>2020</v>
      </c>
      <c r="C1830" t="s">
        <v>6</v>
      </c>
      <c r="D1830" t="s">
        <v>7</v>
      </c>
      <c r="E1830" t="s">
        <v>8</v>
      </c>
      <c r="F1830">
        <v>5089</v>
      </c>
      <c r="G1830" t="s">
        <v>152</v>
      </c>
      <c r="H1830" s="1">
        <v>347125</v>
      </c>
      <c r="I1830" s="1">
        <v>0</v>
      </c>
      <c r="J1830" s="1">
        <v>347125</v>
      </c>
      <c r="K1830">
        <f>VLOOKUP(F1830,'LEAID Match'!$A$2:$C$2979,3,FALSE)</f>
        <v>2008790</v>
      </c>
    </row>
    <row r="1831" spans="1:11" x14ac:dyDescent="0.2">
      <c r="A1831">
        <v>2009930</v>
      </c>
      <c r="B1831">
        <v>2020</v>
      </c>
      <c r="C1831" t="s">
        <v>6</v>
      </c>
      <c r="D1831" t="s">
        <v>7</v>
      </c>
      <c r="E1831" t="s">
        <v>8</v>
      </c>
      <c r="F1831">
        <v>5090</v>
      </c>
      <c r="G1831" t="s">
        <v>153</v>
      </c>
      <c r="H1831" s="1">
        <v>274002</v>
      </c>
      <c r="I1831" s="1">
        <v>0</v>
      </c>
      <c r="J1831" s="1">
        <v>274002</v>
      </c>
      <c r="K1831">
        <f>VLOOKUP(F1831,'LEAID Match'!$A$2:$C$2979,3,FALSE)</f>
        <v>2009930</v>
      </c>
    </row>
    <row r="1832" spans="1:11" x14ac:dyDescent="0.2">
      <c r="A1832">
        <v>2007970</v>
      </c>
      <c r="B1832">
        <v>2020</v>
      </c>
      <c r="C1832" t="s">
        <v>6</v>
      </c>
      <c r="D1832" t="s">
        <v>7</v>
      </c>
      <c r="E1832" t="s">
        <v>8</v>
      </c>
      <c r="F1832">
        <v>5092</v>
      </c>
      <c r="G1832" t="s">
        <v>154</v>
      </c>
      <c r="H1832" s="1">
        <v>1363396</v>
      </c>
      <c r="I1832" s="1">
        <v>0</v>
      </c>
      <c r="J1832" s="1">
        <v>1363396</v>
      </c>
      <c r="K1832">
        <f>VLOOKUP(F1832,'LEAID Match'!$A$2:$C$2979,3,FALSE)</f>
        <v>2007970</v>
      </c>
    </row>
    <row r="1833" spans="1:11" x14ac:dyDescent="0.2">
      <c r="A1833">
        <v>2010170</v>
      </c>
      <c r="B1833">
        <v>2020</v>
      </c>
      <c r="C1833" t="s">
        <v>6</v>
      </c>
      <c r="D1833" t="s">
        <v>7</v>
      </c>
      <c r="E1833" t="s">
        <v>8</v>
      </c>
      <c r="F1833">
        <v>5093</v>
      </c>
      <c r="G1833" t="s">
        <v>155</v>
      </c>
      <c r="H1833" s="20">
        <v>314613</v>
      </c>
      <c r="I1833" s="1">
        <v>0</v>
      </c>
      <c r="J1833" s="1">
        <v>314613</v>
      </c>
      <c r="K1833">
        <f>VLOOKUP(F1833,'LEAID Match'!$A$2:$C$2979,3,FALSE)</f>
        <v>2010170</v>
      </c>
    </row>
    <row r="1834" spans="1:11" x14ac:dyDescent="0.2">
      <c r="A1834">
        <v>2003240</v>
      </c>
      <c r="B1834">
        <v>2020</v>
      </c>
      <c r="C1834" t="s">
        <v>6</v>
      </c>
      <c r="D1834" t="s">
        <v>7</v>
      </c>
      <c r="E1834" t="s">
        <v>8</v>
      </c>
      <c r="F1834">
        <v>5095</v>
      </c>
      <c r="G1834" t="s">
        <v>156</v>
      </c>
      <c r="H1834" s="1">
        <v>472774</v>
      </c>
      <c r="I1834" s="1">
        <v>0</v>
      </c>
      <c r="J1834" s="1">
        <v>472774</v>
      </c>
      <c r="K1834">
        <f>VLOOKUP(F1834,'LEAID Match'!$A$2:$C$2979,3,FALSE)</f>
        <v>2003240</v>
      </c>
    </row>
    <row r="1835" spans="1:11" x14ac:dyDescent="0.2">
      <c r="A1835">
        <v>2007750</v>
      </c>
      <c r="B1835">
        <v>2020</v>
      </c>
      <c r="C1835" t="s">
        <v>6</v>
      </c>
      <c r="D1835" t="s">
        <v>7</v>
      </c>
      <c r="E1835" t="s">
        <v>8</v>
      </c>
      <c r="F1835">
        <v>5096</v>
      </c>
      <c r="G1835" s="9" t="s">
        <v>157</v>
      </c>
      <c r="H1835" s="1">
        <v>567842</v>
      </c>
      <c r="I1835" s="1">
        <v>0</v>
      </c>
      <c r="J1835" s="1">
        <v>567842</v>
      </c>
      <c r="K1835">
        <f>VLOOKUP(F1835,'LEAID Match'!$A$2:$C$2979,3,FALSE)</f>
        <v>2007750</v>
      </c>
    </row>
    <row r="1836" spans="1:11" x14ac:dyDescent="0.2">
      <c r="A1836">
        <v>2004380</v>
      </c>
      <c r="B1836">
        <v>2020</v>
      </c>
      <c r="C1836" t="s">
        <v>6</v>
      </c>
      <c r="D1836" t="s">
        <v>7</v>
      </c>
      <c r="E1836" t="s">
        <v>8</v>
      </c>
      <c r="F1836" s="3">
        <v>5098</v>
      </c>
      <c r="G1836" s="3" t="s">
        <v>158</v>
      </c>
      <c r="H1836" s="22">
        <v>297510</v>
      </c>
      <c r="I1836" s="1">
        <v>0</v>
      </c>
      <c r="J1836" s="1">
        <v>297510</v>
      </c>
      <c r="K1836">
        <f>VLOOKUP(F1836,'LEAID Match'!$A$2:$C$2979,3,FALSE)</f>
        <v>2004380</v>
      </c>
    </row>
    <row r="1837" spans="1:11" x14ac:dyDescent="0.2">
      <c r="A1837">
        <v>2006450</v>
      </c>
      <c r="B1837">
        <v>2020</v>
      </c>
      <c r="C1837" t="s">
        <v>6</v>
      </c>
      <c r="D1837" t="s">
        <v>7</v>
      </c>
      <c r="E1837" t="s">
        <v>8</v>
      </c>
      <c r="F1837" s="3">
        <v>5099</v>
      </c>
      <c r="G1837" s="3" t="s">
        <v>159</v>
      </c>
      <c r="H1837" s="1">
        <v>968160</v>
      </c>
      <c r="I1837" s="21">
        <v>0</v>
      </c>
      <c r="J1837" s="21">
        <v>968160</v>
      </c>
      <c r="K1837">
        <f>VLOOKUP(F1837,'LEAID Match'!$A$2:$C$2979,3,FALSE)</f>
        <v>2006450</v>
      </c>
    </row>
    <row r="1838" spans="1:11" x14ac:dyDescent="0.2">
      <c r="A1838">
        <v>2010260</v>
      </c>
      <c r="B1838">
        <v>2020</v>
      </c>
      <c r="C1838" t="s">
        <v>6</v>
      </c>
      <c r="D1838" t="s">
        <v>7</v>
      </c>
      <c r="E1838" t="s">
        <v>8</v>
      </c>
      <c r="F1838" s="3">
        <v>5100</v>
      </c>
      <c r="G1838" s="3" t="s">
        <v>160</v>
      </c>
      <c r="H1838" s="1">
        <v>1117367</v>
      </c>
      <c r="I1838" s="1">
        <v>0</v>
      </c>
      <c r="J1838" s="1">
        <v>1117367</v>
      </c>
      <c r="K1838">
        <f>VLOOKUP(F1838,'LEAID Match'!$A$2:$C$2979,3,FALSE)</f>
        <v>2010260</v>
      </c>
    </row>
    <row r="1839" spans="1:11" x14ac:dyDescent="0.2">
      <c r="A1839">
        <v>2011700</v>
      </c>
      <c r="B1839">
        <v>2020</v>
      </c>
      <c r="C1839" t="s">
        <v>6</v>
      </c>
      <c r="D1839" t="s">
        <v>7</v>
      </c>
      <c r="E1839" t="s">
        <v>8</v>
      </c>
      <c r="F1839">
        <v>5101</v>
      </c>
      <c r="G1839" t="s">
        <v>161</v>
      </c>
      <c r="H1839" s="1">
        <v>740059</v>
      </c>
      <c r="I1839" s="1">
        <v>0</v>
      </c>
      <c r="J1839" s="1">
        <v>740059</v>
      </c>
      <c r="K1839">
        <f>VLOOKUP(F1839,'LEAID Match'!$A$2:$C$2979,3,FALSE)</f>
        <v>2011700</v>
      </c>
    </row>
    <row r="1840" spans="1:11" x14ac:dyDescent="0.2">
      <c r="A1840">
        <v>2004890</v>
      </c>
      <c r="B1840">
        <v>2020</v>
      </c>
      <c r="C1840" t="s">
        <v>6</v>
      </c>
      <c r="D1840" t="s">
        <v>7</v>
      </c>
      <c r="E1840" t="s">
        <v>8</v>
      </c>
      <c r="F1840">
        <v>5102</v>
      </c>
      <c r="G1840" t="s">
        <v>162</v>
      </c>
      <c r="H1840" s="1">
        <v>1545690</v>
      </c>
      <c r="I1840" s="1">
        <v>0</v>
      </c>
      <c r="J1840" s="1">
        <v>1545690</v>
      </c>
      <c r="K1840">
        <f>VLOOKUP(F1840,'LEAID Match'!$A$2:$C$2979,3,FALSE)</f>
        <v>2004890</v>
      </c>
    </row>
    <row r="1841" spans="1:11" x14ac:dyDescent="0.2">
      <c r="A1841">
        <v>2010890</v>
      </c>
      <c r="B1841">
        <v>2020</v>
      </c>
      <c r="C1841" t="s">
        <v>6</v>
      </c>
      <c r="D1841" t="s">
        <v>7</v>
      </c>
      <c r="E1841" t="s">
        <v>8</v>
      </c>
      <c r="F1841">
        <v>5103</v>
      </c>
      <c r="G1841" t="s">
        <v>163</v>
      </c>
      <c r="H1841" s="1">
        <v>921835</v>
      </c>
      <c r="I1841" s="1">
        <v>0</v>
      </c>
      <c r="J1841" s="1">
        <v>921835</v>
      </c>
      <c r="K1841">
        <f>VLOOKUP(F1841,'LEAID Match'!$A$2:$C$2979,3,FALSE)</f>
        <v>2010890</v>
      </c>
    </row>
    <row r="1842" spans="1:11" x14ac:dyDescent="0.2">
      <c r="A1842">
        <v>2004440</v>
      </c>
      <c r="B1842">
        <v>2020</v>
      </c>
      <c r="C1842" t="s">
        <v>6</v>
      </c>
      <c r="D1842" t="s">
        <v>7</v>
      </c>
      <c r="E1842" t="s">
        <v>8</v>
      </c>
      <c r="F1842">
        <v>5104</v>
      </c>
      <c r="G1842" t="s">
        <v>164</v>
      </c>
      <c r="H1842" s="20">
        <v>300857</v>
      </c>
      <c r="I1842" s="1">
        <v>0</v>
      </c>
      <c r="J1842" s="1">
        <v>300857</v>
      </c>
      <c r="K1842">
        <f>VLOOKUP(F1842,'LEAID Match'!$A$2:$C$2979,3,FALSE)</f>
        <v>2004440</v>
      </c>
    </row>
    <row r="1843" spans="1:11" x14ac:dyDescent="0.2">
      <c r="A1843">
        <v>2004140</v>
      </c>
      <c r="B1843">
        <v>2020</v>
      </c>
      <c r="C1843" t="s">
        <v>6</v>
      </c>
      <c r="D1843" t="s">
        <v>7</v>
      </c>
      <c r="E1843" t="s">
        <v>8</v>
      </c>
      <c r="F1843">
        <v>5105</v>
      </c>
      <c r="G1843" t="s">
        <v>165</v>
      </c>
      <c r="H1843" s="1">
        <v>239615</v>
      </c>
      <c r="I1843" s="1">
        <v>0</v>
      </c>
      <c r="J1843" s="1">
        <v>239615</v>
      </c>
      <c r="K1843">
        <f>VLOOKUP(F1843,'LEAID Match'!$A$2:$C$2979,3,FALSE)</f>
        <v>2004140</v>
      </c>
    </row>
    <row r="1844" spans="1:11" x14ac:dyDescent="0.2">
      <c r="A1844">
        <v>2008190</v>
      </c>
      <c r="B1844">
        <v>2020</v>
      </c>
      <c r="C1844" t="s">
        <v>6</v>
      </c>
      <c r="D1844" t="s">
        <v>7</v>
      </c>
      <c r="E1844" t="s">
        <v>8</v>
      </c>
      <c r="F1844">
        <v>5106</v>
      </c>
      <c r="G1844" s="9" t="s">
        <v>166</v>
      </c>
      <c r="H1844" s="1">
        <v>765511</v>
      </c>
      <c r="I1844" s="1">
        <v>0</v>
      </c>
      <c r="J1844" s="1">
        <v>765511</v>
      </c>
      <c r="K1844">
        <f>VLOOKUP(F1844,'LEAID Match'!$A$2:$C$2979,3,FALSE)</f>
        <v>2008190</v>
      </c>
    </row>
    <row r="1845" spans="1:11" x14ac:dyDescent="0.2">
      <c r="A1845">
        <v>2007560</v>
      </c>
      <c r="B1845">
        <v>2020</v>
      </c>
      <c r="C1845" t="s">
        <v>6</v>
      </c>
      <c r="D1845" t="s">
        <v>7</v>
      </c>
      <c r="E1845" t="s">
        <v>8</v>
      </c>
      <c r="F1845" s="3">
        <v>5116</v>
      </c>
      <c r="G1845" s="3" t="s">
        <v>167</v>
      </c>
      <c r="H1845" s="22">
        <v>877855</v>
      </c>
      <c r="I1845" s="1">
        <v>0</v>
      </c>
      <c r="J1845" s="1">
        <v>877855</v>
      </c>
      <c r="K1845">
        <f>VLOOKUP(F1845,'LEAID Match'!$A$2:$C$2979,3,FALSE)</f>
        <v>2007560</v>
      </c>
    </row>
    <row r="1846" spans="1:11" x14ac:dyDescent="0.2">
      <c r="A1846">
        <v>2003270</v>
      </c>
      <c r="B1846">
        <v>2020</v>
      </c>
      <c r="C1846" t="s">
        <v>6</v>
      </c>
      <c r="D1846" t="s">
        <v>7</v>
      </c>
      <c r="E1846" t="s">
        <v>8</v>
      </c>
      <c r="F1846" s="3">
        <v>5117</v>
      </c>
      <c r="G1846" s="3" t="s">
        <v>168</v>
      </c>
      <c r="H1846" s="1">
        <v>179567</v>
      </c>
      <c r="I1846" s="21">
        <v>0</v>
      </c>
      <c r="J1846" s="21">
        <v>179567</v>
      </c>
      <c r="K1846">
        <f>VLOOKUP(F1846,'LEAID Match'!$A$2:$C$2979,3,FALSE)</f>
        <v>2003270</v>
      </c>
    </row>
    <row r="1847" spans="1:11" x14ac:dyDescent="0.2">
      <c r="A1847">
        <v>2012420</v>
      </c>
      <c r="B1847">
        <v>2020</v>
      </c>
      <c r="C1847" t="s">
        <v>6</v>
      </c>
      <c r="D1847" t="s">
        <v>7</v>
      </c>
      <c r="E1847" t="s">
        <v>8</v>
      </c>
      <c r="F1847" s="3">
        <v>5118</v>
      </c>
      <c r="G1847" s="3" t="s">
        <v>169</v>
      </c>
      <c r="H1847" s="1">
        <v>1356978</v>
      </c>
      <c r="I1847" s="1">
        <v>0</v>
      </c>
      <c r="J1847" s="1">
        <v>1356978</v>
      </c>
      <c r="K1847">
        <f>VLOOKUP(F1847,'LEAID Match'!$A$2:$C$2979,3,FALSE)</f>
        <v>2012420</v>
      </c>
    </row>
    <row r="1848" spans="1:11" x14ac:dyDescent="0.2">
      <c r="A1848">
        <v>2009600</v>
      </c>
      <c r="B1848">
        <v>2020</v>
      </c>
      <c r="C1848" t="s">
        <v>6</v>
      </c>
      <c r="D1848" t="s">
        <v>7</v>
      </c>
      <c r="E1848" t="s">
        <v>8</v>
      </c>
      <c r="F1848">
        <v>5119</v>
      </c>
      <c r="G1848" t="s">
        <v>170</v>
      </c>
      <c r="H1848" s="1">
        <v>293165</v>
      </c>
      <c r="I1848" s="1">
        <v>0</v>
      </c>
      <c r="J1848" s="1">
        <v>293165</v>
      </c>
      <c r="K1848">
        <f>VLOOKUP(F1848,'LEAID Match'!$A$2:$C$2979,3,FALSE)</f>
        <v>2009600</v>
      </c>
    </row>
    <row r="1849" spans="1:11" x14ac:dyDescent="0.2">
      <c r="A1849">
        <v>2006420</v>
      </c>
      <c r="B1849">
        <v>2020</v>
      </c>
      <c r="C1849" t="s">
        <v>6</v>
      </c>
      <c r="D1849" t="s">
        <v>7</v>
      </c>
      <c r="E1849" t="s">
        <v>8</v>
      </c>
      <c r="F1849">
        <v>5120</v>
      </c>
      <c r="G1849" t="s">
        <v>171</v>
      </c>
      <c r="H1849" s="1">
        <v>6640817</v>
      </c>
      <c r="I1849" s="1">
        <v>0</v>
      </c>
      <c r="J1849" s="1">
        <v>6640817</v>
      </c>
      <c r="K1849">
        <f>VLOOKUP(F1849,'LEAID Match'!$A$2:$C$2979,3,FALSE)</f>
        <v>2006420</v>
      </c>
    </row>
    <row r="1850" spans="1:11" x14ac:dyDescent="0.2">
      <c r="A1850">
        <v>2008130</v>
      </c>
      <c r="B1850">
        <v>2020</v>
      </c>
      <c r="C1850" t="s">
        <v>6</v>
      </c>
      <c r="D1850" t="s">
        <v>7</v>
      </c>
      <c r="E1850" t="s">
        <v>8</v>
      </c>
      <c r="F1850">
        <v>5122</v>
      </c>
      <c r="G1850" t="s">
        <v>172</v>
      </c>
      <c r="H1850" s="1">
        <v>256651</v>
      </c>
      <c r="I1850" s="1">
        <v>0</v>
      </c>
      <c r="J1850" s="1">
        <v>256651</v>
      </c>
      <c r="K1850">
        <f>VLOOKUP(F1850,'LEAID Match'!$A$2:$C$2979,3,FALSE)</f>
        <v>2008130</v>
      </c>
    </row>
    <row r="1851" spans="1:11" x14ac:dyDescent="0.2">
      <c r="A1851">
        <v>2009660</v>
      </c>
      <c r="B1851">
        <v>2020</v>
      </c>
      <c r="C1851" t="s">
        <v>6</v>
      </c>
      <c r="D1851" t="s">
        <v>7</v>
      </c>
      <c r="E1851" t="s">
        <v>8</v>
      </c>
      <c r="F1851">
        <v>5123</v>
      </c>
      <c r="G1851" t="s">
        <v>173</v>
      </c>
      <c r="H1851" s="20">
        <v>257283</v>
      </c>
      <c r="I1851" s="1">
        <v>0</v>
      </c>
      <c r="J1851" s="1">
        <v>257283</v>
      </c>
      <c r="K1851">
        <f>VLOOKUP(F1851,'LEAID Match'!$A$2:$C$2979,3,FALSE)</f>
        <v>2009660</v>
      </c>
    </row>
    <row r="1852" spans="1:11" x14ac:dyDescent="0.2">
      <c r="A1852">
        <v>2000003</v>
      </c>
      <c r="B1852">
        <v>2020</v>
      </c>
      <c r="C1852" t="s">
        <v>6</v>
      </c>
      <c r="D1852" t="s">
        <v>7</v>
      </c>
      <c r="E1852" t="s">
        <v>8</v>
      </c>
      <c r="F1852">
        <v>5125</v>
      </c>
      <c r="G1852" t="s">
        <v>174</v>
      </c>
      <c r="H1852" s="1">
        <v>1787227</v>
      </c>
      <c r="I1852" s="1">
        <v>0</v>
      </c>
      <c r="J1852" s="1">
        <v>1787227</v>
      </c>
      <c r="K1852">
        <f>VLOOKUP(F1852,'LEAID Match'!$A$2:$C$2979,3,FALSE)</f>
        <v>2000003</v>
      </c>
    </row>
    <row r="1853" spans="1:11" x14ac:dyDescent="0.2">
      <c r="A1853">
        <v>2005370</v>
      </c>
      <c r="B1853">
        <v>2020</v>
      </c>
      <c r="C1853" t="s">
        <v>6</v>
      </c>
      <c r="D1853" t="s">
        <v>7</v>
      </c>
      <c r="E1853" t="s">
        <v>8</v>
      </c>
      <c r="F1853">
        <v>5127</v>
      </c>
      <c r="G1853" s="9" t="s">
        <v>175</v>
      </c>
      <c r="H1853" s="1">
        <v>208099</v>
      </c>
      <c r="I1853" s="1">
        <v>0</v>
      </c>
      <c r="J1853" s="1">
        <v>208099</v>
      </c>
      <c r="K1853">
        <f>VLOOKUP(F1853,'LEAID Match'!$A$2:$C$2979,3,FALSE)</f>
        <v>2005370</v>
      </c>
    </row>
    <row r="1854" spans="1:11" x14ac:dyDescent="0.2">
      <c r="A1854">
        <v>2004830</v>
      </c>
      <c r="B1854">
        <v>2020</v>
      </c>
      <c r="C1854" t="s">
        <v>6</v>
      </c>
      <c r="D1854" t="s">
        <v>7</v>
      </c>
      <c r="E1854" t="s">
        <v>8</v>
      </c>
      <c r="F1854" s="3">
        <v>5128</v>
      </c>
      <c r="G1854" s="3" t="s">
        <v>176</v>
      </c>
      <c r="H1854" s="22">
        <v>352642</v>
      </c>
      <c r="I1854" s="1">
        <v>0</v>
      </c>
      <c r="J1854" s="1">
        <v>352642</v>
      </c>
      <c r="K1854">
        <f>VLOOKUP(F1854,'LEAID Match'!$A$2:$C$2979,3,FALSE)</f>
        <v>2004830</v>
      </c>
    </row>
    <row r="1855" spans="1:11" x14ac:dyDescent="0.2">
      <c r="A1855">
        <v>2009320</v>
      </c>
      <c r="B1855">
        <v>2020</v>
      </c>
      <c r="C1855" t="s">
        <v>6</v>
      </c>
      <c r="D1855" t="s">
        <v>7</v>
      </c>
      <c r="E1855" t="s">
        <v>8</v>
      </c>
      <c r="F1855" s="3">
        <v>5129</v>
      </c>
      <c r="G1855" s="3" t="s">
        <v>177</v>
      </c>
      <c r="H1855" s="1">
        <v>836842</v>
      </c>
      <c r="I1855" s="21">
        <v>0</v>
      </c>
      <c r="J1855" s="21">
        <v>836842</v>
      </c>
      <c r="K1855">
        <f>VLOOKUP(F1855,'LEAID Match'!$A$2:$C$2979,3,FALSE)</f>
        <v>2009320</v>
      </c>
    </row>
    <row r="1856" spans="1:11" x14ac:dyDescent="0.2">
      <c r="A1856">
        <v>2010620</v>
      </c>
      <c r="B1856">
        <v>2020</v>
      </c>
      <c r="C1856" t="s">
        <v>6</v>
      </c>
      <c r="D1856" t="s">
        <v>7</v>
      </c>
      <c r="E1856" t="s">
        <v>8</v>
      </c>
      <c r="F1856" s="3">
        <v>5130</v>
      </c>
      <c r="G1856" s="3" t="s">
        <v>178</v>
      </c>
      <c r="H1856" s="1">
        <v>673996</v>
      </c>
      <c r="I1856" s="1">
        <v>0</v>
      </c>
      <c r="J1856" s="1">
        <v>673996</v>
      </c>
      <c r="K1856">
        <f>VLOOKUP(F1856,'LEAID Match'!$A$2:$C$2979,3,FALSE)</f>
        <v>2010620</v>
      </c>
    </row>
    <row r="1857" spans="1:11" x14ac:dyDescent="0.2">
      <c r="A1857">
        <v>2000016</v>
      </c>
      <c r="B1857">
        <v>2020</v>
      </c>
      <c r="C1857" t="s">
        <v>6</v>
      </c>
      <c r="D1857" t="s">
        <v>7</v>
      </c>
      <c r="E1857" t="s">
        <v>8</v>
      </c>
      <c r="F1857">
        <v>5131</v>
      </c>
      <c r="G1857" t="s">
        <v>179</v>
      </c>
      <c r="H1857" s="1">
        <v>916673</v>
      </c>
      <c r="I1857" s="1">
        <v>0</v>
      </c>
      <c r="J1857" s="1">
        <v>916673</v>
      </c>
      <c r="K1857">
        <f>VLOOKUP(F1857,'LEAID Match'!$A$2:$C$2979,3,FALSE)</f>
        <v>2000016</v>
      </c>
    </row>
    <row r="1858" spans="1:11" x14ac:dyDescent="0.2">
      <c r="A1858">
        <v>2010500</v>
      </c>
      <c r="B1858">
        <v>2020</v>
      </c>
      <c r="C1858" t="s">
        <v>6</v>
      </c>
      <c r="D1858" t="s">
        <v>7</v>
      </c>
      <c r="E1858" t="s">
        <v>8</v>
      </c>
      <c r="F1858">
        <v>5132</v>
      </c>
      <c r="G1858" t="s">
        <v>180</v>
      </c>
      <c r="H1858" s="1">
        <v>3470609</v>
      </c>
      <c r="I1858" s="1">
        <v>0</v>
      </c>
      <c r="J1858" s="1">
        <v>3470609</v>
      </c>
      <c r="K1858">
        <f>VLOOKUP(F1858,'LEAID Match'!$A$2:$C$2979,3,FALSE)</f>
        <v>2010500</v>
      </c>
    </row>
    <row r="1859" spans="1:11" x14ac:dyDescent="0.2">
      <c r="A1859">
        <v>2011820</v>
      </c>
      <c r="B1859">
        <v>2020</v>
      </c>
      <c r="C1859" t="s">
        <v>6</v>
      </c>
      <c r="D1859" t="s">
        <v>7</v>
      </c>
      <c r="E1859" t="s">
        <v>8</v>
      </c>
      <c r="F1859">
        <v>5133</v>
      </c>
      <c r="G1859" t="s">
        <v>361</v>
      </c>
      <c r="H1859" s="1">
        <v>300645</v>
      </c>
      <c r="I1859" s="1">
        <v>0</v>
      </c>
      <c r="J1859" s="1">
        <v>300645</v>
      </c>
      <c r="K1859">
        <f>VLOOKUP(F1859,'LEAID Match'!$A$2:$C$2979,3,FALSE)</f>
        <v>2011820</v>
      </c>
    </row>
    <row r="1860" spans="1:11" x14ac:dyDescent="0.2">
      <c r="A1860">
        <v>2011760</v>
      </c>
      <c r="B1860">
        <v>2020</v>
      </c>
      <c r="C1860" t="s">
        <v>6</v>
      </c>
      <c r="D1860" t="s">
        <v>7</v>
      </c>
      <c r="E1860" t="s">
        <v>8</v>
      </c>
      <c r="F1860">
        <v>5134</v>
      </c>
      <c r="G1860" t="s">
        <v>182</v>
      </c>
      <c r="H1860" s="20">
        <v>309596</v>
      </c>
      <c r="I1860" s="1">
        <v>0</v>
      </c>
      <c r="J1860" s="1">
        <v>309596</v>
      </c>
      <c r="K1860">
        <f>VLOOKUP(F1860,'LEAID Match'!$A$2:$C$2979,3,FALSE)</f>
        <v>2011760</v>
      </c>
    </row>
    <row r="1861" spans="1:11" x14ac:dyDescent="0.2">
      <c r="A1861">
        <v>2003630</v>
      </c>
      <c r="B1861">
        <v>2020</v>
      </c>
      <c r="C1861" t="s">
        <v>6</v>
      </c>
      <c r="D1861" t="s">
        <v>7</v>
      </c>
      <c r="E1861" t="s">
        <v>8</v>
      </c>
      <c r="F1861">
        <v>5135</v>
      </c>
      <c r="G1861" t="s">
        <v>183</v>
      </c>
      <c r="H1861" s="1">
        <v>1647199</v>
      </c>
      <c r="I1861" s="1">
        <v>0</v>
      </c>
      <c r="J1861" s="1">
        <v>1647199</v>
      </c>
      <c r="K1861">
        <f>VLOOKUP(F1861,'LEAID Match'!$A$2:$C$2979,3,FALSE)</f>
        <v>2003630</v>
      </c>
    </row>
    <row r="1862" spans="1:11" x14ac:dyDescent="0.2">
      <c r="A1862">
        <v>2012600</v>
      </c>
      <c r="B1862">
        <v>2020</v>
      </c>
      <c r="C1862" t="s">
        <v>6</v>
      </c>
      <c r="D1862" t="s">
        <v>7</v>
      </c>
      <c r="E1862" t="s">
        <v>8</v>
      </c>
      <c r="F1862">
        <v>5137</v>
      </c>
      <c r="G1862" s="9" t="s">
        <v>184</v>
      </c>
      <c r="H1862" s="1">
        <v>251537</v>
      </c>
      <c r="I1862" s="1">
        <v>0</v>
      </c>
      <c r="J1862" s="1">
        <v>251537</v>
      </c>
      <c r="K1862">
        <f>VLOOKUP(F1862,'LEAID Match'!$A$2:$C$2979,3,FALSE)</f>
        <v>2012600</v>
      </c>
    </row>
    <row r="1863" spans="1:11" x14ac:dyDescent="0.2">
      <c r="A1863">
        <v>2004260</v>
      </c>
      <c r="B1863">
        <v>2020</v>
      </c>
      <c r="C1863" t="s">
        <v>6</v>
      </c>
      <c r="D1863" t="s">
        <v>7</v>
      </c>
      <c r="E1863" t="s">
        <v>8</v>
      </c>
      <c r="F1863" s="3">
        <v>5138</v>
      </c>
      <c r="G1863" s="3" t="s">
        <v>185</v>
      </c>
      <c r="H1863" s="22">
        <v>260640</v>
      </c>
      <c r="I1863" s="1">
        <v>0</v>
      </c>
      <c r="J1863" s="1">
        <v>260640</v>
      </c>
      <c r="K1863">
        <f>VLOOKUP(F1863,'LEAID Match'!$A$2:$C$2979,3,FALSE)</f>
        <v>2004260</v>
      </c>
    </row>
    <row r="1864" spans="1:11" x14ac:dyDescent="0.2">
      <c r="A1864">
        <v>2012390</v>
      </c>
      <c r="B1864">
        <v>2020</v>
      </c>
      <c r="C1864" t="s">
        <v>6</v>
      </c>
      <c r="D1864" t="s">
        <v>7</v>
      </c>
      <c r="E1864" t="s">
        <v>8</v>
      </c>
      <c r="F1864" s="3">
        <v>5140</v>
      </c>
      <c r="G1864" s="3" t="s">
        <v>186</v>
      </c>
      <c r="H1864" s="1">
        <v>326218</v>
      </c>
      <c r="I1864" s="21">
        <v>0</v>
      </c>
      <c r="J1864" s="21">
        <v>326218</v>
      </c>
      <c r="K1864">
        <f>VLOOKUP(F1864,'LEAID Match'!$A$2:$C$2979,3,FALSE)</f>
        <v>2012390</v>
      </c>
    </row>
    <row r="1865" spans="1:11" x14ac:dyDescent="0.2">
      <c r="A1865">
        <v>0</v>
      </c>
      <c r="B1865">
        <v>2020</v>
      </c>
      <c r="C1865" t="s">
        <v>6</v>
      </c>
      <c r="D1865" t="s">
        <v>7</v>
      </c>
      <c r="E1865" t="s">
        <v>8</v>
      </c>
      <c r="F1865" s="3">
        <v>5141</v>
      </c>
      <c r="G1865" s="3" t="s">
        <v>187</v>
      </c>
      <c r="H1865" s="1">
        <v>412710</v>
      </c>
      <c r="I1865" s="1">
        <v>0</v>
      </c>
      <c r="J1865" s="1">
        <v>412710</v>
      </c>
      <c r="K1865">
        <f>VLOOKUP(F1865,'LEAID Match'!$A$2:$C$2979,3,FALSE)</f>
        <v>0</v>
      </c>
    </row>
    <row r="1866" spans="1:11" x14ac:dyDescent="0.2">
      <c r="A1866">
        <v>2006990</v>
      </c>
      <c r="B1866">
        <v>2020</v>
      </c>
      <c r="C1866" t="s">
        <v>6</v>
      </c>
      <c r="D1866" t="s">
        <v>7</v>
      </c>
      <c r="E1866" t="s">
        <v>8</v>
      </c>
      <c r="F1866">
        <v>5142</v>
      </c>
      <c r="G1866" t="s">
        <v>188</v>
      </c>
      <c r="H1866" s="1">
        <v>103293</v>
      </c>
      <c r="I1866" s="1">
        <v>0</v>
      </c>
      <c r="J1866" s="1">
        <v>103293</v>
      </c>
      <c r="K1866">
        <f>VLOOKUP(F1866,'LEAID Match'!$A$2:$C$2979,3,FALSE)</f>
        <v>2006990</v>
      </c>
    </row>
    <row r="1867" spans="1:11" x14ac:dyDescent="0.2">
      <c r="A1867">
        <v>2010020</v>
      </c>
      <c r="B1867">
        <v>2020</v>
      </c>
      <c r="C1867" t="s">
        <v>6</v>
      </c>
      <c r="D1867" t="s">
        <v>7</v>
      </c>
      <c r="E1867" t="s">
        <v>8</v>
      </c>
      <c r="F1867">
        <v>5143</v>
      </c>
      <c r="G1867" t="s">
        <v>189</v>
      </c>
      <c r="H1867" s="1">
        <v>661303</v>
      </c>
      <c r="I1867" s="1">
        <v>0</v>
      </c>
      <c r="J1867" s="1">
        <v>661303</v>
      </c>
      <c r="K1867">
        <f>VLOOKUP(F1867,'LEAID Match'!$A$2:$C$2979,3,FALSE)</f>
        <v>2010020</v>
      </c>
    </row>
    <row r="1868" spans="1:11" x14ac:dyDescent="0.2">
      <c r="A1868">
        <v>2005400</v>
      </c>
      <c r="B1868">
        <v>2020</v>
      </c>
      <c r="C1868" t="s">
        <v>6</v>
      </c>
      <c r="D1868" t="s">
        <v>7</v>
      </c>
      <c r="E1868" t="s">
        <v>8</v>
      </c>
      <c r="F1868">
        <v>5144</v>
      </c>
      <c r="G1868" t="s">
        <v>190</v>
      </c>
      <c r="H1868" s="1">
        <v>272348</v>
      </c>
      <c r="I1868" s="1">
        <v>0</v>
      </c>
      <c r="J1868" s="1">
        <v>272348</v>
      </c>
      <c r="K1868">
        <f>VLOOKUP(F1868,'LEAID Match'!$A$2:$C$2979,3,FALSE)</f>
        <v>2005400</v>
      </c>
    </row>
    <row r="1869" spans="1:11" x14ac:dyDescent="0.2">
      <c r="A1869">
        <v>0</v>
      </c>
      <c r="B1869">
        <v>2020</v>
      </c>
      <c r="C1869" t="s">
        <v>6</v>
      </c>
      <c r="D1869" t="s">
        <v>7</v>
      </c>
      <c r="E1869" t="s">
        <v>8</v>
      </c>
      <c r="F1869">
        <v>5145</v>
      </c>
      <c r="G1869" t="s">
        <v>191</v>
      </c>
      <c r="H1869" s="20">
        <v>282822</v>
      </c>
      <c r="I1869" s="1">
        <v>0</v>
      </c>
      <c r="J1869" s="1">
        <v>282822</v>
      </c>
      <c r="K1869">
        <f>VLOOKUP(F1869,'LEAID Match'!$A$2:$C$2979,3,FALSE)</f>
        <v>0</v>
      </c>
    </row>
    <row r="1870" spans="1:11" x14ac:dyDescent="0.2">
      <c r="A1870">
        <v>2005490</v>
      </c>
      <c r="B1870">
        <v>2020</v>
      </c>
      <c r="C1870" t="s">
        <v>6</v>
      </c>
      <c r="D1870" t="s">
        <v>7</v>
      </c>
      <c r="E1870" t="s">
        <v>8</v>
      </c>
      <c r="F1870">
        <v>5147</v>
      </c>
      <c r="G1870" t="s">
        <v>192</v>
      </c>
      <c r="H1870" s="1">
        <v>6347531</v>
      </c>
      <c r="I1870" s="1">
        <v>0</v>
      </c>
      <c r="J1870" s="1">
        <v>6347531</v>
      </c>
      <c r="K1870">
        <f>VLOOKUP(F1870,'LEAID Match'!$A$2:$C$2979,3,FALSE)</f>
        <v>2005490</v>
      </c>
    </row>
    <row r="1871" spans="1:11" x14ac:dyDescent="0.2">
      <c r="A1871">
        <v>2009570</v>
      </c>
      <c r="B1871">
        <v>2020</v>
      </c>
      <c r="C1871" t="s">
        <v>6</v>
      </c>
      <c r="D1871" t="s">
        <v>7</v>
      </c>
      <c r="E1871" t="s">
        <v>8</v>
      </c>
      <c r="F1871">
        <v>5148</v>
      </c>
      <c r="G1871" s="9" t="s">
        <v>193</v>
      </c>
      <c r="H1871" s="1">
        <v>622428</v>
      </c>
      <c r="I1871" s="1">
        <v>0</v>
      </c>
      <c r="J1871" s="1">
        <v>622428</v>
      </c>
      <c r="K1871">
        <f>VLOOKUP(F1871,'LEAID Match'!$A$2:$C$2979,3,FALSE)</f>
        <v>2009570</v>
      </c>
    </row>
    <row r="1872" spans="1:11" x14ac:dyDescent="0.2">
      <c r="A1872">
        <v>2004290</v>
      </c>
      <c r="B1872">
        <v>2020</v>
      </c>
      <c r="C1872" t="s">
        <v>6</v>
      </c>
      <c r="D1872" t="s">
        <v>7</v>
      </c>
      <c r="E1872" t="s">
        <v>8</v>
      </c>
      <c r="F1872" s="3">
        <v>5149</v>
      </c>
      <c r="G1872" s="3" t="s">
        <v>194</v>
      </c>
      <c r="H1872" s="22">
        <v>1291447</v>
      </c>
      <c r="I1872" s="1">
        <v>0</v>
      </c>
      <c r="J1872" s="1">
        <v>1291447</v>
      </c>
      <c r="K1872">
        <f>VLOOKUP(F1872,'LEAID Match'!$A$2:$C$2979,3,FALSE)</f>
        <v>2004290</v>
      </c>
    </row>
    <row r="1873" spans="1:11" x14ac:dyDescent="0.2">
      <c r="A1873">
        <v>2007740</v>
      </c>
      <c r="B1873">
        <v>2020</v>
      </c>
      <c r="C1873" t="s">
        <v>6</v>
      </c>
      <c r="D1873" t="s">
        <v>7</v>
      </c>
      <c r="E1873" t="s">
        <v>8</v>
      </c>
      <c r="F1873" s="3">
        <v>5150</v>
      </c>
      <c r="G1873" s="3" t="s">
        <v>247</v>
      </c>
      <c r="H1873" s="1">
        <v>1077531</v>
      </c>
      <c r="I1873" s="21">
        <v>0</v>
      </c>
      <c r="J1873" s="21">
        <v>1077531</v>
      </c>
      <c r="K1873">
        <f>VLOOKUP(F1873,'LEAID Match'!$A$2:$C$2979,3,FALSE)</f>
        <v>2007740</v>
      </c>
    </row>
    <row r="1874" spans="1:11" x14ac:dyDescent="0.2">
      <c r="A1874">
        <v>2010050</v>
      </c>
      <c r="B1874">
        <v>2020</v>
      </c>
      <c r="C1874" t="s">
        <v>6</v>
      </c>
      <c r="D1874" t="s">
        <v>7</v>
      </c>
      <c r="E1874" t="s">
        <v>8</v>
      </c>
      <c r="F1874" s="3">
        <v>5151</v>
      </c>
      <c r="G1874" s="3" t="s">
        <v>196</v>
      </c>
      <c r="H1874" s="1">
        <v>376257</v>
      </c>
      <c r="I1874" s="1">
        <v>0</v>
      </c>
      <c r="J1874" s="1">
        <v>376257</v>
      </c>
      <c r="K1874">
        <f>VLOOKUP(F1874,'LEAID Match'!$A$2:$C$2979,3,FALSE)</f>
        <v>2010050</v>
      </c>
    </row>
    <row r="1875" spans="1:11" x14ac:dyDescent="0.2">
      <c r="A1875">
        <v>2007500</v>
      </c>
      <c r="B1875">
        <v>2020</v>
      </c>
      <c r="C1875" t="s">
        <v>6</v>
      </c>
      <c r="D1875" t="s">
        <v>7</v>
      </c>
      <c r="E1875" t="s">
        <v>8</v>
      </c>
      <c r="F1875">
        <v>5152</v>
      </c>
      <c r="G1875" t="s">
        <v>197</v>
      </c>
      <c r="H1875" s="1">
        <v>674901</v>
      </c>
      <c r="I1875" s="1">
        <v>0</v>
      </c>
      <c r="J1875" s="1">
        <v>674901</v>
      </c>
      <c r="K1875">
        <f>VLOOKUP(F1875,'LEAID Match'!$A$2:$C$2979,3,FALSE)</f>
        <v>2007500</v>
      </c>
    </row>
    <row r="1876" spans="1:11" x14ac:dyDescent="0.2">
      <c r="A1876">
        <v>2005760</v>
      </c>
      <c r="B1876">
        <v>2020</v>
      </c>
      <c r="C1876" t="s">
        <v>6</v>
      </c>
      <c r="D1876" t="s">
        <v>7</v>
      </c>
      <c r="E1876" t="s">
        <v>8</v>
      </c>
      <c r="F1876">
        <v>5153</v>
      </c>
      <c r="G1876" t="s">
        <v>198</v>
      </c>
      <c r="H1876" s="1">
        <v>146116</v>
      </c>
      <c r="I1876" s="1">
        <v>0</v>
      </c>
      <c r="J1876" s="1">
        <v>146116</v>
      </c>
      <c r="K1876">
        <f>VLOOKUP(F1876,'LEAID Match'!$A$2:$C$2979,3,FALSE)</f>
        <v>2005760</v>
      </c>
    </row>
    <row r="1877" spans="1:11" x14ac:dyDescent="0.2">
      <c r="A1877">
        <v>2012120</v>
      </c>
      <c r="B1877">
        <v>2020</v>
      </c>
      <c r="C1877" t="s">
        <v>6</v>
      </c>
      <c r="D1877" t="s">
        <v>7</v>
      </c>
      <c r="E1877" t="s">
        <v>8</v>
      </c>
      <c r="F1877">
        <v>5154</v>
      </c>
      <c r="G1877" t="s">
        <v>199</v>
      </c>
      <c r="H1877" s="1">
        <v>234556</v>
      </c>
      <c r="I1877" s="1">
        <v>0</v>
      </c>
      <c r="J1877" s="1">
        <v>234556</v>
      </c>
      <c r="K1877">
        <f>VLOOKUP(F1877,'LEAID Match'!$A$2:$C$2979,3,FALSE)</f>
        <v>2012120</v>
      </c>
    </row>
    <row r="1878" spans="1:11" x14ac:dyDescent="0.2">
      <c r="A1878">
        <v>2010920</v>
      </c>
      <c r="B1878">
        <v>2020</v>
      </c>
      <c r="C1878" t="s">
        <v>6</v>
      </c>
      <c r="D1878" t="s">
        <v>7</v>
      </c>
      <c r="E1878" t="s">
        <v>8</v>
      </c>
      <c r="F1878">
        <v>5155</v>
      </c>
      <c r="G1878" t="s">
        <v>200</v>
      </c>
      <c r="H1878" s="20">
        <v>286194</v>
      </c>
      <c r="I1878" s="1">
        <v>0</v>
      </c>
      <c r="J1878" s="1">
        <v>286194</v>
      </c>
      <c r="K1878">
        <f>VLOOKUP(F1878,'LEAID Match'!$A$2:$C$2979,3,FALSE)</f>
        <v>2010920</v>
      </c>
    </row>
    <row r="1879" spans="1:11" x14ac:dyDescent="0.2">
      <c r="A1879">
        <v>2005010</v>
      </c>
      <c r="B1879">
        <v>2020</v>
      </c>
      <c r="C1879" t="s">
        <v>6</v>
      </c>
      <c r="D1879" t="s">
        <v>7</v>
      </c>
      <c r="E1879" t="s">
        <v>8</v>
      </c>
      <c r="F1879">
        <v>5156</v>
      </c>
      <c r="G1879" t="s">
        <v>201</v>
      </c>
      <c r="H1879" s="1">
        <v>769631</v>
      </c>
      <c r="I1879" s="1">
        <v>0</v>
      </c>
      <c r="J1879" s="1">
        <v>769631</v>
      </c>
      <c r="K1879">
        <f>VLOOKUP(F1879,'LEAID Match'!$A$2:$C$2979,3,FALSE)</f>
        <v>2005010</v>
      </c>
    </row>
    <row r="1880" spans="1:11" x14ac:dyDescent="0.2">
      <c r="A1880">
        <v>2008910</v>
      </c>
      <c r="B1880">
        <v>2020</v>
      </c>
      <c r="C1880" t="s">
        <v>6</v>
      </c>
      <c r="D1880" t="s">
        <v>7</v>
      </c>
      <c r="E1880" t="s">
        <v>8</v>
      </c>
      <c r="F1880">
        <v>5157</v>
      </c>
      <c r="G1880" s="9" t="s">
        <v>202</v>
      </c>
      <c r="H1880" s="1">
        <v>164566</v>
      </c>
      <c r="I1880" s="1">
        <v>0</v>
      </c>
      <c r="J1880" s="1">
        <v>164566</v>
      </c>
      <c r="K1880">
        <f>VLOOKUP(F1880,'LEAID Match'!$A$2:$C$2979,3,FALSE)</f>
        <v>2008910</v>
      </c>
    </row>
    <row r="1881" spans="1:11" x14ac:dyDescent="0.2">
      <c r="A1881">
        <v>2010740</v>
      </c>
      <c r="B1881">
        <v>2020</v>
      </c>
      <c r="C1881" t="s">
        <v>6</v>
      </c>
      <c r="D1881" t="s">
        <v>7</v>
      </c>
      <c r="E1881" t="s">
        <v>8</v>
      </c>
      <c r="F1881" s="3">
        <v>5083</v>
      </c>
      <c r="G1881" s="3" t="s">
        <v>149</v>
      </c>
      <c r="H1881" s="22">
        <v>339735</v>
      </c>
      <c r="I1881" s="1">
        <v>0</v>
      </c>
      <c r="J1881" s="1">
        <v>339735</v>
      </c>
      <c r="K1881">
        <f>VLOOKUP(F1881,'LEAID Match'!$A$2:$C$2979,3,FALSE)</f>
        <v>2010740</v>
      </c>
    </row>
    <row r="1882" spans="1:11" x14ac:dyDescent="0.2">
      <c r="A1882">
        <v>2005100</v>
      </c>
      <c r="B1882">
        <v>2020</v>
      </c>
      <c r="C1882" t="s">
        <v>6</v>
      </c>
      <c r="D1882" t="s">
        <v>7</v>
      </c>
      <c r="E1882" t="s">
        <v>8</v>
      </c>
      <c r="F1882" s="3">
        <v>5159</v>
      </c>
      <c r="G1882" s="3" t="s">
        <v>204</v>
      </c>
      <c r="H1882" s="1">
        <v>1436203</v>
      </c>
      <c r="I1882" s="21">
        <v>0</v>
      </c>
      <c r="J1882" s="21">
        <v>1436203</v>
      </c>
      <c r="K1882">
        <f>VLOOKUP(F1882,'LEAID Match'!$A$2:$C$2979,3,FALSE)</f>
        <v>2005100</v>
      </c>
    </row>
    <row r="1883" spans="1:11" x14ac:dyDescent="0.2">
      <c r="A1883">
        <v>2008100</v>
      </c>
      <c r="B1883">
        <v>2020</v>
      </c>
      <c r="C1883" t="s">
        <v>6</v>
      </c>
      <c r="D1883" t="s">
        <v>7</v>
      </c>
      <c r="E1883" t="s">
        <v>8</v>
      </c>
      <c r="F1883" s="3">
        <v>5160</v>
      </c>
      <c r="G1883" s="3" t="s">
        <v>205</v>
      </c>
      <c r="H1883" s="1">
        <v>307954</v>
      </c>
      <c r="I1883" s="1">
        <v>0</v>
      </c>
      <c r="J1883" s="1">
        <v>307954</v>
      </c>
      <c r="K1883">
        <f>VLOOKUP(F1883,'LEAID Match'!$A$2:$C$2979,3,FALSE)</f>
        <v>2008100</v>
      </c>
    </row>
    <row r="1884" spans="1:11" x14ac:dyDescent="0.2">
      <c r="A1884">
        <v>2005130</v>
      </c>
      <c r="B1884">
        <v>2020</v>
      </c>
      <c r="C1884" t="s">
        <v>6</v>
      </c>
      <c r="D1884" t="s">
        <v>7</v>
      </c>
      <c r="E1884" t="s">
        <v>8</v>
      </c>
      <c r="F1884">
        <v>5161</v>
      </c>
      <c r="G1884" t="s">
        <v>206</v>
      </c>
      <c r="H1884" s="1">
        <v>446975</v>
      </c>
      <c r="I1884" s="1">
        <v>0</v>
      </c>
      <c r="J1884" s="1">
        <v>446975</v>
      </c>
      <c r="K1884">
        <f>VLOOKUP(F1884,'LEAID Match'!$A$2:$C$2979,3,FALSE)</f>
        <v>2005130</v>
      </c>
    </row>
    <row r="1885" spans="1:11" x14ac:dyDescent="0.2">
      <c r="A1885">
        <v>2005700</v>
      </c>
      <c r="B1885">
        <v>2020</v>
      </c>
      <c r="C1885" t="s">
        <v>6</v>
      </c>
      <c r="D1885" t="s">
        <v>7</v>
      </c>
      <c r="E1885" t="s">
        <v>8</v>
      </c>
      <c r="F1885">
        <v>5162</v>
      </c>
      <c r="G1885" t="s">
        <v>207</v>
      </c>
      <c r="H1885" s="1">
        <v>449012</v>
      </c>
      <c r="I1885" s="1">
        <v>0</v>
      </c>
      <c r="J1885" s="1">
        <v>449012</v>
      </c>
      <c r="K1885">
        <f>VLOOKUP(F1885,'LEAID Match'!$A$2:$C$2979,3,FALSE)</f>
        <v>2005700</v>
      </c>
    </row>
    <row r="1886" spans="1:11" x14ac:dyDescent="0.2">
      <c r="A1886">
        <v>2008220</v>
      </c>
      <c r="B1886">
        <v>2020</v>
      </c>
      <c r="C1886" t="s">
        <v>6</v>
      </c>
      <c r="D1886" t="s">
        <v>7</v>
      </c>
      <c r="E1886" t="s">
        <v>8</v>
      </c>
      <c r="F1886">
        <v>5163</v>
      </c>
      <c r="G1886" t="s">
        <v>208</v>
      </c>
      <c r="H1886" s="1">
        <v>314074</v>
      </c>
      <c r="I1886" s="1">
        <v>0</v>
      </c>
      <c r="J1886" s="1">
        <v>314074</v>
      </c>
      <c r="K1886">
        <f>VLOOKUP(F1886,'LEAID Match'!$A$2:$C$2979,3,FALSE)</f>
        <v>2008220</v>
      </c>
    </row>
    <row r="1887" spans="1:11" x14ac:dyDescent="0.2">
      <c r="A1887">
        <v>2007530</v>
      </c>
      <c r="B1887">
        <v>2020</v>
      </c>
      <c r="C1887" t="s">
        <v>6</v>
      </c>
      <c r="D1887" t="s">
        <v>7</v>
      </c>
      <c r="E1887" t="s">
        <v>8</v>
      </c>
      <c r="F1887">
        <v>5164</v>
      </c>
      <c r="G1887" t="s">
        <v>209</v>
      </c>
      <c r="H1887" s="20">
        <v>378574</v>
      </c>
      <c r="I1887" s="1">
        <v>0</v>
      </c>
      <c r="J1887" s="1">
        <v>378574</v>
      </c>
      <c r="K1887">
        <f>VLOOKUP(F1887,'LEAID Match'!$A$2:$C$2979,3,FALSE)</f>
        <v>2007530</v>
      </c>
    </row>
    <row r="1888" spans="1:11" x14ac:dyDescent="0.2">
      <c r="A1888">
        <v>2012330</v>
      </c>
      <c r="B1888">
        <v>2020</v>
      </c>
      <c r="C1888" t="s">
        <v>6</v>
      </c>
      <c r="D1888" t="s">
        <v>7</v>
      </c>
      <c r="E1888" t="s">
        <v>8</v>
      </c>
      <c r="F1888">
        <v>5166</v>
      </c>
      <c r="G1888" t="s">
        <v>210</v>
      </c>
      <c r="H1888" s="1">
        <v>264567</v>
      </c>
      <c r="I1888" s="1">
        <v>0</v>
      </c>
      <c r="J1888" s="1">
        <v>264567</v>
      </c>
      <c r="K1888">
        <f>VLOOKUP(F1888,'LEAID Match'!$A$2:$C$2979,3,FALSE)</f>
        <v>2012330</v>
      </c>
    </row>
    <row r="1889" spans="1:11" x14ac:dyDescent="0.2">
      <c r="A1889">
        <v>2007470</v>
      </c>
      <c r="B1889">
        <v>2020</v>
      </c>
      <c r="C1889" t="s">
        <v>6</v>
      </c>
      <c r="D1889" t="s">
        <v>7</v>
      </c>
      <c r="E1889" t="s">
        <v>8</v>
      </c>
      <c r="F1889">
        <v>5167</v>
      </c>
      <c r="G1889" s="9" t="s">
        <v>211</v>
      </c>
      <c r="H1889" s="1">
        <v>633937</v>
      </c>
      <c r="I1889" s="1">
        <v>0</v>
      </c>
      <c r="J1889" s="1">
        <v>633937</v>
      </c>
      <c r="K1889">
        <f>VLOOKUP(F1889,'LEAID Match'!$A$2:$C$2979,3,FALSE)</f>
        <v>2007470</v>
      </c>
    </row>
    <row r="1890" spans="1:11" x14ac:dyDescent="0.2">
      <c r="A1890">
        <v>2007320</v>
      </c>
      <c r="B1890">
        <v>2020</v>
      </c>
      <c r="C1890" t="s">
        <v>6</v>
      </c>
      <c r="D1890" t="s">
        <v>7</v>
      </c>
      <c r="E1890" t="s">
        <v>8</v>
      </c>
      <c r="F1890" s="3">
        <v>5168</v>
      </c>
      <c r="G1890" s="3" t="s">
        <v>212</v>
      </c>
      <c r="H1890" s="22">
        <v>673880</v>
      </c>
      <c r="I1890" s="1">
        <v>0</v>
      </c>
      <c r="J1890" s="1">
        <v>673880</v>
      </c>
      <c r="K1890">
        <f>VLOOKUP(F1890,'LEAID Match'!$A$2:$C$2979,3,FALSE)</f>
        <v>2007320</v>
      </c>
    </row>
    <row r="1891" spans="1:11" x14ac:dyDescent="0.2">
      <c r="A1891">
        <v>2008880</v>
      </c>
      <c r="B1891">
        <v>2020</v>
      </c>
      <c r="C1891" t="s">
        <v>6</v>
      </c>
      <c r="D1891" t="s">
        <v>7</v>
      </c>
      <c r="E1891" t="s">
        <v>8</v>
      </c>
      <c r="F1891" s="3">
        <v>5171</v>
      </c>
      <c r="G1891" s="3" t="s">
        <v>213</v>
      </c>
      <c r="H1891" s="1">
        <v>290349</v>
      </c>
      <c r="I1891" s="21">
        <v>0</v>
      </c>
      <c r="J1891" s="21">
        <v>290349</v>
      </c>
      <c r="K1891">
        <f>VLOOKUP(F1891,'LEAID Match'!$A$2:$C$2979,3,FALSE)</f>
        <v>2008880</v>
      </c>
    </row>
    <row r="1892" spans="1:11" x14ac:dyDescent="0.2">
      <c r="A1892">
        <v>2004740</v>
      </c>
      <c r="B1892">
        <v>2020</v>
      </c>
      <c r="C1892" t="s">
        <v>6</v>
      </c>
      <c r="D1892" t="s">
        <v>7</v>
      </c>
      <c r="E1892" t="s">
        <v>8</v>
      </c>
      <c r="F1892" s="3">
        <v>5172</v>
      </c>
      <c r="G1892" s="3" t="s">
        <v>214</v>
      </c>
      <c r="H1892" s="1">
        <v>780787</v>
      </c>
      <c r="I1892" s="1">
        <v>0</v>
      </c>
      <c r="J1892" s="1">
        <v>780787</v>
      </c>
      <c r="K1892">
        <f>VLOOKUP(F1892,'LEAID Match'!$A$2:$C$2979,3,FALSE)</f>
        <v>2004740</v>
      </c>
    </row>
    <row r="1893" spans="1:11" x14ac:dyDescent="0.2">
      <c r="A1893">
        <v>2007860</v>
      </c>
      <c r="B1893">
        <v>2020</v>
      </c>
      <c r="C1893" t="s">
        <v>6</v>
      </c>
      <c r="D1893" t="s">
        <v>7</v>
      </c>
      <c r="E1893" t="s">
        <v>8</v>
      </c>
      <c r="F1893">
        <v>5173</v>
      </c>
      <c r="G1893" t="s">
        <v>215</v>
      </c>
      <c r="H1893" s="1">
        <v>437077</v>
      </c>
      <c r="I1893" s="1">
        <v>0</v>
      </c>
      <c r="J1893" s="1">
        <v>437077</v>
      </c>
      <c r="K1893">
        <f>VLOOKUP(F1893,'LEAID Match'!$A$2:$C$2979,3,FALSE)</f>
        <v>2007860</v>
      </c>
    </row>
    <row r="1894" spans="1:11" x14ac:dyDescent="0.2">
      <c r="A1894">
        <v>2007170</v>
      </c>
      <c r="B1894">
        <v>2020</v>
      </c>
      <c r="C1894" t="s">
        <v>6</v>
      </c>
      <c r="D1894" t="s">
        <v>7</v>
      </c>
      <c r="E1894" t="s">
        <v>8</v>
      </c>
      <c r="F1894">
        <v>5174</v>
      </c>
      <c r="G1894" t="s">
        <v>216</v>
      </c>
      <c r="H1894" s="1">
        <v>666460</v>
      </c>
      <c r="I1894" s="1">
        <v>0</v>
      </c>
      <c r="J1894" s="1">
        <v>666460</v>
      </c>
      <c r="K1894">
        <f>VLOOKUP(F1894,'LEAID Match'!$A$2:$C$2979,3,FALSE)</f>
        <v>2007170</v>
      </c>
    </row>
    <row r="1895" spans="1:11" x14ac:dyDescent="0.2">
      <c r="A1895">
        <v>2004230</v>
      </c>
      <c r="B1895">
        <v>2020</v>
      </c>
      <c r="C1895" t="s">
        <v>6</v>
      </c>
      <c r="D1895" t="s">
        <v>7</v>
      </c>
      <c r="E1895" t="s">
        <v>8</v>
      </c>
      <c r="F1895">
        <v>5175</v>
      </c>
      <c r="G1895" t="s">
        <v>217</v>
      </c>
      <c r="H1895" s="1">
        <v>321737</v>
      </c>
      <c r="I1895" s="1">
        <v>0</v>
      </c>
      <c r="J1895" s="1">
        <v>321737</v>
      </c>
      <c r="K1895">
        <f>VLOOKUP(F1895,'LEAID Match'!$A$2:$C$2979,3,FALSE)</f>
        <v>2004230</v>
      </c>
    </row>
    <row r="1896" spans="1:11" x14ac:dyDescent="0.2">
      <c r="A1896">
        <v>2008340</v>
      </c>
      <c r="B1896">
        <v>2020</v>
      </c>
      <c r="C1896" t="s">
        <v>6</v>
      </c>
      <c r="D1896" t="s">
        <v>7</v>
      </c>
      <c r="E1896" t="s">
        <v>8</v>
      </c>
      <c r="F1896">
        <v>5176</v>
      </c>
      <c r="G1896" t="s">
        <v>218</v>
      </c>
      <c r="H1896" s="20">
        <v>2567588</v>
      </c>
      <c r="I1896" s="1">
        <v>0</v>
      </c>
      <c r="J1896" s="1">
        <v>2567588</v>
      </c>
      <c r="K1896">
        <f>VLOOKUP(F1896,'LEAID Match'!$A$2:$C$2979,3,FALSE)</f>
        <v>2008340</v>
      </c>
    </row>
    <row r="1897" spans="1:11" x14ac:dyDescent="0.2">
      <c r="A1897">
        <v>2012000</v>
      </c>
      <c r="B1897">
        <v>2020</v>
      </c>
      <c r="C1897" t="s">
        <v>6</v>
      </c>
      <c r="D1897" t="s">
        <v>7</v>
      </c>
      <c r="E1897" t="s">
        <v>8</v>
      </c>
      <c r="F1897">
        <v>5185</v>
      </c>
      <c r="G1897" t="s">
        <v>219</v>
      </c>
      <c r="H1897" s="1">
        <v>23087976</v>
      </c>
      <c r="I1897" s="1">
        <v>0</v>
      </c>
      <c r="J1897" s="1">
        <v>23087976</v>
      </c>
      <c r="K1897">
        <f>VLOOKUP(F1897,'LEAID Match'!$A$2:$C$2979,3,FALSE)</f>
        <v>2012000</v>
      </c>
    </row>
    <row r="1898" spans="1:11" x14ac:dyDescent="0.2">
      <c r="A1898">
        <v>2000007</v>
      </c>
      <c r="B1898">
        <v>2020</v>
      </c>
      <c r="C1898" t="s">
        <v>6</v>
      </c>
      <c r="D1898" t="s">
        <v>7</v>
      </c>
      <c r="E1898" t="s">
        <v>8</v>
      </c>
      <c r="F1898">
        <v>5186</v>
      </c>
      <c r="G1898" s="9" t="s">
        <v>220</v>
      </c>
      <c r="H1898" s="1">
        <v>429128</v>
      </c>
      <c r="I1898" s="1">
        <v>0</v>
      </c>
      <c r="J1898" s="1">
        <v>429128</v>
      </c>
      <c r="K1898">
        <f>VLOOKUP(F1898,'LEAID Match'!$A$2:$C$2979,3,FALSE)</f>
        <v>2000007</v>
      </c>
    </row>
    <row r="1899" spans="1:11" x14ac:dyDescent="0.2">
      <c r="A1899">
        <v>2003960</v>
      </c>
      <c r="B1899">
        <v>2020</v>
      </c>
      <c r="C1899" t="s">
        <v>6</v>
      </c>
      <c r="D1899" t="s">
        <v>7</v>
      </c>
      <c r="E1899" t="s">
        <v>8</v>
      </c>
      <c r="F1899" s="3">
        <v>5187</v>
      </c>
      <c r="G1899" s="3" t="s">
        <v>221</v>
      </c>
      <c r="H1899" s="22">
        <v>547078</v>
      </c>
      <c r="I1899" s="1">
        <v>0</v>
      </c>
      <c r="J1899" s="1">
        <v>547078</v>
      </c>
      <c r="K1899">
        <f>VLOOKUP(F1899,'LEAID Match'!$A$2:$C$2979,3,FALSE)</f>
        <v>2003960</v>
      </c>
    </row>
    <row r="1900" spans="1:11" x14ac:dyDescent="0.2">
      <c r="A1900">
        <v>2012060</v>
      </c>
      <c r="B1900">
        <v>2020</v>
      </c>
      <c r="C1900" t="s">
        <v>6</v>
      </c>
      <c r="D1900" t="s">
        <v>7</v>
      </c>
      <c r="E1900" t="s">
        <v>8</v>
      </c>
      <c r="F1900" s="3">
        <v>5188</v>
      </c>
      <c r="G1900" s="3" t="s">
        <v>222</v>
      </c>
      <c r="H1900" s="1">
        <v>310583</v>
      </c>
      <c r="I1900" s="21">
        <v>0</v>
      </c>
      <c r="J1900" s="21">
        <v>310583</v>
      </c>
      <c r="K1900">
        <f>VLOOKUP(F1900,'LEAID Match'!$A$2:$C$2979,3,FALSE)</f>
        <v>2012060</v>
      </c>
    </row>
    <row r="1901" spans="1:11" x14ac:dyDescent="0.2">
      <c r="A1901">
        <v>2006780</v>
      </c>
      <c r="B1901">
        <v>2020</v>
      </c>
      <c r="C1901" t="s">
        <v>6</v>
      </c>
      <c r="D1901" t="s">
        <v>7</v>
      </c>
      <c r="E1901" t="s">
        <v>8</v>
      </c>
      <c r="F1901" s="3">
        <v>5189</v>
      </c>
      <c r="G1901" s="3" t="s">
        <v>223</v>
      </c>
      <c r="H1901" s="1">
        <v>104234</v>
      </c>
      <c r="I1901" s="1">
        <v>0</v>
      </c>
      <c r="J1901" s="1">
        <v>104234</v>
      </c>
      <c r="K1901">
        <f>VLOOKUP(F1901,'LEAID Match'!$A$2:$C$2979,3,FALSE)</f>
        <v>2006780</v>
      </c>
    </row>
    <row r="1902" spans="1:11" x14ac:dyDescent="0.2">
      <c r="A1902">
        <v>2011880</v>
      </c>
      <c r="B1902">
        <v>2020</v>
      </c>
      <c r="C1902" t="s">
        <v>6</v>
      </c>
      <c r="D1902" t="s">
        <v>7</v>
      </c>
      <c r="E1902" t="s">
        <v>8</v>
      </c>
      <c r="F1902">
        <v>5190</v>
      </c>
      <c r="G1902" t="s">
        <v>224</v>
      </c>
      <c r="H1902" s="1">
        <v>326603</v>
      </c>
      <c r="I1902" s="1">
        <v>0</v>
      </c>
      <c r="J1902" s="1">
        <v>326603</v>
      </c>
      <c r="K1902">
        <f>VLOOKUP(F1902,'LEAID Match'!$A$2:$C$2979,3,FALSE)</f>
        <v>2011880</v>
      </c>
    </row>
    <row r="1903" spans="1:11" x14ac:dyDescent="0.2">
      <c r="A1903">
        <v>2009990</v>
      </c>
      <c r="B1903">
        <v>2020</v>
      </c>
      <c r="C1903" t="s">
        <v>6</v>
      </c>
      <c r="D1903" t="s">
        <v>7</v>
      </c>
      <c r="E1903" t="s">
        <v>8</v>
      </c>
      <c r="F1903">
        <v>5191</v>
      </c>
      <c r="G1903" t="s">
        <v>225</v>
      </c>
      <c r="H1903" s="1">
        <v>1072505</v>
      </c>
      <c r="I1903" s="1">
        <v>0</v>
      </c>
      <c r="J1903" s="1">
        <v>1072505</v>
      </c>
      <c r="K1903">
        <f>VLOOKUP(F1903,'LEAID Match'!$A$2:$C$2979,3,FALSE)</f>
        <v>2009990</v>
      </c>
    </row>
    <row r="1904" spans="1:11" x14ac:dyDescent="0.2">
      <c r="A1904">
        <v>2008310</v>
      </c>
      <c r="B1904">
        <v>2020</v>
      </c>
      <c r="C1904" t="s">
        <v>6</v>
      </c>
      <c r="D1904" t="s">
        <v>7</v>
      </c>
      <c r="E1904" t="s">
        <v>8</v>
      </c>
      <c r="F1904">
        <v>5192</v>
      </c>
      <c r="G1904" t="s">
        <v>226</v>
      </c>
      <c r="H1904" s="1">
        <v>359967</v>
      </c>
      <c r="I1904" s="1">
        <v>0</v>
      </c>
      <c r="J1904" s="1">
        <v>359967</v>
      </c>
      <c r="K1904">
        <f>VLOOKUP(F1904,'LEAID Match'!$A$2:$C$2979,3,FALSE)</f>
        <v>2008310</v>
      </c>
    </row>
    <row r="1905" spans="1:11" x14ac:dyDescent="0.2">
      <c r="A1905">
        <v>2004200</v>
      </c>
      <c r="B1905">
        <v>2020</v>
      </c>
      <c r="C1905" t="s">
        <v>6</v>
      </c>
      <c r="D1905" t="s">
        <v>7</v>
      </c>
      <c r="E1905" t="s">
        <v>8</v>
      </c>
      <c r="F1905">
        <v>5193</v>
      </c>
      <c r="G1905" t="s">
        <v>227</v>
      </c>
      <c r="H1905" s="20">
        <v>1780514</v>
      </c>
      <c r="I1905" s="1">
        <v>0</v>
      </c>
      <c r="J1905" s="1">
        <v>1780514</v>
      </c>
      <c r="K1905">
        <f>VLOOKUP(F1905,'LEAID Match'!$A$2:$C$2979,3,FALSE)</f>
        <v>2004200</v>
      </c>
    </row>
    <row r="1906" spans="1:11" x14ac:dyDescent="0.2">
      <c r="A1906">
        <v>2000004</v>
      </c>
      <c r="B1906">
        <v>2020</v>
      </c>
      <c r="C1906" t="s">
        <v>6</v>
      </c>
      <c r="D1906" t="s">
        <v>7</v>
      </c>
      <c r="E1906" t="s">
        <v>8</v>
      </c>
      <c r="F1906">
        <v>5195</v>
      </c>
      <c r="G1906" t="s">
        <v>228</v>
      </c>
      <c r="H1906" s="1">
        <v>772310</v>
      </c>
      <c r="I1906" s="1">
        <v>0</v>
      </c>
      <c r="J1906" s="1">
        <v>772310</v>
      </c>
      <c r="K1906">
        <f>VLOOKUP(F1906,'LEAID Match'!$A$2:$C$2979,3,FALSE)</f>
        <v>2000004</v>
      </c>
    </row>
    <row r="1907" spans="1:11" x14ac:dyDescent="0.2">
      <c r="A1907">
        <v>2010320</v>
      </c>
      <c r="B1907">
        <v>2020</v>
      </c>
      <c r="C1907" t="s">
        <v>6</v>
      </c>
      <c r="D1907" t="s">
        <v>7</v>
      </c>
      <c r="E1907" t="s">
        <v>8</v>
      </c>
      <c r="F1907">
        <v>5196</v>
      </c>
      <c r="G1907" s="9" t="s">
        <v>229</v>
      </c>
      <c r="H1907" s="1">
        <v>592698</v>
      </c>
      <c r="I1907" s="1">
        <v>0</v>
      </c>
      <c r="J1907" s="1">
        <v>592698</v>
      </c>
      <c r="K1907">
        <f>VLOOKUP(F1907,'LEAID Match'!$A$2:$C$2979,3,FALSE)</f>
        <v>2010320</v>
      </c>
    </row>
    <row r="1908" spans="1:11" x14ac:dyDescent="0.2">
      <c r="A1908">
        <v>2009060</v>
      </c>
      <c r="B1908">
        <v>2020</v>
      </c>
      <c r="C1908" t="s">
        <v>6</v>
      </c>
      <c r="D1908" t="s">
        <v>7</v>
      </c>
      <c r="E1908" t="s">
        <v>8</v>
      </c>
      <c r="F1908" s="3">
        <v>5197</v>
      </c>
      <c r="G1908" s="3" t="s">
        <v>230</v>
      </c>
      <c r="H1908" s="22">
        <v>308201</v>
      </c>
      <c r="I1908" s="1">
        <v>0</v>
      </c>
      <c r="J1908" s="1">
        <v>308201</v>
      </c>
      <c r="K1908">
        <f>VLOOKUP(F1908,'LEAID Match'!$A$2:$C$2979,3,FALSE)</f>
        <v>2009060</v>
      </c>
    </row>
    <row r="1909" spans="1:11" x14ac:dyDescent="0.2">
      <c r="A1909">
        <v>2012840</v>
      </c>
      <c r="B1909">
        <v>2020</v>
      </c>
      <c r="C1909" t="s">
        <v>6</v>
      </c>
      <c r="D1909" t="s">
        <v>7</v>
      </c>
      <c r="E1909" t="s">
        <v>8</v>
      </c>
      <c r="F1909" s="3">
        <v>5198</v>
      </c>
      <c r="G1909" s="3" t="s">
        <v>231</v>
      </c>
      <c r="H1909" s="1">
        <v>1529227</v>
      </c>
      <c r="I1909" s="21">
        <v>0</v>
      </c>
      <c r="J1909" s="21">
        <v>1529227</v>
      </c>
      <c r="K1909">
        <f>VLOOKUP(F1909,'LEAID Match'!$A$2:$C$2979,3,FALSE)</f>
        <v>2012840</v>
      </c>
    </row>
    <row r="1910" spans="1:11" x14ac:dyDescent="0.2">
      <c r="A1910">
        <v>2005820</v>
      </c>
      <c r="B1910">
        <v>2020</v>
      </c>
      <c r="C1910" t="s">
        <v>6</v>
      </c>
      <c r="D1910" t="s">
        <v>7</v>
      </c>
      <c r="E1910" t="s">
        <v>8</v>
      </c>
      <c r="F1910" s="3">
        <v>5199</v>
      </c>
      <c r="G1910" s="3" t="s">
        <v>232</v>
      </c>
      <c r="H1910" s="1">
        <v>453970</v>
      </c>
      <c r="I1910" s="1">
        <v>0</v>
      </c>
      <c r="J1910" s="1">
        <v>453970</v>
      </c>
      <c r="K1910">
        <f>VLOOKUP(F1910,'LEAID Match'!$A$2:$C$2979,3,FALSE)</f>
        <v>2005820</v>
      </c>
    </row>
    <row r="1911" spans="1:11" x14ac:dyDescent="0.2">
      <c r="A1911">
        <v>2008250</v>
      </c>
      <c r="B1911">
        <v>2020</v>
      </c>
      <c r="C1911" t="s">
        <v>6</v>
      </c>
      <c r="D1911" t="s">
        <v>7</v>
      </c>
      <c r="E1911" t="s">
        <v>8</v>
      </c>
      <c r="F1911">
        <v>5200</v>
      </c>
      <c r="G1911" t="s">
        <v>233</v>
      </c>
      <c r="H1911" s="1">
        <v>1096321</v>
      </c>
      <c r="I1911" s="1">
        <v>0</v>
      </c>
      <c r="J1911" s="1">
        <v>1096321</v>
      </c>
      <c r="K1911">
        <f>VLOOKUP(F1911,'LEAID Match'!$A$2:$C$2979,3,FALSE)</f>
        <v>2008250</v>
      </c>
    </row>
    <row r="1912" spans="1:11" x14ac:dyDescent="0.2">
      <c r="A1912">
        <v>2004350</v>
      </c>
      <c r="B1912">
        <v>2020</v>
      </c>
      <c r="C1912" t="s">
        <v>6</v>
      </c>
      <c r="D1912" t="s">
        <v>7</v>
      </c>
      <c r="E1912" t="s">
        <v>8</v>
      </c>
      <c r="F1912">
        <v>5201</v>
      </c>
      <c r="G1912" t="s">
        <v>234</v>
      </c>
      <c r="H1912" s="1">
        <v>239196</v>
      </c>
      <c r="I1912" s="1">
        <v>0</v>
      </c>
      <c r="J1912" s="1">
        <v>239196</v>
      </c>
      <c r="K1912">
        <f>VLOOKUP(F1912,'LEAID Match'!$A$2:$C$2979,3,FALSE)</f>
        <v>2004350</v>
      </c>
    </row>
    <row r="1913" spans="1:11" x14ac:dyDescent="0.2">
      <c r="A1913">
        <v>2010290</v>
      </c>
      <c r="B1913">
        <v>2020</v>
      </c>
      <c r="C1913" t="s">
        <v>6</v>
      </c>
      <c r="D1913" t="s">
        <v>7</v>
      </c>
      <c r="E1913" t="s">
        <v>8</v>
      </c>
      <c r="F1913">
        <v>5202</v>
      </c>
      <c r="G1913" t="s">
        <v>235</v>
      </c>
      <c r="H1913" s="1">
        <v>285399</v>
      </c>
      <c r="I1913" s="1">
        <v>0</v>
      </c>
      <c r="J1913" s="1">
        <v>285399</v>
      </c>
      <c r="K1913">
        <f>VLOOKUP(F1913,'LEAID Match'!$A$2:$C$2979,3,FALSE)</f>
        <v>2010290</v>
      </c>
    </row>
    <row r="1914" spans="1:11" x14ac:dyDescent="0.2">
      <c r="A1914">
        <v>2000002</v>
      </c>
      <c r="B1914">
        <v>2020</v>
      </c>
      <c r="C1914" t="s">
        <v>6</v>
      </c>
      <c r="D1914" t="s">
        <v>7</v>
      </c>
      <c r="E1914" t="s">
        <v>8</v>
      </c>
      <c r="F1914">
        <v>5203</v>
      </c>
      <c r="G1914" t="s">
        <v>236</v>
      </c>
      <c r="H1914" s="20">
        <v>799143</v>
      </c>
      <c r="I1914" s="1">
        <v>0</v>
      </c>
      <c r="J1914" s="1">
        <v>799143</v>
      </c>
      <c r="K1914">
        <f>VLOOKUP(F1914,'LEAID Match'!$A$2:$C$2979,3,FALSE)</f>
        <v>2000002</v>
      </c>
    </row>
    <row r="1915" spans="1:11" x14ac:dyDescent="0.2">
      <c r="A1915">
        <v>2009030</v>
      </c>
      <c r="B1915">
        <v>2020</v>
      </c>
      <c r="C1915" t="s">
        <v>6</v>
      </c>
      <c r="D1915" t="s">
        <v>7</v>
      </c>
      <c r="E1915" t="s">
        <v>8</v>
      </c>
      <c r="F1915">
        <v>5204</v>
      </c>
      <c r="G1915" t="s">
        <v>237</v>
      </c>
      <c r="H1915" s="1">
        <v>1171279</v>
      </c>
      <c r="I1915" s="1">
        <v>0</v>
      </c>
      <c r="J1915" s="1">
        <v>1171279</v>
      </c>
      <c r="K1915">
        <f>VLOOKUP(F1915,'LEAID Match'!$A$2:$C$2979,3,FALSE)</f>
        <v>2009030</v>
      </c>
    </row>
    <row r="1916" spans="1:11" x14ac:dyDescent="0.2">
      <c r="A1916">
        <v>2009240</v>
      </c>
      <c r="B1916">
        <v>2020</v>
      </c>
      <c r="C1916" t="s">
        <v>6</v>
      </c>
      <c r="D1916" t="s">
        <v>7</v>
      </c>
      <c r="E1916" t="s">
        <v>8</v>
      </c>
      <c r="F1916">
        <v>5205</v>
      </c>
      <c r="G1916" s="9" t="s">
        <v>238</v>
      </c>
      <c r="H1916" s="1">
        <v>508692</v>
      </c>
      <c r="I1916" s="1">
        <v>0</v>
      </c>
      <c r="J1916" s="1">
        <v>508692</v>
      </c>
      <c r="K1916">
        <f>VLOOKUP(F1916,'LEAID Match'!$A$2:$C$2979,3,FALSE)</f>
        <v>2009240</v>
      </c>
    </row>
    <row r="1917" spans="1:11" x14ac:dyDescent="0.2">
      <c r="A1917">
        <v>2007290</v>
      </c>
      <c r="B1917">
        <v>2020</v>
      </c>
      <c r="C1917" t="s">
        <v>6</v>
      </c>
      <c r="D1917" t="s">
        <v>7</v>
      </c>
      <c r="E1917" t="s">
        <v>8</v>
      </c>
      <c r="F1917" s="3">
        <v>5206</v>
      </c>
      <c r="G1917" s="3" t="s">
        <v>239</v>
      </c>
      <c r="H1917" s="22">
        <v>563888</v>
      </c>
      <c r="I1917" s="1">
        <v>0</v>
      </c>
      <c r="J1917" s="1">
        <v>563888</v>
      </c>
      <c r="K1917">
        <f>VLOOKUP(F1917,'LEAID Match'!$A$2:$C$2979,3,FALSE)</f>
        <v>2007290</v>
      </c>
    </row>
    <row r="1918" spans="1:11" x14ac:dyDescent="0.2">
      <c r="A1918">
        <v>2008970</v>
      </c>
      <c r="B1918">
        <v>2020</v>
      </c>
      <c r="C1918" t="s">
        <v>6</v>
      </c>
      <c r="D1918" t="s">
        <v>7</v>
      </c>
      <c r="E1918" t="s">
        <v>8</v>
      </c>
      <c r="F1918" s="3">
        <v>5207</v>
      </c>
      <c r="G1918" s="3" t="s">
        <v>240</v>
      </c>
      <c r="H1918" s="1">
        <v>1186270</v>
      </c>
      <c r="I1918" s="21">
        <v>0</v>
      </c>
      <c r="J1918" s="21">
        <v>1186270</v>
      </c>
      <c r="K1918">
        <f>VLOOKUP(F1918,'LEAID Match'!$A$2:$C$2979,3,FALSE)</f>
        <v>2008970</v>
      </c>
    </row>
    <row r="1919" spans="1:11" x14ac:dyDescent="0.2">
      <c r="A1919">
        <v>2009780</v>
      </c>
      <c r="B1919">
        <v>2020</v>
      </c>
      <c r="C1919" t="s">
        <v>6</v>
      </c>
      <c r="D1919" t="s">
        <v>7</v>
      </c>
      <c r="E1919" t="s">
        <v>8</v>
      </c>
      <c r="F1919" s="3">
        <v>5208</v>
      </c>
      <c r="G1919" s="3" t="s">
        <v>241</v>
      </c>
      <c r="H1919" s="1">
        <v>389776</v>
      </c>
      <c r="I1919" s="1">
        <v>0</v>
      </c>
      <c r="J1919" s="1">
        <v>389776</v>
      </c>
      <c r="K1919">
        <f>VLOOKUP(F1919,'LEAID Match'!$A$2:$C$2979,3,FALSE)</f>
        <v>2009780</v>
      </c>
    </row>
    <row r="1920" spans="1:11" x14ac:dyDescent="0.2">
      <c r="A1920">
        <v>2006660</v>
      </c>
      <c r="B1920">
        <v>2020</v>
      </c>
      <c r="C1920" t="s">
        <v>6</v>
      </c>
      <c r="D1920" t="s">
        <v>7</v>
      </c>
      <c r="E1920" t="s">
        <v>8</v>
      </c>
      <c r="F1920">
        <v>5210</v>
      </c>
      <c r="G1920" t="s">
        <v>242</v>
      </c>
      <c r="H1920" s="1">
        <v>3691530</v>
      </c>
      <c r="I1920" s="1">
        <v>0</v>
      </c>
      <c r="J1920" s="1">
        <v>3691530</v>
      </c>
      <c r="K1920">
        <f>VLOOKUP(F1920,'LEAID Match'!$A$2:$C$2979,3,FALSE)</f>
        <v>2006660</v>
      </c>
    </row>
    <row r="1921" spans="1:11" x14ac:dyDescent="0.2">
      <c r="A1921">
        <v>2010410</v>
      </c>
      <c r="B1921">
        <v>2020</v>
      </c>
      <c r="C1921" t="s">
        <v>6</v>
      </c>
      <c r="D1921" t="s">
        <v>7</v>
      </c>
      <c r="E1921" t="s">
        <v>8</v>
      </c>
      <c r="F1921">
        <v>5212</v>
      </c>
      <c r="G1921" t="s">
        <v>243</v>
      </c>
      <c r="H1921" s="1">
        <v>886526</v>
      </c>
      <c r="I1921" s="1">
        <v>0</v>
      </c>
      <c r="J1921" s="1">
        <v>886526</v>
      </c>
      <c r="K1921">
        <f>VLOOKUP(F1921,'LEAID Match'!$A$2:$C$2979,3,FALSE)</f>
        <v>2010410</v>
      </c>
    </row>
    <row r="1922" spans="1:11" x14ac:dyDescent="0.2">
      <c r="A1922">
        <v>2004410</v>
      </c>
      <c r="B1922">
        <v>2020</v>
      </c>
      <c r="C1922" t="s">
        <v>6</v>
      </c>
      <c r="D1922" t="s">
        <v>7</v>
      </c>
      <c r="E1922" t="s">
        <v>8</v>
      </c>
      <c r="F1922">
        <v>5213</v>
      </c>
      <c r="G1922" t="s">
        <v>244</v>
      </c>
      <c r="H1922" s="1">
        <v>729212</v>
      </c>
      <c r="I1922" s="1">
        <v>0</v>
      </c>
      <c r="J1922" s="1">
        <v>729212</v>
      </c>
      <c r="K1922">
        <f>VLOOKUP(F1922,'LEAID Match'!$A$2:$C$2979,3,FALSE)</f>
        <v>2004410</v>
      </c>
    </row>
    <row r="1923" spans="1:11" x14ac:dyDescent="0.2">
      <c r="A1923">
        <v>2012180</v>
      </c>
      <c r="B1923">
        <v>2020</v>
      </c>
      <c r="C1923" t="s">
        <v>6</v>
      </c>
      <c r="D1923" t="s">
        <v>7</v>
      </c>
      <c r="E1923" t="s">
        <v>8</v>
      </c>
      <c r="F1923">
        <v>5214</v>
      </c>
      <c r="G1923" t="s">
        <v>245</v>
      </c>
      <c r="H1923" s="20">
        <v>3566237</v>
      </c>
      <c r="I1923" s="1">
        <v>0</v>
      </c>
      <c r="J1923" s="1">
        <v>3566237</v>
      </c>
      <c r="K1923">
        <f>VLOOKUP(F1923,'LEAID Match'!$A$2:$C$2979,3,FALSE)</f>
        <v>2012180</v>
      </c>
    </row>
    <row r="1924" spans="1:11" x14ac:dyDescent="0.2">
      <c r="A1924">
        <v>2000017</v>
      </c>
      <c r="B1924">
        <v>2020</v>
      </c>
      <c r="C1924" t="s">
        <v>6</v>
      </c>
      <c r="D1924" t="s">
        <v>7</v>
      </c>
      <c r="E1924" t="s">
        <v>8</v>
      </c>
      <c r="F1924">
        <v>5215</v>
      </c>
      <c r="G1924" t="s">
        <v>246</v>
      </c>
      <c r="H1924" s="1">
        <v>881443</v>
      </c>
      <c r="I1924" s="1">
        <v>0</v>
      </c>
      <c r="J1924" s="1">
        <v>881443</v>
      </c>
      <c r="K1924">
        <f>VLOOKUP(F1924,'LEAID Match'!$A$2:$C$2979,3,FALSE)</f>
        <v>2000017</v>
      </c>
    </row>
    <row r="1925" spans="1:11" x14ac:dyDescent="0.2">
      <c r="A1925">
        <v>2004620</v>
      </c>
      <c r="B1925">
        <v>2020</v>
      </c>
      <c r="C1925" t="s">
        <v>6</v>
      </c>
      <c r="D1925" t="s">
        <v>7</v>
      </c>
      <c r="E1925" t="s">
        <v>8</v>
      </c>
      <c r="F1925">
        <v>5216</v>
      </c>
      <c r="G1925" s="9" t="s">
        <v>299</v>
      </c>
      <c r="H1925" s="1">
        <v>944989</v>
      </c>
      <c r="I1925" s="1">
        <v>0</v>
      </c>
      <c r="J1925" s="1">
        <v>944989</v>
      </c>
      <c r="K1925">
        <f>VLOOKUP(F1925,'LEAID Match'!$A$2:$C$2979,3,FALSE)</f>
        <v>2004620</v>
      </c>
    </row>
    <row r="1926" spans="1:11" x14ac:dyDescent="0.2">
      <c r="A1926">
        <v>2005190</v>
      </c>
      <c r="B1926">
        <v>2020</v>
      </c>
      <c r="C1926" t="s">
        <v>6</v>
      </c>
      <c r="D1926" t="s">
        <v>7</v>
      </c>
      <c r="E1926" t="s">
        <v>8</v>
      </c>
      <c r="F1926" s="3">
        <v>5217</v>
      </c>
      <c r="G1926" s="3" t="s">
        <v>248</v>
      </c>
      <c r="H1926" s="22">
        <v>138398</v>
      </c>
      <c r="I1926" s="1">
        <v>0</v>
      </c>
      <c r="J1926" s="1">
        <v>138398</v>
      </c>
      <c r="K1926">
        <f>VLOOKUP(F1926,'LEAID Match'!$A$2:$C$2979,3,FALSE)</f>
        <v>2005190</v>
      </c>
    </row>
    <row r="1927" spans="1:11" x14ac:dyDescent="0.2">
      <c r="A1927">
        <v>2007440</v>
      </c>
      <c r="B1927">
        <v>2020</v>
      </c>
      <c r="C1927" t="s">
        <v>6</v>
      </c>
      <c r="D1927" t="s">
        <v>7</v>
      </c>
      <c r="E1927" t="s">
        <v>8</v>
      </c>
      <c r="F1927" s="3">
        <v>5218</v>
      </c>
      <c r="G1927" s="3" t="s">
        <v>249</v>
      </c>
      <c r="H1927" s="1">
        <v>327922</v>
      </c>
      <c r="I1927" s="21">
        <v>0</v>
      </c>
      <c r="J1927" s="21">
        <v>327922</v>
      </c>
      <c r="K1927">
        <f>VLOOKUP(F1927,'LEAID Match'!$A$2:$C$2979,3,FALSE)</f>
        <v>2007440</v>
      </c>
    </row>
    <row r="1928" spans="1:11" x14ac:dyDescent="0.2">
      <c r="A1928">
        <v>2011610</v>
      </c>
      <c r="B1928">
        <v>2020</v>
      </c>
      <c r="C1928" t="s">
        <v>6</v>
      </c>
      <c r="D1928" t="s">
        <v>7</v>
      </c>
      <c r="E1928" t="s">
        <v>8</v>
      </c>
      <c r="F1928" s="3">
        <v>5219</v>
      </c>
      <c r="G1928" s="3" t="s">
        <v>250</v>
      </c>
      <c r="H1928" s="1">
        <v>229043</v>
      </c>
      <c r="I1928" s="1">
        <v>0</v>
      </c>
      <c r="J1928" s="1">
        <v>229043</v>
      </c>
      <c r="K1928">
        <f>VLOOKUP(F1928,'LEAID Match'!$A$2:$C$2979,3,FALSE)</f>
        <v>2011610</v>
      </c>
    </row>
    <row r="1929" spans="1:11" x14ac:dyDescent="0.2">
      <c r="A1929">
        <v>2012810</v>
      </c>
      <c r="B1929">
        <v>2020</v>
      </c>
      <c r="C1929" t="s">
        <v>6</v>
      </c>
      <c r="D1929" t="s">
        <v>7</v>
      </c>
      <c r="E1929" t="s">
        <v>8</v>
      </c>
      <c r="F1929">
        <v>5220</v>
      </c>
      <c r="G1929" t="s">
        <v>251</v>
      </c>
      <c r="H1929" s="1">
        <v>479492</v>
      </c>
      <c r="I1929" s="1">
        <v>0</v>
      </c>
      <c r="J1929" s="1">
        <v>479492</v>
      </c>
      <c r="K1929">
        <f>VLOOKUP(F1929,'LEAID Match'!$A$2:$C$2979,3,FALSE)</f>
        <v>2012810</v>
      </c>
    </row>
    <row r="1930" spans="1:11" x14ac:dyDescent="0.2">
      <c r="A1930">
        <v>2005800</v>
      </c>
      <c r="B1930">
        <v>2020</v>
      </c>
      <c r="C1930" t="s">
        <v>6</v>
      </c>
      <c r="D1930" t="s">
        <v>7</v>
      </c>
      <c r="E1930" t="s">
        <v>8</v>
      </c>
      <c r="F1930">
        <v>5222</v>
      </c>
      <c r="G1930" t="s">
        <v>252</v>
      </c>
      <c r="H1930" s="1">
        <v>410064</v>
      </c>
      <c r="I1930" s="1">
        <v>0</v>
      </c>
      <c r="J1930" s="1">
        <v>410064</v>
      </c>
      <c r="K1930">
        <f>VLOOKUP(F1930,'LEAID Match'!$A$2:$C$2979,3,FALSE)</f>
        <v>2005800</v>
      </c>
    </row>
    <row r="1931" spans="1:11" x14ac:dyDescent="0.2">
      <c r="A1931">
        <v>2013020</v>
      </c>
      <c r="B1931">
        <v>2020</v>
      </c>
      <c r="C1931" t="s">
        <v>6</v>
      </c>
      <c r="D1931" t="s">
        <v>7</v>
      </c>
      <c r="E1931" t="s">
        <v>8</v>
      </c>
      <c r="F1931">
        <v>5223</v>
      </c>
      <c r="G1931" t="s">
        <v>253</v>
      </c>
      <c r="H1931" s="1">
        <v>426034</v>
      </c>
      <c r="I1931" s="1">
        <v>0</v>
      </c>
      <c r="J1931" s="1">
        <v>426034</v>
      </c>
      <c r="K1931">
        <f>VLOOKUP(F1931,'LEAID Match'!$A$2:$C$2979,3,FALSE)</f>
        <v>2013020</v>
      </c>
    </row>
    <row r="1932" spans="1:11" x14ac:dyDescent="0.2">
      <c r="A1932">
        <v>2004470</v>
      </c>
      <c r="B1932">
        <v>2020</v>
      </c>
      <c r="C1932" t="s">
        <v>6</v>
      </c>
      <c r="D1932" t="s">
        <v>7</v>
      </c>
      <c r="E1932" t="s">
        <v>8</v>
      </c>
      <c r="F1932">
        <v>5226</v>
      </c>
      <c r="G1932" t="s">
        <v>254</v>
      </c>
      <c r="H1932" s="20">
        <v>257039</v>
      </c>
      <c r="I1932" s="1">
        <v>0</v>
      </c>
      <c r="J1932" s="1">
        <v>257039</v>
      </c>
      <c r="K1932">
        <f>VLOOKUP(F1932,'LEAID Match'!$A$2:$C$2979,3,FALSE)</f>
        <v>2004470</v>
      </c>
    </row>
    <row r="1933" spans="1:11" x14ac:dyDescent="0.2">
      <c r="A1933">
        <v>2000013</v>
      </c>
      <c r="B1933">
        <v>2020</v>
      </c>
      <c r="C1933" t="s">
        <v>6</v>
      </c>
      <c r="D1933" t="s">
        <v>7</v>
      </c>
      <c r="E1933" t="s">
        <v>8</v>
      </c>
      <c r="F1933">
        <v>5227</v>
      </c>
      <c r="G1933" t="s">
        <v>255</v>
      </c>
      <c r="H1933" s="1">
        <v>84254</v>
      </c>
      <c r="I1933" s="1">
        <v>0</v>
      </c>
      <c r="J1933" s="1">
        <v>84254</v>
      </c>
      <c r="K1933">
        <f>VLOOKUP(F1933,'LEAID Match'!$A$2:$C$2979,3,FALSE)</f>
        <v>2000013</v>
      </c>
    </row>
    <row r="1934" spans="1:11" x14ac:dyDescent="0.2">
      <c r="A1934">
        <v>2006630</v>
      </c>
      <c r="B1934">
        <v>2020</v>
      </c>
      <c r="C1934" t="s">
        <v>6</v>
      </c>
      <c r="D1934" t="s">
        <v>7</v>
      </c>
      <c r="E1934" t="s">
        <v>8</v>
      </c>
      <c r="F1934">
        <v>5228</v>
      </c>
      <c r="G1934" s="9" t="s">
        <v>256</v>
      </c>
      <c r="H1934" s="1">
        <v>175828</v>
      </c>
      <c r="I1934" s="1">
        <v>0</v>
      </c>
      <c r="J1934" s="1">
        <v>175828</v>
      </c>
      <c r="K1934">
        <f>VLOOKUP(F1934,'LEAID Match'!$A$2:$C$2979,3,FALSE)</f>
        <v>2006630</v>
      </c>
    </row>
    <row r="1935" spans="1:11" x14ac:dyDescent="0.2">
      <c r="A1935">
        <v>2008070</v>
      </c>
      <c r="B1935">
        <v>2020</v>
      </c>
      <c r="C1935" t="s">
        <v>6</v>
      </c>
      <c r="D1935" t="s">
        <v>7</v>
      </c>
      <c r="E1935" t="s">
        <v>8</v>
      </c>
      <c r="F1935" s="3">
        <v>5158</v>
      </c>
      <c r="G1935" s="3" t="s">
        <v>203</v>
      </c>
      <c r="H1935" s="22">
        <v>823639</v>
      </c>
      <c r="I1935" s="1">
        <v>0</v>
      </c>
      <c r="J1935" s="1">
        <v>823639</v>
      </c>
      <c r="K1935">
        <f>VLOOKUP(F1935,'LEAID Match'!$A$2:$C$2979,3,FALSE)</f>
        <v>2008070</v>
      </c>
    </row>
    <row r="1936" spans="1:11" x14ac:dyDescent="0.2">
      <c r="A1936">
        <v>2006960</v>
      </c>
      <c r="B1936">
        <v>2020</v>
      </c>
      <c r="C1936" t="s">
        <v>6</v>
      </c>
      <c r="D1936" t="s">
        <v>7</v>
      </c>
      <c r="E1936" t="s">
        <v>8</v>
      </c>
      <c r="F1936" s="3">
        <v>5230</v>
      </c>
      <c r="G1936" s="3" t="s">
        <v>258</v>
      </c>
      <c r="H1936" s="1">
        <v>729131</v>
      </c>
      <c r="I1936" s="21">
        <v>0</v>
      </c>
      <c r="J1936" s="21">
        <v>729131</v>
      </c>
      <c r="K1936">
        <f>VLOOKUP(F1936,'LEAID Match'!$A$2:$C$2979,3,FALSE)</f>
        <v>2006960</v>
      </c>
    </row>
    <row r="1937" spans="1:11" x14ac:dyDescent="0.2">
      <c r="A1937">
        <v>2007380</v>
      </c>
      <c r="B1937">
        <v>2020</v>
      </c>
      <c r="C1937" t="s">
        <v>6</v>
      </c>
      <c r="D1937" t="s">
        <v>7</v>
      </c>
      <c r="E1937" t="s">
        <v>8</v>
      </c>
      <c r="F1937" s="3">
        <v>5231</v>
      </c>
      <c r="G1937" s="3" t="s">
        <v>259</v>
      </c>
      <c r="H1937" s="1">
        <v>1623063</v>
      </c>
      <c r="I1937" s="1">
        <v>0</v>
      </c>
      <c r="J1937" s="1">
        <v>1623063</v>
      </c>
      <c r="K1937">
        <f>VLOOKUP(F1937,'LEAID Match'!$A$2:$C$2979,3,FALSE)</f>
        <v>2007380</v>
      </c>
    </row>
    <row r="1938" spans="1:11" x14ac:dyDescent="0.2">
      <c r="A1938">
        <v>2003200</v>
      </c>
      <c r="B1938">
        <v>2020</v>
      </c>
      <c r="C1938" t="s">
        <v>6</v>
      </c>
      <c r="D1938" t="s">
        <v>7</v>
      </c>
      <c r="E1938" t="s">
        <v>8</v>
      </c>
      <c r="F1938">
        <v>5233</v>
      </c>
      <c r="G1938" t="s">
        <v>260</v>
      </c>
      <c r="H1938" s="1">
        <v>6057467</v>
      </c>
      <c r="I1938" s="1">
        <v>0</v>
      </c>
      <c r="J1938" s="1">
        <v>6057467</v>
      </c>
      <c r="K1938">
        <f>VLOOKUP(F1938,'LEAID Match'!$A$2:$C$2979,3,FALSE)</f>
        <v>2003200</v>
      </c>
    </row>
    <row r="1939" spans="1:11" x14ac:dyDescent="0.2">
      <c r="A1939">
        <v>2008040</v>
      </c>
      <c r="B1939">
        <v>2020</v>
      </c>
      <c r="C1939" t="s">
        <v>6</v>
      </c>
      <c r="D1939" t="s">
        <v>7</v>
      </c>
      <c r="E1939" t="s">
        <v>8</v>
      </c>
      <c r="F1939">
        <v>5235</v>
      </c>
      <c r="G1939" t="s">
        <v>261</v>
      </c>
      <c r="H1939" s="1">
        <v>244024</v>
      </c>
      <c r="I1939" s="1">
        <v>0</v>
      </c>
      <c r="J1939" s="1">
        <v>244024</v>
      </c>
      <c r="K1939">
        <f>VLOOKUP(F1939,'LEAID Match'!$A$2:$C$2979,3,FALSE)</f>
        <v>2008040</v>
      </c>
    </row>
    <row r="1940" spans="1:11" x14ac:dyDescent="0.2">
      <c r="A1940">
        <v>2006060</v>
      </c>
      <c r="B1940">
        <v>2020</v>
      </c>
      <c r="C1940" t="s">
        <v>6</v>
      </c>
      <c r="D1940" t="s">
        <v>7</v>
      </c>
      <c r="E1940" t="s">
        <v>8</v>
      </c>
      <c r="F1940">
        <v>5236</v>
      </c>
      <c r="G1940" t="s">
        <v>262</v>
      </c>
      <c r="H1940" s="1">
        <v>558749</v>
      </c>
      <c r="I1940" s="1">
        <v>0</v>
      </c>
      <c r="J1940" s="1">
        <v>558749</v>
      </c>
      <c r="K1940">
        <f>VLOOKUP(F1940,'LEAID Match'!$A$2:$C$2979,3,FALSE)</f>
        <v>2006060</v>
      </c>
    </row>
    <row r="1941" spans="1:11" x14ac:dyDescent="0.2">
      <c r="A1941">
        <v>2006510</v>
      </c>
      <c r="B1941">
        <v>2020</v>
      </c>
      <c r="C1941" t="s">
        <v>6</v>
      </c>
      <c r="D1941" t="s">
        <v>7</v>
      </c>
      <c r="E1941" t="s">
        <v>8</v>
      </c>
      <c r="F1941">
        <v>5237</v>
      </c>
      <c r="G1941" t="s">
        <v>263</v>
      </c>
      <c r="H1941" s="20">
        <v>248332</v>
      </c>
      <c r="I1941" s="1">
        <v>0</v>
      </c>
      <c r="J1941" s="1">
        <v>248332</v>
      </c>
      <c r="K1941">
        <f>VLOOKUP(F1941,'LEAID Match'!$A$2:$C$2979,3,FALSE)</f>
        <v>2006510</v>
      </c>
    </row>
    <row r="1942" spans="1:11" x14ac:dyDescent="0.2">
      <c r="A1942">
        <v>2004170</v>
      </c>
      <c r="B1942">
        <v>2020</v>
      </c>
      <c r="C1942" t="s">
        <v>6</v>
      </c>
      <c r="D1942" t="s">
        <v>7</v>
      </c>
      <c r="E1942" t="s">
        <v>8</v>
      </c>
      <c r="F1942">
        <v>5238</v>
      </c>
      <c r="G1942" t="s">
        <v>264</v>
      </c>
      <c r="H1942" s="1">
        <v>246673</v>
      </c>
      <c r="I1942" s="1">
        <v>0</v>
      </c>
      <c r="J1942" s="1">
        <v>246673</v>
      </c>
      <c r="K1942">
        <f>VLOOKUP(F1942,'LEAID Match'!$A$2:$C$2979,3,FALSE)</f>
        <v>2004170</v>
      </c>
    </row>
    <row r="1943" spans="1:11" x14ac:dyDescent="0.2">
      <c r="A1943">
        <v>2004650</v>
      </c>
      <c r="B1943">
        <v>2020</v>
      </c>
      <c r="C1943" t="s">
        <v>6</v>
      </c>
      <c r="D1943" t="s">
        <v>7</v>
      </c>
      <c r="E1943" t="s">
        <v>8</v>
      </c>
      <c r="F1943">
        <v>5239</v>
      </c>
      <c r="G1943" s="9" t="s">
        <v>265</v>
      </c>
      <c r="H1943" s="1">
        <v>181657</v>
      </c>
      <c r="I1943" s="1">
        <v>0</v>
      </c>
      <c r="J1943" s="1">
        <v>181657</v>
      </c>
      <c r="K1943">
        <f>VLOOKUP(F1943,'LEAID Match'!$A$2:$C$2979,3,FALSE)</f>
        <v>2004650</v>
      </c>
    </row>
    <row r="1944" spans="1:11" x14ac:dyDescent="0.2">
      <c r="A1944">
        <v>2012150</v>
      </c>
      <c r="B1944">
        <v>2020</v>
      </c>
      <c r="C1944" t="s">
        <v>6</v>
      </c>
      <c r="D1944" t="s">
        <v>7</v>
      </c>
      <c r="E1944" t="s">
        <v>8</v>
      </c>
      <c r="F1944" s="3">
        <v>5240</v>
      </c>
      <c r="G1944" s="3" t="s">
        <v>266</v>
      </c>
      <c r="H1944" s="22">
        <v>457609</v>
      </c>
      <c r="I1944" s="1">
        <v>0</v>
      </c>
      <c r="J1944" s="1">
        <v>457609</v>
      </c>
      <c r="K1944">
        <f>VLOOKUP(F1944,'LEAID Match'!$A$2:$C$2979,3,FALSE)</f>
        <v>2012150</v>
      </c>
    </row>
    <row r="1945" spans="1:11" x14ac:dyDescent="0.2">
      <c r="A1945">
        <v>2005040</v>
      </c>
      <c r="B1945">
        <v>2020</v>
      </c>
      <c r="C1945" t="s">
        <v>6</v>
      </c>
      <c r="D1945" t="s">
        <v>7</v>
      </c>
      <c r="E1945" t="s">
        <v>8</v>
      </c>
      <c r="F1945" s="3">
        <v>5241</v>
      </c>
      <c r="G1945" s="3" t="s">
        <v>362</v>
      </c>
      <c r="H1945" s="1">
        <v>265110</v>
      </c>
      <c r="I1945" s="21">
        <v>0</v>
      </c>
      <c r="J1945" s="21">
        <v>265110</v>
      </c>
      <c r="K1945">
        <f>VLOOKUP(F1945,'LEAID Match'!$A$2:$C$2979,3,FALSE)</f>
        <v>2005040</v>
      </c>
    </row>
    <row r="1946" spans="1:11" x14ac:dyDescent="0.2">
      <c r="A1946">
        <v>2000001</v>
      </c>
      <c r="B1946">
        <v>2020</v>
      </c>
      <c r="C1946" t="s">
        <v>6</v>
      </c>
      <c r="D1946" t="s">
        <v>7</v>
      </c>
      <c r="E1946" t="s">
        <v>8</v>
      </c>
      <c r="F1946" s="3">
        <v>5250</v>
      </c>
      <c r="G1946" s="3" t="s">
        <v>268</v>
      </c>
      <c r="H1946" s="1">
        <v>641504</v>
      </c>
      <c r="I1946" s="1">
        <v>0</v>
      </c>
      <c r="J1946" s="1">
        <v>641504</v>
      </c>
      <c r="K1946">
        <f>VLOOKUP(F1946,'LEAID Match'!$A$2:$C$2979,3,FALSE)</f>
        <v>2000001</v>
      </c>
    </row>
    <row r="1947" spans="1:11" x14ac:dyDescent="0.2">
      <c r="A1947">
        <v>2010980</v>
      </c>
      <c r="B1947">
        <v>2020</v>
      </c>
      <c r="C1947" t="s">
        <v>6</v>
      </c>
      <c r="D1947" t="s">
        <v>7</v>
      </c>
      <c r="E1947" t="s">
        <v>8</v>
      </c>
      <c r="F1947">
        <v>5251</v>
      </c>
      <c r="G1947" t="s">
        <v>269</v>
      </c>
      <c r="H1947" s="1">
        <v>220596</v>
      </c>
      <c r="I1947" s="1">
        <v>0</v>
      </c>
      <c r="J1947" s="1">
        <v>220596</v>
      </c>
      <c r="K1947">
        <f>VLOOKUP(F1947,'LEAID Match'!$A$2:$C$2979,3,FALSE)</f>
        <v>2010980</v>
      </c>
    </row>
    <row r="1948" spans="1:11" x14ac:dyDescent="0.2">
      <c r="A1948">
        <v>2008940</v>
      </c>
      <c r="B1948">
        <v>2020</v>
      </c>
      <c r="C1948" t="s">
        <v>6</v>
      </c>
      <c r="D1948" t="s">
        <v>7</v>
      </c>
      <c r="E1948" t="s">
        <v>8</v>
      </c>
      <c r="F1948">
        <v>5267</v>
      </c>
      <c r="G1948" t="s">
        <v>270</v>
      </c>
      <c r="H1948" s="1">
        <v>254864</v>
      </c>
      <c r="I1948" s="1">
        <v>0</v>
      </c>
      <c r="J1948" s="1">
        <v>254864</v>
      </c>
      <c r="K1948">
        <f>VLOOKUP(F1948,'LEAID Match'!$A$2:$C$2979,3,FALSE)</f>
        <v>2008940</v>
      </c>
    </row>
    <row r="1949" spans="1:11" x14ac:dyDescent="0.2">
      <c r="A1949">
        <v>2003510</v>
      </c>
      <c r="B1949">
        <v>2020</v>
      </c>
      <c r="C1949" t="s">
        <v>6</v>
      </c>
      <c r="D1949" t="s">
        <v>7</v>
      </c>
      <c r="E1949" t="s">
        <v>8</v>
      </c>
      <c r="F1949">
        <v>5268</v>
      </c>
      <c r="G1949" t="s">
        <v>271</v>
      </c>
      <c r="H1949" s="1">
        <v>250475</v>
      </c>
      <c r="I1949" s="1">
        <v>0</v>
      </c>
      <c r="J1949" s="1">
        <v>250475</v>
      </c>
      <c r="K1949">
        <f>VLOOKUP(F1949,'LEAID Match'!$A$2:$C$2979,3,FALSE)</f>
        <v>2003510</v>
      </c>
    </row>
    <row r="1950" spans="1:11" x14ac:dyDescent="0.2">
      <c r="A1950">
        <v>2004950</v>
      </c>
      <c r="B1950">
        <v>2020</v>
      </c>
      <c r="C1950" t="s">
        <v>6</v>
      </c>
      <c r="D1950" t="s">
        <v>7</v>
      </c>
      <c r="E1950" t="s">
        <v>8</v>
      </c>
      <c r="F1950">
        <v>5270</v>
      </c>
      <c r="G1950" t="s">
        <v>272</v>
      </c>
      <c r="H1950" s="20">
        <v>349886</v>
      </c>
      <c r="I1950" s="1">
        <v>0</v>
      </c>
      <c r="J1950" s="1">
        <v>349886</v>
      </c>
      <c r="K1950">
        <f>VLOOKUP(F1950,'LEAID Match'!$A$2:$C$2979,3,FALSE)</f>
        <v>2004950</v>
      </c>
    </row>
    <row r="1951" spans="1:11" x14ac:dyDescent="0.2">
      <c r="A1951">
        <v>2006210</v>
      </c>
      <c r="B1951">
        <v>2020</v>
      </c>
      <c r="C1951" t="s">
        <v>6</v>
      </c>
      <c r="D1951" t="s">
        <v>7</v>
      </c>
      <c r="E1951" t="s">
        <v>8</v>
      </c>
      <c r="F1951">
        <v>5271</v>
      </c>
      <c r="G1951" t="s">
        <v>273</v>
      </c>
      <c r="H1951" s="1">
        <v>156200</v>
      </c>
      <c r="I1951" s="1">
        <v>0</v>
      </c>
      <c r="J1951" s="1">
        <v>156200</v>
      </c>
      <c r="K1951">
        <f>VLOOKUP(F1951,'LEAID Match'!$A$2:$C$2979,3,FALSE)</f>
        <v>2006210</v>
      </c>
    </row>
    <row r="1952" spans="1:11" x14ac:dyDescent="0.2">
      <c r="A1952">
        <v>2011850</v>
      </c>
      <c r="B1952">
        <v>2020</v>
      </c>
      <c r="C1952" t="s">
        <v>6</v>
      </c>
      <c r="D1952" t="s">
        <v>7</v>
      </c>
      <c r="E1952" t="s">
        <v>8</v>
      </c>
      <c r="F1952">
        <v>5272</v>
      </c>
      <c r="G1952" s="9" t="s">
        <v>274</v>
      </c>
      <c r="H1952" s="1">
        <v>3623727</v>
      </c>
      <c r="I1952" s="1">
        <v>0</v>
      </c>
      <c r="J1952" s="1">
        <v>3623727</v>
      </c>
      <c r="K1952">
        <f>VLOOKUP(F1952,'LEAID Match'!$A$2:$C$2979,3,FALSE)</f>
        <v>2011850</v>
      </c>
    </row>
    <row r="1953" spans="1:11" x14ac:dyDescent="0.2">
      <c r="A1953">
        <v>2006300</v>
      </c>
      <c r="B1953">
        <v>2020</v>
      </c>
      <c r="C1953" t="s">
        <v>6</v>
      </c>
      <c r="D1953" t="s">
        <v>7</v>
      </c>
      <c r="E1953" t="s">
        <v>8</v>
      </c>
      <c r="F1953" s="3">
        <v>5274</v>
      </c>
      <c r="G1953" s="3" t="s">
        <v>275</v>
      </c>
      <c r="H1953" s="22">
        <v>807943</v>
      </c>
      <c r="I1953" s="1">
        <v>0</v>
      </c>
      <c r="J1953" s="1">
        <v>807943</v>
      </c>
      <c r="K1953">
        <f>VLOOKUP(F1953,'LEAID Match'!$A$2:$C$2979,3,FALSE)</f>
        <v>2006300</v>
      </c>
    </row>
    <row r="1954" spans="1:11" x14ac:dyDescent="0.2">
      <c r="A1954">
        <v>2009840</v>
      </c>
      <c r="B1954">
        <v>2020</v>
      </c>
      <c r="C1954" t="s">
        <v>6</v>
      </c>
      <c r="D1954" t="s">
        <v>7</v>
      </c>
      <c r="E1954" t="s">
        <v>8</v>
      </c>
      <c r="F1954" s="3">
        <v>5275</v>
      </c>
      <c r="G1954" s="3" t="s">
        <v>276</v>
      </c>
      <c r="H1954" s="1">
        <v>1853575</v>
      </c>
      <c r="I1954" s="21">
        <v>0</v>
      </c>
      <c r="J1954" s="21">
        <v>1853575</v>
      </c>
      <c r="K1954">
        <f>VLOOKUP(F1954,'LEAID Match'!$A$2:$C$2979,3,FALSE)</f>
        <v>2009840</v>
      </c>
    </row>
    <row r="1955" spans="1:11" x14ac:dyDescent="0.2">
      <c r="A1955">
        <v>2004920</v>
      </c>
      <c r="B1955">
        <v>2020</v>
      </c>
      <c r="C1955" t="s">
        <v>6</v>
      </c>
      <c r="D1955" t="s">
        <v>7</v>
      </c>
      <c r="E1955" t="s">
        <v>8</v>
      </c>
      <c r="F1955" s="3">
        <v>5276</v>
      </c>
      <c r="G1955" s="3" t="s">
        <v>277</v>
      </c>
      <c r="H1955" s="1">
        <v>942464</v>
      </c>
      <c r="I1955" s="1">
        <v>0</v>
      </c>
      <c r="J1955" s="1">
        <v>942464</v>
      </c>
      <c r="K1955">
        <f>VLOOKUP(F1955,'LEAID Match'!$A$2:$C$2979,3,FALSE)</f>
        <v>2004920</v>
      </c>
    </row>
    <row r="1956" spans="1:11" x14ac:dyDescent="0.2">
      <c r="A1956">
        <v>2010950</v>
      </c>
      <c r="B1956">
        <v>2020</v>
      </c>
      <c r="C1956" t="s">
        <v>6</v>
      </c>
      <c r="D1956" t="s">
        <v>7</v>
      </c>
      <c r="E1956" t="s">
        <v>8</v>
      </c>
      <c r="F1956">
        <v>5278</v>
      </c>
      <c r="G1956" t="s">
        <v>278</v>
      </c>
      <c r="H1956" s="1">
        <v>284578</v>
      </c>
      <c r="I1956" s="1">
        <v>0</v>
      </c>
      <c r="J1956" s="1">
        <v>284578</v>
      </c>
      <c r="K1956">
        <f>VLOOKUP(F1956,'LEAID Match'!$A$2:$C$2979,3,FALSE)</f>
        <v>2010950</v>
      </c>
    </row>
    <row r="1957" spans="1:11" x14ac:dyDescent="0.2">
      <c r="A1957">
        <v>2007620</v>
      </c>
      <c r="B1957">
        <v>2020</v>
      </c>
      <c r="C1957" t="s">
        <v>6</v>
      </c>
      <c r="D1957" t="s">
        <v>7</v>
      </c>
      <c r="E1957" t="s">
        <v>8</v>
      </c>
      <c r="F1957">
        <v>5280</v>
      </c>
      <c r="G1957" t="s">
        <v>279</v>
      </c>
      <c r="H1957" s="1">
        <v>5130966</v>
      </c>
      <c r="I1957" s="1">
        <v>0</v>
      </c>
      <c r="J1957" s="1">
        <v>5130966</v>
      </c>
      <c r="K1957">
        <f>VLOOKUP(F1957,'LEAID Match'!$A$2:$C$2979,3,FALSE)</f>
        <v>2007620</v>
      </c>
    </row>
    <row r="1958" spans="1:11" x14ac:dyDescent="0.2">
      <c r="A1958">
        <v>2011040</v>
      </c>
      <c r="B1958">
        <v>2020</v>
      </c>
      <c r="C1958" t="s">
        <v>6</v>
      </c>
      <c r="D1958" t="s">
        <v>7</v>
      </c>
      <c r="E1958" t="s">
        <v>8</v>
      </c>
      <c r="F1958">
        <v>5281</v>
      </c>
      <c r="G1958" t="s">
        <v>280</v>
      </c>
      <c r="H1958" s="1">
        <v>236757</v>
      </c>
      <c r="I1958" s="1">
        <v>0</v>
      </c>
      <c r="J1958" s="1">
        <v>236757</v>
      </c>
      <c r="K1958">
        <f>VLOOKUP(F1958,'LEAID Match'!$A$2:$C$2979,3,FALSE)</f>
        <v>2011040</v>
      </c>
    </row>
    <row r="1959" spans="1:11" x14ac:dyDescent="0.2">
      <c r="A1959">
        <v>2010650</v>
      </c>
      <c r="B1959">
        <v>2020</v>
      </c>
      <c r="C1959" t="s">
        <v>6</v>
      </c>
      <c r="D1959" t="s">
        <v>7</v>
      </c>
      <c r="E1959" t="s">
        <v>8</v>
      </c>
      <c r="F1959">
        <v>5283</v>
      </c>
      <c r="G1959" t="s">
        <v>281</v>
      </c>
      <c r="H1959" s="20">
        <v>513558</v>
      </c>
      <c r="I1959" s="1">
        <v>0</v>
      </c>
      <c r="J1959" s="1">
        <v>513558</v>
      </c>
      <c r="K1959">
        <f>VLOOKUP(F1959,'LEAID Match'!$A$2:$C$2979,3,FALSE)</f>
        <v>2010650</v>
      </c>
    </row>
    <row r="1960" spans="1:11" x14ac:dyDescent="0.2">
      <c r="A1960">
        <v>2009510</v>
      </c>
      <c r="B1960">
        <v>2020</v>
      </c>
      <c r="C1960" t="s">
        <v>6</v>
      </c>
      <c r="D1960" t="s">
        <v>7</v>
      </c>
      <c r="E1960" t="s">
        <v>8</v>
      </c>
      <c r="F1960">
        <v>5284</v>
      </c>
      <c r="G1960" t="s">
        <v>282</v>
      </c>
      <c r="H1960" s="1">
        <v>652503</v>
      </c>
      <c r="I1960" s="1">
        <v>0</v>
      </c>
      <c r="J1960" s="1">
        <v>652503</v>
      </c>
      <c r="K1960">
        <f>VLOOKUP(F1960,'LEAID Match'!$A$2:$C$2979,3,FALSE)</f>
        <v>2009510</v>
      </c>
    </row>
    <row r="1961" spans="1:11" x14ac:dyDescent="0.2">
      <c r="A1961">
        <v>2010770</v>
      </c>
      <c r="B1961">
        <v>2020</v>
      </c>
      <c r="C1961" t="s">
        <v>6</v>
      </c>
      <c r="D1961" t="s">
        <v>7</v>
      </c>
      <c r="E1961" t="s">
        <v>8</v>
      </c>
      <c r="F1961">
        <v>5285</v>
      </c>
      <c r="G1961" s="9" t="s">
        <v>283</v>
      </c>
      <c r="H1961" s="1">
        <v>385543</v>
      </c>
      <c r="I1961" s="1">
        <v>0</v>
      </c>
      <c r="J1961" s="1">
        <v>385543</v>
      </c>
      <c r="K1961">
        <f>VLOOKUP(F1961,'LEAID Match'!$A$2:$C$2979,3,FALSE)</f>
        <v>2010770</v>
      </c>
    </row>
    <row r="1962" spans="1:11" x14ac:dyDescent="0.2">
      <c r="A1962">
        <v>2011910</v>
      </c>
      <c r="B1962">
        <v>2020</v>
      </c>
      <c r="C1962" t="s">
        <v>6</v>
      </c>
      <c r="D1962" t="s">
        <v>7</v>
      </c>
      <c r="E1962" t="s">
        <v>8</v>
      </c>
      <c r="F1962" s="3">
        <v>5286</v>
      </c>
      <c r="G1962" s="3" t="s">
        <v>284</v>
      </c>
      <c r="H1962" s="22">
        <v>350557</v>
      </c>
      <c r="I1962" s="1">
        <v>0</v>
      </c>
      <c r="J1962" s="1">
        <v>350557</v>
      </c>
      <c r="K1962">
        <f>VLOOKUP(F1962,'LEAID Match'!$A$2:$C$2979,3,FALSE)</f>
        <v>2011910</v>
      </c>
    </row>
    <row r="1963" spans="1:11" x14ac:dyDescent="0.2">
      <c r="A1963">
        <v>2003900</v>
      </c>
      <c r="B1963">
        <v>2020</v>
      </c>
      <c r="C1963" t="s">
        <v>6</v>
      </c>
      <c r="D1963" t="s">
        <v>7</v>
      </c>
      <c r="E1963" t="s">
        <v>8</v>
      </c>
      <c r="F1963" s="3">
        <v>5287</v>
      </c>
      <c r="G1963" s="3" t="s">
        <v>285</v>
      </c>
      <c r="H1963" s="1">
        <v>598359</v>
      </c>
      <c r="I1963" s="21">
        <v>0</v>
      </c>
      <c r="J1963" s="21">
        <v>598359</v>
      </c>
      <c r="K1963">
        <f>VLOOKUP(F1963,'LEAID Match'!$A$2:$C$2979,3,FALSE)</f>
        <v>2003900</v>
      </c>
    </row>
    <row r="1964" spans="1:11" x14ac:dyDescent="0.2">
      <c r="A1964">
        <v>2010440</v>
      </c>
      <c r="B1964">
        <v>2020</v>
      </c>
      <c r="C1964" t="s">
        <v>6</v>
      </c>
      <c r="D1964" t="s">
        <v>7</v>
      </c>
      <c r="E1964" t="s">
        <v>8</v>
      </c>
      <c r="F1964" s="3">
        <v>5288</v>
      </c>
      <c r="G1964" s="3" t="s">
        <v>286</v>
      </c>
      <c r="H1964" s="1">
        <v>336189</v>
      </c>
      <c r="I1964" s="1">
        <v>0</v>
      </c>
      <c r="J1964" s="1">
        <v>336189</v>
      </c>
      <c r="K1964">
        <f>VLOOKUP(F1964,'LEAID Match'!$A$2:$C$2979,3,FALSE)</f>
        <v>2010440</v>
      </c>
    </row>
    <row r="1965" spans="1:11" x14ac:dyDescent="0.2">
      <c r="A1965">
        <v>2013110</v>
      </c>
      <c r="B1965">
        <v>2020</v>
      </c>
      <c r="C1965" t="s">
        <v>6</v>
      </c>
      <c r="D1965" t="s">
        <v>7</v>
      </c>
      <c r="E1965" t="s">
        <v>8</v>
      </c>
      <c r="F1965">
        <v>5289</v>
      </c>
      <c r="G1965" t="s">
        <v>287</v>
      </c>
      <c r="H1965" s="1">
        <v>505674</v>
      </c>
      <c r="I1965" s="1">
        <v>0</v>
      </c>
      <c r="J1965" s="1">
        <v>505674</v>
      </c>
      <c r="K1965">
        <f>VLOOKUP(F1965,'LEAID Match'!$A$2:$C$2979,3,FALSE)</f>
        <v>2013110</v>
      </c>
    </row>
    <row r="1966" spans="1:11" x14ac:dyDescent="0.2">
      <c r="A1966">
        <v>2012090</v>
      </c>
      <c r="B1966">
        <v>2020</v>
      </c>
      <c r="C1966" t="s">
        <v>6</v>
      </c>
      <c r="D1966" t="s">
        <v>7</v>
      </c>
      <c r="E1966" t="s">
        <v>8</v>
      </c>
      <c r="F1966">
        <v>5291</v>
      </c>
      <c r="G1966" t="s">
        <v>288</v>
      </c>
      <c r="H1966" s="1">
        <v>593332</v>
      </c>
      <c r="I1966" s="1">
        <v>0</v>
      </c>
      <c r="J1966" s="1">
        <v>593332</v>
      </c>
      <c r="K1966">
        <f>VLOOKUP(F1966,'LEAID Match'!$A$2:$C$2979,3,FALSE)</f>
        <v>2012090</v>
      </c>
    </row>
    <row r="1967" spans="1:11" x14ac:dyDescent="0.2">
      <c r="A1967">
        <v>2012300</v>
      </c>
      <c r="B1967">
        <v>2020</v>
      </c>
      <c r="C1967" t="s">
        <v>6</v>
      </c>
      <c r="D1967" t="s">
        <v>7</v>
      </c>
      <c r="E1967" t="s">
        <v>8</v>
      </c>
      <c r="F1967">
        <v>5292</v>
      </c>
      <c r="G1967" t="s">
        <v>289</v>
      </c>
      <c r="H1967" s="1">
        <v>1580915</v>
      </c>
      <c r="I1967" s="1">
        <v>0</v>
      </c>
      <c r="J1967" s="1">
        <v>1580915</v>
      </c>
      <c r="K1967">
        <f>VLOOKUP(F1967,'LEAID Match'!$A$2:$C$2979,3,FALSE)</f>
        <v>2012300</v>
      </c>
    </row>
    <row r="1968" spans="1:11" x14ac:dyDescent="0.2">
      <c r="A1968">
        <v>2005850</v>
      </c>
      <c r="B1968">
        <v>2020</v>
      </c>
      <c r="C1968" t="s">
        <v>6</v>
      </c>
      <c r="D1968" t="s">
        <v>7</v>
      </c>
      <c r="E1968" t="s">
        <v>8</v>
      </c>
      <c r="F1968">
        <v>5293</v>
      </c>
      <c r="G1968" t="s">
        <v>290</v>
      </c>
      <c r="H1968" s="20">
        <v>391355</v>
      </c>
      <c r="I1968" s="1">
        <v>0</v>
      </c>
      <c r="J1968" s="1">
        <v>391355</v>
      </c>
      <c r="K1968">
        <f>VLOOKUP(F1968,'LEAID Match'!$A$2:$C$2979,3,FALSE)</f>
        <v>2005850</v>
      </c>
    </row>
    <row r="1969" spans="1:11" x14ac:dyDescent="0.2">
      <c r="A1969">
        <v>2011310</v>
      </c>
      <c r="B1969">
        <v>2020</v>
      </c>
      <c r="C1969" t="s">
        <v>6</v>
      </c>
      <c r="D1969" t="s">
        <v>7</v>
      </c>
      <c r="E1969" t="s">
        <v>8</v>
      </c>
      <c r="F1969">
        <v>5294</v>
      </c>
      <c r="G1969" t="s">
        <v>291</v>
      </c>
      <c r="H1969" s="1">
        <v>870213</v>
      </c>
      <c r="I1969" s="1">
        <v>0</v>
      </c>
      <c r="J1969" s="1">
        <v>870213</v>
      </c>
      <c r="K1969">
        <f>VLOOKUP(F1969,'LEAID Match'!$A$2:$C$2979,3,FALSE)</f>
        <v>2011310</v>
      </c>
    </row>
    <row r="1970" spans="1:11" x14ac:dyDescent="0.2">
      <c r="A1970">
        <v>2006570</v>
      </c>
      <c r="B1970">
        <v>2020</v>
      </c>
      <c r="C1970" t="s">
        <v>6</v>
      </c>
      <c r="D1970" t="s">
        <v>7</v>
      </c>
      <c r="E1970" t="s">
        <v>8</v>
      </c>
      <c r="F1970">
        <v>5295</v>
      </c>
      <c r="G1970" s="9" t="s">
        <v>292</v>
      </c>
      <c r="H1970" s="1">
        <v>271426</v>
      </c>
      <c r="I1970" s="1">
        <v>0</v>
      </c>
      <c r="J1970" s="1">
        <v>271426</v>
      </c>
      <c r="K1970">
        <f>VLOOKUP(F1970,'LEAID Match'!$A$2:$C$2979,3,FALSE)</f>
        <v>2006570</v>
      </c>
    </row>
    <row r="1971" spans="1:11" x14ac:dyDescent="0.2">
      <c r="A1971">
        <v>2003180</v>
      </c>
      <c r="B1971">
        <v>2020</v>
      </c>
      <c r="C1971" t="s">
        <v>6</v>
      </c>
      <c r="D1971" t="s">
        <v>7</v>
      </c>
      <c r="E1971" t="s">
        <v>8</v>
      </c>
      <c r="F1971" s="3">
        <v>5296</v>
      </c>
      <c r="G1971" s="3" t="s">
        <v>293</v>
      </c>
      <c r="H1971" s="22">
        <v>1247870</v>
      </c>
      <c r="I1971" s="1">
        <v>0</v>
      </c>
      <c r="J1971" s="1">
        <v>1247870</v>
      </c>
      <c r="K1971">
        <f>VLOOKUP(F1971,'LEAID Match'!$A$2:$C$2979,3,FALSE)</f>
        <v>2003180</v>
      </c>
    </row>
    <row r="1972" spans="1:11" x14ac:dyDescent="0.2">
      <c r="A1972">
        <v>2009900</v>
      </c>
      <c r="B1972">
        <v>2020</v>
      </c>
      <c r="C1972" t="s">
        <v>6</v>
      </c>
      <c r="D1972" t="s">
        <v>7</v>
      </c>
      <c r="E1972" t="s">
        <v>8</v>
      </c>
      <c r="F1972" s="3">
        <v>5297</v>
      </c>
      <c r="G1972" s="3" t="s">
        <v>294</v>
      </c>
      <c r="H1972" s="1">
        <v>686931</v>
      </c>
      <c r="I1972" s="21">
        <v>0</v>
      </c>
      <c r="J1972" s="21">
        <v>686931</v>
      </c>
      <c r="K1972">
        <f>VLOOKUP(F1972,'LEAID Match'!$A$2:$C$2979,3,FALSE)</f>
        <v>2009900</v>
      </c>
    </row>
    <row r="1973" spans="1:11" x14ac:dyDescent="0.2">
      <c r="A1973">
        <v>2007080</v>
      </c>
      <c r="B1973">
        <v>2020</v>
      </c>
      <c r="C1973" t="s">
        <v>6</v>
      </c>
      <c r="D1973" t="s">
        <v>7</v>
      </c>
      <c r="E1973" t="s">
        <v>8</v>
      </c>
      <c r="F1973" s="3">
        <v>5298</v>
      </c>
      <c r="G1973" s="3" t="s">
        <v>295</v>
      </c>
      <c r="H1973" s="1">
        <v>86133</v>
      </c>
      <c r="I1973" s="1">
        <v>0</v>
      </c>
      <c r="J1973" s="1">
        <v>86133</v>
      </c>
      <c r="K1973">
        <f>VLOOKUP(F1973,'LEAID Match'!$A$2:$C$2979,3,FALSE)</f>
        <v>2007080</v>
      </c>
    </row>
    <row r="1974" spans="1:11" x14ac:dyDescent="0.2">
      <c r="A1974">
        <v>2005520</v>
      </c>
      <c r="B1974">
        <v>2020</v>
      </c>
      <c r="C1974" t="s">
        <v>6</v>
      </c>
      <c r="D1974" t="s">
        <v>7</v>
      </c>
      <c r="E1974" t="s">
        <v>8</v>
      </c>
      <c r="F1974">
        <v>5299</v>
      </c>
      <c r="G1974" t="s">
        <v>296</v>
      </c>
      <c r="H1974" s="1">
        <v>202228</v>
      </c>
      <c r="I1974" s="1">
        <v>0</v>
      </c>
      <c r="J1974" s="1">
        <v>202228</v>
      </c>
      <c r="K1974">
        <f>VLOOKUP(F1974,'LEAID Match'!$A$2:$C$2979,3,FALSE)</f>
        <v>2005520</v>
      </c>
    </row>
    <row r="1975" spans="1:11" x14ac:dyDescent="0.2">
      <c r="A1975">
        <v>2006270</v>
      </c>
      <c r="B1975">
        <v>2020</v>
      </c>
      <c r="C1975" t="s">
        <v>6</v>
      </c>
      <c r="D1975" t="s">
        <v>7</v>
      </c>
      <c r="E1975" t="s">
        <v>8</v>
      </c>
      <c r="F1975">
        <v>5300</v>
      </c>
      <c r="G1975" t="s">
        <v>297</v>
      </c>
      <c r="H1975" s="1">
        <v>638036</v>
      </c>
      <c r="I1975" s="1">
        <v>0</v>
      </c>
      <c r="J1975" s="1">
        <v>638036</v>
      </c>
      <c r="K1975">
        <f>VLOOKUP(F1975,'LEAID Match'!$A$2:$C$2979,3,FALSE)</f>
        <v>2006270</v>
      </c>
    </row>
    <row r="1976" spans="1:11" x14ac:dyDescent="0.2">
      <c r="A1976">
        <v>2007020</v>
      </c>
      <c r="B1976">
        <v>2020</v>
      </c>
      <c r="C1976" t="s">
        <v>6</v>
      </c>
      <c r="D1976" t="s">
        <v>7</v>
      </c>
      <c r="E1976" t="s">
        <v>8</v>
      </c>
      <c r="F1976">
        <v>5302</v>
      </c>
      <c r="G1976" t="s">
        <v>298</v>
      </c>
      <c r="H1976" s="1">
        <v>3252682</v>
      </c>
      <c r="I1976" s="1">
        <v>0</v>
      </c>
      <c r="J1976" s="1">
        <v>3252682</v>
      </c>
      <c r="K1976">
        <f>VLOOKUP(F1976,'LEAID Match'!$A$2:$C$2979,3,FALSE)</f>
        <v>2007020</v>
      </c>
    </row>
    <row r="1977" spans="1:11" x14ac:dyDescent="0.2">
      <c r="A1977">
        <v>2005730</v>
      </c>
      <c r="B1977">
        <v>2020</v>
      </c>
      <c r="C1977" t="s">
        <v>6</v>
      </c>
      <c r="D1977" t="s">
        <v>7</v>
      </c>
      <c r="E1977" t="s">
        <v>8</v>
      </c>
      <c r="F1977">
        <v>5303</v>
      </c>
      <c r="G1977" t="s">
        <v>345</v>
      </c>
      <c r="H1977" s="20">
        <v>1731879</v>
      </c>
      <c r="I1977" s="1">
        <v>0</v>
      </c>
      <c r="J1977" s="1">
        <v>1731879</v>
      </c>
      <c r="K1977">
        <f>VLOOKUP(F1977,'LEAID Match'!$A$2:$C$2979,3,FALSE)</f>
        <v>2005730</v>
      </c>
    </row>
    <row r="1978" spans="1:11" x14ac:dyDescent="0.2">
      <c r="A1978">
        <v>2006090</v>
      </c>
      <c r="B1978">
        <v>2020</v>
      </c>
      <c r="C1978" t="s">
        <v>6</v>
      </c>
      <c r="D1978" t="s">
        <v>7</v>
      </c>
      <c r="E1978" t="s">
        <v>8</v>
      </c>
      <c r="F1978">
        <v>5304</v>
      </c>
      <c r="G1978" t="s">
        <v>300</v>
      </c>
      <c r="H1978" s="1">
        <v>1421617</v>
      </c>
      <c r="I1978" s="1">
        <v>0</v>
      </c>
      <c r="J1978" s="1">
        <v>1421617</v>
      </c>
      <c r="K1978">
        <f>VLOOKUP(F1978,'LEAID Match'!$A$2:$C$2979,3,FALSE)</f>
        <v>2006090</v>
      </c>
    </row>
    <row r="1979" spans="1:11" x14ac:dyDescent="0.2">
      <c r="A1979">
        <v>2011220</v>
      </c>
      <c r="B1979">
        <v>2020</v>
      </c>
      <c r="C1979" t="s">
        <v>6</v>
      </c>
      <c r="D1979" t="s">
        <v>7</v>
      </c>
      <c r="E1979" t="s">
        <v>8</v>
      </c>
      <c r="F1979">
        <v>5305</v>
      </c>
      <c r="G1979" s="9" t="s">
        <v>301</v>
      </c>
      <c r="H1979" s="1">
        <v>296763</v>
      </c>
      <c r="I1979" s="1">
        <v>0</v>
      </c>
      <c r="J1979" s="1">
        <v>296763</v>
      </c>
      <c r="K1979">
        <f>VLOOKUP(F1979,'LEAID Match'!$A$2:$C$2979,3,FALSE)</f>
        <v>2011220</v>
      </c>
    </row>
    <row r="1980" spans="1:11" x14ac:dyDescent="0.2">
      <c r="A1980">
        <v>2008370</v>
      </c>
      <c r="B1980">
        <v>2020</v>
      </c>
      <c r="C1980" t="s">
        <v>6</v>
      </c>
      <c r="D1980" t="s">
        <v>7</v>
      </c>
      <c r="E1980" t="s">
        <v>8</v>
      </c>
      <c r="F1980" s="3">
        <v>5306</v>
      </c>
      <c r="G1980" s="3" t="s">
        <v>302</v>
      </c>
      <c r="H1980" s="22">
        <v>1168260</v>
      </c>
      <c r="I1980" s="1">
        <v>0</v>
      </c>
      <c r="J1980" s="1">
        <v>1168260</v>
      </c>
      <c r="K1980">
        <f>VLOOKUP(F1980,'LEAID Match'!$A$2:$C$2979,3,FALSE)</f>
        <v>2008370</v>
      </c>
    </row>
    <row r="1981" spans="1:11" x14ac:dyDescent="0.2">
      <c r="A1981">
        <v>2011280</v>
      </c>
      <c r="B1981">
        <v>2020</v>
      </c>
      <c r="C1981" t="s">
        <v>6</v>
      </c>
      <c r="D1981" t="s">
        <v>7</v>
      </c>
      <c r="E1981" t="s">
        <v>8</v>
      </c>
      <c r="F1981" s="3">
        <v>5307</v>
      </c>
      <c r="G1981" s="3" t="s">
        <v>303</v>
      </c>
      <c r="H1981" s="1">
        <v>186317</v>
      </c>
      <c r="I1981" s="21">
        <v>0</v>
      </c>
      <c r="J1981" s="21">
        <v>186317</v>
      </c>
      <c r="K1981">
        <f>VLOOKUP(F1981,'LEAID Match'!$A$2:$C$2979,3,FALSE)</f>
        <v>2011280</v>
      </c>
    </row>
    <row r="1982" spans="1:11" x14ac:dyDescent="0.2">
      <c r="A1982">
        <v>2008400</v>
      </c>
      <c r="B1982">
        <v>2020</v>
      </c>
      <c r="C1982" t="s">
        <v>6</v>
      </c>
      <c r="D1982" t="s">
        <v>7</v>
      </c>
      <c r="E1982" t="s">
        <v>8</v>
      </c>
      <c r="F1982" s="3">
        <v>5308</v>
      </c>
      <c r="G1982" s="3" t="s">
        <v>304</v>
      </c>
      <c r="H1982" s="1">
        <v>11105138</v>
      </c>
      <c r="I1982" s="1">
        <v>0</v>
      </c>
      <c r="J1982" s="1">
        <v>11105138</v>
      </c>
      <c r="K1982">
        <f>VLOOKUP(F1982,'LEAID Match'!$A$2:$C$2979,3,FALSE)</f>
        <v>2008400</v>
      </c>
    </row>
    <row r="1983" spans="1:11" x14ac:dyDescent="0.2">
      <c r="A1983">
        <v>2006360</v>
      </c>
      <c r="B1983">
        <v>2020</v>
      </c>
      <c r="C1983" t="s">
        <v>6</v>
      </c>
      <c r="D1983" t="s">
        <v>7</v>
      </c>
      <c r="E1983" t="s">
        <v>8</v>
      </c>
      <c r="F1983">
        <v>5309</v>
      </c>
      <c r="G1983" t="s">
        <v>305</v>
      </c>
      <c r="H1983" s="1">
        <v>761732</v>
      </c>
      <c r="I1983" s="1">
        <v>0</v>
      </c>
      <c r="J1983" s="1">
        <v>761732</v>
      </c>
      <c r="K1983">
        <f>VLOOKUP(F1983,'LEAID Match'!$A$2:$C$2979,3,FALSE)</f>
        <v>2006360</v>
      </c>
    </row>
    <row r="1984" spans="1:11" x14ac:dyDescent="0.2">
      <c r="A1984">
        <v>2008700</v>
      </c>
      <c r="B1984">
        <v>2020</v>
      </c>
      <c r="C1984" t="s">
        <v>6</v>
      </c>
      <c r="D1984" t="s">
        <v>7</v>
      </c>
      <c r="E1984" t="s">
        <v>8</v>
      </c>
      <c r="F1984">
        <v>5310</v>
      </c>
      <c r="G1984" t="s">
        <v>306</v>
      </c>
      <c r="H1984" s="1">
        <v>113858</v>
      </c>
      <c r="I1984" s="1">
        <v>0</v>
      </c>
      <c r="J1984" s="1">
        <v>113858</v>
      </c>
      <c r="K1984">
        <f>VLOOKUP(F1984,'LEAID Match'!$A$2:$C$2979,3,FALSE)</f>
        <v>2008700</v>
      </c>
    </row>
    <row r="1985" spans="1:11" x14ac:dyDescent="0.2">
      <c r="A1985">
        <v>2011490</v>
      </c>
      <c r="B1985">
        <v>2020</v>
      </c>
      <c r="C1985" t="s">
        <v>6</v>
      </c>
      <c r="D1985" t="s">
        <v>7</v>
      </c>
      <c r="E1985" t="s">
        <v>8</v>
      </c>
      <c r="F1985">
        <v>5312</v>
      </c>
      <c r="G1985" t="s">
        <v>307</v>
      </c>
      <c r="H1985" s="1">
        <v>4063644</v>
      </c>
      <c r="I1985" s="1">
        <v>0</v>
      </c>
      <c r="J1985" s="1">
        <v>4063644</v>
      </c>
      <c r="K1985">
        <f>VLOOKUP(F1985,'LEAID Match'!$A$2:$C$2979,3,FALSE)</f>
        <v>2011490</v>
      </c>
    </row>
    <row r="1986" spans="1:11" x14ac:dyDescent="0.2">
      <c r="A1986">
        <v>2011430</v>
      </c>
      <c r="B1986">
        <v>2020</v>
      </c>
      <c r="C1986" t="s">
        <v>6</v>
      </c>
      <c r="D1986" t="s">
        <v>7</v>
      </c>
      <c r="E1986" t="s">
        <v>8</v>
      </c>
      <c r="F1986">
        <v>5313</v>
      </c>
      <c r="G1986" t="s">
        <v>308</v>
      </c>
      <c r="H1986" s="20">
        <v>363419</v>
      </c>
      <c r="I1986" s="1">
        <v>0</v>
      </c>
      <c r="J1986" s="1">
        <v>363419</v>
      </c>
      <c r="K1986">
        <f>VLOOKUP(F1986,'LEAID Match'!$A$2:$C$2979,3,FALSE)</f>
        <v>2011430</v>
      </c>
    </row>
    <row r="1987" spans="1:11" x14ac:dyDescent="0.2">
      <c r="A1987">
        <v>2012260</v>
      </c>
      <c r="B1987">
        <v>2020</v>
      </c>
      <c r="C1987" t="s">
        <v>6</v>
      </c>
      <c r="D1987" t="s">
        <v>7</v>
      </c>
      <c r="E1987" t="s">
        <v>8</v>
      </c>
      <c r="F1987">
        <v>5314</v>
      </c>
      <c r="G1987" t="s">
        <v>309</v>
      </c>
      <c r="H1987" s="1">
        <v>16132414</v>
      </c>
      <c r="I1987" s="1">
        <v>0</v>
      </c>
      <c r="J1987" s="1">
        <v>16132414</v>
      </c>
      <c r="K1987">
        <f>VLOOKUP(F1987,'LEAID Match'!$A$2:$C$2979,3,FALSE)</f>
        <v>2012260</v>
      </c>
    </row>
    <row r="1988" spans="1:11" x14ac:dyDescent="0.2">
      <c r="A1988">
        <v>0</v>
      </c>
      <c r="B1988">
        <v>2020</v>
      </c>
      <c r="C1988" t="s">
        <v>6</v>
      </c>
      <c r="D1988" t="s">
        <v>7</v>
      </c>
      <c r="E1988" t="s">
        <v>8</v>
      </c>
      <c r="F1988">
        <v>5316</v>
      </c>
      <c r="G1988" s="9" t="s">
        <v>310</v>
      </c>
      <c r="H1988" s="1">
        <v>407960</v>
      </c>
      <c r="I1988" s="1">
        <v>0</v>
      </c>
      <c r="J1988" s="1">
        <v>407960</v>
      </c>
      <c r="K1988">
        <f>VLOOKUP(F1988,'LEAID Match'!$A$2:$C$2979,3,FALSE)</f>
        <v>0</v>
      </c>
    </row>
    <row r="1989" spans="1:11" x14ac:dyDescent="0.2">
      <c r="A1989">
        <v>2010080</v>
      </c>
      <c r="B1989">
        <v>2020</v>
      </c>
      <c r="C1989" t="s">
        <v>6</v>
      </c>
      <c r="D1989" t="s">
        <v>7</v>
      </c>
      <c r="E1989" t="s">
        <v>8</v>
      </c>
      <c r="F1989" s="3">
        <v>5229</v>
      </c>
      <c r="G1989" s="3" t="s">
        <v>257</v>
      </c>
      <c r="H1989" s="22">
        <v>365419</v>
      </c>
      <c r="I1989" s="1">
        <v>0</v>
      </c>
      <c r="J1989" s="1">
        <v>365419</v>
      </c>
      <c r="K1989">
        <f>VLOOKUP(F1989,'LEAID Match'!$A$2:$C$2979,3,FALSE)</f>
        <v>2010080</v>
      </c>
    </row>
    <row r="1990" spans="1:11" x14ac:dyDescent="0.2">
      <c r="A1990">
        <v>2004710</v>
      </c>
      <c r="B1990">
        <v>2020</v>
      </c>
      <c r="C1990" t="s">
        <v>6</v>
      </c>
      <c r="D1990" t="s">
        <v>7</v>
      </c>
      <c r="E1990" t="s">
        <v>8</v>
      </c>
      <c r="F1990" s="3">
        <v>5318</v>
      </c>
      <c r="G1990" s="3" t="s">
        <v>312</v>
      </c>
      <c r="H1990" s="1">
        <v>547652</v>
      </c>
      <c r="I1990" s="21">
        <v>0</v>
      </c>
      <c r="J1990" s="21">
        <v>547652</v>
      </c>
      <c r="K1990">
        <f>VLOOKUP(F1990,'LEAID Match'!$A$2:$C$2979,3,FALSE)</f>
        <v>2004710</v>
      </c>
    </row>
    <row r="1991" spans="1:11" x14ac:dyDescent="0.2">
      <c r="A1991">
        <v>2006480</v>
      </c>
      <c r="B1991">
        <v>2020</v>
      </c>
      <c r="C1991" t="s">
        <v>6</v>
      </c>
      <c r="D1991" t="s">
        <v>7</v>
      </c>
      <c r="E1991" t="s">
        <v>8</v>
      </c>
      <c r="F1991" s="3">
        <v>5319</v>
      </c>
      <c r="G1991" s="3" t="s">
        <v>313</v>
      </c>
      <c r="H1991" s="1">
        <v>803332</v>
      </c>
      <c r="I1991" s="1">
        <v>0</v>
      </c>
      <c r="J1991" s="1">
        <v>803332</v>
      </c>
      <c r="K1991">
        <f>VLOOKUP(F1991,'LEAID Match'!$A$2:$C$2979,3,FALSE)</f>
        <v>2006480</v>
      </c>
    </row>
    <row r="1992" spans="1:11" x14ac:dyDescent="0.2">
      <c r="A1992">
        <v>2005310</v>
      </c>
      <c r="B1992">
        <v>2020</v>
      </c>
      <c r="C1992" t="s">
        <v>6</v>
      </c>
      <c r="D1992" t="s">
        <v>7</v>
      </c>
      <c r="E1992" t="s">
        <v>8</v>
      </c>
      <c r="F1992">
        <v>5320</v>
      </c>
      <c r="G1992" t="s">
        <v>314</v>
      </c>
      <c r="H1992" s="1">
        <v>214330</v>
      </c>
      <c r="I1992" s="1">
        <v>0</v>
      </c>
      <c r="J1992" s="1">
        <v>214330</v>
      </c>
      <c r="K1992">
        <f>VLOOKUP(F1992,'LEAID Match'!$A$2:$C$2979,3,FALSE)</f>
        <v>2005310</v>
      </c>
    </row>
    <row r="1993" spans="1:11" x14ac:dyDescent="0.2">
      <c r="A1993">
        <v>2012780</v>
      </c>
      <c r="B1993">
        <v>2020</v>
      </c>
      <c r="C1993" t="s">
        <v>6</v>
      </c>
      <c r="D1993" t="s">
        <v>7</v>
      </c>
      <c r="E1993" t="s">
        <v>8</v>
      </c>
      <c r="F1993">
        <v>5321</v>
      </c>
      <c r="G1993" t="s">
        <v>315</v>
      </c>
      <c r="H1993" s="1">
        <v>460439</v>
      </c>
      <c r="I1993" s="1">
        <v>0</v>
      </c>
      <c r="J1993" s="1">
        <v>460439</v>
      </c>
      <c r="K1993">
        <f>VLOOKUP(F1993,'LEAID Match'!$A$2:$C$2979,3,FALSE)</f>
        <v>2012780</v>
      </c>
    </row>
    <row r="1994" spans="1:11" x14ac:dyDescent="0.2">
      <c r="A1994">
        <v>2010350</v>
      </c>
      <c r="B1994">
        <v>2020</v>
      </c>
      <c r="C1994" t="s">
        <v>6</v>
      </c>
      <c r="D1994" t="s">
        <v>7</v>
      </c>
      <c r="E1994" t="s">
        <v>8</v>
      </c>
      <c r="F1994">
        <v>5322</v>
      </c>
      <c r="G1994" t="s">
        <v>316</v>
      </c>
      <c r="H1994" s="1">
        <v>504465</v>
      </c>
      <c r="I1994" s="1">
        <v>0</v>
      </c>
      <c r="J1994" s="1">
        <v>504465</v>
      </c>
      <c r="K1994">
        <f>VLOOKUP(F1994,'LEAID Match'!$A$2:$C$2979,3,FALSE)</f>
        <v>2010350</v>
      </c>
    </row>
    <row r="1995" spans="1:11" x14ac:dyDescent="0.2">
      <c r="A1995">
        <v>2007950</v>
      </c>
      <c r="B1995">
        <v>2020</v>
      </c>
      <c r="C1995" t="s">
        <v>6</v>
      </c>
      <c r="D1995" t="s">
        <v>7</v>
      </c>
      <c r="E1995" t="s">
        <v>8</v>
      </c>
      <c r="F1995">
        <v>5324</v>
      </c>
      <c r="G1995" t="s">
        <v>317</v>
      </c>
      <c r="H1995" s="20">
        <v>23528939</v>
      </c>
      <c r="I1995" s="1">
        <v>0</v>
      </c>
      <c r="J1995" s="1">
        <v>23528939</v>
      </c>
      <c r="K1995">
        <f>VLOOKUP(F1995,'LEAID Match'!$A$2:$C$2979,3,FALSE)</f>
        <v>2007950</v>
      </c>
    </row>
    <row r="1996" spans="1:11" x14ac:dyDescent="0.2">
      <c r="A1996">
        <v>2008670</v>
      </c>
      <c r="B1996">
        <v>2020</v>
      </c>
      <c r="C1996" t="s">
        <v>6</v>
      </c>
      <c r="D1996" t="s">
        <v>7</v>
      </c>
      <c r="E1996" t="s">
        <v>8</v>
      </c>
      <c r="F1996">
        <v>5329</v>
      </c>
      <c r="G1996" t="s">
        <v>318</v>
      </c>
      <c r="H1996" s="1">
        <v>221967</v>
      </c>
      <c r="I1996" s="1">
        <v>0</v>
      </c>
      <c r="J1996" s="1">
        <v>221967</v>
      </c>
      <c r="K1996">
        <f>VLOOKUP(F1996,'LEAID Match'!$A$2:$C$2979,3,FALSE)</f>
        <v>2008670</v>
      </c>
    </row>
    <row r="1997" spans="1:11" x14ac:dyDescent="0.2">
      <c r="A1997">
        <v>2005070</v>
      </c>
      <c r="B1997">
        <v>2020</v>
      </c>
      <c r="C1997" t="s">
        <v>6</v>
      </c>
      <c r="D1997" t="s">
        <v>7</v>
      </c>
      <c r="E1997" t="s">
        <v>8</v>
      </c>
      <c r="F1997">
        <v>5330</v>
      </c>
      <c r="G1997" s="9" t="s">
        <v>319</v>
      </c>
      <c r="H1997" s="1">
        <v>941358</v>
      </c>
      <c r="I1997" s="1">
        <v>0</v>
      </c>
      <c r="J1997" s="1">
        <v>941358</v>
      </c>
      <c r="K1997">
        <f>VLOOKUP(F1997,'LEAID Match'!$A$2:$C$2979,3,FALSE)</f>
        <v>2005070</v>
      </c>
    </row>
    <row r="1998" spans="1:11" x14ac:dyDescent="0.2">
      <c r="A1998">
        <v>2010560</v>
      </c>
      <c r="B1998">
        <v>2020</v>
      </c>
      <c r="C1998" t="s">
        <v>6</v>
      </c>
      <c r="D1998" t="s">
        <v>7</v>
      </c>
      <c r="E1998" t="s">
        <v>8</v>
      </c>
      <c r="F1998" s="3">
        <v>5331</v>
      </c>
      <c r="G1998" s="3" t="s">
        <v>320</v>
      </c>
      <c r="H1998" s="22">
        <v>1138103</v>
      </c>
      <c r="I1998" s="1">
        <v>0</v>
      </c>
      <c r="J1998" s="1">
        <v>1138103</v>
      </c>
      <c r="K1998">
        <f>VLOOKUP(F1998,'LEAID Match'!$A$2:$C$2979,3,FALSE)</f>
        <v>2010560</v>
      </c>
    </row>
    <row r="1999" spans="1:11" x14ac:dyDescent="0.2">
      <c r="A1999">
        <v>2003300</v>
      </c>
      <c r="B1999">
        <v>2020</v>
      </c>
      <c r="C1999" t="s">
        <v>6</v>
      </c>
      <c r="D1999" t="s">
        <v>7</v>
      </c>
      <c r="E1999" t="s">
        <v>8</v>
      </c>
      <c r="F1999" s="3">
        <v>5332</v>
      </c>
      <c r="G1999" s="3" t="s">
        <v>321</v>
      </c>
      <c r="H1999" s="1">
        <v>1363698</v>
      </c>
      <c r="I1999" s="21">
        <v>0</v>
      </c>
      <c r="J1999" s="21">
        <v>1363698</v>
      </c>
      <c r="K1999">
        <f>VLOOKUP(F1999,'LEAID Match'!$A$2:$C$2979,3,FALSE)</f>
        <v>2003300</v>
      </c>
    </row>
    <row r="2000" spans="1:11" x14ac:dyDescent="0.2">
      <c r="A2000">
        <v>2004770</v>
      </c>
      <c r="B2000">
        <v>2020</v>
      </c>
      <c r="C2000" t="s">
        <v>6</v>
      </c>
      <c r="D2000" t="s">
        <v>7</v>
      </c>
      <c r="E2000" t="s">
        <v>8</v>
      </c>
      <c r="F2000" s="3">
        <v>5333</v>
      </c>
      <c r="G2000" s="3" t="s">
        <v>322</v>
      </c>
      <c r="H2000" s="1">
        <v>428852</v>
      </c>
      <c r="I2000" s="1">
        <v>0</v>
      </c>
      <c r="J2000" s="1">
        <v>428852</v>
      </c>
      <c r="K2000">
        <f>VLOOKUP(F2000,'LEAID Match'!$A$2:$C$2979,3,FALSE)</f>
        <v>2004770</v>
      </c>
    </row>
    <row r="2001" spans="1:11" x14ac:dyDescent="0.2">
      <c r="A2001">
        <v>2006330</v>
      </c>
      <c r="B2001">
        <v>2020</v>
      </c>
      <c r="C2001" t="s">
        <v>6</v>
      </c>
      <c r="D2001" t="s">
        <v>7</v>
      </c>
      <c r="E2001" t="s">
        <v>8</v>
      </c>
      <c r="F2001">
        <v>5337</v>
      </c>
      <c r="G2001" t="s">
        <v>323</v>
      </c>
      <c r="H2001" s="1">
        <v>1845563</v>
      </c>
      <c r="I2001" s="1">
        <v>0</v>
      </c>
      <c r="J2001" s="1">
        <v>1845563</v>
      </c>
      <c r="K2001">
        <f>VLOOKUP(F2001,'LEAID Match'!$A$2:$C$2979,3,FALSE)</f>
        <v>2006330</v>
      </c>
    </row>
    <row r="2002" spans="1:11" x14ac:dyDescent="0.2">
      <c r="A2002">
        <v>2003810</v>
      </c>
      <c r="B2002">
        <v>2020</v>
      </c>
      <c r="C2002" t="s">
        <v>6</v>
      </c>
      <c r="D2002" t="s">
        <v>7</v>
      </c>
      <c r="E2002" t="s">
        <v>8</v>
      </c>
      <c r="F2002">
        <v>5366</v>
      </c>
      <c r="G2002" t="s">
        <v>324</v>
      </c>
      <c r="H2002" s="1">
        <v>895416</v>
      </c>
      <c r="I2002" s="1">
        <v>0</v>
      </c>
      <c r="J2002" s="1">
        <v>895416</v>
      </c>
      <c r="K2002">
        <f>VLOOKUP(F2002,'LEAID Match'!$A$2:$C$2979,3,FALSE)</f>
        <v>2003810</v>
      </c>
    </row>
    <row r="2003" spans="1:11" x14ac:dyDescent="0.2">
      <c r="A2003">
        <v>2011400</v>
      </c>
      <c r="B2003">
        <v>2020</v>
      </c>
      <c r="C2003" t="s">
        <v>6</v>
      </c>
      <c r="D2003" t="s">
        <v>7</v>
      </c>
      <c r="E2003" t="s">
        <v>8</v>
      </c>
      <c r="F2003">
        <v>5367</v>
      </c>
      <c r="G2003" t="s">
        <v>325</v>
      </c>
      <c r="H2003" s="1">
        <v>343029</v>
      </c>
      <c r="I2003" s="1">
        <v>0</v>
      </c>
      <c r="J2003" s="1">
        <v>343029</v>
      </c>
      <c r="K2003">
        <f>VLOOKUP(F2003,'LEAID Match'!$A$2:$C$2979,3,FALSE)</f>
        <v>2011400</v>
      </c>
    </row>
    <row r="2004" spans="1:11" x14ac:dyDescent="0.2">
      <c r="A2004">
        <v>0</v>
      </c>
      <c r="B2004">
        <v>2020</v>
      </c>
      <c r="C2004" t="s">
        <v>6</v>
      </c>
      <c r="D2004" t="s">
        <v>7</v>
      </c>
      <c r="E2004" t="s">
        <v>8</v>
      </c>
      <c r="F2004">
        <v>5368</v>
      </c>
      <c r="G2004" t="s">
        <v>326</v>
      </c>
      <c r="H2004" s="20">
        <v>446434</v>
      </c>
      <c r="I2004" s="1">
        <v>0</v>
      </c>
      <c r="J2004" s="1">
        <v>446434</v>
      </c>
      <c r="K2004">
        <f>VLOOKUP(F2004,'LEAID Match'!$A$2:$C$2979,3,FALSE)</f>
        <v>0</v>
      </c>
    </row>
    <row r="2005" spans="1:11" x14ac:dyDescent="0.2">
      <c r="A2005">
        <v>2003570</v>
      </c>
      <c r="B2005">
        <v>2020</v>
      </c>
      <c r="C2005" t="s">
        <v>6</v>
      </c>
      <c r="D2005" t="s">
        <v>7</v>
      </c>
      <c r="E2005" t="s">
        <v>8</v>
      </c>
      <c r="F2005">
        <v>5405</v>
      </c>
      <c r="G2005" t="s">
        <v>327</v>
      </c>
      <c r="H2005" s="1">
        <v>200490</v>
      </c>
      <c r="I2005" s="1">
        <v>0</v>
      </c>
      <c r="J2005" s="1">
        <v>200490</v>
      </c>
      <c r="K2005">
        <f>VLOOKUP(F2005,'LEAID Match'!$A$2:$C$2979,3,FALSE)</f>
        <v>2003570</v>
      </c>
    </row>
    <row r="2006" spans="1:11" x14ac:dyDescent="0.2">
      <c r="A2006">
        <v>2006690</v>
      </c>
      <c r="B2006">
        <v>2020</v>
      </c>
      <c r="C2006" t="s">
        <v>6</v>
      </c>
      <c r="D2006" t="s">
        <v>7</v>
      </c>
      <c r="E2006" t="s">
        <v>8</v>
      </c>
      <c r="F2006">
        <v>5409</v>
      </c>
      <c r="G2006" s="9" t="s">
        <v>328</v>
      </c>
      <c r="H2006" s="1">
        <v>257222</v>
      </c>
      <c r="I2006" s="1">
        <v>0</v>
      </c>
      <c r="J2006" s="1">
        <v>257222</v>
      </c>
      <c r="K2006">
        <f>VLOOKUP(F2006,'LEAID Match'!$A$2:$C$2979,3,FALSE)</f>
        <v>2006690</v>
      </c>
    </row>
    <row r="2007" spans="1:11" x14ac:dyDescent="0.2">
      <c r="A2007">
        <v>2011790</v>
      </c>
      <c r="B2007">
        <v>2020</v>
      </c>
      <c r="C2007" t="s">
        <v>6</v>
      </c>
      <c r="D2007" t="s">
        <v>7</v>
      </c>
      <c r="E2007" t="s">
        <v>8</v>
      </c>
      <c r="F2007" s="3">
        <v>5410</v>
      </c>
      <c r="G2007" s="3" t="s">
        <v>329</v>
      </c>
      <c r="H2007" s="22">
        <v>218487</v>
      </c>
      <c r="I2007" s="1">
        <v>0</v>
      </c>
      <c r="J2007" s="1">
        <v>218487</v>
      </c>
      <c r="K2007">
        <f>VLOOKUP(F2007,'LEAID Match'!$A$2:$C$2979,3,FALSE)</f>
        <v>2011790</v>
      </c>
    </row>
    <row r="2008" spans="1:11" x14ac:dyDescent="0.2">
      <c r="A2008">
        <v>2011640</v>
      </c>
      <c r="B2008">
        <v>2020</v>
      </c>
      <c r="C2008" t="s">
        <v>6</v>
      </c>
      <c r="D2008" t="s">
        <v>7</v>
      </c>
      <c r="E2008" t="s">
        <v>8</v>
      </c>
      <c r="F2008" s="3">
        <v>5430</v>
      </c>
      <c r="G2008" s="3" t="s">
        <v>330</v>
      </c>
      <c r="H2008" s="1">
        <v>26154240</v>
      </c>
      <c r="I2008" s="21">
        <v>0</v>
      </c>
      <c r="J2008" s="21">
        <v>26154240</v>
      </c>
      <c r="K2008">
        <f>VLOOKUP(F2008,'LEAID Match'!$A$2:$C$2979,3,FALSE)</f>
        <v>2011640</v>
      </c>
    </row>
    <row r="2009" spans="1:11" x14ac:dyDescent="0.2">
      <c r="A2009">
        <v>2004800</v>
      </c>
      <c r="B2009">
        <v>2020</v>
      </c>
      <c r="C2009" t="s">
        <v>6</v>
      </c>
      <c r="D2009" t="s">
        <v>7</v>
      </c>
      <c r="E2009" t="s">
        <v>8</v>
      </c>
      <c r="F2009" s="3">
        <v>5436</v>
      </c>
      <c r="G2009" s="3" t="s">
        <v>331</v>
      </c>
      <c r="H2009" s="1">
        <v>682467</v>
      </c>
      <c r="I2009" s="1">
        <v>0</v>
      </c>
      <c r="J2009" s="1">
        <v>682467</v>
      </c>
      <c r="K2009">
        <f>VLOOKUP(F2009,'LEAID Match'!$A$2:$C$2979,3,FALSE)</f>
        <v>2004800</v>
      </c>
    </row>
    <row r="2010" spans="1:11" x14ac:dyDescent="0.2">
      <c r="A2010">
        <v>2004790</v>
      </c>
      <c r="B2010">
        <v>2020</v>
      </c>
      <c r="C2010" t="s">
        <v>6</v>
      </c>
      <c r="D2010" t="s">
        <v>7</v>
      </c>
      <c r="E2010" t="s">
        <v>8</v>
      </c>
      <c r="F2010">
        <v>5590</v>
      </c>
      <c r="G2010" t="s">
        <v>332</v>
      </c>
      <c r="H2010" s="1">
        <v>143761</v>
      </c>
      <c r="I2010" s="1">
        <v>0</v>
      </c>
      <c r="J2010" s="1">
        <v>143761</v>
      </c>
      <c r="K2010">
        <f>VLOOKUP(F2010,'LEAID Match'!$A$2:$C$2979,3,FALSE)</f>
        <v>2004790</v>
      </c>
    </row>
    <row r="2011" spans="1:11" x14ac:dyDescent="0.2">
      <c r="A2011">
        <v>0</v>
      </c>
      <c r="B2011">
        <v>2020</v>
      </c>
      <c r="C2011" t="s">
        <v>6</v>
      </c>
      <c r="D2011" t="s">
        <v>7</v>
      </c>
      <c r="E2011" t="s">
        <v>8</v>
      </c>
      <c r="F2011">
        <v>5696</v>
      </c>
      <c r="G2011" t="s">
        <v>333</v>
      </c>
      <c r="H2011" s="1">
        <v>249157</v>
      </c>
      <c r="I2011" s="1">
        <v>0</v>
      </c>
      <c r="J2011" s="1">
        <v>249157</v>
      </c>
      <c r="K2011">
        <f>VLOOKUP(F2011,'LEAID Match'!$A$2:$C$2979,3,FALSE)</f>
        <v>0</v>
      </c>
    </row>
    <row r="2012" spans="1:11" x14ac:dyDescent="0.2">
      <c r="A2012">
        <v>2000023</v>
      </c>
      <c r="B2012">
        <v>2020</v>
      </c>
      <c r="C2012" t="s">
        <v>6</v>
      </c>
      <c r="D2012" t="s">
        <v>7</v>
      </c>
      <c r="E2012" t="s">
        <v>8</v>
      </c>
      <c r="F2012">
        <v>9291</v>
      </c>
      <c r="G2012" t="s">
        <v>334</v>
      </c>
      <c r="H2012" s="1">
        <v>351175</v>
      </c>
      <c r="I2012" s="1">
        <v>0</v>
      </c>
      <c r="J2012" s="1">
        <v>351175</v>
      </c>
      <c r="K2012">
        <f>VLOOKUP(F2012,'LEAID Match'!$A$2:$C$2979,3,FALSE)</f>
        <v>2000023</v>
      </c>
    </row>
    <row r="2013" spans="1:11" x14ac:dyDescent="0.2">
      <c r="A2013">
        <v>2000020</v>
      </c>
      <c r="B2013">
        <v>2020</v>
      </c>
      <c r="C2013" t="s">
        <v>6</v>
      </c>
      <c r="D2013" t="s">
        <v>7</v>
      </c>
      <c r="E2013" t="s">
        <v>8</v>
      </c>
      <c r="F2013">
        <v>9302</v>
      </c>
      <c r="G2013" t="s">
        <v>335</v>
      </c>
      <c r="H2013" s="20">
        <v>156832</v>
      </c>
      <c r="I2013" s="1">
        <v>0</v>
      </c>
      <c r="J2013" s="1">
        <v>156832</v>
      </c>
      <c r="K2013">
        <f>VLOOKUP(F2013,'LEAID Match'!$A$2:$C$2979,3,FALSE)</f>
        <v>2000020</v>
      </c>
    </row>
    <row r="2014" spans="1:11" x14ac:dyDescent="0.2">
      <c r="A2014">
        <v>2000029</v>
      </c>
      <c r="B2014">
        <v>2020</v>
      </c>
      <c r="C2014" t="s">
        <v>6</v>
      </c>
      <c r="D2014" t="s">
        <v>7</v>
      </c>
      <c r="E2014" t="s">
        <v>8</v>
      </c>
      <c r="F2014">
        <v>9332</v>
      </c>
      <c r="G2014" t="s">
        <v>336</v>
      </c>
      <c r="H2014" s="1">
        <v>306011</v>
      </c>
      <c r="I2014" s="1">
        <v>0</v>
      </c>
      <c r="J2014" s="1">
        <v>306011</v>
      </c>
      <c r="K2014">
        <f>VLOOKUP(F2014,'LEAID Match'!$A$2:$C$2979,3,FALSE)</f>
        <v>2000029</v>
      </c>
    </row>
    <row r="2015" spans="1:11" x14ac:dyDescent="0.2">
      <c r="A2015">
        <v>2000028</v>
      </c>
      <c r="B2015">
        <v>2020</v>
      </c>
      <c r="C2015" t="s">
        <v>6</v>
      </c>
      <c r="D2015" t="s">
        <v>7</v>
      </c>
      <c r="E2015" t="s">
        <v>8</v>
      </c>
      <c r="F2015">
        <v>9333</v>
      </c>
      <c r="G2015" s="9" t="s">
        <v>337</v>
      </c>
      <c r="H2015" s="1">
        <v>339156</v>
      </c>
      <c r="I2015" s="1">
        <v>0</v>
      </c>
      <c r="J2015" s="1">
        <v>339156</v>
      </c>
      <c r="K2015">
        <f>VLOOKUP(F2015,'LEAID Match'!$A$2:$C$2979,3,FALSE)</f>
        <v>2000028</v>
      </c>
    </row>
    <row r="2016" spans="1:11" x14ac:dyDescent="0.2">
      <c r="A2016">
        <v>2000030</v>
      </c>
      <c r="B2016">
        <v>2020</v>
      </c>
      <c r="C2016" t="s">
        <v>6</v>
      </c>
      <c r="D2016" t="s">
        <v>7</v>
      </c>
      <c r="E2016" t="s">
        <v>8</v>
      </c>
      <c r="F2016" s="3">
        <v>9335</v>
      </c>
      <c r="G2016" s="3" t="s">
        <v>338</v>
      </c>
      <c r="H2016" s="22">
        <v>447810</v>
      </c>
      <c r="I2016" s="1">
        <v>0</v>
      </c>
      <c r="J2016" s="1">
        <v>447810</v>
      </c>
      <c r="K2016">
        <f>VLOOKUP(F2016,'LEAID Match'!$A$2:$C$2979,3,FALSE)</f>
        <v>2000030</v>
      </c>
    </row>
    <row r="2017" spans="1:11" x14ac:dyDescent="0.2">
      <c r="A2017">
        <v>2000346</v>
      </c>
      <c r="B2017">
        <v>2020</v>
      </c>
      <c r="C2017" t="s">
        <v>6</v>
      </c>
      <c r="D2017" t="s">
        <v>7</v>
      </c>
      <c r="E2017" t="s">
        <v>8</v>
      </c>
      <c r="F2017" s="3">
        <v>9389</v>
      </c>
      <c r="G2017" s="3" t="s">
        <v>339</v>
      </c>
      <c r="H2017" s="1">
        <v>268841</v>
      </c>
      <c r="I2017" s="21">
        <v>0</v>
      </c>
      <c r="J2017" s="21">
        <v>268841</v>
      </c>
      <c r="K2017">
        <f>VLOOKUP(F2017,'LEAID Match'!$A$2:$C$2979,3,FALSE)</f>
        <v>2000346</v>
      </c>
    </row>
    <row r="2018" spans="1:11" x14ac:dyDescent="0.2">
      <c r="A2018">
        <v>2000348</v>
      </c>
      <c r="B2018">
        <v>2020</v>
      </c>
      <c r="C2018" t="s">
        <v>6</v>
      </c>
      <c r="D2018" t="s">
        <v>7</v>
      </c>
      <c r="E2018" t="s">
        <v>8</v>
      </c>
      <c r="F2018" s="3">
        <v>9410</v>
      </c>
      <c r="G2018" s="3" t="s">
        <v>340</v>
      </c>
      <c r="H2018" s="1">
        <v>356358</v>
      </c>
      <c r="I2018" s="1">
        <v>0</v>
      </c>
      <c r="J2018" s="1">
        <v>356358</v>
      </c>
      <c r="K2018">
        <f>VLOOKUP(F2018,'LEAID Match'!$A$2:$C$2979,3,FALSE)</f>
        <v>2000348</v>
      </c>
    </row>
    <row r="2019" spans="1:11" x14ac:dyDescent="0.2">
      <c r="A2019">
        <v>2000351</v>
      </c>
      <c r="B2019">
        <v>2020</v>
      </c>
      <c r="C2019" t="s">
        <v>6</v>
      </c>
      <c r="D2019" t="s">
        <v>7</v>
      </c>
      <c r="E2019" t="s">
        <v>8</v>
      </c>
      <c r="F2019">
        <v>9444</v>
      </c>
      <c r="G2019" t="s">
        <v>341</v>
      </c>
      <c r="H2019" s="1">
        <v>560872</v>
      </c>
      <c r="I2019" s="1">
        <v>0</v>
      </c>
      <c r="J2019" s="1">
        <v>560872</v>
      </c>
      <c r="K2019">
        <f>VLOOKUP(F2019,'LEAID Match'!$A$2:$C$2979,3,FALSE)</f>
        <v>2000351</v>
      </c>
    </row>
    <row r="2020" spans="1:11" x14ac:dyDescent="0.2">
      <c r="A2020">
        <v>2000349</v>
      </c>
      <c r="B2020">
        <v>2020</v>
      </c>
      <c r="C2020" t="s">
        <v>6</v>
      </c>
      <c r="D2020" t="s">
        <v>7</v>
      </c>
      <c r="E2020" t="s">
        <v>8</v>
      </c>
      <c r="F2020">
        <v>9445</v>
      </c>
      <c r="G2020" t="s">
        <v>342</v>
      </c>
      <c r="H2020" s="1">
        <v>519678</v>
      </c>
      <c r="I2020" s="1">
        <v>0</v>
      </c>
      <c r="J2020" s="1">
        <v>519678</v>
      </c>
      <c r="K2020">
        <f>VLOOKUP(F2020,'LEAID Match'!$A$2:$C$2979,3,FALSE)</f>
        <v>2000349</v>
      </c>
    </row>
    <row r="2021" spans="1:11" x14ac:dyDescent="0.2">
      <c r="A2021">
        <v>2000350</v>
      </c>
      <c r="B2021">
        <v>2020</v>
      </c>
      <c r="C2021" t="s">
        <v>6</v>
      </c>
      <c r="D2021" t="s">
        <v>7</v>
      </c>
      <c r="E2021" t="s">
        <v>8</v>
      </c>
      <c r="F2021">
        <v>9446</v>
      </c>
      <c r="G2021" t="s">
        <v>343</v>
      </c>
      <c r="H2021" s="1">
        <v>991626</v>
      </c>
      <c r="I2021" s="1">
        <v>0</v>
      </c>
      <c r="J2021" s="1">
        <v>991626</v>
      </c>
      <c r="K2021">
        <f>VLOOKUP(F2021,'LEAID Match'!$A$2:$C$2979,3,FALSE)</f>
        <v>2000350</v>
      </c>
    </row>
    <row r="2022" spans="1:11" x14ac:dyDescent="0.2">
      <c r="A2022">
        <v>2000353</v>
      </c>
      <c r="B2022">
        <v>2020</v>
      </c>
      <c r="C2022" t="s">
        <v>6</v>
      </c>
      <c r="D2022" t="s">
        <v>7</v>
      </c>
      <c r="E2022" t="s">
        <v>8</v>
      </c>
      <c r="F2022">
        <v>9461</v>
      </c>
      <c r="G2022" t="s">
        <v>344</v>
      </c>
      <c r="H2022" s="20">
        <v>694537</v>
      </c>
      <c r="I2022" s="1">
        <v>0</v>
      </c>
      <c r="J2022" s="1">
        <v>694537</v>
      </c>
      <c r="K2022">
        <f>VLOOKUP(F2022,'LEAID Match'!$A$2:$C$2979,3,FALSE)</f>
        <v>2000353</v>
      </c>
    </row>
    <row r="2023" spans="1:11" x14ac:dyDescent="0.2">
      <c r="A2023">
        <v>0</v>
      </c>
      <c r="B2023">
        <v>2020</v>
      </c>
      <c r="C2023" t="s">
        <v>6</v>
      </c>
      <c r="D2023" t="s">
        <v>7</v>
      </c>
      <c r="E2023" t="s">
        <v>8</v>
      </c>
      <c r="F2023">
        <v>5317</v>
      </c>
      <c r="G2023" t="s">
        <v>311</v>
      </c>
      <c r="H2023" s="1">
        <v>492030</v>
      </c>
      <c r="I2023" s="1">
        <v>0</v>
      </c>
      <c r="J2023" s="1">
        <v>492030</v>
      </c>
      <c r="K2023">
        <f>VLOOKUP(F2023,'LEAID Match'!$A$2:$C$2979,3,FALSE)</f>
        <v>0</v>
      </c>
    </row>
    <row r="2024" spans="1:11" x14ac:dyDescent="0.2">
      <c r="A2024">
        <v>0</v>
      </c>
      <c r="B2024">
        <v>2021</v>
      </c>
      <c r="C2024" t="s">
        <v>6</v>
      </c>
      <c r="D2024" t="s">
        <v>7</v>
      </c>
      <c r="E2024" t="s">
        <v>8</v>
      </c>
      <c r="F2024">
        <v>4931</v>
      </c>
      <c r="G2024" s="9" t="s">
        <v>10</v>
      </c>
      <c r="H2024" s="1">
        <v>3701</v>
      </c>
      <c r="I2024" s="1">
        <v>470200.26742565254</v>
      </c>
      <c r="J2024" s="1">
        <v>473901.26742565254</v>
      </c>
      <c r="K2024">
        <f>VLOOKUP(F2024,'LEAID Match'!$A$2:$C$2979,3,FALSE)</f>
        <v>0</v>
      </c>
    </row>
    <row r="2025" spans="1:11" x14ac:dyDescent="0.2">
      <c r="A2025">
        <v>0</v>
      </c>
      <c r="B2025">
        <v>2021</v>
      </c>
      <c r="C2025" t="s">
        <v>6</v>
      </c>
      <c r="D2025" t="s">
        <v>7</v>
      </c>
      <c r="E2025" t="s">
        <v>8</v>
      </c>
      <c r="F2025" s="3">
        <v>5045</v>
      </c>
      <c r="G2025" s="3" t="s">
        <v>11</v>
      </c>
      <c r="H2025" s="22">
        <v>3217</v>
      </c>
      <c r="I2025" s="1">
        <v>736322.24311870837</v>
      </c>
      <c r="J2025" s="1">
        <v>739539.24311870837</v>
      </c>
      <c r="K2025">
        <f>VLOOKUP(F2025,'LEAID Match'!$A$2:$C$2979,3,FALSE)</f>
        <v>0</v>
      </c>
    </row>
    <row r="2026" spans="1:11" x14ac:dyDescent="0.2">
      <c r="A2026">
        <v>0</v>
      </c>
      <c r="B2026">
        <v>2021</v>
      </c>
      <c r="C2026" t="s">
        <v>6</v>
      </c>
      <c r="D2026" t="s">
        <v>7</v>
      </c>
      <c r="E2026" t="s">
        <v>8</v>
      </c>
      <c r="F2026" s="3">
        <v>5047</v>
      </c>
      <c r="G2026" s="3" t="s">
        <v>13</v>
      </c>
      <c r="H2026" s="1">
        <v>5650</v>
      </c>
      <c r="I2026" s="21">
        <v>1595427.2160920547</v>
      </c>
      <c r="J2026" s="21">
        <v>1601077.2160920547</v>
      </c>
      <c r="K2026">
        <f>VLOOKUP(F2026,'LEAID Match'!$A$2:$C$2979,3,FALSE)</f>
        <v>0</v>
      </c>
    </row>
    <row r="2027" spans="1:11" x14ac:dyDescent="0.2">
      <c r="A2027">
        <v>0</v>
      </c>
      <c r="B2027">
        <v>2021</v>
      </c>
      <c r="C2027" t="s">
        <v>6</v>
      </c>
      <c r="D2027" t="s">
        <v>7</v>
      </c>
      <c r="E2027" t="s">
        <v>8</v>
      </c>
      <c r="F2027" s="3">
        <v>5048</v>
      </c>
      <c r="G2027" s="3" t="s">
        <v>14</v>
      </c>
      <c r="H2027" s="1">
        <v>66995</v>
      </c>
      <c r="I2027" s="1">
        <v>3242859.3374516186</v>
      </c>
      <c r="J2027" s="1">
        <v>3309854.3374516186</v>
      </c>
      <c r="K2027">
        <f>VLOOKUP(F2027,'LEAID Match'!$A$2:$C$2979,3,FALSE)</f>
        <v>0</v>
      </c>
    </row>
    <row r="2028" spans="1:11" x14ac:dyDescent="0.2">
      <c r="A2028">
        <v>0</v>
      </c>
      <c r="B2028">
        <v>2021</v>
      </c>
      <c r="C2028" t="s">
        <v>6</v>
      </c>
      <c r="D2028" t="s">
        <v>7</v>
      </c>
      <c r="E2028" t="s">
        <v>8</v>
      </c>
      <c r="F2028">
        <v>5049</v>
      </c>
      <c r="G2028" t="s">
        <v>15</v>
      </c>
      <c r="H2028" s="1">
        <v>103870</v>
      </c>
      <c r="I2028" s="1">
        <v>4632266.6249361672</v>
      </c>
      <c r="J2028" s="1">
        <v>4736136.6249361672</v>
      </c>
      <c r="K2028">
        <f>VLOOKUP(F2028,'LEAID Match'!$A$2:$C$2979,3,FALSE)</f>
        <v>0</v>
      </c>
    </row>
    <row r="2029" spans="1:11" x14ac:dyDescent="0.2">
      <c r="A2029">
        <v>0</v>
      </c>
      <c r="B2029">
        <v>2021</v>
      </c>
      <c r="C2029" t="s">
        <v>6</v>
      </c>
      <c r="D2029" t="s">
        <v>7</v>
      </c>
      <c r="E2029" t="s">
        <v>8</v>
      </c>
      <c r="F2029">
        <v>5050</v>
      </c>
      <c r="G2029" t="s">
        <v>16</v>
      </c>
      <c r="H2029" s="1">
        <v>19969</v>
      </c>
      <c r="I2029" s="1">
        <v>1104128.5805314844</v>
      </c>
      <c r="J2029" s="1">
        <v>1124097.5805314844</v>
      </c>
      <c r="K2029">
        <f>VLOOKUP(F2029,'LEAID Match'!$A$2:$C$2979,3,FALSE)</f>
        <v>0</v>
      </c>
    </row>
    <row r="2030" spans="1:11" x14ac:dyDescent="0.2">
      <c r="A2030">
        <v>0</v>
      </c>
      <c r="B2030">
        <v>2021</v>
      </c>
      <c r="C2030" t="s">
        <v>6</v>
      </c>
      <c r="D2030" t="s">
        <v>7</v>
      </c>
      <c r="E2030" t="s">
        <v>8</v>
      </c>
      <c r="F2030">
        <v>5107</v>
      </c>
      <c r="G2030" t="s">
        <v>17</v>
      </c>
      <c r="H2030" s="1">
        <v>22863</v>
      </c>
      <c r="I2030" s="1">
        <v>1769195.6531203955</v>
      </c>
      <c r="J2030" s="1">
        <v>1792058.6531203955</v>
      </c>
      <c r="K2030">
        <f>VLOOKUP(F2030,'LEAID Match'!$A$2:$C$2979,3,FALSE)</f>
        <v>0</v>
      </c>
    </row>
    <row r="2031" spans="1:11" x14ac:dyDescent="0.2">
      <c r="A2031">
        <v>0</v>
      </c>
      <c r="B2031">
        <v>2021</v>
      </c>
      <c r="C2031" t="s">
        <v>6</v>
      </c>
      <c r="D2031" t="s">
        <v>7</v>
      </c>
      <c r="E2031" t="s">
        <v>8</v>
      </c>
      <c r="F2031">
        <v>5108</v>
      </c>
      <c r="G2031" t="s">
        <v>18</v>
      </c>
      <c r="H2031" s="20">
        <v>23022</v>
      </c>
      <c r="I2031" s="1">
        <v>2309449.6629431145</v>
      </c>
      <c r="J2031" s="1">
        <v>2332471.6629431145</v>
      </c>
      <c r="K2031">
        <f>VLOOKUP(F2031,'LEAID Match'!$A$2:$C$2979,3,FALSE)</f>
        <v>0</v>
      </c>
    </row>
    <row r="2032" spans="1:11" x14ac:dyDescent="0.2">
      <c r="A2032">
        <v>0</v>
      </c>
      <c r="B2032">
        <v>2021</v>
      </c>
      <c r="C2032" t="s">
        <v>6</v>
      </c>
      <c r="D2032" t="s">
        <v>7</v>
      </c>
      <c r="E2032" t="s">
        <v>8</v>
      </c>
      <c r="F2032">
        <v>5109</v>
      </c>
      <c r="G2032" t="s">
        <v>19</v>
      </c>
      <c r="H2032" s="1">
        <v>47740</v>
      </c>
      <c r="I2032" s="1">
        <v>3728949.0966783371</v>
      </c>
      <c r="J2032" s="1">
        <v>3776689.0966783371</v>
      </c>
      <c r="K2032">
        <f>VLOOKUP(F2032,'LEAID Match'!$A$2:$C$2979,3,FALSE)</f>
        <v>0</v>
      </c>
    </row>
    <row r="2033" spans="1:11" x14ac:dyDescent="0.2">
      <c r="A2033">
        <v>0</v>
      </c>
      <c r="B2033">
        <v>2021</v>
      </c>
      <c r="C2033" t="s">
        <v>6</v>
      </c>
      <c r="D2033" t="s">
        <v>7</v>
      </c>
      <c r="E2033" t="s">
        <v>8</v>
      </c>
      <c r="F2033">
        <v>5110</v>
      </c>
      <c r="G2033" s="9" t="s">
        <v>20</v>
      </c>
      <c r="H2033" s="1">
        <v>24151</v>
      </c>
      <c r="I2033" s="1">
        <v>752926.14117856557</v>
      </c>
      <c r="J2033" s="1">
        <v>777077.14117856557</v>
      </c>
      <c r="K2033">
        <f>VLOOKUP(F2033,'LEAID Match'!$A$2:$C$2979,3,FALSE)</f>
        <v>0</v>
      </c>
    </row>
    <row r="2034" spans="1:11" x14ac:dyDescent="0.2">
      <c r="A2034">
        <v>0</v>
      </c>
      <c r="B2034">
        <v>2021</v>
      </c>
      <c r="C2034" t="s">
        <v>6</v>
      </c>
      <c r="D2034" t="s">
        <v>7</v>
      </c>
      <c r="E2034" t="s">
        <v>8</v>
      </c>
      <c r="F2034" s="3">
        <v>5111</v>
      </c>
      <c r="G2034" s="3" t="s">
        <v>21</v>
      </c>
      <c r="H2034" s="22">
        <v>74199</v>
      </c>
      <c r="I2034" s="1">
        <v>775682.31887113024</v>
      </c>
      <c r="J2034" s="1">
        <v>849881.31887113024</v>
      </c>
      <c r="K2034">
        <f>VLOOKUP(F2034,'LEAID Match'!$A$2:$C$2979,3,FALSE)</f>
        <v>0</v>
      </c>
    </row>
    <row r="2035" spans="1:11" x14ac:dyDescent="0.2">
      <c r="A2035">
        <v>0</v>
      </c>
      <c r="B2035">
        <v>2021</v>
      </c>
      <c r="C2035" t="s">
        <v>6</v>
      </c>
      <c r="D2035" t="s">
        <v>7</v>
      </c>
      <c r="E2035" t="s">
        <v>8</v>
      </c>
      <c r="F2035" s="3">
        <v>5112</v>
      </c>
      <c r="G2035" s="3" t="s">
        <v>22</v>
      </c>
      <c r="H2035" s="1">
        <v>217</v>
      </c>
      <c r="I2035" s="21">
        <v>923269.29853721568</v>
      </c>
      <c r="J2035" s="21">
        <v>923486.29853721568</v>
      </c>
      <c r="K2035">
        <f>VLOOKUP(F2035,'LEAID Match'!$A$2:$C$2979,3,FALSE)</f>
        <v>0</v>
      </c>
    </row>
    <row r="2036" spans="1:11" x14ac:dyDescent="0.2">
      <c r="A2036">
        <v>0</v>
      </c>
      <c r="B2036">
        <v>2021</v>
      </c>
      <c r="C2036" t="s">
        <v>6</v>
      </c>
      <c r="D2036" t="s">
        <v>7</v>
      </c>
      <c r="E2036" t="s">
        <v>8</v>
      </c>
      <c r="F2036" s="3">
        <v>5113</v>
      </c>
      <c r="G2036" s="3" t="s">
        <v>23</v>
      </c>
      <c r="H2036" s="1">
        <v>18873</v>
      </c>
      <c r="I2036" s="1">
        <v>837347.02885683556</v>
      </c>
      <c r="J2036" s="1">
        <v>856220.02885683556</v>
      </c>
      <c r="K2036">
        <f>VLOOKUP(F2036,'LEAID Match'!$A$2:$C$2979,3,FALSE)</f>
        <v>0</v>
      </c>
    </row>
    <row r="2037" spans="1:11" x14ac:dyDescent="0.2">
      <c r="A2037">
        <v>0</v>
      </c>
      <c r="B2037">
        <v>2021</v>
      </c>
      <c r="C2037" t="s">
        <v>6</v>
      </c>
      <c r="D2037" t="s">
        <v>7</v>
      </c>
      <c r="E2037" t="s">
        <v>8</v>
      </c>
      <c r="F2037">
        <v>5177</v>
      </c>
      <c r="G2037" t="s">
        <v>24</v>
      </c>
      <c r="H2037" s="1">
        <v>31823</v>
      </c>
      <c r="I2037" s="1">
        <v>969302.54155573016</v>
      </c>
      <c r="J2037" s="1">
        <v>1001125.5415557302</v>
      </c>
      <c r="K2037">
        <f>VLOOKUP(F2037,'LEAID Match'!$A$2:$C$2979,3,FALSE)</f>
        <v>0</v>
      </c>
    </row>
    <row r="2038" spans="1:11" x14ac:dyDescent="0.2">
      <c r="A2038">
        <v>0</v>
      </c>
      <c r="B2038">
        <v>2021</v>
      </c>
      <c r="C2038" t="s">
        <v>6</v>
      </c>
      <c r="D2038" t="s">
        <v>7</v>
      </c>
      <c r="E2038" t="s">
        <v>8</v>
      </c>
      <c r="F2038">
        <v>5178</v>
      </c>
      <c r="G2038" t="s">
        <v>25</v>
      </c>
      <c r="H2038" s="1">
        <v>24651</v>
      </c>
      <c r="I2038" s="1">
        <v>1583474.2156627947</v>
      </c>
      <c r="J2038" s="1">
        <v>1608125.2156627947</v>
      </c>
      <c r="K2038">
        <f>VLOOKUP(F2038,'LEAID Match'!$A$2:$C$2979,3,FALSE)</f>
        <v>0</v>
      </c>
    </row>
    <row r="2039" spans="1:11" x14ac:dyDescent="0.2">
      <c r="A2039">
        <v>0</v>
      </c>
      <c r="B2039">
        <v>2021</v>
      </c>
      <c r="C2039" t="s">
        <v>6</v>
      </c>
      <c r="D2039" t="s">
        <v>7</v>
      </c>
      <c r="E2039" t="s">
        <v>8</v>
      </c>
      <c r="F2039">
        <v>5179</v>
      </c>
      <c r="G2039" t="s">
        <v>26</v>
      </c>
      <c r="H2039" s="1">
        <v>17491</v>
      </c>
      <c r="I2039" s="1">
        <v>864013.89543781837</v>
      </c>
      <c r="J2039" s="1">
        <v>881504.89543781837</v>
      </c>
      <c r="K2039">
        <f>VLOOKUP(F2039,'LEAID Match'!$A$2:$C$2979,3,FALSE)</f>
        <v>0</v>
      </c>
    </row>
    <row r="2040" spans="1:11" x14ac:dyDescent="0.2">
      <c r="A2040">
        <v>0</v>
      </c>
      <c r="B2040">
        <v>2021</v>
      </c>
      <c r="C2040" t="s">
        <v>6</v>
      </c>
      <c r="D2040" t="s">
        <v>7</v>
      </c>
      <c r="E2040" t="s">
        <v>8</v>
      </c>
      <c r="F2040">
        <v>5180</v>
      </c>
      <c r="G2040" t="s">
        <v>27</v>
      </c>
      <c r="H2040" s="20">
        <v>3285</v>
      </c>
      <c r="I2040" s="1">
        <v>1177125.418689938</v>
      </c>
      <c r="J2040" s="1">
        <v>1180410.418689938</v>
      </c>
      <c r="K2040">
        <f>VLOOKUP(F2040,'LEAID Match'!$A$2:$C$2979,3,FALSE)</f>
        <v>0</v>
      </c>
    </row>
    <row r="2041" spans="1:11" x14ac:dyDescent="0.2">
      <c r="A2041">
        <v>0</v>
      </c>
      <c r="B2041">
        <v>2021</v>
      </c>
      <c r="C2041" t="s">
        <v>6</v>
      </c>
      <c r="D2041" t="s">
        <v>7</v>
      </c>
      <c r="E2041" t="s">
        <v>8</v>
      </c>
      <c r="F2041">
        <v>5404</v>
      </c>
      <c r="G2041" t="s">
        <v>28</v>
      </c>
      <c r="H2041" s="1">
        <v>12183</v>
      </c>
      <c r="I2041" s="1">
        <v>1381674.6057443565</v>
      </c>
      <c r="J2041" s="1">
        <v>1393857.6057443565</v>
      </c>
      <c r="K2041">
        <f>VLOOKUP(F2041,'LEAID Match'!$A$2:$C$2979,3,FALSE)</f>
        <v>0</v>
      </c>
    </row>
    <row r="2042" spans="1:11" x14ac:dyDescent="0.2">
      <c r="A2042">
        <v>0</v>
      </c>
      <c r="B2042">
        <v>2021</v>
      </c>
      <c r="C2042" t="s">
        <v>6</v>
      </c>
      <c r="D2042" t="s">
        <v>7</v>
      </c>
      <c r="E2042" t="s">
        <v>8</v>
      </c>
      <c r="F2042">
        <v>5406</v>
      </c>
      <c r="G2042" s="9" t="s">
        <v>29</v>
      </c>
      <c r="H2042" s="1">
        <v>34467</v>
      </c>
      <c r="I2042" s="1">
        <v>13396455.8561654</v>
      </c>
      <c r="J2042" s="1">
        <v>13430922.8561654</v>
      </c>
      <c r="K2042">
        <f>VLOOKUP(F2042,'LEAID Match'!$A$2:$C$2979,3,FALSE)</f>
        <v>0</v>
      </c>
    </row>
    <row r="2043" spans="1:11" x14ac:dyDescent="0.2">
      <c r="A2043">
        <v>2000046</v>
      </c>
      <c r="B2043">
        <v>2021</v>
      </c>
      <c r="C2043" t="s">
        <v>6</v>
      </c>
      <c r="D2043" t="s">
        <v>7</v>
      </c>
      <c r="E2043" t="s">
        <v>8</v>
      </c>
      <c r="F2043" s="3">
        <v>5596</v>
      </c>
      <c r="G2043" s="3" t="s">
        <v>30</v>
      </c>
      <c r="H2043" s="22">
        <v>67185</v>
      </c>
      <c r="I2043" s="1">
        <v>1167752.6665994283</v>
      </c>
      <c r="J2043" s="1">
        <v>1234937.6665994283</v>
      </c>
      <c r="K2043">
        <f>VLOOKUP(F2043,'LEAID Match'!$A$2:$C$2979,3,FALSE)</f>
        <v>2000046</v>
      </c>
    </row>
    <row r="2044" spans="1:11" x14ac:dyDescent="0.2">
      <c r="A2044">
        <v>0</v>
      </c>
      <c r="B2044">
        <v>2021</v>
      </c>
      <c r="C2044" t="s">
        <v>6</v>
      </c>
      <c r="D2044" t="s">
        <v>7</v>
      </c>
      <c r="E2044" t="s">
        <v>8</v>
      </c>
      <c r="F2044" s="3">
        <v>5600</v>
      </c>
      <c r="G2044" s="3" t="s">
        <v>31</v>
      </c>
      <c r="H2044" s="1">
        <v>60718</v>
      </c>
      <c r="I2044" s="21">
        <v>1361205.1731420092</v>
      </c>
      <c r="J2044" s="21">
        <v>1421923.1731420092</v>
      </c>
      <c r="K2044">
        <f>VLOOKUP(F2044,'LEAID Match'!$A$2:$C$2979,3,FALSE)</f>
        <v>0</v>
      </c>
    </row>
    <row r="2045" spans="1:11" x14ac:dyDescent="0.2">
      <c r="A2045">
        <v>2000048</v>
      </c>
      <c r="B2045">
        <v>2021</v>
      </c>
      <c r="C2045" t="s">
        <v>6</v>
      </c>
      <c r="D2045" t="s">
        <v>7</v>
      </c>
      <c r="E2045" t="s">
        <v>8</v>
      </c>
      <c r="F2045" s="3">
        <v>5604</v>
      </c>
      <c r="G2045" s="3" t="s">
        <v>32</v>
      </c>
      <c r="H2045" s="1">
        <v>47805</v>
      </c>
      <c r="I2045" s="1">
        <v>1249365.9215540953</v>
      </c>
      <c r="J2045" s="1">
        <v>1297170.9215540953</v>
      </c>
      <c r="K2045">
        <f>VLOOKUP(F2045,'LEAID Match'!$A$2:$C$2979,3,FALSE)</f>
        <v>2000048</v>
      </c>
    </row>
    <row r="2046" spans="1:11" x14ac:dyDescent="0.2">
      <c r="A2046">
        <v>2000035</v>
      </c>
      <c r="B2046">
        <v>2021</v>
      </c>
      <c r="C2046" t="s">
        <v>6</v>
      </c>
      <c r="D2046" t="s">
        <v>7</v>
      </c>
      <c r="E2046" t="s">
        <v>8</v>
      </c>
      <c r="F2046">
        <v>5608</v>
      </c>
      <c r="G2046" t="s">
        <v>33</v>
      </c>
      <c r="H2046" s="1">
        <v>1368</v>
      </c>
      <c r="I2046" s="1">
        <v>1174533.8817647058</v>
      </c>
      <c r="J2046" s="1">
        <v>1175901.8817647058</v>
      </c>
      <c r="K2046">
        <f>VLOOKUP(F2046,'LEAID Match'!$A$2:$C$2979,3,FALSE)</f>
        <v>2000035</v>
      </c>
    </row>
    <row r="2047" spans="1:11" x14ac:dyDescent="0.2">
      <c r="A2047">
        <v>2000039</v>
      </c>
      <c r="B2047">
        <v>2021</v>
      </c>
      <c r="C2047" t="s">
        <v>6</v>
      </c>
      <c r="D2047" t="s">
        <v>7</v>
      </c>
      <c r="E2047" t="s">
        <v>8</v>
      </c>
      <c r="F2047">
        <v>5609</v>
      </c>
      <c r="G2047" t="s">
        <v>34</v>
      </c>
      <c r="H2047" s="1">
        <v>40798</v>
      </c>
      <c r="I2047" s="1">
        <v>1279943.4770234965</v>
      </c>
      <c r="J2047" s="1">
        <v>1320741.4770234965</v>
      </c>
      <c r="K2047">
        <f>VLOOKUP(F2047,'LEAID Match'!$A$2:$C$2979,3,FALSE)</f>
        <v>2000039</v>
      </c>
    </row>
    <row r="2048" spans="1:11" x14ac:dyDescent="0.2">
      <c r="A2048">
        <v>2000041</v>
      </c>
      <c r="B2048">
        <v>2021</v>
      </c>
      <c r="C2048" t="s">
        <v>6</v>
      </c>
      <c r="D2048" t="s">
        <v>7</v>
      </c>
      <c r="E2048" t="s">
        <v>8</v>
      </c>
      <c r="F2048">
        <v>5612</v>
      </c>
      <c r="G2048" t="s">
        <v>35</v>
      </c>
      <c r="H2048" s="1">
        <v>81891</v>
      </c>
      <c r="I2048" s="1">
        <v>2642611.3284425349</v>
      </c>
      <c r="J2048" s="1">
        <v>2724502.3284425349</v>
      </c>
      <c r="K2048">
        <f>VLOOKUP(F2048,'LEAID Match'!$A$2:$C$2979,3,FALSE)</f>
        <v>2000041</v>
      </c>
    </row>
    <row r="2049" spans="1:11" x14ac:dyDescent="0.2">
      <c r="A2049">
        <v>0</v>
      </c>
      <c r="B2049">
        <v>2021</v>
      </c>
      <c r="C2049" t="s">
        <v>6</v>
      </c>
      <c r="D2049" t="s">
        <v>7</v>
      </c>
      <c r="E2049" t="s">
        <v>8</v>
      </c>
      <c r="F2049">
        <v>5624</v>
      </c>
      <c r="G2049" t="s">
        <v>36</v>
      </c>
      <c r="H2049" s="20">
        <v>13279</v>
      </c>
      <c r="I2049" s="1">
        <v>942495.37397132779</v>
      </c>
      <c r="J2049" s="1">
        <v>955774.37397132779</v>
      </c>
      <c r="K2049">
        <f>VLOOKUP(F2049,'LEAID Match'!$A$2:$C$2979,3,FALSE)</f>
        <v>0</v>
      </c>
    </row>
    <row r="2050" spans="1:11" x14ac:dyDescent="0.2">
      <c r="A2050">
        <v>2000044</v>
      </c>
      <c r="B2050">
        <v>2021</v>
      </c>
      <c r="C2050" t="s">
        <v>6</v>
      </c>
      <c r="D2050" t="s">
        <v>7</v>
      </c>
      <c r="E2050" t="s">
        <v>8</v>
      </c>
      <c r="F2050">
        <v>5626</v>
      </c>
      <c r="G2050" t="s">
        <v>37</v>
      </c>
      <c r="H2050" s="1">
        <v>13464</v>
      </c>
      <c r="I2050" s="1">
        <v>1095017.0785852729</v>
      </c>
      <c r="J2050" s="1">
        <v>1108481.0785852729</v>
      </c>
      <c r="K2050">
        <f>VLOOKUP(F2050,'LEAID Match'!$A$2:$C$2979,3,FALSE)</f>
        <v>2000044</v>
      </c>
    </row>
    <row r="2051" spans="1:11" x14ac:dyDescent="0.2">
      <c r="A2051">
        <v>2000047</v>
      </c>
      <c r="B2051">
        <v>2021</v>
      </c>
      <c r="C2051" t="s">
        <v>6</v>
      </c>
      <c r="D2051" t="s">
        <v>7</v>
      </c>
      <c r="E2051" t="s">
        <v>8</v>
      </c>
      <c r="F2051">
        <v>5634</v>
      </c>
      <c r="G2051" s="9" t="s">
        <v>38</v>
      </c>
      <c r="H2051" s="1">
        <v>117283</v>
      </c>
      <c r="I2051" s="1">
        <v>1599762.0333011549</v>
      </c>
      <c r="J2051" s="1">
        <v>1717045.0333011549</v>
      </c>
      <c r="K2051">
        <f>VLOOKUP(F2051,'LEAID Match'!$A$2:$C$2979,3,FALSE)</f>
        <v>2000047</v>
      </c>
    </row>
    <row r="2052" spans="1:11" x14ac:dyDescent="0.2">
      <c r="A2052">
        <v>2000051</v>
      </c>
      <c r="B2052">
        <v>2021</v>
      </c>
      <c r="C2052" t="s">
        <v>6</v>
      </c>
      <c r="D2052" t="s">
        <v>7</v>
      </c>
      <c r="E2052" t="s">
        <v>8</v>
      </c>
      <c r="F2052" s="3">
        <v>5638</v>
      </c>
      <c r="G2052" s="3" t="s">
        <v>39</v>
      </c>
      <c r="H2052" s="22">
        <v>22344</v>
      </c>
      <c r="I2052" s="1">
        <v>841627.01578873734</v>
      </c>
      <c r="J2052" s="1">
        <v>863971.01578873734</v>
      </c>
      <c r="K2052">
        <f>VLOOKUP(F2052,'LEAID Match'!$A$2:$C$2979,3,FALSE)</f>
        <v>2000051</v>
      </c>
    </row>
    <row r="2053" spans="1:11" x14ac:dyDescent="0.2">
      <c r="A2053">
        <v>2000033</v>
      </c>
      <c r="B2053">
        <v>2021</v>
      </c>
      <c r="C2053" t="s">
        <v>6</v>
      </c>
      <c r="D2053" t="s">
        <v>7</v>
      </c>
      <c r="E2053" t="s">
        <v>8</v>
      </c>
      <c r="F2053" s="3">
        <v>5655</v>
      </c>
      <c r="G2053" s="3" t="s">
        <v>40</v>
      </c>
      <c r="H2053" s="1">
        <v>2248</v>
      </c>
      <c r="I2053" s="21">
        <v>378414.38339546259</v>
      </c>
      <c r="J2053" s="21">
        <v>380662.38339546259</v>
      </c>
      <c r="K2053">
        <f>VLOOKUP(F2053,'LEAID Match'!$A$2:$C$2979,3,FALSE)</f>
        <v>2000033</v>
      </c>
    </row>
    <row r="2054" spans="1:11" x14ac:dyDescent="0.2">
      <c r="A2054">
        <v>0</v>
      </c>
      <c r="B2054">
        <v>2021</v>
      </c>
      <c r="C2054" t="s">
        <v>6</v>
      </c>
      <c r="D2054" t="s">
        <v>7</v>
      </c>
      <c r="E2054" t="s">
        <v>8</v>
      </c>
      <c r="F2054" s="3">
        <v>4930</v>
      </c>
      <c r="G2054" s="3" t="s">
        <v>353</v>
      </c>
      <c r="H2054" s="1">
        <v>8437</v>
      </c>
      <c r="I2054" s="1">
        <v>595266.51706008427</v>
      </c>
      <c r="J2054" s="1">
        <v>603703.51706008427</v>
      </c>
      <c r="K2054">
        <f>VLOOKUP(F2054,'LEAID Match'!$A$2:$C$2979,3,FALSE)</f>
        <v>0</v>
      </c>
    </row>
    <row r="2055" spans="1:11" x14ac:dyDescent="0.2">
      <c r="A2055">
        <v>2000040</v>
      </c>
      <c r="B2055">
        <v>2021</v>
      </c>
      <c r="C2055" t="s">
        <v>6</v>
      </c>
      <c r="D2055" t="s">
        <v>7</v>
      </c>
      <c r="E2055" t="s">
        <v>8</v>
      </c>
      <c r="F2055">
        <v>5671</v>
      </c>
      <c r="G2055" t="s">
        <v>42</v>
      </c>
      <c r="H2055" s="1">
        <v>24522</v>
      </c>
      <c r="I2055" s="1">
        <v>507020.41121961718</v>
      </c>
      <c r="J2055" s="1">
        <v>531542.41121961712</v>
      </c>
      <c r="K2055">
        <f>VLOOKUP(F2055,'LEAID Match'!$A$2:$C$2979,3,FALSE)</f>
        <v>2000040</v>
      </c>
    </row>
    <row r="2056" spans="1:11" x14ac:dyDescent="0.2">
      <c r="A2056">
        <v>2093310</v>
      </c>
      <c r="B2056">
        <v>2021</v>
      </c>
      <c r="C2056" t="s">
        <v>6</v>
      </c>
      <c r="D2056" t="s">
        <v>7</v>
      </c>
      <c r="E2056" t="s">
        <v>8</v>
      </c>
      <c r="F2056">
        <v>5682</v>
      </c>
      <c r="G2056" t="s">
        <v>43</v>
      </c>
      <c r="H2056" s="1">
        <v>157257</v>
      </c>
      <c r="I2056" s="1">
        <v>3606182.4933758164</v>
      </c>
      <c r="J2056" s="1">
        <v>3763439.4933758164</v>
      </c>
      <c r="K2056">
        <f>VLOOKUP(F2056,'LEAID Match'!$A$2:$C$2979,3,FALSE)</f>
        <v>2093310</v>
      </c>
    </row>
    <row r="2057" spans="1:11" x14ac:dyDescent="0.2">
      <c r="A2057">
        <v>2000043</v>
      </c>
      <c r="B2057">
        <v>2021</v>
      </c>
      <c r="C2057" t="s">
        <v>6</v>
      </c>
      <c r="D2057" t="s">
        <v>7</v>
      </c>
      <c r="E2057" t="s">
        <v>8</v>
      </c>
      <c r="F2057">
        <v>5688</v>
      </c>
      <c r="G2057" t="s">
        <v>44</v>
      </c>
      <c r="H2057" s="1">
        <v>7476</v>
      </c>
      <c r="I2057" s="1">
        <v>406210.10862464865</v>
      </c>
      <c r="J2057" s="1">
        <v>413686.10862464865</v>
      </c>
      <c r="K2057">
        <f>VLOOKUP(F2057,'LEAID Match'!$A$2:$C$2979,3,FALSE)</f>
        <v>2000043</v>
      </c>
    </row>
    <row r="2058" spans="1:11" x14ac:dyDescent="0.2">
      <c r="A2058">
        <v>2000045</v>
      </c>
      <c r="B2058">
        <v>2021</v>
      </c>
      <c r="C2058" t="s">
        <v>6</v>
      </c>
      <c r="D2058" t="s">
        <v>7</v>
      </c>
      <c r="E2058" t="s">
        <v>8</v>
      </c>
      <c r="F2058">
        <v>9034</v>
      </c>
      <c r="G2058" t="s">
        <v>45</v>
      </c>
      <c r="H2058" s="20">
        <v>92874</v>
      </c>
      <c r="I2058" s="1">
        <v>753745.37002611882</v>
      </c>
      <c r="J2058" s="1">
        <v>846619.37002611882</v>
      </c>
      <c r="K2058">
        <f>VLOOKUP(F2058,'LEAID Match'!$A$2:$C$2979,3,FALSE)</f>
        <v>2000045</v>
      </c>
    </row>
    <row r="2059" spans="1:11" x14ac:dyDescent="0.2">
      <c r="A2059">
        <v>0</v>
      </c>
      <c r="B2059">
        <v>2021</v>
      </c>
      <c r="C2059" t="s">
        <v>6</v>
      </c>
      <c r="D2059" t="s">
        <v>7</v>
      </c>
      <c r="E2059" t="s">
        <v>8</v>
      </c>
      <c r="F2059">
        <v>9042</v>
      </c>
      <c r="G2059" t="s">
        <v>46</v>
      </c>
      <c r="H2059" s="1">
        <v>6244</v>
      </c>
      <c r="I2059" s="1">
        <v>491327.6633543811</v>
      </c>
      <c r="J2059" s="1">
        <v>497571.6633543811</v>
      </c>
      <c r="K2059">
        <f>VLOOKUP(F2059,'LEAID Match'!$A$2:$C$2979,3,FALSE)</f>
        <v>0</v>
      </c>
    </row>
    <row r="2060" spans="1:11" x14ac:dyDescent="0.2">
      <c r="A2060">
        <v>2000347</v>
      </c>
      <c r="B2060">
        <v>2021</v>
      </c>
      <c r="C2060" t="s">
        <v>6</v>
      </c>
      <c r="D2060" t="s">
        <v>7</v>
      </c>
      <c r="E2060" t="s">
        <v>8</v>
      </c>
      <c r="F2060">
        <v>9047</v>
      </c>
      <c r="G2060" s="9" t="s">
        <v>47</v>
      </c>
      <c r="H2060" s="1">
        <v>16296</v>
      </c>
      <c r="I2060" s="1">
        <v>424258.94575420604</v>
      </c>
      <c r="J2060" s="1">
        <v>440554.94575420604</v>
      </c>
      <c r="K2060">
        <f>VLOOKUP(F2060,'LEAID Match'!$A$2:$C$2979,3,FALSE)</f>
        <v>2000347</v>
      </c>
    </row>
    <row r="2061" spans="1:11" x14ac:dyDescent="0.2">
      <c r="A2061">
        <v>2000049</v>
      </c>
      <c r="B2061">
        <v>2021</v>
      </c>
      <c r="C2061" t="s">
        <v>6</v>
      </c>
      <c r="D2061" t="s">
        <v>7</v>
      </c>
      <c r="E2061" t="s">
        <v>8</v>
      </c>
      <c r="F2061" s="3">
        <v>9055</v>
      </c>
      <c r="G2061" s="3" t="s">
        <v>49</v>
      </c>
      <c r="H2061" s="22">
        <v>78581</v>
      </c>
      <c r="I2061" s="1">
        <v>474151.27269436367</v>
      </c>
      <c r="J2061" s="1">
        <v>552732.27269436372</v>
      </c>
      <c r="K2061">
        <f>VLOOKUP(F2061,'LEAID Match'!$A$2:$C$2979,3,FALSE)</f>
        <v>2000049</v>
      </c>
    </row>
    <row r="2062" spans="1:11" x14ac:dyDescent="0.2">
      <c r="A2062" t="s">
        <v>371</v>
      </c>
      <c r="B2062">
        <v>2021</v>
      </c>
      <c r="C2062" t="s">
        <v>6</v>
      </c>
      <c r="D2062" t="s">
        <v>7</v>
      </c>
      <c r="E2062" t="s">
        <v>8</v>
      </c>
      <c r="F2062" s="3">
        <v>9056</v>
      </c>
      <c r="G2062" s="3" t="s">
        <v>50</v>
      </c>
      <c r="H2062" s="1">
        <v>27704</v>
      </c>
      <c r="I2062" s="21">
        <v>398353.25243315444</v>
      </c>
      <c r="J2062" s="21">
        <v>426057.25243315444</v>
      </c>
      <c r="K2062" t="str">
        <f>VLOOKUP(F2062,'LEAID Match'!$A$2:$C$2979,3,FALSE)</f>
        <v>20D0001</v>
      </c>
    </row>
    <row r="2063" spans="1:11" x14ac:dyDescent="0.2">
      <c r="A2063">
        <v>0</v>
      </c>
      <c r="B2063">
        <v>2021</v>
      </c>
      <c r="C2063" t="s">
        <v>6</v>
      </c>
      <c r="D2063" t="s">
        <v>7</v>
      </c>
      <c r="E2063" t="s">
        <v>8</v>
      </c>
      <c r="F2063" s="3">
        <v>9273</v>
      </c>
      <c r="G2063" s="3" t="s">
        <v>51</v>
      </c>
      <c r="H2063" s="1">
        <v>2866</v>
      </c>
      <c r="I2063" s="1">
        <v>798028.88213991828</v>
      </c>
      <c r="J2063" s="1">
        <v>800894.88213991828</v>
      </c>
      <c r="K2063">
        <f>VLOOKUP(F2063,'LEAID Match'!$A$2:$C$2979,3,FALSE)</f>
        <v>0</v>
      </c>
    </row>
    <row r="2064" spans="1:11" x14ac:dyDescent="0.2">
      <c r="A2064">
        <v>2000034</v>
      </c>
      <c r="B2064">
        <v>2021</v>
      </c>
      <c r="C2064" t="s">
        <v>6</v>
      </c>
      <c r="D2064" t="s">
        <v>7</v>
      </c>
      <c r="E2064" t="s">
        <v>8</v>
      </c>
      <c r="F2064">
        <v>9274</v>
      </c>
      <c r="G2064" t="s">
        <v>52</v>
      </c>
      <c r="H2064" s="1">
        <v>36147</v>
      </c>
      <c r="I2064" s="1">
        <v>2171762.7736217715</v>
      </c>
      <c r="J2064" s="1">
        <v>2207909.7736217715</v>
      </c>
      <c r="K2064">
        <f>VLOOKUP(F2064,'LEAID Match'!$A$2:$C$2979,3,FALSE)</f>
        <v>2000034</v>
      </c>
    </row>
    <row r="2065" spans="1:11" x14ac:dyDescent="0.2">
      <c r="A2065">
        <v>0</v>
      </c>
      <c r="B2065">
        <v>2021</v>
      </c>
      <c r="C2065" t="s">
        <v>6</v>
      </c>
      <c r="D2065" t="s">
        <v>7</v>
      </c>
      <c r="E2065" t="s">
        <v>8</v>
      </c>
      <c r="F2065">
        <v>9303</v>
      </c>
      <c r="G2065" t="s">
        <v>53</v>
      </c>
      <c r="H2065" s="1">
        <v>11160</v>
      </c>
      <c r="I2065" s="1">
        <v>1508571.2190440893</v>
      </c>
      <c r="J2065" s="1">
        <v>1519731.2190440893</v>
      </c>
      <c r="K2065">
        <f>VLOOKUP(F2065,'LEAID Match'!$A$2:$C$2979,3,FALSE)</f>
        <v>0</v>
      </c>
    </row>
    <row r="2066" spans="1:11" x14ac:dyDescent="0.2">
      <c r="A2066">
        <v>0</v>
      </c>
      <c r="B2066">
        <v>2021</v>
      </c>
      <c r="C2066" t="s">
        <v>6</v>
      </c>
      <c r="D2066" t="s">
        <v>7</v>
      </c>
      <c r="E2066" t="s">
        <v>8</v>
      </c>
      <c r="F2066">
        <v>9305</v>
      </c>
      <c r="G2066" t="s">
        <v>55</v>
      </c>
      <c r="H2066" s="1">
        <v>23162</v>
      </c>
      <c r="I2066" s="1">
        <v>589957.65610310575</v>
      </c>
      <c r="J2066" s="1">
        <v>613119.65610310575</v>
      </c>
      <c r="K2066">
        <f>VLOOKUP(F2066,'LEAID Match'!$A$2:$C$2979,3,FALSE)</f>
        <v>0</v>
      </c>
    </row>
    <row r="2067" spans="1:11" x14ac:dyDescent="0.2">
      <c r="A2067">
        <v>2000354</v>
      </c>
      <c r="B2067">
        <v>2021</v>
      </c>
      <c r="C2067" t="s">
        <v>6</v>
      </c>
      <c r="D2067" t="s">
        <v>7</v>
      </c>
      <c r="E2067" t="s">
        <v>8</v>
      </c>
      <c r="F2067">
        <v>9507</v>
      </c>
      <c r="G2067" t="s">
        <v>58</v>
      </c>
      <c r="H2067" s="20">
        <v>85542</v>
      </c>
      <c r="I2067" s="1">
        <v>2019382.9826664575</v>
      </c>
      <c r="J2067" s="1">
        <v>2104924.9826664575</v>
      </c>
      <c r="K2067">
        <f>VLOOKUP(F2067,'LEAID Match'!$A$2:$C$2979,3,FALSE)</f>
        <v>2000354</v>
      </c>
    </row>
    <row r="2068" spans="1:11" x14ac:dyDescent="0.2">
      <c r="A2068">
        <v>2012360</v>
      </c>
      <c r="B2068">
        <v>2021</v>
      </c>
      <c r="C2068" t="s">
        <v>6</v>
      </c>
      <c r="D2068" t="s">
        <v>7</v>
      </c>
      <c r="E2068" t="s">
        <v>8</v>
      </c>
      <c r="F2068">
        <v>4828</v>
      </c>
      <c r="G2068" t="s">
        <v>59</v>
      </c>
      <c r="H2068" s="1">
        <v>4192926</v>
      </c>
      <c r="I2068" s="1">
        <v>0</v>
      </c>
      <c r="J2068" s="1">
        <v>4192926</v>
      </c>
      <c r="K2068">
        <f>VLOOKUP(F2068,'LEAID Match'!$A$2:$C$2979,3,FALSE)</f>
        <v>2012360</v>
      </c>
    </row>
    <row r="2069" spans="1:11" x14ac:dyDescent="0.2">
      <c r="A2069">
        <v>2010680</v>
      </c>
      <c r="B2069">
        <v>2021</v>
      </c>
      <c r="C2069" t="s">
        <v>6</v>
      </c>
      <c r="D2069" t="s">
        <v>7</v>
      </c>
      <c r="E2069" t="s">
        <v>8</v>
      </c>
      <c r="F2069">
        <v>4829</v>
      </c>
      <c r="G2069" s="9" t="s">
        <v>60</v>
      </c>
      <c r="H2069" s="1">
        <v>1982353</v>
      </c>
      <c r="I2069" s="1">
        <v>0</v>
      </c>
      <c r="J2069" s="1">
        <v>1982353</v>
      </c>
      <c r="K2069">
        <f>VLOOKUP(F2069,'LEAID Match'!$A$2:$C$2979,3,FALSE)</f>
        <v>2010680</v>
      </c>
    </row>
    <row r="2070" spans="1:11" x14ac:dyDescent="0.2">
      <c r="A2070">
        <v>2008550</v>
      </c>
      <c r="B2070">
        <v>2021</v>
      </c>
      <c r="C2070" t="s">
        <v>6</v>
      </c>
      <c r="D2070" t="s">
        <v>7</v>
      </c>
      <c r="E2070" t="s">
        <v>8</v>
      </c>
      <c r="F2070" s="3">
        <v>4871</v>
      </c>
      <c r="G2070" s="3" t="s">
        <v>61</v>
      </c>
      <c r="H2070" s="22">
        <v>510604</v>
      </c>
      <c r="I2070" s="1">
        <v>0</v>
      </c>
      <c r="J2070" s="1">
        <v>510604</v>
      </c>
      <c r="K2070">
        <f>VLOOKUP(F2070,'LEAID Match'!$A$2:$C$2979,3,FALSE)</f>
        <v>2008550</v>
      </c>
    </row>
    <row r="2071" spans="1:11" x14ac:dyDescent="0.2">
      <c r="A2071">
        <v>2004050</v>
      </c>
      <c r="B2071">
        <v>2021</v>
      </c>
      <c r="C2071" t="s">
        <v>6</v>
      </c>
      <c r="D2071" t="s">
        <v>7</v>
      </c>
      <c r="E2071" t="s">
        <v>8</v>
      </c>
      <c r="F2071" s="3">
        <v>4882</v>
      </c>
      <c r="G2071" s="3" t="s">
        <v>62</v>
      </c>
      <c r="H2071" s="1">
        <v>2883682</v>
      </c>
      <c r="I2071" s="21">
        <v>0</v>
      </c>
      <c r="J2071" s="21">
        <v>2883682</v>
      </c>
      <c r="K2071">
        <f>VLOOKUP(F2071,'LEAID Match'!$A$2:$C$2979,3,FALSE)</f>
        <v>2004050</v>
      </c>
    </row>
    <row r="2072" spans="1:11" x14ac:dyDescent="0.2">
      <c r="A2072">
        <v>2006240</v>
      </c>
      <c r="B2072">
        <v>2021</v>
      </c>
      <c r="C2072" t="s">
        <v>6</v>
      </c>
      <c r="D2072" t="s">
        <v>7</v>
      </c>
      <c r="E2072" t="s">
        <v>8</v>
      </c>
      <c r="F2072" s="3">
        <v>4912</v>
      </c>
      <c r="G2072" s="3" t="s">
        <v>63</v>
      </c>
      <c r="H2072" s="1">
        <v>521436</v>
      </c>
      <c r="I2072" s="1">
        <v>0</v>
      </c>
      <c r="J2072" s="1">
        <v>521436</v>
      </c>
      <c r="K2072">
        <f>VLOOKUP(F2072,'LEAID Match'!$A$2:$C$2979,3,FALSE)</f>
        <v>2006240</v>
      </c>
    </row>
    <row r="2073" spans="1:11" x14ac:dyDescent="0.2">
      <c r="A2073">
        <v>2009720</v>
      </c>
      <c r="B2073">
        <v>2021</v>
      </c>
      <c r="C2073" t="s">
        <v>6</v>
      </c>
      <c r="D2073" t="s">
        <v>7</v>
      </c>
      <c r="E2073" t="s">
        <v>8</v>
      </c>
      <c r="F2073">
        <v>4977</v>
      </c>
      <c r="G2073" t="s">
        <v>64</v>
      </c>
      <c r="H2073" s="1">
        <v>218376</v>
      </c>
      <c r="I2073" s="1">
        <v>0</v>
      </c>
      <c r="J2073" s="1">
        <v>218376</v>
      </c>
      <c r="K2073">
        <f>VLOOKUP(F2073,'LEAID Match'!$A$2:$C$2979,3,FALSE)</f>
        <v>2009720</v>
      </c>
    </row>
    <row r="2074" spans="1:11" x14ac:dyDescent="0.2">
      <c r="A2074">
        <v>2010140</v>
      </c>
      <c r="B2074">
        <v>2021</v>
      </c>
      <c r="C2074" t="s">
        <v>6</v>
      </c>
      <c r="D2074" t="s">
        <v>7</v>
      </c>
      <c r="E2074" t="s">
        <v>8</v>
      </c>
      <c r="F2074">
        <v>4978</v>
      </c>
      <c r="G2074" t="s">
        <v>65</v>
      </c>
      <c r="H2074" s="1">
        <v>33315370</v>
      </c>
      <c r="I2074" s="1">
        <v>0</v>
      </c>
      <c r="J2074" s="1">
        <v>33315370</v>
      </c>
      <c r="K2074">
        <f>VLOOKUP(F2074,'LEAID Match'!$A$2:$C$2979,3,FALSE)</f>
        <v>2010140</v>
      </c>
    </row>
    <row r="2075" spans="1:11" x14ac:dyDescent="0.2">
      <c r="A2075">
        <v>2012900</v>
      </c>
      <c r="B2075">
        <v>2021</v>
      </c>
      <c r="C2075" t="s">
        <v>6</v>
      </c>
      <c r="D2075" t="s">
        <v>7</v>
      </c>
      <c r="E2075" t="s">
        <v>8</v>
      </c>
      <c r="F2075">
        <v>4979</v>
      </c>
      <c r="G2075" t="s">
        <v>66</v>
      </c>
      <c r="H2075" s="1">
        <v>110096</v>
      </c>
      <c r="I2075" s="1">
        <v>0</v>
      </c>
      <c r="J2075" s="1">
        <v>110096</v>
      </c>
      <c r="K2075">
        <f>VLOOKUP(F2075,'LEAID Match'!$A$2:$C$2979,3,FALSE)</f>
        <v>2012900</v>
      </c>
    </row>
    <row r="2076" spans="1:11" x14ac:dyDescent="0.2">
      <c r="A2076">
        <v>2010710</v>
      </c>
      <c r="B2076">
        <v>2021</v>
      </c>
      <c r="C2076" t="s">
        <v>6</v>
      </c>
      <c r="D2076" t="s">
        <v>7</v>
      </c>
      <c r="E2076" t="s">
        <v>8</v>
      </c>
      <c r="F2076">
        <v>4980</v>
      </c>
      <c r="G2076" t="s">
        <v>67</v>
      </c>
      <c r="H2076" s="20">
        <v>2583635</v>
      </c>
      <c r="I2076" s="1">
        <v>0</v>
      </c>
      <c r="J2076" s="1">
        <v>2583635</v>
      </c>
      <c r="K2076">
        <f>VLOOKUP(F2076,'LEAID Match'!$A$2:$C$2979,3,FALSE)</f>
        <v>2010710</v>
      </c>
    </row>
    <row r="2077" spans="1:11" x14ac:dyDescent="0.2">
      <c r="A2077">
        <v>2005940</v>
      </c>
      <c r="B2077">
        <v>2021</v>
      </c>
      <c r="C2077" t="s">
        <v>6</v>
      </c>
      <c r="D2077" t="s">
        <v>7</v>
      </c>
      <c r="E2077" t="s">
        <v>8</v>
      </c>
      <c r="F2077">
        <v>4981</v>
      </c>
      <c r="G2077" t="s">
        <v>68</v>
      </c>
      <c r="H2077" s="1">
        <v>5390604</v>
      </c>
      <c r="I2077" s="1">
        <v>0</v>
      </c>
      <c r="J2077" s="1">
        <v>5390604</v>
      </c>
      <c r="K2077">
        <f>VLOOKUP(F2077,'LEAID Match'!$A$2:$C$2979,3,FALSE)</f>
        <v>2005940</v>
      </c>
    </row>
    <row r="2078" spans="1:11" x14ac:dyDescent="0.2">
      <c r="A2078">
        <v>2012990</v>
      </c>
      <c r="B2078">
        <v>2021</v>
      </c>
      <c r="C2078" t="s">
        <v>6</v>
      </c>
      <c r="D2078" t="s">
        <v>7</v>
      </c>
      <c r="E2078" t="s">
        <v>8</v>
      </c>
      <c r="F2078">
        <v>4982</v>
      </c>
      <c r="G2078" s="9" t="s">
        <v>69</v>
      </c>
      <c r="H2078" s="1">
        <v>51045464</v>
      </c>
      <c r="I2078" s="1">
        <v>0</v>
      </c>
      <c r="J2078" s="1">
        <v>51045464</v>
      </c>
      <c r="K2078">
        <f>VLOOKUP(F2078,'LEAID Match'!$A$2:$C$2979,3,FALSE)</f>
        <v>2012990</v>
      </c>
    </row>
    <row r="2079" spans="1:11" x14ac:dyDescent="0.2">
      <c r="A2079">
        <v>2005460</v>
      </c>
      <c r="B2079">
        <v>2021</v>
      </c>
      <c r="C2079" t="s">
        <v>6</v>
      </c>
      <c r="D2079" t="s">
        <v>7</v>
      </c>
      <c r="E2079" t="s">
        <v>8</v>
      </c>
      <c r="F2079" s="3">
        <v>4983</v>
      </c>
      <c r="G2079" s="3" t="s">
        <v>70</v>
      </c>
      <c r="H2079" s="22">
        <v>6679425</v>
      </c>
      <c r="I2079" s="1">
        <v>0</v>
      </c>
      <c r="J2079" s="1">
        <v>6679425</v>
      </c>
      <c r="K2079">
        <f>VLOOKUP(F2079,'LEAID Match'!$A$2:$C$2979,3,FALSE)</f>
        <v>2005460</v>
      </c>
    </row>
    <row r="2080" spans="1:11" x14ac:dyDescent="0.2">
      <c r="A2080">
        <v>2012510</v>
      </c>
      <c r="B2080">
        <v>2021</v>
      </c>
      <c r="C2080" t="s">
        <v>6</v>
      </c>
      <c r="D2080" t="s">
        <v>7</v>
      </c>
      <c r="E2080" t="s">
        <v>8</v>
      </c>
      <c r="F2080" s="3">
        <v>4984</v>
      </c>
      <c r="G2080" s="3" t="s">
        <v>71</v>
      </c>
      <c r="H2080" s="1">
        <v>2408288</v>
      </c>
      <c r="I2080" s="21">
        <v>0</v>
      </c>
      <c r="J2080" s="21">
        <v>2408288</v>
      </c>
      <c r="K2080">
        <f>VLOOKUP(F2080,'LEAID Match'!$A$2:$C$2979,3,FALSE)</f>
        <v>2012510</v>
      </c>
    </row>
    <row r="2081" spans="1:11" x14ac:dyDescent="0.2">
      <c r="A2081">
        <v>2006540</v>
      </c>
      <c r="B2081">
        <v>2021</v>
      </c>
      <c r="C2081" t="s">
        <v>6</v>
      </c>
      <c r="D2081" t="s">
        <v>7</v>
      </c>
      <c r="E2081" t="s">
        <v>8</v>
      </c>
      <c r="F2081" s="3">
        <v>4985</v>
      </c>
      <c r="G2081" s="3" t="s">
        <v>72</v>
      </c>
      <c r="H2081" s="1">
        <v>4876374</v>
      </c>
      <c r="I2081" s="1">
        <v>0</v>
      </c>
      <c r="J2081" s="1">
        <v>4876374</v>
      </c>
      <c r="K2081">
        <f>VLOOKUP(F2081,'LEAID Match'!$A$2:$C$2979,3,FALSE)</f>
        <v>2006540</v>
      </c>
    </row>
    <row r="2082" spans="1:11" x14ac:dyDescent="0.2">
      <c r="A2082">
        <v>2009140</v>
      </c>
      <c r="B2082">
        <v>2021</v>
      </c>
      <c r="C2082" t="s">
        <v>6</v>
      </c>
      <c r="D2082" t="s">
        <v>7</v>
      </c>
      <c r="E2082" t="s">
        <v>8</v>
      </c>
      <c r="F2082">
        <v>4986</v>
      </c>
      <c r="G2082" t="s">
        <v>73</v>
      </c>
      <c r="H2082" s="1">
        <v>5592545</v>
      </c>
      <c r="I2082" s="1">
        <v>0</v>
      </c>
      <c r="J2082" s="1">
        <v>5592545</v>
      </c>
      <c r="K2082">
        <f>VLOOKUP(F2082,'LEAID Match'!$A$2:$C$2979,3,FALSE)</f>
        <v>2009140</v>
      </c>
    </row>
    <row r="2083" spans="1:11" x14ac:dyDescent="0.2">
      <c r="A2083">
        <v>2004670</v>
      </c>
      <c r="B2083">
        <v>2021</v>
      </c>
      <c r="C2083" t="s">
        <v>6</v>
      </c>
      <c r="D2083" t="s">
        <v>7</v>
      </c>
      <c r="E2083" t="s">
        <v>8</v>
      </c>
      <c r="F2083">
        <v>4987</v>
      </c>
      <c r="G2083" t="s">
        <v>74</v>
      </c>
      <c r="H2083" s="1">
        <v>696995</v>
      </c>
      <c r="I2083" s="1">
        <v>0</v>
      </c>
      <c r="J2083" s="1">
        <v>696995</v>
      </c>
      <c r="K2083">
        <f>VLOOKUP(F2083,'LEAID Match'!$A$2:$C$2979,3,FALSE)</f>
        <v>2004670</v>
      </c>
    </row>
    <row r="2084" spans="1:11" x14ac:dyDescent="0.2">
      <c r="A2084">
        <v>2000015</v>
      </c>
      <c r="B2084">
        <v>2021</v>
      </c>
      <c r="C2084" t="s">
        <v>6</v>
      </c>
      <c r="D2084" t="s">
        <v>7</v>
      </c>
      <c r="E2084" t="s">
        <v>8</v>
      </c>
      <c r="F2084">
        <v>4988</v>
      </c>
      <c r="G2084" t="s">
        <v>75</v>
      </c>
      <c r="H2084" s="1">
        <v>2555920</v>
      </c>
      <c r="I2084" s="1">
        <v>0</v>
      </c>
      <c r="J2084" s="1">
        <v>2555920</v>
      </c>
      <c r="K2084">
        <f>VLOOKUP(F2084,'LEAID Match'!$A$2:$C$2979,3,FALSE)</f>
        <v>2000015</v>
      </c>
    </row>
    <row r="2085" spans="1:11" x14ac:dyDescent="0.2">
      <c r="A2085">
        <v>2004080</v>
      </c>
      <c r="B2085">
        <v>2021</v>
      </c>
      <c r="C2085" t="s">
        <v>6</v>
      </c>
      <c r="D2085" t="s">
        <v>7</v>
      </c>
      <c r="E2085" t="s">
        <v>8</v>
      </c>
      <c r="F2085">
        <v>4990</v>
      </c>
      <c r="G2085" t="s">
        <v>76</v>
      </c>
      <c r="H2085" s="20">
        <v>160178</v>
      </c>
      <c r="I2085" s="1">
        <v>0</v>
      </c>
      <c r="J2085" s="1">
        <v>160178</v>
      </c>
      <c r="K2085">
        <f>VLOOKUP(F2085,'LEAID Match'!$A$2:$C$2979,3,FALSE)</f>
        <v>2004080</v>
      </c>
    </row>
    <row r="2086" spans="1:11" x14ac:dyDescent="0.2">
      <c r="A2086">
        <v>2003720</v>
      </c>
      <c r="B2086">
        <v>2021</v>
      </c>
      <c r="C2086" t="s">
        <v>6</v>
      </c>
      <c r="D2086" t="s">
        <v>7</v>
      </c>
      <c r="E2086" t="s">
        <v>8</v>
      </c>
      <c r="F2086">
        <v>4991</v>
      </c>
      <c r="G2086" t="s">
        <v>77</v>
      </c>
      <c r="H2086" s="1">
        <v>1101088</v>
      </c>
      <c r="I2086" s="1">
        <v>0</v>
      </c>
      <c r="J2086" s="1">
        <v>1101088</v>
      </c>
      <c r="K2086">
        <f>VLOOKUP(F2086,'LEAID Match'!$A$2:$C$2979,3,FALSE)</f>
        <v>2003720</v>
      </c>
    </row>
    <row r="2087" spans="1:11" x14ac:dyDescent="0.2">
      <c r="A2087">
        <v>2011970</v>
      </c>
      <c r="B2087">
        <v>2021</v>
      </c>
      <c r="C2087" t="s">
        <v>6</v>
      </c>
      <c r="D2087" t="s">
        <v>7</v>
      </c>
      <c r="E2087" t="s">
        <v>8</v>
      </c>
      <c r="F2087">
        <v>4992</v>
      </c>
      <c r="G2087" s="9" t="s">
        <v>78</v>
      </c>
      <c r="H2087" s="1">
        <v>288095</v>
      </c>
      <c r="I2087" s="1">
        <v>0</v>
      </c>
      <c r="J2087" s="1">
        <v>288095</v>
      </c>
      <c r="K2087">
        <f>VLOOKUP(F2087,'LEAID Match'!$A$2:$C$2979,3,FALSE)</f>
        <v>2011970</v>
      </c>
    </row>
    <row r="2088" spans="1:11" x14ac:dyDescent="0.2">
      <c r="A2088">
        <v>2006580</v>
      </c>
      <c r="B2088">
        <v>2021</v>
      </c>
      <c r="C2088" t="s">
        <v>6</v>
      </c>
      <c r="D2088" t="s">
        <v>7</v>
      </c>
      <c r="E2088" t="s">
        <v>8</v>
      </c>
      <c r="F2088" s="3">
        <v>4993</v>
      </c>
      <c r="G2088" s="3" t="s">
        <v>79</v>
      </c>
      <c r="H2088" s="22">
        <v>836222</v>
      </c>
      <c r="I2088" s="1">
        <v>0</v>
      </c>
      <c r="J2088" s="1">
        <v>836222</v>
      </c>
      <c r="K2088">
        <f>VLOOKUP(F2088,'LEAID Match'!$A$2:$C$2979,3,FALSE)</f>
        <v>2006580</v>
      </c>
    </row>
    <row r="2089" spans="1:11" x14ac:dyDescent="0.2">
      <c r="A2089">
        <v>2003430</v>
      </c>
      <c r="B2089">
        <v>2021</v>
      </c>
      <c r="C2089" t="s">
        <v>6</v>
      </c>
      <c r="D2089" t="s">
        <v>7</v>
      </c>
      <c r="E2089" t="s">
        <v>8</v>
      </c>
      <c r="F2089" s="3">
        <v>4994</v>
      </c>
      <c r="G2089" s="3" t="s">
        <v>80</v>
      </c>
      <c r="H2089" s="1">
        <v>197504</v>
      </c>
      <c r="I2089" s="21">
        <v>0</v>
      </c>
      <c r="J2089" s="21">
        <v>197504</v>
      </c>
      <c r="K2089">
        <f>VLOOKUP(F2089,'LEAID Match'!$A$2:$C$2979,3,FALSE)</f>
        <v>2003430</v>
      </c>
    </row>
    <row r="2090" spans="1:11" x14ac:dyDescent="0.2">
      <c r="A2090">
        <v>2007350</v>
      </c>
      <c r="B2090">
        <v>2021</v>
      </c>
      <c r="C2090" t="s">
        <v>6</v>
      </c>
      <c r="D2090" t="s">
        <v>7</v>
      </c>
      <c r="E2090" t="s">
        <v>8</v>
      </c>
      <c r="F2090" s="3">
        <v>4995</v>
      </c>
      <c r="G2090" s="3" t="s">
        <v>81</v>
      </c>
      <c r="H2090" s="1">
        <v>862081</v>
      </c>
      <c r="I2090" s="1">
        <v>0</v>
      </c>
      <c r="J2090" s="1">
        <v>862081</v>
      </c>
      <c r="K2090">
        <f>VLOOKUP(F2090,'LEAID Match'!$A$2:$C$2979,3,FALSE)</f>
        <v>2007350</v>
      </c>
    </row>
    <row r="2091" spans="1:11" x14ac:dyDescent="0.2">
      <c r="A2091">
        <v>2009630</v>
      </c>
      <c r="B2091">
        <v>2021</v>
      </c>
      <c r="C2091" t="s">
        <v>6</v>
      </c>
      <c r="D2091" t="s">
        <v>7</v>
      </c>
      <c r="E2091" t="s">
        <v>8</v>
      </c>
      <c r="F2091">
        <v>4996</v>
      </c>
      <c r="G2091" t="s">
        <v>82</v>
      </c>
      <c r="H2091" s="1">
        <v>261574</v>
      </c>
      <c r="I2091" s="1">
        <v>0</v>
      </c>
      <c r="J2091" s="1">
        <v>261574</v>
      </c>
      <c r="K2091">
        <f>VLOOKUP(F2091,'LEAID Match'!$A$2:$C$2979,3,FALSE)</f>
        <v>2009630</v>
      </c>
    </row>
    <row r="2092" spans="1:11" x14ac:dyDescent="0.2">
      <c r="A2092">
        <v>2009960</v>
      </c>
      <c r="B2092">
        <v>2021</v>
      </c>
      <c r="C2092" t="s">
        <v>6</v>
      </c>
      <c r="D2092" t="s">
        <v>7</v>
      </c>
      <c r="E2092" t="s">
        <v>8</v>
      </c>
      <c r="F2092">
        <v>4997</v>
      </c>
      <c r="G2092" t="s">
        <v>83</v>
      </c>
      <c r="H2092" s="1">
        <v>3793574</v>
      </c>
      <c r="I2092" s="1">
        <v>0</v>
      </c>
      <c r="J2092" s="1">
        <v>3793574</v>
      </c>
      <c r="K2092">
        <f>VLOOKUP(F2092,'LEAID Match'!$A$2:$C$2979,3,FALSE)</f>
        <v>2009960</v>
      </c>
    </row>
    <row r="2093" spans="1:11" x14ac:dyDescent="0.2">
      <c r="A2093">
        <v>2012030</v>
      </c>
      <c r="B2093">
        <v>2021</v>
      </c>
      <c r="C2093" t="s">
        <v>6</v>
      </c>
      <c r="D2093" t="s">
        <v>7</v>
      </c>
      <c r="E2093" t="s">
        <v>8</v>
      </c>
      <c r="F2093">
        <v>4998</v>
      </c>
      <c r="G2093" t="s">
        <v>84</v>
      </c>
      <c r="H2093" s="1">
        <v>463150</v>
      </c>
      <c r="I2093" s="1">
        <v>0</v>
      </c>
      <c r="J2093" s="1">
        <v>463150</v>
      </c>
      <c r="K2093">
        <f>VLOOKUP(F2093,'LEAID Match'!$A$2:$C$2979,3,FALSE)</f>
        <v>2012030</v>
      </c>
    </row>
    <row r="2094" spans="1:11" x14ac:dyDescent="0.2">
      <c r="A2094">
        <v>2009180</v>
      </c>
      <c r="B2094">
        <v>2021</v>
      </c>
      <c r="C2094" t="s">
        <v>6</v>
      </c>
      <c r="D2094" t="s">
        <v>7</v>
      </c>
      <c r="E2094" t="s">
        <v>8</v>
      </c>
      <c r="F2094">
        <v>4999</v>
      </c>
      <c r="G2094" t="s">
        <v>352</v>
      </c>
      <c r="H2094" s="20">
        <v>7084430</v>
      </c>
      <c r="I2094" s="1">
        <v>0</v>
      </c>
      <c r="J2094" s="1">
        <v>7084430</v>
      </c>
      <c r="K2094">
        <f>VLOOKUP(F2094,'LEAID Match'!$A$2:$C$2979,3,FALSE)</f>
        <v>2009180</v>
      </c>
    </row>
    <row r="2095" spans="1:11" x14ac:dyDescent="0.2">
      <c r="A2095">
        <v>2003360</v>
      </c>
      <c r="B2095">
        <v>2021</v>
      </c>
      <c r="C2095" t="s">
        <v>6</v>
      </c>
      <c r="D2095" t="s">
        <v>7</v>
      </c>
      <c r="E2095" t="s">
        <v>8</v>
      </c>
      <c r="F2095">
        <v>5000</v>
      </c>
      <c r="G2095" t="s">
        <v>86</v>
      </c>
      <c r="H2095" s="1">
        <v>4345118</v>
      </c>
      <c r="I2095" s="1">
        <v>0</v>
      </c>
      <c r="J2095" s="1">
        <v>4345118</v>
      </c>
      <c r="K2095">
        <f>VLOOKUP(F2095,'LEAID Match'!$A$2:$C$2979,3,FALSE)</f>
        <v>2003360</v>
      </c>
    </row>
    <row r="2096" spans="1:11" x14ac:dyDescent="0.2">
      <c r="A2096">
        <v>2009090</v>
      </c>
      <c r="B2096">
        <v>2021</v>
      </c>
      <c r="C2096" t="s">
        <v>6</v>
      </c>
      <c r="D2096" t="s">
        <v>7</v>
      </c>
      <c r="E2096" t="s">
        <v>8</v>
      </c>
      <c r="F2096">
        <v>5001</v>
      </c>
      <c r="G2096" s="9" t="s">
        <v>87</v>
      </c>
      <c r="H2096" s="1">
        <v>270026</v>
      </c>
      <c r="I2096" s="1">
        <v>0</v>
      </c>
      <c r="J2096" s="1">
        <v>270026</v>
      </c>
      <c r="K2096">
        <f>VLOOKUP(F2096,'LEAID Match'!$A$2:$C$2979,3,FALSE)</f>
        <v>2009090</v>
      </c>
    </row>
    <row r="2097" spans="1:11" x14ac:dyDescent="0.2">
      <c r="A2097">
        <v>2006870</v>
      </c>
      <c r="B2097">
        <v>2021</v>
      </c>
      <c r="C2097" t="s">
        <v>6</v>
      </c>
      <c r="D2097" t="s">
        <v>7</v>
      </c>
      <c r="E2097" t="s">
        <v>8</v>
      </c>
      <c r="F2097" s="3">
        <v>5002</v>
      </c>
      <c r="G2097" s="3" t="s">
        <v>88</v>
      </c>
      <c r="H2097" s="22">
        <v>108349</v>
      </c>
      <c r="I2097" s="1">
        <v>0</v>
      </c>
      <c r="J2097" s="1">
        <v>108349</v>
      </c>
      <c r="K2097">
        <f>VLOOKUP(F2097,'LEAID Match'!$A$2:$C$2979,3,FALSE)</f>
        <v>2006870</v>
      </c>
    </row>
    <row r="2098" spans="1:11" x14ac:dyDescent="0.2">
      <c r="A2098">
        <v>2011250</v>
      </c>
      <c r="B2098">
        <v>2021</v>
      </c>
      <c r="C2098" t="s">
        <v>6</v>
      </c>
      <c r="D2098" t="s">
        <v>7</v>
      </c>
      <c r="E2098" t="s">
        <v>8</v>
      </c>
      <c r="F2098" s="3">
        <v>5004</v>
      </c>
      <c r="G2098" s="3" t="s">
        <v>89</v>
      </c>
      <c r="H2098" s="1">
        <v>1308556</v>
      </c>
      <c r="I2098" s="21">
        <v>0</v>
      </c>
      <c r="J2098" s="21">
        <v>1308556</v>
      </c>
      <c r="K2098">
        <f>VLOOKUP(F2098,'LEAID Match'!$A$2:$C$2979,3,FALSE)</f>
        <v>2011250</v>
      </c>
    </row>
    <row r="2099" spans="1:11" x14ac:dyDescent="0.2">
      <c r="A2099">
        <v>2005610</v>
      </c>
      <c r="B2099">
        <v>2021</v>
      </c>
      <c r="C2099" t="s">
        <v>6</v>
      </c>
      <c r="D2099" t="s">
        <v>7</v>
      </c>
      <c r="E2099" t="s">
        <v>8</v>
      </c>
      <c r="F2099" s="3">
        <v>5005</v>
      </c>
      <c r="G2099" s="3" t="s">
        <v>90</v>
      </c>
      <c r="H2099" s="1">
        <v>641408</v>
      </c>
      <c r="I2099" s="1">
        <v>0</v>
      </c>
      <c r="J2099" s="1">
        <v>641408</v>
      </c>
      <c r="K2099">
        <f>VLOOKUP(F2099,'LEAID Match'!$A$2:$C$2979,3,FALSE)</f>
        <v>2005610</v>
      </c>
    </row>
    <row r="2100" spans="1:11" x14ac:dyDescent="0.2">
      <c r="A2100">
        <v>2010590</v>
      </c>
      <c r="B2100">
        <v>2021</v>
      </c>
      <c r="C2100" t="s">
        <v>6</v>
      </c>
      <c r="D2100" t="s">
        <v>7</v>
      </c>
      <c r="E2100" t="s">
        <v>8</v>
      </c>
      <c r="F2100">
        <v>5006</v>
      </c>
      <c r="G2100" t="s">
        <v>91</v>
      </c>
      <c r="H2100" s="1">
        <v>274114</v>
      </c>
      <c r="I2100" s="1">
        <v>0</v>
      </c>
      <c r="J2100" s="1">
        <v>274114</v>
      </c>
      <c r="K2100">
        <f>VLOOKUP(F2100,'LEAID Match'!$A$2:$C$2979,3,FALSE)</f>
        <v>2010590</v>
      </c>
    </row>
    <row r="2101" spans="1:11" x14ac:dyDescent="0.2">
      <c r="A2101">
        <v>2009850</v>
      </c>
      <c r="B2101">
        <v>2021</v>
      </c>
      <c r="C2101" t="s">
        <v>6</v>
      </c>
      <c r="D2101" t="s">
        <v>7</v>
      </c>
      <c r="E2101" t="s">
        <v>8</v>
      </c>
      <c r="F2101">
        <v>5007</v>
      </c>
      <c r="G2101" t="s">
        <v>143</v>
      </c>
      <c r="H2101" s="1">
        <v>154343</v>
      </c>
      <c r="I2101" s="1">
        <v>0</v>
      </c>
      <c r="J2101" s="1">
        <v>154343</v>
      </c>
      <c r="K2101">
        <f>VLOOKUP(F2101,'LEAID Match'!$A$2:$C$2979,3,FALSE)</f>
        <v>2009850</v>
      </c>
    </row>
    <row r="2102" spans="1:11" x14ac:dyDescent="0.2">
      <c r="A2102">
        <v>2011130</v>
      </c>
      <c r="B2102">
        <v>2021</v>
      </c>
      <c r="C2102" t="s">
        <v>6</v>
      </c>
      <c r="D2102" t="s">
        <v>7</v>
      </c>
      <c r="E2102" t="s">
        <v>8</v>
      </c>
      <c r="F2102">
        <v>5008</v>
      </c>
      <c r="G2102" t="s">
        <v>92</v>
      </c>
      <c r="H2102" s="1">
        <v>703381</v>
      </c>
      <c r="I2102" s="1">
        <v>0</v>
      </c>
      <c r="J2102" s="1">
        <v>703381</v>
      </c>
      <c r="K2102">
        <f>VLOOKUP(F2102,'LEAID Match'!$A$2:$C$2979,3,FALSE)</f>
        <v>2011130</v>
      </c>
    </row>
    <row r="2103" spans="1:11" x14ac:dyDescent="0.2">
      <c r="A2103">
        <v>2003540</v>
      </c>
      <c r="B2103">
        <v>2021</v>
      </c>
      <c r="C2103" t="s">
        <v>6</v>
      </c>
      <c r="D2103" t="s">
        <v>7</v>
      </c>
      <c r="E2103" t="s">
        <v>8</v>
      </c>
      <c r="F2103">
        <v>5010</v>
      </c>
      <c r="G2103" t="s">
        <v>93</v>
      </c>
      <c r="H2103" s="20">
        <v>1692803</v>
      </c>
      <c r="I2103" s="1">
        <v>0</v>
      </c>
      <c r="J2103" s="1">
        <v>1692803</v>
      </c>
      <c r="K2103">
        <f>VLOOKUP(F2103,'LEAID Match'!$A$2:$C$2979,3,FALSE)</f>
        <v>2003540</v>
      </c>
    </row>
    <row r="2104" spans="1:11" x14ac:dyDescent="0.2">
      <c r="A2104">
        <v>2010230</v>
      </c>
      <c r="B2104">
        <v>2021</v>
      </c>
      <c r="C2104" t="s">
        <v>6</v>
      </c>
      <c r="D2104" t="s">
        <v>7</v>
      </c>
      <c r="E2104" t="s">
        <v>8</v>
      </c>
      <c r="F2104">
        <v>5011</v>
      </c>
      <c r="G2104" t="s">
        <v>94</v>
      </c>
      <c r="H2104" s="1">
        <v>587086</v>
      </c>
      <c r="I2104" s="1">
        <v>0</v>
      </c>
      <c r="J2104" s="1">
        <v>587086</v>
      </c>
      <c r="K2104">
        <f>VLOOKUP(F2104,'LEAID Match'!$A$2:$C$2979,3,FALSE)</f>
        <v>2010230</v>
      </c>
    </row>
    <row r="2105" spans="1:11" x14ac:dyDescent="0.2">
      <c r="A2105">
        <v>2009000</v>
      </c>
      <c r="B2105">
        <v>2021</v>
      </c>
      <c r="C2105" t="s">
        <v>6</v>
      </c>
      <c r="D2105" t="s">
        <v>7</v>
      </c>
      <c r="E2105" t="s">
        <v>8</v>
      </c>
      <c r="F2105">
        <v>5012</v>
      </c>
      <c r="G2105" s="9" t="s">
        <v>95</v>
      </c>
      <c r="H2105" s="1">
        <v>386506</v>
      </c>
      <c r="I2105" s="1">
        <v>0</v>
      </c>
      <c r="J2105" s="1">
        <v>386506</v>
      </c>
      <c r="K2105">
        <f>VLOOKUP(F2105,'LEAID Match'!$A$2:$C$2979,3,FALSE)</f>
        <v>2009000</v>
      </c>
    </row>
    <row r="2106" spans="1:11" x14ac:dyDescent="0.2">
      <c r="A2106">
        <v>2000037</v>
      </c>
      <c r="B2106">
        <v>2021</v>
      </c>
      <c r="C2106" t="s">
        <v>6</v>
      </c>
      <c r="D2106" t="s">
        <v>7</v>
      </c>
      <c r="E2106" t="s">
        <v>8</v>
      </c>
      <c r="F2106" s="3">
        <v>5657</v>
      </c>
      <c r="G2106" s="3" t="s">
        <v>354</v>
      </c>
      <c r="H2106" s="22">
        <v>1789</v>
      </c>
      <c r="I2106" s="1">
        <v>208996.89012833912</v>
      </c>
      <c r="J2106" s="1">
        <v>210785.89012833912</v>
      </c>
      <c r="K2106">
        <f>VLOOKUP(F2106,'LEAID Match'!$A$2:$C$2979,3,FALSE)</f>
        <v>2000037</v>
      </c>
    </row>
    <row r="2107" spans="1:11" x14ac:dyDescent="0.2">
      <c r="A2107">
        <v>2007650</v>
      </c>
      <c r="B2107">
        <v>2021</v>
      </c>
      <c r="C2107" t="s">
        <v>6</v>
      </c>
      <c r="D2107" t="s">
        <v>7</v>
      </c>
      <c r="E2107" t="s">
        <v>8</v>
      </c>
      <c r="F2107" s="3">
        <v>5014</v>
      </c>
      <c r="G2107" s="3" t="s">
        <v>97</v>
      </c>
      <c r="H2107" s="1">
        <v>1530355</v>
      </c>
      <c r="I2107" s="21">
        <v>0</v>
      </c>
      <c r="J2107" s="21">
        <v>1530355</v>
      </c>
      <c r="K2107">
        <f>VLOOKUP(F2107,'LEAID Match'!$A$2:$C$2979,3,FALSE)</f>
        <v>2007650</v>
      </c>
    </row>
    <row r="2108" spans="1:11" x14ac:dyDescent="0.2">
      <c r="A2108">
        <v>2007710</v>
      </c>
      <c r="B2108">
        <v>2021</v>
      </c>
      <c r="C2108" t="s">
        <v>6</v>
      </c>
      <c r="D2108" t="s">
        <v>7</v>
      </c>
      <c r="E2108" t="s">
        <v>8</v>
      </c>
      <c r="F2108" s="3">
        <v>5015</v>
      </c>
      <c r="G2108" s="3" t="s">
        <v>98</v>
      </c>
      <c r="H2108" s="1">
        <v>428165</v>
      </c>
      <c r="I2108" s="1">
        <v>0</v>
      </c>
      <c r="J2108" s="1">
        <v>428165</v>
      </c>
      <c r="K2108">
        <f>VLOOKUP(F2108,'LEAID Match'!$A$2:$C$2979,3,FALSE)</f>
        <v>2007710</v>
      </c>
    </row>
    <row r="2109" spans="1:11" x14ac:dyDescent="0.2">
      <c r="A2109">
        <v>2005640</v>
      </c>
      <c r="B2109">
        <v>2021</v>
      </c>
      <c r="C2109" t="s">
        <v>6</v>
      </c>
      <c r="D2109" t="s">
        <v>7</v>
      </c>
      <c r="E2109" t="s">
        <v>8</v>
      </c>
      <c r="F2109">
        <v>5016</v>
      </c>
      <c r="G2109" t="s">
        <v>99</v>
      </c>
      <c r="H2109" s="1">
        <v>586407</v>
      </c>
      <c r="I2109" s="1">
        <v>0</v>
      </c>
      <c r="J2109" s="1">
        <v>586407</v>
      </c>
      <c r="K2109">
        <f>VLOOKUP(F2109,'LEAID Match'!$A$2:$C$2979,3,FALSE)</f>
        <v>2005640</v>
      </c>
    </row>
    <row r="2110" spans="1:11" x14ac:dyDescent="0.2">
      <c r="A2110">
        <v>2008430</v>
      </c>
      <c r="B2110">
        <v>2021</v>
      </c>
      <c r="C2110" t="s">
        <v>6</v>
      </c>
      <c r="D2110" t="s">
        <v>7</v>
      </c>
      <c r="E2110" t="s">
        <v>8</v>
      </c>
      <c r="F2110">
        <v>5017</v>
      </c>
      <c r="G2110" t="s">
        <v>100</v>
      </c>
      <c r="H2110" s="1">
        <v>3789590</v>
      </c>
      <c r="I2110" s="1">
        <v>0</v>
      </c>
      <c r="J2110" s="1">
        <v>3789590</v>
      </c>
      <c r="K2110">
        <f>VLOOKUP(F2110,'LEAID Match'!$A$2:$C$2979,3,FALSE)</f>
        <v>2008430</v>
      </c>
    </row>
    <row r="2111" spans="1:11" x14ac:dyDescent="0.2">
      <c r="A2111">
        <v>2009480</v>
      </c>
      <c r="B2111">
        <v>2021</v>
      </c>
      <c r="C2111" t="s">
        <v>6</v>
      </c>
      <c r="D2111" t="s">
        <v>7</v>
      </c>
      <c r="E2111" t="s">
        <v>8</v>
      </c>
      <c r="F2111">
        <v>5018</v>
      </c>
      <c r="G2111" t="s">
        <v>101</v>
      </c>
      <c r="H2111" s="1">
        <v>255474</v>
      </c>
      <c r="I2111" s="1">
        <v>0</v>
      </c>
      <c r="J2111" s="1">
        <v>255474</v>
      </c>
      <c r="K2111">
        <f>VLOOKUP(F2111,'LEAID Match'!$A$2:$C$2979,3,FALSE)</f>
        <v>2009480</v>
      </c>
    </row>
    <row r="2112" spans="1:11" x14ac:dyDescent="0.2">
      <c r="A2112">
        <v>2003450</v>
      </c>
      <c r="B2112">
        <v>2021</v>
      </c>
      <c r="C2112" t="s">
        <v>6</v>
      </c>
      <c r="D2112" t="s">
        <v>7</v>
      </c>
      <c r="E2112" t="s">
        <v>8</v>
      </c>
      <c r="F2112">
        <v>5019</v>
      </c>
      <c r="G2112" t="s">
        <v>102</v>
      </c>
      <c r="H2112" s="20">
        <v>2678494</v>
      </c>
      <c r="I2112" s="1">
        <v>0</v>
      </c>
      <c r="J2112" s="1">
        <v>2678494</v>
      </c>
      <c r="K2112">
        <f>VLOOKUP(F2112,'LEAID Match'!$A$2:$C$2979,3,FALSE)</f>
        <v>2003450</v>
      </c>
    </row>
    <row r="2113" spans="1:11" x14ac:dyDescent="0.2">
      <c r="A2113">
        <v>2007890</v>
      </c>
      <c r="B2113">
        <v>2021</v>
      </c>
      <c r="C2113" t="s">
        <v>6</v>
      </c>
      <c r="D2113" t="s">
        <v>7</v>
      </c>
      <c r="E2113" t="s">
        <v>8</v>
      </c>
      <c r="F2113">
        <v>5020</v>
      </c>
      <c r="G2113" t="s">
        <v>103</v>
      </c>
      <c r="H2113" s="1">
        <v>7635691</v>
      </c>
      <c r="I2113" s="1">
        <v>0</v>
      </c>
      <c r="J2113" s="1">
        <v>7635691</v>
      </c>
      <c r="K2113">
        <f>VLOOKUP(F2113,'LEAID Match'!$A$2:$C$2979,3,FALSE)</f>
        <v>2007890</v>
      </c>
    </row>
    <row r="2114" spans="1:11" x14ac:dyDescent="0.2">
      <c r="A2114">
        <v>2007680</v>
      </c>
      <c r="B2114">
        <v>2021</v>
      </c>
      <c r="C2114" t="s">
        <v>6</v>
      </c>
      <c r="D2114" t="s">
        <v>7</v>
      </c>
      <c r="E2114" t="s">
        <v>8</v>
      </c>
      <c r="F2114">
        <v>5021</v>
      </c>
      <c r="G2114" s="9" t="s">
        <v>104</v>
      </c>
      <c r="H2114" s="1">
        <v>275004</v>
      </c>
      <c r="I2114" s="1">
        <v>0</v>
      </c>
      <c r="J2114" s="1">
        <v>275004</v>
      </c>
      <c r="K2114">
        <f>VLOOKUP(F2114,'LEAID Match'!$A$2:$C$2979,3,FALSE)</f>
        <v>2007680</v>
      </c>
    </row>
    <row r="2115" spans="1:11" x14ac:dyDescent="0.2">
      <c r="A2115">
        <v>2008730</v>
      </c>
      <c r="B2115">
        <v>2021</v>
      </c>
      <c r="C2115" t="s">
        <v>6</v>
      </c>
      <c r="D2115" t="s">
        <v>7</v>
      </c>
      <c r="E2115" t="s">
        <v>8</v>
      </c>
      <c r="F2115" s="3">
        <v>5022</v>
      </c>
      <c r="G2115" s="3" t="s">
        <v>105</v>
      </c>
      <c r="H2115" s="22">
        <v>4757528</v>
      </c>
      <c r="I2115" s="1">
        <v>0</v>
      </c>
      <c r="J2115" s="1">
        <v>4757528</v>
      </c>
      <c r="K2115">
        <f>VLOOKUP(F2115,'LEAID Match'!$A$2:$C$2979,3,FALSE)</f>
        <v>2008730</v>
      </c>
    </row>
    <row r="2116" spans="1:11" x14ac:dyDescent="0.2">
      <c r="A2116">
        <v>2008280</v>
      </c>
      <c r="B2116">
        <v>2021</v>
      </c>
      <c r="C2116" t="s">
        <v>6</v>
      </c>
      <c r="D2116" t="s">
        <v>7</v>
      </c>
      <c r="E2116" t="s">
        <v>8</v>
      </c>
      <c r="F2116" s="3">
        <v>5024</v>
      </c>
      <c r="G2116" s="3" t="s">
        <v>106</v>
      </c>
      <c r="H2116" s="1">
        <v>694693</v>
      </c>
      <c r="I2116" s="21">
        <v>0</v>
      </c>
      <c r="J2116" s="21">
        <v>694693</v>
      </c>
      <c r="K2116">
        <f>VLOOKUP(F2116,'LEAID Match'!$A$2:$C$2979,3,FALSE)</f>
        <v>2008280</v>
      </c>
    </row>
    <row r="2117" spans="1:11" x14ac:dyDescent="0.2">
      <c r="A2117">
        <v>2006180</v>
      </c>
      <c r="B2117">
        <v>2021</v>
      </c>
      <c r="C2117" t="s">
        <v>6</v>
      </c>
      <c r="D2117" t="s">
        <v>7</v>
      </c>
      <c r="E2117" t="s">
        <v>8</v>
      </c>
      <c r="F2117" s="3">
        <v>5025</v>
      </c>
      <c r="G2117" s="3" t="s">
        <v>107</v>
      </c>
      <c r="H2117" s="1">
        <v>1942652</v>
      </c>
      <c r="I2117" s="1">
        <v>0</v>
      </c>
      <c r="J2117" s="1">
        <v>1942652</v>
      </c>
      <c r="K2117">
        <f>VLOOKUP(F2117,'LEAID Match'!$A$2:$C$2979,3,FALSE)</f>
        <v>2006180</v>
      </c>
    </row>
    <row r="2118" spans="1:11" x14ac:dyDescent="0.2">
      <c r="A2118">
        <v>2003210</v>
      </c>
      <c r="B2118">
        <v>2021</v>
      </c>
      <c r="C2118" t="s">
        <v>6</v>
      </c>
      <c r="D2118" t="s">
        <v>7</v>
      </c>
      <c r="E2118" t="s">
        <v>8</v>
      </c>
      <c r="F2118">
        <v>5026</v>
      </c>
      <c r="G2118" t="s">
        <v>108</v>
      </c>
      <c r="H2118" s="1">
        <v>407049</v>
      </c>
      <c r="I2118" s="1">
        <v>0</v>
      </c>
      <c r="J2118" s="1">
        <v>407049</v>
      </c>
      <c r="K2118">
        <f>VLOOKUP(F2118,'LEAID Match'!$A$2:$C$2979,3,FALSE)</f>
        <v>2003210</v>
      </c>
    </row>
    <row r="2119" spans="1:11" x14ac:dyDescent="0.2">
      <c r="A2119">
        <v>2007050</v>
      </c>
      <c r="B2119">
        <v>2021</v>
      </c>
      <c r="C2119" t="s">
        <v>6</v>
      </c>
      <c r="D2119" t="s">
        <v>7</v>
      </c>
      <c r="E2119" t="s">
        <v>8</v>
      </c>
      <c r="F2119">
        <v>5027</v>
      </c>
      <c r="G2119" t="s">
        <v>109</v>
      </c>
      <c r="H2119" s="1">
        <v>6070902</v>
      </c>
      <c r="I2119" s="1">
        <v>0</v>
      </c>
      <c r="J2119" s="1">
        <v>6070902</v>
      </c>
      <c r="K2119">
        <f>VLOOKUP(F2119,'LEAID Match'!$A$2:$C$2979,3,FALSE)</f>
        <v>2007050</v>
      </c>
    </row>
    <row r="2120" spans="1:11" x14ac:dyDescent="0.2">
      <c r="A2120">
        <v>2011080</v>
      </c>
      <c r="B2120">
        <v>2021</v>
      </c>
      <c r="C2120" t="s">
        <v>6</v>
      </c>
      <c r="D2120" t="s">
        <v>7</v>
      </c>
      <c r="E2120" t="s">
        <v>8</v>
      </c>
      <c r="F2120">
        <v>5028</v>
      </c>
      <c r="G2120" t="s">
        <v>110</v>
      </c>
      <c r="H2120" s="1">
        <v>1450227</v>
      </c>
      <c r="I2120" s="1">
        <v>0</v>
      </c>
      <c r="J2120" s="1">
        <v>1450227</v>
      </c>
      <c r="K2120">
        <f>VLOOKUP(F2120,'LEAID Match'!$A$2:$C$2979,3,FALSE)</f>
        <v>2011080</v>
      </c>
    </row>
    <row r="2121" spans="1:11" x14ac:dyDescent="0.2">
      <c r="A2121">
        <v>2000014</v>
      </c>
      <c r="B2121">
        <v>2021</v>
      </c>
      <c r="C2121" t="s">
        <v>6</v>
      </c>
      <c r="D2121" t="s">
        <v>7</v>
      </c>
      <c r="E2121" t="s">
        <v>8</v>
      </c>
      <c r="F2121">
        <v>5029</v>
      </c>
      <c r="G2121" t="s">
        <v>111</v>
      </c>
      <c r="H2121" s="20">
        <v>504729</v>
      </c>
      <c r="I2121" s="1">
        <v>0</v>
      </c>
      <c r="J2121" s="1">
        <v>504729</v>
      </c>
      <c r="K2121">
        <f>VLOOKUP(F2121,'LEAID Match'!$A$2:$C$2979,3,FALSE)</f>
        <v>2000014</v>
      </c>
    </row>
    <row r="2122" spans="1:11" x14ac:dyDescent="0.2">
      <c r="A2122">
        <v>2011370</v>
      </c>
      <c r="B2122">
        <v>2021</v>
      </c>
      <c r="C2122" t="s">
        <v>6</v>
      </c>
      <c r="D2122" t="s">
        <v>7</v>
      </c>
      <c r="E2122" t="s">
        <v>8</v>
      </c>
      <c r="F2122">
        <v>5031</v>
      </c>
      <c r="G2122" t="s">
        <v>112</v>
      </c>
      <c r="H2122" s="1">
        <v>9468666</v>
      </c>
      <c r="I2122" s="1">
        <v>0</v>
      </c>
      <c r="J2122" s="1">
        <v>9468666</v>
      </c>
      <c r="K2122">
        <f>VLOOKUP(F2122,'LEAID Match'!$A$2:$C$2979,3,FALSE)</f>
        <v>2011370</v>
      </c>
    </row>
    <row r="2123" spans="1:11" x14ac:dyDescent="0.2">
      <c r="A2123">
        <v>2003390</v>
      </c>
      <c r="B2123">
        <v>2021</v>
      </c>
      <c r="C2123" t="s">
        <v>6</v>
      </c>
      <c r="D2123" t="s">
        <v>7</v>
      </c>
      <c r="E2123" t="s">
        <v>8</v>
      </c>
      <c r="F2123">
        <v>5032</v>
      </c>
      <c r="G2123" s="9" t="s">
        <v>113</v>
      </c>
      <c r="H2123" s="1">
        <v>840263</v>
      </c>
      <c r="I2123" s="1">
        <v>0</v>
      </c>
      <c r="J2123" s="1">
        <v>840263</v>
      </c>
      <c r="K2123">
        <f>VLOOKUP(F2123,'LEAID Match'!$A$2:$C$2979,3,FALSE)</f>
        <v>2003390</v>
      </c>
    </row>
    <row r="2124" spans="1:11" x14ac:dyDescent="0.2">
      <c r="A2124">
        <v>2011100</v>
      </c>
      <c r="B2124">
        <v>2021</v>
      </c>
      <c r="C2124" t="s">
        <v>6</v>
      </c>
      <c r="D2124" t="s">
        <v>7</v>
      </c>
      <c r="E2124" t="s">
        <v>8</v>
      </c>
      <c r="F2124" s="3">
        <v>5033</v>
      </c>
      <c r="G2124" s="3" t="s">
        <v>114</v>
      </c>
      <c r="H2124" s="22">
        <v>578725</v>
      </c>
      <c r="I2124" s="1">
        <v>0</v>
      </c>
      <c r="J2124" s="1">
        <v>578725</v>
      </c>
      <c r="K2124">
        <f>VLOOKUP(F2124,'LEAID Match'!$A$2:$C$2979,3,FALSE)</f>
        <v>2011100</v>
      </c>
    </row>
    <row r="2125" spans="1:11" x14ac:dyDescent="0.2">
      <c r="A2125">
        <v>2004020</v>
      </c>
      <c r="B2125">
        <v>2021</v>
      </c>
      <c r="C2125" t="s">
        <v>6</v>
      </c>
      <c r="D2125" t="s">
        <v>7</v>
      </c>
      <c r="E2125" t="s">
        <v>8</v>
      </c>
      <c r="F2125" s="3">
        <v>5034</v>
      </c>
      <c r="G2125" s="3" t="s">
        <v>115</v>
      </c>
      <c r="H2125" s="1">
        <v>266378</v>
      </c>
      <c r="I2125" s="21">
        <v>0</v>
      </c>
      <c r="J2125" s="21">
        <v>266378</v>
      </c>
      <c r="K2125">
        <f>VLOOKUP(F2125,'LEAID Match'!$A$2:$C$2979,3,FALSE)</f>
        <v>2004020</v>
      </c>
    </row>
    <row r="2126" spans="1:11" x14ac:dyDescent="0.2">
      <c r="A2126">
        <v>2004590</v>
      </c>
      <c r="B2126">
        <v>2021</v>
      </c>
      <c r="C2126" t="s">
        <v>6</v>
      </c>
      <c r="D2126" t="s">
        <v>7</v>
      </c>
      <c r="E2126" t="s">
        <v>8</v>
      </c>
      <c r="F2126" s="3">
        <v>5035</v>
      </c>
      <c r="G2126" s="3" t="s">
        <v>116</v>
      </c>
      <c r="H2126" s="1">
        <v>1536527</v>
      </c>
      <c r="I2126" s="1">
        <v>0</v>
      </c>
      <c r="J2126" s="1">
        <v>1536527</v>
      </c>
      <c r="K2126">
        <f>VLOOKUP(F2126,'LEAID Match'!$A$2:$C$2979,3,FALSE)</f>
        <v>2004590</v>
      </c>
    </row>
    <row r="2127" spans="1:11" x14ac:dyDescent="0.2">
      <c r="A2127">
        <v>2000006</v>
      </c>
      <c r="B2127">
        <v>2021</v>
      </c>
      <c r="C2127" t="s">
        <v>6</v>
      </c>
      <c r="D2127" t="s">
        <v>7</v>
      </c>
      <c r="E2127" t="s">
        <v>8</v>
      </c>
      <c r="F2127">
        <v>5036</v>
      </c>
      <c r="G2127" t="s">
        <v>117</v>
      </c>
      <c r="H2127" s="1">
        <v>840788</v>
      </c>
      <c r="I2127" s="1">
        <v>0</v>
      </c>
      <c r="J2127" s="1">
        <v>840788</v>
      </c>
      <c r="K2127">
        <f>VLOOKUP(F2127,'LEAID Match'!$A$2:$C$2979,3,FALSE)</f>
        <v>2000006</v>
      </c>
    </row>
    <row r="2128" spans="1:11" x14ac:dyDescent="0.2">
      <c r="A2128">
        <v>2009390</v>
      </c>
      <c r="B2128">
        <v>2021</v>
      </c>
      <c r="C2128" t="s">
        <v>6</v>
      </c>
      <c r="D2128" t="s">
        <v>7</v>
      </c>
      <c r="E2128" t="s">
        <v>8</v>
      </c>
      <c r="F2128">
        <v>5037</v>
      </c>
      <c r="G2128" t="s">
        <v>118</v>
      </c>
      <c r="H2128" s="1">
        <v>2976881</v>
      </c>
      <c r="I2128" s="1">
        <v>0</v>
      </c>
      <c r="J2128" s="1">
        <v>2976881</v>
      </c>
      <c r="K2128">
        <f>VLOOKUP(F2128,'LEAID Match'!$A$2:$C$2979,3,FALSE)</f>
        <v>2009390</v>
      </c>
    </row>
    <row r="2129" spans="1:11" x14ac:dyDescent="0.2">
      <c r="A2129">
        <v>2006720</v>
      </c>
      <c r="B2129">
        <v>2021</v>
      </c>
      <c r="C2129" t="s">
        <v>6</v>
      </c>
      <c r="D2129" t="s">
        <v>7</v>
      </c>
      <c r="E2129" t="s">
        <v>8</v>
      </c>
      <c r="F2129">
        <v>5038</v>
      </c>
      <c r="G2129" t="s">
        <v>119</v>
      </c>
      <c r="H2129" s="1">
        <v>383685</v>
      </c>
      <c r="I2129" s="1">
        <v>0</v>
      </c>
      <c r="J2129" s="1">
        <v>383685</v>
      </c>
      <c r="K2129">
        <f>VLOOKUP(F2129,'LEAID Match'!$A$2:$C$2979,3,FALSE)</f>
        <v>2006720</v>
      </c>
    </row>
    <row r="2130" spans="1:11" x14ac:dyDescent="0.2">
      <c r="A2130">
        <v>2011550</v>
      </c>
      <c r="B2130">
        <v>2021</v>
      </c>
      <c r="C2130" t="s">
        <v>6</v>
      </c>
      <c r="D2130" t="s">
        <v>7</v>
      </c>
      <c r="E2130" t="s">
        <v>8</v>
      </c>
      <c r="F2130">
        <v>5039</v>
      </c>
      <c r="G2130" t="s">
        <v>120</v>
      </c>
      <c r="H2130" s="20">
        <v>465291</v>
      </c>
      <c r="I2130" s="1">
        <v>0</v>
      </c>
      <c r="J2130" s="1">
        <v>465291</v>
      </c>
      <c r="K2130">
        <f>VLOOKUP(F2130,'LEAID Match'!$A$2:$C$2979,3,FALSE)</f>
        <v>2011550</v>
      </c>
    </row>
    <row r="2131" spans="1:11" x14ac:dyDescent="0.2">
      <c r="A2131">
        <v>2004980</v>
      </c>
      <c r="B2131">
        <v>2021</v>
      </c>
      <c r="C2131" t="s">
        <v>6</v>
      </c>
      <c r="D2131" t="s">
        <v>7</v>
      </c>
      <c r="E2131" t="s">
        <v>8</v>
      </c>
      <c r="F2131">
        <v>5040</v>
      </c>
      <c r="G2131" t="s">
        <v>121</v>
      </c>
      <c r="H2131" s="1">
        <v>1556567</v>
      </c>
      <c r="I2131" s="1">
        <v>0</v>
      </c>
      <c r="J2131" s="1">
        <v>1556567</v>
      </c>
      <c r="K2131">
        <f>VLOOKUP(F2131,'LEAID Match'!$A$2:$C$2979,3,FALSE)</f>
        <v>2004980</v>
      </c>
    </row>
    <row r="2132" spans="1:11" x14ac:dyDescent="0.2">
      <c r="A2132">
        <v>2006390</v>
      </c>
      <c r="B2132">
        <v>2021</v>
      </c>
      <c r="C2132" t="s">
        <v>6</v>
      </c>
      <c r="D2132" t="s">
        <v>7</v>
      </c>
      <c r="E2132" t="s">
        <v>8</v>
      </c>
      <c r="F2132">
        <v>5041</v>
      </c>
      <c r="G2132" s="9" t="s">
        <v>122</v>
      </c>
      <c r="H2132" s="1">
        <v>7501749</v>
      </c>
      <c r="I2132" s="1">
        <v>0</v>
      </c>
      <c r="J2132" s="1">
        <v>7501749</v>
      </c>
      <c r="K2132">
        <f>VLOOKUP(F2132,'LEAID Match'!$A$2:$C$2979,3,FALSE)</f>
        <v>2006390</v>
      </c>
    </row>
    <row r="2133" spans="1:11" x14ac:dyDescent="0.2">
      <c r="A2133">
        <v>2003780</v>
      </c>
      <c r="B2133">
        <v>2021</v>
      </c>
      <c r="C2133" t="s">
        <v>6</v>
      </c>
      <c r="D2133" t="s">
        <v>7</v>
      </c>
      <c r="E2133" t="s">
        <v>8</v>
      </c>
      <c r="F2133" s="3">
        <v>5042</v>
      </c>
      <c r="G2133" s="3" t="s">
        <v>123</v>
      </c>
      <c r="H2133" s="22">
        <v>2462467</v>
      </c>
      <c r="I2133" s="1">
        <v>0</v>
      </c>
      <c r="J2133" s="1">
        <v>2462467</v>
      </c>
      <c r="K2133">
        <f>VLOOKUP(F2133,'LEAID Match'!$A$2:$C$2979,3,FALSE)</f>
        <v>2003780</v>
      </c>
    </row>
    <row r="2134" spans="1:11" x14ac:dyDescent="0.2">
      <c r="A2134">
        <v>2013050</v>
      </c>
      <c r="B2134">
        <v>2021</v>
      </c>
      <c r="C2134" t="s">
        <v>6</v>
      </c>
      <c r="D2134" t="s">
        <v>7</v>
      </c>
      <c r="E2134" t="s">
        <v>8</v>
      </c>
      <c r="F2134" s="3">
        <v>5043</v>
      </c>
      <c r="G2134" s="3" t="s">
        <v>124</v>
      </c>
      <c r="H2134" s="1">
        <v>3255808</v>
      </c>
      <c r="I2134" s="21">
        <v>0</v>
      </c>
      <c r="J2134" s="21">
        <v>3255808</v>
      </c>
      <c r="K2134">
        <f>VLOOKUP(F2134,'LEAID Match'!$A$2:$C$2979,3,FALSE)</f>
        <v>2013050</v>
      </c>
    </row>
    <row r="2135" spans="1:11" x14ac:dyDescent="0.2">
      <c r="A2135">
        <v>2000012</v>
      </c>
      <c r="B2135">
        <v>2021</v>
      </c>
      <c r="C2135" t="s">
        <v>6</v>
      </c>
      <c r="D2135" t="s">
        <v>7</v>
      </c>
      <c r="E2135" t="s">
        <v>8</v>
      </c>
      <c r="F2135" s="3">
        <v>5056</v>
      </c>
      <c r="G2135" s="3" t="s">
        <v>125</v>
      </c>
      <c r="H2135" s="1">
        <v>349966</v>
      </c>
      <c r="I2135" s="1">
        <v>0</v>
      </c>
      <c r="J2135" s="1">
        <v>349966</v>
      </c>
      <c r="K2135">
        <f>VLOOKUP(F2135,'LEAID Match'!$A$2:$C$2979,3,FALSE)</f>
        <v>2000012</v>
      </c>
    </row>
    <row r="2136" spans="1:11" x14ac:dyDescent="0.2">
      <c r="A2136">
        <v>2007590</v>
      </c>
      <c r="B2136">
        <v>2021</v>
      </c>
      <c r="C2136" t="s">
        <v>6</v>
      </c>
      <c r="D2136" t="s">
        <v>7</v>
      </c>
      <c r="E2136" t="s">
        <v>8</v>
      </c>
      <c r="F2136">
        <v>5057</v>
      </c>
      <c r="G2136" t="s">
        <v>126</v>
      </c>
      <c r="H2136" s="1">
        <v>649989</v>
      </c>
      <c r="I2136" s="1">
        <v>0</v>
      </c>
      <c r="J2136" s="1">
        <v>649989</v>
      </c>
      <c r="K2136">
        <f>VLOOKUP(F2136,'LEAID Match'!$A$2:$C$2979,3,FALSE)</f>
        <v>2007590</v>
      </c>
    </row>
    <row r="2137" spans="1:11" x14ac:dyDescent="0.2">
      <c r="A2137">
        <v>2003870</v>
      </c>
      <c r="B2137">
        <v>2021</v>
      </c>
      <c r="C2137" t="s">
        <v>6</v>
      </c>
      <c r="D2137" t="s">
        <v>7</v>
      </c>
      <c r="E2137" t="s">
        <v>8</v>
      </c>
      <c r="F2137">
        <v>5058</v>
      </c>
      <c r="G2137" t="s">
        <v>127</v>
      </c>
      <c r="H2137" s="1">
        <v>1332116</v>
      </c>
      <c r="I2137" s="1">
        <v>0</v>
      </c>
      <c r="J2137" s="1">
        <v>1332116</v>
      </c>
      <c r="K2137">
        <f>VLOOKUP(F2137,'LEAID Match'!$A$2:$C$2979,3,FALSE)</f>
        <v>2003870</v>
      </c>
    </row>
    <row r="2138" spans="1:11" x14ac:dyDescent="0.2">
      <c r="A2138">
        <v>2005250</v>
      </c>
      <c r="B2138">
        <v>2021</v>
      </c>
      <c r="C2138" t="s">
        <v>6</v>
      </c>
      <c r="D2138" t="s">
        <v>7</v>
      </c>
      <c r="E2138" t="s">
        <v>8</v>
      </c>
      <c r="F2138">
        <v>5059</v>
      </c>
      <c r="G2138" t="s">
        <v>128</v>
      </c>
      <c r="H2138" s="1">
        <v>401032</v>
      </c>
      <c r="I2138" s="1">
        <v>0</v>
      </c>
      <c r="J2138" s="1">
        <v>401032</v>
      </c>
      <c r="K2138">
        <f>VLOOKUP(F2138,'LEAID Match'!$A$2:$C$2979,3,FALSE)</f>
        <v>2005250</v>
      </c>
    </row>
    <row r="2139" spans="1:11" x14ac:dyDescent="0.2">
      <c r="A2139">
        <v>2004500</v>
      </c>
      <c r="B2139">
        <v>2021</v>
      </c>
      <c r="C2139" t="s">
        <v>6</v>
      </c>
      <c r="D2139" t="s">
        <v>7</v>
      </c>
      <c r="E2139" t="s">
        <v>8</v>
      </c>
      <c r="F2139">
        <v>5060</v>
      </c>
      <c r="G2139" t="s">
        <v>129</v>
      </c>
      <c r="H2139" s="20">
        <v>175191</v>
      </c>
      <c r="I2139" s="1">
        <v>0</v>
      </c>
      <c r="J2139" s="1">
        <v>175191</v>
      </c>
      <c r="K2139">
        <f>VLOOKUP(F2139,'LEAID Match'!$A$2:$C$2979,3,FALSE)</f>
        <v>2004500</v>
      </c>
    </row>
    <row r="2140" spans="1:11" x14ac:dyDescent="0.2">
      <c r="A2140">
        <v>2011520</v>
      </c>
      <c r="B2140">
        <v>2021</v>
      </c>
      <c r="C2140" t="s">
        <v>6</v>
      </c>
      <c r="D2140" t="s">
        <v>7</v>
      </c>
      <c r="E2140" t="s">
        <v>8</v>
      </c>
      <c r="F2140">
        <v>5061</v>
      </c>
      <c r="G2140" t="s">
        <v>130</v>
      </c>
      <c r="H2140" s="1">
        <v>369534</v>
      </c>
      <c r="I2140" s="1">
        <v>0</v>
      </c>
      <c r="J2140" s="1">
        <v>369534</v>
      </c>
      <c r="K2140">
        <f>VLOOKUP(F2140,'LEAID Match'!$A$2:$C$2979,3,FALSE)</f>
        <v>2011520</v>
      </c>
    </row>
    <row r="2141" spans="1:11" x14ac:dyDescent="0.2">
      <c r="A2141">
        <v>2010800</v>
      </c>
      <c r="B2141">
        <v>2021</v>
      </c>
      <c r="C2141" t="s">
        <v>6</v>
      </c>
      <c r="D2141" t="s">
        <v>7</v>
      </c>
      <c r="E2141" t="s">
        <v>8</v>
      </c>
      <c r="F2141">
        <v>5062</v>
      </c>
      <c r="G2141" s="9" t="s">
        <v>131</v>
      </c>
      <c r="H2141" s="1">
        <v>631755</v>
      </c>
      <c r="I2141" s="1">
        <v>0</v>
      </c>
      <c r="J2141" s="1">
        <v>631755</v>
      </c>
      <c r="K2141">
        <f>VLOOKUP(F2141,'LEAID Match'!$A$2:$C$2979,3,FALSE)</f>
        <v>2010800</v>
      </c>
    </row>
    <row r="2142" spans="1:11" x14ac:dyDescent="0.2">
      <c r="A2142">
        <v>2005870</v>
      </c>
      <c r="B2142">
        <v>2021</v>
      </c>
      <c r="C2142" t="s">
        <v>6</v>
      </c>
      <c r="D2142" t="s">
        <v>7</v>
      </c>
      <c r="E2142" t="s">
        <v>8</v>
      </c>
      <c r="F2142" s="3">
        <v>5063</v>
      </c>
      <c r="G2142" s="3" t="s">
        <v>132</v>
      </c>
      <c r="H2142" s="22">
        <v>557665</v>
      </c>
      <c r="I2142" s="1">
        <v>0</v>
      </c>
      <c r="J2142" s="1">
        <v>557665</v>
      </c>
      <c r="K2142">
        <f>VLOOKUP(F2142,'LEAID Match'!$A$2:$C$2979,3,FALSE)</f>
        <v>2005870</v>
      </c>
    </row>
    <row r="2143" spans="1:11" x14ac:dyDescent="0.2">
      <c r="A2143">
        <v>2012540</v>
      </c>
      <c r="B2143">
        <v>2021</v>
      </c>
      <c r="C2143" t="s">
        <v>6</v>
      </c>
      <c r="D2143" t="s">
        <v>7</v>
      </c>
      <c r="E2143" t="s">
        <v>8</v>
      </c>
      <c r="F2143" s="3">
        <v>5064</v>
      </c>
      <c r="G2143" s="3" t="s">
        <v>133</v>
      </c>
      <c r="H2143" s="1">
        <v>351864</v>
      </c>
      <c r="I2143" s="21">
        <v>0</v>
      </c>
      <c r="J2143" s="21">
        <v>351864</v>
      </c>
      <c r="K2143">
        <f>VLOOKUP(F2143,'LEAID Match'!$A$2:$C$2979,3,FALSE)</f>
        <v>2012540</v>
      </c>
    </row>
    <row r="2144" spans="1:11" x14ac:dyDescent="0.2">
      <c r="A2144">
        <v>2009360</v>
      </c>
      <c r="B2144">
        <v>2021</v>
      </c>
      <c r="C2144" t="s">
        <v>6</v>
      </c>
      <c r="D2144" t="s">
        <v>7</v>
      </c>
      <c r="E2144" t="s">
        <v>8</v>
      </c>
      <c r="F2144" s="3">
        <v>5065</v>
      </c>
      <c r="G2144" s="3" t="s">
        <v>134</v>
      </c>
      <c r="H2144" s="1">
        <v>422238</v>
      </c>
      <c r="I2144" s="1">
        <v>0</v>
      </c>
      <c r="J2144" s="1">
        <v>422238</v>
      </c>
      <c r="K2144">
        <f>VLOOKUP(F2144,'LEAID Match'!$A$2:$C$2979,3,FALSE)</f>
        <v>2009360</v>
      </c>
    </row>
    <row r="2145" spans="1:11" x14ac:dyDescent="0.2">
      <c r="A2145">
        <v>2004560</v>
      </c>
      <c r="B2145">
        <v>2021</v>
      </c>
      <c r="C2145" t="s">
        <v>6</v>
      </c>
      <c r="D2145" t="s">
        <v>7</v>
      </c>
      <c r="E2145" t="s">
        <v>8</v>
      </c>
      <c r="F2145">
        <v>5066</v>
      </c>
      <c r="G2145" t="s">
        <v>135</v>
      </c>
      <c r="H2145" s="1">
        <v>495273</v>
      </c>
      <c r="I2145" s="1">
        <v>0</v>
      </c>
      <c r="J2145" s="1">
        <v>495273</v>
      </c>
      <c r="K2145">
        <f>VLOOKUP(F2145,'LEAID Match'!$A$2:$C$2979,3,FALSE)</f>
        <v>2004560</v>
      </c>
    </row>
    <row r="2146" spans="1:11" x14ac:dyDescent="0.2">
      <c r="A2146">
        <v>2006120</v>
      </c>
      <c r="B2146">
        <v>2021</v>
      </c>
      <c r="C2146" t="s">
        <v>6</v>
      </c>
      <c r="D2146" t="s">
        <v>7</v>
      </c>
      <c r="E2146" t="s">
        <v>8</v>
      </c>
      <c r="F2146">
        <v>5067</v>
      </c>
      <c r="G2146" t="s">
        <v>136</v>
      </c>
      <c r="H2146" s="1">
        <v>766042</v>
      </c>
      <c r="I2146" s="1">
        <v>0</v>
      </c>
      <c r="J2146" s="1">
        <v>766042</v>
      </c>
      <c r="K2146">
        <f>VLOOKUP(F2146,'LEAID Match'!$A$2:$C$2979,3,FALSE)</f>
        <v>2006120</v>
      </c>
    </row>
    <row r="2147" spans="1:11" x14ac:dyDescent="0.2">
      <c r="A2147">
        <v>0</v>
      </c>
      <c r="B2147">
        <v>2021</v>
      </c>
      <c r="C2147" t="s">
        <v>6</v>
      </c>
      <c r="D2147" t="s">
        <v>7</v>
      </c>
      <c r="E2147" t="s">
        <v>8</v>
      </c>
      <c r="F2147">
        <v>5068</v>
      </c>
      <c r="G2147" t="s">
        <v>137</v>
      </c>
      <c r="H2147" s="1">
        <v>733490</v>
      </c>
      <c r="I2147" s="1">
        <v>0</v>
      </c>
      <c r="J2147" s="1">
        <v>733490</v>
      </c>
      <c r="K2147">
        <f>VLOOKUP(F2147,'LEAID Match'!$A$2:$C$2979,3,FALSE)</f>
        <v>0</v>
      </c>
    </row>
    <row r="2148" spans="1:11" x14ac:dyDescent="0.2">
      <c r="A2148">
        <v>2006840</v>
      </c>
      <c r="B2148">
        <v>2021</v>
      </c>
      <c r="C2148" t="s">
        <v>6</v>
      </c>
      <c r="D2148" t="s">
        <v>7</v>
      </c>
      <c r="E2148" t="s">
        <v>8</v>
      </c>
      <c r="F2148">
        <v>5069</v>
      </c>
      <c r="G2148" t="s">
        <v>138</v>
      </c>
      <c r="H2148" s="20">
        <v>674977</v>
      </c>
      <c r="I2148" s="1">
        <v>0</v>
      </c>
      <c r="J2148" s="1">
        <v>674977</v>
      </c>
      <c r="K2148">
        <f>VLOOKUP(F2148,'LEAID Match'!$A$2:$C$2979,3,FALSE)</f>
        <v>2006840</v>
      </c>
    </row>
    <row r="2149" spans="1:11" x14ac:dyDescent="0.2">
      <c r="A2149">
        <v>2012210</v>
      </c>
      <c r="B2149">
        <v>2021</v>
      </c>
      <c r="C2149" t="s">
        <v>6</v>
      </c>
      <c r="D2149" t="s">
        <v>7</v>
      </c>
      <c r="E2149" t="s">
        <v>8</v>
      </c>
      <c r="F2149">
        <v>5070</v>
      </c>
      <c r="G2149" t="s">
        <v>139</v>
      </c>
      <c r="H2149" s="1">
        <v>1652586</v>
      </c>
      <c r="I2149" s="1">
        <v>0</v>
      </c>
      <c r="J2149" s="1">
        <v>1652586</v>
      </c>
      <c r="K2149">
        <f>VLOOKUP(F2149,'LEAID Match'!$A$2:$C$2979,3,FALSE)</f>
        <v>2012210</v>
      </c>
    </row>
    <row r="2150" spans="1:11" x14ac:dyDescent="0.2">
      <c r="A2150">
        <v>2005550</v>
      </c>
      <c r="B2150">
        <v>2021</v>
      </c>
      <c r="C2150" t="s">
        <v>6</v>
      </c>
      <c r="D2150" t="s">
        <v>7</v>
      </c>
      <c r="E2150" t="s">
        <v>8</v>
      </c>
      <c r="F2150">
        <v>5072</v>
      </c>
      <c r="G2150" s="9" t="s">
        <v>140</v>
      </c>
      <c r="H2150" s="1">
        <v>230609</v>
      </c>
      <c r="I2150" s="1">
        <v>0</v>
      </c>
      <c r="J2150" s="1">
        <v>230609</v>
      </c>
      <c r="K2150">
        <f>VLOOKUP(F2150,'LEAID Match'!$A$2:$C$2979,3,FALSE)</f>
        <v>2005550</v>
      </c>
    </row>
    <row r="2151" spans="1:11" x14ac:dyDescent="0.2">
      <c r="A2151">
        <v>2007110</v>
      </c>
      <c r="B2151">
        <v>2021</v>
      </c>
      <c r="C2151" t="s">
        <v>6</v>
      </c>
      <c r="D2151" t="s">
        <v>7</v>
      </c>
      <c r="E2151" t="s">
        <v>8</v>
      </c>
      <c r="F2151" s="3">
        <v>5073</v>
      </c>
      <c r="G2151" s="3" t="s">
        <v>141</v>
      </c>
      <c r="H2151" s="22">
        <v>422830</v>
      </c>
      <c r="I2151" s="1">
        <v>0</v>
      </c>
      <c r="J2151" s="1">
        <v>422830</v>
      </c>
      <c r="K2151">
        <f>VLOOKUP(F2151,'LEAID Match'!$A$2:$C$2979,3,FALSE)</f>
        <v>2007110</v>
      </c>
    </row>
    <row r="2152" spans="1:11" x14ac:dyDescent="0.2">
      <c r="A2152">
        <v>2011190</v>
      </c>
      <c r="B2152">
        <v>2021</v>
      </c>
      <c r="C2152" t="s">
        <v>6</v>
      </c>
      <c r="D2152" t="s">
        <v>7</v>
      </c>
      <c r="E2152" t="s">
        <v>8</v>
      </c>
      <c r="F2152" s="3">
        <v>5076</v>
      </c>
      <c r="G2152" s="3" t="s">
        <v>142</v>
      </c>
      <c r="H2152" s="1">
        <v>169661</v>
      </c>
      <c r="I2152" s="21">
        <v>0</v>
      </c>
      <c r="J2152" s="21">
        <v>169661</v>
      </c>
      <c r="K2152">
        <f>VLOOKUP(F2152,'LEAID Match'!$A$2:$C$2979,3,FALSE)</f>
        <v>2011190</v>
      </c>
    </row>
    <row r="2153" spans="1:11" x14ac:dyDescent="0.2">
      <c r="A2153">
        <v>2005790</v>
      </c>
      <c r="B2153">
        <v>2021</v>
      </c>
      <c r="C2153" t="s">
        <v>6</v>
      </c>
      <c r="D2153" t="s">
        <v>7</v>
      </c>
      <c r="E2153" t="s">
        <v>8</v>
      </c>
      <c r="F2153" s="3">
        <v>5077</v>
      </c>
      <c r="G2153" s="3" t="s">
        <v>195</v>
      </c>
      <c r="H2153" s="1">
        <v>465615</v>
      </c>
      <c r="I2153" s="1">
        <v>0</v>
      </c>
      <c r="J2153" s="1">
        <v>465615</v>
      </c>
      <c r="K2153">
        <f>VLOOKUP(F2153,'LEAID Match'!$A$2:$C$2979,3,FALSE)</f>
        <v>2005790</v>
      </c>
    </row>
    <row r="2154" spans="1:11" x14ac:dyDescent="0.2">
      <c r="A2154">
        <v>2009420</v>
      </c>
      <c r="B2154">
        <v>2021</v>
      </c>
      <c r="C2154" t="s">
        <v>6</v>
      </c>
      <c r="D2154" t="s">
        <v>7</v>
      </c>
      <c r="E2154" t="s">
        <v>8</v>
      </c>
      <c r="F2154">
        <v>5078</v>
      </c>
      <c r="G2154" t="s">
        <v>144</v>
      </c>
      <c r="H2154" s="1">
        <v>397532</v>
      </c>
      <c r="I2154" s="1">
        <v>0</v>
      </c>
      <c r="J2154" s="1">
        <v>397532</v>
      </c>
      <c r="K2154">
        <f>VLOOKUP(F2154,'LEAID Match'!$A$2:$C$2979,3,FALSE)</f>
        <v>2009420</v>
      </c>
    </row>
    <row r="2155" spans="1:11" x14ac:dyDescent="0.2">
      <c r="A2155">
        <v>2012450</v>
      </c>
      <c r="B2155">
        <v>2021</v>
      </c>
      <c r="C2155" t="s">
        <v>6</v>
      </c>
      <c r="D2155" t="s">
        <v>7</v>
      </c>
      <c r="E2155" t="s">
        <v>8</v>
      </c>
      <c r="F2155">
        <v>5079</v>
      </c>
      <c r="G2155" t="s">
        <v>145</v>
      </c>
      <c r="H2155" s="1">
        <v>466175</v>
      </c>
      <c r="I2155" s="1">
        <v>0</v>
      </c>
      <c r="J2155" s="1">
        <v>466175</v>
      </c>
      <c r="K2155">
        <f>VLOOKUP(F2155,'LEAID Match'!$A$2:$C$2979,3,FALSE)</f>
        <v>2012450</v>
      </c>
    </row>
    <row r="2156" spans="1:11" x14ac:dyDescent="0.2">
      <c r="A2156">
        <v>2006930</v>
      </c>
      <c r="B2156">
        <v>2021</v>
      </c>
      <c r="C2156" t="s">
        <v>6</v>
      </c>
      <c r="D2156" t="s">
        <v>7</v>
      </c>
      <c r="E2156" t="s">
        <v>8</v>
      </c>
      <c r="F2156">
        <v>5080</v>
      </c>
      <c r="G2156" t="s">
        <v>146</v>
      </c>
      <c r="H2156" s="1">
        <v>557778</v>
      </c>
      <c r="I2156" s="1">
        <v>0</v>
      </c>
      <c r="J2156" s="1">
        <v>557778</v>
      </c>
      <c r="K2156">
        <f>VLOOKUP(F2156,'LEAID Match'!$A$2:$C$2979,3,FALSE)</f>
        <v>2006930</v>
      </c>
    </row>
    <row r="2157" spans="1:11" x14ac:dyDescent="0.2">
      <c r="A2157">
        <v>2009450</v>
      </c>
      <c r="B2157">
        <v>2021</v>
      </c>
      <c r="C2157" t="s">
        <v>6</v>
      </c>
      <c r="D2157" t="s">
        <v>7</v>
      </c>
      <c r="E2157" t="s">
        <v>8</v>
      </c>
      <c r="F2157">
        <v>5081</v>
      </c>
      <c r="G2157" t="s">
        <v>147</v>
      </c>
      <c r="H2157" s="20">
        <v>478503</v>
      </c>
      <c r="I2157" s="1">
        <v>0</v>
      </c>
      <c r="J2157" s="1">
        <v>478503</v>
      </c>
      <c r="K2157">
        <f>VLOOKUP(F2157,'LEAID Match'!$A$2:$C$2979,3,FALSE)</f>
        <v>2009450</v>
      </c>
    </row>
    <row r="2158" spans="1:11" x14ac:dyDescent="0.2">
      <c r="A2158">
        <v>2005580</v>
      </c>
      <c r="B2158">
        <v>2021</v>
      </c>
      <c r="C2158" t="s">
        <v>6</v>
      </c>
      <c r="D2158" t="s">
        <v>7</v>
      </c>
      <c r="E2158" t="s">
        <v>8</v>
      </c>
      <c r="F2158">
        <v>5013</v>
      </c>
      <c r="G2158" t="s">
        <v>355</v>
      </c>
      <c r="H2158" s="1">
        <v>7482992</v>
      </c>
      <c r="I2158" s="1">
        <v>0</v>
      </c>
      <c r="J2158" s="1">
        <v>7482992</v>
      </c>
      <c r="K2158">
        <f>VLOOKUP(F2158,'LEAID Match'!$A$2:$C$2979,3,FALSE)</f>
        <v>2005580</v>
      </c>
    </row>
    <row r="2159" spans="1:11" x14ac:dyDescent="0.2">
      <c r="A2159">
        <v>2010740</v>
      </c>
      <c r="B2159">
        <v>2021</v>
      </c>
      <c r="C2159" t="s">
        <v>6</v>
      </c>
      <c r="D2159" t="s">
        <v>7</v>
      </c>
      <c r="E2159" t="s">
        <v>8</v>
      </c>
      <c r="F2159">
        <v>5083</v>
      </c>
      <c r="G2159" s="9" t="s">
        <v>149</v>
      </c>
      <c r="H2159" s="1">
        <v>351244</v>
      </c>
      <c r="I2159" s="1">
        <v>0</v>
      </c>
      <c r="J2159" s="1">
        <v>351244</v>
      </c>
      <c r="K2159">
        <f>VLOOKUP(F2159,'LEAID Match'!$A$2:$C$2979,3,FALSE)</f>
        <v>2010740</v>
      </c>
    </row>
    <row r="2160" spans="1:11" x14ac:dyDescent="0.2">
      <c r="A2160">
        <v>2007260</v>
      </c>
      <c r="B2160">
        <v>2021</v>
      </c>
      <c r="C2160" t="s">
        <v>6</v>
      </c>
      <c r="D2160" t="s">
        <v>7</v>
      </c>
      <c r="E2160" t="s">
        <v>8</v>
      </c>
      <c r="F2160" s="3">
        <v>5087</v>
      </c>
      <c r="G2160" s="3" t="s">
        <v>150</v>
      </c>
      <c r="H2160" s="22">
        <v>358500</v>
      </c>
      <c r="I2160" s="1">
        <v>0</v>
      </c>
      <c r="J2160" s="1">
        <v>358500</v>
      </c>
      <c r="K2160">
        <f>VLOOKUP(F2160,'LEAID Match'!$A$2:$C$2979,3,FALSE)</f>
        <v>2007260</v>
      </c>
    </row>
    <row r="2161" spans="1:11" x14ac:dyDescent="0.2">
      <c r="A2161">
        <v>2012870</v>
      </c>
      <c r="B2161">
        <v>2021</v>
      </c>
      <c r="C2161" t="s">
        <v>6</v>
      </c>
      <c r="D2161" t="s">
        <v>7</v>
      </c>
      <c r="E2161" t="s">
        <v>8</v>
      </c>
      <c r="F2161" s="3">
        <v>5088</v>
      </c>
      <c r="G2161" s="3" t="s">
        <v>151</v>
      </c>
      <c r="H2161" s="1">
        <v>682053</v>
      </c>
      <c r="I2161" s="21">
        <v>0</v>
      </c>
      <c r="J2161" s="21">
        <v>682053</v>
      </c>
      <c r="K2161">
        <f>VLOOKUP(F2161,'LEAID Match'!$A$2:$C$2979,3,FALSE)</f>
        <v>2012870</v>
      </c>
    </row>
    <row r="2162" spans="1:11" x14ac:dyDescent="0.2">
      <c r="A2162">
        <v>2008790</v>
      </c>
      <c r="B2162">
        <v>2021</v>
      </c>
      <c r="C2162" t="s">
        <v>6</v>
      </c>
      <c r="D2162" t="s">
        <v>7</v>
      </c>
      <c r="E2162" t="s">
        <v>8</v>
      </c>
      <c r="F2162" s="3">
        <v>5089</v>
      </c>
      <c r="G2162" s="3" t="s">
        <v>152</v>
      </c>
      <c r="H2162" s="1">
        <v>323435</v>
      </c>
      <c r="I2162" s="1">
        <v>0</v>
      </c>
      <c r="J2162" s="1">
        <v>323435</v>
      </c>
      <c r="K2162">
        <f>VLOOKUP(F2162,'LEAID Match'!$A$2:$C$2979,3,FALSE)</f>
        <v>2008790</v>
      </c>
    </row>
    <row r="2163" spans="1:11" x14ac:dyDescent="0.2">
      <c r="A2163">
        <v>2009930</v>
      </c>
      <c r="B2163">
        <v>2021</v>
      </c>
      <c r="C2163" t="s">
        <v>6</v>
      </c>
      <c r="D2163" t="s">
        <v>7</v>
      </c>
      <c r="E2163" t="s">
        <v>8</v>
      </c>
      <c r="F2163">
        <v>5090</v>
      </c>
      <c r="G2163" t="s">
        <v>153</v>
      </c>
      <c r="H2163" s="1">
        <v>269666</v>
      </c>
      <c r="I2163" s="1">
        <v>0</v>
      </c>
      <c r="J2163" s="1">
        <v>269666</v>
      </c>
      <c r="K2163">
        <f>VLOOKUP(F2163,'LEAID Match'!$A$2:$C$2979,3,FALSE)</f>
        <v>2009930</v>
      </c>
    </row>
    <row r="2164" spans="1:11" x14ac:dyDescent="0.2">
      <c r="A2164">
        <v>2007970</v>
      </c>
      <c r="B2164">
        <v>2021</v>
      </c>
      <c r="C2164" t="s">
        <v>6</v>
      </c>
      <c r="D2164" t="s">
        <v>7</v>
      </c>
      <c r="E2164" t="s">
        <v>8</v>
      </c>
      <c r="F2164">
        <v>5092</v>
      </c>
      <c r="G2164" t="s">
        <v>154</v>
      </c>
      <c r="H2164" s="1">
        <v>1334491</v>
      </c>
      <c r="I2164" s="1">
        <v>0</v>
      </c>
      <c r="J2164" s="1">
        <v>1334491</v>
      </c>
      <c r="K2164">
        <f>VLOOKUP(F2164,'LEAID Match'!$A$2:$C$2979,3,FALSE)</f>
        <v>2007970</v>
      </c>
    </row>
    <row r="2165" spans="1:11" x14ac:dyDescent="0.2">
      <c r="A2165">
        <v>2010170</v>
      </c>
      <c r="B2165">
        <v>2021</v>
      </c>
      <c r="C2165" t="s">
        <v>6</v>
      </c>
      <c r="D2165" t="s">
        <v>7</v>
      </c>
      <c r="E2165" t="s">
        <v>8</v>
      </c>
      <c r="F2165">
        <v>5093</v>
      </c>
      <c r="G2165" t="s">
        <v>155</v>
      </c>
      <c r="H2165" s="1">
        <v>302917</v>
      </c>
      <c r="I2165" s="1">
        <v>0</v>
      </c>
      <c r="J2165" s="1">
        <v>302917</v>
      </c>
      <c r="K2165">
        <f>VLOOKUP(F2165,'LEAID Match'!$A$2:$C$2979,3,FALSE)</f>
        <v>2010170</v>
      </c>
    </row>
    <row r="2166" spans="1:11" x14ac:dyDescent="0.2">
      <c r="A2166">
        <v>2003240</v>
      </c>
      <c r="B2166">
        <v>2021</v>
      </c>
      <c r="C2166" t="s">
        <v>6</v>
      </c>
      <c r="D2166" t="s">
        <v>7</v>
      </c>
      <c r="E2166" t="s">
        <v>8</v>
      </c>
      <c r="F2166">
        <v>5095</v>
      </c>
      <c r="G2166" t="s">
        <v>156</v>
      </c>
      <c r="H2166" s="20">
        <v>482251</v>
      </c>
      <c r="I2166" s="1">
        <v>0</v>
      </c>
      <c r="J2166" s="1">
        <v>482251</v>
      </c>
      <c r="K2166">
        <f>VLOOKUP(F2166,'LEAID Match'!$A$2:$C$2979,3,FALSE)</f>
        <v>2003240</v>
      </c>
    </row>
    <row r="2167" spans="1:11" x14ac:dyDescent="0.2">
      <c r="A2167">
        <v>2007750</v>
      </c>
      <c r="B2167">
        <v>2021</v>
      </c>
      <c r="C2167" t="s">
        <v>6</v>
      </c>
      <c r="D2167" t="s">
        <v>7</v>
      </c>
      <c r="E2167" t="s">
        <v>8</v>
      </c>
      <c r="F2167">
        <v>5096</v>
      </c>
      <c r="G2167" t="s">
        <v>157</v>
      </c>
      <c r="H2167" s="1">
        <v>582866</v>
      </c>
      <c r="I2167" s="1">
        <v>0</v>
      </c>
      <c r="J2167" s="1">
        <v>582866</v>
      </c>
      <c r="K2167">
        <f>VLOOKUP(F2167,'LEAID Match'!$A$2:$C$2979,3,FALSE)</f>
        <v>2007750</v>
      </c>
    </row>
    <row r="2168" spans="1:11" x14ac:dyDescent="0.2">
      <c r="A2168">
        <v>2004380</v>
      </c>
      <c r="B2168">
        <v>2021</v>
      </c>
      <c r="C2168" t="s">
        <v>6</v>
      </c>
      <c r="D2168" t="s">
        <v>7</v>
      </c>
      <c r="E2168" t="s">
        <v>8</v>
      </c>
      <c r="F2168">
        <v>5098</v>
      </c>
      <c r="G2168" s="9" t="s">
        <v>158</v>
      </c>
      <c r="H2168" s="1">
        <v>289806</v>
      </c>
      <c r="I2168" s="1">
        <v>0</v>
      </c>
      <c r="J2168" s="1">
        <v>289806</v>
      </c>
      <c r="K2168">
        <f>VLOOKUP(F2168,'LEAID Match'!$A$2:$C$2979,3,FALSE)</f>
        <v>2004380</v>
      </c>
    </row>
    <row r="2169" spans="1:11" x14ac:dyDescent="0.2">
      <c r="A2169">
        <v>2006450</v>
      </c>
      <c r="B2169">
        <v>2021</v>
      </c>
      <c r="C2169" t="s">
        <v>6</v>
      </c>
      <c r="D2169" t="s">
        <v>7</v>
      </c>
      <c r="E2169" t="s">
        <v>8</v>
      </c>
      <c r="F2169" s="3">
        <v>5099</v>
      </c>
      <c r="G2169" s="3" t="s">
        <v>159</v>
      </c>
      <c r="H2169" s="22">
        <v>960766</v>
      </c>
      <c r="I2169" s="1">
        <v>0</v>
      </c>
      <c r="J2169" s="1">
        <v>960766</v>
      </c>
      <c r="K2169">
        <f>VLOOKUP(F2169,'LEAID Match'!$A$2:$C$2979,3,FALSE)</f>
        <v>2006450</v>
      </c>
    </row>
    <row r="2170" spans="1:11" x14ac:dyDescent="0.2">
      <c r="A2170">
        <v>2010260</v>
      </c>
      <c r="B2170">
        <v>2021</v>
      </c>
      <c r="C2170" t="s">
        <v>6</v>
      </c>
      <c r="D2170" t="s">
        <v>7</v>
      </c>
      <c r="E2170" t="s">
        <v>8</v>
      </c>
      <c r="F2170" s="3">
        <v>5100</v>
      </c>
      <c r="G2170" s="3" t="s">
        <v>160</v>
      </c>
      <c r="H2170" s="1">
        <v>1105023</v>
      </c>
      <c r="I2170" s="21">
        <v>0</v>
      </c>
      <c r="J2170" s="21">
        <v>1105023</v>
      </c>
      <c r="K2170">
        <f>VLOOKUP(F2170,'LEAID Match'!$A$2:$C$2979,3,FALSE)</f>
        <v>2010260</v>
      </c>
    </row>
    <row r="2171" spans="1:11" x14ac:dyDescent="0.2">
      <c r="A2171">
        <v>2011700</v>
      </c>
      <c r="B2171">
        <v>2021</v>
      </c>
      <c r="C2171" t="s">
        <v>6</v>
      </c>
      <c r="D2171" t="s">
        <v>7</v>
      </c>
      <c r="E2171" t="s">
        <v>8</v>
      </c>
      <c r="F2171" s="3">
        <v>5101</v>
      </c>
      <c r="G2171" s="3" t="s">
        <v>161</v>
      </c>
      <c r="H2171" s="1">
        <v>716374</v>
      </c>
      <c r="I2171" s="1">
        <v>0</v>
      </c>
      <c r="J2171" s="1">
        <v>716374</v>
      </c>
      <c r="K2171">
        <f>VLOOKUP(F2171,'LEAID Match'!$A$2:$C$2979,3,FALSE)</f>
        <v>2011700</v>
      </c>
    </row>
    <row r="2172" spans="1:11" x14ac:dyDescent="0.2">
      <c r="A2172">
        <v>2004890</v>
      </c>
      <c r="B2172">
        <v>2021</v>
      </c>
      <c r="C2172" t="s">
        <v>6</v>
      </c>
      <c r="D2172" t="s">
        <v>7</v>
      </c>
      <c r="E2172" t="s">
        <v>8</v>
      </c>
      <c r="F2172">
        <v>5102</v>
      </c>
      <c r="G2172" t="s">
        <v>162</v>
      </c>
      <c r="H2172" s="1">
        <v>1546809</v>
      </c>
      <c r="I2172" s="1">
        <v>0</v>
      </c>
      <c r="J2172" s="1">
        <v>1546809</v>
      </c>
      <c r="K2172">
        <f>VLOOKUP(F2172,'LEAID Match'!$A$2:$C$2979,3,FALSE)</f>
        <v>2004890</v>
      </c>
    </row>
    <row r="2173" spans="1:11" x14ac:dyDescent="0.2">
      <c r="A2173">
        <v>2010890</v>
      </c>
      <c r="B2173">
        <v>2021</v>
      </c>
      <c r="C2173" t="s">
        <v>6</v>
      </c>
      <c r="D2173" t="s">
        <v>7</v>
      </c>
      <c r="E2173" t="s">
        <v>8</v>
      </c>
      <c r="F2173">
        <v>5103</v>
      </c>
      <c r="G2173" t="s">
        <v>163</v>
      </c>
      <c r="H2173" s="1">
        <v>934908</v>
      </c>
      <c r="I2173" s="1">
        <v>0</v>
      </c>
      <c r="J2173" s="1">
        <v>934908</v>
      </c>
      <c r="K2173">
        <f>VLOOKUP(F2173,'LEAID Match'!$A$2:$C$2979,3,FALSE)</f>
        <v>2010890</v>
      </c>
    </row>
    <row r="2174" spans="1:11" x14ac:dyDescent="0.2">
      <c r="A2174">
        <v>2004440</v>
      </c>
      <c r="B2174">
        <v>2021</v>
      </c>
      <c r="C2174" t="s">
        <v>6</v>
      </c>
      <c r="D2174" t="s">
        <v>7</v>
      </c>
      <c r="E2174" t="s">
        <v>8</v>
      </c>
      <c r="F2174">
        <v>5104</v>
      </c>
      <c r="G2174" t="s">
        <v>164</v>
      </c>
      <c r="H2174" s="1">
        <v>306657</v>
      </c>
      <c r="I2174" s="1">
        <v>0</v>
      </c>
      <c r="J2174" s="1">
        <v>306657</v>
      </c>
      <c r="K2174">
        <f>VLOOKUP(F2174,'LEAID Match'!$A$2:$C$2979,3,FALSE)</f>
        <v>2004440</v>
      </c>
    </row>
    <row r="2175" spans="1:11" x14ac:dyDescent="0.2">
      <c r="A2175">
        <v>2004140</v>
      </c>
      <c r="B2175">
        <v>2021</v>
      </c>
      <c r="C2175" t="s">
        <v>6</v>
      </c>
      <c r="D2175" t="s">
        <v>7</v>
      </c>
      <c r="E2175" t="s">
        <v>8</v>
      </c>
      <c r="F2175">
        <v>5105</v>
      </c>
      <c r="G2175" t="s">
        <v>165</v>
      </c>
      <c r="H2175" s="20">
        <v>261285</v>
      </c>
      <c r="I2175" s="1">
        <v>0</v>
      </c>
      <c r="J2175" s="1">
        <v>261285</v>
      </c>
      <c r="K2175">
        <f>VLOOKUP(F2175,'LEAID Match'!$A$2:$C$2979,3,FALSE)</f>
        <v>2004140</v>
      </c>
    </row>
    <row r="2176" spans="1:11" x14ac:dyDescent="0.2">
      <c r="A2176">
        <v>2008190</v>
      </c>
      <c r="B2176">
        <v>2021</v>
      </c>
      <c r="C2176" t="s">
        <v>6</v>
      </c>
      <c r="D2176" t="s">
        <v>7</v>
      </c>
      <c r="E2176" t="s">
        <v>8</v>
      </c>
      <c r="F2176">
        <v>5106</v>
      </c>
      <c r="G2176" t="s">
        <v>166</v>
      </c>
      <c r="H2176" s="1">
        <v>738943</v>
      </c>
      <c r="I2176" s="1">
        <v>0</v>
      </c>
      <c r="J2176" s="1">
        <v>738943</v>
      </c>
      <c r="K2176">
        <f>VLOOKUP(F2176,'LEAID Match'!$A$2:$C$2979,3,FALSE)</f>
        <v>2008190</v>
      </c>
    </row>
    <row r="2177" spans="1:11" x14ac:dyDescent="0.2">
      <c r="A2177">
        <v>2007560</v>
      </c>
      <c r="B2177">
        <v>2021</v>
      </c>
      <c r="C2177" t="s">
        <v>6</v>
      </c>
      <c r="D2177" t="s">
        <v>7</v>
      </c>
      <c r="E2177" t="s">
        <v>8</v>
      </c>
      <c r="F2177">
        <v>5116</v>
      </c>
      <c r="G2177" s="9" t="s">
        <v>167</v>
      </c>
      <c r="H2177" s="1">
        <v>945734</v>
      </c>
      <c r="I2177" s="1">
        <v>0</v>
      </c>
      <c r="J2177" s="1">
        <v>945734</v>
      </c>
      <c r="K2177">
        <f>VLOOKUP(F2177,'LEAID Match'!$A$2:$C$2979,3,FALSE)</f>
        <v>2007560</v>
      </c>
    </row>
    <row r="2178" spans="1:11" x14ac:dyDescent="0.2">
      <c r="A2178">
        <v>2003270</v>
      </c>
      <c r="B2178">
        <v>2021</v>
      </c>
      <c r="C2178" t="s">
        <v>6</v>
      </c>
      <c r="D2178" t="s">
        <v>7</v>
      </c>
      <c r="E2178" t="s">
        <v>8</v>
      </c>
      <c r="F2178" s="3">
        <v>5117</v>
      </c>
      <c r="G2178" s="3" t="s">
        <v>168</v>
      </c>
      <c r="H2178" s="22">
        <v>181713</v>
      </c>
      <c r="I2178" s="1">
        <v>0</v>
      </c>
      <c r="J2178" s="1">
        <v>181713</v>
      </c>
      <c r="K2178">
        <f>VLOOKUP(F2178,'LEAID Match'!$A$2:$C$2979,3,FALSE)</f>
        <v>2003270</v>
      </c>
    </row>
    <row r="2179" spans="1:11" x14ac:dyDescent="0.2">
      <c r="A2179">
        <v>2012420</v>
      </c>
      <c r="B2179">
        <v>2021</v>
      </c>
      <c r="C2179" t="s">
        <v>6</v>
      </c>
      <c r="D2179" t="s">
        <v>7</v>
      </c>
      <c r="E2179" t="s">
        <v>8</v>
      </c>
      <c r="F2179" s="3">
        <v>5118</v>
      </c>
      <c r="G2179" s="3" t="s">
        <v>169</v>
      </c>
      <c r="H2179" s="1">
        <v>1367103</v>
      </c>
      <c r="I2179" s="21">
        <v>0</v>
      </c>
      <c r="J2179" s="21">
        <v>1367103</v>
      </c>
      <c r="K2179">
        <f>VLOOKUP(F2179,'LEAID Match'!$A$2:$C$2979,3,FALSE)</f>
        <v>2012420</v>
      </c>
    </row>
    <row r="2180" spans="1:11" x14ac:dyDescent="0.2">
      <c r="A2180">
        <v>2009600</v>
      </c>
      <c r="B2180">
        <v>2021</v>
      </c>
      <c r="C2180" t="s">
        <v>6</v>
      </c>
      <c r="D2180" t="s">
        <v>7</v>
      </c>
      <c r="E2180" t="s">
        <v>8</v>
      </c>
      <c r="F2180" s="3">
        <v>5119</v>
      </c>
      <c r="G2180" s="3" t="s">
        <v>170</v>
      </c>
      <c r="H2180" s="1">
        <v>300556</v>
      </c>
      <c r="I2180" s="1">
        <v>0</v>
      </c>
      <c r="J2180" s="1">
        <v>300556</v>
      </c>
      <c r="K2180">
        <f>VLOOKUP(F2180,'LEAID Match'!$A$2:$C$2979,3,FALSE)</f>
        <v>2009600</v>
      </c>
    </row>
    <row r="2181" spans="1:11" x14ac:dyDescent="0.2">
      <c r="A2181">
        <v>2006420</v>
      </c>
      <c r="B2181">
        <v>2021</v>
      </c>
      <c r="C2181" t="s">
        <v>6</v>
      </c>
      <c r="D2181" t="s">
        <v>7</v>
      </c>
      <c r="E2181" t="s">
        <v>8</v>
      </c>
      <c r="F2181">
        <v>5120</v>
      </c>
      <c r="G2181" t="s">
        <v>171</v>
      </c>
      <c r="H2181" s="1">
        <v>6508326</v>
      </c>
      <c r="I2181" s="1">
        <v>0</v>
      </c>
      <c r="J2181" s="1">
        <v>6508326</v>
      </c>
      <c r="K2181">
        <f>VLOOKUP(F2181,'LEAID Match'!$A$2:$C$2979,3,FALSE)</f>
        <v>2006420</v>
      </c>
    </row>
    <row r="2182" spans="1:11" x14ac:dyDescent="0.2">
      <c r="A2182">
        <v>2008130</v>
      </c>
      <c r="B2182">
        <v>2021</v>
      </c>
      <c r="C2182" t="s">
        <v>6</v>
      </c>
      <c r="D2182" t="s">
        <v>7</v>
      </c>
      <c r="E2182" t="s">
        <v>8</v>
      </c>
      <c r="F2182">
        <v>5122</v>
      </c>
      <c r="G2182" t="s">
        <v>172</v>
      </c>
      <c r="H2182" s="1">
        <v>258637</v>
      </c>
      <c r="I2182" s="1">
        <v>0</v>
      </c>
      <c r="J2182" s="1">
        <v>258637</v>
      </c>
      <c r="K2182">
        <f>VLOOKUP(F2182,'LEAID Match'!$A$2:$C$2979,3,FALSE)</f>
        <v>2008130</v>
      </c>
    </row>
    <row r="2183" spans="1:11" x14ac:dyDescent="0.2">
      <c r="A2183">
        <v>2009660</v>
      </c>
      <c r="B2183">
        <v>2021</v>
      </c>
      <c r="C2183" t="s">
        <v>6</v>
      </c>
      <c r="D2183" t="s">
        <v>7</v>
      </c>
      <c r="E2183" t="s">
        <v>8</v>
      </c>
      <c r="F2183">
        <v>5123</v>
      </c>
      <c r="G2183" t="s">
        <v>173</v>
      </c>
      <c r="H2183" s="1">
        <v>254418</v>
      </c>
      <c r="I2183" s="1">
        <v>0</v>
      </c>
      <c r="J2183" s="1">
        <v>254418</v>
      </c>
      <c r="K2183">
        <f>VLOOKUP(F2183,'LEAID Match'!$A$2:$C$2979,3,FALSE)</f>
        <v>2009660</v>
      </c>
    </row>
    <row r="2184" spans="1:11" x14ac:dyDescent="0.2">
      <c r="A2184">
        <v>2000003</v>
      </c>
      <c r="B2184">
        <v>2021</v>
      </c>
      <c r="C2184" t="s">
        <v>6</v>
      </c>
      <c r="D2184" t="s">
        <v>7</v>
      </c>
      <c r="E2184" t="s">
        <v>8</v>
      </c>
      <c r="F2184">
        <v>5125</v>
      </c>
      <c r="G2184" t="s">
        <v>174</v>
      </c>
      <c r="H2184" s="20">
        <v>1776270</v>
      </c>
      <c r="I2184" s="1">
        <v>0</v>
      </c>
      <c r="J2184" s="1">
        <v>1776270</v>
      </c>
      <c r="K2184">
        <f>VLOOKUP(F2184,'LEAID Match'!$A$2:$C$2979,3,FALSE)</f>
        <v>2000003</v>
      </c>
    </row>
    <row r="2185" spans="1:11" x14ac:dyDescent="0.2">
      <c r="A2185">
        <v>2005370</v>
      </c>
      <c r="B2185">
        <v>2021</v>
      </c>
      <c r="C2185" t="s">
        <v>6</v>
      </c>
      <c r="D2185" t="s">
        <v>7</v>
      </c>
      <c r="E2185" t="s">
        <v>8</v>
      </c>
      <c r="F2185">
        <v>5127</v>
      </c>
      <c r="G2185" t="s">
        <v>175</v>
      </c>
      <c r="H2185" s="1">
        <v>219185</v>
      </c>
      <c r="I2185" s="1">
        <v>0</v>
      </c>
      <c r="J2185" s="1">
        <v>219185</v>
      </c>
      <c r="K2185">
        <f>VLOOKUP(F2185,'LEAID Match'!$A$2:$C$2979,3,FALSE)</f>
        <v>2005370</v>
      </c>
    </row>
    <row r="2186" spans="1:11" x14ac:dyDescent="0.2">
      <c r="A2186">
        <v>2004830</v>
      </c>
      <c r="B2186">
        <v>2021</v>
      </c>
      <c r="C2186" t="s">
        <v>6</v>
      </c>
      <c r="D2186" t="s">
        <v>7</v>
      </c>
      <c r="E2186" t="s">
        <v>8</v>
      </c>
      <c r="F2186">
        <v>5128</v>
      </c>
      <c r="G2186" s="9" t="s">
        <v>176</v>
      </c>
      <c r="H2186" s="1">
        <v>360155</v>
      </c>
      <c r="I2186" s="1">
        <v>0</v>
      </c>
      <c r="J2186" s="1">
        <v>360155</v>
      </c>
      <c r="K2186">
        <f>VLOOKUP(F2186,'LEAID Match'!$A$2:$C$2979,3,FALSE)</f>
        <v>2004830</v>
      </c>
    </row>
    <row r="2187" spans="1:11" x14ac:dyDescent="0.2">
      <c r="A2187">
        <v>2009320</v>
      </c>
      <c r="B2187">
        <v>2021</v>
      </c>
      <c r="C2187" t="s">
        <v>6</v>
      </c>
      <c r="D2187" t="s">
        <v>7</v>
      </c>
      <c r="E2187" t="s">
        <v>8</v>
      </c>
      <c r="F2187" s="3">
        <v>5129</v>
      </c>
      <c r="G2187" s="3" t="s">
        <v>177</v>
      </c>
      <c r="H2187" s="22">
        <v>834901</v>
      </c>
      <c r="I2187" s="1">
        <v>0</v>
      </c>
      <c r="J2187" s="1">
        <v>834901</v>
      </c>
      <c r="K2187">
        <f>VLOOKUP(F2187,'LEAID Match'!$A$2:$C$2979,3,FALSE)</f>
        <v>2009320</v>
      </c>
    </row>
    <row r="2188" spans="1:11" x14ac:dyDescent="0.2">
      <c r="A2188">
        <v>2010620</v>
      </c>
      <c r="B2188">
        <v>2021</v>
      </c>
      <c r="C2188" t="s">
        <v>6</v>
      </c>
      <c r="D2188" t="s">
        <v>7</v>
      </c>
      <c r="E2188" t="s">
        <v>8</v>
      </c>
      <c r="F2188" s="3">
        <v>5130</v>
      </c>
      <c r="G2188" s="3" t="s">
        <v>178</v>
      </c>
      <c r="H2188" s="1">
        <v>676882</v>
      </c>
      <c r="I2188" s="21">
        <v>0</v>
      </c>
      <c r="J2188" s="21">
        <v>676882</v>
      </c>
      <c r="K2188">
        <f>VLOOKUP(F2188,'LEAID Match'!$A$2:$C$2979,3,FALSE)</f>
        <v>2010620</v>
      </c>
    </row>
    <row r="2189" spans="1:11" x14ac:dyDescent="0.2">
      <c r="A2189">
        <v>2000016</v>
      </c>
      <c r="B2189">
        <v>2021</v>
      </c>
      <c r="C2189" t="s">
        <v>6</v>
      </c>
      <c r="D2189" t="s">
        <v>7</v>
      </c>
      <c r="E2189" t="s">
        <v>8</v>
      </c>
      <c r="F2189" s="3">
        <v>5131</v>
      </c>
      <c r="G2189" s="3" t="s">
        <v>179</v>
      </c>
      <c r="H2189" s="1">
        <v>897365</v>
      </c>
      <c r="I2189" s="1">
        <v>0</v>
      </c>
      <c r="J2189" s="1">
        <v>897365</v>
      </c>
      <c r="K2189">
        <f>VLOOKUP(F2189,'LEAID Match'!$A$2:$C$2979,3,FALSE)</f>
        <v>2000016</v>
      </c>
    </row>
    <row r="2190" spans="1:11" x14ac:dyDescent="0.2">
      <c r="A2190">
        <v>2010500</v>
      </c>
      <c r="B2190">
        <v>2021</v>
      </c>
      <c r="C2190" t="s">
        <v>6</v>
      </c>
      <c r="D2190" t="s">
        <v>7</v>
      </c>
      <c r="E2190" t="s">
        <v>8</v>
      </c>
      <c r="F2190">
        <v>5132</v>
      </c>
      <c r="G2190" t="s">
        <v>180</v>
      </c>
      <c r="H2190" s="1">
        <v>3410077</v>
      </c>
      <c r="I2190" s="1">
        <v>0</v>
      </c>
      <c r="J2190" s="1">
        <v>3410077</v>
      </c>
      <c r="K2190">
        <f>VLOOKUP(F2190,'LEAID Match'!$A$2:$C$2979,3,FALSE)</f>
        <v>2010500</v>
      </c>
    </row>
    <row r="2191" spans="1:11" x14ac:dyDescent="0.2">
      <c r="A2191">
        <v>2011820</v>
      </c>
      <c r="B2191">
        <v>2021</v>
      </c>
      <c r="C2191" t="s">
        <v>6</v>
      </c>
      <c r="D2191" t="s">
        <v>7</v>
      </c>
      <c r="E2191" t="s">
        <v>8</v>
      </c>
      <c r="F2191">
        <v>5133</v>
      </c>
      <c r="G2191" t="s">
        <v>181</v>
      </c>
      <c r="H2191" s="1">
        <v>334231</v>
      </c>
      <c r="I2191" s="1">
        <v>0</v>
      </c>
      <c r="J2191" s="1">
        <v>334231</v>
      </c>
      <c r="K2191">
        <f>VLOOKUP(F2191,'LEAID Match'!$A$2:$C$2979,3,FALSE)</f>
        <v>2011820</v>
      </c>
    </row>
    <row r="2192" spans="1:11" x14ac:dyDescent="0.2">
      <c r="A2192">
        <v>2011760</v>
      </c>
      <c r="B2192">
        <v>2021</v>
      </c>
      <c r="C2192" t="s">
        <v>6</v>
      </c>
      <c r="D2192" t="s">
        <v>7</v>
      </c>
      <c r="E2192" t="s">
        <v>8</v>
      </c>
      <c r="F2192">
        <v>5134</v>
      </c>
      <c r="G2192" t="s">
        <v>182</v>
      </c>
      <c r="H2192" s="1">
        <v>340771</v>
      </c>
      <c r="I2192" s="1">
        <v>0</v>
      </c>
      <c r="J2192" s="1">
        <v>340771</v>
      </c>
      <c r="K2192">
        <f>VLOOKUP(F2192,'LEAID Match'!$A$2:$C$2979,3,FALSE)</f>
        <v>2011760</v>
      </c>
    </row>
    <row r="2193" spans="1:11" x14ac:dyDescent="0.2">
      <c r="A2193">
        <v>2003630</v>
      </c>
      <c r="B2193">
        <v>2021</v>
      </c>
      <c r="C2193" t="s">
        <v>6</v>
      </c>
      <c r="D2193" t="s">
        <v>7</v>
      </c>
      <c r="E2193" t="s">
        <v>8</v>
      </c>
      <c r="F2193">
        <v>5135</v>
      </c>
      <c r="G2193" t="s">
        <v>183</v>
      </c>
      <c r="H2193" s="20">
        <v>1612879</v>
      </c>
      <c r="I2193" s="1">
        <v>0</v>
      </c>
      <c r="J2193" s="1">
        <v>1612879</v>
      </c>
      <c r="K2193">
        <f>VLOOKUP(F2193,'LEAID Match'!$A$2:$C$2979,3,FALSE)</f>
        <v>2003630</v>
      </c>
    </row>
    <row r="2194" spans="1:11" x14ac:dyDescent="0.2">
      <c r="A2194">
        <v>2012600</v>
      </c>
      <c r="B2194">
        <v>2021</v>
      </c>
      <c r="C2194" t="s">
        <v>6</v>
      </c>
      <c r="D2194" t="s">
        <v>7</v>
      </c>
      <c r="E2194" t="s">
        <v>8</v>
      </c>
      <c r="F2194">
        <v>5137</v>
      </c>
      <c r="G2194" t="s">
        <v>184</v>
      </c>
      <c r="H2194" s="1">
        <v>246277</v>
      </c>
      <c r="I2194" s="1">
        <v>0</v>
      </c>
      <c r="J2194" s="1">
        <v>246277</v>
      </c>
      <c r="K2194">
        <f>VLOOKUP(F2194,'LEAID Match'!$A$2:$C$2979,3,FALSE)</f>
        <v>2012600</v>
      </c>
    </row>
    <row r="2195" spans="1:11" x14ac:dyDescent="0.2">
      <c r="A2195">
        <v>2004260</v>
      </c>
      <c r="B2195">
        <v>2021</v>
      </c>
      <c r="C2195" t="s">
        <v>6</v>
      </c>
      <c r="D2195" t="s">
        <v>7</v>
      </c>
      <c r="E2195" t="s">
        <v>8</v>
      </c>
      <c r="F2195">
        <v>5138</v>
      </c>
      <c r="G2195" s="9" t="s">
        <v>185</v>
      </c>
      <c r="H2195" s="1">
        <v>258189</v>
      </c>
      <c r="I2195" s="1">
        <v>0</v>
      </c>
      <c r="J2195" s="1">
        <v>258189</v>
      </c>
      <c r="K2195">
        <f>VLOOKUP(F2195,'LEAID Match'!$A$2:$C$2979,3,FALSE)</f>
        <v>2004260</v>
      </c>
    </row>
    <row r="2196" spans="1:11" x14ac:dyDescent="0.2">
      <c r="A2196">
        <v>2012390</v>
      </c>
      <c r="B2196">
        <v>2021</v>
      </c>
      <c r="C2196" t="s">
        <v>6</v>
      </c>
      <c r="D2196" t="s">
        <v>7</v>
      </c>
      <c r="E2196" t="s">
        <v>8</v>
      </c>
      <c r="F2196" s="3">
        <v>5140</v>
      </c>
      <c r="G2196" s="3" t="s">
        <v>186</v>
      </c>
      <c r="H2196" s="22">
        <v>351088</v>
      </c>
      <c r="I2196" s="1">
        <v>0</v>
      </c>
      <c r="J2196" s="1">
        <v>351088</v>
      </c>
      <c r="K2196">
        <f>VLOOKUP(F2196,'LEAID Match'!$A$2:$C$2979,3,FALSE)</f>
        <v>2012390</v>
      </c>
    </row>
    <row r="2197" spans="1:11" x14ac:dyDescent="0.2">
      <c r="A2197">
        <v>0</v>
      </c>
      <c r="B2197">
        <v>2021</v>
      </c>
      <c r="C2197" t="s">
        <v>6</v>
      </c>
      <c r="D2197" t="s">
        <v>7</v>
      </c>
      <c r="E2197" t="s">
        <v>8</v>
      </c>
      <c r="F2197" s="3">
        <v>5141</v>
      </c>
      <c r="G2197" s="3" t="s">
        <v>187</v>
      </c>
      <c r="H2197" s="1">
        <v>410185</v>
      </c>
      <c r="I2197" s="21">
        <v>0</v>
      </c>
      <c r="J2197" s="21">
        <v>410185</v>
      </c>
      <c r="K2197">
        <f>VLOOKUP(F2197,'LEAID Match'!$A$2:$C$2979,3,FALSE)</f>
        <v>0</v>
      </c>
    </row>
    <row r="2198" spans="1:11" x14ac:dyDescent="0.2">
      <c r="A2198">
        <v>2006990</v>
      </c>
      <c r="B2198">
        <v>2021</v>
      </c>
      <c r="C2198" t="s">
        <v>6</v>
      </c>
      <c r="D2198" t="s">
        <v>7</v>
      </c>
      <c r="E2198" t="s">
        <v>8</v>
      </c>
      <c r="F2198" s="3">
        <v>5142</v>
      </c>
      <c r="G2198" s="3" t="s">
        <v>188</v>
      </c>
      <c r="H2198" s="1">
        <v>101570</v>
      </c>
      <c r="I2198" s="1">
        <v>0</v>
      </c>
      <c r="J2198" s="1">
        <v>101570</v>
      </c>
      <c r="K2198">
        <f>VLOOKUP(F2198,'LEAID Match'!$A$2:$C$2979,3,FALSE)</f>
        <v>2006990</v>
      </c>
    </row>
    <row r="2199" spans="1:11" x14ac:dyDescent="0.2">
      <c r="A2199">
        <v>2010020</v>
      </c>
      <c r="B2199">
        <v>2021</v>
      </c>
      <c r="C2199" t="s">
        <v>6</v>
      </c>
      <c r="D2199" t="s">
        <v>7</v>
      </c>
      <c r="E2199" t="s">
        <v>8</v>
      </c>
      <c r="F2199">
        <v>5143</v>
      </c>
      <c r="G2199" t="s">
        <v>189</v>
      </c>
      <c r="H2199" s="1">
        <v>625913</v>
      </c>
      <c r="I2199" s="1">
        <v>0</v>
      </c>
      <c r="J2199" s="1">
        <v>625913</v>
      </c>
      <c r="K2199">
        <f>VLOOKUP(F2199,'LEAID Match'!$A$2:$C$2979,3,FALSE)</f>
        <v>2010020</v>
      </c>
    </row>
    <row r="2200" spans="1:11" x14ac:dyDescent="0.2">
      <c r="A2200">
        <v>2005400</v>
      </c>
      <c r="B2200">
        <v>2021</v>
      </c>
      <c r="C2200" t="s">
        <v>6</v>
      </c>
      <c r="D2200" t="s">
        <v>7</v>
      </c>
      <c r="E2200" t="s">
        <v>8</v>
      </c>
      <c r="F2200">
        <v>5144</v>
      </c>
      <c r="G2200" t="s">
        <v>190</v>
      </c>
      <c r="H2200" s="1">
        <v>288665</v>
      </c>
      <c r="I2200" s="1">
        <v>0</v>
      </c>
      <c r="J2200" s="1">
        <v>288665</v>
      </c>
      <c r="K2200">
        <f>VLOOKUP(F2200,'LEAID Match'!$A$2:$C$2979,3,FALSE)</f>
        <v>2005400</v>
      </c>
    </row>
    <row r="2201" spans="1:11" x14ac:dyDescent="0.2">
      <c r="A2201">
        <v>0</v>
      </c>
      <c r="B2201">
        <v>2021</v>
      </c>
      <c r="C2201" t="s">
        <v>6</v>
      </c>
      <c r="D2201" t="s">
        <v>7</v>
      </c>
      <c r="E2201" t="s">
        <v>8</v>
      </c>
      <c r="F2201">
        <v>5145</v>
      </c>
      <c r="G2201" t="s">
        <v>191</v>
      </c>
      <c r="H2201" s="1">
        <v>295268</v>
      </c>
      <c r="I2201" s="1">
        <v>0</v>
      </c>
      <c r="J2201" s="1">
        <v>295268</v>
      </c>
      <c r="K2201">
        <f>VLOOKUP(F2201,'LEAID Match'!$A$2:$C$2979,3,FALSE)</f>
        <v>0</v>
      </c>
    </row>
    <row r="2202" spans="1:11" x14ac:dyDescent="0.2">
      <c r="A2202">
        <v>2005490</v>
      </c>
      <c r="B2202">
        <v>2021</v>
      </c>
      <c r="C2202" t="s">
        <v>6</v>
      </c>
      <c r="D2202" t="s">
        <v>7</v>
      </c>
      <c r="E2202" t="s">
        <v>8</v>
      </c>
      <c r="F2202">
        <v>5147</v>
      </c>
      <c r="G2202" t="s">
        <v>192</v>
      </c>
      <c r="H2202" s="20">
        <v>6353804</v>
      </c>
      <c r="I2202" s="1">
        <v>0</v>
      </c>
      <c r="J2202" s="1">
        <v>6353804</v>
      </c>
      <c r="K2202">
        <f>VLOOKUP(F2202,'LEAID Match'!$A$2:$C$2979,3,FALSE)</f>
        <v>2005490</v>
      </c>
    </row>
    <row r="2203" spans="1:11" x14ac:dyDescent="0.2">
      <c r="A2203">
        <v>2009570</v>
      </c>
      <c r="B2203">
        <v>2021</v>
      </c>
      <c r="C2203" t="s">
        <v>6</v>
      </c>
      <c r="D2203" t="s">
        <v>7</v>
      </c>
      <c r="E2203" t="s">
        <v>8</v>
      </c>
      <c r="F2203">
        <v>5148</v>
      </c>
      <c r="G2203" t="s">
        <v>193</v>
      </c>
      <c r="H2203" s="1">
        <v>625166</v>
      </c>
      <c r="I2203" s="1">
        <v>0</v>
      </c>
      <c r="J2203" s="1">
        <v>625166</v>
      </c>
      <c r="K2203">
        <f>VLOOKUP(F2203,'LEAID Match'!$A$2:$C$2979,3,FALSE)</f>
        <v>2009570</v>
      </c>
    </row>
    <row r="2204" spans="1:11" x14ac:dyDescent="0.2">
      <c r="A2204">
        <v>2004290</v>
      </c>
      <c r="B2204">
        <v>2021</v>
      </c>
      <c r="C2204" t="s">
        <v>6</v>
      </c>
      <c r="D2204" t="s">
        <v>7</v>
      </c>
      <c r="E2204" t="s">
        <v>8</v>
      </c>
      <c r="F2204">
        <v>5149</v>
      </c>
      <c r="G2204" s="9" t="s">
        <v>194</v>
      </c>
      <c r="H2204" s="1">
        <v>1275428</v>
      </c>
      <c r="I2204" s="1">
        <v>0</v>
      </c>
      <c r="J2204" s="1">
        <v>1275428</v>
      </c>
      <c r="K2204">
        <f>VLOOKUP(F2204,'LEAID Match'!$A$2:$C$2979,3,FALSE)</f>
        <v>2004290</v>
      </c>
    </row>
    <row r="2205" spans="1:11" x14ac:dyDescent="0.2">
      <c r="A2205">
        <v>2007740</v>
      </c>
      <c r="B2205">
        <v>2021</v>
      </c>
      <c r="C2205" t="s">
        <v>6</v>
      </c>
      <c r="D2205" t="s">
        <v>7</v>
      </c>
      <c r="E2205" t="s">
        <v>8</v>
      </c>
      <c r="F2205" s="3">
        <v>5150</v>
      </c>
      <c r="G2205" s="3" t="s">
        <v>247</v>
      </c>
      <c r="H2205" s="22">
        <v>1041474</v>
      </c>
      <c r="I2205" s="1">
        <v>0</v>
      </c>
      <c r="J2205" s="1">
        <v>1041474</v>
      </c>
      <c r="K2205">
        <f>VLOOKUP(F2205,'LEAID Match'!$A$2:$C$2979,3,FALSE)</f>
        <v>2007740</v>
      </c>
    </row>
    <row r="2206" spans="1:11" x14ac:dyDescent="0.2">
      <c r="A2206">
        <v>2010050</v>
      </c>
      <c r="B2206">
        <v>2021</v>
      </c>
      <c r="C2206" t="s">
        <v>6</v>
      </c>
      <c r="D2206" t="s">
        <v>7</v>
      </c>
      <c r="E2206" t="s">
        <v>8</v>
      </c>
      <c r="F2206" s="3">
        <v>5151</v>
      </c>
      <c r="G2206" s="3" t="s">
        <v>196</v>
      </c>
      <c r="H2206" s="1">
        <v>391094</v>
      </c>
      <c r="I2206" s="21">
        <v>0</v>
      </c>
      <c r="J2206" s="21">
        <v>391094</v>
      </c>
      <c r="K2206">
        <f>VLOOKUP(F2206,'LEAID Match'!$A$2:$C$2979,3,FALSE)</f>
        <v>2010050</v>
      </c>
    </row>
    <row r="2207" spans="1:11" x14ac:dyDescent="0.2">
      <c r="A2207">
        <v>2007500</v>
      </c>
      <c r="B2207">
        <v>2021</v>
      </c>
      <c r="C2207" t="s">
        <v>6</v>
      </c>
      <c r="D2207" t="s">
        <v>7</v>
      </c>
      <c r="E2207" t="s">
        <v>8</v>
      </c>
      <c r="F2207" s="3">
        <v>5152</v>
      </c>
      <c r="G2207" s="3" t="s">
        <v>197</v>
      </c>
      <c r="H2207" s="1">
        <v>591780</v>
      </c>
      <c r="I2207" s="1">
        <v>0</v>
      </c>
      <c r="J2207" s="1">
        <v>591780</v>
      </c>
      <c r="K2207">
        <f>VLOOKUP(F2207,'LEAID Match'!$A$2:$C$2979,3,FALSE)</f>
        <v>2007500</v>
      </c>
    </row>
    <row r="2208" spans="1:11" x14ac:dyDescent="0.2">
      <c r="A2208">
        <v>2005760</v>
      </c>
      <c r="B2208">
        <v>2021</v>
      </c>
      <c r="C2208" t="s">
        <v>6</v>
      </c>
      <c r="D2208" t="s">
        <v>7</v>
      </c>
      <c r="E2208" t="s">
        <v>8</v>
      </c>
      <c r="F2208">
        <v>5153</v>
      </c>
      <c r="G2208" t="s">
        <v>198</v>
      </c>
      <c r="H2208" s="1">
        <v>141959</v>
      </c>
      <c r="I2208" s="1">
        <v>0</v>
      </c>
      <c r="J2208" s="1">
        <v>141959</v>
      </c>
      <c r="K2208">
        <f>VLOOKUP(F2208,'LEAID Match'!$A$2:$C$2979,3,FALSE)</f>
        <v>2005760</v>
      </c>
    </row>
    <row r="2209" spans="1:11" x14ac:dyDescent="0.2">
      <c r="A2209">
        <v>2012120</v>
      </c>
      <c r="B2209">
        <v>2021</v>
      </c>
      <c r="C2209" t="s">
        <v>6</v>
      </c>
      <c r="D2209" t="s">
        <v>7</v>
      </c>
      <c r="E2209" t="s">
        <v>8</v>
      </c>
      <c r="F2209">
        <v>5154</v>
      </c>
      <c r="G2209" t="s">
        <v>199</v>
      </c>
      <c r="H2209" s="1">
        <v>229541</v>
      </c>
      <c r="I2209" s="1">
        <v>0</v>
      </c>
      <c r="J2209" s="1">
        <v>229541</v>
      </c>
      <c r="K2209">
        <f>VLOOKUP(F2209,'LEAID Match'!$A$2:$C$2979,3,FALSE)</f>
        <v>2012120</v>
      </c>
    </row>
    <row r="2210" spans="1:11" x14ac:dyDescent="0.2">
      <c r="A2210">
        <v>2010470</v>
      </c>
      <c r="B2210">
        <v>2021</v>
      </c>
      <c r="C2210" t="s">
        <v>6</v>
      </c>
      <c r="D2210" t="s">
        <v>7</v>
      </c>
      <c r="E2210" t="s">
        <v>8</v>
      </c>
      <c r="F2210">
        <v>5082</v>
      </c>
      <c r="G2210" t="s">
        <v>356</v>
      </c>
      <c r="H2210" s="1">
        <v>115838</v>
      </c>
      <c r="I2210" s="1">
        <v>0</v>
      </c>
      <c r="J2210" s="1">
        <v>115838</v>
      </c>
      <c r="K2210">
        <f>VLOOKUP(F2210,'LEAID Match'!$A$2:$C$2979,3,FALSE)</f>
        <v>2010470</v>
      </c>
    </row>
    <row r="2211" spans="1:11" x14ac:dyDescent="0.2">
      <c r="A2211">
        <v>2005010</v>
      </c>
      <c r="B2211">
        <v>2021</v>
      </c>
      <c r="C2211" t="s">
        <v>6</v>
      </c>
      <c r="D2211" t="s">
        <v>7</v>
      </c>
      <c r="E2211" t="s">
        <v>8</v>
      </c>
      <c r="F2211">
        <v>5156</v>
      </c>
      <c r="G2211" t="s">
        <v>201</v>
      </c>
      <c r="H2211" s="20">
        <v>820842</v>
      </c>
      <c r="I2211" s="1">
        <v>0</v>
      </c>
      <c r="J2211" s="1">
        <v>820842</v>
      </c>
      <c r="K2211">
        <f>VLOOKUP(F2211,'LEAID Match'!$A$2:$C$2979,3,FALSE)</f>
        <v>2005010</v>
      </c>
    </row>
    <row r="2212" spans="1:11" x14ac:dyDescent="0.2">
      <c r="A2212">
        <v>2008910</v>
      </c>
      <c r="B2212">
        <v>2021</v>
      </c>
      <c r="C2212" t="s">
        <v>6</v>
      </c>
      <c r="D2212" t="s">
        <v>7</v>
      </c>
      <c r="E2212" t="s">
        <v>8</v>
      </c>
      <c r="F2212">
        <v>5157</v>
      </c>
      <c r="G2212" t="s">
        <v>202</v>
      </c>
      <c r="H2212" s="1">
        <v>165339</v>
      </c>
      <c r="I2212" s="1">
        <v>0</v>
      </c>
      <c r="J2212" s="1">
        <v>165339</v>
      </c>
      <c r="K2212">
        <f>VLOOKUP(F2212,'LEAID Match'!$A$2:$C$2979,3,FALSE)</f>
        <v>2008910</v>
      </c>
    </row>
    <row r="2213" spans="1:11" x14ac:dyDescent="0.2">
      <c r="A2213">
        <v>2008070</v>
      </c>
      <c r="B2213">
        <v>2021</v>
      </c>
      <c r="C2213" t="s">
        <v>6</v>
      </c>
      <c r="D2213" t="s">
        <v>7</v>
      </c>
      <c r="E2213" t="s">
        <v>8</v>
      </c>
      <c r="F2213">
        <v>5158</v>
      </c>
      <c r="G2213" s="9" t="s">
        <v>203</v>
      </c>
      <c r="H2213" s="1">
        <v>826896</v>
      </c>
      <c r="I2213" s="1">
        <v>0</v>
      </c>
      <c r="J2213" s="1">
        <v>826896</v>
      </c>
      <c r="K2213">
        <f>VLOOKUP(F2213,'LEAID Match'!$A$2:$C$2979,3,FALSE)</f>
        <v>2008070</v>
      </c>
    </row>
    <row r="2214" spans="1:11" x14ac:dyDescent="0.2">
      <c r="A2214">
        <v>2005100</v>
      </c>
      <c r="B2214">
        <v>2021</v>
      </c>
      <c r="C2214" t="s">
        <v>6</v>
      </c>
      <c r="D2214" t="s">
        <v>7</v>
      </c>
      <c r="E2214" t="s">
        <v>8</v>
      </c>
      <c r="F2214" s="3">
        <v>5159</v>
      </c>
      <c r="G2214" s="3" t="s">
        <v>204</v>
      </c>
      <c r="H2214" s="22">
        <v>1348231</v>
      </c>
      <c r="I2214" s="1">
        <v>0</v>
      </c>
      <c r="J2214" s="1">
        <v>1348231</v>
      </c>
      <c r="K2214">
        <f>VLOOKUP(F2214,'LEAID Match'!$A$2:$C$2979,3,FALSE)</f>
        <v>2005100</v>
      </c>
    </row>
    <row r="2215" spans="1:11" x14ac:dyDescent="0.2">
      <c r="A2215">
        <v>2008100</v>
      </c>
      <c r="B2215">
        <v>2021</v>
      </c>
      <c r="C2215" t="s">
        <v>6</v>
      </c>
      <c r="D2215" t="s">
        <v>7</v>
      </c>
      <c r="E2215" t="s">
        <v>8</v>
      </c>
      <c r="F2215" s="3">
        <v>5160</v>
      </c>
      <c r="G2215" s="3" t="s">
        <v>205</v>
      </c>
      <c r="H2215" s="1">
        <v>318935</v>
      </c>
      <c r="I2215" s="21">
        <v>0</v>
      </c>
      <c r="J2215" s="21">
        <v>318935</v>
      </c>
      <c r="K2215">
        <f>VLOOKUP(F2215,'LEAID Match'!$A$2:$C$2979,3,FALSE)</f>
        <v>2008100</v>
      </c>
    </row>
    <row r="2216" spans="1:11" x14ac:dyDescent="0.2">
      <c r="A2216">
        <v>2005130</v>
      </c>
      <c r="B2216">
        <v>2021</v>
      </c>
      <c r="C2216" t="s">
        <v>6</v>
      </c>
      <c r="D2216" t="s">
        <v>7</v>
      </c>
      <c r="E2216" t="s">
        <v>8</v>
      </c>
      <c r="F2216" s="3">
        <v>5161</v>
      </c>
      <c r="G2216" s="3" t="s">
        <v>206</v>
      </c>
      <c r="H2216" s="1">
        <v>442239</v>
      </c>
      <c r="I2216" s="1">
        <v>0</v>
      </c>
      <c r="J2216" s="1">
        <v>442239</v>
      </c>
      <c r="K2216">
        <f>VLOOKUP(F2216,'LEAID Match'!$A$2:$C$2979,3,FALSE)</f>
        <v>2005130</v>
      </c>
    </row>
    <row r="2217" spans="1:11" x14ac:dyDescent="0.2">
      <c r="A2217">
        <v>2005700</v>
      </c>
      <c r="B2217">
        <v>2021</v>
      </c>
      <c r="C2217" t="s">
        <v>6</v>
      </c>
      <c r="D2217" t="s">
        <v>7</v>
      </c>
      <c r="E2217" t="s">
        <v>8</v>
      </c>
      <c r="F2217">
        <v>5162</v>
      </c>
      <c r="G2217" t="s">
        <v>207</v>
      </c>
      <c r="H2217" s="1">
        <v>478332</v>
      </c>
      <c r="I2217" s="1">
        <v>0</v>
      </c>
      <c r="J2217" s="1">
        <v>478332</v>
      </c>
      <c r="K2217">
        <f>VLOOKUP(F2217,'LEAID Match'!$A$2:$C$2979,3,FALSE)</f>
        <v>2005700</v>
      </c>
    </row>
    <row r="2218" spans="1:11" x14ac:dyDescent="0.2">
      <c r="A2218">
        <v>2008220</v>
      </c>
      <c r="B2218">
        <v>2021</v>
      </c>
      <c r="C2218" t="s">
        <v>6</v>
      </c>
      <c r="D2218" t="s">
        <v>7</v>
      </c>
      <c r="E2218" t="s">
        <v>8</v>
      </c>
      <c r="F2218">
        <v>5163</v>
      </c>
      <c r="G2218" t="s">
        <v>208</v>
      </c>
      <c r="H2218" s="1">
        <v>328150</v>
      </c>
      <c r="I2218" s="1">
        <v>0</v>
      </c>
      <c r="J2218" s="1">
        <v>328150</v>
      </c>
      <c r="K2218">
        <f>VLOOKUP(F2218,'LEAID Match'!$A$2:$C$2979,3,FALSE)</f>
        <v>2008220</v>
      </c>
    </row>
    <row r="2219" spans="1:11" x14ac:dyDescent="0.2">
      <c r="A2219">
        <v>2007530</v>
      </c>
      <c r="B2219">
        <v>2021</v>
      </c>
      <c r="C2219" t="s">
        <v>6</v>
      </c>
      <c r="D2219" t="s">
        <v>7</v>
      </c>
      <c r="E2219" t="s">
        <v>8</v>
      </c>
      <c r="F2219">
        <v>5164</v>
      </c>
      <c r="G2219" t="s">
        <v>209</v>
      </c>
      <c r="H2219" s="1">
        <v>370357</v>
      </c>
      <c r="I2219" s="1">
        <v>0</v>
      </c>
      <c r="J2219" s="1">
        <v>370357</v>
      </c>
      <c r="K2219">
        <f>VLOOKUP(F2219,'LEAID Match'!$A$2:$C$2979,3,FALSE)</f>
        <v>2007530</v>
      </c>
    </row>
    <row r="2220" spans="1:11" x14ac:dyDescent="0.2">
      <c r="A2220">
        <v>2012330</v>
      </c>
      <c r="B2220">
        <v>2021</v>
      </c>
      <c r="C2220" t="s">
        <v>6</v>
      </c>
      <c r="D2220" t="s">
        <v>7</v>
      </c>
      <c r="E2220" t="s">
        <v>8</v>
      </c>
      <c r="F2220">
        <v>5166</v>
      </c>
      <c r="G2220" t="s">
        <v>210</v>
      </c>
      <c r="H2220" s="20">
        <v>248623</v>
      </c>
      <c r="I2220" s="1">
        <v>0</v>
      </c>
      <c r="J2220" s="1">
        <v>248623</v>
      </c>
      <c r="K2220">
        <f>VLOOKUP(F2220,'LEAID Match'!$A$2:$C$2979,3,FALSE)</f>
        <v>2012330</v>
      </c>
    </row>
    <row r="2221" spans="1:11" x14ac:dyDescent="0.2">
      <c r="A2221">
        <v>2007470</v>
      </c>
      <c r="B2221">
        <v>2021</v>
      </c>
      <c r="C2221" t="s">
        <v>6</v>
      </c>
      <c r="D2221" t="s">
        <v>7</v>
      </c>
      <c r="E2221" t="s">
        <v>8</v>
      </c>
      <c r="F2221">
        <v>5167</v>
      </c>
      <c r="G2221" t="s">
        <v>211</v>
      </c>
      <c r="H2221" s="1">
        <v>630457</v>
      </c>
      <c r="I2221" s="1">
        <v>0</v>
      </c>
      <c r="J2221" s="1">
        <v>630457</v>
      </c>
      <c r="K2221">
        <f>VLOOKUP(F2221,'LEAID Match'!$A$2:$C$2979,3,FALSE)</f>
        <v>2007470</v>
      </c>
    </row>
    <row r="2222" spans="1:11" x14ac:dyDescent="0.2">
      <c r="A2222">
        <v>2007320</v>
      </c>
      <c r="B2222">
        <v>2021</v>
      </c>
      <c r="C2222" t="s">
        <v>6</v>
      </c>
      <c r="D2222" t="s">
        <v>7</v>
      </c>
      <c r="E2222" t="s">
        <v>8</v>
      </c>
      <c r="F2222">
        <v>5168</v>
      </c>
      <c r="G2222" s="9" t="s">
        <v>212</v>
      </c>
      <c r="H2222" s="1">
        <v>685661</v>
      </c>
      <c r="I2222" s="1">
        <v>0</v>
      </c>
      <c r="J2222" s="1">
        <v>685661</v>
      </c>
      <c r="K2222">
        <f>VLOOKUP(F2222,'LEAID Match'!$A$2:$C$2979,3,FALSE)</f>
        <v>2007320</v>
      </c>
    </row>
    <row r="2223" spans="1:11" x14ac:dyDescent="0.2">
      <c r="A2223">
        <v>2008880</v>
      </c>
      <c r="B2223">
        <v>2021</v>
      </c>
      <c r="C2223" t="s">
        <v>6</v>
      </c>
      <c r="D2223" t="s">
        <v>7</v>
      </c>
      <c r="E2223" t="s">
        <v>8</v>
      </c>
      <c r="F2223" s="3">
        <v>5171</v>
      </c>
      <c r="G2223" s="3" t="s">
        <v>213</v>
      </c>
      <c r="H2223" s="22">
        <v>284894</v>
      </c>
      <c r="I2223" s="1">
        <v>0</v>
      </c>
      <c r="J2223" s="1">
        <v>284894</v>
      </c>
      <c r="K2223">
        <f>VLOOKUP(F2223,'LEAID Match'!$A$2:$C$2979,3,FALSE)</f>
        <v>2008880</v>
      </c>
    </row>
    <row r="2224" spans="1:11" x14ac:dyDescent="0.2">
      <c r="A2224">
        <v>2004740</v>
      </c>
      <c r="B2224">
        <v>2021</v>
      </c>
      <c r="C2224" t="s">
        <v>6</v>
      </c>
      <c r="D2224" t="s">
        <v>7</v>
      </c>
      <c r="E2224" t="s">
        <v>8</v>
      </c>
      <c r="F2224" s="3">
        <v>5172</v>
      </c>
      <c r="G2224" s="3" t="s">
        <v>214</v>
      </c>
      <c r="H2224" s="1">
        <v>764287</v>
      </c>
      <c r="I2224" s="21">
        <v>0</v>
      </c>
      <c r="J2224" s="21">
        <v>764287</v>
      </c>
      <c r="K2224">
        <f>VLOOKUP(F2224,'LEAID Match'!$A$2:$C$2979,3,FALSE)</f>
        <v>2004740</v>
      </c>
    </row>
    <row r="2225" spans="1:11" x14ac:dyDescent="0.2">
      <c r="A2225">
        <v>2007860</v>
      </c>
      <c r="B2225">
        <v>2021</v>
      </c>
      <c r="C2225" t="s">
        <v>6</v>
      </c>
      <c r="D2225" t="s">
        <v>7</v>
      </c>
      <c r="E2225" t="s">
        <v>8</v>
      </c>
      <c r="F2225" s="3">
        <v>5173</v>
      </c>
      <c r="G2225" s="3" t="s">
        <v>215</v>
      </c>
      <c r="H2225" s="1">
        <v>390129</v>
      </c>
      <c r="I2225" s="1">
        <v>0</v>
      </c>
      <c r="J2225" s="1">
        <v>390129</v>
      </c>
      <c r="K2225">
        <f>VLOOKUP(F2225,'LEAID Match'!$A$2:$C$2979,3,FALSE)</f>
        <v>2007860</v>
      </c>
    </row>
    <row r="2226" spans="1:11" x14ac:dyDescent="0.2">
      <c r="A2226">
        <v>2007170</v>
      </c>
      <c r="B2226">
        <v>2021</v>
      </c>
      <c r="C2226" t="s">
        <v>6</v>
      </c>
      <c r="D2226" t="s">
        <v>7</v>
      </c>
      <c r="E2226" t="s">
        <v>8</v>
      </c>
      <c r="F2226">
        <v>5174</v>
      </c>
      <c r="G2226" t="s">
        <v>216</v>
      </c>
      <c r="H2226" s="1">
        <v>677708</v>
      </c>
      <c r="I2226" s="1">
        <v>0</v>
      </c>
      <c r="J2226" s="1">
        <v>677708</v>
      </c>
      <c r="K2226">
        <f>VLOOKUP(F2226,'LEAID Match'!$A$2:$C$2979,3,FALSE)</f>
        <v>2007170</v>
      </c>
    </row>
    <row r="2227" spans="1:11" x14ac:dyDescent="0.2">
      <c r="A2227">
        <v>2004230</v>
      </c>
      <c r="B2227">
        <v>2021</v>
      </c>
      <c r="C2227" t="s">
        <v>6</v>
      </c>
      <c r="D2227" t="s">
        <v>7</v>
      </c>
      <c r="E2227" t="s">
        <v>8</v>
      </c>
      <c r="F2227">
        <v>5175</v>
      </c>
      <c r="G2227" t="s">
        <v>217</v>
      </c>
      <c r="H2227" s="1">
        <v>321034</v>
      </c>
      <c r="I2227" s="1">
        <v>0</v>
      </c>
      <c r="J2227" s="1">
        <v>321034</v>
      </c>
      <c r="K2227">
        <f>VLOOKUP(F2227,'LEAID Match'!$A$2:$C$2979,3,FALSE)</f>
        <v>2004230</v>
      </c>
    </row>
    <row r="2228" spans="1:11" x14ac:dyDescent="0.2">
      <c r="A2228">
        <v>2008340</v>
      </c>
      <c r="B2228">
        <v>2021</v>
      </c>
      <c r="C2228" t="s">
        <v>6</v>
      </c>
      <c r="D2228" t="s">
        <v>7</v>
      </c>
      <c r="E2228" t="s">
        <v>8</v>
      </c>
      <c r="F2228">
        <v>5176</v>
      </c>
      <c r="G2228" t="s">
        <v>218</v>
      </c>
      <c r="H2228" s="1">
        <v>2598179</v>
      </c>
      <c r="I2228" s="1">
        <v>0</v>
      </c>
      <c r="J2228" s="1">
        <v>2598179</v>
      </c>
      <c r="K2228">
        <f>VLOOKUP(F2228,'LEAID Match'!$A$2:$C$2979,3,FALSE)</f>
        <v>2008340</v>
      </c>
    </row>
    <row r="2229" spans="1:11" x14ac:dyDescent="0.2">
      <c r="A2229">
        <v>2012000</v>
      </c>
      <c r="B2229">
        <v>2021</v>
      </c>
      <c r="C2229" t="s">
        <v>6</v>
      </c>
      <c r="D2229" t="s">
        <v>7</v>
      </c>
      <c r="E2229" t="s">
        <v>8</v>
      </c>
      <c r="F2229">
        <v>5185</v>
      </c>
      <c r="G2229" t="s">
        <v>219</v>
      </c>
      <c r="H2229" s="20">
        <v>22341062</v>
      </c>
      <c r="I2229" s="1">
        <v>0</v>
      </c>
      <c r="J2229" s="1">
        <v>22341062</v>
      </c>
      <c r="K2229">
        <f>VLOOKUP(F2229,'LEAID Match'!$A$2:$C$2979,3,FALSE)</f>
        <v>2012000</v>
      </c>
    </row>
    <row r="2230" spans="1:11" x14ac:dyDescent="0.2">
      <c r="A2230">
        <v>2000007</v>
      </c>
      <c r="B2230">
        <v>2021</v>
      </c>
      <c r="C2230" t="s">
        <v>6</v>
      </c>
      <c r="D2230" t="s">
        <v>7</v>
      </c>
      <c r="E2230" t="s">
        <v>8</v>
      </c>
      <c r="F2230">
        <v>5186</v>
      </c>
      <c r="G2230" t="s">
        <v>220</v>
      </c>
      <c r="H2230" s="1">
        <v>426817</v>
      </c>
      <c r="I2230" s="1">
        <v>0</v>
      </c>
      <c r="J2230" s="1">
        <v>426817</v>
      </c>
      <c r="K2230">
        <f>VLOOKUP(F2230,'LEAID Match'!$A$2:$C$2979,3,FALSE)</f>
        <v>2000007</v>
      </c>
    </row>
    <row r="2231" spans="1:11" x14ac:dyDescent="0.2">
      <c r="A2231">
        <v>2003960</v>
      </c>
      <c r="B2231">
        <v>2021</v>
      </c>
      <c r="C2231" t="s">
        <v>6</v>
      </c>
      <c r="D2231" t="s">
        <v>7</v>
      </c>
      <c r="E2231" t="s">
        <v>8</v>
      </c>
      <c r="F2231">
        <v>5187</v>
      </c>
      <c r="G2231" s="9" t="s">
        <v>221</v>
      </c>
      <c r="H2231" s="1">
        <v>553940</v>
      </c>
      <c r="I2231" s="1">
        <v>0</v>
      </c>
      <c r="J2231" s="1">
        <v>553940</v>
      </c>
      <c r="K2231">
        <f>VLOOKUP(F2231,'LEAID Match'!$A$2:$C$2979,3,FALSE)</f>
        <v>2003960</v>
      </c>
    </row>
    <row r="2232" spans="1:11" x14ac:dyDescent="0.2">
      <c r="A2232">
        <v>2012060</v>
      </c>
      <c r="B2232">
        <v>2021</v>
      </c>
      <c r="C2232" t="s">
        <v>6</v>
      </c>
      <c r="D2232" t="s">
        <v>7</v>
      </c>
      <c r="E2232" t="s">
        <v>8</v>
      </c>
      <c r="F2232" s="3">
        <v>5188</v>
      </c>
      <c r="G2232" s="3" t="s">
        <v>222</v>
      </c>
      <c r="H2232" s="22">
        <v>319681</v>
      </c>
      <c r="I2232" s="1">
        <v>0</v>
      </c>
      <c r="J2232" s="1">
        <v>319681</v>
      </c>
      <c r="K2232">
        <f>VLOOKUP(F2232,'LEAID Match'!$A$2:$C$2979,3,FALSE)</f>
        <v>2012060</v>
      </c>
    </row>
    <row r="2233" spans="1:11" x14ac:dyDescent="0.2">
      <c r="A2233">
        <v>2006780</v>
      </c>
      <c r="B2233">
        <v>2021</v>
      </c>
      <c r="C2233" t="s">
        <v>6</v>
      </c>
      <c r="D2233" t="s">
        <v>7</v>
      </c>
      <c r="E2233" t="s">
        <v>8</v>
      </c>
      <c r="F2233" s="3">
        <v>5189</v>
      </c>
      <c r="G2233" s="3" t="s">
        <v>223</v>
      </c>
      <c r="H2233" s="1">
        <v>107499</v>
      </c>
      <c r="I2233" s="21">
        <v>0</v>
      </c>
      <c r="J2233" s="21">
        <v>107499</v>
      </c>
      <c r="K2233">
        <f>VLOOKUP(F2233,'LEAID Match'!$A$2:$C$2979,3,FALSE)</f>
        <v>2006780</v>
      </c>
    </row>
    <row r="2234" spans="1:11" x14ac:dyDescent="0.2">
      <c r="A2234">
        <v>2011880</v>
      </c>
      <c r="B2234">
        <v>2021</v>
      </c>
      <c r="C2234" t="s">
        <v>6</v>
      </c>
      <c r="D2234" t="s">
        <v>7</v>
      </c>
      <c r="E2234" t="s">
        <v>8</v>
      </c>
      <c r="F2234" s="3">
        <v>5190</v>
      </c>
      <c r="G2234" s="3" t="s">
        <v>224</v>
      </c>
      <c r="H2234" s="1">
        <v>296872</v>
      </c>
      <c r="I2234" s="1">
        <v>0</v>
      </c>
      <c r="J2234" s="1">
        <v>296872</v>
      </c>
      <c r="K2234">
        <f>VLOOKUP(F2234,'LEAID Match'!$A$2:$C$2979,3,FALSE)</f>
        <v>2011880</v>
      </c>
    </row>
    <row r="2235" spans="1:11" x14ac:dyDescent="0.2">
      <c r="A2235">
        <v>2009990</v>
      </c>
      <c r="B2235">
        <v>2021</v>
      </c>
      <c r="C2235" t="s">
        <v>6</v>
      </c>
      <c r="D2235" t="s">
        <v>7</v>
      </c>
      <c r="E2235" t="s">
        <v>8</v>
      </c>
      <c r="F2235">
        <v>5191</v>
      </c>
      <c r="G2235" t="s">
        <v>225</v>
      </c>
      <c r="H2235" s="1">
        <v>1088125</v>
      </c>
      <c r="I2235" s="1">
        <v>0</v>
      </c>
      <c r="J2235" s="1">
        <v>1088125</v>
      </c>
      <c r="K2235">
        <f>VLOOKUP(F2235,'LEAID Match'!$A$2:$C$2979,3,FALSE)</f>
        <v>2009990</v>
      </c>
    </row>
    <row r="2236" spans="1:11" x14ac:dyDescent="0.2">
      <c r="A2236">
        <v>2008310</v>
      </c>
      <c r="B2236">
        <v>2021</v>
      </c>
      <c r="C2236" t="s">
        <v>6</v>
      </c>
      <c r="D2236" t="s">
        <v>7</v>
      </c>
      <c r="E2236" t="s">
        <v>8</v>
      </c>
      <c r="F2236">
        <v>5192</v>
      </c>
      <c r="G2236" t="s">
        <v>226</v>
      </c>
      <c r="H2236" s="1">
        <v>365576</v>
      </c>
      <c r="I2236" s="1">
        <v>0</v>
      </c>
      <c r="J2236" s="1">
        <v>365576</v>
      </c>
      <c r="K2236">
        <f>VLOOKUP(F2236,'LEAID Match'!$A$2:$C$2979,3,FALSE)</f>
        <v>2008310</v>
      </c>
    </row>
    <row r="2237" spans="1:11" x14ac:dyDescent="0.2">
      <c r="A2237">
        <v>2004200</v>
      </c>
      <c r="B2237">
        <v>2021</v>
      </c>
      <c r="C2237" t="s">
        <v>6</v>
      </c>
      <c r="D2237" t="s">
        <v>7</v>
      </c>
      <c r="E2237" t="s">
        <v>8</v>
      </c>
      <c r="F2237">
        <v>5193</v>
      </c>
      <c r="G2237" t="s">
        <v>227</v>
      </c>
      <c r="H2237" s="1">
        <v>1675086</v>
      </c>
      <c r="I2237" s="1">
        <v>0</v>
      </c>
      <c r="J2237" s="1">
        <v>1675086</v>
      </c>
      <c r="K2237">
        <f>VLOOKUP(F2237,'LEAID Match'!$A$2:$C$2979,3,FALSE)</f>
        <v>2004200</v>
      </c>
    </row>
    <row r="2238" spans="1:11" x14ac:dyDescent="0.2">
      <c r="A2238">
        <v>2000004</v>
      </c>
      <c r="B2238">
        <v>2021</v>
      </c>
      <c r="C2238" t="s">
        <v>6</v>
      </c>
      <c r="D2238" t="s">
        <v>7</v>
      </c>
      <c r="E2238" t="s">
        <v>8</v>
      </c>
      <c r="F2238">
        <v>5195</v>
      </c>
      <c r="G2238" t="s">
        <v>228</v>
      </c>
      <c r="H2238" s="20">
        <v>898190</v>
      </c>
      <c r="I2238" s="1">
        <v>0</v>
      </c>
      <c r="J2238" s="1">
        <v>898190</v>
      </c>
      <c r="K2238">
        <f>VLOOKUP(F2238,'LEAID Match'!$A$2:$C$2979,3,FALSE)</f>
        <v>2000004</v>
      </c>
    </row>
    <row r="2239" spans="1:11" x14ac:dyDescent="0.2">
      <c r="A2239">
        <v>2010320</v>
      </c>
      <c r="B2239">
        <v>2021</v>
      </c>
      <c r="C2239" t="s">
        <v>6</v>
      </c>
      <c r="D2239" t="s">
        <v>7</v>
      </c>
      <c r="E2239" t="s">
        <v>8</v>
      </c>
      <c r="F2239">
        <v>5196</v>
      </c>
      <c r="G2239" t="s">
        <v>229</v>
      </c>
      <c r="H2239" s="1">
        <v>597520</v>
      </c>
      <c r="I2239" s="1">
        <v>0</v>
      </c>
      <c r="J2239" s="1">
        <v>597520</v>
      </c>
      <c r="K2239">
        <f>VLOOKUP(F2239,'LEAID Match'!$A$2:$C$2979,3,FALSE)</f>
        <v>2010320</v>
      </c>
    </row>
    <row r="2240" spans="1:11" x14ac:dyDescent="0.2">
      <c r="A2240">
        <v>2009060</v>
      </c>
      <c r="B2240">
        <v>2021</v>
      </c>
      <c r="C2240" t="s">
        <v>6</v>
      </c>
      <c r="D2240" t="s">
        <v>7</v>
      </c>
      <c r="E2240" t="s">
        <v>8</v>
      </c>
      <c r="F2240">
        <v>5197</v>
      </c>
      <c r="G2240" s="9" t="s">
        <v>230</v>
      </c>
      <c r="H2240" s="1">
        <v>307537</v>
      </c>
      <c r="I2240" s="1">
        <v>0</v>
      </c>
      <c r="J2240" s="1">
        <v>307537</v>
      </c>
      <c r="K2240">
        <f>VLOOKUP(F2240,'LEAID Match'!$A$2:$C$2979,3,FALSE)</f>
        <v>2009060</v>
      </c>
    </row>
    <row r="2241" spans="1:11" x14ac:dyDescent="0.2">
      <c r="A2241">
        <v>2012840</v>
      </c>
      <c r="B2241">
        <v>2021</v>
      </c>
      <c r="C2241" t="s">
        <v>6</v>
      </c>
      <c r="D2241" t="s">
        <v>7</v>
      </c>
      <c r="E2241" t="s">
        <v>8</v>
      </c>
      <c r="F2241" s="3">
        <v>5198</v>
      </c>
      <c r="G2241" s="3" t="s">
        <v>231</v>
      </c>
      <c r="H2241" s="22">
        <v>1458926</v>
      </c>
      <c r="I2241" s="1">
        <v>0</v>
      </c>
      <c r="J2241" s="1">
        <v>1458926</v>
      </c>
      <c r="K2241">
        <f>VLOOKUP(F2241,'LEAID Match'!$A$2:$C$2979,3,FALSE)</f>
        <v>2012840</v>
      </c>
    </row>
    <row r="2242" spans="1:11" x14ac:dyDescent="0.2">
      <c r="A2242">
        <v>2005820</v>
      </c>
      <c r="B2242">
        <v>2021</v>
      </c>
      <c r="C2242" t="s">
        <v>6</v>
      </c>
      <c r="D2242" t="s">
        <v>7</v>
      </c>
      <c r="E2242" t="s">
        <v>8</v>
      </c>
      <c r="F2242" s="3">
        <v>5199</v>
      </c>
      <c r="G2242" s="3" t="s">
        <v>232</v>
      </c>
      <c r="H2242" s="1">
        <v>465997</v>
      </c>
      <c r="I2242" s="21">
        <v>0</v>
      </c>
      <c r="J2242" s="21">
        <v>465997</v>
      </c>
      <c r="K2242">
        <f>VLOOKUP(F2242,'LEAID Match'!$A$2:$C$2979,3,FALSE)</f>
        <v>2005820</v>
      </c>
    </row>
    <row r="2243" spans="1:11" x14ac:dyDescent="0.2">
      <c r="A2243">
        <v>2008250</v>
      </c>
      <c r="B2243">
        <v>2021</v>
      </c>
      <c r="C2243" t="s">
        <v>6</v>
      </c>
      <c r="D2243" t="s">
        <v>7</v>
      </c>
      <c r="E2243" t="s">
        <v>8</v>
      </c>
      <c r="F2243" s="3">
        <v>5200</v>
      </c>
      <c r="G2243" s="3" t="s">
        <v>233</v>
      </c>
      <c r="H2243" s="1">
        <v>1034894</v>
      </c>
      <c r="I2243" s="1">
        <v>0</v>
      </c>
      <c r="J2243" s="1">
        <v>1034894</v>
      </c>
      <c r="K2243">
        <f>VLOOKUP(F2243,'LEAID Match'!$A$2:$C$2979,3,FALSE)</f>
        <v>2008250</v>
      </c>
    </row>
    <row r="2244" spans="1:11" x14ac:dyDescent="0.2">
      <c r="A2244">
        <v>2004350</v>
      </c>
      <c r="B2244">
        <v>2021</v>
      </c>
      <c r="C2244" t="s">
        <v>6</v>
      </c>
      <c r="D2244" t="s">
        <v>7</v>
      </c>
      <c r="E2244" t="s">
        <v>8</v>
      </c>
      <c r="F2244">
        <v>5201</v>
      </c>
      <c r="G2244" t="s">
        <v>234</v>
      </c>
      <c r="H2244" s="1">
        <v>240930</v>
      </c>
      <c r="I2244" s="1">
        <v>0</v>
      </c>
      <c r="J2244" s="1">
        <v>240930</v>
      </c>
      <c r="K2244">
        <f>VLOOKUP(F2244,'LEAID Match'!$A$2:$C$2979,3,FALSE)</f>
        <v>2004350</v>
      </c>
    </row>
    <row r="2245" spans="1:11" x14ac:dyDescent="0.2">
      <c r="A2245">
        <v>2010290</v>
      </c>
      <c r="B2245">
        <v>2021</v>
      </c>
      <c r="C2245" t="s">
        <v>6</v>
      </c>
      <c r="D2245" t="s">
        <v>7</v>
      </c>
      <c r="E2245" t="s">
        <v>8</v>
      </c>
      <c r="F2245">
        <v>5202</v>
      </c>
      <c r="G2245" t="s">
        <v>235</v>
      </c>
      <c r="H2245" s="1">
        <v>283902</v>
      </c>
      <c r="I2245" s="1">
        <v>0</v>
      </c>
      <c r="J2245" s="1">
        <v>283902</v>
      </c>
      <c r="K2245">
        <f>VLOOKUP(F2245,'LEAID Match'!$A$2:$C$2979,3,FALSE)</f>
        <v>2010290</v>
      </c>
    </row>
    <row r="2246" spans="1:11" x14ac:dyDescent="0.2">
      <c r="A2246">
        <v>2000002</v>
      </c>
      <c r="B2246">
        <v>2021</v>
      </c>
      <c r="C2246" t="s">
        <v>6</v>
      </c>
      <c r="D2246" t="s">
        <v>7</v>
      </c>
      <c r="E2246" t="s">
        <v>8</v>
      </c>
      <c r="F2246">
        <v>5203</v>
      </c>
      <c r="G2246" t="s">
        <v>236</v>
      </c>
      <c r="H2246" s="1">
        <v>805490</v>
      </c>
      <c r="I2246" s="1">
        <v>0</v>
      </c>
      <c r="J2246" s="1">
        <v>805490</v>
      </c>
      <c r="K2246">
        <f>VLOOKUP(F2246,'LEAID Match'!$A$2:$C$2979,3,FALSE)</f>
        <v>2000002</v>
      </c>
    </row>
    <row r="2247" spans="1:11" x14ac:dyDescent="0.2">
      <c r="A2247">
        <v>2009030</v>
      </c>
      <c r="B2247">
        <v>2021</v>
      </c>
      <c r="C2247" t="s">
        <v>6</v>
      </c>
      <c r="D2247" t="s">
        <v>7</v>
      </c>
      <c r="E2247" t="s">
        <v>8</v>
      </c>
      <c r="F2247">
        <v>5204</v>
      </c>
      <c r="G2247" t="s">
        <v>237</v>
      </c>
      <c r="H2247" s="20">
        <v>1145891</v>
      </c>
      <c r="I2247" s="1">
        <v>0</v>
      </c>
      <c r="J2247" s="1">
        <v>1145891</v>
      </c>
      <c r="K2247">
        <f>VLOOKUP(F2247,'LEAID Match'!$A$2:$C$2979,3,FALSE)</f>
        <v>2009030</v>
      </c>
    </row>
    <row r="2248" spans="1:11" x14ac:dyDescent="0.2">
      <c r="A2248">
        <v>2009240</v>
      </c>
      <c r="B2248">
        <v>2021</v>
      </c>
      <c r="C2248" t="s">
        <v>6</v>
      </c>
      <c r="D2248" t="s">
        <v>7</v>
      </c>
      <c r="E2248" t="s">
        <v>8</v>
      </c>
      <c r="F2248">
        <v>5205</v>
      </c>
      <c r="G2248" t="s">
        <v>238</v>
      </c>
      <c r="H2248" s="1">
        <v>493989</v>
      </c>
      <c r="I2248" s="1">
        <v>0</v>
      </c>
      <c r="J2248" s="1">
        <v>493989</v>
      </c>
      <c r="K2248">
        <f>VLOOKUP(F2248,'LEAID Match'!$A$2:$C$2979,3,FALSE)</f>
        <v>2009240</v>
      </c>
    </row>
    <row r="2249" spans="1:11" x14ac:dyDescent="0.2">
      <c r="A2249">
        <v>2007290</v>
      </c>
      <c r="B2249">
        <v>2021</v>
      </c>
      <c r="C2249" t="s">
        <v>6</v>
      </c>
      <c r="D2249" t="s">
        <v>7</v>
      </c>
      <c r="E2249" t="s">
        <v>8</v>
      </c>
      <c r="F2249">
        <v>5206</v>
      </c>
      <c r="G2249" s="9" t="s">
        <v>239</v>
      </c>
      <c r="H2249" s="1">
        <v>535774</v>
      </c>
      <c r="I2249" s="1">
        <v>0</v>
      </c>
      <c r="J2249" s="1">
        <v>535774</v>
      </c>
      <c r="K2249">
        <f>VLOOKUP(F2249,'LEAID Match'!$A$2:$C$2979,3,FALSE)</f>
        <v>2007290</v>
      </c>
    </row>
    <row r="2250" spans="1:11" x14ac:dyDescent="0.2">
      <c r="A2250">
        <v>2008970</v>
      </c>
      <c r="B2250">
        <v>2021</v>
      </c>
      <c r="C2250" t="s">
        <v>6</v>
      </c>
      <c r="D2250" t="s">
        <v>7</v>
      </c>
      <c r="E2250" t="s">
        <v>8</v>
      </c>
      <c r="F2250" s="3">
        <v>5207</v>
      </c>
      <c r="G2250" s="3" t="s">
        <v>240</v>
      </c>
      <c r="H2250" s="22">
        <v>1165177</v>
      </c>
      <c r="I2250" s="1">
        <v>0</v>
      </c>
      <c r="J2250" s="1">
        <v>1165177</v>
      </c>
      <c r="K2250">
        <f>VLOOKUP(F2250,'LEAID Match'!$A$2:$C$2979,3,FALSE)</f>
        <v>2008970</v>
      </c>
    </row>
    <row r="2251" spans="1:11" x14ac:dyDescent="0.2">
      <c r="A2251">
        <v>2009780</v>
      </c>
      <c r="B2251">
        <v>2021</v>
      </c>
      <c r="C2251" t="s">
        <v>6</v>
      </c>
      <c r="D2251" t="s">
        <v>7</v>
      </c>
      <c r="E2251" t="s">
        <v>8</v>
      </c>
      <c r="F2251" s="3">
        <v>5208</v>
      </c>
      <c r="G2251" s="3" t="s">
        <v>241</v>
      </c>
      <c r="H2251" s="1">
        <v>295040</v>
      </c>
      <c r="I2251" s="21">
        <v>0</v>
      </c>
      <c r="J2251" s="21">
        <v>295040</v>
      </c>
      <c r="K2251">
        <f>VLOOKUP(F2251,'LEAID Match'!$A$2:$C$2979,3,FALSE)</f>
        <v>2009780</v>
      </c>
    </row>
    <row r="2252" spans="1:11" x14ac:dyDescent="0.2">
      <c r="A2252">
        <v>2006660</v>
      </c>
      <c r="B2252">
        <v>2021</v>
      </c>
      <c r="C2252" t="s">
        <v>6</v>
      </c>
      <c r="D2252" t="s">
        <v>7</v>
      </c>
      <c r="E2252" t="s">
        <v>8</v>
      </c>
      <c r="F2252" s="3">
        <v>5210</v>
      </c>
      <c r="G2252" s="3" t="s">
        <v>242</v>
      </c>
      <c r="H2252" s="1">
        <v>3739395</v>
      </c>
      <c r="I2252" s="1">
        <v>0</v>
      </c>
      <c r="J2252" s="1">
        <v>3739395</v>
      </c>
      <c r="K2252">
        <f>VLOOKUP(F2252,'LEAID Match'!$A$2:$C$2979,3,FALSE)</f>
        <v>2006660</v>
      </c>
    </row>
    <row r="2253" spans="1:11" x14ac:dyDescent="0.2">
      <c r="A2253">
        <v>2010410</v>
      </c>
      <c r="B2253">
        <v>2021</v>
      </c>
      <c r="C2253" t="s">
        <v>6</v>
      </c>
      <c r="D2253" t="s">
        <v>7</v>
      </c>
      <c r="E2253" t="s">
        <v>8</v>
      </c>
      <c r="F2253">
        <v>5212</v>
      </c>
      <c r="G2253" t="s">
        <v>243</v>
      </c>
      <c r="H2253" s="1">
        <v>894061</v>
      </c>
      <c r="I2253" s="1">
        <v>0</v>
      </c>
      <c r="J2253" s="1">
        <v>894061</v>
      </c>
      <c r="K2253">
        <f>VLOOKUP(F2253,'LEAID Match'!$A$2:$C$2979,3,FALSE)</f>
        <v>2010410</v>
      </c>
    </row>
    <row r="2254" spans="1:11" x14ac:dyDescent="0.2">
      <c r="A2254">
        <v>2004410</v>
      </c>
      <c r="B2254">
        <v>2021</v>
      </c>
      <c r="C2254" t="s">
        <v>6</v>
      </c>
      <c r="D2254" t="s">
        <v>7</v>
      </c>
      <c r="E2254" t="s">
        <v>8</v>
      </c>
      <c r="F2254">
        <v>5213</v>
      </c>
      <c r="G2254" t="s">
        <v>244</v>
      </c>
      <c r="H2254" s="1">
        <v>717464</v>
      </c>
      <c r="I2254" s="1">
        <v>0</v>
      </c>
      <c r="J2254" s="1">
        <v>717464</v>
      </c>
      <c r="K2254">
        <f>VLOOKUP(F2254,'LEAID Match'!$A$2:$C$2979,3,FALSE)</f>
        <v>2004410</v>
      </c>
    </row>
    <row r="2255" spans="1:11" x14ac:dyDescent="0.2">
      <c r="A2255">
        <v>2012180</v>
      </c>
      <c r="B2255">
        <v>2021</v>
      </c>
      <c r="C2255" t="s">
        <v>6</v>
      </c>
      <c r="D2255" t="s">
        <v>7</v>
      </c>
      <c r="E2255" t="s">
        <v>8</v>
      </c>
      <c r="F2255">
        <v>5214</v>
      </c>
      <c r="G2255" t="s">
        <v>245</v>
      </c>
      <c r="H2255" s="1">
        <v>3526204</v>
      </c>
      <c r="I2255" s="1">
        <v>0</v>
      </c>
      <c r="J2255" s="1">
        <v>3526204</v>
      </c>
      <c r="K2255">
        <f>VLOOKUP(F2255,'LEAID Match'!$A$2:$C$2979,3,FALSE)</f>
        <v>2012180</v>
      </c>
    </row>
    <row r="2256" spans="1:11" x14ac:dyDescent="0.2">
      <c r="A2256">
        <v>2000017</v>
      </c>
      <c r="B2256">
        <v>2021</v>
      </c>
      <c r="C2256" t="s">
        <v>6</v>
      </c>
      <c r="D2256" t="s">
        <v>7</v>
      </c>
      <c r="E2256" t="s">
        <v>8</v>
      </c>
      <c r="F2256">
        <v>5215</v>
      </c>
      <c r="G2256" t="s">
        <v>246</v>
      </c>
      <c r="H2256" s="20">
        <v>845219</v>
      </c>
      <c r="I2256" s="1">
        <v>0</v>
      </c>
      <c r="J2256" s="1">
        <v>845219</v>
      </c>
      <c r="K2256">
        <f>VLOOKUP(F2256,'LEAID Match'!$A$2:$C$2979,3,FALSE)</f>
        <v>2000017</v>
      </c>
    </row>
    <row r="2257" spans="1:11" x14ac:dyDescent="0.2">
      <c r="A2257">
        <v>2004620</v>
      </c>
      <c r="B2257">
        <v>2021</v>
      </c>
      <c r="C2257" t="s">
        <v>6</v>
      </c>
      <c r="D2257" t="s">
        <v>7</v>
      </c>
      <c r="E2257" t="s">
        <v>8</v>
      </c>
      <c r="F2257">
        <v>5216</v>
      </c>
      <c r="G2257" t="s">
        <v>299</v>
      </c>
      <c r="H2257" s="1">
        <v>989660</v>
      </c>
      <c r="I2257" s="1">
        <v>0</v>
      </c>
      <c r="J2257" s="1">
        <v>989660</v>
      </c>
      <c r="K2257">
        <f>VLOOKUP(F2257,'LEAID Match'!$A$2:$C$2979,3,FALSE)</f>
        <v>2004620</v>
      </c>
    </row>
    <row r="2258" spans="1:11" x14ac:dyDescent="0.2">
      <c r="A2258">
        <v>2005190</v>
      </c>
      <c r="B2258">
        <v>2021</v>
      </c>
      <c r="C2258" t="s">
        <v>6</v>
      </c>
      <c r="D2258" t="s">
        <v>7</v>
      </c>
      <c r="E2258" t="s">
        <v>8</v>
      </c>
      <c r="F2258">
        <v>5217</v>
      </c>
      <c r="G2258" s="9" t="s">
        <v>248</v>
      </c>
      <c r="H2258" s="1">
        <v>128355</v>
      </c>
      <c r="I2258" s="1">
        <v>0</v>
      </c>
      <c r="J2258" s="1">
        <v>128355</v>
      </c>
      <c r="K2258">
        <f>VLOOKUP(F2258,'LEAID Match'!$A$2:$C$2979,3,FALSE)</f>
        <v>2005190</v>
      </c>
    </row>
    <row r="2259" spans="1:11" x14ac:dyDescent="0.2">
      <c r="A2259">
        <v>2007440</v>
      </c>
      <c r="B2259">
        <v>2021</v>
      </c>
      <c r="C2259" t="s">
        <v>6</v>
      </c>
      <c r="D2259" t="s">
        <v>7</v>
      </c>
      <c r="E2259" t="s">
        <v>8</v>
      </c>
      <c r="F2259" s="3">
        <v>5218</v>
      </c>
      <c r="G2259" s="3" t="s">
        <v>249</v>
      </c>
      <c r="H2259" s="22">
        <v>322906</v>
      </c>
      <c r="I2259" s="1">
        <v>0</v>
      </c>
      <c r="J2259" s="1">
        <v>322906</v>
      </c>
      <c r="K2259">
        <f>VLOOKUP(F2259,'LEAID Match'!$A$2:$C$2979,3,FALSE)</f>
        <v>2007440</v>
      </c>
    </row>
    <row r="2260" spans="1:11" x14ac:dyDescent="0.2">
      <c r="A2260">
        <v>2011610</v>
      </c>
      <c r="B2260">
        <v>2021</v>
      </c>
      <c r="C2260" t="s">
        <v>6</v>
      </c>
      <c r="D2260" t="s">
        <v>7</v>
      </c>
      <c r="E2260" t="s">
        <v>8</v>
      </c>
      <c r="F2260" s="3">
        <v>5219</v>
      </c>
      <c r="G2260" s="3" t="s">
        <v>250</v>
      </c>
      <c r="H2260" s="1">
        <v>217999</v>
      </c>
      <c r="I2260" s="21">
        <v>0</v>
      </c>
      <c r="J2260" s="21">
        <v>217999</v>
      </c>
      <c r="K2260">
        <f>VLOOKUP(F2260,'LEAID Match'!$A$2:$C$2979,3,FALSE)</f>
        <v>2011610</v>
      </c>
    </row>
    <row r="2261" spans="1:11" x14ac:dyDescent="0.2">
      <c r="A2261">
        <v>2012810</v>
      </c>
      <c r="B2261">
        <v>2021</v>
      </c>
      <c r="C2261" t="s">
        <v>6</v>
      </c>
      <c r="D2261" t="s">
        <v>7</v>
      </c>
      <c r="E2261" t="s">
        <v>8</v>
      </c>
      <c r="F2261" s="3">
        <v>5220</v>
      </c>
      <c r="G2261" s="3" t="s">
        <v>251</v>
      </c>
      <c r="H2261" s="1">
        <v>462841</v>
      </c>
      <c r="I2261" s="1">
        <v>0</v>
      </c>
      <c r="J2261" s="1">
        <v>462841</v>
      </c>
      <c r="K2261">
        <f>VLOOKUP(F2261,'LEAID Match'!$A$2:$C$2979,3,FALSE)</f>
        <v>2012810</v>
      </c>
    </row>
    <row r="2262" spans="1:11" x14ac:dyDescent="0.2">
      <c r="A2262">
        <v>2010920</v>
      </c>
      <c r="B2262">
        <v>2021</v>
      </c>
      <c r="C2262" t="s">
        <v>6</v>
      </c>
      <c r="D2262" t="s">
        <v>7</v>
      </c>
      <c r="E2262" t="s">
        <v>8</v>
      </c>
      <c r="F2262">
        <v>5155</v>
      </c>
      <c r="G2262" t="s">
        <v>357</v>
      </c>
      <c r="H2262" s="1">
        <v>308215</v>
      </c>
      <c r="I2262" s="1">
        <v>0</v>
      </c>
      <c r="J2262" s="1">
        <v>308215</v>
      </c>
      <c r="K2262">
        <f>VLOOKUP(F2262,'LEAID Match'!$A$2:$C$2979,3,FALSE)</f>
        <v>2010920</v>
      </c>
    </row>
    <row r="2263" spans="1:11" x14ac:dyDescent="0.2">
      <c r="A2263">
        <v>2013020</v>
      </c>
      <c r="B2263">
        <v>2021</v>
      </c>
      <c r="C2263" t="s">
        <v>6</v>
      </c>
      <c r="D2263" t="s">
        <v>7</v>
      </c>
      <c r="E2263" t="s">
        <v>8</v>
      </c>
      <c r="F2263">
        <v>5223</v>
      </c>
      <c r="G2263" t="s">
        <v>253</v>
      </c>
      <c r="H2263" s="1">
        <v>456272</v>
      </c>
      <c r="I2263" s="1">
        <v>0</v>
      </c>
      <c r="J2263" s="1">
        <v>456272</v>
      </c>
      <c r="K2263">
        <f>VLOOKUP(F2263,'LEAID Match'!$A$2:$C$2979,3,FALSE)</f>
        <v>2013020</v>
      </c>
    </row>
    <row r="2264" spans="1:11" x14ac:dyDescent="0.2">
      <c r="A2264">
        <v>2004470</v>
      </c>
      <c r="B2264">
        <v>2021</v>
      </c>
      <c r="C2264" t="s">
        <v>6</v>
      </c>
      <c r="D2264" t="s">
        <v>7</v>
      </c>
      <c r="E2264" t="s">
        <v>8</v>
      </c>
      <c r="F2264">
        <v>5226</v>
      </c>
      <c r="G2264" t="s">
        <v>254</v>
      </c>
      <c r="H2264" s="1">
        <v>267137</v>
      </c>
      <c r="I2264" s="1">
        <v>0</v>
      </c>
      <c r="J2264" s="1">
        <v>267137</v>
      </c>
      <c r="K2264">
        <f>VLOOKUP(F2264,'LEAID Match'!$A$2:$C$2979,3,FALSE)</f>
        <v>2004470</v>
      </c>
    </row>
    <row r="2265" spans="1:11" x14ac:dyDescent="0.2">
      <c r="A2265">
        <v>2000013</v>
      </c>
      <c r="B2265">
        <v>2021</v>
      </c>
      <c r="C2265" t="s">
        <v>6</v>
      </c>
      <c r="D2265" t="s">
        <v>7</v>
      </c>
      <c r="E2265" t="s">
        <v>8</v>
      </c>
      <c r="F2265">
        <v>5227</v>
      </c>
      <c r="G2265" t="s">
        <v>255</v>
      </c>
      <c r="H2265" s="20">
        <v>92319</v>
      </c>
      <c r="I2265" s="1">
        <v>0</v>
      </c>
      <c r="J2265" s="1">
        <v>92319</v>
      </c>
      <c r="K2265">
        <f>VLOOKUP(F2265,'LEAID Match'!$A$2:$C$2979,3,FALSE)</f>
        <v>2000013</v>
      </c>
    </row>
    <row r="2266" spans="1:11" x14ac:dyDescent="0.2">
      <c r="A2266">
        <v>2006630</v>
      </c>
      <c r="B2266">
        <v>2021</v>
      </c>
      <c r="C2266" t="s">
        <v>6</v>
      </c>
      <c r="D2266" t="s">
        <v>7</v>
      </c>
      <c r="E2266" t="s">
        <v>8</v>
      </c>
      <c r="F2266">
        <v>5228</v>
      </c>
      <c r="G2266" t="s">
        <v>256</v>
      </c>
      <c r="H2266" s="1">
        <v>165013</v>
      </c>
      <c r="I2266" s="1">
        <v>0</v>
      </c>
      <c r="J2266" s="1">
        <v>165013</v>
      </c>
      <c r="K2266">
        <f>VLOOKUP(F2266,'LEAID Match'!$A$2:$C$2979,3,FALSE)</f>
        <v>2006630</v>
      </c>
    </row>
    <row r="2267" spans="1:11" x14ac:dyDescent="0.2">
      <c r="A2267">
        <v>2010080</v>
      </c>
      <c r="B2267">
        <v>2021</v>
      </c>
      <c r="C2267" t="s">
        <v>6</v>
      </c>
      <c r="D2267" t="s">
        <v>7</v>
      </c>
      <c r="E2267" t="s">
        <v>8</v>
      </c>
      <c r="F2267">
        <v>5229</v>
      </c>
      <c r="G2267" s="9" t="s">
        <v>257</v>
      </c>
      <c r="H2267" s="1">
        <v>356536</v>
      </c>
      <c r="I2267" s="1">
        <v>0</v>
      </c>
      <c r="J2267" s="1">
        <v>356536</v>
      </c>
      <c r="K2267">
        <f>VLOOKUP(F2267,'LEAID Match'!$A$2:$C$2979,3,FALSE)</f>
        <v>2010080</v>
      </c>
    </row>
    <row r="2268" spans="1:11" x14ac:dyDescent="0.2">
      <c r="A2268">
        <v>2006960</v>
      </c>
      <c r="B2268">
        <v>2021</v>
      </c>
      <c r="C2268" t="s">
        <v>6</v>
      </c>
      <c r="D2268" t="s">
        <v>7</v>
      </c>
      <c r="E2268" t="s">
        <v>8</v>
      </c>
      <c r="F2268" s="3">
        <v>5230</v>
      </c>
      <c r="G2268" s="3" t="s">
        <v>258</v>
      </c>
      <c r="H2268" s="22">
        <v>746895</v>
      </c>
      <c r="I2268" s="1">
        <v>0</v>
      </c>
      <c r="J2268" s="1">
        <v>746895</v>
      </c>
      <c r="K2268">
        <f>VLOOKUP(F2268,'LEAID Match'!$A$2:$C$2979,3,FALSE)</f>
        <v>2006960</v>
      </c>
    </row>
    <row r="2269" spans="1:11" x14ac:dyDescent="0.2">
      <c r="A2269">
        <v>2007380</v>
      </c>
      <c r="B2269">
        <v>2021</v>
      </c>
      <c r="C2269" t="s">
        <v>6</v>
      </c>
      <c r="D2269" t="s">
        <v>7</v>
      </c>
      <c r="E2269" t="s">
        <v>8</v>
      </c>
      <c r="F2269" s="3">
        <v>5231</v>
      </c>
      <c r="G2269" s="3" t="s">
        <v>259</v>
      </c>
      <c r="H2269" s="1">
        <v>1394856</v>
      </c>
      <c r="I2269" s="21">
        <v>0</v>
      </c>
      <c r="J2269" s="21">
        <v>1394856</v>
      </c>
      <c r="K2269">
        <f>VLOOKUP(F2269,'LEAID Match'!$A$2:$C$2979,3,FALSE)</f>
        <v>2007380</v>
      </c>
    </row>
    <row r="2270" spans="1:11" x14ac:dyDescent="0.2">
      <c r="A2270">
        <v>2003200</v>
      </c>
      <c r="B2270">
        <v>2021</v>
      </c>
      <c r="C2270" t="s">
        <v>6</v>
      </c>
      <c r="D2270" t="s">
        <v>7</v>
      </c>
      <c r="E2270" t="s">
        <v>8</v>
      </c>
      <c r="F2270" s="3">
        <v>5233</v>
      </c>
      <c r="G2270" s="3" t="s">
        <v>260</v>
      </c>
      <c r="H2270" s="1">
        <v>6142665</v>
      </c>
      <c r="I2270" s="1">
        <v>0</v>
      </c>
      <c r="J2270" s="1">
        <v>6142665</v>
      </c>
      <c r="K2270">
        <f>VLOOKUP(F2270,'LEAID Match'!$A$2:$C$2979,3,FALSE)</f>
        <v>2003200</v>
      </c>
    </row>
    <row r="2271" spans="1:11" x14ac:dyDescent="0.2">
      <c r="A2271">
        <v>2008040</v>
      </c>
      <c r="B2271">
        <v>2021</v>
      </c>
      <c r="C2271" t="s">
        <v>6</v>
      </c>
      <c r="D2271" t="s">
        <v>7</v>
      </c>
      <c r="E2271" t="s">
        <v>8</v>
      </c>
      <c r="F2271">
        <v>5235</v>
      </c>
      <c r="G2271" t="s">
        <v>261</v>
      </c>
      <c r="H2271" s="1">
        <v>253390</v>
      </c>
      <c r="I2271" s="1">
        <v>0</v>
      </c>
      <c r="J2271" s="1">
        <v>253390</v>
      </c>
      <c r="K2271">
        <f>VLOOKUP(F2271,'LEAID Match'!$A$2:$C$2979,3,FALSE)</f>
        <v>2008040</v>
      </c>
    </row>
    <row r="2272" spans="1:11" x14ac:dyDescent="0.2">
      <c r="A2272">
        <v>2006060</v>
      </c>
      <c r="B2272">
        <v>2021</v>
      </c>
      <c r="C2272" t="s">
        <v>6</v>
      </c>
      <c r="D2272" t="s">
        <v>7</v>
      </c>
      <c r="E2272" t="s">
        <v>8</v>
      </c>
      <c r="F2272">
        <v>5236</v>
      </c>
      <c r="G2272" t="s">
        <v>262</v>
      </c>
      <c r="H2272" s="1">
        <v>559337</v>
      </c>
      <c r="I2272" s="1">
        <v>0</v>
      </c>
      <c r="J2272" s="1">
        <v>559337</v>
      </c>
      <c r="K2272">
        <f>VLOOKUP(F2272,'LEAID Match'!$A$2:$C$2979,3,FALSE)</f>
        <v>2006060</v>
      </c>
    </row>
    <row r="2273" spans="1:11" x14ac:dyDescent="0.2">
      <c r="A2273">
        <v>2006510</v>
      </c>
      <c r="B2273">
        <v>2021</v>
      </c>
      <c r="C2273" t="s">
        <v>6</v>
      </c>
      <c r="D2273" t="s">
        <v>7</v>
      </c>
      <c r="E2273" t="s">
        <v>8</v>
      </c>
      <c r="F2273">
        <v>5237</v>
      </c>
      <c r="G2273" t="s">
        <v>263</v>
      </c>
      <c r="H2273" s="1">
        <v>265780</v>
      </c>
      <c r="I2273" s="1">
        <v>0</v>
      </c>
      <c r="J2273" s="1">
        <v>265780</v>
      </c>
      <c r="K2273">
        <f>VLOOKUP(F2273,'LEAID Match'!$A$2:$C$2979,3,FALSE)</f>
        <v>2006510</v>
      </c>
    </row>
    <row r="2274" spans="1:11" x14ac:dyDescent="0.2">
      <c r="A2274">
        <v>2004170</v>
      </c>
      <c r="B2274">
        <v>2021</v>
      </c>
      <c r="C2274" t="s">
        <v>6</v>
      </c>
      <c r="D2274" t="s">
        <v>7</v>
      </c>
      <c r="E2274" t="s">
        <v>8</v>
      </c>
      <c r="F2274">
        <v>5238</v>
      </c>
      <c r="G2274" t="s">
        <v>264</v>
      </c>
      <c r="H2274" s="20">
        <v>237804</v>
      </c>
      <c r="I2274" s="1">
        <v>0</v>
      </c>
      <c r="J2274" s="1">
        <v>237804</v>
      </c>
      <c r="K2274">
        <f>VLOOKUP(F2274,'LEAID Match'!$A$2:$C$2979,3,FALSE)</f>
        <v>2004170</v>
      </c>
    </row>
    <row r="2275" spans="1:11" x14ac:dyDescent="0.2">
      <c r="A2275">
        <v>2004650</v>
      </c>
      <c r="B2275">
        <v>2021</v>
      </c>
      <c r="C2275" t="s">
        <v>6</v>
      </c>
      <c r="D2275" t="s">
        <v>7</v>
      </c>
      <c r="E2275" t="s">
        <v>8</v>
      </c>
      <c r="F2275">
        <v>5239</v>
      </c>
      <c r="G2275" t="s">
        <v>265</v>
      </c>
      <c r="H2275" s="1">
        <v>190101</v>
      </c>
      <c r="I2275" s="1">
        <v>0</v>
      </c>
      <c r="J2275" s="1">
        <v>190101</v>
      </c>
      <c r="K2275">
        <f>VLOOKUP(F2275,'LEAID Match'!$A$2:$C$2979,3,FALSE)</f>
        <v>2004650</v>
      </c>
    </row>
    <row r="2276" spans="1:11" x14ac:dyDescent="0.2">
      <c r="A2276">
        <v>2012150</v>
      </c>
      <c r="B2276">
        <v>2021</v>
      </c>
      <c r="C2276" t="s">
        <v>6</v>
      </c>
      <c r="D2276" t="s">
        <v>7</v>
      </c>
      <c r="E2276" t="s">
        <v>8</v>
      </c>
      <c r="F2276">
        <v>5240</v>
      </c>
      <c r="G2276" s="9" t="s">
        <v>266</v>
      </c>
      <c r="H2276" s="1">
        <v>479368</v>
      </c>
      <c r="I2276" s="1">
        <v>0</v>
      </c>
      <c r="J2276" s="1">
        <v>479368</v>
      </c>
      <c r="K2276">
        <f>VLOOKUP(F2276,'LEAID Match'!$A$2:$C$2979,3,FALSE)</f>
        <v>2012150</v>
      </c>
    </row>
    <row r="2277" spans="1:11" x14ac:dyDescent="0.2">
      <c r="A2277">
        <v>2005040</v>
      </c>
      <c r="B2277">
        <v>2021</v>
      </c>
      <c r="C2277" t="s">
        <v>6</v>
      </c>
      <c r="D2277" t="s">
        <v>7</v>
      </c>
      <c r="E2277" t="s">
        <v>8</v>
      </c>
      <c r="F2277" s="3">
        <v>5241</v>
      </c>
      <c r="G2277" s="3" t="s">
        <v>267</v>
      </c>
      <c r="H2277" s="22">
        <v>262602</v>
      </c>
      <c r="I2277" s="1">
        <v>0</v>
      </c>
      <c r="J2277" s="1">
        <v>262602</v>
      </c>
      <c r="K2277">
        <f>VLOOKUP(F2277,'LEAID Match'!$A$2:$C$2979,3,FALSE)</f>
        <v>2005040</v>
      </c>
    </row>
    <row r="2278" spans="1:11" x14ac:dyDescent="0.2">
      <c r="A2278">
        <v>2000001</v>
      </c>
      <c r="B2278">
        <v>2021</v>
      </c>
      <c r="C2278" t="s">
        <v>6</v>
      </c>
      <c r="D2278" t="s">
        <v>7</v>
      </c>
      <c r="E2278" t="s">
        <v>8</v>
      </c>
      <c r="F2278" s="3">
        <v>5250</v>
      </c>
      <c r="G2278" s="3" t="s">
        <v>268</v>
      </c>
      <c r="H2278" s="1">
        <v>641919</v>
      </c>
      <c r="I2278" s="21">
        <v>0</v>
      </c>
      <c r="J2278" s="21">
        <v>641919</v>
      </c>
      <c r="K2278">
        <f>VLOOKUP(F2278,'LEAID Match'!$A$2:$C$2979,3,FALSE)</f>
        <v>2000001</v>
      </c>
    </row>
    <row r="2279" spans="1:11" x14ac:dyDescent="0.2">
      <c r="A2279">
        <v>2010980</v>
      </c>
      <c r="B2279">
        <v>2021</v>
      </c>
      <c r="C2279" t="s">
        <v>6</v>
      </c>
      <c r="D2279" t="s">
        <v>7</v>
      </c>
      <c r="E2279" t="s">
        <v>8</v>
      </c>
      <c r="F2279" s="3">
        <v>5251</v>
      </c>
      <c r="G2279" s="3" t="s">
        <v>269</v>
      </c>
      <c r="H2279" s="1">
        <v>215439</v>
      </c>
      <c r="I2279" s="1">
        <v>0</v>
      </c>
      <c r="J2279" s="1">
        <v>215439</v>
      </c>
      <c r="K2279">
        <f>VLOOKUP(F2279,'LEAID Match'!$A$2:$C$2979,3,FALSE)</f>
        <v>2010980</v>
      </c>
    </row>
    <row r="2280" spans="1:11" x14ac:dyDescent="0.2">
      <c r="A2280">
        <v>2008940</v>
      </c>
      <c r="B2280">
        <v>2021</v>
      </c>
      <c r="C2280" t="s">
        <v>6</v>
      </c>
      <c r="D2280" t="s">
        <v>7</v>
      </c>
      <c r="E2280" t="s">
        <v>8</v>
      </c>
      <c r="F2280">
        <v>5267</v>
      </c>
      <c r="G2280" t="s">
        <v>270</v>
      </c>
      <c r="H2280" s="1">
        <v>279110</v>
      </c>
      <c r="I2280" s="1">
        <v>0</v>
      </c>
      <c r="J2280" s="1">
        <v>279110</v>
      </c>
      <c r="K2280">
        <f>VLOOKUP(F2280,'LEAID Match'!$A$2:$C$2979,3,FALSE)</f>
        <v>2008940</v>
      </c>
    </row>
    <row r="2281" spans="1:11" x14ac:dyDescent="0.2">
      <c r="A2281">
        <v>2003510</v>
      </c>
      <c r="B2281">
        <v>2021</v>
      </c>
      <c r="C2281" t="s">
        <v>6</v>
      </c>
      <c r="D2281" t="s">
        <v>7</v>
      </c>
      <c r="E2281" t="s">
        <v>8</v>
      </c>
      <c r="F2281">
        <v>5268</v>
      </c>
      <c r="G2281" t="s">
        <v>271</v>
      </c>
      <c r="H2281" s="1">
        <v>254172</v>
      </c>
      <c r="I2281" s="1">
        <v>0</v>
      </c>
      <c r="J2281" s="1">
        <v>254172</v>
      </c>
      <c r="K2281">
        <f>VLOOKUP(F2281,'LEAID Match'!$A$2:$C$2979,3,FALSE)</f>
        <v>2003510</v>
      </c>
    </row>
    <row r="2282" spans="1:11" x14ac:dyDescent="0.2">
      <c r="A2282">
        <v>2004950</v>
      </c>
      <c r="B2282">
        <v>2021</v>
      </c>
      <c r="C2282" t="s">
        <v>6</v>
      </c>
      <c r="D2282" t="s">
        <v>7</v>
      </c>
      <c r="E2282" t="s">
        <v>8</v>
      </c>
      <c r="F2282">
        <v>5270</v>
      </c>
      <c r="G2282" t="s">
        <v>272</v>
      </c>
      <c r="H2282" s="1">
        <v>359159</v>
      </c>
      <c r="I2282" s="1">
        <v>0</v>
      </c>
      <c r="J2282" s="1">
        <v>359159</v>
      </c>
      <c r="K2282">
        <f>VLOOKUP(F2282,'LEAID Match'!$A$2:$C$2979,3,FALSE)</f>
        <v>2004950</v>
      </c>
    </row>
    <row r="2283" spans="1:11" x14ac:dyDescent="0.2">
      <c r="A2283">
        <v>2006210</v>
      </c>
      <c r="B2283">
        <v>2021</v>
      </c>
      <c r="C2283" t="s">
        <v>6</v>
      </c>
      <c r="D2283" t="s">
        <v>7</v>
      </c>
      <c r="E2283" t="s">
        <v>8</v>
      </c>
      <c r="F2283">
        <v>5271</v>
      </c>
      <c r="G2283" t="s">
        <v>273</v>
      </c>
      <c r="H2283" s="20">
        <v>155750</v>
      </c>
      <c r="I2283" s="1">
        <v>0</v>
      </c>
      <c r="J2283" s="1">
        <v>155750</v>
      </c>
      <c r="K2283">
        <f>VLOOKUP(F2283,'LEAID Match'!$A$2:$C$2979,3,FALSE)</f>
        <v>2006210</v>
      </c>
    </row>
    <row r="2284" spans="1:11" x14ac:dyDescent="0.2">
      <c r="A2284">
        <v>2011850</v>
      </c>
      <c r="B2284">
        <v>2021</v>
      </c>
      <c r="C2284" t="s">
        <v>6</v>
      </c>
      <c r="D2284" t="s">
        <v>7</v>
      </c>
      <c r="E2284" t="s">
        <v>8</v>
      </c>
      <c r="F2284">
        <v>5272</v>
      </c>
      <c r="G2284" t="s">
        <v>274</v>
      </c>
      <c r="H2284" s="1">
        <v>3729155</v>
      </c>
      <c r="I2284" s="1">
        <v>0</v>
      </c>
      <c r="J2284" s="1">
        <v>3729155</v>
      </c>
      <c r="K2284">
        <f>VLOOKUP(F2284,'LEAID Match'!$A$2:$C$2979,3,FALSE)</f>
        <v>2011850</v>
      </c>
    </row>
    <row r="2285" spans="1:11" x14ac:dyDescent="0.2">
      <c r="A2285">
        <v>2006300</v>
      </c>
      <c r="B2285">
        <v>2021</v>
      </c>
      <c r="C2285" t="s">
        <v>6</v>
      </c>
      <c r="D2285" t="s">
        <v>7</v>
      </c>
      <c r="E2285" t="s">
        <v>8</v>
      </c>
      <c r="F2285">
        <v>5274</v>
      </c>
      <c r="G2285" s="9" t="s">
        <v>275</v>
      </c>
      <c r="H2285" s="1">
        <v>806142</v>
      </c>
      <c r="I2285" s="1">
        <v>0</v>
      </c>
      <c r="J2285" s="1">
        <v>806142</v>
      </c>
      <c r="K2285">
        <f>VLOOKUP(F2285,'LEAID Match'!$A$2:$C$2979,3,FALSE)</f>
        <v>2006300</v>
      </c>
    </row>
    <row r="2286" spans="1:11" x14ac:dyDescent="0.2">
      <c r="A2286">
        <v>2009840</v>
      </c>
      <c r="B2286">
        <v>2021</v>
      </c>
      <c r="C2286" t="s">
        <v>6</v>
      </c>
      <c r="D2286" t="s">
        <v>7</v>
      </c>
      <c r="E2286" t="s">
        <v>8</v>
      </c>
      <c r="F2286" s="3">
        <v>5275</v>
      </c>
      <c r="G2286" s="3" t="s">
        <v>276</v>
      </c>
      <c r="H2286" s="22">
        <v>1828556</v>
      </c>
      <c r="I2286" s="1">
        <v>0</v>
      </c>
      <c r="J2286" s="1">
        <v>1828556</v>
      </c>
      <c r="K2286">
        <f>VLOOKUP(F2286,'LEAID Match'!$A$2:$C$2979,3,FALSE)</f>
        <v>2009840</v>
      </c>
    </row>
    <row r="2287" spans="1:11" x14ac:dyDescent="0.2">
      <c r="A2287">
        <v>2004920</v>
      </c>
      <c r="B2287">
        <v>2021</v>
      </c>
      <c r="C2287" t="s">
        <v>6</v>
      </c>
      <c r="D2287" t="s">
        <v>7</v>
      </c>
      <c r="E2287" t="s">
        <v>8</v>
      </c>
      <c r="F2287" s="3">
        <v>5276</v>
      </c>
      <c r="G2287" s="3" t="s">
        <v>277</v>
      </c>
      <c r="H2287" s="1">
        <v>899516</v>
      </c>
      <c r="I2287" s="21">
        <v>0</v>
      </c>
      <c r="J2287" s="21">
        <v>899516</v>
      </c>
      <c r="K2287">
        <f>VLOOKUP(F2287,'LEAID Match'!$A$2:$C$2979,3,FALSE)</f>
        <v>2004920</v>
      </c>
    </row>
    <row r="2288" spans="1:11" x14ac:dyDescent="0.2">
      <c r="A2288">
        <v>2010950</v>
      </c>
      <c r="B2288">
        <v>2021</v>
      </c>
      <c r="C2288" t="s">
        <v>6</v>
      </c>
      <c r="D2288" t="s">
        <v>7</v>
      </c>
      <c r="E2288" t="s">
        <v>8</v>
      </c>
      <c r="F2288" s="3">
        <v>5278</v>
      </c>
      <c r="G2288" s="3" t="s">
        <v>278</v>
      </c>
      <c r="H2288" s="1">
        <v>321369</v>
      </c>
      <c r="I2288" s="1">
        <v>0</v>
      </c>
      <c r="J2288" s="1">
        <v>321369</v>
      </c>
      <c r="K2288">
        <f>VLOOKUP(F2288,'LEAID Match'!$A$2:$C$2979,3,FALSE)</f>
        <v>2010950</v>
      </c>
    </row>
    <row r="2289" spans="1:11" x14ac:dyDescent="0.2">
      <c r="A2289">
        <v>2007620</v>
      </c>
      <c r="B2289">
        <v>2021</v>
      </c>
      <c r="C2289" t="s">
        <v>6</v>
      </c>
      <c r="D2289" t="s">
        <v>7</v>
      </c>
      <c r="E2289" t="s">
        <v>8</v>
      </c>
      <c r="F2289">
        <v>5280</v>
      </c>
      <c r="G2289" t="s">
        <v>279</v>
      </c>
      <c r="H2289" s="1">
        <v>5074284</v>
      </c>
      <c r="I2289" s="1">
        <v>0</v>
      </c>
      <c r="J2289" s="1">
        <v>5074284</v>
      </c>
      <c r="K2289">
        <f>VLOOKUP(F2289,'LEAID Match'!$A$2:$C$2979,3,FALSE)</f>
        <v>2007620</v>
      </c>
    </row>
    <row r="2290" spans="1:11" x14ac:dyDescent="0.2">
      <c r="A2290">
        <v>2011040</v>
      </c>
      <c r="B2290">
        <v>2021</v>
      </c>
      <c r="C2290" t="s">
        <v>6</v>
      </c>
      <c r="D2290" t="s">
        <v>7</v>
      </c>
      <c r="E2290" t="s">
        <v>8</v>
      </c>
      <c r="F2290">
        <v>5281</v>
      </c>
      <c r="G2290" t="s">
        <v>280</v>
      </c>
      <c r="H2290" s="1">
        <v>240158</v>
      </c>
      <c r="I2290" s="1">
        <v>0</v>
      </c>
      <c r="J2290" s="1">
        <v>240158</v>
      </c>
      <c r="K2290">
        <f>VLOOKUP(F2290,'LEAID Match'!$A$2:$C$2979,3,FALSE)</f>
        <v>2011040</v>
      </c>
    </row>
    <row r="2291" spans="1:11" x14ac:dyDescent="0.2">
      <c r="A2291">
        <v>2010650</v>
      </c>
      <c r="B2291">
        <v>2021</v>
      </c>
      <c r="C2291" t="s">
        <v>6</v>
      </c>
      <c r="D2291" t="s">
        <v>7</v>
      </c>
      <c r="E2291" t="s">
        <v>8</v>
      </c>
      <c r="F2291">
        <v>5283</v>
      </c>
      <c r="G2291" t="s">
        <v>281</v>
      </c>
      <c r="H2291" s="1">
        <v>526984</v>
      </c>
      <c r="I2291" s="1">
        <v>0</v>
      </c>
      <c r="J2291" s="1">
        <v>526984</v>
      </c>
      <c r="K2291">
        <f>VLOOKUP(F2291,'LEAID Match'!$A$2:$C$2979,3,FALSE)</f>
        <v>2010650</v>
      </c>
    </row>
    <row r="2292" spans="1:11" x14ac:dyDescent="0.2">
      <c r="A2292">
        <v>2009510</v>
      </c>
      <c r="B2292">
        <v>2021</v>
      </c>
      <c r="C2292" t="s">
        <v>6</v>
      </c>
      <c r="D2292" t="s">
        <v>7</v>
      </c>
      <c r="E2292" t="s">
        <v>8</v>
      </c>
      <c r="F2292">
        <v>5284</v>
      </c>
      <c r="G2292" t="s">
        <v>282</v>
      </c>
      <c r="H2292" s="20">
        <v>742263</v>
      </c>
      <c r="I2292" s="1">
        <v>0</v>
      </c>
      <c r="J2292" s="1">
        <v>742263</v>
      </c>
      <c r="K2292">
        <f>VLOOKUP(F2292,'LEAID Match'!$A$2:$C$2979,3,FALSE)</f>
        <v>2009510</v>
      </c>
    </row>
    <row r="2293" spans="1:11" x14ac:dyDescent="0.2">
      <c r="A2293">
        <v>2010770</v>
      </c>
      <c r="B2293">
        <v>2021</v>
      </c>
      <c r="C2293" t="s">
        <v>6</v>
      </c>
      <c r="D2293" t="s">
        <v>7</v>
      </c>
      <c r="E2293" t="s">
        <v>8</v>
      </c>
      <c r="F2293">
        <v>5285</v>
      </c>
      <c r="G2293" t="s">
        <v>283</v>
      </c>
      <c r="H2293" s="1">
        <v>379932</v>
      </c>
      <c r="I2293" s="1">
        <v>0</v>
      </c>
      <c r="J2293" s="1">
        <v>379932</v>
      </c>
      <c r="K2293">
        <f>VLOOKUP(F2293,'LEAID Match'!$A$2:$C$2979,3,FALSE)</f>
        <v>2010770</v>
      </c>
    </row>
    <row r="2294" spans="1:11" x14ac:dyDescent="0.2">
      <c r="A2294">
        <v>2011910</v>
      </c>
      <c r="B2294">
        <v>2021</v>
      </c>
      <c r="C2294" t="s">
        <v>6</v>
      </c>
      <c r="D2294" t="s">
        <v>7</v>
      </c>
      <c r="E2294" t="s">
        <v>8</v>
      </c>
      <c r="F2294">
        <v>5286</v>
      </c>
      <c r="G2294" s="9" t="s">
        <v>284</v>
      </c>
      <c r="H2294" s="1">
        <v>344509</v>
      </c>
      <c r="I2294" s="1">
        <v>0</v>
      </c>
      <c r="J2294" s="1">
        <v>344509</v>
      </c>
      <c r="K2294">
        <f>VLOOKUP(F2294,'LEAID Match'!$A$2:$C$2979,3,FALSE)</f>
        <v>2011910</v>
      </c>
    </row>
    <row r="2295" spans="1:11" x14ac:dyDescent="0.2">
      <c r="A2295">
        <v>2003900</v>
      </c>
      <c r="B2295">
        <v>2021</v>
      </c>
      <c r="C2295" t="s">
        <v>6</v>
      </c>
      <c r="D2295" t="s">
        <v>7</v>
      </c>
      <c r="E2295" t="s">
        <v>8</v>
      </c>
      <c r="F2295" s="3">
        <v>5287</v>
      </c>
      <c r="G2295" s="3" t="s">
        <v>285</v>
      </c>
      <c r="H2295" s="22">
        <v>573193</v>
      </c>
      <c r="I2295" s="1">
        <v>0</v>
      </c>
      <c r="J2295" s="1">
        <v>573193</v>
      </c>
      <c r="K2295">
        <f>VLOOKUP(F2295,'LEAID Match'!$A$2:$C$2979,3,FALSE)</f>
        <v>2003900</v>
      </c>
    </row>
    <row r="2296" spans="1:11" x14ac:dyDescent="0.2">
      <c r="A2296">
        <v>2010440</v>
      </c>
      <c r="B2296">
        <v>2021</v>
      </c>
      <c r="C2296" t="s">
        <v>6</v>
      </c>
      <c r="D2296" t="s">
        <v>7</v>
      </c>
      <c r="E2296" t="s">
        <v>8</v>
      </c>
      <c r="F2296" s="3">
        <v>5288</v>
      </c>
      <c r="G2296" s="3" t="s">
        <v>286</v>
      </c>
      <c r="H2296" s="1">
        <v>347641</v>
      </c>
      <c r="I2296" s="21">
        <v>0</v>
      </c>
      <c r="J2296" s="21">
        <v>347641</v>
      </c>
      <c r="K2296">
        <f>VLOOKUP(F2296,'LEAID Match'!$A$2:$C$2979,3,FALSE)</f>
        <v>2010440</v>
      </c>
    </row>
    <row r="2297" spans="1:11" x14ac:dyDescent="0.2">
      <c r="A2297">
        <v>2013110</v>
      </c>
      <c r="B2297">
        <v>2021</v>
      </c>
      <c r="C2297" t="s">
        <v>6</v>
      </c>
      <c r="D2297" t="s">
        <v>7</v>
      </c>
      <c r="E2297" t="s">
        <v>8</v>
      </c>
      <c r="F2297" s="3">
        <v>5289</v>
      </c>
      <c r="G2297" s="3" t="s">
        <v>287</v>
      </c>
      <c r="H2297" s="1">
        <v>394668</v>
      </c>
      <c r="I2297" s="1">
        <v>0</v>
      </c>
      <c r="J2297" s="1">
        <v>394668</v>
      </c>
      <c r="K2297">
        <f>VLOOKUP(F2297,'LEAID Match'!$A$2:$C$2979,3,FALSE)</f>
        <v>2013110</v>
      </c>
    </row>
    <row r="2298" spans="1:11" x14ac:dyDescent="0.2">
      <c r="A2298">
        <v>2012090</v>
      </c>
      <c r="B2298">
        <v>2021</v>
      </c>
      <c r="C2298" t="s">
        <v>6</v>
      </c>
      <c r="D2298" t="s">
        <v>7</v>
      </c>
      <c r="E2298" t="s">
        <v>8</v>
      </c>
      <c r="F2298">
        <v>5291</v>
      </c>
      <c r="G2298" t="s">
        <v>288</v>
      </c>
      <c r="H2298" s="1">
        <v>586632</v>
      </c>
      <c r="I2298" s="1">
        <v>0</v>
      </c>
      <c r="J2298" s="1">
        <v>586632</v>
      </c>
      <c r="K2298">
        <f>VLOOKUP(F2298,'LEAID Match'!$A$2:$C$2979,3,FALSE)</f>
        <v>2012090</v>
      </c>
    </row>
    <row r="2299" spans="1:11" x14ac:dyDescent="0.2">
      <c r="A2299">
        <v>2012300</v>
      </c>
      <c r="B2299">
        <v>2021</v>
      </c>
      <c r="C2299" t="s">
        <v>6</v>
      </c>
      <c r="D2299" t="s">
        <v>7</v>
      </c>
      <c r="E2299" t="s">
        <v>8</v>
      </c>
      <c r="F2299">
        <v>5292</v>
      </c>
      <c r="G2299" t="s">
        <v>289</v>
      </c>
      <c r="H2299" s="1">
        <v>1587913</v>
      </c>
      <c r="I2299" s="1">
        <v>0</v>
      </c>
      <c r="J2299" s="1">
        <v>1587913</v>
      </c>
      <c r="K2299">
        <f>VLOOKUP(F2299,'LEAID Match'!$A$2:$C$2979,3,FALSE)</f>
        <v>2012300</v>
      </c>
    </row>
    <row r="2300" spans="1:11" x14ac:dyDescent="0.2">
      <c r="A2300">
        <v>2005850</v>
      </c>
      <c r="B2300">
        <v>2021</v>
      </c>
      <c r="C2300" t="s">
        <v>6</v>
      </c>
      <c r="D2300" t="s">
        <v>7</v>
      </c>
      <c r="E2300" t="s">
        <v>8</v>
      </c>
      <c r="F2300">
        <v>5293</v>
      </c>
      <c r="G2300" t="s">
        <v>290</v>
      </c>
      <c r="H2300" s="1">
        <v>378701</v>
      </c>
      <c r="I2300" s="1">
        <v>0</v>
      </c>
      <c r="J2300" s="1">
        <v>378701</v>
      </c>
      <c r="K2300">
        <f>VLOOKUP(F2300,'LEAID Match'!$A$2:$C$2979,3,FALSE)</f>
        <v>2005850</v>
      </c>
    </row>
    <row r="2301" spans="1:11" x14ac:dyDescent="0.2">
      <c r="A2301">
        <v>2011310</v>
      </c>
      <c r="B2301">
        <v>2021</v>
      </c>
      <c r="C2301" t="s">
        <v>6</v>
      </c>
      <c r="D2301" t="s">
        <v>7</v>
      </c>
      <c r="E2301" t="s">
        <v>8</v>
      </c>
      <c r="F2301">
        <v>5294</v>
      </c>
      <c r="G2301" t="s">
        <v>291</v>
      </c>
      <c r="H2301" s="20">
        <v>912493</v>
      </c>
      <c r="I2301" s="1">
        <v>0</v>
      </c>
      <c r="J2301" s="1">
        <v>912493</v>
      </c>
      <c r="K2301">
        <f>VLOOKUP(F2301,'LEAID Match'!$A$2:$C$2979,3,FALSE)</f>
        <v>2011310</v>
      </c>
    </row>
    <row r="2302" spans="1:11" x14ac:dyDescent="0.2">
      <c r="A2302">
        <v>2006570</v>
      </c>
      <c r="B2302">
        <v>2021</v>
      </c>
      <c r="C2302" t="s">
        <v>6</v>
      </c>
      <c r="D2302" t="s">
        <v>7</v>
      </c>
      <c r="E2302" t="s">
        <v>8</v>
      </c>
      <c r="F2302">
        <v>5295</v>
      </c>
      <c r="G2302" t="s">
        <v>292</v>
      </c>
      <c r="H2302" s="1">
        <v>281114</v>
      </c>
      <c r="I2302" s="1">
        <v>0</v>
      </c>
      <c r="J2302" s="1">
        <v>281114</v>
      </c>
      <c r="K2302">
        <f>VLOOKUP(F2302,'LEAID Match'!$A$2:$C$2979,3,FALSE)</f>
        <v>2006570</v>
      </c>
    </row>
    <row r="2303" spans="1:11" x14ac:dyDescent="0.2">
      <c r="A2303">
        <v>2003180</v>
      </c>
      <c r="B2303">
        <v>2021</v>
      </c>
      <c r="C2303" t="s">
        <v>6</v>
      </c>
      <c r="D2303" t="s">
        <v>7</v>
      </c>
      <c r="E2303" t="s">
        <v>8</v>
      </c>
      <c r="F2303">
        <v>5296</v>
      </c>
      <c r="G2303" s="9" t="s">
        <v>293</v>
      </c>
      <c r="H2303" s="1">
        <v>1198611</v>
      </c>
      <c r="I2303" s="1">
        <v>0</v>
      </c>
      <c r="J2303" s="1">
        <v>1198611</v>
      </c>
      <c r="K2303">
        <f>VLOOKUP(F2303,'LEAID Match'!$A$2:$C$2979,3,FALSE)</f>
        <v>2003180</v>
      </c>
    </row>
    <row r="2304" spans="1:11" x14ac:dyDescent="0.2">
      <c r="A2304">
        <v>2009900</v>
      </c>
      <c r="B2304">
        <v>2021</v>
      </c>
      <c r="C2304" t="s">
        <v>6</v>
      </c>
      <c r="D2304" t="s">
        <v>7</v>
      </c>
      <c r="E2304" t="s">
        <v>8</v>
      </c>
      <c r="F2304" s="3">
        <v>5297</v>
      </c>
      <c r="G2304" s="3" t="s">
        <v>294</v>
      </c>
      <c r="H2304" s="22">
        <v>698105</v>
      </c>
      <c r="I2304" s="1">
        <v>0</v>
      </c>
      <c r="J2304" s="1">
        <v>698105</v>
      </c>
      <c r="K2304">
        <f>VLOOKUP(F2304,'LEAID Match'!$A$2:$C$2979,3,FALSE)</f>
        <v>2009900</v>
      </c>
    </row>
    <row r="2305" spans="1:11" x14ac:dyDescent="0.2">
      <c r="A2305">
        <v>2007080</v>
      </c>
      <c r="B2305">
        <v>2021</v>
      </c>
      <c r="C2305" t="s">
        <v>6</v>
      </c>
      <c r="D2305" t="s">
        <v>7</v>
      </c>
      <c r="E2305" t="s">
        <v>8</v>
      </c>
      <c r="F2305" s="3">
        <v>5298</v>
      </c>
      <c r="G2305" s="3" t="s">
        <v>295</v>
      </c>
      <c r="H2305" s="1">
        <v>63692</v>
      </c>
      <c r="I2305" s="21">
        <v>0</v>
      </c>
      <c r="J2305" s="21">
        <v>63692</v>
      </c>
      <c r="K2305">
        <f>VLOOKUP(F2305,'LEAID Match'!$A$2:$C$2979,3,FALSE)</f>
        <v>2007080</v>
      </c>
    </row>
    <row r="2306" spans="1:11" x14ac:dyDescent="0.2">
      <c r="A2306">
        <v>2005520</v>
      </c>
      <c r="B2306">
        <v>2021</v>
      </c>
      <c r="C2306" t="s">
        <v>6</v>
      </c>
      <c r="D2306" t="s">
        <v>7</v>
      </c>
      <c r="E2306" t="s">
        <v>8</v>
      </c>
      <c r="F2306" s="3">
        <v>5299</v>
      </c>
      <c r="G2306" s="3" t="s">
        <v>296</v>
      </c>
      <c r="H2306" s="1">
        <v>221028</v>
      </c>
      <c r="I2306" s="1">
        <v>0</v>
      </c>
      <c r="J2306" s="1">
        <v>221028</v>
      </c>
      <c r="K2306">
        <f>VLOOKUP(F2306,'LEAID Match'!$A$2:$C$2979,3,FALSE)</f>
        <v>2005520</v>
      </c>
    </row>
    <row r="2307" spans="1:11" x14ac:dyDescent="0.2">
      <c r="A2307">
        <v>2006270</v>
      </c>
      <c r="B2307">
        <v>2021</v>
      </c>
      <c r="C2307" t="s">
        <v>6</v>
      </c>
      <c r="D2307" t="s">
        <v>7</v>
      </c>
      <c r="E2307" t="s">
        <v>8</v>
      </c>
      <c r="F2307">
        <v>5300</v>
      </c>
      <c r="G2307" t="s">
        <v>297</v>
      </c>
      <c r="H2307" s="1">
        <v>630212</v>
      </c>
      <c r="I2307" s="1">
        <v>0</v>
      </c>
      <c r="J2307" s="1">
        <v>630212</v>
      </c>
      <c r="K2307">
        <f>VLOOKUP(F2307,'LEAID Match'!$A$2:$C$2979,3,FALSE)</f>
        <v>2006270</v>
      </c>
    </row>
    <row r="2308" spans="1:11" x14ac:dyDescent="0.2">
      <c r="A2308">
        <v>2007020</v>
      </c>
      <c r="B2308">
        <v>2021</v>
      </c>
      <c r="C2308" t="s">
        <v>6</v>
      </c>
      <c r="D2308" t="s">
        <v>7</v>
      </c>
      <c r="E2308" t="s">
        <v>8</v>
      </c>
      <c r="F2308">
        <v>5302</v>
      </c>
      <c r="G2308" t="s">
        <v>298</v>
      </c>
      <c r="H2308" s="1">
        <v>3328551</v>
      </c>
      <c r="I2308" s="1">
        <v>0</v>
      </c>
      <c r="J2308" s="1">
        <v>3328551</v>
      </c>
      <c r="K2308">
        <f>VLOOKUP(F2308,'LEAID Match'!$A$2:$C$2979,3,FALSE)</f>
        <v>2007020</v>
      </c>
    </row>
    <row r="2309" spans="1:11" x14ac:dyDescent="0.2">
      <c r="A2309">
        <v>2005730</v>
      </c>
      <c r="B2309">
        <v>2021</v>
      </c>
      <c r="C2309" t="s">
        <v>6</v>
      </c>
      <c r="D2309" t="s">
        <v>7</v>
      </c>
      <c r="E2309" t="s">
        <v>8</v>
      </c>
      <c r="F2309">
        <v>5303</v>
      </c>
      <c r="G2309" t="s">
        <v>345</v>
      </c>
      <c r="H2309" s="1">
        <v>1655803</v>
      </c>
      <c r="I2309" s="1">
        <v>0</v>
      </c>
      <c r="J2309" s="1">
        <v>1655803</v>
      </c>
      <c r="K2309">
        <f>VLOOKUP(F2309,'LEAID Match'!$A$2:$C$2979,3,FALSE)</f>
        <v>2005730</v>
      </c>
    </row>
    <row r="2310" spans="1:11" x14ac:dyDescent="0.2">
      <c r="A2310">
        <v>2006090</v>
      </c>
      <c r="B2310">
        <v>2021</v>
      </c>
      <c r="C2310" t="s">
        <v>6</v>
      </c>
      <c r="D2310" t="s">
        <v>7</v>
      </c>
      <c r="E2310" t="s">
        <v>8</v>
      </c>
      <c r="F2310">
        <v>5304</v>
      </c>
      <c r="G2310" t="s">
        <v>300</v>
      </c>
      <c r="H2310" s="20">
        <v>1406118</v>
      </c>
      <c r="I2310" s="1">
        <v>0</v>
      </c>
      <c r="J2310" s="1">
        <v>1406118</v>
      </c>
      <c r="K2310">
        <f>VLOOKUP(F2310,'LEAID Match'!$A$2:$C$2979,3,FALSE)</f>
        <v>2006090</v>
      </c>
    </row>
    <row r="2311" spans="1:11" x14ac:dyDescent="0.2">
      <c r="A2311">
        <v>2011220</v>
      </c>
      <c r="B2311">
        <v>2021</v>
      </c>
      <c r="C2311" t="s">
        <v>6</v>
      </c>
      <c r="D2311" t="s">
        <v>7</v>
      </c>
      <c r="E2311" t="s">
        <v>8</v>
      </c>
      <c r="F2311">
        <v>5305</v>
      </c>
      <c r="G2311" t="s">
        <v>301</v>
      </c>
      <c r="H2311" s="1">
        <v>310313</v>
      </c>
      <c r="I2311" s="1">
        <v>0</v>
      </c>
      <c r="J2311" s="1">
        <v>310313</v>
      </c>
      <c r="K2311">
        <f>VLOOKUP(F2311,'LEAID Match'!$A$2:$C$2979,3,FALSE)</f>
        <v>2011220</v>
      </c>
    </row>
    <row r="2312" spans="1:11" x14ac:dyDescent="0.2">
      <c r="A2312">
        <v>2008370</v>
      </c>
      <c r="B2312">
        <v>2021</v>
      </c>
      <c r="C2312" t="s">
        <v>6</v>
      </c>
      <c r="D2312" t="s">
        <v>7</v>
      </c>
      <c r="E2312" t="s">
        <v>8</v>
      </c>
      <c r="F2312">
        <v>5306</v>
      </c>
      <c r="G2312" s="9" t="s">
        <v>302</v>
      </c>
      <c r="H2312" s="1">
        <v>1115486</v>
      </c>
      <c r="I2312" s="1">
        <v>0</v>
      </c>
      <c r="J2312" s="1">
        <v>1115486</v>
      </c>
      <c r="K2312">
        <f>VLOOKUP(F2312,'LEAID Match'!$A$2:$C$2979,3,FALSE)</f>
        <v>2008370</v>
      </c>
    </row>
    <row r="2313" spans="1:11" x14ac:dyDescent="0.2">
      <c r="A2313">
        <v>2011280</v>
      </c>
      <c r="B2313">
        <v>2021</v>
      </c>
      <c r="C2313" t="s">
        <v>6</v>
      </c>
      <c r="D2313" t="s">
        <v>7</v>
      </c>
      <c r="E2313" t="s">
        <v>8</v>
      </c>
      <c r="F2313" s="3">
        <v>5307</v>
      </c>
      <c r="G2313" s="3" t="s">
        <v>303</v>
      </c>
      <c r="H2313" s="22">
        <v>188926</v>
      </c>
      <c r="I2313" s="1">
        <v>0</v>
      </c>
      <c r="J2313" s="1">
        <v>188926</v>
      </c>
      <c r="K2313">
        <f>VLOOKUP(F2313,'LEAID Match'!$A$2:$C$2979,3,FALSE)</f>
        <v>2011280</v>
      </c>
    </row>
    <row r="2314" spans="1:11" x14ac:dyDescent="0.2">
      <c r="A2314">
        <v>2005800</v>
      </c>
      <c r="B2314">
        <v>2021</v>
      </c>
      <c r="C2314" t="s">
        <v>6</v>
      </c>
      <c r="D2314" t="s">
        <v>7</v>
      </c>
      <c r="E2314" t="s">
        <v>8</v>
      </c>
      <c r="F2314" s="3">
        <v>5222</v>
      </c>
      <c r="G2314" s="3" t="s">
        <v>358</v>
      </c>
      <c r="H2314" s="1">
        <v>390770</v>
      </c>
      <c r="I2314" s="21">
        <v>0</v>
      </c>
      <c r="J2314" s="21">
        <v>390770</v>
      </c>
      <c r="K2314">
        <f>VLOOKUP(F2314,'LEAID Match'!$A$2:$C$2979,3,FALSE)</f>
        <v>2005800</v>
      </c>
    </row>
    <row r="2315" spans="1:11" x14ac:dyDescent="0.2">
      <c r="A2315">
        <v>2006360</v>
      </c>
      <c r="B2315">
        <v>2021</v>
      </c>
      <c r="C2315" t="s">
        <v>6</v>
      </c>
      <c r="D2315" t="s">
        <v>7</v>
      </c>
      <c r="E2315" t="s">
        <v>8</v>
      </c>
      <c r="F2315" s="3">
        <v>5309</v>
      </c>
      <c r="G2315" s="3" t="s">
        <v>305</v>
      </c>
      <c r="H2315" s="1">
        <v>751823</v>
      </c>
      <c r="I2315" s="1">
        <v>0</v>
      </c>
      <c r="J2315" s="1">
        <v>751823</v>
      </c>
      <c r="K2315">
        <f>VLOOKUP(F2315,'LEAID Match'!$A$2:$C$2979,3,FALSE)</f>
        <v>2006360</v>
      </c>
    </row>
    <row r="2316" spans="1:11" x14ac:dyDescent="0.2">
      <c r="A2316">
        <v>2008700</v>
      </c>
      <c r="B2316">
        <v>2021</v>
      </c>
      <c r="C2316" t="s">
        <v>6</v>
      </c>
      <c r="D2316" t="s">
        <v>7</v>
      </c>
      <c r="E2316" t="s">
        <v>8</v>
      </c>
      <c r="F2316">
        <v>5310</v>
      </c>
      <c r="G2316" t="s">
        <v>306</v>
      </c>
      <c r="H2316" s="1">
        <v>109396</v>
      </c>
      <c r="I2316" s="1">
        <v>0</v>
      </c>
      <c r="J2316" s="1">
        <v>109396</v>
      </c>
      <c r="K2316">
        <f>VLOOKUP(F2316,'LEAID Match'!$A$2:$C$2979,3,FALSE)</f>
        <v>2008700</v>
      </c>
    </row>
    <row r="2317" spans="1:11" x14ac:dyDescent="0.2">
      <c r="A2317">
        <v>2011490</v>
      </c>
      <c r="B2317">
        <v>2021</v>
      </c>
      <c r="C2317" t="s">
        <v>6</v>
      </c>
      <c r="D2317" t="s">
        <v>7</v>
      </c>
      <c r="E2317" t="s">
        <v>8</v>
      </c>
      <c r="F2317">
        <v>5312</v>
      </c>
      <c r="G2317" t="s">
        <v>307</v>
      </c>
      <c r="H2317" s="1">
        <v>3971583</v>
      </c>
      <c r="I2317" s="1">
        <v>0</v>
      </c>
      <c r="J2317" s="1">
        <v>3971583</v>
      </c>
      <c r="K2317">
        <f>VLOOKUP(F2317,'LEAID Match'!$A$2:$C$2979,3,FALSE)</f>
        <v>2011490</v>
      </c>
    </row>
    <row r="2318" spans="1:11" x14ac:dyDescent="0.2">
      <c r="A2318">
        <v>2011430</v>
      </c>
      <c r="B2318">
        <v>2021</v>
      </c>
      <c r="C2318" t="s">
        <v>6</v>
      </c>
      <c r="D2318" t="s">
        <v>7</v>
      </c>
      <c r="E2318" t="s">
        <v>8</v>
      </c>
      <c r="F2318">
        <v>5313</v>
      </c>
      <c r="G2318" t="s">
        <v>308</v>
      </c>
      <c r="H2318" s="1">
        <v>350052</v>
      </c>
      <c r="I2318" s="1">
        <v>0</v>
      </c>
      <c r="J2318" s="1">
        <v>350052</v>
      </c>
      <c r="K2318">
        <f>VLOOKUP(F2318,'LEAID Match'!$A$2:$C$2979,3,FALSE)</f>
        <v>2011430</v>
      </c>
    </row>
    <row r="2319" spans="1:11" x14ac:dyDescent="0.2">
      <c r="A2319">
        <v>2012260</v>
      </c>
      <c r="B2319">
        <v>2021</v>
      </c>
      <c r="C2319" t="s">
        <v>6</v>
      </c>
      <c r="D2319" t="s">
        <v>7</v>
      </c>
      <c r="E2319" t="s">
        <v>8</v>
      </c>
      <c r="F2319">
        <v>5314</v>
      </c>
      <c r="G2319" t="s">
        <v>309</v>
      </c>
      <c r="H2319" s="20">
        <v>15787891</v>
      </c>
      <c r="I2319" s="1">
        <v>0</v>
      </c>
      <c r="J2319" s="1">
        <v>15787891</v>
      </c>
      <c r="K2319">
        <f>VLOOKUP(F2319,'LEAID Match'!$A$2:$C$2979,3,FALSE)</f>
        <v>2012260</v>
      </c>
    </row>
    <row r="2320" spans="1:11" x14ac:dyDescent="0.2">
      <c r="A2320">
        <v>0</v>
      </c>
      <c r="B2320">
        <v>2021</v>
      </c>
      <c r="C2320" t="s">
        <v>6</v>
      </c>
      <c r="D2320" t="s">
        <v>7</v>
      </c>
      <c r="E2320" t="s">
        <v>8</v>
      </c>
      <c r="F2320">
        <v>5316</v>
      </c>
      <c r="G2320" t="s">
        <v>310</v>
      </c>
      <c r="H2320" s="1">
        <v>368197</v>
      </c>
      <c r="I2320" s="1">
        <v>0</v>
      </c>
      <c r="J2320" s="1">
        <v>368197</v>
      </c>
      <c r="K2320">
        <f>VLOOKUP(F2320,'LEAID Match'!$A$2:$C$2979,3,FALSE)</f>
        <v>0</v>
      </c>
    </row>
    <row r="2321" spans="1:11" x14ac:dyDescent="0.2">
      <c r="A2321">
        <v>0</v>
      </c>
      <c r="B2321">
        <v>2021</v>
      </c>
      <c r="C2321" t="s">
        <v>6</v>
      </c>
      <c r="D2321" t="s">
        <v>7</v>
      </c>
      <c r="E2321" t="s">
        <v>8</v>
      </c>
      <c r="F2321">
        <v>5317</v>
      </c>
      <c r="G2321" s="9" t="s">
        <v>311</v>
      </c>
      <c r="H2321" s="1">
        <v>510568</v>
      </c>
      <c r="I2321" s="1">
        <v>0</v>
      </c>
      <c r="J2321" s="1">
        <v>510568</v>
      </c>
      <c r="K2321">
        <f>VLOOKUP(F2321,'LEAID Match'!$A$2:$C$2979,3,FALSE)</f>
        <v>0</v>
      </c>
    </row>
    <row r="2322" spans="1:11" x14ac:dyDescent="0.2">
      <c r="A2322">
        <v>2004710</v>
      </c>
      <c r="B2322">
        <v>2021</v>
      </c>
      <c r="C2322" t="s">
        <v>6</v>
      </c>
      <c r="D2322" t="s">
        <v>7</v>
      </c>
      <c r="E2322" t="s">
        <v>8</v>
      </c>
      <c r="F2322" s="3">
        <v>5318</v>
      </c>
      <c r="G2322" s="3" t="s">
        <v>312</v>
      </c>
      <c r="H2322" s="22">
        <v>566899</v>
      </c>
      <c r="I2322" s="1">
        <v>0</v>
      </c>
      <c r="J2322" s="1">
        <v>566899</v>
      </c>
      <c r="K2322">
        <f>VLOOKUP(F2322,'LEAID Match'!$A$2:$C$2979,3,FALSE)</f>
        <v>2004710</v>
      </c>
    </row>
    <row r="2323" spans="1:11" x14ac:dyDescent="0.2">
      <c r="A2323">
        <v>2006480</v>
      </c>
      <c r="B2323">
        <v>2021</v>
      </c>
      <c r="C2323" t="s">
        <v>6</v>
      </c>
      <c r="D2323" t="s">
        <v>7</v>
      </c>
      <c r="E2323" t="s">
        <v>8</v>
      </c>
      <c r="F2323" s="3">
        <v>5319</v>
      </c>
      <c r="G2323" s="3" t="s">
        <v>313</v>
      </c>
      <c r="H2323" s="1">
        <v>809599</v>
      </c>
      <c r="I2323" s="21">
        <v>0</v>
      </c>
      <c r="J2323" s="21">
        <v>809599</v>
      </c>
      <c r="K2323">
        <f>VLOOKUP(F2323,'LEAID Match'!$A$2:$C$2979,3,FALSE)</f>
        <v>2006480</v>
      </c>
    </row>
    <row r="2324" spans="1:11" x14ac:dyDescent="0.2">
      <c r="A2324">
        <v>2005310</v>
      </c>
      <c r="B2324">
        <v>2021</v>
      </c>
      <c r="C2324" t="s">
        <v>6</v>
      </c>
      <c r="D2324" t="s">
        <v>7</v>
      </c>
      <c r="E2324" t="s">
        <v>8</v>
      </c>
      <c r="F2324" s="3">
        <v>5320</v>
      </c>
      <c r="G2324" s="3" t="s">
        <v>314</v>
      </c>
      <c r="H2324" s="1">
        <v>213062</v>
      </c>
      <c r="I2324" s="1">
        <v>0</v>
      </c>
      <c r="J2324" s="1">
        <v>213062</v>
      </c>
      <c r="K2324">
        <f>VLOOKUP(F2324,'LEAID Match'!$A$2:$C$2979,3,FALSE)</f>
        <v>2005310</v>
      </c>
    </row>
    <row r="2325" spans="1:11" x14ac:dyDescent="0.2">
      <c r="A2325">
        <v>2012780</v>
      </c>
      <c r="B2325">
        <v>2021</v>
      </c>
      <c r="C2325" t="s">
        <v>6</v>
      </c>
      <c r="D2325" t="s">
        <v>7</v>
      </c>
      <c r="E2325" t="s">
        <v>8</v>
      </c>
      <c r="F2325">
        <v>5321</v>
      </c>
      <c r="G2325" t="s">
        <v>315</v>
      </c>
      <c r="H2325" s="1">
        <v>426728</v>
      </c>
      <c r="I2325" s="1">
        <v>0</v>
      </c>
      <c r="J2325" s="1">
        <v>426728</v>
      </c>
      <c r="K2325">
        <f>VLOOKUP(F2325,'LEAID Match'!$A$2:$C$2979,3,FALSE)</f>
        <v>2012780</v>
      </c>
    </row>
    <row r="2326" spans="1:11" x14ac:dyDescent="0.2">
      <c r="A2326">
        <v>2010350</v>
      </c>
      <c r="B2326">
        <v>2021</v>
      </c>
      <c r="C2326" t="s">
        <v>6</v>
      </c>
      <c r="D2326" t="s">
        <v>7</v>
      </c>
      <c r="E2326" t="s">
        <v>8</v>
      </c>
      <c r="F2326">
        <v>5322</v>
      </c>
      <c r="G2326" t="s">
        <v>316</v>
      </c>
      <c r="H2326" s="1">
        <v>496691</v>
      </c>
      <c r="I2326" s="1">
        <v>0</v>
      </c>
      <c r="J2326" s="1">
        <v>496691</v>
      </c>
      <c r="K2326">
        <f>VLOOKUP(F2326,'LEAID Match'!$A$2:$C$2979,3,FALSE)</f>
        <v>2010350</v>
      </c>
    </row>
    <row r="2327" spans="1:11" x14ac:dyDescent="0.2">
      <c r="A2327">
        <v>2007950</v>
      </c>
      <c r="B2327">
        <v>2021</v>
      </c>
      <c r="C2327" t="s">
        <v>6</v>
      </c>
      <c r="D2327" t="s">
        <v>7</v>
      </c>
      <c r="E2327" t="s">
        <v>8</v>
      </c>
      <c r="F2327">
        <v>5324</v>
      </c>
      <c r="G2327" t="s">
        <v>317</v>
      </c>
      <c r="H2327" s="1">
        <v>24369652</v>
      </c>
      <c r="I2327" s="1">
        <v>0</v>
      </c>
      <c r="J2327" s="1">
        <v>24369652</v>
      </c>
      <c r="K2327">
        <f>VLOOKUP(F2327,'LEAID Match'!$A$2:$C$2979,3,FALSE)</f>
        <v>2007950</v>
      </c>
    </row>
    <row r="2328" spans="1:11" x14ac:dyDescent="0.2">
      <c r="A2328">
        <v>2008670</v>
      </c>
      <c r="B2328">
        <v>2021</v>
      </c>
      <c r="C2328" t="s">
        <v>6</v>
      </c>
      <c r="D2328" t="s">
        <v>7</v>
      </c>
      <c r="E2328" t="s">
        <v>8</v>
      </c>
      <c r="F2328">
        <v>5329</v>
      </c>
      <c r="G2328" t="s">
        <v>318</v>
      </c>
      <c r="H2328" s="20">
        <v>235105</v>
      </c>
      <c r="I2328" s="1">
        <v>0</v>
      </c>
      <c r="J2328" s="1">
        <v>235105</v>
      </c>
      <c r="K2328">
        <f>VLOOKUP(F2328,'LEAID Match'!$A$2:$C$2979,3,FALSE)</f>
        <v>2008670</v>
      </c>
    </row>
    <row r="2329" spans="1:11" x14ac:dyDescent="0.2">
      <c r="A2329">
        <v>2005070</v>
      </c>
      <c r="B2329">
        <v>2021</v>
      </c>
      <c r="C2329" t="s">
        <v>6</v>
      </c>
      <c r="D2329" t="s">
        <v>7</v>
      </c>
      <c r="E2329" t="s">
        <v>8</v>
      </c>
      <c r="F2329">
        <v>5330</v>
      </c>
      <c r="G2329" t="s">
        <v>319</v>
      </c>
      <c r="H2329" s="1">
        <v>918694</v>
      </c>
      <c r="I2329" s="1">
        <v>0</v>
      </c>
      <c r="J2329" s="1">
        <v>918694</v>
      </c>
      <c r="K2329">
        <f>VLOOKUP(F2329,'LEAID Match'!$A$2:$C$2979,3,FALSE)</f>
        <v>2005070</v>
      </c>
    </row>
    <row r="2330" spans="1:11" x14ac:dyDescent="0.2">
      <c r="A2330">
        <v>2010560</v>
      </c>
      <c r="B2330">
        <v>2021</v>
      </c>
      <c r="C2330" t="s">
        <v>6</v>
      </c>
      <c r="D2330" t="s">
        <v>7</v>
      </c>
      <c r="E2330" t="s">
        <v>8</v>
      </c>
      <c r="F2330">
        <v>5331</v>
      </c>
      <c r="G2330" s="9" t="s">
        <v>320</v>
      </c>
      <c r="H2330" s="1">
        <v>1140522</v>
      </c>
      <c r="I2330" s="1">
        <v>0</v>
      </c>
      <c r="J2330" s="1">
        <v>1140522</v>
      </c>
      <c r="K2330">
        <f>VLOOKUP(F2330,'LEAID Match'!$A$2:$C$2979,3,FALSE)</f>
        <v>2010560</v>
      </c>
    </row>
    <row r="2331" spans="1:11" x14ac:dyDescent="0.2">
      <c r="A2331">
        <v>2003300</v>
      </c>
      <c r="B2331">
        <v>2021</v>
      </c>
      <c r="C2331" t="s">
        <v>6</v>
      </c>
      <c r="D2331" t="s">
        <v>7</v>
      </c>
      <c r="E2331" t="s">
        <v>8</v>
      </c>
      <c r="F2331" s="3">
        <v>5332</v>
      </c>
      <c r="G2331" s="3" t="s">
        <v>321</v>
      </c>
      <c r="H2331" s="22">
        <v>1306174</v>
      </c>
      <c r="I2331" s="1">
        <v>0</v>
      </c>
      <c r="J2331" s="1">
        <v>1306174</v>
      </c>
      <c r="K2331">
        <f>VLOOKUP(F2331,'LEAID Match'!$A$2:$C$2979,3,FALSE)</f>
        <v>2003300</v>
      </c>
    </row>
    <row r="2332" spans="1:11" x14ac:dyDescent="0.2">
      <c r="A2332">
        <v>2004770</v>
      </c>
      <c r="B2332">
        <v>2021</v>
      </c>
      <c r="C2332" t="s">
        <v>6</v>
      </c>
      <c r="D2332" t="s">
        <v>7</v>
      </c>
      <c r="E2332" t="s">
        <v>8</v>
      </c>
      <c r="F2332" s="3">
        <v>5333</v>
      </c>
      <c r="G2332" s="3" t="s">
        <v>322</v>
      </c>
      <c r="H2332" s="1">
        <v>428614</v>
      </c>
      <c r="I2332" s="21">
        <v>0</v>
      </c>
      <c r="J2332" s="21">
        <v>428614</v>
      </c>
      <c r="K2332">
        <f>VLOOKUP(F2332,'LEAID Match'!$A$2:$C$2979,3,FALSE)</f>
        <v>2004770</v>
      </c>
    </row>
    <row r="2333" spans="1:11" x14ac:dyDescent="0.2">
      <c r="A2333">
        <v>2006330</v>
      </c>
      <c r="B2333">
        <v>2021</v>
      </c>
      <c r="C2333" t="s">
        <v>6</v>
      </c>
      <c r="D2333" t="s">
        <v>7</v>
      </c>
      <c r="E2333" t="s">
        <v>8</v>
      </c>
      <c r="F2333" s="3">
        <v>5337</v>
      </c>
      <c r="G2333" s="3" t="s">
        <v>323</v>
      </c>
      <c r="H2333" s="1">
        <v>1839985</v>
      </c>
      <c r="I2333" s="1">
        <v>0</v>
      </c>
      <c r="J2333" s="1">
        <v>1839985</v>
      </c>
      <c r="K2333">
        <f>VLOOKUP(F2333,'LEAID Match'!$A$2:$C$2979,3,FALSE)</f>
        <v>2006330</v>
      </c>
    </row>
    <row r="2334" spans="1:11" x14ac:dyDescent="0.2">
      <c r="A2334">
        <v>2003810</v>
      </c>
      <c r="B2334">
        <v>2021</v>
      </c>
      <c r="C2334" t="s">
        <v>6</v>
      </c>
      <c r="D2334" t="s">
        <v>7</v>
      </c>
      <c r="E2334" t="s">
        <v>8</v>
      </c>
      <c r="F2334">
        <v>5366</v>
      </c>
      <c r="G2334" t="s">
        <v>324</v>
      </c>
      <c r="H2334" s="1">
        <v>857271</v>
      </c>
      <c r="I2334" s="1">
        <v>0</v>
      </c>
      <c r="J2334" s="1">
        <v>857271</v>
      </c>
      <c r="K2334">
        <f>VLOOKUP(F2334,'LEAID Match'!$A$2:$C$2979,3,FALSE)</f>
        <v>2003810</v>
      </c>
    </row>
    <row r="2335" spans="1:11" x14ac:dyDescent="0.2">
      <c r="A2335">
        <v>2011400</v>
      </c>
      <c r="B2335">
        <v>2021</v>
      </c>
      <c r="C2335" t="s">
        <v>6</v>
      </c>
      <c r="D2335" t="s">
        <v>7</v>
      </c>
      <c r="E2335" t="s">
        <v>8</v>
      </c>
      <c r="F2335">
        <v>5367</v>
      </c>
      <c r="G2335" t="s">
        <v>325</v>
      </c>
      <c r="H2335" s="1">
        <v>329408</v>
      </c>
      <c r="I2335" s="1">
        <v>0</v>
      </c>
      <c r="J2335" s="1">
        <v>329408</v>
      </c>
      <c r="K2335">
        <f>VLOOKUP(F2335,'LEAID Match'!$A$2:$C$2979,3,FALSE)</f>
        <v>2011400</v>
      </c>
    </row>
    <row r="2336" spans="1:11" x14ac:dyDescent="0.2">
      <c r="A2336">
        <v>0</v>
      </c>
      <c r="B2336">
        <v>2021</v>
      </c>
      <c r="C2336" t="s">
        <v>6</v>
      </c>
      <c r="D2336" t="s">
        <v>7</v>
      </c>
      <c r="E2336" t="s">
        <v>8</v>
      </c>
      <c r="F2336">
        <v>5368</v>
      </c>
      <c r="G2336" t="s">
        <v>326</v>
      </c>
      <c r="H2336" s="1">
        <v>453955</v>
      </c>
      <c r="I2336" s="1">
        <v>0</v>
      </c>
      <c r="J2336" s="1">
        <v>453955</v>
      </c>
      <c r="K2336">
        <f>VLOOKUP(F2336,'LEAID Match'!$A$2:$C$2979,3,FALSE)</f>
        <v>0</v>
      </c>
    </row>
    <row r="2337" spans="1:11" x14ac:dyDescent="0.2">
      <c r="A2337">
        <v>2003570</v>
      </c>
      <c r="B2337">
        <v>2021</v>
      </c>
      <c r="C2337" t="s">
        <v>6</v>
      </c>
      <c r="D2337" t="s">
        <v>7</v>
      </c>
      <c r="E2337" t="s">
        <v>8</v>
      </c>
      <c r="F2337">
        <v>5405</v>
      </c>
      <c r="G2337" t="s">
        <v>327</v>
      </c>
      <c r="H2337" s="20">
        <v>207375</v>
      </c>
      <c r="I2337" s="1">
        <v>0</v>
      </c>
      <c r="J2337" s="1">
        <v>207375</v>
      </c>
      <c r="K2337">
        <f>VLOOKUP(F2337,'LEAID Match'!$A$2:$C$2979,3,FALSE)</f>
        <v>2003570</v>
      </c>
    </row>
    <row r="2338" spans="1:11" x14ac:dyDescent="0.2">
      <c r="A2338">
        <v>2006690</v>
      </c>
      <c r="B2338">
        <v>2021</v>
      </c>
      <c r="C2338" t="s">
        <v>6</v>
      </c>
      <c r="D2338" t="s">
        <v>7</v>
      </c>
      <c r="E2338" t="s">
        <v>8</v>
      </c>
      <c r="F2338">
        <v>5409</v>
      </c>
      <c r="G2338" t="s">
        <v>328</v>
      </c>
      <c r="H2338" s="1">
        <v>230212</v>
      </c>
      <c r="I2338" s="1">
        <v>0</v>
      </c>
      <c r="J2338" s="1">
        <v>230212</v>
      </c>
      <c r="K2338">
        <f>VLOOKUP(F2338,'LEAID Match'!$A$2:$C$2979,3,FALSE)</f>
        <v>2006690</v>
      </c>
    </row>
    <row r="2339" spans="1:11" x14ac:dyDescent="0.2">
      <c r="A2339">
        <v>2011790</v>
      </c>
      <c r="B2339">
        <v>2021</v>
      </c>
      <c r="C2339" t="s">
        <v>6</v>
      </c>
      <c r="D2339" t="s">
        <v>7</v>
      </c>
      <c r="E2339" t="s">
        <v>8</v>
      </c>
      <c r="F2339">
        <v>5410</v>
      </c>
      <c r="G2339" s="9" t="s">
        <v>329</v>
      </c>
      <c r="H2339" s="1">
        <v>223525</v>
      </c>
      <c r="I2339" s="1">
        <v>0</v>
      </c>
      <c r="J2339" s="1">
        <v>223525</v>
      </c>
      <c r="K2339">
        <f>VLOOKUP(F2339,'LEAID Match'!$A$2:$C$2979,3,FALSE)</f>
        <v>2011790</v>
      </c>
    </row>
    <row r="2340" spans="1:11" x14ac:dyDescent="0.2">
      <c r="A2340">
        <v>2011640</v>
      </c>
      <c r="B2340">
        <v>2021</v>
      </c>
      <c r="C2340" t="s">
        <v>6</v>
      </c>
      <c r="D2340" t="s">
        <v>7</v>
      </c>
      <c r="E2340" t="s">
        <v>8</v>
      </c>
      <c r="F2340" s="3">
        <v>5430</v>
      </c>
      <c r="G2340" s="3" t="s">
        <v>330</v>
      </c>
      <c r="H2340" s="22">
        <v>25273479</v>
      </c>
      <c r="I2340" s="1">
        <v>0</v>
      </c>
      <c r="J2340" s="1">
        <v>25273479</v>
      </c>
      <c r="K2340">
        <f>VLOOKUP(F2340,'LEAID Match'!$A$2:$C$2979,3,FALSE)</f>
        <v>2011640</v>
      </c>
    </row>
    <row r="2341" spans="1:11" x14ac:dyDescent="0.2">
      <c r="A2341">
        <v>2004800</v>
      </c>
      <c r="B2341">
        <v>2021</v>
      </c>
      <c r="C2341" t="s">
        <v>6</v>
      </c>
      <c r="D2341" t="s">
        <v>7</v>
      </c>
      <c r="E2341" t="s">
        <v>8</v>
      </c>
      <c r="F2341" s="3">
        <v>5436</v>
      </c>
      <c r="G2341" s="3" t="s">
        <v>331</v>
      </c>
      <c r="H2341" s="1">
        <v>705575</v>
      </c>
      <c r="I2341" s="21">
        <v>0</v>
      </c>
      <c r="J2341" s="21">
        <v>705575</v>
      </c>
      <c r="K2341">
        <f>VLOOKUP(F2341,'LEAID Match'!$A$2:$C$2979,3,FALSE)</f>
        <v>2004800</v>
      </c>
    </row>
    <row r="2342" spans="1:11" x14ac:dyDescent="0.2">
      <c r="A2342">
        <v>2004790</v>
      </c>
      <c r="B2342">
        <v>2021</v>
      </c>
      <c r="C2342" t="s">
        <v>6</v>
      </c>
      <c r="D2342" t="s">
        <v>7</v>
      </c>
      <c r="E2342" t="s">
        <v>8</v>
      </c>
      <c r="F2342" s="3">
        <v>5590</v>
      </c>
      <c r="G2342" s="3" t="s">
        <v>332</v>
      </c>
      <c r="H2342" s="1">
        <v>140842</v>
      </c>
      <c r="I2342" s="1">
        <v>0</v>
      </c>
      <c r="J2342" s="1">
        <v>140842</v>
      </c>
      <c r="K2342">
        <f>VLOOKUP(F2342,'LEAID Match'!$A$2:$C$2979,3,FALSE)</f>
        <v>2004790</v>
      </c>
    </row>
    <row r="2343" spans="1:11" x14ac:dyDescent="0.2">
      <c r="A2343">
        <v>0</v>
      </c>
      <c r="B2343">
        <v>2021</v>
      </c>
      <c r="C2343" t="s">
        <v>6</v>
      </c>
      <c r="D2343" t="s">
        <v>7</v>
      </c>
      <c r="E2343" t="s">
        <v>8</v>
      </c>
      <c r="F2343">
        <v>5696</v>
      </c>
      <c r="G2343" t="s">
        <v>333</v>
      </c>
      <c r="H2343" s="1">
        <v>247170</v>
      </c>
      <c r="I2343" s="1">
        <v>0</v>
      </c>
      <c r="J2343" s="1">
        <v>247170</v>
      </c>
      <c r="K2343">
        <f>VLOOKUP(F2343,'LEAID Match'!$A$2:$C$2979,3,FALSE)</f>
        <v>0</v>
      </c>
    </row>
    <row r="2344" spans="1:11" x14ac:dyDescent="0.2">
      <c r="A2344">
        <v>2000023</v>
      </c>
      <c r="B2344">
        <v>2021</v>
      </c>
      <c r="C2344" t="s">
        <v>6</v>
      </c>
      <c r="D2344" t="s">
        <v>7</v>
      </c>
      <c r="E2344" t="s">
        <v>8</v>
      </c>
      <c r="F2344">
        <v>9291</v>
      </c>
      <c r="G2344" t="s">
        <v>334</v>
      </c>
      <c r="H2344" s="1">
        <v>371583</v>
      </c>
      <c r="I2344" s="1">
        <v>0</v>
      </c>
      <c r="J2344" s="1">
        <v>371583</v>
      </c>
      <c r="K2344">
        <f>VLOOKUP(F2344,'LEAID Match'!$A$2:$C$2979,3,FALSE)</f>
        <v>2000023</v>
      </c>
    </row>
    <row r="2345" spans="1:11" x14ac:dyDescent="0.2">
      <c r="A2345">
        <v>2000020</v>
      </c>
      <c r="B2345">
        <v>2021</v>
      </c>
      <c r="C2345" t="s">
        <v>6</v>
      </c>
      <c r="D2345" t="s">
        <v>7</v>
      </c>
      <c r="E2345" t="s">
        <v>8</v>
      </c>
      <c r="F2345">
        <v>9302</v>
      </c>
      <c r="G2345" t="s">
        <v>335</v>
      </c>
      <c r="H2345" s="1">
        <v>162930</v>
      </c>
      <c r="I2345" s="1">
        <v>0</v>
      </c>
      <c r="J2345" s="1">
        <v>162930</v>
      </c>
      <c r="K2345">
        <f>VLOOKUP(F2345,'LEAID Match'!$A$2:$C$2979,3,FALSE)</f>
        <v>2000020</v>
      </c>
    </row>
    <row r="2346" spans="1:11" x14ac:dyDescent="0.2">
      <c r="A2346">
        <v>2000029</v>
      </c>
      <c r="B2346">
        <v>2021</v>
      </c>
      <c r="C2346" t="s">
        <v>6</v>
      </c>
      <c r="D2346" t="s">
        <v>7</v>
      </c>
      <c r="E2346" t="s">
        <v>8</v>
      </c>
      <c r="F2346">
        <v>9332</v>
      </c>
      <c r="G2346" t="s">
        <v>336</v>
      </c>
      <c r="H2346" s="20">
        <v>315344</v>
      </c>
      <c r="I2346" s="1">
        <v>0</v>
      </c>
      <c r="J2346" s="1">
        <v>315344</v>
      </c>
      <c r="K2346">
        <f>VLOOKUP(F2346,'LEAID Match'!$A$2:$C$2979,3,FALSE)</f>
        <v>2000029</v>
      </c>
    </row>
    <row r="2347" spans="1:11" x14ac:dyDescent="0.2">
      <c r="A2347">
        <v>2000028</v>
      </c>
      <c r="B2347">
        <v>2021</v>
      </c>
      <c r="C2347" t="s">
        <v>6</v>
      </c>
      <c r="D2347" t="s">
        <v>7</v>
      </c>
      <c r="E2347" t="s">
        <v>8</v>
      </c>
      <c r="F2347">
        <v>9333</v>
      </c>
      <c r="G2347" t="s">
        <v>337</v>
      </c>
      <c r="H2347" s="1">
        <v>357036</v>
      </c>
      <c r="I2347" s="1">
        <v>0</v>
      </c>
      <c r="J2347" s="1">
        <v>357036</v>
      </c>
      <c r="K2347">
        <f>VLOOKUP(F2347,'LEAID Match'!$A$2:$C$2979,3,FALSE)</f>
        <v>2000028</v>
      </c>
    </row>
    <row r="2348" spans="1:11" x14ac:dyDescent="0.2">
      <c r="A2348">
        <v>2000030</v>
      </c>
      <c r="B2348">
        <v>2021</v>
      </c>
      <c r="C2348" t="s">
        <v>6</v>
      </c>
      <c r="D2348" t="s">
        <v>7</v>
      </c>
      <c r="E2348" t="s">
        <v>8</v>
      </c>
      <c r="F2348">
        <v>9335</v>
      </c>
      <c r="G2348" s="9" t="s">
        <v>338</v>
      </c>
      <c r="H2348" s="1">
        <v>461961</v>
      </c>
      <c r="I2348" s="1">
        <v>0</v>
      </c>
      <c r="J2348" s="1">
        <v>461961</v>
      </c>
      <c r="K2348">
        <f>VLOOKUP(F2348,'LEAID Match'!$A$2:$C$2979,3,FALSE)</f>
        <v>2000030</v>
      </c>
    </row>
    <row r="2349" spans="1:11" x14ac:dyDescent="0.2">
      <c r="A2349">
        <v>2000346</v>
      </c>
      <c r="B2349">
        <v>2021</v>
      </c>
      <c r="C2349" t="s">
        <v>6</v>
      </c>
      <c r="D2349" t="s">
        <v>7</v>
      </c>
      <c r="E2349" t="s">
        <v>8</v>
      </c>
      <c r="F2349" s="3">
        <v>9389</v>
      </c>
      <c r="G2349" s="3" t="s">
        <v>339</v>
      </c>
      <c r="H2349" s="22">
        <v>256776</v>
      </c>
      <c r="I2349" s="1">
        <v>0</v>
      </c>
      <c r="J2349" s="1">
        <v>256776</v>
      </c>
      <c r="K2349">
        <f>VLOOKUP(F2349,'LEAID Match'!$A$2:$C$2979,3,FALSE)</f>
        <v>2000346</v>
      </c>
    </row>
    <row r="2350" spans="1:11" x14ac:dyDescent="0.2">
      <c r="A2350">
        <v>2000348</v>
      </c>
      <c r="B2350">
        <v>2021</v>
      </c>
      <c r="C2350" t="s">
        <v>6</v>
      </c>
      <c r="D2350" t="s">
        <v>7</v>
      </c>
      <c r="E2350" t="s">
        <v>8</v>
      </c>
      <c r="F2350" s="3">
        <v>9410</v>
      </c>
      <c r="G2350" s="3" t="s">
        <v>340</v>
      </c>
      <c r="H2350" s="1">
        <v>370091</v>
      </c>
      <c r="I2350" s="21">
        <v>0</v>
      </c>
      <c r="J2350" s="21">
        <v>370091</v>
      </c>
      <c r="K2350">
        <f>VLOOKUP(F2350,'LEAID Match'!$A$2:$C$2979,3,FALSE)</f>
        <v>2000348</v>
      </c>
    </row>
    <row r="2351" spans="1:11" x14ac:dyDescent="0.2">
      <c r="A2351">
        <v>2000351</v>
      </c>
      <c r="B2351">
        <v>2021</v>
      </c>
      <c r="C2351" t="s">
        <v>6</v>
      </c>
      <c r="D2351" t="s">
        <v>7</v>
      </c>
      <c r="E2351" t="s">
        <v>8</v>
      </c>
      <c r="F2351" s="3">
        <v>9444</v>
      </c>
      <c r="G2351" s="3" t="s">
        <v>341</v>
      </c>
      <c r="H2351" s="1">
        <v>552283</v>
      </c>
      <c r="I2351" s="1">
        <v>0</v>
      </c>
      <c r="J2351" s="1">
        <v>552283</v>
      </c>
      <c r="K2351">
        <f>VLOOKUP(F2351,'LEAID Match'!$A$2:$C$2979,3,FALSE)</f>
        <v>2000351</v>
      </c>
    </row>
    <row r="2352" spans="1:11" x14ac:dyDescent="0.2">
      <c r="A2352">
        <v>2000349</v>
      </c>
      <c r="B2352">
        <v>2021</v>
      </c>
      <c r="C2352" t="s">
        <v>6</v>
      </c>
      <c r="D2352" t="s">
        <v>7</v>
      </c>
      <c r="E2352" t="s">
        <v>8</v>
      </c>
      <c r="F2352">
        <v>9445</v>
      </c>
      <c r="G2352" t="s">
        <v>342</v>
      </c>
      <c r="H2352" s="1">
        <v>534773</v>
      </c>
      <c r="I2352" s="1">
        <v>0</v>
      </c>
      <c r="J2352" s="1">
        <v>534773</v>
      </c>
      <c r="K2352">
        <f>VLOOKUP(F2352,'LEAID Match'!$A$2:$C$2979,3,FALSE)</f>
        <v>2000349</v>
      </c>
    </row>
    <row r="2353" spans="1:11" x14ac:dyDescent="0.2">
      <c r="A2353">
        <v>2000350</v>
      </c>
      <c r="B2353">
        <v>2021</v>
      </c>
      <c r="C2353" t="s">
        <v>6</v>
      </c>
      <c r="D2353" t="s">
        <v>7</v>
      </c>
      <c r="E2353" t="s">
        <v>8</v>
      </c>
      <c r="F2353">
        <v>9446</v>
      </c>
      <c r="G2353" t="s">
        <v>343</v>
      </c>
      <c r="H2353" s="1">
        <v>1000795</v>
      </c>
      <c r="I2353" s="1">
        <v>0</v>
      </c>
      <c r="J2353" s="1">
        <v>1000795</v>
      </c>
      <c r="K2353">
        <f>VLOOKUP(F2353,'LEAID Match'!$A$2:$C$2979,3,FALSE)</f>
        <v>2000350</v>
      </c>
    </row>
    <row r="2354" spans="1:11" x14ac:dyDescent="0.2">
      <c r="A2354">
        <v>2000353</v>
      </c>
      <c r="B2354">
        <v>2021</v>
      </c>
      <c r="C2354" t="s">
        <v>6</v>
      </c>
      <c r="D2354" t="s">
        <v>7</v>
      </c>
      <c r="E2354" t="s">
        <v>8</v>
      </c>
      <c r="F2354">
        <v>9461</v>
      </c>
      <c r="G2354" t="s">
        <v>344</v>
      </c>
      <c r="H2354" s="1">
        <v>723689</v>
      </c>
      <c r="I2354" s="1">
        <v>0</v>
      </c>
      <c r="J2354" s="1">
        <v>723689</v>
      </c>
      <c r="K2354">
        <f>VLOOKUP(F2354,'LEAID Match'!$A$2:$C$2979,3,FALSE)</f>
        <v>2000353</v>
      </c>
    </row>
    <row r="2355" spans="1:11" x14ac:dyDescent="0.2">
      <c r="A2355">
        <v>2008400</v>
      </c>
      <c r="B2355">
        <v>2021</v>
      </c>
      <c r="C2355" t="s">
        <v>6</v>
      </c>
      <c r="D2355" t="s">
        <v>7</v>
      </c>
      <c r="E2355" t="s">
        <v>8</v>
      </c>
      <c r="F2355">
        <v>5308</v>
      </c>
      <c r="G2355" t="s">
        <v>304</v>
      </c>
      <c r="H2355" s="20">
        <v>10768118</v>
      </c>
      <c r="I2355" s="1">
        <v>0</v>
      </c>
      <c r="J2355" s="1">
        <v>10768118</v>
      </c>
      <c r="K2355">
        <f>VLOOKUP(F2355,'LEAID Match'!$A$2:$C$2979,3,FALSE)</f>
        <v>2008400</v>
      </c>
    </row>
    <row r="2356" spans="1:11" x14ac:dyDescent="0.2">
      <c r="A2356">
        <v>0</v>
      </c>
      <c r="B2356">
        <v>2022</v>
      </c>
      <c r="C2356" t="s">
        <v>6</v>
      </c>
      <c r="D2356" t="s">
        <v>7</v>
      </c>
      <c r="E2356" t="s">
        <v>8</v>
      </c>
      <c r="F2356">
        <v>4931</v>
      </c>
      <c r="G2356" t="s">
        <v>10</v>
      </c>
      <c r="H2356" s="1">
        <v>3600</v>
      </c>
      <c r="I2356" s="1">
        <v>434602.14261879463</v>
      </c>
      <c r="J2356" s="1">
        <v>438202.14261879463</v>
      </c>
      <c r="K2356">
        <f>VLOOKUP(F2356,'LEAID Match'!$A$2:$C$2979,3,FALSE)</f>
        <v>0</v>
      </c>
    </row>
    <row r="2357" spans="1:11" x14ac:dyDescent="0.2">
      <c r="A2357">
        <v>0</v>
      </c>
      <c r="B2357">
        <v>2022</v>
      </c>
      <c r="C2357" t="s">
        <v>6</v>
      </c>
      <c r="D2357" t="s">
        <v>7</v>
      </c>
      <c r="E2357" t="s">
        <v>8</v>
      </c>
      <c r="F2357">
        <v>5045</v>
      </c>
      <c r="G2357" s="9" t="s">
        <v>11</v>
      </c>
      <c r="H2357" s="1"/>
      <c r="I2357" s="1">
        <v>680576.44090529333</v>
      </c>
      <c r="J2357" s="1">
        <v>680576.44090529333</v>
      </c>
      <c r="K2357">
        <f>VLOOKUP(F2357,'LEAID Match'!$A$2:$C$2979,3,FALSE)</f>
        <v>0</v>
      </c>
    </row>
    <row r="2358" spans="1:11" x14ac:dyDescent="0.2">
      <c r="A2358">
        <v>0</v>
      </c>
      <c r="B2358">
        <v>2022</v>
      </c>
      <c r="C2358" t="s">
        <v>6</v>
      </c>
      <c r="D2358" t="s">
        <v>7</v>
      </c>
      <c r="E2358" t="s">
        <v>8</v>
      </c>
      <c r="F2358" s="3">
        <v>5046</v>
      </c>
      <c r="G2358" s="3" t="s">
        <v>12</v>
      </c>
      <c r="H2358" s="22">
        <v>16820</v>
      </c>
      <c r="I2358" s="1">
        <v>917957.63995216985</v>
      </c>
      <c r="J2358" s="1">
        <v>934777.63995216985</v>
      </c>
      <c r="K2358">
        <f>VLOOKUP(F2358,'LEAID Match'!$A$2:$C$2979,3,FALSE)</f>
        <v>0</v>
      </c>
    </row>
    <row r="2359" spans="1:11" x14ac:dyDescent="0.2">
      <c r="A2359">
        <v>0</v>
      </c>
      <c r="B2359">
        <v>2022</v>
      </c>
      <c r="C2359" t="s">
        <v>6</v>
      </c>
      <c r="D2359" t="s">
        <v>7</v>
      </c>
      <c r="E2359" t="s">
        <v>8</v>
      </c>
      <c r="F2359" s="3">
        <v>5047</v>
      </c>
      <c r="G2359" s="3" t="s">
        <v>13</v>
      </c>
      <c r="H2359" s="1">
        <v>10020</v>
      </c>
      <c r="I2359" s="21">
        <v>1474639.9237545764</v>
      </c>
      <c r="J2359" s="21">
        <v>1484659.9237545764</v>
      </c>
      <c r="K2359">
        <f>VLOOKUP(F2359,'LEAID Match'!$A$2:$C$2979,3,FALSE)</f>
        <v>0</v>
      </c>
    </row>
    <row r="2360" spans="1:11" x14ac:dyDescent="0.2">
      <c r="A2360">
        <v>0</v>
      </c>
      <c r="B2360">
        <v>2022</v>
      </c>
      <c r="C2360" t="s">
        <v>6</v>
      </c>
      <c r="D2360" t="s">
        <v>7</v>
      </c>
      <c r="E2360" t="s">
        <v>8</v>
      </c>
      <c r="F2360" s="3">
        <v>5048</v>
      </c>
      <c r="G2360" s="3" t="s">
        <v>14</v>
      </c>
      <c r="H2360" s="1">
        <v>58388</v>
      </c>
      <c r="I2360" s="1">
        <v>2997347.5429609013</v>
      </c>
      <c r="J2360" s="1">
        <v>3055735.5429609013</v>
      </c>
      <c r="K2360">
        <f>VLOOKUP(F2360,'LEAID Match'!$A$2:$C$2979,3,FALSE)</f>
        <v>0</v>
      </c>
    </row>
    <row r="2361" spans="1:11" x14ac:dyDescent="0.2">
      <c r="A2361">
        <v>0</v>
      </c>
      <c r="B2361">
        <v>2022</v>
      </c>
      <c r="C2361" t="s">
        <v>6</v>
      </c>
      <c r="D2361" t="s">
        <v>7</v>
      </c>
      <c r="E2361" t="s">
        <v>8</v>
      </c>
      <c r="F2361">
        <v>5049</v>
      </c>
      <c r="G2361" t="s">
        <v>15</v>
      </c>
      <c r="H2361" s="1">
        <v>103306</v>
      </c>
      <c r="I2361" s="1">
        <v>4281564.9837908996</v>
      </c>
      <c r="J2361" s="1">
        <v>4384870.9837908996</v>
      </c>
      <c r="K2361">
        <f>VLOOKUP(F2361,'LEAID Match'!$A$2:$C$2979,3,FALSE)</f>
        <v>0</v>
      </c>
    </row>
    <row r="2362" spans="1:11" x14ac:dyDescent="0.2">
      <c r="A2362">
        <v>0</v>
      </c>
      <c r="B2362">
        <v>2022</v>
      </c>
      <c r="C2362" t="s">
        <v>6</v>
      </c>
      <c r="D2362" t="s">
        <v>7</v>
      </c>
      <c r="E2362" t="s">
        <v>8</v>
      </c>
      <c r="F2362">
        <v>5050</v>
      </c>
      <c r="G2362" t="s">
        <v>16</v>
      </c>
      <c r="H2362" s="1">
        <v>10261</v>
      </c>
      <c r="I2362" s="1">
        <v>1020536.7373626725</v>
      </c>
      <c r="J2362" s="1">
        <v>1030797.7373626725</v>
      </c>
      <c r="K2362">
        <f>VLOOKUP(F2362,'LEAID Match'!$A$2:$C$2979,3,FALSE)</f>
        <v>0</v>
      </c>
    </row>
    <row r="2363" spans="1:11" x14ac:dyDescent="0.2">
      <c r="A2363">
        <v>0</v>
      </c>
      <c r="B2363">
        <v>2022</v>
      </c>
      <c r="C2363" t="s">
        <v>6</v>
      </c>
      <c r="D2363" t="s">
        <v>7</v>
      </c>
      <c r="E2363" t="s">
        <v>8</v>
      </c>
      <c r="F2363">
        <v>5107</v>
      </c>
      <c r="G2363" t="s">
        <v>17</v>
      </c>
      <c r="H2363" s="1">
        <v>30052</v>
      </c>
      <c r="I2363" s="1">
        <v>1635252.6249457283</v>
      </c>
      <c r="J2363" s="1">
        <v>1665304.6249457283</v>
      </c>
      <c r="K2363">
        <f>VLOOKUP(F2363,'LEAID Match'!$A$2:$C$2979,3,FALSE)</f>
        <v>0</v>
      </c>
    </row>
    <row r="2364" spans="1:11" x14ac:dyDescent="0.2">
      <c r="A2364">
        <v>0</v>
      </c>
      <c r="B2364">
        <v>2022</v>
      </c>
      <c r="C2364" t="s">
        <v>6</v>
      </c>
      <c r="D2364" t="s">
        <v>7</v>
      </c>
      <c r="E2364" t="s">
        <v>8</v>
      </c>
      <c r="F2364">
        <v>5108</v>
      </c>
      <c r="G2364" t="s">
        <v>18</v>
      </c>
      <c r="H2364" s="20">
        <v>26854</v>
      </c>
      <c r="I2364" s="1">
        <v>2134604.8509936957</v>
      </c>
      <c r="J2364" s="1">
        <v>2161458.8509936957</v>
      </c>
      <c r="K2364">
        <f>VLOOKUP(F2364,'LEAID Match'!$A$2:$C$2979,3,FALSE)</f>
        <v>0</v>
      </c>
    </row>
    <row r="2365" spans="1:11" x14ac:dyDescent="0.2">
      <c r="A2365">
        <v>0</v>
      </c>
      <c r="B2365">
        <v>2022</v>
      </c>
      <c r="C2365" t="s">
        <v>6</v>
      </c>
      <c r="D2365" t="s">
        <v>7</v>
      </c>
      <c r="E2365" t="s">
        <v>8</v>
      </c>
      <c r="F2365">
        <v>5109</v>
      </c>
      <c r="G2365" t="s">
        <v>19</v>
      </c>
      <c r="H2365" s="1">
        <v>30835</v>
      </c>
      <c r="I2365" s="1">
        <v>3446636.2088768333</v>
      </c>
      <c r="J2365" s="1">
        <v>3477471.2088768333</v>
      </c>
      <c r="K2365">
        <f>VLOOKUP(F2365,'LEAID Match'!$A$2:$C$2979,3,FALSE)</f>
        <v>0</v>
      </c>
    </row>
    <row r="2366" spans="1:11" x14ac:dyDescent="0.2">
      <c r="A2366">
        <v>0</v>
      </c>
      <c r="B2366">
        <v>2022</v>
      </c>
      <c r="C2366" t="s">
        <v>6</v>
      </c>
      <c r="D2366" t="s">
        <v>7</v>
      </c>
      <c r="E2366" t="s">
        <v>8</v>
      </c>
      <c r="F2366">
        <v>5110</v>
      </c>
      <c r="G2366" s="9" t="s">
        <v>20</v>
      </c>
      <c r="H2366" s="1">
        <v>26235</v>
      </c>
      <c r="I2366" s="1">
        <v>695923.28388380981</v>
      </c>
      <c r="J2366" s="1">
        <v>722158.28388380981</v>
      </c>
      <c r="K2366">
        <f>VLOOKUP(F2366,'LEAID Match'!$A$2:$C$2979,3,FALSE)</f>
        <v>0</v>
      </c>
    </row>
    <row r="2367" spans="1:11" x14ac:dyDescent="0.2">
      <c r="A2367">
        <v>0</v>
      </c>
      <c r="B2367">
        <v>2022</v>
      </c>
      <c r="C2367" t="s">
        <v>6</v>
      </c>
      <c r="D2367" t="s">
        <v>7</v>
      </c>
      <c r="E2367" t="s">
        <v>8</v>
      </c>
      <c r="F2367" s="3">
        <v>5111</v>
      </c>
      <c r="G2367" s="3" t="s">
        <v>21</v>
      </c>
      <c r="H2367" s="22">
        <v>10748</v>
      </c>
      <c r="I2367" s="1">
        <v>716956.62705298699</v>
      </c>
      <c r="J2367" s="1">
        <v>727704.62705298699</v>
      </c>
      <c r="K2367">
        <f>VLOOKUP(F2367,'LEAID Match'!$A$2:$C$2979,3,FALSE)</f>
        <v>0</v>
      </c>
    </row>
    <row r="2368" spans="1:11" x14ac:dyDescent="0.2">
      <c r="A2368">
        <v>0</v>
      </c>
      <c r="B2368">
        <v>2022</v>
      </c>
      <c r="C2368" t="s">
        <v>6</v>
      </c>
      <c r="D2368" t="s">
        <v>7</v>
      </c>
      <c r="E2368" t="s">
        <v>8</v>
      </c>
      <c r="F2368" s="3">
        <v>5112</v>
      </c>
      <c r="G2368" s="3" t="s">
        <v>22</v>
      </c>
      <c r="H2368" s="1">
        <v>1516</v>
      </c>
      <c r="I2368" s="21">
        <v>853370.02795701602</v>
      </c>
      <c r="J2368" s="21">
        <v>854886.02795701602</v>
      </c>
      <c r="K2368">
        <f>VLOOKUP(F2368,'LEAID Match'!$A$2:$C$2979,3,FALSE)</f>
        <v>0</v>
      </c>
    </row>
    <row r="2369" spans="1:11" x14ac:dyDescent="0.2">
      <c r="A2369">
        <v>0</v>
      </c>
      <c r="B2369">
        <v>2022</v>
      </c>
      <c r="C2369" t="s">
        <v>6</v>
      </c>
      <c r="D2369" t="s">
        <v>7</v>
      </c>
      <c r="E2369" t="s">
        <v>8</v>
      </c>
      <c r="F2369" s="3">
        <v>5113</v>
      </c>
      <c r="G2369" s="3" t="s">
        <v>23</v>
      </c>
      <c r="H2369" s="1">
        <v>26475</v>
      </c>
      <c r="I2369" s="1">
        <v>773952.79855769943</v>
      </c>
      <c r="J2369" s="1">
        <v>800427.79855769943</v>
      </c>
      <c r="K2369">
        <f>VLOOKUP(F2369,'LEAID Match'!$A$2:$C$2979,3,FALSE)</f>
        <v>0</v>
      </c>
    </row>
    <row r="2370" spans="1:11" x14ac:dyDescent="0.2">
      <c r="A2370">
        <v>0</v>
      </c>
      <c r="B2370">
        <v>2022</v>
      </c>
      <c r="C2370" t="s">
        <v>6</v>
      </c>
      <c r="D2370" t="s">
        <v>7</v>
      </c>
      <c r="E2370" t="s">
        <v>8</v>
      </c>
      <c r="F2370">
        <v>5177</v>
      </c>
      <c r="G2370" t="s">
        <v>24</v>
      </c>
      <c r="H2370" s="1">
        <v>33874</v>
      </c>
      <c r="I2370" s="1">
        <v>895918.16634296754</v>
      </c>
      <c r="J2370" s="1">
        <v>929792.16634296754</v>
      </c>
      <c r="K2370">
        <f>VLOOKUP(F2370,'LEAID Match'!$A$2:$C$2979,3,FALSE)</f>
        <v>0</v>
      </c>
    </row>
    <row r="2371" spans="1:11" x14ac:dyDescent="0.2">
      <c r="A2371">
        <v>0</v>
      </c>
      <c r="B2371">
        <v>2022</v>
      </c>
      <c r="C2371" t="s">
        <v>6</v>
      </c>
      <c r="D2371" t="s">
        <v>7</v>
      </c>
      <c r="E2371" t="s">
        <v>8</v>
      </c>
      <c r="F2371">
        <v>5178</v>
      </c>
      <c r="G2371" t="s">
        <v>25</v>
      </c>
      <c r="H2371" s="1">
        <v>89550</v>
      </c>
      <c r="I2371" s="1">
        <v>1463591.8662412933</v>
      </c>
      <c r="J2371" s="1">
        <v>1553141.8662412933</v>
      </c>
      <c r="K2371">
        <f>VLOOKUP(F2371,'LEAID Match'!$A$2:$C$2979,3,FALSE)</f>
        <v>0</v>
      </c>
    </row>
    <row r="2372" spans="1:11" x14ac:dyDescent="0.2">
      <c r="A2372">
        <v>0</v>
      </c>
      <c r="B2372">
        <v>2022</v>
      </c>
      <c r="C2372" t="s">
        <v>6</v>
      </c>
      <c r="D2372" t="s">
        <v>7</v>
      </c>
      <c r="E2372" t="s">
        <v>8</v>
      </c>
      <c r="F2372">
        <v>5179</v>
      </c>
      <c r="G2372" t="s">
        <v>26</v>
      </c>
      <c r="H2372" s="1">
        <v>72087</v>
      </c>
      <c r="I2372" s="1">
        <v>798600.75849289272</v>
      </c>
      <c r="J2372" s="1">
        <v>870687.75849289272</v>
      </c>
      <c r="K2372">
        <f>VLOOKUP(F2372,'LEAID Match'!$A$2:$C$2979,3,FALSE)</f>
        <v>0</v>
      </c>
    </row>
    <row r="2373" spans="1:11" x14ac:dyDescent="0.2">
      <c r="A2373">
        <v>0</v>
      </c>
      <c r="B2373">
        <v>2022</v>
      </c>
      <c r="C2373" t="s">
        <v>6</v>
      </c>
      <c r="D2373" t="s">
        <v>7</v>
      </c>
      <c r="E2373" t="s">
        <v>8</v>
      </c>
      <c r="F2373">
        <v>5180</v>
      </c>
      <c r="G2373" t="s">
        <v>27</v>
      </c>
      <c r="H2373" s="20">
        <v>3265</v>
      </c>
      <c r="I2373" s="1">
        <v>1088007.0993889503</v>
      </c>
      <c r="J2373" s="1">
        <v>1091272.0993889503</v>
      </c>
      <c r="K2373">
        <f>VLOOKUP(F2373,'LEAID Match'!$A$2:$C$2979,3,FALSE)</f>
        <v>0</v>
      </c>
    </row>
    <row r="2374" spans="1:11" x14ac:dyDescent="0.2">
      <c r="A2374">
        <v>0</v>
      </c>
      <c r="B2374">
        <v>2022</v>
      </c>
      <c r="C2374" t="s">
        <v>6</v>
      </c>
      <c r="D2374" t="s">
        <v>7</v>
      </c>
      <c r="E2374" t="s">
        <v>8</v>
      </c>
      <c r="F2374">
        <v>5404</v>
      </c>
      <c r="G2374" t="s">
        <v>28</v>
      </c>
      <c r="H2374" s="1">
        <v>12875</v>
      </c>
      <c r="I2374" s="1">
        <v>1277070.188296783</v>
      </c>
      <c r="J2374" s="1">
        <v>1289945.188296783</v>
      </c>
      <c r="K2374">
        <f>VLOOKUP(F2374,'LEAID Match'!$A$2:$C$2979,3,FALSE)</f>
        <v>0</v>
      </c>
    </row>
    <row r="2375" spans="1:11" x14ac:dyDescent="0.2">
      <c r="A2375">
        <v>0</v>
      </c>
      <c r="B2375">
        <v>2022</v>
      </c>
      <c r="C2375" t="s">
        <v>6</v>
      </c>
      <c r="D2375" t="s">
        <v>7</v>
      </c>
      <c r="E2375" t="s">
        <v>8</v>
      </c>
      <c r="F2375">
        <v>5406</v>
      </c>
      <c r="G2375" s="9" t="s">
        <v>29</v>
      </c>
      <c r="H2375" s="1">
        <v>34520</v>
      </c>
      <c r="I2375" s="1">
        <v>12382231.193665091</v>
      </c>
      <c r="J2375" s="1">
        <v>12416751.193665091</v>
      </c>
      <c r="K2375">
        <f>VLOOKUP(F2375,'LEAID Match'!$A$2:$C$2979,3,FALSE)</f>
        <v>0</v>
      </c>
    </row>
    <row r="2376" spans="1:11" x14ac:dyDescent="0.2">
      <c r="A2376">
        <v>2000046</v>
      </c>
      <c r="B2376">
        <v>2022</v>
      </c>
      <c r="C2376" t="s">
        <v>6</v>
      </c>
      <c r="D2376" t="s">
        <v>7</v>
      </c>
      <c r="E2376" t="s">
        <v>8</v>
      </c>
      <c r="F2376" s="3">
        <v>5596</v>
      </c>
      <c r="G2376" s="3" t="s">
        <v>30</v>
      </c>
      <c r="H2376" s="22">
        <v>60066</v>
      </c>
      <c r="I2376" s="1">
        <v>1079343.9436594301</v>
      </c>
      <c r="J2376" s="1">
        <v>1139409.9436594301</v>
      </c>
      <c r="K2376">
        <f>VLOOKUP(F2376,'LEAID Match'!$A$2:$C$2979,3,FALSE)</f>
        <v>2000046</v>
      </c>
    </row>
    <row r="2377" spans="1:11" x14ac:dyDescent="0.2">
      <c r="A2377">
        <v>0</v>
      </c>
      <c r="B2377">
        <v>2022</v>
      </c>
      <c r="C2377" t="s">
        <v>6</v>
      </c>
      <c r="D2377" t="s">
        <v>7</v>
      </c>
      <c r="E2377" t="s">
        <v>8</v>
      </c>
      <c r="F2377" s="3">
        <v>5600</v>
      </c>
      <c r="G2377" s="3" t="s">
        <v>31</v>
      </c>
      <c r="H2377" s="1">
        <v>51549</v>
      </c>
      <c r="I2377" s="21">
        <v>1258150.464333466</v>
      </c>
      <c r="J2377" s="21">
        <v>1309699.464333466</v>
      </c>
      <c r="K2377">
        <f>VLOOKUP(F2377,'LEAID Match'!$A$2:$C$2979,3,FALSE)</f>
        <v>0</v>
      </c>
    </row>
    <row r="2378" spans="1:11" x14ac:dyDescent="0.2">
      <c r="A2378">
        <v>2000048</v>
      </c>
      <c r="B2378">
        <v>2022</v>
      </c>
      <c r="C2378" t="s">
        <v>6</v>
      </c>
      <c r="D2378" t="s">
        <v>7</v>
      </c>
      <c r="E2378" t="s">
        <v>8</v>
      </c>
      <c r="F2378" s="3">
        <v>5604</v>
      </c>
      <c r="G2378" s="3" t="s">
        <v>32</v>
      </c>
      <c r="H2378" s="1">
        <v>24000</v>
      </c>
      <c r="I2378" s="1">
        <v>1154778.3870798619</v>
      </c>
      <c r="J2378" s="1">
        <v>1178778.3870798619</v>
      </c>
      <c r="K2378">
        <f>VLOOKUP(F2378,'LEAID Match'!$A$2:$C$2979,3,FALSE)</f>
        <v>2000048</v>
      </c>
    </row>
    <row r="2379" spans="1:11" x14ac:dyDescent="0.2">
      <c r="A2379">
        <v>2000035</v>
      </c>
      <c r="B2379">
        <v>2022</v>
      </c>
      <c r="C2379" t="s">
        <v>6</v>
      </c>
      <c r="D2379" t="s">
        <v>7</v>
      </c>
      <c r="E2379" t="s">
        <v>8</v>
      </c>
      <c r="F2379">
        <v>5608</v>
      </c>
      <c r="G2379" t="s">
        <v>33</v>
      </c>
      <c r="H2379" s="1"/>
      <c r="I2379" s="1">
        <v>1085611.7636598828</v>
      </c>
      <c r="J2379" s="1">
        <v>1085611.7636598828</v>
      </c>
      <c r="K2379">
        <f>VLOOKUP(F2379,'LEAID Match'!$A$2:$C$2979,3,FALSE)</f>
        <v>2000035</v>
      </c>
    </row>
    <row r="2380" spans="1:11" x14ac:dyDescent="0.2">
      <c r="A2380">
        <v>2000039</v>
      </c>
      <c r="B2380">
        <v>2022</v>
      </c>
      <c r="C2380" t="s">
        <v>6</v>
      </c>
      <c r="D2380" t="s">
        <v>7</v>
      </c>
      <c r="E2380" t="s">
        <v>8</v>
      </c>
      <c r="F2380">
        <v>5609</v>
      </c>
      <c r="G2380" t="s">
        <v>34</v>
      </c>
      <c r="H2380" s="1">
        <v>18642</v>
      </c>
      <c r="I2380" s="1">
        <v>1183040.9637810716</v>
      </c>
      <c r="J2380" s="1">
        <v>1201682.9637810716</v>
      </c>
      <c r="K2380">
        <f>VLOOKUP(F2380,'LEAID Match'!$A$2:$C$2979,3,FALSE)</f>
        <v>2000039</v>
      </c>
    </row>
    <row r="2381" spans="1:11" x14ac:dyDescent="0.2">
      <c r="A2381">
        <v>2000041</v>
      </c>
      <c r="B2381">
        <v>2022</v>
      </c>
      <c r="C2381" t="s">
        <v>6</v>
      </c>
      <c r="D2381" t="s">
        <v>7</v>
      </c>
      <c r="E2381" t="s">
        <v>8</v>
      </c>
      <c r="F2381">
        <v>5612</v>
      </c>
      <c r="G2381" t="s">
        <v>35</v>
      </c>
      <c r="H2381" s="1">
        <v>71437</v>
      </c>
      <c r="I2381" s="1">
        <v>2442543.3693132084</v>
      </c>
      <c r="J2381" s="1">
        <v>2513980.3693132084</v>
      </c>
      <c r="K2381">
        <f>VLOOKUP(F2381,'LEAID Match'!$A$2:$C$2979,3,FALSE)</f>
        <v>2000041</v>
      </c>
    </row>
    <row r="2382" spans="1:11" x14ac:dyDescent="0.2">
      <c r="A2382">
        <v>0</v>
      </c>
      <c r="B2382">
        <v>2022</v>
      </c>
      <c r="C2382" t="s">
        <v>6</v>
      </c>
      <c r="D2382" t="s">
        <v>7</v>
      </c>
      <c r="E2382" t="s">
        <v>8</v>
      </c>
      <c r="F2382">
        <v>5624</v>
      </c>
      <c r="G2382" t="s">
        <v>36</v>
      </c>
      <c r="H2382" s="20">
        <v>20016</v>
      </c>
      <c r="I2382" s="1">
        <v>871140.52737328212</v>
      </c>
      <c r="J2382" s="1">
        <v>891156.52737328212</v>
      </c>
      <c r="K2382">
        <f>VLOOKUP(F2382,'LEAID Match'!$A$2:$C$2979,3,FALSE)</f>
        <v>0</v>
      </c>
    </row>
    <row r="2383" spans="1:11" x14ac:dyDescent="0.2">
      <c r="A2383">
        <v>2000044</v>
      </c>
      <c r="B2383">
        <v>2022</v>
      </c>
      <c r="C2383" t="s">
        <v>6</v>
      </c>
      <c r="D2383" t="s">
        <v>7</v>
      </c>
      <c r="E2383" t="s">
        <v>8</v>
      </c>
      <c r="F2383">
        <v>5626</v>
      </c>
      <c r="G2383" t="s">
        <v>37</v>
      </c>
      <c r="H2383" s="1">
        <v>17263</v>
      </c>
      <c r="I2383" s="1">
        <v>1012115.0529387584</v>
      </c>
      <c r="J2383" s="1">
        <v>1029378.0529387584</v>
      </c>
      <c r="K2383">
        <f>VLOOKUP(F2383,'LEAID Match'!$A$2:$C$2979,3,FALSE)</f>
        <v>2000044</v>
      </c>
    </row>
    <row r="2384" spans="1:11" x14ac:dyDescent="0.2">
      <c r="A2384">
        <v>2000047</v>
      </c>
      <c r="B2384">
        <v>2022</v>
      </c>
      <c r="C2384" t="s">
        <v>6</v>
      </c>
      <c r="D2384" t="s">
        <v>7</v>
      </c>
      <c r="E2384" t="s">
        <v>8</v>
      </c>
      <c r="F2384">
        <v>5634</v>
      </c>
      <c r="G2384" s="9" t="s">
        <v>38</v>
      </c>
      <c r="H2384" s="1">
        <v>82454</v>
      </c>
      <c r="I2384" s="1">
        <v>1478646.5587512986</v>
      </c>
      <c r="J2384" s="1">
        <v>1561100.5587512986</v>
      </c>
      <c r="K2384">
        <f>VLOOKUP(F2384,'LEAID Match'!$A$2:$C$2979,3,FALSE)</f>
        <v>2000047</v>
      </c>
    </row>
    <row r="2385" spans="1:11" x14ac:dyDescent="0.2">
      <c r="A2385">
        <v>2000051</v>
      </c>
      <c r="B2385">
        <v>2022</v>
      </c>
      <c r="C2385" t="s">
        <v>6</v>
      </c>
      <c r="D2385" t="s">
        <v>7</v>
      </c>
      <c r="E2385" t="s">
        <v>8</v>
      </c>
      <c r="F2385" s="3">
        <v>5638</v>
      </c>
      <c r="G2385" s="3" t="s">
        <v>39</v>
      </c>
      <c r="H2385" s="22">
        <v>14466</v>
      </c>
      <c r="I2385" s="1">
        <v>777908.75439151668</v>
      </c>
      <c r="J2385" s="1">
        <v>792374.75439151668</v>
      </c>
      <c r="K2385">
        <f>VLOOKUP(F2385,'LEAID Match'!$A$2:$C$2979,3,FALSE)</f>
        <v>2000051</v>
      </c>
    </row>
    <row r="2386" spans="1:11" x14ac:dyDescent="0.2">
      <c r="A2386">
        <v>0</v>
      </c>
      <c r="B2386">
        <v>2022</v>
      </c>
      <c r="C2386" t="s">
        <v>6</v>
      </c>
      <c r="D2386" t="s">
        <v>7</v>
      </c>
      <c r="E2386" t="s">
        <v>8</v>
      </c>
      <c r="F2386" s="3">
        <v>4930</v>
      </c>
      <c r="G2386" s="3" t="s">
        <v>9</v>
      </c>
      <c r="H2386" s="1">
        <v>11291</v>
      </c>
      <c r="I2386" s="21">
        <v>550199.82264141494</v>
      </c>
      <c r="J2386" s="21">
        <v>561490.82264141494</v>
      </c>
      <c r="K2386">
        <f>VLOOKUP(F2386,'LEAID Match'!$A$2:$C$2979,3,FALSE)</f>
        <v>0</v>
      </c>
    </row>
    <row r="2387" spans="1:11" x14ac:dyDescent="0.2">
      <c r="A2387">
        <v>2000037</v>
      </c>
      <c r="B2387">
        <v>2022</v>
      </c>
      <c r="C2387" t="s">
        <v>6</v>
      </c>
      <c r="D2387" t="s">
        <v>7</v>
      </c>
      <c r="E2387" t="s">
        <v>8</v>
      </c>
      <c r="F2387" s="3">
        <v>5657</v>
      </c>
      <c r="G2387" s="3" t="s">
        <v>41</v>
      </c>
      <c r="H2387" s="1">
        <v>3596</v>
      </c>
      <c r="I2387" s="1">
        <v>193174.06335759477</v>
      </c>
      <c r="J2387" s="1">
        <v>196770.06335759477</v>
      </c>
      <c r="K2387">
        <f>VLOOKUP(F2387,'LEAID Match'!$A$2:$C$2979,3,FALSE)</f>
        <v>2000037</v>
      </c>
    </row>
    <row r="2388" spans="1:11" x14ac:dyDescent="0.2">
      <c r="A2388">
        <v>2000040</v>
      </c>
      <c r="B2388">
        <v>2022</v>
      </c>
      <c r="C2388" t="s">
        <v>6</v>
      </c>
      <c r="D2388" t="s">
        <v>7</v>
      </c>
      <c r="E2388" t="s">
        <v>8</v>
      </c>
      <c r="F2388">
        <v>5671</v>
      </c>
      <c r="G2388" t="s">
        <v>42</v>
      </c>
      <c r="H2388" s="1">
        <v>23486</v>
      </c>
      <c r="I2388" s="1">
        <v>468634.69107309642</v>
      </c>
      <c r="J2388" s="1">
        <v>492120.69107309642</v>
      </c>
      <c r="K2388">
        <f>VLOOKUP(F2388,'LEAID Match'!$A$2:$C$2979,3,FALSE)</f>
        <v>2000040</v>
      </c>
    </row>
    <row r="2389" spans="1:11" x14ac:dyDescent="0.2">
      <c r="A2389">
        <v>2093310</v>
      </c>
      <c r="B2389">
        <v>2022</v>
      </c>
      <c r="C2389" t="s">
        <v>6</v>
      </c>
      <c r="D2389" t="s">
        <v>7</v>
      </c>
      <c r="E2389" t="s">
        <v>8</v>
      </c>
      <c r="F2389">
        <v>5682</v>
      </c>
      <c r="G2389" t="s">
        <v>43</v>
      </c>
      <c r="H2389" s="1"/>
      <c r="I2389" s="1">
        <v>3333164.0725689922</v>
      </c>
      <c r="J2389" s="1">
        <v>3333164.0725689922</v>
      </c>
      <c r="K2389">
        <f>VLOOKUP(F2389,'LEAID Match'!$A$2:$C$2979,3,FALSE)</f>
        <v>2093310</v>
      </c>
    </row>
    <row r="2390" spans="1:11" x14ac:dyDescent="0.2">
      <c r="A2390">
        <v>2000043</v>
      </c>
      <c r="B2390">
        <v>2022</v>
      </c>
      <c r="C2390" t="s">
        <v>6</v>
      </c>
      <c r="D2390" t="s">
        <v>7</v>
      </c>
      <c r="E2390" t="s">
        <v>8</v>
      </c>
      <c r="F2390">
        <v>5688</v>
      </c>
      <c r="G2390" t="s">
        <v>44</v>
      </c>
      <c r="H2390" s="1">
        <v>10259</v>
      </c>
      <c r="I2390" s="1">
        <v>375456.57838146569</v>
      </c>
      <c r="J2390" s="1">
        <v>385715.57838146569</v>
      </c>
      <c r="K2390">
        <f>VLOOKUP(F2390,'LEAID Match'!$A$2:$C$2979,3,FALSE)</f>
        <v>2000043</v>
      </c>
    </row>
    <row r="2391" spans="1:11" x14ac:dyDescent="0.2">
      <c r="A2391">
        <v>2000045</v>
      </c>
      <c r="B2391">
        <v>2022</v>
      </c>
      <c r="C2391" t="s">
        <v>6</v>
      </c>
      <c r="D2391" t="s">
        <v>7</v>
      </c>
      <c r="E2391" t="s">
        <v>8</v>
      </c>
      <c r="F2391">
        <v>9034</v>
      </c>
      <c r="G2391" t="s">
        <v>45</v>
      </c>
      <c r="H2391" s="20">
        <v>94205</v>
      </c>
      <c r="I2391" s="1">
        <v>696680.49020015472</v>
      </c>
      <c r="J2391" s="1">
        <v>790885.49020015472</v>
      </c>
      <c r="K2391">
        <f>VLOOKUP(F2391,'LEAID Match'!$A$2:$C$2979,3,FALSE)</f>
        <v>2000045</v>
      </c>
    </row>
    <row r="2392" spans="1:11" x14ac:dyDescent="0.2">
      <c r="A2392">
        <v>0</v>
      </c>
      <c r="B2392">
        <v>2022</v>
      </c>
      <c r="C2392" t="s">
        <v>6</v>
      </c>
      <c r="D2392" t="s">
        <v>7</v>
      </c>
      <c r="E2392" t="s">
        <v>8</v>
      </c>
      <c r="F2392">
        <v>9042</v>
      </c>
      <c r="G2392" t="s">
        <v>46</v>
      </c>
      <c r="H2392" s="1">
        <v>5377</v>
      </c>
      <c r="I2392" s="1">
        <v>454130.0165369712</v>
      </c>
      <c r="J2392" s="1">
        <v>459507.0165369712</v>
      </c>
      <c r="K2392">
        <f>VLOOKUP(F2392,'LEAID Match'!$A$2:$C$2979,3,FALSE)</f>
        <v>0</v>
      </c>
    </row>
    <row r="2393" spans="1:11" x14ac:dyDescent="0.2">
      <c r="A2393">
        <v>2000347</v>
      </c>
      <c r="B2393">
        <v>2022</v>
      </c>
      <c r="C2393" t="s">
        <v>6</v>
      </c>
      <c r="D2393" t="s">
        <v>7</v>
      </c>
      <c r="E2393" t="s">
        <v>8</v>
      </c>
      <c r="F2393">
        <v>9047</v>
      </c>
      <c r="G2393" s="9" t="s">
        <v>47</v>
      </c>
      <c r="H2393" s="1">
        <v>9242</v>
      </c>
      <c r="I2393" s="1">
        <v>392138.96635888977</v>
      </c>
      <c r="J2393" s="1">
        <v>401380.96635888977</v>
      </c>
      <c r="K2393">
        <f>VLOOKUP(F2393,'LEAID Match'!$A$2:$C$2979,3,FALSE)</f>
        <v>2000347</v>
      </c>
    </row>
    <row r="2394" spans="1:11" x14ac:dyDescent="0.2">
      <c r="A2394">
        <v>0</v>
      </c>
      <c r="B2394">
        <v>2022</v>
      </c>
      <c r="C2394" t="s">
        <v>6</v>
      </c>
      <c r="D2394" t="s">
        <v>7</v>
      </c>
      <c r="E2394" t="s">
        <v>8</v>
      </c>
      <c r="F2394" s="3">
        <v>9053</v>
      </c>
      <c r="G2394" s="3" t="s">
        <v>48</v>
      </c>
      <c r="H2394" s="22"/>
      <c r="I2394" s="1">
        <v>22111.020662715171</v>
      </c>
      <c r="J2394" s="1">
        <v>22111.020662715171</v>
      </c>
      <c r="K2394">
        <f>VLOOKUP(F2394,'LEAID Match'!$A$2:$C$2979,3,FALSE)</f>
        <v>0</v>
      </c>
    </row>
    <row r="2395" spans="1:11" x14ac:dyDescent="0.2">
      <c r="A2395">
        <v>2000049</v>
      </c>
      <c r="B2395">
        <v>2022</v>
      </c>
      <c r="C2395" t="s">
        <v>6</v>
      </c>
      <c r="D2395" t="s">
        <v>7</v>
      </c>
      <c r="E2395" t="s">
        <v>8</v>
      </c>
      <c r="F2395" s="3">
        <v>9055</v>
      </c>
      <c r="G2395" s="3" t="s">
        <v>49</v>
      </c>
      <c r="H2395" s="1">
        <v>76976</v>
      </c>
      <c r="I2395" s="21">
        <v>438254.02347518213</v>
      </c>
      <c r="J2395" s="21">
        <v>515230.02347518213</v>
      </c>
      <c r="K2395">
        <f>VLOOKUP(F2395,'LEAID Match'!$A$2:$C$2979,3,FALSE)</f>
        <v>2000049</v>
      </c>
    </row>
    <row r="2396" spans="1:11" x14ac:dyDescent="0.2">
      <c r="A2396" t="s">
        <v>371</v>
      </c>
      <c r="B2396">
        <v>2022</v>
      </c>
      <c r="C2396" t="s">
        <v>6</v>
      </c>
      <c r="D2396" t="s">
        <v>7</v>
      </c>
      <c r="E2396" t="s">
        <v>8</v>
      </c>
      <c r="F2396" s="3">
        <v>9056</v>
      </c>
      <c r="G2396" s="3" t="s">
        <v>50</v>
      </c>
      <c r="H2396" s="1">
        <v>12847</v>
      </c>
      <c r="I2396" s="1">
        <v>368194.55244990654</v>
      </c>
      <c r="J2396" s="1">
        <v>381041.55244990654</v>
      </c>
      <c r="K2396" t="str">
        <f>VLOOKUP(F2396,'LEAID Match'!$A$2:$C$2979,3,FALSE)</f>
        <v>20D0001</v>
      </c>
    </row>
    <row r="2397" spans="1:11" x14ac:dyDescent="0.2">
      <c r="A2397">
        <v>0</v>
      </c>
      <c r="B2397">
        <v>2022</v>
      </c>
      <c r="C2397" t="s">
        <v>6</v>
      </c>
      <c r="D2397" t="s">
        <v>7</v>
      </c>
      <c r="E2397" t="s">
        <v>8</v>
      </c>
      <c r="F2397">
        <v>9273</v>
      </c>
      <c r="G2397" t="s">
        <v>51</v>
      </c>
      <c r="H2397" s="1">
        <v>3590</v>
      </c>
      <c r="I2397" s="1">
        <v>737611.36706399173</v>
      </c>
      <c r="J2397" s="1">
        <v>741201.36706399173</v>
      </c>
      <c r="K2397">
        <f>VLOOKUP(F2397,'LEAID Match'!$A$2:$C$2979,3,FALSE)</f>
        <v>0</v>
      </c>
    </row>
    <row r="2398" spans="1:11" x14ac:dyDescent="0.2">
      <c r="A2398">
        <v>2000034</v>
      </c>
      <c r="B2398">
        <v>2022</v>
      </c>
      <c r="C2398" t="s">
        <v>6</v>
      </c>
      <c r="D2398" t="s">
        <v>7</v>
      </c>
      <c r="E2398" t="s">
        <v>8</v>
      </c>
      <c r="F2398">
        <v>9274</v>
      </c>
      <c r="G2398" t="s">
        <v>52</v>
      </c>
      <c r="H2398" s="1">
        <v>35526</v>
      </c>
      <c r="I2398" s="1">
        <v>2007342.0201212433</v>
      </c>
      <c r="J2398" s="1">
        <v>2042868.0201212433</v>
      </c>
      <c r="K2398">
        <f>VLOOKUP(F2398,'LEAID Match'!$A$2:$C$2979,3,FALSE)</f>
        <v>2000034</v>
      </c>
    </row>
    <row r="2399" spans="1:11" x14ac:dyDescent="0.2">
      <c r="A2399">
        <v>0</v>
      </c>
      <c r="B2399">
        <v>2022</v>
      </c>
      <c r="C2399" t="s">
        <v>6</v>
      </c>
      <c r="D2399" t="s">
        <v>7</v>
      </c>
      <c r="E2399" t="s">
        <v>8</v>
      </c>
      <c r="F2399">
        <v>9303</v>
      </c>
      <c r="G2399" t="s">
        <v>53</v>
      </c>
      <c r="H2399" s="1">
        <v>11924</v>
      </c>
      <c r="I2399" s="1">
        <v>1394359.6580222605</v>
      </c>
      <c r="J2399" s="1">
        <v>1406283.6580222605</v>
      </c>
      <c r="K2399">
        <f>VLOOKUP(F2399,'LEAID Match'!$A$2:$C$2979,3,FALSE)</f>
        <v>0</v>
      </c>
    </row>
    <row r="2400" spans="1:11" x14ac:dyDescent="0.2">
      <c r="A2400">
        <v>0</v>
      </c>
      <c r="B2400">
        <v>2022</v>
      </c>
      <c r="C2400" t="s">
        <v>6</v>
      </c>
      <c r="D2400" t="s">
        <v>7</v>
      </c>
      <c r="E2400" t="s">
        <v>8</v>
      </c>
      <c r="F2400">
        <v>9304</v>
      </c>
      <c r="G2400" t="s">
        <v>54</v>
      </c>
      <c r="H2400" s="20"/>
      <c r="I2400" s="1">
        <v>470232.57526821783</v>
      </c>
      <c r="J2400" s="1">
        <v>470232.57526821783</v>
      </c>
      <c r="K2400">
        <f>VLOOKUP(F2400,'LEAID Match'!$A$2:$C$2979,3,FALSE)</f>
        <v>0</v>
      </c>
    </row>
    <row r="2401" spans="1:11" x14ac:dyDescent="0.2">
      <c r="A2401">
        <v>0</v>
      </c>
      <c r="B2401">
        <v>2022</v>
      </c>
      <c r="C2401" t="s">
        <v>6</v>
      </c>
      <c r="D2401" t="s">
        <v>7</v>
      </c>
      <c r="E2401" t="s">
        <v>8</v>
      </c>
      <c r="F2401">
        <v>9305</v>
      </c>
      <c r="G2401" t="s">
        <v>55</v>
      </c>
      <c r="H2401" s="1">
        <v>26559</v>
      </c>
      <c r="I2401" s="1">
        <v>545292.88722132205</v>
      </c>
      <c r="J2401" s="1">
        <v>571851.88722132205</v>
      </c>
      <c r="K2401">
        <f>VLOOKUP(F2401,'LEAID Match'!$A$2:$C$2979,3,FALSE)</f>
        <v>0</v>
      </c>
    </row>
    <row r="2402" spans="1:11" x14ac:dyDescent="0.2">
      <c r="A2402">
        <v>0</v>
      </c>
      <c r="B2402">
        <v>2022</v>
      </c>
      <c r="C2402" t="s">
        <v>6</v>
      </c>
      <c r="D2402" t="s">
        <v>7</v>
      </c>
      <c r="E2402" t="s">
        <v>8</v>
      </c>
      <c r="F2402">
        <v>9395</v>
      </c>
      <c r="G2402" s="9" t="s">
        <v>56</v>
      </c>
      <c r="H2402" s="1"/>
      <c r="I2402" s="1">
        <v>336983.64091851964</v>
      </c>
      <c r="J2402" s="1">
        <v>336983.64091851964</v>
      </c>
      <c r="K2402">
        <f>VLOOKUP(F2402,'LEAID Match'!$A$2:$C$2979,3,FALSE)</f>
        <v>0</v>
      </c>
    </row>
    <row r="2403" spans="1:11" x14ac:dyDescent="0.2">
      <c r="A2403">
        <v>0</v>
      </c>
      <c r="B2403">
        <v>2022</v>
      </c>
      <c r="C2403" t="s">
        <v>6</v>
      </c>
      <c r="D2403" t="s">
        <v>7</v>
      </c>
      <c r="E2403" t="s">
        <v>8</v>
      </c>
      <c r="F2403" s="3">
        <v>9487</v>
      </c>
      <c r="G2403" s="3" t="s">
        <v>57</v>
      </c>
      <c r="H2403" s="22"/>
      <c r="I2403" s="1">
        <v>34391.774285481137</v>
      </c>
      <c r="J2403" s="1">
        <v>34391.774285481137</v>
      </c>
      <c r="K2403">
        <f>VLOOKUP(F2403,'LEAID Match'!$A$2:$C$2979,3,FALSE)</f>
        <v>0</v>
      </c>
    </row>
    <row r="2404" spans="1:11" x14ac:dyDescent="0.2">
      <c r="A2404">
        <v>2000354</v>
      </c>
      <c r="B2404">
        <v>2022</v>
      </c>
      <c r="C2404" t="s">
        <v>6</v>
      </c>
      <c r="D2404" t="s">
        <v>7</v>
      </c>
      <c r="E2404" t="s">
        <v>8</v>
      </c>
      <c r="F2404" s="3">
        <v>9507</v>
      </c>
      <c r="G2404" s="3" t="s">
        <v>58</v>
      </c>
      <c r="H2404" s="1">
        <v>86722</v>
      </c>
      <c r="I2404" s="21">
        <v>1866498.6641538739</v>
      </c>
      <c r="J2404" s="21">
        <v>1953220.6641538739</v>
      </c>
      <c r="K2404">
        <f>VLOOKUP(F2404,'LEAID Match'!$A$2:$C$2979,3,FALSE)</f>
        <v>2000354</v>
      </c>
    </row>
    <row r="2405" spans="1:11" x14ac:dyDescent="0.2">
      <c r="A2405">
        <v>2012360</v>
      </c>
      <c r="B2405">
        <v>2022</v>
      </c>
      <c r="C2405" t="s">
        <v>6</v>
      </c>
      <c r="D2405" t="s">
        <v>7</v>
      </c>
      <c r="E2405" t="s">
        <v>8</v>
      </c>
      <c r="F2405" s="3">
        <v>4828</v>
      </c>
      <c r="G2405" s="3" t="s">
        <v>59</v>
      </c>
      <c r="H2405" s="1">
        <v>3959848</v>
      </c>
      <c r="I2405" s="1">
        <v>0</v>
      </c>
      <c r="J2405" s="1">
        <v>3959848</v>
      </c>
      <c r="K2405">
        <f>VLOOKUP(F2405,'LEAID Match'!$A$2:$C$2979,3,FALSE)</f>
        <v>2012360</v>
      </c>
    </row>
    <row r="2406" spans="1:11" x14ac:dyDescent="0.2">
      <c r="A2406">
        <v>2010680</v>
      </c>
      <c r="B2406">
        <v>2022</v>
      </c>
      <c r="C2406" t="s">
        <v>6</v>
      </c>
      <c r="D2406" t="s">
        <v>7</v>
      </c>
      <c r="E2406" t="s">
        <v>8</v>
      </c>
      <c r="F2406">
        <v>4829</v>
      </c>
      <c r="G2406" t="s">
        <v>60</v>
      </c>
      <c r="H2406" s="1">
        <v>2151162</v>
      </c>
      <c r="I2406" s="1">
        <v>0</v>
      </c>
      <c r="J2406" s="1">
        <v>2151162</v>
      </c>
      <c r="K2406">
        <f>VLOOKUP(F2406,'LEAID Match'!$A$2:$C$2979,3,FALSE)</f>
        <v>2010680</v>
      </c>
    </row>
    <row r="2407" spans="1:11" x14ac:dyDescent="0.2">
      <c r="A2407">
        <v>2008550</v>
      </c>
      <c r="B2407">
        <v>2022</v>
      </c>
      <c r="C2407" t="s">
        <v>6</v>
      </c>
      <c r="D2407" t="s">
        <v>7</v>
      </c>
      <c r="E2407" t="s">
        <v>8</v>
      </c>
      <c r="F2407">
        <v>4871</v>
      </c>
      <c r="G2407" t="s">
        <v>61</v>
      </c>
      <c r="H2407" s="1">
        <v>491417</v>
      </c>
      <c r="I2407" s="1">
        <v>0</v>
      </c>
      <c r="J2407" s="1">
        <v>491417</v>
      </c>
      <c r="K2407">
        <f>VLOOKUP(F2407,'LEAID Match'!$A$2:$C$2979,3,FALSE)</f>
        <v>2008550</v>
      </c>
    </row>
    <row r="2408" spans="1:11" x14ac:dyDescent="0.2">
      <c r="A2408">
        <v>2004050</v>
      </c>
      <c r="B2408">
        <v>2022</v>
      </c>
      <c r="C2408" t="s">
        <v>6</v>
      </c>
      <c r="D2408" t="s">
        <v>7</v>
      </c>
      <c r="E2408" t="s">
        <v>8</v>
      </c>
      <c r="F2408">
        <v>4882</v>
      </c>
      <c r="G2408" t="s">
        <v>62</v>
      </c>
      <c r="H2408" s="1">
        <v>2810886</v>
      </c>
      <c r="I2408" s="1">
        <v>0</v>
      </c>
      <c r="J2408" s="1">
        <v>2810886</v>
      </c>
      <c r="K2408">
        <f>VLOOKUP(F2408,'LEAID Match'!$A$2:$C$2979,3,FALSE)</f>
        <v>2004050</v>
      </c>
    </row>
    <row r="2409" spans="1:11" x14ac:dyDescent="0.2">
      <c r="A2409">
        <v>2006240</v>
      </c>
      <c r="B2409">
        <v>2022</v>
      </c>
      <c r="C2409" t="s">
        <v>6</v>
      </c>
      <c r="D2409" t="s">
        <v>7</v>
      </c>
      <c r="E2409" t="s">
        <v>8</v>
      </c>
      <c r="F2409">
        <v>4912</v>
      </c>
      <c r="G2409" t="s">
        <v>63</v>
      </c>
      <c r="H2409" s="20">
        <v>504295</v>
      </c>
      <c r="I2409" s="1">
        <v>0</v>
      </c>
      <c r="J2409" s="1">
        <v>504295</v>
      </c>
      <c r="K2409">
        <f>VLOOKUP(F2409,'LEAID Match'!$A$2:$C$2979,3,FALSE)</f>
        <v>2006240</v>
      </c>
    </row>
    <row r="2410" spans="1:11" x14ac:dyDescent="0.2">
      <c r="A2410">
        <v>2009720</v>
      </c>
      <c r="B2410">
        <v>2022</v>
      </c>
      <c r="C2410" t="s">
        <v>6</v>
      </c>
      <c r="D2410" t="s">
        <v>7</v>
      </c>
      <c r="E2410" t="s">
        <v>8</v>
      </c>
      <c r="F2410">
        <v>4977</v>
      </c>
      <c r="G2410" t="s">
        <v>64</v>
      </c>
      <c r="H2410" s="1">
        <v>213896</v>
      </c>
      <c r="I2410" s="1">
        <v>0</v>
      </c>
      <c r="J2410" s="1">
        <v>213896</v>
      </c>
      <c r="K2410">
        <f>VLOOKUP(F2410,'LEAID Match'!$A$2:$C$2979,3,FALSE)</f>
        <v>2009720</v>
      </c>
    </row>
    <row r="2411" spans="1:11" x14ac:dyDescent="0.2">
      <c r="A2411">
        <v>2010140</v>
      </c>
      <c r="B2411">
        <v>2022</v>
      </c>
      <c r="C2411" t="s">
        <v>6</v>
      </c>
      <c r="D2411" t="s">
        <v>7</v>
      </c>
      <c r="E2411" t="s">
        <v>8</v>
      </c>
      <c r="F2411">
        <v>4978</v>
      </c>
      <c r="G2411" s="9" t="s">
        <v>65</v>
      </c>
      <c r="H2411" s="1">
        <v>33634972</v>
      </c>
      <c r="I2411" s="1">
        <v>0</v>
      </c>
      <c r="J2411" s="1">
        <v>33634972</v>
      </c>
      <c r="K2411">
        <f>VLOOKUP(F2411,'LEAID Match'!$A$2:$C$2979,3,FALSE)</f>
        <v>2010140</v>
      </c>
    </row>
    <row r="2412" spans="1:11" x14ac:dyDescent="0.2">
      <c r="A2412">
        <v>2012900</v>
      </c>
      <c r="B2412">
        <v>2022</v>
      </c>
      <c r="C2412" t="s">
        <v>6</v>
      </c>
      <c r="D2412" t="s">
        <v>7</v>
      </c>
      <c r="E2412" t="s">
        <v>8</v>
      </c>
      <c r="F2412" s="3">
        <v>4979</v>
      </c>
      <c r="G2412" s="3" t="s">
        <v>66</v>
      </c>
      <c r="H2412" s="22">
        <v>109825</v>
      </c>
      <c r="I2412" s="1">
        <v>0</v>
      </c>
      <c r="J2412" s="1">
        <v>109825</v>
      </c>
      <c r="K2412">
        <f>VLOOKUP(F2412,'LEAID Match'!$A$2:$C$2979,3,FALSE)</f>
        <v>2012900</v>
      </c>
    </row>
    <row r="2413" spans="1:11" x14ac:dyDescent="0.2">
      <c r="A2413">
        <v>2010710</v>
      </c>
      <c r="B2413">
        <v>2022</v>
      </c>
      <c r="C2413" t="s">
        <v>6</v>
      </c>
      <c r="D2413" t="s">
        <v>7</v>
      </c>
      <c r="E2413" t="s">
        <v>8</v>
      </c>
      <c r="F2413" s="3">
        <v>4980</v>
      </c>
      <c r="G2413" s="3" t="s">
        <v>67</v>
      </c>
      <c r="H2413" s="1">
        <v>2636611</v>
      </c>
      <c r="I2413" s="21">
        <v>0</v>
      </c>
      <c r="J2413" s="21">
        <v>2636611</v>
      </c>
      <c r="K2413">
        <f>VLOOKUP(F2413,'LEAID Match'!$A$2:$C$2979,3,FALSE)</f>
        <v>2010710</v>
      </c>
    </row>
    <row r="2414" spans="1:11" x14ac:dyDescent="0.2">
      <c r="A2414">
        <v>2005940</v>
      </c>
      <c r="B2414">
        <v>2022</v>
      </c>
      <c r="C2414" t="s">
        <v>6</v>
      </c>
      <c r="D2414" t="s">
        <v>7</v>
      </c>
      <c r="E2414" t="s">
        <v>8</v>
      </c>
      <c r="F2414" s="3">
        <v>4981</v>
      </c>
      <c r="G2414" s="3" t="s">
        <v>68</v>
      </c>
      <c r="H2414" s="1">
        <v>5097590</v>
      </c>
      <c r="I2414" s="1">
        <v>0</v>
      </c>
      <c r="J2414" s="1">
        <v>5097590</v>
      </c>
      <c r="K2414">
        <f>VLOOKUP(F2414,'LEAID Match'!$A$2:$C$2979,3,FALSE)</f>
        <v>2005940</v>
      </c>
    </row>
    <row r="2415" spans="1:11" x14ac:dyDescent="0.2">
      <c r="A2415">
        <v>2012990</v>
      </c>
      <c r="B2415">
        <v>2022</v>
      </c>
      <c r="C2415" t="s">
        <v>6</v>
      </c>
      <c r="D2415" t="s">
        <v>7</v>
      </c>
      <c r="E2415" t="s">
        <v>8</v>
      </c>
      <c r="F2415">
        <v>4982</v>
      </c>
      <c r="G2415" t="s">
        <v>69</v>
      </c>
      <c r="H2415" s="1">
        <v>54772824</v>
      </c>
      <c r="I2415" s="1">
        <v>0</v>
      </c>
      <c r="J2415" s="1">
        <v>54772824</v>
      </c>
      <c r="K2415">
        <f>VLOOKUP(F2415,'LEAID Match'!$A$2:$C$2979,3,FALSE)</f>
        <v>2012990</v>
      </c>
    </row>
    <row r="2416" spans="1:11" x14ac:dyDescent="0.2">
      <c r="A2416">
        <v>2005460</v>
      </c>
      <c r="B2416">
        <v>2022</v>
      </c>
      <c r="C2416" t="s">
        <v>6</v>
      </c>
      <c r="D2416" t="s">
        <v>7</v>
      </c>
      <c r="E2416" t="s">
        <v>8</v>
      </c>
      <c r="F2416">
        <v>4983</v>
      </c>
      <c r="G2416" t="s">
        <v>70</v>
      </c>
      <c r="H2416" s="1">
        <v>6816890</v>
      </c>
      <c r="I2416" s="1">
        <v>0</v>
      </c>
      <c r="J2416" s="1">
        <v>6816890</v>
      </c>
      <c r="K2416">
        <f>VLOOKUP(F2416,'LEAID Match'!$A$2:$C$2979,3,FALSE)</f>
        <v>2005460</v>
      </c>
    </row>
    <row r="2417" spans="1:11" x14ac:dyDescent="0.2">
      <c r="A2417">
        <v>2012510</v>
      </c>
      <c r="B2417">
        <v>2022</v>
      </c>
      <c r="C2417" t="s">
        <v>6</v>
      </c>
      <c r="D2417" t="s">
        <v>7</v>
      </c>
      <c r="E2417" t="s">
        <v>8</v>
      </c>
      <c r="F2417">
        <v>4984</v>
      </c>
      <c r="G2417" t="s">
        <v>71</v>
      </c>
      <c r="H2417" s="1">
        <v>3117021</v>
      </c>
      <c r="I2417" s="1">
        <v>0</v>
      </c>
      <c r="J2417" s="1">
        <v>3117021</v>
      </c>
      <c r="K2417">
        <f>VLOOKUP(F2417,'LEAID Match'!$A$2:$C$2979,3,FALSE)</f>
        <v>2012510</v>
      </c>
    </row>
    <row r="2418" spans="1:11" x14ac:dyDescent="0.2">
      <c r="A2418">
        <v>2006540</v>
      </c>
      <c r="B2418">
        <v>2022</v>
      </c>
      <c r="C2418" t="s">
        <v>6</v>
      </c>
      <c r="D2418" t="s">
        <v>7</v>
      </c>
      <c r="E2418" t="s">
        <v>8</v>
      </c>
      <c r="F2418">
        <v>4985</v>
      </c>
      <c r="G2418" t="s">
        <v>72</v>
      </c>
      <c r="H2418" s="20">
        <v>6163797</v>
      </c>
      <c r="I2418" s="1">
        <v>0</v>
      </c>
      <c r="J2418" s="1">
        <v>6163797</v>
      </c>
      <c r="K2418">
        <f>VLOOKUP(F2418,'LEAID Match'!$A$2:$C$2979,3,FALSE)</f>
        <v>2006540</v>
      </c>
    </row>
    <row r="2419" spans="1:11" x14ac:dyDescent="0.2">
      <c r="A2419">
        <v>2009140</v>
      </c>
      <c r="B2419">
        <v>2022</v>
      </c>
      <c r="C2419" t="s">
        <v>6</v>
      </c>
      <c r="D2419" t="s">
        <v>7</v>
      </c>
      <c r="E2419" t="s">
        <v>8</v>
      </c>
      <c r="F2419">
        <v>4986</v>
      </c>
      <c r="G2419" t="s">
        <v>73</v>
      </c>
      <c r="H2419" s="1">
        <v>7701589</v>
      </c>
      <c r="I2419" s="1">
        <v>0</v>
      </c>
      <c r="J2419" s="1">
        <v>7701589</v>
      </c>
      <c r="K2419">
        <f>VLOOKUP(F2419,'LEAID Match'!$A$2:$C$2979,3,FALSE)</f>
        <v>2009140</v>
      </c>
    </row>
    <row r="2420" spans="1:11" x14ac:dyDescent="0.2">
      <c r="A2420">
        <v>2004670</v>
      </c>
      <c r="B2420">
        <v>2022</v>
      </c>
      <c r="C2420" t="s">
        <v>6</v>
      </c>
      <c r="D2420" t="s">
        <v>7</v>
      </c>
      <c r="E2420" t="s">
        <v>8</v>
      </c>
      <c r="F2420">
        <v>4987</v>
      </c>
      <c r="G2420" s="9" t="s">
        <v>74</v>
      </c>
      <c r="H2420" s="1">
        <v>711950</v>
      </c>
      <c r="I2420" s="1">
        <v>0</v>
      </c>
      <c r="J2420" s="1">
        <v>711950</v>
      </c>
      <c r="K2420">
        <f>VLOOKUP(F2420,'LEAID Match'!$A$2:$C$2979,3,FALSE)</f>
        <v>2004670</v>
      </c>
    </row>
    <row r="2421" spans="1:11" x14ac:dyDescent="0.2">
      <c r="A2421">
        <v>2000015</v>
      </c>
      <c r="B2421">
        <v>2022</v>
      </c>
      <c r="C2421" t="s">
        <v>6</v>
      </c>
      <c r="D2421" t="s">
        <v>7</v>
      </c>
      <c r="E2421" t="s">
        <v>8</v>
      </c>
      <c r="F2421" s="3">
        <v>4988</v>
      </c>
      <c r="G2421" s="3" t="s">
        <v>75</v>
      </c>
      <c r="H2421" s="22">
        <v>2515379</v>
      </c>
      <c r="I2421" s="1">
        <v>0</v>
      </c>
      <c r="J2421" s="1">
        <v>2515379</v>
      </c>
      <c r="K2421">
        <f>VLOOKUP(F2421,'LEAID Match'!$A$2:$C$2979,3,FALSE)</f>
        <v>2000015</v>
      </c>
    </row>
    <row r="2422" spans="1:11" x14ac:dyDescent="0.2">
      <c r="A2422">
        <v>2004080</v>
      </c>
      <c r="B2422">
        <v>2022</v>
      </c>
      <c r="C2422" t="s">
        <v>6</v>
      </c>
      <c r="D2422" t="s">
        <v>7</v>
      </c>
      <c r="E2422" t="s">
        <v>8</v>
      </c>
      <c r="F2422" s="3">
        <v>4990</v>
      </c>
      <c r="G2422" s="3" t="s">
        <v>76</v>
      </c>
      <c r="H2422" s="1">
        <v>164417</v>
      </c>
      <c r="I2422" s="21">
        <v>0</v>
      </c>
      <c r="J2422" s="21">
        <v>164417</v>
      </c>
      <c r="K2422">
        <f>VLOOKUP(F2422,'LEAID Match'!$A$2:$C$2979,3,FALSE)</f>
        <v>2004080</v>
      </c>
    </row>
    <row r="2423" spans="1:11" x14ac:dyDescent="0.2">
      <c r="A2423">
        <v>2003720</v>
      </c>
      <c r="B2423">
        <v>2022</v>
      </c>
      <c r="C2423" t="s">
        <v>6</v>
      </c>
      <c r="D2423" t="s">
        <v>7</v>
      </c>
      <c r="E2423" t="s">
        <v>8</v>
      </c>
      <c r="F2423" s="3">
        <v>4991</v>
      </c>
      <c r="G2423" s="3" t="s">
        <v>77</v>
      </c>
      <c r="H2423" s="1">
        <v>1066828</v>
      </c>
      <c r="I2423" s="1">
        <v>0</v>
      </c>
      <c r="J2423" s="1">
        <v>1066828</v>
      </c>
      <c r="K2423">
        <f>VLOOKUP(F2423,'LEAID Match'!$A$2:$C$2979,3,FALSE)</f>
        <v>2003720</v>
      </c>
    </row>
    <row r="2424" spans="1:11" x14ac:dyDescent="0.2">
      <c r="A2424">
        <v>2011970</v>
      </c>
      <c r="B2424">
        <v>2022</v>
      </c>
      <c r="C2424" t="s">
        <v>6</v>
      </c>
      <c r="D2424" t="s">
        <v>7</v>
      </c>
      <c r="E2424" t="s">
        <v>8</v>
      </c>
      <c r="F2424">
        <v>4992</v>
      </c>
      <c r="G2424" t="s">
        <v>78</v>
      </c>
      <c r="H2424" s="1">
        <v>328097</v>
      </c>
      <c r="I2424" s="1">
        <v>0</v>
      </c>
      <c r="J2424" s="1">
        <v>328097</v>
      </c>
      <c r="K2424">
        <f>VLOOKUP(F2424,'LEAID Match'!$A$2:$C$2979,3,FALSE)</f>
        <v>2011970</v>
      </c>
    </row>
    <row r="2425" spans="1:11" x14ac:dyDescent="0.2">
      <c r="A2425">
        <v>2006580</v>
      </c>
      <c r="B2425">
        <v>2022</v>
      </c>
      <c r="C2425" t="s">
        <v>6</v>
      </c>
      <c r="D2425" t="s">
        <v>7</v>
      </c>
      <c r="E2425" t="s">
        <v>8</v>
      </c>
      <c r="F2425">
        <v>4993</v>
      </c>
      <c r="G2425" t="s">
        <v>79</v>
      </c>
      <c r="H2425" s="1">
        <v>842163</v>
      </c>
      <c r="I2425" s="1">
        <v>0</v>
      </c>
      <c r="J2425" s="1">
        <v>842163</v>
      </c>
      <c r="K2425">
        <f>VLOOKUP(F2425,'LEAID Match'!$A$2:$C$2979,3,FALSE)</f>
        <v>2006580</v>
      </c>
    </row>
    <row r="2426" spans="1:11" x14ac:dyDescent="0.2">
      <c r="A2426">
        <v>2003430</v>
      </c>
      <c r="B2426">
        <v>2022</v>
      </c>
      <c r="C2426" t="s">
        <v>6</v>
      </c>
      <c r="D2426" t="s">
        <v>7</v>
      </c>
      <c r="E2426" t="s">
        <v>8</v>
      </c>
      <c r="F2426">
        <v>4994</v>
      </c>
      <c r="G2426" t="s">
        <v>80</v>
      </c>
      <c r="H2426" s="1">
        <v>199865</v>
      </c>
      <c r="I2426" s="1">
        <v>0</v>
      </c>
      <c r="J2426" s="1">
        <v>199865</v>
      </c>
      <c r="K2426">
        <f>VLOOKUP(F2426,'LEAID Match'!$A$2:$C$2979,3,FALSE)</f>
        <v>2003430</v>
      </c>
    </row>
    <row r="2427" spans="1:11" x14ac:dyDescent="0.2">
      <c r="A2427">
        <v>2007350</v>
      </c>
      <c r="B2427">
        <v>2022</v>
      </c>
      <c r="C2427" t="s">
        <v>6</v>
      </c>
      <c r="D2427" t="s">
        <v>7</v>
      </c>
      <c r="E2427" t="s">
        <v>8</v>
      </c>
      <c r="F2427">
        <v>4995</v>
      </c>
      <c r="G2427" t="s">
        <v>81</v>
      </c>
      <c r="H2427" s="20">
        <v>887660</v>
      </c>
      <c r="I2427" s="1">
        <v>0</v>
      </c>
      <c r="J2427" s="1">
        <v>887660</v>
      </c>
      <c r="K2427">
        <f>VLOOKUP(F2427,'LEAID Match'!$A$2:$C$2979,3,FALSE)</f>
        <v>2007350</v>
      </c>
    </row>
    <row r="2428" spans="1:11" x14ac:dyDescent="0.2">
      <c r="A2428">
        <v>2009630</v>
      </c>
      <c r="B2428">
        <v>2022</v>
      </c>
      <c r="C2428" t="s">
        <v>6</v>
      </c>
      <c r="D2428" t="s">
        <v>7</v>
      </c>
      <c r="E2428" t="s">
        <v>8</v>
      </c>
      <c r="F2428">
        <v>4996</v>
      </c>
      <c r="G2428" t="s">
        <v>82</v>
      </c>
      <c r="H2428" s="1">
        <v>241732</v>
      </c>
      <c r="I2428" s="1">
        <v>0</v>
      </c>
      <c r="J2428" s="1">
        <v>241732</v>
      </c>
      <c r="K2428">
        <f>VLOOKUP(F2428,'LEAID Match'!$A$2:$C$2979,3,FALSE)</f>
        <v>2009630</v>
      </c>
    </row>
    <row r="2429" spans="1:11" x14ac:dyDescent="0.2">
      <c r="A2429">
        <v>2009960</v>
      </c>
      <c r="B2429">
        <v>2022</v>
      </c>
      <c r="C2429" t="s">
        <v>6</v>
      </c>
      <c r="D2429" t="s">
        <v>7</v>
      </c>
      <c r="E2429" t="s">
        <v>8</v>
      </c>
      <c r="F2429">
        <v>4997</v>
      </c>
      <c r="G2429" s="9" t="s">
        <v>83</v>
      </c>
      <c r="H2429" s="1">
        <v>3697285</v>
      </c>
      <c r="I2429" s="1">
        <v>0</v>
      </c>
      <c r="J2429" s="1">
        <v>3697285</v>
      </c>
      <c r="K2429">
        <f>VLOOKUP(F2429,'LEAID Match'!$A$2:$C$2979,3,FALSE)</f>
        <v>2009960</v>
      </c>
    </row>
    <row r="2430" spans="1:11" x14ac:dyDescent="0.2">
      <c r="A2430">
        <v>2012030</v>
      </c>
      <c r="B2430">
        <v>2022</v>
      </c>
      <c r="C2430" t="s">
        <v>6</v>
      </c>
      <c r="D2430" t="s">
        <v>7</v>
      </c>
      <c r="E2430" t="s">
        <v>8</v>
      </c>
      <c r="F2430" s="3">
        <v>4998</v>
      </c>
      <c r="G2430" s="3" t="s">
        <v>84</v>
      </c>
      <c r="H2430" s="22">
        <v>458546</v>
      </c>
      <c r="I2430" s="1">
        <v>0</v>
      </c>
      <c r="J2430" s="1">
        <v>458546</v>
      </c>
      <c r="K2430">
        <f>VLOOKUP(F2430,'LEAID Match'!$A$2:$C$2979,3,FALSE)</f>
        <v>2012030</v>
      </c>
    </row>
    <row r="2431" spans="1:11" x14ac:dyDescent="0.2">
      <c r="A2431">
        <v>2009180</v>
      </c>
      <c r="B2431">
        <v>2022</v>
      </c>
      <c r="C2431" t="s">
        <v>6</v>
      </c>
      <c r="D2431" t="s">
        <v>7</v>
      </c>
      <c r="E2431" t="s">
        <v>8</v>
      </c>
      <c r="F2431" s="3">
        <v>4999</v>
      </c>
      <c r="G2431" s="3" t="s">
        <v>352</v>
      </c>
      <c r="H2431" s="1">
        <v>7648620</v>
      </c>
      <c r="I2431" s="21">
        <v>0</v>
      </c>
      <c r="J2431" s="21">
        <v>7648620</v>
      </c>
      <c r="K2431">
        <f>VLOOKUP(F2431,'LEAID Match'!$A$2:$C$2979,3,FALSE)</f>
        <v>2009180</v>
      </c>
    </row>
    <row r="2432" spans="1:11" x14ac:dyDescent="0.2">
      <c r="A2432">
        <v>2003360</v>
      </c>
      <c r="B2432">
        <v>2022</v>
      </c>
      <c r="C2432" t="s">
        <v>6</v>
      </c>
      <c r="D2432" t="s">
        <v>7</v>
      </c>
      <c r="E2432" t="s">
        <v>8</v>
      </c>
      <c r="F2432" s="3">
        <v>5000</v>
      </c>
      <c r="G2432" s="3" t="s">
        <v>86</v>
      </c>
      <c r="H2432" s="1">
        <v>4443809</v>
      </c>
      <c r="I2432" s="1">
        <v>0</v>
      </c>
      <c r="J2432" s="1">
        <v>4443809</v>
      </c>
      <c r="K2432">
        <f>VLOOKUP(F2432,'LEAID Match'!$A$2:$C$2979,3,FALSE)</f>
        <v>2003360</v>
      </c>
    </row>
    <row r="2433" spans="1:11" x14ac:dyDescent="0.2">
      <c r="A2433">
        <v>2009090</v>
      </c>
      <c r="B2433">
        <v>2022</v>
      </c>
      <c r="C2433" t="s">
        <v>6</v>
      </c>
      <c r="D2433" t="s">
        <v>7</v>
      </c>
      <c r="E2433" t="s">
        <v>8</v>
      </c>
      <c r="F2433">
        <v>5001</v>
      </c>
      <c r="G2433" t="s">
        <v>87</v>
      </c>
      <c r="H2433" s="1">
        <v>263209</v>
      </c>
      <c r="I2433" s="1">
        <v>0</v>
      </c>
      <c r="J2433" s="1">
        <v>263209</v>
      </c>
      <c r="K2433">
        <f>VLOOKUP(F2433,'LEAID Match'!$A$2:$C$2979,3,FALSE)</f>
        <v>2009090</v>
      </c>
    </row>
    <row r="2434" spans="1:11" x14ac:dyDescent="0.2">
      <c r="A2434">
        <v>2006870</v>
      </c>
      <c r="B2434">
        <v>2022</v>
      </c>
      <c r="C2434" t="s">
        <v>6</v>
      </c>
      <c r="D2434" t="s">
        <v>7</v>
      </c>
      <c r="E2434" t="s">
        <v>8</v>
      </c>
      <c r="F2434">
        <v>5002</v>
      </c>
      <c r="G2434" t="s">
        <v>88</v>
      </c>
      <c r="H2434" s="1">
        <v>92823</v>
      </c>
      <c r="I2434" s="1">
        <v>0</v>
      </c>
      <c r="J2434" s="1">
        <v>92823</v>
      </c>
      <c r="K2434">
        <f>VLOOKUP(F2434,'LEAID Match'!$A$2:$C$2979,3,FALSE)</f>
        <v>2006870</v>
      </c>
    </row>
    <row r="2435" spans="1:11" x14ac:dyDescent="0.2">
      <c r="A2435">
        <v>2011250</v>
      </c>
      <c r="B2435">
        <v>2022</v>
      </c>
      <c r="C2435" t="s">
        <v>6</v>
      </c>
      <c r="D2435" t="s">
        <v>7</v>
      </c>
      <c r="E2435" t="s">
        <v>8</v>
      </c>
      <c r="F2435">
        <v>5004</v>
      </c>
      <c r="G2435" t="s">
        <v>89</v>
      </c>
      <c r="H2435" s="1">
        <v>1343332</v>
      </c>
      <c r="I2435" s="1">
        <v>0</v>
      </c>
      <c r="J2435" s="1">
        <v>1343332</v>
      </c>
      <c r="K2435">
        <f>VLOOKUP(F2435,'LEAID Match'!$A$2:$C$2979,3,FALSE)</f>
        <v>2011250</v>
      </c>
    </row>
    <row r="2436" spans="1:11" x14ac:dyDescent="0.2">
      <c r="A2436">
        <v>2005610</v>
      </c>
      <c r="B2436">
        <v>2022</v>
      </c>
      <c r="C2436" t="s">
        <v>6</v>
      </c>
      <c r="D2436" t="s">
        <v>7</v>
      </c>
      <c r="E2436" t="s">
        <v>8</v>
      </c>
      <c r="F2436">
        <v>5005</v>
      </c>
      <c r="G2436" t="s">
        <v>90</v>
      </c>
      <c r="H2436" s="20">
        <v>602133</v>
      </c>
      <c r="I2436" s="1">
        <v>0</v>
      </c>
      <c r="J2436" s="1">
        <v>602133</v>
      </c>
      <c r="K2436">
        <f>VLOOKUP(F2436,'LEAID Match'!$A$2:$C$2979,3,FALSE)</f>
        <v>2005610</v>
      </c>
    </row>
    <row r="2437" spans="1:11" x14ac:dyDescent="0.2">
      <c r="A2437">
        <v>2010590</v>
      </c>
      <c r="B2437">
        <v>2022</v>
      </c>
      <c r="C2437" t="s">
        <v>6</v>
      </c>
      <c r="D2437" t="s">
        <v>7</v>
      </c>
      <c r="E2437" t="s">
        <v>8</v>
      </c>
      <c r="F2437">
        <v>5006</v>
      </c>
      <c r="G2437" t="s">
        <v>91</v>
      </c>
      <c r="H2437" s="1">
        <v>267684</v>
      </c>
      <c r="I2437" s="1">
        <v>0</v>
      </c>
      <c r="J2437" s="1">
        <v>267684</v>
      </c>
      <c r="K2437">
        <f>VLOOKUP(F2437,'LEAID Match'!$A$2:$C$2979,3,FALSE)</f>
        <v>2010590</v>
      </c>
    </row>
    <row r="2438" spans="1:11" x14ac:dyDescent="0.2">
      <c r="A2438">
        <v>2000033</v>
      </c>
      <c r="B2438">
        <v>2022</v>
      </c>
      <c r="C2438" t="s">
        <v>6</v>
      </c>
      <c r="D2438" t="s">
        <v>7</v>
      </c>
      <c r="E2438" t="s">
        <v>8</v>
      </c>
      <c r="F2438">
        <v>5655</v>
      </c>
      <c r="G2438" s="9" t="s">
        <v>40</v>
      </c>
      <c r="H2438" s="1"/>
      <c r="I2438" s="1">
        <v>349765.22391587589</v>
      </c>
      <c r="J2438" s="1">
        <v>349765.22391587589</v>
      </c>
      <c r="K2438">
        <f>VLOOKUP(F2438,'LEAID Match'!$A$2:$C$2979,3,FALSE)</f>
        <v>2000033</v>
      </c>
    </row>
    <row r="2439" spans="1:11" x14ac:dyDescent="0.2">
      <c r="A2439">
        <v>2011130</v>
      </c>
      <c r="B2439">
        <v>2022</v>
      </c>
      <c r="C2439" t="s">
        <v>6</v>
      </c>
      <c r="D2439" t="s">
        <v>7</v>
      </c>
      <c r="E2439" t="s">
        <v>8</v>
      </c>
      <c r="F2439" s="3">
        <v>5008</v>
      </c>
      <c r="G2439" s="3" t="s">
        <v>92</v>
      </c>
      <c r="H2439" s="22">
        <v>661756</v>
      </c>
      <c r="I2439" s="1">
        <v>0</v>
      </c>
      <c r="J2439" s="1">
        <v>661756</v>
      </c>
      <c r="K2439">
        <f>VLOOKUP(F2439,'LEAID Match'!$A$2:$C$2979,3,FALSE)</f>
        <v>2011130</v>
      </c>
    </row>
    <row r="2440" spans="1:11" x14ac:dyDescent="0.2">
      <c r="A2440">
        <v>2003540</v>
      </c>
      <c r="B2440">
        <v>2022</v>
      </c>
      <c r="C2440" t="s">
        <v>6</v>
      </c>
      <c r="D2440" t="s">
        <v>7</v>
      </c>
      <c r="E2440" t="s">
        <v>8</v>
      </c>
      <c r="F2440" s="3">
        <v>5010</v>
      </c>
      <c r="G2440" s="3" t="s">
        <v>93</v>
      </c>
      <c r="H2440" s="1">
        <v>1497968</v>
      </c>
      <c r="I2440" s="21">
        <v>0</v>
      </c>
      <c r="J2440" s="21">
        <v>1497968</v>
      </c>
      <c r="K2440">
        <f>VLOOKUP(F2440,'LEAID Match'!$A$2:$C$2979,3,FALSE)</f>
        <v>2003540</v>
      </c>
    </row>
    <row r="2441" spans="1:11" x14ac:dyDescent="0.2">
      <c r="A2441">
        <v>2010230</v>
      </c>
      <c r="B2441">
        <v>2022</v>
      </c>
      <c r="C2441" t="s">
        <v>6</v>
      </c>
      <c r="D2441" t="s">
        <v>7</v>
      </c>
      <c r="E2441" t="s">
        <v>8</v>
      </c>
      <c r="F2441" s="3">
        <v>5011</v>
      </c>
      <c r="G2441" s="3" t="s">
        <v>94</v>
      </c>
      <c r="H2441" s="1">
        <v>606812</v>
      </c>
      <c r="I2441" s="1">
        <v>0</v>
      </c>
      <c r="J2441" s="1">
        <v>606812</v>
      </c>
      <c r="K2441">
        <f>VLOOKUP(F2441,'LEAID Match'!$A$2:$C$2979,3,FALSE)</f>
        <v>2010230</v>
      </c>
    </row>
    <row r="2442" spans="1:11" x14ac:dyDescent="0.2">
      <c r="A2442">
        <v>2009000</v>
      </c>
      <c r="B2442">
        <v>2022</v>
      </c>
      <c r="C2442" t="s">
        <v>6</v>
      </c>
      <c r="D2442" t="s">
        <v>7</v>
      </c>
      <c r="E2442" t="s">
        <v>8</v>
      </c>
      <c r="F2442">
        <v>5012</v>
      </c>
      <c r="G2442" t="s">
        <v>95</v>
      </c>
      <c r="H2442" s="1">
        <v>394071</v>
      </c>
      <c r="I2442" s="1">
        <v>0</v>
      </c>
      <c r="J2442" s="1">
        <v>394071</v>
      </c>
      <c r="K2442">
        <f>VLOOKUP(F2442,'LEAID Match'!$A$2:$C$2979,3,FALSE)</f>
        <v>2009000</v>
      </c>
    </row>
    <row r="2443" spans="1:11" x14ac:dyDescent="0.2">
      <c r="A2443">
        <v>2005580</v>
      </c>
      <c r="B2443">
        <v>2022</v>
      </c>
      <c r="C2443" t="s">
        <v>6</v>
      </c>
      <c r="D2443" t="s">
        <v>7</v>
      </c>
      <c r="E2443" t="s">
        <v>8</v>
      </c>
      <c r="F2443">
        <v>5013</v>
      </c>
      <c r="G2443" t="s">
        <v>96</v>
      </c>
      <c r="H2443" s="1">
        <v>7152808</v>
      </c>
      <c r="I2443" s="1">
        <v>0</v>
      </c>
      <c r="J2443" s="1">
        <v>7152808</v>
      </c>
      <c r="K2443">
        <f>VLOOKUP(F2443,'LEAID Match'!$A$2:$C$2979,3,FALSE)</f>
        <v>2005580</v>
      </c>
    </row>
    <row r="2444" spans="1:11" x14ac:dyDescent="0.2">
      <c r="A2444">
        <v>2007650</v>
      </c>
      <c r="B2444">
        <v>2022</v>
      </c>
      <c r="C2444" t="s">
        <v>6</v>
      </c>
      <c r="D2444" t="s">
        <v>7</v>
      </c>
      <c r="E2444" t="s">
        <v>8</v>
      </c>
      <c r="F2444">
        <v>5014</v>
      </c>
      <c r="G2444" t="s">
        <v>97</v>
      </c>
      <c r="H2444" s="1">
        <v>1617165</v>
      </c>
      <c r="I2444" s="1">
        <v>0</v>
      </c>
      <c r="J2444" s="1">
        <v>1617165</v>
      </c>
      <c r="K2444">
        <f>VLOOKUP(F2444,'LEAID Match'!$A$2:$C$2979,3,FALSE)</f>
        <v>2007650</v>
      </c>
    </row>
    <row r="2445" spans="1:11" x14ac:dyDescent="0.2">
      <c r="A2445">
        <v>2007710</v>
      </c>
      <c r="B2445">
        <v>2022</v>
      </c>
      <c r="C2445" t="s">
        <v>6</v>
      </c>
      <c r="D2445" t="s">
        <v>7</v>
      </c>
      <c r="E2445" t="s">
        <v>8</v>
      </c>
      <c r="F2445">
        <v>5015</v>
      </c>
      <c r="G2445" t="s">
        <v>98</v>
      </c>
      <c r="H2445" s="20">
        <v>421652</v>
      </c>
      <c r="I2445" s="1">
        <v>0</v>
      </c>
      <c r="J2445" s="1">
        <v>421652</v>
      </c>
      <c r="K2445">
        <f>VLOOKUP(F2445,'LEAID Match'!$A$2:$C$2979,3,FALSE)</f>
        <v>2007710</v>
      </c>
    </row>
    <row r="2446" spans="1:11" x14ac:dyDescent="0.2">
      <c r="A2446">
        <v>2005640</v>
      </c>
      <c r="B2446">
        <v>2022</v>
      </c>
      <c r="C2446" t="s">
        <v>6</v>
      </c>
      <c r="D2446" t="s">
        <v>7</v>
      </c>
      <c r="E2446" t="s">
        <v>8</v>
      </c>
      <c r="F2446">
        <v>5016</v>
      </c>
      <c r="G2446" t="s">
        <v>99</v>
      </c>
      <c r="H2446" s="1">
        <v>581189</v>
      </c>
      <c r="I2446" s="1">
        <v>0</v>
      </c>
      <c r="J2446" s="1">
        <v>581189</v>
      </c>
      <c r="K2446">
        <f>VLOOKUP(F2446,'LEAID Match'!$A$2:$C$2979,3,FALSE)</f>
        <v>2005640</v>
      </c>
    </row>
    <row r="2447" spans="1:11" x14ac:dyDescent="0.2">
      <c r="A2447">
        <v>2008430</v>
      </c>
      <c r="B2447">
        <v>2022</v>
      </c>
      <c r="C2447" t="s">
        <v>6</v>
      </c>
      <c r="D2447" t="s">
        <v>7</v>
      </c>
      <c r="E2447" t="s">
        <v>8</v>
      </c>
      <c r="F2447">
        <v>5017</v>
      </c>
      <c r="G2447" s="9" t="s">
        <v>100</v>
      </c>
      <c r="H2447" s="1">
        <v>3766952</v>
      </c>
      <c r="I2447" s="1">
        <v>0</v>
      </c>
      <c r="J2447" s="1">
        <v>3766952</v>
      </c>
      <c r="K2447">
        <f>VLOOKUP(F2447,'LEAID Match'!$A$2:$C$2979,3,FALSE)</f>
        <v>2008430</v>
      </c>
    </row>
    <row r="2448" spans="1:11" x14ac:dyDescent="0.2">
      <c r="A2448">
        <v>2009480</v>
      </c>
      <c r="B2448">
        <v>2022</v>
      </c>
      <c r="C2448" t="s">
        <v>6</v>
      </c>
      <c r="D2448" t="s">
        <v>7</v>
      </c>
      <c r="E2448" t="s">
        <v>8</v>
      </c>
      <c r="F2448" s="3">
        <v>5018</v>
      </c>
      <c r="G2448" s="3" t="s">
        <v>101</v>
      </c>
      <c r="H2448" s="22">
        <v>267061</v>
      </c>
      <c r="I2448" s="1">
        <v>0</v>
      </c>
      <c r="J2448" s="1">
        <v>267061</v>
      </c>
      <c r="K2448">
        <f>VLOOKUP(F2448,'LEAID Match'!$A$2:$C$2979,3,FALSE)</f>
        <v>2009480</v>
      </c>
    </row>
    <row r="2449" spans="1:11" x14ac:dyDescent="0.2">
      <c r="A2449">
        <v>2003450</v>
      </c>
      <c r="B2449">
        <v>2022</v>
      </c>
      <c r="C2449" t="s">
        <v>6</v>
      </c>
      <c r="D2449" t="s">
        <v>7</v>
      </c>
      <c r="E2449" t="s">
        <v>8</v>
      </c>
      <c r="F2449" s="3">
        <v>5019</v>
      </c>
      <c r="G2449" s="3" t="s">
        <v>102</v>
      </c>
      <c r="H2449" s="1">
        <v>2748353</v>
      </c>
      <c r="I2449" s="21">
        <v>0</v>
      </c>
      <c r="J2449" s="21">
        <v>2748353</v>
      </c>
      <c r="K2449">
        <f>VLOOKUP(F2449,'LEAID Match'!$A$2:$C$2979,3,FALSE)</f>
        <v>2003450</v>
      </c>
    </row>
    <row r="2450" spans="1:11" x14ac:dyDescent="0.2">
      <c r="A2450">
        <v>2007890</v>
      </c>
      <c r="B2450">
        <v>2022</v>
      </c>
      <c r="C2450" t="s">
        <v>6</v>
      </c>
      <c r="D2450" t="s">
        <v>7</v>
      </c>
      <c r="E2450" t="s">
        <v>8</v>
      </c>
      <c r="F2450" s="3">
        <v>5020</v>
      </c>
      <c r="G2450" s="3" t="s">
        <v>103</v>
      </c>
      <c r="H2450" s="1">
        <v>7897844</v>
      </c>
      <c r="I2450" s="1">
        <v>0</v>
      </c>
      <c r="J2450" s="1">
        <v>7897844</v>
      </c>
      <c r="K2450">
        <f>VLOOKUP(F2450,'LEAID Match'!$A$2:$C$2979,3,FALSE)</f>
        <v>2007890</v>
      </c>
    </row>
    <row r="2451" spans="1:11" x14ac:dyDescent="0.2">
      <c r="A2451">
        <v>2007680</v>
      </c>
      <c r="B2451">
        <v>2022</v>
      </c>
      <c r="C2451" t="s">
        <v>6</v>
      </c>
      <c r="D2451" t="s">
        <v>7</v>
      </c>
      <c r="E2451" t="s">
        <v>8</v>
      </c>
      <c r="F2451">
        <v>5021</v>
      </c>
      <c r="G2451" t="s">
        <v>104</v>
      </c>
      <c r="H2451" s="1">
        <v>287163</v>
      </c>
      <c r="I2451" s="1">
        <v>0</v>
      </c>
      <c r="J2451" s="1">
        <v>287163</v>
      </c>
      <c r="K2451">
        <f>VLOOKUP(F2451,'LEAID Match'!$A$2:$C$2979,3,FALSE)</f>
        <v>2007680</v>
      </c>
    </row>
    <row r="2452" spans="1:11" x14ac:dyDescent="0.2">
      <c r="A2452">
        <v>2008730</v>
      </c>
      <c r="B2452">
        <v>2022</v>
      </c>
      <c r="C2452" t="s">
        <v>6</v>
      </c>
      <c r="D2452" t="s">
        <v>7</v>
      </c>
      <c r="E2452" t="s">
        <v>8</v>
      </c>
      <c r="F2452">
        <v>5022</v>
      </c>
      <c r="G2452" t="s">
        <v>105</v>
      </c>
      <c r="H2452" s="1">
        <v>4333600</v>
      </c>
      <c r="I2452" s="1">
        <v>0</v>
      </c>
      <c r="J2452" s="1">
        <v>4333600</v>
      </c>
      <c r="K2452">
        <f>VLOOKUP(F2452,'LEAID Match'!$A$2:$C$2979,3,FALSE)</f>
        <v>2008730</v>
      </c>
    </row>
    <row r="2453" spans="1:11" x14ac:dyDescent="0.2">
      <c r="A2453">
        <v>2008280</v>
      </c>
      <c r="B2453">
        <v>2022</v>
      </c>
      <c r="C2453" t="s">
        <v>6</v>
      </c>
      <c r="D2453" t="s">
        <v>7</v>
      </c>
      <c r="E2453" t="s">
        <v>8</v>
      </c>
      <c r="F2453">
        <v>5024</v>
      </c>
      <c r="G2453" t="s">
        <v>106</v>
      </c>
      <c r="H2453" s="1">
        <v>637187</v>
      </c>
      <c r="I2453" s="1">
        <v>0</v>
      </c>
      <c r="J2453" s="1">
        <v>637187</v>
      </c>
      <c r="K2453">
        <f>VLOOKUP(F2453,'LEAID Match'!$A$2:$C$2979,3,FALSE)</f>
        <v>2008280</v>
      </c>
    </row>
    <row r="2454" spans="1:11" x14ac:dyDescent="0.2">
      <c r="A2454">
        <v>2006180</v>
      </c>
      <c r="B2454">
        <v>2022</v>
      </c>
      <c r="C2454" t="s">
        <v>6</v>
      </c>
      <c r="D2454" t="s">
        <v>7</v>
      </c>
      <c r="E2454" t="s">
        <v>8</v>
      </c>
      <c r="F2454">
        <v>5025</v>
      </c>
      <c r="G2454" t="s">
        <v>107</v>
      </c>
      <c r="H2454" s="20">
        <v>1847442</v>
      </c>
      <c r="I2454" s="1">
        <v>0</v>
      </c>
      <c r="J2454" s="1">
        <v>1847442</v>
      </c>
      <c r="K2454">
        <f>VLOOKUP(F2454,'LEAID Match'!$A$2:$C$2979,3,FALSE)</f>
        <v>2006180</v>
      </c>
    </row>
    <row r="2455" spans="1:11" x14ac:dyDescent="0.2">
      <c r="A2455">
        <v>2003210</v>
      </c>
      <c r="B2455">
        <v>2022</v>
      </c>
      <c r="C2455" t="s">
        <v>6</v>
      </c>
      <c r="D2455" t="s">
        <v>7</v>
      </c>
      <c r="E2455" t="s">
        <v>8</v>
      </c>
      <c r="F2455">
        <v>5026</v>
      </c>
      <c r="G2455" t="s">
        <v>108</v>
      </c>
      <c r="H2455" s="1">
        <v>386757</v>
      </c>
      <c r="I2455" s="1">
        <v>0</v>
      </c>
      <c r="J2455" s="1">
        <v>386757</v>
      </c>
      <c r="K2455">
        <f>VLOOKUP(F2455,'LEAID Match'!$A$2:$C$2979,3,FALSE)</f>
        <v>2003210</v>
      </c>
    </row>
    <row r="2456" spans="1:11" x14ac:dyDescent="0.2">
      <c r="A2456">
        <v>2007050</v>
      </c>
      <c r="B2456">
        <v>2022</v>
      </c>
      <c r="C2456" t="s">
        <v>6</v>
      </c>
      <c r="D2456" t="s">
        <v>7</v>
      </c>
      <c r="E2456" t="s">
        <v>8</v>
      </c>
      <c r="F2456">
        <v>5027</v>
      </c>
      <c r="G2456" s="9" t="s">
        <v>109</v>
      </c>
      <c r="H2456" s="1">
        <v>6113073</v>
      </c>
      <c r="I2456" s="1">
        <v>0</v>
      </c>
      <c r="J2456" s="1">
        <v>6113073</v>
      </c>
      <c r="K2456">
        <f>VLOOKUP(F2456,'LEAID Match'!$A$2:$C$2979,3,FALSE)</f>
        <v>2007050</v>
      </c>
    </row>
    <row r="2457" spans="1:11" x14ac:dyDescent="0.2">
      <c r="A2457">
        <v>2011080</v>
      </c>
      <c r="B2457">
        <v>2022</v>
      </c>
      <c r="C2457" t="s">
        <v>6</v>
      </c>
      <c r="D2457" t="s">
        <v>7</v>
      </c>
      <c r="E2457" t="s">
        <v>8</v>
      </c>
      <c r="F2457" s="3">
        <v>5028</v>
      </c>
      <c r="G2457" s="3" t="s">
        <v>110</v>
      </c>
      <c r="H2457" s="22">
        <v>1399992</v>
      </c>
      <c r="I2457" s="1">
        <v>0</v>
      </c>
      <c r="J2457" s="1">
        <v>1399992</v>
      </c>
      <c r="K2457">
        <f>VLOOKUP(F2457,'LEAID Match'!$A$2:$C$2979,3,FALSE)</f>
        <v>2011080</v>
      </c>
    </row>
    <row r="2458" spans="1:11" x14ac:dyDescent="0.2">
      <c r="A2458">
        <v>2000014</v>
      </c>
      <c r="B2458">
        <v>2022</v>
      </c>
      <c r="C2458" t="s">
        <v>6</v>
      </c>
      <c r="D2458" t="s">
        <v>7</v>
      </c>
      <c r="E2458" t="s">
        <v>8</v>
      </c>
      <c r="F2458" s="3">
        <v>5029</v>
      </c>
      <c r="G2458" s="3" t="s">
        <v>111</v>
      </c>
      <c r="H2458" s="1">
        <v>493869</v>
      </c>
      <c r="I2458" s="21">
        <v>0</v>
      </c>
      <c r="J2458" s="21">
        <v>493869</v>
      </c>
      <c r="K2458">
        <f>VLOOKUP(F2458,'LEAID Match'!$A$2:$C$2979,3,FALSE)</f>
        <v>2000014</v>
      </c>
    </row>
    <row r="2459" spans="1:11" x14ac:dyDescent="0.2">
      <c r="A2459">
        <v>2011370</v>
      </c>
      <c r="B2459">
        <v>2022</v>
      </c>
      <c r="C2459" t="s">
        <v>6</v>
      </c>
      <c r="D2459" t="s">
        <v>7</v>
      </c>
      <c r="E2459" t="s">
        <v>8</v>
      </c>
      <c r="F2459" s="3">
        <v>5031</v>
      </c>
      <c r="G2459" s="3" t="s">
        <v>112</v>
      </c>
      <c r="H2459" s="1">
        <v>9696223</v>
      </c>
      <c r="I2459" s="1">
        <v>0</v>
      </c>
      <c r="J2459" s="1">
        <v>9696223</v>
      </c>
      <c r="K2459">
        <f>VLOOKUP(F2459,'LEAID Match'!$A$2:$C$2979,3,FALSE)</f>
        <v>2011370</v>
      </c>
    </row>
    <row r="2460" spans="1:11" x14ac:dyDescent="0.2">
      <c r="A2460">
        <v>2003390</v>
      </c>
      <c r="B2460">
        <v>2022</v>
      </c>
      <c r="C2460" t="s">
        <v>6</v>
      </c>
      <c r="D2460" t="s">
        <v>7</v>
      </c>
      <c r="E2460" t="s">
        <v>8</v>
      </c>
      <c r="F2460">
        <v>5032</v>
      </c>
      <c r="G2460" t="s">
        <v>113</v>
      </c>
      <c r="H2460" s="1">
        <v>854686</v>
      </c>
      <c r="I2460" s="1">
        <v>0</v>
      </c>
      <c r="J2460" s="1">
        <v>854686</v>
      </c>
      <c r="K2460">
        <f>VLOOKUP(F2460,'LEAID Match'!$A$2:$C$2979,3,FALSE)</f>
        <v>2003390</v>
      </c>
    </row>
    <row r="2461" spans="1:11" x14ac:dyDescent="0.2">
      <c r="A2461">
        <v>2011100</v>
      </c>
      <c r="B2461">
        <v>2022</v>
      </c>
      <c r="C2461" t="s">
        <v>6</v>
      </c>
      <c r="D2461" t="s">
        <v>7</v>
      </c>
      <c r="E2461" t="s">
        <v>8</v>
      </c>
      <c r="F2461">
        <v>5033</v>
      </c>
      <c r="G2461" t="s">
        <v>114</v>
      </c>
      <c r="H2461" s="1">
        <v>559676</v>
      </c>
      <c r="I2461" s="1">
        <v>0</v>
      </c>
      <c r="J2461" s="1">
        <v>559676</v>
      </c>
      <c r="K2461">
        <f>VLOOKUP(F2461,'LEAID Match'!$A$2:$C$2979,3,FALSE)</f>
        <v>2011100</v>
      </c>
    </row>
    <row r="2462" spans="1:11" x14ac:dyDescent="0.2">
      <c r="A2462">
        <v>2004020</v>
      </c>
      <c r="B2462">
        <v>2022</v>
      </c>
      <c r="C2462" t="s">
        <v>6</v>
      </c>
      <c r="D2462" t="s">
        <v>7</v>
      </c>
      <c r="E2462" t="s">
        <v>8</v>
      </c>
      <c r="F2462">
        <v>5034</v>
      </c>
      <c r="G2462" t="s">
        <v>115</v>
      </c>
      <c r="H2462" s="1">
        <v>248245</v>
      </c>
      <c r="I2462" s="1">
        <v>0</v>
      </c>
      <c r="J2462" s="1">
        <v>248245</v>
      </c>
      <c r="K2462">
        <f>VLOOKUP(F2462,'LEAID Match'!$A$2:$C$2979,3,FALSE)</f>
        <v>2004020</v>
      </c>
    </row>
    <row r="2463" spans="1:11" x14ac:dyDescent="0.2">
      <c r="A2463">
        <v>2004590</v>
      </c>
      <c r="B2463">
        <v>2022</v>
      </c>
      <c r="C2463" t="s">
        <v>6</v>
      </c>
      <c r="D2463" t="s">
        <v>7</v>
      </c>
      <c r="E2463" t="s">
        <v>8</v>
      </c>
      <c r="F2463">
        <v>5035</v>
      </c>
      <c r="G2463" t="s">
        <v>116</v>
      </c>
      <c r="H2463" s="20">
        <v>1584817</v>
      </c>
      <c r="I2463" s="1">
        <v>0</v>
      </c>
      <c r="J2463" s="1">
        <v>1584817</v>
      </c>
      <c r="K2463">
        <f>VLOOKUP(F2463,'LEAID Match'!$A$2:$C$2979,3,FALSE)</f>
        <v>2004590</v>
      </c>
    </row>
    <row r="2464" spans="1:11" x14ac:dyDescent="0.2">
      <c r="A2464">
        <v>2000006</v>
      </c>
      <c r="B2464">
        <v>2022</v>
      </c>
      <c r="C2464" t="s">
        <v>6</v>
      </c>
      <c r="D2464" t="s">
        <v>7</v>
      </c>
      <c r="E2464" t="s">
        <v>8</v>
      </c>
      <c r="F2464">
        <v>5036</v>
      </c>
      <c r="G2464" t="s">
        <v>117</v>
      </c>
      <c r="H2464" s="1">
        <v>847286</v>
      </c>
      <c r="I2464" s="1">
        <v>0</v>
      </c>
      <c r="J2464" s="1">
        <v>847286</v>
      </c>
      <c r="K2464">
        <f>VLOOKUP(F2464,'LEAID Match'!$A$2:$C$2979,3,FALSE)</f>
        <v>2000006</v>
      </c>
    </row>
    <row r="2465" spans="1:11" x14ac:dyDescent="0.2">
      <c r="A2465">
        <v>2009390</v>
      </c>
      <c r="B2465">
        <v>2022</v>
      </c>
      <c r="C2465" t="s">
        <v>6</v>
      </c>
      <c r="D2465" t="s">
        <v>7</v>
      </c>
      <c r="E2465" t="s">
        <v>8</v>
      </c>
      <c r="F2465">
        <v>5037</v>
      </c>
      <c r="G2465" s="9" t="s">
        <v>118</v>
      </c>
      <c r="H2465" s="1">
        <v>2863924</v>
      </c>
      <c r="I2465" s="1">
        <v>0</v>
      </c>
      <c r="J2465" s="1">
        <v>2863924</v>
      </c>
      <c r="K2465">
        <f>VLOOKUP(F2465,'LEAID Match'!$A$2:$C$2979,3,FALSE)</f>
        <v>2009390</v>
      </c>
    </row>
    <row r="2466" spans="1:11" x14ac:dyDescent="0.2">
      <c r="A2466">
        <v>2006720</v>
      </c>
      <c r="B2466">
        <v>2022</v>
      </c>
      <c r="C2466" t="s">
        <v>6</v>
      </c>
      <c r="D2466" t="s">
        <v>7</v>
      </c>
      <c r="E2466" t="s">
        <v>8</v>
      </c>
      <c r="F2466" s="3">
        <v>5038</v>
      </c>
      <c r="G2466" s="3" t="s">
        <v>119</v>
      </c>
      <c r="H2466" s="22">
        <v>379378</v>
      </c>
      <c r="I2466" s="1">
        <v>0</v>
      </c>
      <c r="J2466" s="1">
        <v>379378</v>
      </c>
      <c r="K2466">
        <f>VLOOKUP(F2466,'LEAID Match'!$A$2:$C$2979,3,FALSE)</f>
        <v>2006720</v>
      </c>
    </row>
    <row r="2467" spans="1:11" x14ac:dyDescent="0.2">
      <c r="A2467">
        <v>2011550</v>
      </c>
      <c r="B2467">
        <v>2022</v>
      </c>
      <c r="C2467" t="s">
        <v>6</v>
      </c>
      <c r="D2467" t="s">
        <v>7</v>
      </c>
      <c r="E2467" t="s">
        <v>8</v>
      </c>
      <c r="F2467" s="3">
        <v>5039</v>
      </c>
      <c r="G2467" s="3" t="s">
        <v>120</v>
      </c>
      <c r="H2467" s="1">
        <v>471512</v>
      </c>
      <c r="I2467" s="21">
        <v>0</v>
      </c>
      <c r="J2467" s="21">
        <v>471512</v>
      </c>
      <c r="K2467">
        <f>VLOOKUP(F2467,'LEAID Match'!$A$2:$C$2979,3,FALSE)</f>
        <v>2011550</v>
      </c>
    </row>
    <row r="2468" spans="1:11" x14ac:dyDescent="0.2">
      <c r="A2468">
        <v>2004980</v>
      </c>
      <c r="B2468">
        <v>2022</v>
      </c>
      <c r="C2468" t="s">
        <v>6</v>
      </c>
      <c r="D2468" t="s">
        <v>7</v>
      </c>
      <c r="E2468" t="s">
        <v>8</v>
      </c>
      <c r="F2468" s="3">
        <v>5040</v>
      </c>
      <c r="G2468" s="3" t="s">
        <v>121</v>
      </c>
      <c r="H2468" s="1">
        <v>1482181</v>
      </c>
      <c r="I2468" s="1">
        <v>0</v>
      </c>
      <c r="J2468" s="1">
        <v>1482181</v>
      </c>
      <c r="K2468">
        <f>VLOOKUP(F2468,'LEAID Match'!$A$2:$C$2979,3,FALSE)</f>
        <v>2004980</v>
      </c>
    </row>
    <row r="2469" spans="1:11" x14ac:dyDescent="0.2">
      <c r="A2469">
        <v>2006390</v>
      </c>
      <c r="B2469">
        <v>2022</v>
      </c>
      <c r="C2469" t="s">
        <v>6</v>
      </c>
      <c r="D2469" t="s">
        <v>7</v>
      </c>
      <c r="E2469" t="s">
        <v>8</v>
      </c>
      <c r="F2469">
        <v>5041</v>
      </c>
      <c r="G2469" t="s">
        <v>122</v>
      </c>
      <c r="H2469" s="1">
        <v>7217682</v>
      </c>
      <c r="I2469" s="1">
        <v>0</v>
      </c>
      <c r="J2469" s="1">
        <v>7217682</v>
      </c>
      <c r="K2469">
        <f>VLOOKUP(F2469,'LEAID Match'!$A$2:$C$2979,3,FALSE)</f>
        <v>2006390</v>
      </c>
    </row>
    <row r="2470" spans="1:11" x14ac:dyDescent="0.2">
      <c r="A2470">
        <v>2003780</v>
      </c>
      <c r="B2470">
        <v>2022</v>
      </c>
      <c r="C2470" t="s">
        <v>6</v>
      </c>
      <c r="D2470" t="s">
        <v>7</v>
      </c>
      <c r="E2470" t="s">
        <v>8</v>
      </c>
      <c r="F2470">
        <v>5042</v>
      </c>
      <c r="G2470" t="s">
        <v>123</v>
      </c>
      <c r="H2470" s="1">
        <v>2536196</v>
      </c>
      <c r="I2470" s="1">
        <v>0</v>
      </c>
      <c r="J2470" s="1">
        <v>2536196</v>
      </c>
      <c r="K2470">
        <f>VLOOKUP(F2470,'LEAID Match'!$A$2:$C$2979,3,FALSE)</f>
        <v>2003780</v>
      </c>
    </row>
    <row r="2471" spans="1:11" x14ac:dyDescent="0.2">
      <c r="A2471">
        <v>2013050</v>
      </c>
      <c r="B2471">
        <v>2022</v>
      </c>
      <c r="C2471" t="s">
        <v>6</v>
      </c>
      <c r="D2471" t="s">
        <v>7</v>
      </c>
      <c r="E2471" t="s">
        <v>8</v>
      </c>
      <c r="F2471">
        <v>5043</v>
      </c>
      <c r="G2471" t="s">
        <v>124</v>
      </c>
      <c r="H2471" s="1">
        <v>3402427</v>
      </c>
      <c r="I2471" s="1">
        <v>0</v>
      </c>
      <c r="J2471" s="1">
        <v>3402427</v>
      </c>
      <c r="K2471">
        <f>VLOOKUP(F2471,'LEAID Match'!$A$2:$C$2979,3,FALSE)</f>
        <v>2013050</v>
      </c>
    </row>
    <row r="2472" spans="1:11" x14ac:dyDescent="0.2">
      <c r="A2472">
        <v>2000012</v>
      </c>
      <c r="B2472">
        <v>2022</v>
      </c>
      <c r="C2472" t="s">
        <v>6</v>
      </c>
      <c r="D2472" t="s">
        <v>7</v>
      </c>
      <c r="E2472" t="s">
        <v>8</v>
      </c>
      <c r="F2472">
        <v>5056</v>
      </c>
      <c r="G2472" t="s">
        <v>125</v>
      </c>
      <c r="H2472" s="20">
        <v>361672</v>
      </c>
      <c r="I2472" s="1">
        <v>0</v>
      </c>
      <c r="J2472" s="1">
        <v>361672</v>
      </c>
      <c r="K2472">
        <f>VLOOKUP(F2472,'LEAID Match'!$A$2:$C$2979,3,FALSE)</f>
        <v>2000012</v>
      </c>
    </row>
    <row r="2473" spans="1:11" x14ac:dyDescent="0.2">
      <c r="A2473">
        <v>2007590</v>
      </c>
      <c r="B2473">
        <v>2022</v>
      </c>
      <c r="C2473" t="s">
        <v>6</v>
      </c>
      <c r="D2473" t="s">
        <v>7</v>
      </c>
      <c r="E2473" t="s">
        <v>8</v>
      </c>
      <c r="F2473">
        <v>5057</v>
      </c>
      <c r="G2473" t="s">
        <v>126</v>
      </c>
      <c r="H2473" s="1">
        <v>652976</v>
      </c>
      <c r="I2473" s="1">
        <v>0</v>
      </c>
      <c r="J2473" s="1">
        <v>652976</v>
      </c>
      <c r="K2473">
        <f>VLOOKUP(F2473,'LEAID Match'!$A$2:$C$2979,3,FALSE)</f>
        <v>2007590</v>
      </c>
    </row>
    <row r="2474" spans="1:11" x14ac:dyDescent="0.2">
      <c r="A2474">
        <v>2003870</v>
      </c>
      <c r="B2474">
        <v>2022</v>
      </c>
      <c r="C2474" t="s">
        <v>6</v>
      </c>
      <c r="D2474" t="s">
        <v>7</v>
      </c>
      <c r="E2474" t="s">
        <v>8</v>
      </c>
      <c r="F2474">
        <v>5058</v>
      </c>
      <c r="G2474" s="9" t="s">
        <v>127</v>
      </c>
      <c r="H2474" s="1">
        <v>1276599</v>
      </c>
      <c r="I2474" s="1">
        <v>0</v>
      </c>
      <c r="J2474" s="1">
        <v>1276599</v>
      </c>
      <c r="K2474">
        <f>VLOOKUP(F2474,'LEAID Match'!$A$2:$C$2979,3,FALSE)</f>
        <v>2003870</v>
      </c>
    </row>
    <row r="2475" spans="1:11" x14ac:dyDescent="0.2">
      <c r="A2475">
        <v>2005250</v>
      </c>
      <c r="B2475">
        <v>2022</v>
      </c>
      <c r="C2475" t="s">
        <v>6</v>
      </c>
      <c r="D2475" t="s">
        <v>7</v>
      </c>
      <c r="E2475" t="s">
        <v>8</v>
      </c>
      <c r="F2475" s="3">
        <v>5059</v>
      </c>
      <c r="G2475" s="3" t="s">
        <v>128</v>
      </c>
      <c r="H2475" s="22">
        <v>378466</v>
      </c>
      <c r="I2475" s="1">
        <v>0</v>
      </c>
      <c r="J2475" s="1">
        <v>378466</v>
      </c>
      <c r="K2475">
        <f>VLOOKUP(F2475,'LEAID Match'!$A$2:$C$2979,3,FALSE)</f>
        <v>2005250</v>
      </c>
    </row>
    <row r="2476" spans="1:11" x14ac:dyDescent="0.2">
      <c r="A2476">
        <v>2004500</v>
      </c>
      <c r="B2476">
        <v>2022</v>
      </c>
      <c r="C2476" t="s">
        <v>6</v>
      </c>
      <c r="D2476" t="s">
        <v>7</v>
      </c>
      <c r="E2476" t="s">
        <v>8</v>
      </c>
      <c r="F2476" s="3">
        <v>5060</v>
      </c>
      <c r="G2476" s="3" t="s">
        <v>129</v>
      </c>
      <c r="H2476" s="1">
        <v>182602</v>
      </c>
      <c r="I2476" s="21">
        <v>0</v>
      </c>
      <c r="J2476" s="21">
        <v>182602</v>
      </c>
      <c r="K2476">
        <f>VLOOKUP(F2476,'LEAID Match'!$A$2:$C$2979,3,FALSE)</f>
        <v>2004500</v>
      </c>
    </row>
    <row r="2477" spans="1:11" x14ac:dyDescent="0.2">
      <c r="A2477">
        <v>2011520</v>
      </c>
      <c r="B2477">
        <v>2022</v>
      </c>
      <c r="C2477" t="s">
        <v>6</v>
      </c>
      <c r="D2477" t="s">
        <v>7</v>
      </c>
      <c r="E2477" t="s">
        <v>8</v>
      </c>
      <c r="F2477" s="3">
        <v>5061</v>
      </c>
      <c r="G2477" s="3" t="s">
        <v>130</v>
      </c>
      <c r="H2477" s="1">
        <v>378119</v>
      </c>
      <c r="I2477" s="1">
        <v>0</v>
      </c>
      <c r="J2477" s="1">
        <v>378119</v>
      </c>
      <c r="K2477">
        <f>VLOOKUP(F2477,'LEAID Match'!$A$2:$C$2979,3,FALSE)</f>
        <v>2011520</v>
      </c>
    </row>
    <row r="2478" spans="1:11" x14ac:dyDescent="0.2">
      <c r="A2478">
        <v>2010800</v>
      </c>
      <c r="B2478">
        <v>2022</v>
      </c>
      <c r="C2478" t="s">
        <v>6</v>
      </c>
      <c r="D2478" t="s">
        <v>7</v>
      </c>
      <c r="E2478" t="s">
        <v>8</v>
      </c>
      <c r="F2478">
        <v>5062</v>
      </c>
      <c r="G2478" t="s">
        <v>131</v>
      </c>
      <c r="H2478" s="1">
        <v>629330</v>
      </c>
      <c r="I2478" s="1">
        <v>0</v>
      </c>
      <c r="J2478" s="1">
        <v>629330</v>
      </c>
      <c r="K2478">
        <f>VLOOKUP(F2478,'LEAID Match'!$A$2:$C$2979,3,FALSE)</f>
        <v>2010800</v>
      </c>
    </row>
    <row r="2479" spans="1:11" x14ac:dyDescent="0.2">
      <c r="A2479">
        <v>2005870</v>
      </c>
      <c r="B2479">
        <v>2022</v>
      </c>
      <c r="C2479" t="s">
        <v>6</v>
      </c>
      <c r="D2479" t="s">
        <v>7</v>
      </c>
      <c r="E2479" t="s">
        <v>8</v>
      </c>
      <c r="F2479">
        <v>5063</v>
      </c>
      <c r="G2479" t="s">
        <v>132</v>
      </c>
      <c r="H2479" s="1">
        <v>527972</v>
      </c>
      <c r="I2479" s="1">
        <v>0</v>
      </c>
      <c r="J2479" s="1">
        <v>527972</v>
      </c>
      <c r="K2479">
        <f>VLOOKUP(F2479,'LEAID Match'!$A$2:$C$2979,3,FALSE)</f>
        <v>2005870</v>
      </c>
    </row>
    <row r="2480" spans="1:11" x14ac:dyDescent="0.2">
      <c r="A2480">
        <v>2012540</v>
      </c>
      <c r="B2480">
        <v>2022</v>
      </c>
      <c r="C2480" t="s">
        <v>6</v>
      </c>
      <c r="D2480" t="s">
        <v>7</v>
      </c>
      <c r="E2480" t="s">
        <v>8</v>
      </c>
      <c r="F2480">
        <v>5064</v>
      </c>
      <c r="G2480" t="s">
        <v>133</v>
      </c>
      <c r="H2480" s="1">
        <v>363560</v>
      </c>
      <c r="I2480" s="1">
        <v>0</v>
      </c>
      <c r="J2480" s="1">
        <v>363560</v>
      </c>
      <c r="K2480">
        <f>VLOOKUP(F2480,'LEAID Match'!$A$2:$C$2979,3,FALSE)</f>
        <v>2012540</v>
      </c>
    </row>
    <row r="2481" spans="1:11" x14ac:dyDescent="0.2">
      <c r="A2481">
        <v>2009360</v>
      </c>
      <c r="B2481">
        <v>2022</v>
      </c>
      <c r="C2481" t="s">
        <v>6</v>
      </c>
      <c r="D2481" t="s">
        <v>7</v>
      </c>
      <c r="E2481" t="s">
        <v>8</v>
      </c>
      <c r="F2481">
        <v>5065</v>
      </c>
      <c r="G2481" t="s">
        <v>134</v>
      </c>
      <c r="H2481" s="20">
        <v>437287</v>
      </c>
      <c r="I2481" s="1">
        <v>0</v>
      </c>
      <c r="J2481" s="1">
        <v>437287</v>
      </c>
      <c r="K2481">
        <f>VLOOKUP(F2481,'LEAID Match'!$A$2:$C$2979,3,FALSE)</f>
        <v>2009360</v>
      </c>
    </row>
    <row r="2482" spans="1:11" x14ac:dyDescent="0.2">
      <c r="A2482">
        <v>2004560</v>
      </c>
      <c r="B2482">
        <v>2022</v>
      </c>
      <c r="C2482" t="s">
        <v>6</v>
      </c>
      <c r="D2482" t="s">
        <v>7</v>
      </c>
      <c r="E2482" t="s">
        <v>8</v>
      </c>
      <c r="F2482">
        <v>5066</v>
      </c>
      <c r="G2482" t="s">
        <v>135</v>
      </c>
      <c r="H2482" s="1">
        <v>490227</v>
      </c>
      <c r="I2482" s="1">
        <v>0</v>
      </c>
      <c r="J2482" s="1">
        <v>490227</v>
      </c>
      <c r="K2482">
        <f>VLOOKUP(F2482,'LEAID Match'!$A$2:$C$2979,3,FALSE)</f>
        <v>2004560</v>
      </c>
    </row>
    <row r="2483" spans="1:11" x14ac:dyDescent="0.2">
      <c r="A2483">
        <v>2006120</v>
      </c>
      <c r="B2483">
        <v>2022</v>
      </c>
      <c r="C2483" t="s">
        <v>6</v>
      </c>
      <c r="D2483" t="s">
        <v>7</v>
      </c>
      <c r="E2483" t="s">
        <v>8</v>
      </c>
      <c r="F2483">
        <v>5067</v>
      </c>
      <c r="G2483" s="9" t="s">
        <v>136</v>
      </c>
      <c r="H2483" s="1">
        <v>767254</v>
      </c>
      <c r="I2483" s="1">
        <v>0</v>
      </c>
      <c r="J2483" s="1">
        <v>767254</v>
      </c>
      <c r="K2483">
        <f>VLOOKUP(F2483,'LEAID Match'!$A$2:$C$2979,3,FALSE)</f>
        <v>2006120</v>
      </c>
    </row>
    <row r="2484" spans="1:11" x14ac:dyDescent="0.2">
      <c r="A2484">
        <v>0</v>
      </c>
      <c r="B2484">
        <v>2022</v>
      </c>
      <c r="C2484" t="s">
        <v>6</v>
      </c>
      <c r="D2484" t="s">
        <v>7</v>
      </c>
      <c r="E2484" t="s">
        <v>8</v>
      </c>
      <c r="F2484" s="3">
        <v>5068</v>
      </c>
      <c r="G2484" s="3" t="s">
        <v>137</v>
      </c>
      <c r="H2484" s="22">
        <v>737573</v>
      </c>
      <c r="I2484" s="1">
        <v>0</v>
      </c>
      <c r="J2484" s="1">
        <v>737573</v>
      </c>
      <c r="K2484">
        <f>VLOOKUP(F2484,'LEAID Match'!$A$2:$C$2979,3,FALSE)</f>
        <v>0</v>
      </c>
    </row>
    <row r="2485" spans="1:11" x14ac:dyDescent="0.2">
      <c r="A2485">
        <v>2006840</v>
      </c>
      <c r="B2485">
        <v>2022</v>
      </c>
      <c r="C2485" t="s">
        <v>6</v>
      </c>
      <c r="D2485" t="s">
        <v>7</v>
      </c>
      <c r="E2485" t="s">
        <v>8</v>
      </c>
      <c r="F2485" s="3">
        <v>5069</v>
      </c>
      <c r="G2485" s="3" t="s">
        <v>138</v>
      </c>
      <c r="H2485" s="1">
        <v>653714</v>
      </c>
      <c r="I2485" s="21">
        <v>0</v>
      </c>
      <c r="J2485" s="21">
        <v>653714</v>
      </c>
      <c r="K2485">
        <f>VLOOKUP(F2485,'LEAID Match'!$A$2:$C$2979,3,FALSE)</f>
        <v>2006840</v>
      </c>
    </row>
    <row r="2486" spans="1:11" x14ac:dyDescent="0.2">
      <c r="A2486">
        <v>2012210</v>
      </c>
      <c r="B2486">
        <v>2022</v>
      </c>
      <c r="C2486" t="s">
        <v>6</v>
      </c>
      <c r="D2486" t="s">
        <v>7</v>
      </c>
      <c r="E2486" t="s">
        <v>8</v>
      </c>
      <c r="F2486" s="3">
        <v>5070</v>
      </c>
      <c r="G2486" s="3" t="s">
        <v>139</v>
      </c>
      <c r="H2486" s="1">
        <v>1651071</v>
      </c>
      <c r="I2486" s="1">
        <v>0</v>
      </c>
      <c r="J2486" s="1">
        <v>1651071</v>
      </c>
      <c r="K2486">
        <f>VLOOKUP(F2486,'LEAID Match'!$A$2:$C$2979,3,FALSE)</f>
        <v>2012210</v>
      </c>
    </row>
    <row r="2487" spans="1:11" x14ac:dyDescent="0.2">
      <c r="A2487">
        <v>2005550</v>
      </c>
      <c r="B2487">
        <v>2022</v>
      </c>
      <c r="C2487" t="s">
        <v>6</v>
      </c>
      <c r="D2487" t="s">
        <v>7</v>
      </c>
      <c r="E2487" t="s">
        <v>8</v>
      </c>
      <c r="F2487">
        <v>5072</v>
      </c>
      <c r="G2487" t="s">
        <v>140</v>
      </c>
      <c r="H2487" s="1">
        <v>218435</v>
      </c>
      <c r="I2487" s="1">
        <v>0</v>
      </c>
      <c r="J2487" s="1">
        <v>218435</v>
      </c>
      <c r="K2487">
        <f>VLOOKUP(F2487,'LEAID Match'!$A$2:$C$2979,3,FALSE)</f>
        <v>2005550</v>
      </c>
    </row>
    <row r="2488" spans="1:11" x14ac:dyDescent="0.2">
      <c r="A2488">
        <v>2007110</v>
      </c>
      <c r="B2488">
        <v>2022</v>
      </c>
      <c r="C2488" t="s">
        <v>6</v>
      </c>
      <c r="D2488" t="s">
        <v>7</v>
      </c>
      <c r="E2488" t="s">
        <v>8</v>
      </c>
      <c r="F2488">
        <v>5073</v>
      </c>
      <c r="G2488" t="s">
        <v>141</v>
      </c>
      <c r="H2488" s="1">
        <v>411197</v>
      </c>
      <c r="I2488" s="1">
        <v>0</v>
      </c>
      <c r="J2488" s="1">
        <v>411197</v>
      </c>
      <c r="K2488">
        <f>VLOOKUP(F2488,'LEAID Match'!$A$2:$C$2979,3,FALSE)</f>
        <v>2007110</v>
      </c>
    </row>
    <row r="2489" spans="1:11" x14ac:dyDescent="0.2">
      <c r="A2489">
        <v>2011190</v>
      </c>
      <c r="B2489">
        <v>2022</v>
      </c>
      <c r="C2489" t="s">
        <v>6</v>
      </c>
      <c r="D2489" t="s">
        <v>7</v>
      </c>
      <c r="E2489" t="s">
        <v>8</v>
      </c>
      <c r="F2489">
        <v>5076</v>
      </c>
      <c r="G2489" t="s">
        <v>142</v>
      </c>
      <c r="H2489" s="1">
        <v>168780</v>
      </c>
      <c r="I2489" s="1">
        <v>0</v>
      </c>
      <c r="J2489" s="1">
        <v>168780</v>
      </c>
      <c r="K2489">
        <f>VLOOKUP(F2489,'LEAID Match'!$A$2:$C$2979,3,FALSE)</f>
        <v>2011190</v>
      </c>
    </row>
    <row r="2490" spans="1:11" x14ac:dyDescent="0.2">
      <c r="A2490">
        <v>2009850</v>
      </c>
      <c r="B2490">
        <v>2022</v>
      </c>
      <c r="C2490" t="s">
        <v>6</v>
      </c>
      <c r="D2490" t="s">
        <v>7</v>
      </c>
      <c r="E2490" t="s">
        <v>8</v>
      </c>
      <c r="F2490">
        <v>5007</v>
      </c>
      <c r="G2490" t="s">
        <v>143</v>
      </c>
      <c r="H2490" s="20">
        <v>140898</v>
      </c>
      <c r="I2490" s="1">
        <v>0</v>
      </c>
      <c r="J2490" s="1">
        <v>140898</v>
      </c>
      <c r="K2490">
        <f>VLOOKUP(F2490,'LEAID Match'!$A$2:$C$2979,3,FALSE)</f>
        <v>2009850</v>
      </c>
    </row>
    <row r="2491" spans="1:11" x14ac:dyDescent="0.2">
      <c r="A2491">
        <v>2009420</v>
      </c>
      <c r="B2491">
        <v>2022</v>
      </c>
      <c r="C2491" t="s">
        <v>6</v>
      </c>
      <c r="D2491" t="s">
        <v>7</v>
      </c>
      <c r="E2491" t="s">
        <v>8</v>
      </c>
      <c r="F2491">
        <v>5078</v>
      </c>
      <c r="G2491" t="s">
        <v>144</v>
      </c>
      <c r="H2491" s="1">
        <v>346818</v>
      </c>
      <c r="I2491" s="1">
        <v>0</v>
      </c>
      <c r="J2491" s="1">
        <v>346818</v>
      </c>
      <c r="K2491">
        <f>VLOOKUP(F2491,'LEAID Match'!$A$2:$C$2979,3,FALSE)</f>
        <v>2009420</v>
      </c>
    </row>
    <row r="2492" spans="1:11" x14ac:dyDescent="0.2">
      <c r="A2492">
        <v>2012450</v>
      </c>
      <c r="B2492">
        <v>2022</v>
      </c>
      <c r="C2492" t="s">
        <v>6</v>
      </c>
      <c r="D2492" t="s">
        <v>7</v>
      </c>
      <c r="E2492" t="s">
        <v>8</v>
      </c>
      <c r="F2492">
        <v>5079</v>
      </c>
      <c r="G2492" s="9" t="s">
        <v>145</v>
      </c>
      <c r="H2492" s="1">
        <v>461533</v>
      </c>
      <c r="I2492" s="1">
        <v>0</v>
      </c>
      <c r="J2492" s="1">
        <v>461533</v>
      </c>
      <c r="K2492">
        <f>VLOOKUP(F2492,'LEAID Match'!$A$2:$C$2979,3,FALSE)</f>
        <v>2012450</v>
      </c>
    </row>
    <row r="2493" spans="1:11" x14ac:dyDescent="0.2">
      <c r="A2493">
        <v>2006930</v>
      </c>
      <c r="B2493">
        <v>2022</v>
      </c>
      <c r="C2493" t="s">
        <v>6</v>
      </c>
      <c r="D2493" t="s">
        <v>7</v>
      </c>
      <c r="E2493" t="s">
        <v>8</v>
      </c>
      <c r="F2493" s="3">
        <v>5080</v>
      </c>
      <c r="G2493" s="3" t="s">
        <v>146</v>
      </c>
      <c r="H2493" s="22">
        <v>587561</v>
      </c>
      <c r="I2493" s="1">
        <v>0</v>
      </c>
      <c r="J2493" s="1">
        <v>587561</v>
      </c>
      <c r="K2493">
        <f>VLOOKUP(F2493,'LEAID Match'!$A$2:$C$2979,3,FALSE)</f>
        <v>2006930</v>
      </c>
    </row>
    <row r="2494" spans="1:11" x14ac:dyDescent="0.2">
      <c r="A2494">
        <v>2009450</v>
      </c>
      <c r="B2494">
        <v>2022</v>
      </c>
      <c r="C2494" t="s">
        <v>6</v>
      </c>
      <c r="D2494" t="s">
        <v>7</v>
      </c>
      <c r="E2494" t="s">
        <v>8</v>
      </c>
      <c r="F2494" s="3">
        <v>5081</v>
      </c>
      <c r="G2494" s="3" t="s">
        <v>147</v>
      </c>
      <c r="H2494" s="1">
        <v>504930</v>
      </c>
      <c r="I2494" s="21">
        <v>0</v>
      </c>
      <c r="J2494" s="21">
        <v>504930</v>
      </c>
      <c r="K2494">
        <f>VLOOKUP(F2494,'LEAID Match'!$A$2:$C$2979,3,FALSE)</f>
        <v>2009450</v>
      </c>
    </row>
    <row r="2495" spans="1:11" x14ac:dyDescent="0.2">
      <c r="A2495">
        <v>2010470</v>
      </c>
      <c r="B2495">
        <v>2022</v>
      </c>
      <c r="C2495" t="s">
        <v>6</v>
      </c>
      <c r="D2495" t="s">
        <v>7</v>
      </c>
      <c r="E2495" t="s">
        <v>8</v>
      </c>
      <c r="F2495" s="3">
        <v>5082</v>
      </c>
      <c r="G2495" s="3" t="s">
        <v>148</v>
      </c>
      <c r="H2495" s="1">
        <v>118744</v>
      </c>
      <c r="I2495" s="1">
        <v>0</v>
      </c>
      <c r="J2495" s="1">
        <v>118744</v>
      </c>
      <c r="K2495">
        <f>VLOOKUP(F2495,'LEAID Match'!$A$2:$C$2979,3,FALSE)</f>
        <v>2010470</v>
      </c>
    </row>
    <row r="2496" spans="1:11" x14ac:dyDescent="0.2">
      <c r="A2496">
        <v>2010740</v>
      </c>
      <c r="B2496">
        <v>2022</v>
      </c>
      <c r="C2496" t="s">
        <v>6</v>
      </c>
      <c r="D2496" t="s">
        <v>7</v>
      </c>
      <c r="E2496" t="s">
        <v>8</v>
      </c>
      <c r="F2496">
        <v>5083</v>
      </c>
      <c r="G2496" t="s">
        <v>149</v>
      </c>
      <c r="H2496" s="1">
        <v>340722</v>
      </c>
      <c r="I2496" s="1">
        <v>0</v>
      </c>
      <c r="J2496" s="1">
        <v>340722</v>
      </c>
      <c r="K2496">
        <f>VLOOKUP(F2496,'LEAID Match'!$A$2:$C$2979,3,FALSE)</f>
        <v>2010740</v>
      </c>
    </row>
    <row r="2497" spans="1:11" x14ac:dyDescent="0.2">
      <c r="A2497">
        <v>2007260</v>
      </c>
      <c r="B2497">
        <v>2022</v>
      </c>
      <c r="C2497" t="s">
        <v>6</v>
      </c>
      <c r="D2497" t="s">
        <v>7</v>
      </c>
      <c r="E2497" t="s">
        <v>8</v>
      </c>
      <c r="F2497">
        <v>5087</v>
      </c>
      <c r="G2497" t="s">
        <v>150</v>
      </c>
      <c r="H2497" s="1">
        <v>356716</v>
      </c>
      <c r="I2497" s="1">
        <v>0</v>
      </c>
      <c r="J2497" s="1">
        <v>356716</v>
      </c>
      <c r="K2497">
        <f>VLOOKUP(F2497,'LEAID Match'!$A$2:$C$2979,3,FALSE)</f>
        <v>2007260</v>
      </c>
    </row>
    <row r="2498" spans="1:11" x14ac:dyDescent="0.2">
      <c r="A2498">
        <v>2012870</v>
      </c>
      <c r="B2498">
        <v>2022</v>
      </c>
      <c r="C2498" t="s">
        <v>6</v>
      </c>
      <c r="D2498" t="s">
        <v>7</v>
      </c>
      <c r="E2498" t="s">
        <v>8</v>
      </c>
      <c r="F2498">
        <v>5088</v>
      </c>
      <c r="G2498" t="s">
        <v>151</v>
      </c>
      <c r="H2498" s="1">
        <v>661413</v>
      </c>
      <c r="I2498" s="1">
        <v>0</v>
      </c>
      <c r="J2498" s="1">
        <v>661413</v>
      </c>
      <c r="K2498">
        <f>VLOOKUP(F2498,'LEAID Match'!$A$2:$C$2979,3,FALSE)</f>
        <v>2012870</v>
      </c>
    </row>
    <row r="2499" spans="1:11" x14ac:dyDescent="0.2">
      <c r="A2499">
        <v>2008790</v>
      </c>
      <c r="B2499">
        <v>2022</v>
      </c>
      <c r="C2499" t="s">
        <v>6</v>
      </c>
      <c r="D2499" t="s">
        <v>7</v>
      </c>
      <c r="E2499" t="s">
        <v>8</v>
      </c>
      <c r="F2499">
        <v>5089</v>
      </c>
      <c r="G2499" t="s">
        <v>152</v>
      </c>
      <c r="H2499" s="20">
        <v>300584</v>
      </c>
      <c r="I2499" s="1">
        <v>0</v>
      </c>
      <c r="J2499" s="1">
        <v>300584</v>
      </c>
      <c r="K2499">
        <f>VLOOKUP(F2499,'LEAID Match'!$A$2:$C$2979,3,FALSE)</f>
        <v>2008790</v>
      </c>
    </row>
    <row r="2500" spans="1:11" x14ac:dyDescent="0.2">
      <c r="A2500">
        <v>2009930</v>
      </c>
      <c r="B2500">
        <v>2022</v>
      </c>
      <c r="C2500" t="s">
        <v>6</v>
      </c>
      <c r="D2500" t="s">
        <v>7</v>
      </c>
      <c r="E2500" t="s">
        <v>8</v>
      </c>
      <c r="F2500">
        <v>5090</v>
      </c>
      <c r="G2500" t="s">
        <v>153</v>
      </c>
      <c r="H2500" s="1">
        <v>278161</v>
      </c>
      <c r="I2500" s="1">
        <v>0</v>
      </c>
      <c r="J2500" s="1">
        <v>278161</v>
      </c>
      <c r="K2500">
        <f>VLOOKUP(F2500,'LEAID Match'!$A$2:$C$2979,3,FALSE)</f>
        <v>2009930</v>
      </c>
    </row>
    <row r="2501" spans="1:11" x14ac:dyDescent="0.2">
      <c r="A2501">
        <v>2007970</v>
      </c>
      <c r="B2501">
        <v>2022</v>
      </c>
      <c r="C2501" t="s">
        <v>6</v>
      </c>
      <c r="D2501" t="s">
        <v>7</v>
      </c>
      <c r="E2501" t="s">
        <v>8</v>
      </c>
      <c r="F2501">
        <v>5092</v>
      </c>
      <c r="G2501" s="9" t="s">
        <v>154</v>
      </c>
      <c r="H2501" s="1">
        <v>1296711</v>
      </c>
      <c r="I2501" s="1">
        <v>0</v>
      </c>
      <c r="J2501" s="1">
        <v>1296711</v>
      </c>
      <c r="K2501">
        <f>VLOOKUP(F2501,'LEAID Match'!$A$2:$C$2979,3,FALSE)</f>
        <v>2007970</v>
      </c>
    </row>
    <row r="2502" spans="1:11" x14ac:dyDescent="0.2">
      <c r="A2502">
        <v>2010170</v>
      </c>
      <c r="B2502">
        <v>2022</v>
      </c>
      <c r="C2502" t="s">
        <v>6</v>
      </c>
      <c r="D2502" t="s">
        <v>7</v>
      </c>
      <c r="E2502" t="s">
        <v>8</v>
      </c>
      <c r="F2502" s="3">
        <v>5093</v>
      </c>
      <c r="G2502" s="3" t="s">
        <v>155</v>
      </c>
      <c r="H2502" s="22">
        <v>296369</v>
      </c>
      <c r="I2502" s="1">
        <v>0</v>
      </c>
      <c r="J2502" s="1">
        <v>296369</v>
      </c>
      <c r="K2502">
        <f>VLOOKUP(F2502,'LEAID Match'!$A$2:$C$2979,3,FALSE)</f>
        <v>2010170</v>
      </c>
    </row>
    <row r="2503" spans="1:11" x14ac:dyDescent="0.2">
      <c r="A2503">
        <v>2003240</v>
      </c>
      <c r="B2503">
        <v>2022</v>
      </c>
      <c r="C2503" t="s">
        <v>6</v>
      </c>
      <c r="D2503" t="s">
        <v>7</v>
      </c>
      <c r="E2503" t="s">
        <v>8</v>
      </c>
      <c r="F2503" s="3">
        <v>5095</v>
      </c>
      <c r="G2503" s="3" t="s">
        <v>156</v>
      </c>
      <c r="H2503" s="1">
        <v>459751</v>
      </c>
      <c r="I2503" s="21">
        <v>0</v>
      </c>
      <c r="J2503" s="21">
        <v>459751</v>
      </c>
      <c r="K2503">
        <f>VLOOKUP(F2503,'LEAID Match'!$A$2:$C$2979,3,FALSE)</f>
        <v>2003240</v>
      </c>
    </row>
    <row r="2504" spans="1:11" x14ac:dyDescent="0.2">
      <c r="A2504">
        <v>2007750</v>
      </c>
      <c r="B2504">
        <v>2022</v>
      </c>
      <c r="C2504" t="s">
        <v>6</v>
      </c>
      <c r="D2504" t="s">
        <v>7</v>
      </c>
      <c r="E2504" t="s">
        <v>8</v>
      </c>
      <c r="F2504" s="3">
        <v>5096</v>
      </c>
      <c r="G2504" s="3" t="s">
        <v>157</v>
      </c>
      <c r="H2504" s="1">
        <v>569469</v>
      </c>
      <c r="I2504" s="1">
        <v>0</v>
      </c>
      <c r="J2504" s="1">
        <v>569469</v>
      </c>
      <c r="K2504">
        <f>VLOOKUP(F2504,'LEAID Match'!$A$2:$C$2979,3,FALSE)</f>
        <v>2007750</v>
      </c>
    </row>
    <row r="2505" spans="1:11" x14ac:dyDescent="0.2">
      <c r="A2505">
        <v>2004380</v>
      </c>
      <c r="B2505">
        <v>2022</v>
      </c>
      <c r="C2505" t="s">
        <v>6</v>
      </c>
      <c r="D2505" t="s">
        <v>7</v>
      </c>
      <c r="E2505" t="s">
        <v>8</v>
      </c>
      <c r="F2505">
        <v>5098</v>
      </c>
      <c r="G2505" t="s">
        <v>158</v>
      </c>
      <c r="H2505" s="1">
        <v>287518</v>
      </c>
      <c r="I2505" s="1">
        <v>0</v>
      </c>
      <c r="J2505" s="1">
        <v>287518</v>
      </c>
      <c r="K2505">
        <f>VLOOKUP(F2505,'LEAID Match'!$A$2:$C$2979,3,FALSE)</f>
        <v>2004380</v>
      </c>
    </row>
    <row r="2506" spans="1:11" x14ac:dyDescent="0.2">
      <c r="A2506">
        <v>2006450</v>
      </c>
      <c r="B2506">
        <v>2022</v>
      </c>
      <c r="C2506" t="s">
        <v>6</v>
      </c>
      <c r="D2506" t="s">
        <v>7</v>
      </c>
      <c r="E2506" t="s">
        <v>8</v>
      </c>
      <c r="F2506">
        <v>5099</v>
      </c>
      <c r="G2506" t="s">
        <v>159</v>
      </c>
      <c r="H2506" s="1">
        <v>927066</v>
      </c>
      <c r="I2506" s="1">
        <v>0</v>
      </c>
      <c r="J2506" s="1">
        <v>927066</v>
      </c>
      <c r="K2506">
        <f>VLOOKUP(F2506,'LEAID Match'!$A$2:$C$2979,3,FALSE)</f>
        <v>2006450</v>
      </c>
    </row>
    <row r="2507" spans="1:11" x14ac:dyDescent="0.2">
      <c r="A2507">
        <v>2010260</v>
      </c>
      <c r="B2507">
        <v>2022</v>
      </c>
      <c r="C2507" t="s">
        <v>6</v>
      </c>
      <c r="D2507" t="s">
        <v>7</v>
      </c>
      <c r="E2507" t="s">
        <v>8</v>
      </c>
      <c r="F2507">
        <v>5100</v>
      </c>
      <c r="G2507" t="s">
        <v>160</v>
      </c>
      <c r="H2507" s="1">
        <v>978809</v>
      </c>
      <c r="I2507" s="1">
        <v>0</v>
      </c>
      <c r="J2507" s="1">
        <v>978809</v>
      </c>
      <c r="K2507">
        <f>VLOOKUP(F2507,'LEAID Match'!$A$2:$C$2979,3,FALSE)</f>
        <v>2010260</v>
      </c>
    </row>
    <row r="2508" spans="1:11" x14ac:dyDescent="0.2">
      <c r="A2508">
        <v>2011700</v>
      </c>
      <c r="B2508">
        <v>2022</v>
      </c>
      <c r="C2508" t="s">
        <v>6</v>
      </c>
      <c r="D2508" t="s">
        <v>7</v>
      </c>
      <c r="E2508" t="s">
        <v>8</v>
      </c>
      <c r="F2508">
        <v>5101</v>
      </c>
      <c r="G2508" t="s">
        <v>161</v>
      </c>
      <c r="H2508" s="20">
        <v>716212</v>
      </c>
      <c r="I2508" s="1">
        <v>0</v>
      </c>
      <c r="J2508" s="1">
        <v>716212</v>
      </c>
      <c r="K2508">
        <f>VLOOKUP(F2508,'LEAID Match'!$A$2:$C$2979,3,FALSE)</f>
        <v>2011700</v>
      </c>
    </row>
    <row r="2509" spans="1:11" x14ac:dyDescent="0.2">
      <c r="A2509">
        <v>2004890</v>
      </c>
      <c r="B2509">
        <v>2022</v>
      </c>
      <c r="C2509" t="s">
        <v>6</v>
      </c>
      <c r="D2509" t="s">
        <v>7</v>
      </c>
      <c r="E2509" t="s">
        <v>8</v>
      </c>
      <c r="F2509">
        <v>5102</v>
      </c>
      <c r="G2509" t="s">
        <v>162</v>
      </c>
      <c r="H2509" s="1">
        <v>1498707</v>
      </c>
      <c r="I2509" s="1">
        <v>0</v>
      </c>
      <c r="J2509" s="1">
        <v>1498707</v>
      </c>
      <c r="K2509">
        <f>VLOOKUP(F2509,'LEAID Match'!$A$2:$C$2979,3,FALSE)</f>
        <v>2004890</v>
      </c>
    </row>
    <row r="2510" spans="1:11" x14ac:dyDescent="0.2">
      <c r="A2510">
        <v>2010890</v>
      </c>
      <c r="B2510">
        <v>2022</v>
      </c>
      <c r="C2510" t="s">
        <v>6</v>
      </c>
      <c r="D2510" t="s">
        <v>7</v>
      </c>
      <c r="E2510" t="s">
        <v>8</v>
      </c>
      <c r="F2510">
        <v>5103</v>
      </c>
      <c r="G2510" s="9" t="s">
        <v>163</v>
      </c>
      <c r="H2510" s="1">
        <v>949781</v>
      </c>
      <c r="I2510" s="1">
        <v>0</v>
      </c>
      <c r="J2510" s="1">
        <v>949781</v>
      </c>
      <c r="K2510">
        <f>VLOOKUP(F2510,'LEAID Match'!$A$2:$C$2979,3,FALSE)</f>
        <v>2010890</v>
      </c>
    </row>
    <row r="2511" spans="1:11" x14ac:dyDescent="0.2">
      <c r="A2511">
        <v>2004440</v>
      </c>
      <c r="B2511">
        <v>2022</v>
      </c>
      <c r="C2511" t="s">
        <v>6</v>
      </c>
      <c r="D2511" t="s">
        <v>7</v>
      </c>
      <c r="E2511" t="s">
        <v>8</v>
      </c>
      <c r="F2511" s="3">
        <v>5104</v>
      </c>
      <c r="G2511" s="3" t="s">
        <v>164</v>
      </c>
      <c r="H2511" s="22">
        <v>297696</v>
      </c>
      <c r="I2511" s="1">
        <v>0</v>
      </c>
      <c r="J2511" s="1">
        <v>297696</v>
      </c>
      <c r="K2511">
        <f>VLOOKUP(F2511,'LEAID Match'!$A$2:$C$2979,3,FALSE)</f>
        <v>2004440</v>
      </c>
    </row>
    <row r="2512" spans="1:11" x14ac:dyDescent="0.2">
      <c r="A2512">
        <v>2004140</v>
      </c>
      <c r="B2512">
        <v>2022</v>
      </c>
      <c r="C2512" t="s">
        <v>6</v>
      </c>
      <c r="D2512" t="s">
        <v>7</v>
      </c>
      <c r="E2512" t="s">
        <v>8</v>
      </c>
      <c r="F2512" s="3">
        <v>5105</v>
      </c>
      <c r="G2512" s="3" t="s">
        <v>165</v>
      </c>
      <c r="H2512" s="1">
        <v>247240</v>
      </c>
      <c r="I2512" s="21">
        <v>0</v>
      </c>
      <c r="J2512" s="21">
        <v>247240</v>
      </c>
      <c r="K2512">
        <f>VLOOKUP(F2512,'LEAID Match'!$A$2:$C$2979,3,FALSE)</f>
        <v>2004140</v>
      </c>
    </row>
    <row r="2513" spans="1:11" x14ac:dyDescent="0.2">
      <c r="A2513">
        <v>2008190</v>
      </c>
      <c r="B2513">
        <v>2022</v>
      </c>
      <c r="C2513" t="s">
        <v>6</v>
      </c>
      <c r="D2513" t="s">
        <v>7</v>
      </c>
      <c r="E2513" t="s">
        <v>8</v>
      </c>
      <c r="F2513" s="3">
        <v>5106</v>
      </c>
      <c r="G2513" s="3" t="s">
        <v>166</v>
      </c>
      <c r="H2513" s="1">
        <v>732047</v>
      </c>
      <c r="I2513" s="1">
        <v>0</v>
      </c>
      <c r="J2513" s="1">
        <v>732047</v>
      </c>
      <c r="K2513">
        <f>VLOOKUP(F2513,'LEAID Match'!$A$2:$C$2979,3,FALSE)</f>
        <v>2008190</v>
      </c>
    </row>
    <row r="2514" spans="1:11" x14ac:dyDescent="0.2">
      <c r="A2514">
        <v>2007560</v>
      </c>
      <c r="B2514">
        <v>2022</v>
      </c>
      <c r="C2514" t="s">
        <v>6</v>
      </c>
      <c r="D2514" t="s">
        <v>7</v>
      </c>
      <c r="E2514" t="s">
        <v>8</v>
      </c>
      <c r="F2514">
        <v>5116</v>
      </c>
      <c r="G2514" t="s">
        <v>167</v>
      </c>
      <c r="H2514" s="1">
        <v>889371</v>
      </c>
      <c r="I2514" s="1">
        <v>0</v>
      </c>
      <c r="J2514" s="1">
        <v>889371</v>
      </c>
      <c r="K2514">
        <f>VLOOKUP(F2514,'LEAID Match'!$A$2:$C$2979,3,FALSE)</f>
        <v>2007560</v>
      </c>
    </row>
    <row r="2515" spans="1:11" x14ac:dyDescent="0.2">
      <c r="A2515">
        <v>2003270</v>
      </c>
      <c r="B2515">
        <v>2022</v>
      </c>
      <c r="C2515" t="s">
        <v>6</v>
      </c>
      <c r="D2515" t="s">
        <v>7</v>
      </c>
      <c r="E2515" t="s">
        <v>8</v>
      </c>
      <c r="F2515">
        <v>5117</v>
      </c>
      <c r="G2515" t="s">
        <v>168</v>
      </c>
      <c r="H2515" s="1">
        <v>169527</v>
      </c>
      <c r="I2515" s="1">
        <v>0</v>
      </c>
      <c r="J2515" s="1">
        <v>169527</v>
      </c>
      <c r="K2515">
        <f>VLOOKUP(F2515,'LEAID Match'!$A$2:$C$2979,3,FALSE)</f>
        <v>2003270</v>
      </c>
    </row>
    <row r="2516" spans="1:11" x14ac:dyDescent="0.2">
      <c r="A2516">
        <v>2012420</v>
      </c>
      <c r="B2516">
        <v>2022</v>
      </c>
      <c r="C2516" t="s">
        <v>6</v>
      </c>
      <c r="D2516" t="s">
        <v>7</v>
      </c>
      <c r="E2516" t="s">
        <v>8</v>
      </c>
      <c r="F2516">
        <v>5118</v>
      </c>
      <c r="G2516" t="s">
        <v>169</v>
      </c>
      <c r="H2516" s="1">
        <v>1278093</v>
      </c>
      <c r="I2516" s="1">
        <v>0</v>
      </c>
      <c r="J2516" s="1">
        <v>1278093</v>
      </c>
      <c r="K2516">
        <f>VLOOKUP(F2516,'LEAID Match'!$A$2:$C$2979,3,FALSE)</f>
        <v>2012420</v>
      </c>
    </row>
    <row r="2517" spans="1:11" x14ac:dyDescent="0.2">
      <c r="A2517">
        <v>2009600</v>
      </c>
      <c r="B2517">
        <v>2022</v>
      </c>
      <c r="C2517" t="s">
        <v>6</v>
      </c>
      <c r="D2517" t="s">
        <v>7</v>
      </c>
      <c r="E2517" t="s">
        <v>8</v>
      </c>
      <c r="F2517">
        <v>5119</v>
      </c>
      <c r="G2517" t="s">
        <v>170</v>
      </c>
      <c r="H2517" s="20">
        <v>293599</v>
      </c>
      <c r="I2517" s="1">
        <v>0</v>
      </c>
      <c r="J2517" s="1">
        <v>293599</v>
      </c>
      <c r="K2517">
        <f>VLOOKUP(F2517,'LEAID Match'!$A$2:$C$2979,3,FALSE)</f>
        <v>2009600</v>
      </c>
    </row>
    <row r="2518" spans="1:11" x14ac:dyDescent="0.2">
      <c r="A2518">
        <v>2006420</v>
      </c>
      <c r="B2518">
        <v>2022</v>
      </c>
      <c r="C2518" t="s">
        <v>6</v>
      </c>
      <c r="D2518" t="s">
        <v>7</v>
      </c>
      <c r="E2518" t="s">
        <v>8</v>
      </c>
      <c r="F2518">
        <v>5120</v>
      </c>
      <c r="G2518" t="s">
        <v>171</v>
      </c>
      <c r="H2518" s="1">
        <v>6555839</v>
      </c>
      <c r="I2518" s="1">
        <v>0</v>
      </c>
      <c r="J2518" s="1">
        <v>6555839</v>
      </c>
      <c r="K2518">
        <f>VLOOKUP(F2518,'LEAID Match'!$A$2:$C$2979,3,FALSE)</f>
        <v>2006420</v>
      </c>
    </row>
    <row r="2519" spans="1:11" x14ac:dyDescent="0.2">
      <c r="A2519">
        <v>2008130</v>
      </c>
      <c r="B2519">
        <v>2022</v>
      </c>
      <c r="C2519" t="s">
        <v>6</v>
      </c>
      <c r="D2519" t="s">
        <v>7</v>
      </c>
      <c r="E2519" t="s">
        <v>8</v>
      </c>
      <c r="F2519">
        <v>5122</v>
      </c>
      <c r="G2519" s="9" t="s">
        <v>172</v>
      </c>
      <c r="H2519" s="1">
        <v>258245</v>
      </c>
      <c r="I2519" s="1">
        <v>0</v>
      </c>
      <c r="J2519" s="1">
        <v>258245</v>
      </c>
      <c r="K2519">
        <f>VLOOKUP(F2519,'LEAID Match'!$A$2:$C$2979,3,FALSE)</f>
        <v>2008130</v>
      </c>
    </row>
    <row r="2520" spans="1:11" x14ac:dyDescent="0.2">
      <c r="A2520">
        <v>2009660</v>
      </c>
      <c r="B2520">
        <v>2022</v>
      </c>
      <c r="C2520" t="s">
        <v>6</v>
      </c>
      <c r="D2520" t="s">
        <v>7</v>
      </c>
      <c r="E2520" t="s">
        <v>8</v>
      </c>
      <c r="F2520" s="3">
        <v>5123</v>
      </c>
      <c r="G2520" s="3" t="s">
        <v>173</v>
      </c>
      <c r="H2520" s="22">
        <v>255679</v>
      </c>
      <c r="I2520" s="1">
        <v>0</v>
      </c>
      <c r="J2520" s="1">
        <v>255679</v>
      </c>
      <c r="K2520">
        <f>VLOOKUP(F2520,'LEAID Match'!$A$2:$C$2979,3,FALSE)</f>
        <v>2009660</v>
      </c>
    </row>
    <row r="2521" spans="1:11" x14ac:dyDescent="0.2">
      <c r="A2521">
        <v>2000003</v>
      </c>
      <c r="B2521">
        <v>2022</v>
      </c>
      <c r="C2521" t="s">
        <v>6</v>
      </c>
      <c r="D2521" t="s">
        <v>7</v>
      </c>
      <c r="E2521" t="s">
        <v>8</v>
      </c>
      <c r="F2521" s="3">
        <v>5125</v>
      </c>
      <c r="G2521" s="3" t="s">
        <v>174</v>
      </c>
      <c r="H2521" s="1">
        <v>1785522</v>
      </c>
      <c r="I2521" s="21">
        <v>0</v>
      </c>
      <c r="J2521" s="21">
        <v>1785522</v>
      </c>
      <c r="K2521">
        <f>VLOOKUP(F2521,'LEAID Match'!$A$2:$C$2979,3,FALSE)</f>
        <v>2000003</v>
      </c>
    </row>
    <row r="2522" spans="1:11" x14ac:dyDescent="0.2">
      <c r="A2522">
        <v>2005370</v>
      </c>
      <c r="B2522">
        <v>2022</v>
      </c>
      <c r="C2522" t="s">
        <v>6</v>
      </c>
      <c r="D2522" t="s">
        <v>7</v>
      </c>
      <c r="E2522" t="s">
        <v>8</v>
      </c>
      <c r="F2522" s="3">
        <v>5127</v>
      </c>
      <c r="G2522" s="3" t="s">
        <v>175</v>
      </c>
      <c r="H2522" s="1">
        <v>216214</v>
      </c>
      <c r="I2522" s="1">
        <v>0</v>
      </c>
      <c r="J2522" s="1">
        <v>216214</v>
      </c>
      <c r="K2522">
        <f>VLOOKUP(F2522,'LEAID Match'!$A$2:$C$2979,3,FALSE)</f>
        <v>2005370</v>
      </c>
    </row>
    <row r="2523" spans="1:11" x14ac:dyDescent="0.2">
      <c r="A2523">
        <v>2004830</v>
      </c>
      <c r="B2523">
        <v>2022</v>
      </c>
      <c r="C2523" t="s">
        <v>6</v>
      </c>
      <c r="D2523" t="s">
        <v>7</v>
      </c>
      <c r="E2523" t="s">
        <v>8</v>
      </c>
      <c r="F2523">
        <v>5128</v>
      </c>
      <c r="G2523" t="s">
        <v>176</v>
      </c>
      <c r="H2523" s="1">
        <v>349319</v>
      </c>
      <c r="I2523" s="1">
        <v>0</v>
      </c>
      <c r="J2523" s="1">
        <v>349319</v>
      </c>
      <c r="K2523">
        <f>VLOOKUP(F2523,'LEAID Match'!$A$2:$C$2979,3,FALSE)</f>
        <v>2004830</v>
      </c>
    </row>
    <row r="2524" spans="1:11" x14ac:dyDescent="0.2">
      <c r="A2524">
        <v>2009320</v>
      </c>
      <c r="B2524">
        <v>2022</v>
      </c>
      <c r="C2524" t="s">
        <v>6</v>
      </c>
      <c r="D2524" t="s">
        <v>7</v>
      </c>
      <c r="E2524" t="s">
        <v>8</v>
      </c>
      <c r="F2524">
        <v>5129</v>
      </c>
      <c r="G2524" t="s">
        <v>177</v>
      </c>
      <c r="H2524" s="1">
        <v>843034</v>
      </c>
      <c r="I2524" s="1">
        <v>0</v>
      </c>
      <c r="J2524" s="1">
        <v>843034</v>
      </c>
      <c r="K2524">
        <f>VLOOKUP(F2524,'LEAID Match'!$A$2:$C$2979,3,FALSE)</f>
        <v>2009320</v>
      </c>
    </row>
    <row r="2525" spans="1:11" x14ac:dyDescent="0.2">
      <c r="A2525">
        <v>2010620</v>
      </c>
      <c r="B2525">
        <v>2022</v>
      </c>
      <c r="C2525" t="s">
        <v>6</v>
      </c>
      <c r="D2525" t="s">
        <v>7</v>
      </c>
      <c r="E2525" t="s">
        <v>8</v>
      </c>
      <c r="F2525">
        <v>5130</v>
      </c>
      <c r="G2525" t="s">
        <v>178</v>
      </c>
      <c r="H2525" s="1">
        <v>672393</v>
      </c>
      <c r="I2525" s="1">
        <v>0</v>
      </c>
      <c r="J2525" s="1">
        <v>672393</v>
      </c>
      <c r="K2525">
        <f>VLOOKUP(F2525,'LEAID Match'!$A$2:$C$2979,3,FALSE)</f>
        <v>2010620</v>
      </c>
    </row>
    <row r="2526" spans="1:11" x14ac:dyDescent="0.2">
      <c r="A2526">
        <v>2000016</v>
      </c>
      <c r="B2526">
        <v>2022</v>
      </c>
      <c r="C2526" t="s">
        <v>6</v>
      </c>
      <c r="D2526" t="s">
        <v>7</v>
      </c>
      <c r="E2526" t="s">
        <v>8</v>
      </c>
      <c r="F2526">
        <v>5131</v>
      </c>
      <c r="G2526" t="s">
        <v>179</v>
      </c>
      <c r="H2526" s="20">
        <v>866018</v>
      </c>
      <c r="I2526" s="1">
        <v>0</v>
      </c>
      <c r="J2526" s="1">
        <v>866018</v>
      </c>
      <c r="K2526">
        <f>VLOOKUP(F2526,'LEAID Match'!$A$2:$C$2979,3,FALSE)</f>
        <v>2000016</v>
      </c>
    </row>
    <row r="2527" spans="1:11" x14ac:dyDescent="0.2">
      <c r="A2527">
        <v>2010500</v>
      </c>
      <c r="B2527">
        <v>2022</v>
      </c>
      <c r="C2527" t="s">
        <v>6</v>
      </c>
      <c r="D2527" t="s">
        <v>7</v>
      </c>
      <c r="E2527" t="s">
        <v>8</v>
      </c>
      <c r="F2527">
        <v>5132</v>
      </c>
      <c r="G2527" t="s">
        <v>180</v>
      </c>
      <c r="H2527" s="1">
        <v>3221205</v>
      </c>
      <c r="I2527" s="1">
        <v>0</v>
      </c>
      <c r="J2527" s="1">
        <v>3221205</v>
      </c>
      <c r="K2527">
        <f>VLOOKUP(F2527,'LEAID Match'!$A$2:$C$2979,3,FALSE)</f>
        <v>2010500</v>
      </c>
    </row>
    <row r="2528" spans="1:11" x14ac:dyDescent="0.2">
      <c r="A2528">
        <v>2011820</v>
      </c>
      <c r="B2528">
        <v>2022</v>
      </c>
      <c r="C2528" t="s">
        <v>6</v>
      </c>
      <c r="D2528" t="s">
        <v>7</v>
      </c>
      <c r="E2528" t="s">
        <v>8</v>
      </c>
      <c r="F2528">
        <v>5133</v>
      </c>
      <c r="G2528" s="9" t="s">
        <v>181</v>
      </c>
      <c r="H2528" s="1">
        <v>300345</v>
      </c>
      <c r="I2528" s="1">
        <v>0</v>
      </c>
      <c r="J2528" s="1">
        <v>300345</v>
      </c>
      <c r="K2528">
        <f>VLOOKUP(F2528,'LEAID Match'!$A$2:$C$2979,3,FALSE)</f>
        <v>2011820</v>
      </c>
    </row>
    <row r="2529" spans="1:11" x14ac:dyDescent="0.2">
      <c r="A2529">
        <v>2011760</v>
      </c>
      <c r="B2529">
        <v>2022</v>
      </c>
      <c r="C2529" t="s">
        <v>6</v>
      </c>
      <c r="D2529" t="s">
        <v>7</v>
      </c>
      <c r="E2529" t="s">
        <v>8</v>
      </c>
      <c r="F2529" s="3">
        <v>5134</v>
      </c>
      <c r="G2529" s="3" t="s">
        <v>182</v>
      </c>
      <c r="H2529" s="22">
        <v>326130</v>
      </c>
      <c r="I2529" s="1">
        <v>0</v>
      </c>
      <c r="J2529" s="1">
        <v>326130</v>
      </c>
      <c r="K2529">
        <f>VLOOKUP(F2529,'LEAID Match'!$A$2:$C$2979,3,FALSE)</f>
        <v>2011760</v>
      </c>
    </row>
    <row r="2530" spans="1:11" x14ac:dyDescent="0.2">
      <c r="A2530">
        <v>2003630</v>
      </c>
      <c r="B2530">
        <v>2022</v>
      </c>
      <c r="C2530" t="s">
        <v>6</v>
      </c>
      <c r="D2530" t="s">
        <v>7</v>
      </c>
      <c r="E2530" t="s">
        <v>8</v>
      </c>
      <c r="F2530" s="3">
        <v>5135</v>
      </c>
      <c r="G2530" s="3" t="s">
        <v>183</v>
      </c>
      <c r="H2530" s="1">
        <v>1558997</v>
      </c>
      <c r="I2530" s="21">
        <v>0</v>
      </c>
      <c r="J2530" s="21">
        <v>1558997</v>
      </c>
      <c r="K2530">
        <f>VLOOKUP(F2530,'LEAID Match'!$A$2:$C$2979,3,FALSE)</f>
        <v>2003630</v>
      </c>
    </row>
    <row r="2531" spans="1:11" x14ac:dyDescent="0.2">
      <c r="A2531">
        <v>2012600</v>
      </c>
      <c r="B2531">
        <v>2022</v>
      </c>
      <c r="C2531" t="s">
        <v>6</v>
      </c>
      <c r="D2531" t="s">
        <v>7</v>
      </c>
      <c r="E2531" t="s">
        <v>8</v>
      </c>
      <c r="F2531" s="3">
        <v>5137</v>
      </c>
      <c r="G2531" s="3" t="s">
        <v>184</v>
      </c>
      <c r="H2531" s="1">
        <v>251377</v>
      </c>
      <c r="I2531" s="1">
        <v>0</v>
      </c>
      <c r="J2531" s="1">
        <v>251377</v>
      </c>
      <c r="K2531">
        <f>VLOOKUP(F2531,'LEAID Match'!$A$2:$C$2979,3,FALSE)</f>
        <v>2012600</v>
      </c>
    </row>
    <row r="2532" spans="1:11" x14ac:dyDescent="0.2">
      <c r="A2532">
        <v>2004260</v>
      </c>
      <c r="B2532">
        <v>2022</v>
      </c>
      <c r="C2532" t="s">
        <v>6</v>
      </c>
      <c r="D2532" t="s">
        <v>7</v>
      </c>
      <c r="E2532" t="s">
        <v>8</v>
      </c>
      <c r="F2532">
        <v>5138</v>
      </c>
      <c r="G2532" t="s">
        <v>185</v>
      </c>
      <c r="H2532" s="1">
        <v>263387</v>
      </c>
      <c r="I2532" s="1">
        <v>0</v>
      </c>
      <c r="J2532" s="1">
        <v>263387</v>
      </c>
      <c r="K2532">
        <f>VLOOKUP(F2532,'LEAID Match'!$A$2:$C$2979,3,FALSE)</f>
        <v>2004260</v>
      </c>
    </row>
    <row r="2533" spans="1:11" x14ac:dyDescent="0.2">
      <c r="A2533">
        <v>2012390</v>
      </c>
      <c r="B2533">
        <v>2022</v>
      </c>
      <c r="C2533" t="s">
        <v>6</v>
      </c>
      <c r="D2533" t="s">
        <v>7</v>
      </c>
      <c r="E2533" t="s">
        <v>8</v>
      </c>
      <c r="F2533">
        <v>5140</v>
      </c>
      <c r="G2533" t="s">
        <v>186</v>
      </c>
      <c r="H2533" s="1">
        <v>343825</v>
      </c>
      <c r="I2533" s="1">
        <v>0</v>
      </c>
      <c r="J2533" s="1">
        <v>343825</v>
      </c>
      <c r="K2533">
        <f>VLOOKUP(F2533,'LEAID Match'!$A$2:$C$2979,3,FALSE)</f>
        <v>2012390</v>
      </c>
    </row>
    <row r="2534" spans="1:11" x14ac:dyDescent="0.2">
      <c r="A2534">
        <v>0</v>
      </c>
      <c r="B2534">
        <v>2022</v>
      </c>
      <c r="C2534" t="s">
        <v>6</v>
      </c>
      <c r="D2534" t="s">
        <v>7</v>
      </c>
      <c r="E2534" t="s">
        <v>8</v>
      </c>
      <c r="F2534">
        <v>5141</v>
      </c>
      <c r="G2534" t="s">
        <v>187</v>
      </c>
      <c r="H2534" s="1">
        <v>408892</v>
      </c>
      <c r="I2534" s="1">
        <v>0</v>
      </c>
      <c r="J2534" s="1">
        <v>408892</v>
      </c>
      <c r="K2534">
        <f>VLOOKUP(F2534,'LEAID Match'!$A$2:$C$2979,3,FALSE)</f>
        <v>0</v>
      </c>
    </row>
    <row r="2535" spans="1:11" x14ac:dyDescent="0.2">
      <c r="A2535">
        <v>2006990</v>
      </c>
      <c r="B2535">
        <v>2022</v>
      </c>
      <c r="C2535" t="s">
        <v>6</v>
      </c>
      <c r="D2535" t="s">
        <v>7</v>
      </c>
      <c r="E2535" t="s">
        <v>8</v>
      </c>
      <c r="F2535">
        <v>5142</v>
      </c>
      <c r="G2535" t="s">
        <v>188</v>
      </c>
      <c r="H2535" s="20">
        <v>108604</v>
      </c>
      <c r="I2535" s="1">
        <v>0</v>
      </c>
      <c r="J2535" s="1">
        <v>108604</v>
      </c>
      <c r="K2535">
        <f>VLOOKUP(F2535,'LEAID Match'!$A$2:$C$2979,3,FALSE)</f>
        <v>2006990</v>
      </c>
    </row>
    <row r="2536" spans="1:11" x14ac:dyDescent="0.2">
      <c r="A2536">
        <v>2010020</v>
      </c>
      <c r="B2536">
        <v>2022</v>
      </c>
      <c r="C2536" t="s">
        <v>6</v>
      </c>
      <c r="D2536" t="s">
        <v>7</v>
      </c>
      <c r="E2536" t="s">
        <v>8</v>
      </c>
      <c r="F2536">
        <v>5143</v>
      </c>
      <c r="G2536" t="s">
        <v>189</v>
      </c>
      <c r="H2536" s="1">
        <v>581407</v>
      </c>
      <c r="I2536" s="1">
        <v>0</v>
      </c>
      <c r="J2536" s="1">
        <v>581407</v>
      </c>
      <c r="K2536">
        <f>VLOOKUP(F2536,'LEAID Match'!$A$2:$C$2979,3,FALSE)</f>
        <v>2010020</v>
      </c>
    </row>
    <row r="2537" spans="1:11" x14ac:dyDescent="0.2">
      <c r="A2537">
        <v>2005400</v>
      </c>
      <c r="B2537">
        <v>2022</v>
      </c>
      <c r="C2537" t="s">
        <v>6</v>
      </c>
      <c r="D2537" t="s">
        <v>7</v>
      </c>
      <c r="E2537" t="s">
        <v>8</v>
      </c>
      <c r="F2537">
        <v>5144</v>
      </c>
      <c r="G2537" s="9" t="s">
        <v>190</v>
      </c>
      <c r="H2537" s="1">
        <v>264135</v>
      </c>
      <c r="I2537" s="1">
        <v>0</v>
      </c>
      <c r="J2537" s="1">
        <v>264135</v>
      </c>
      <c r="K2537">
        <f>VLOOKUP(F2537,'LEAID Match'!$A$2:$C$2979,3,FALSE)</f>
        <v>2005400</v>
      </c>
    </row>
    <row r="2538" spans="1:11" x14ac:dyDescent="0.2">
      <c r="A2538">
        <v>0</v>
      </c>
      <c r="B2538">
        <v>2022</v>
      </c>
      <c r="C2538" t="s">
        <v>6</v>
      </c>
      <c r="D2538" t="s">
        <v>7</v>
      </c>
      <c r="E2538" t="s">
        <v>8</v>
      </c>
      <c r="F2538" s="3">
        <v>5145</v>
      </c>
      <c r="G2538" s="3" t="s">
        <v>191</v>
      </c>
      <c r="H2538" s="22">
        <v>288620</v>
      </c>
      <c r="I2538" s="1">
        <v>0</v>
      </c>
      <c r="J2538" s="1">
        <v>288620</v>
      </c>
      <c r="K2538">
        <f>VLOOKUP(F2538,'LEAID Match'!$A$2:$C$2979,3,FALSE)</f>
        <v>0</v>
      </c>
    </row>
    <row r="2539" spans="1:11" x14ac:dyDescent="0.2">
      <c r="A2539">
        <v>2005490</v>
      </c>
      <c r="B2539">
        <v>2022</v>
      </c>
      <c r="C2539" t="s">
        <v>6</v>
      </c>
      <c r="D2539" t="s">
        <v>7</v>
      </c>
      <c r="E2539" t="s">
        <v>8</v>
      </c>
      <c r="F2539" s="3">
        <v>5147</v>
      </c>
      <c r="G2539" s="3" t="s">
        <v>192</v>
      </c>
      <c r="H2539" s="1">
        <v>6119698</v>
      </c>
      <c r="I2539" s="21">
        <v>0</v>
      </c>
      <c r="J2539" s="21">
        <v>6119698</v>
      </c>
      <c r="K2539">
        <f>VLOOKUP(F2539,'LEAID Match'!$A$2:$C$2979,3,FALSE)</f>
        <v>2005490</v>
      </c>
    </row>
    <row r="2540" spans="1:11" x14ac:dyDescent="0.2">
      <c r="A2540">
        <v>2009570</v>
      </c>
      <c r="B2540">
        <v>2022</v>
      </c>
      <c r="C2540" t="s">
        <v>6</v>
      </c>
      <c r="D2540" t="s">
        <v>7</v>
      </c>
      <c r="E2540" t="s">
        <v>8</v>
      </c>
      <c r="F2540" s="3">
        <v>5148</v>
      </c>
      <c r="G2540" s="3" t="s">
        <v>193</v>
      </c>
      <c r="H2540" s="1">
        <v>608206</v>
      </c>
      <c r="I2540" s="1">
        <v>0</v>
      </c>
      <c r="J2540" s="1">
        <v>608206</v>
      </c>
      <c r="K2540">
        <f>VLOOKUP(F2540,'LEAID Match'!$A$2:$C$2979,3,FALSE)</f>
        <v>2009570</v>
      </c>
    </row>
    <row r="2541" spans="1:11" x14ac:dyDescent="0.2">
      <c r="A2541">
        <v>2004290</v>
      </c>
      <c r="B2541">
        <v>2022</v>
      </c>
      <c r="C2541" t="s">
        <v>6</v>
      </c>
      <c r="D2541" t="s">
        <v>7</v>
      </c>
      <c r="E2541" t="s">
        <v>8</v>
      </c>
      <c r="F2541">
        <v>5149</v>
      </c>
      <c r="G2541" t="s">
        <v>194</v>
      </c>
      <c r="H2541" s="1">
        <v>1283692</v>
      </c>
      <c r="I2541" s="1">
        <v>0</v>
      </c>
      <c r="J2541" s="1">
        <v>1283692</v>
      </c>
      <c r="K2541">
        <f>VLOOKUP(F2541,'LEAID Match'!$A$2:$C$2979,3,FALSE)</f>
        <v>2004290</v>
      </c>
    </row>
    <row r="2542" spans="1:11" x14ac:dyDescent="0.2">
      <c r="A2542">
        <v>2005790</v>
      </c>
      <c r="B2542">
        <v>2022</v>
      </c>
      <c r="C2542" t="s">
        <v>6</v>
      </c>
      <c r="D2542" t="s">
        <v>7</v>
      </c>
      <c r="E2542" t="s">
        <v>8</v>
      </c>
      <c r="F2542">
        <v>5077</v>
      </c>
      <c r="G2542" t="s">
        <v>195</v>
      </c>
      <c r="H2542" s="1">
        <v>464633</v>
      </c>
      <c r="I2542" s="1">
        <v>0</v>
      </c>
      <c r="J2542" s="1">
        <v>464633</v>
      </c>
      <c r="K2542">
        <f>VLOOKUP(F2542,'LEAID Match'!$A$2:$C$2979,3,FALSE)</f>
        <v>2005790</v>
      </c>
    </row>
    <row r="2543" spans="1:11" x14ac:dyDescent="0.2">
      <c r="A2543">
        <v>2010050</v>
      </c>
      <c r="B2543">
        <v>2022</v>
      </c>
      <c r="C2543" t="s">
        <v>6</v>
      </c>
      <c r="D2543" t="s">
        <v>7</v>
      </c>
      <c r="E2543" t="s">
        <v>8</v>
      </c>
      <c r="F2543">
        <v>5151</v>
      </c>
      <c r="G2543" t="s">
        <v>196</v>
      </c>
      <c r="H2543" s="1">
        <v>388329</v>
      </c>
      <c r="I2543" s="1">
        <v>0</v>
      </c>
      <c r="J2543" s="1">
        <v>388329</v>
      </c>
      <c r="K2543">
        <f>VLOOKUP(F2543,'LEAID Match'!$A$2:$C$2979,3,FALSE)</f>
        <v>2010050</v>
      </c>
    </row>
    <row r="2544" spans="1:11" x14ac:dyDescent="0.2">
      <c r="A2544">
        <v>2007500</v>
      </c>
      <c r="B2544">
        <v>2022</v>
      </c>
      <c r="C2544" t="s">
        <v>6</v>
      </c>
      <c r="D2544" t="s">
        <v>7</v>
      </c>
      <c r="E2544" t="s">
        <v>8</v>
      </c>
      <c r="F2544">
        <v>5152</v>
      </c>
      <c r="G2544" t="s">
        <v>197</v>
      </c>
      <c r="H2544" s="20">
        <v>680467</v>
      </c>
      <c r="I2544" s="1">
        <v>0</v>
      </c>
      <c r="J2544" s="1">
        <v>680467</v>
      </c>
      <c r="K2544">
        <f>VLOOKUP(F2544,'LEAID Match'!$A$2:$C$2979,3,FALSE)</f>
        <v>2007500</v>
      </c>
    </row>
    <row r="2545" spans="1:11" x14ac:dyDescent="0.2">
      <c r="A2545">
        <v>2005760</v>
      </c>
      <c r="B2545">
        <v>2022</v>
      </c>
      <c r="C2545" t="s">
        <v>6</v>
      </c>
      <c r="D2545" t="s">
        <v>7</v>
      </c>
      <c r="E2545" t="s">
        <v>8</v>
      </c>
      <c r="F2545">
        <v>5153</v>
      </c>
      <c r="G2545" t="s">
        <v>198</v>
      </c>
      <c r="H2545" s="1">
        <v>149517</v>
      </c>
      <c r="I2545" s="1">
        <v>0</v>
      </c>
      <c r="J2545" s="1">
        <v>149517</v>
      </c>
      <c r="K2545">
        <f>VLOOKUP(F2545,'LEAID Match'!$A$2:$C$2979,3,FALSE)</f>
        <v>2005760</v>
      </c>
    </row>
    <row r="2546" spans="1:11" x14ac:dyDescent="0.2">
      <c r="A2546">
        <v>2012120</v>
      </c>
      <c r="B2546">
        <v>2022</v>
      </c>
      <c r="C2546" t="s">
        <v>6</v>
      </c>
      <c r="D2546" t="s">
        <v>7</v>
      </c>
      <c r="E2546" t="s">
        <v>8</v>
      </c>
      <c r="F2546">
        <v>5154</v>
      </c>
      <c r="G2546" s="9" t="s">
        <v>199</v>
      </c>
      <c r="H2546" s="1">
        <v>225743</v>
      </c>
      <c r="I2546" s="1">
        <v>0</v>
      </c>
      <c r="J2546" s="1">
        <v>225743</v>
      </c>
      <c r="K2546">
        <f>VLOOKUP(F2546,'LEAID Match'!$A$2:$C$2979,3,FALSE)</f>
        <v>2012120</v>
      </c>
    </row>
    <row r="2547" spans="1:11" x14ac:dyDescent="0.2">
      <c r="A2547">
        <v>2010920</v>
      </c>
      <c r="B2547">
        <v>2022</v>
      </c>
      <c r="C2547" t="s">
        <v>6</v>
      </c>
      <c r="D2547" t="s">
        <v>7</v>
      </c>
      <c r="E2547" t="s">
        <v>8</v>
      </c>
      <c r="F2547" s="3">
        <v>5155</v>
      </c>
      <c r="G2547" s="3" t="s">
        <v>200</v>
      </c>
      <c r="H2547" s="22">
        <v>294915</v>
      </c>
      <c r="I2547" s="1">
        <v>0</v>
      </c>
      <c r="J2547" s="1">
        <v>294915</v>
      </c>
      <c r="K2547">
        <f>VLOOKUP(F2547,'LEAID Match'!$A$2:$C$2979,3,FALSE)</f>
        <v>2010920</v>
      </c>
    </row>
    <row r="2548" spans="1:11" x14ac:dyDescent="0.2">
      <c r="A2548">
        <v>2005010</v>
      </c>
      <c r="B2548">
        <v>2022</v>
      </c>
      <c r="C2548" t="s">
        <v>6</v>
      </c>
      <c r="D2548" t="s">
        <v>7</v>
      </c>
      <c r="E2548" t="s">
        <v>8</v>
      </c>
      <c r="F2548" s="3">
        <v>5156</v>
      </c>
      <c r="G2548" s="3" t="s">
        <v>201</v>
      </c>
      <c r="H2548" s="1">
        <v>836970</v>
      </c>
      <c r="I2548" s="21">
        <v>0</v>
      </c>
      <c r="J2548" s="21">
        <v>836970</v>
      </c>
      <c r="K2548">
        <f>VLOOKUP(F2548,'LEAID Match'!$A$2:$C$2979,3,FALSE)</f>
        <v>2005010</v>
      </c>
    </row>
    <row r="2549" spans="1:11" x14ac:dyDescent="0.2">
      <c r="A2549">
        <v>2008910</v>
      </c>
      <c r="B2549">
        <v>2022</v>
      </c>
      <c r="C2549" t="s">
        <v>6</v>
      </c>
      <c r="D2549" t="s">
        <v>7</v>
      </c>
      <c r="E2549" t="s">
        <v>8</v>
      </c>
      <c r="F2549" s="3">
        <v>5157</v>
      </c>
      <c r="G2549" s="3" t="s">
        <v>202</v>
      </c>
      <c r="H2549" s="1">
        <v>155543</v>
      </c>
      <c r="I2549" s="1">
        <v>0</v>
      </c>
      <c r="J2549" s="1">
        <v>155543</v>
      </c>
      <c r="K2549">
        <f>VLOOKUP(F2549,'LEAID Match'!$A$2:$C$2979,3,FALSE)</f>
        <v>2008910</v>
      </c>
    </row>
    <row r="2550" spans="1:11" x14ac:dyDescent="0.2">
      <c r="A2550">
        <v>2008070</v>
      </c>
      <c r="B2550">
        <v>2022</v>
      </c>
      <c r="C2550" t="s">
        <v>6</v>
      </c>
      <c r="D2550" t="s">
        <v>7</v>
      </c>
      <c r="E2550" t="s">
        <v>8</v>
      </c>
      <c r="F2550">
        <v>5158</v>
      </c>
      <c r="G2550" t="s">
        <v>203</v>
      </c>
      <c r="H2550" s="1">
        <v>816072</v>
      </c>
      <c r="I2550" s="1">
        <v>0</v>
      </c>
      <c r="J2550" s="1">
        <v>816072</v>
      </c>
      <c r="K2550">
        <f>VLOOKUP(F2550,'LEAID Match'!$A$2:$C$2979,3,FALSE)</f>
        <v>2008070</v>
      </c>
    </row>
    <row r="2551" spans="1:11" x14ac:dyDescent="0.2">
      <c r="A2551">
        <v>2005100</v>
      </c>
      <c r="B2551">
        <v>2022</v>
      </c>
      <c r="C2551" t="s">
        <v>6</v>
      </c>
      <c r="D2551" t="s">
        <v>7</v>
      </c>
      <c r="E2551" t="s">
        <v>8</v>
      </c>
      <c r="F2551">
        <v>5159</v>
      </c>
      <c r="G2551" t="s">
        <v>204</v>
      </c>
      <c r="H2551" s="1">
        <v>1323722</v>
      </c>
      <c r="I2551" s="1">
        <v>0</v>
      </c>
      <c r="J2551" s="1">
        <v>1323722</v>
      </c>
      <c r="K2551">
        <f>VLOOKUP(F2551,'LEAID Match'!$A$2:$C$2979,3,FALSE)</f>
        <v>2005100</v>
      </c>
    </row>
    <row r="2552" spans="1:11" x14ac:dyDescent="0.2">
      <c r="A2552">
        <v>2008100</v>
      </c>
      <c r="B2552">
        <v>2022</v>
      </c>
      <c r="C2552" t="s">
        <v>6</v>
      </c>
      <c r="D2552" t="s">
        <v>7</v>
      </c>
      <c r="E2552" t="s">
        <v>8</v>
      </c>
      <c r="F2552">
        <v>5160</v>
      </c>
      <c r="G2552" t="s">
        <v>205</v>
      </c>
      <c r="H2552" s="1">
        <v>332327</v>
      </c>
      <c r="I2552" s="1">
        <v>0</v>
      </c>
      <c r="J2552" s="1">
        <v>332327</v>
      </c>
      <c r="K2552">
        <f>VLOOKUP(F2552,'LEAID Match'!$A$2:$C$2979,3,FALSE)</f>
        <v>2008100</v>
      </c>
    </row>
    <row r="2553" spans="1:11" x14ac:dyDescent="0.2">
      <c r="A2553">
        <v>2005130</v>
      </c>
      <c r="B2553">
        <v>2022</v>
      </c>
      <c r="C2553" t="s">
        <v>6</v>
      </c>
      <c r="D2553" t="s">
        <v>7</v>
      </c>
      <c r="E2553" t="s">
        <v>8</v>
      </c>
      <c r="F2553">
        <v>5161</v>
      </c>
      <c r="G2553" t="s">
        <v>206</v>
      </c>
      <c r="H2553" s="20">
        <v>427293</v>
      </c>
      <c r="I2553" s="1">
        <v>0</v>
      </c>
      <c r="J2553" s="1">
        <v>427293</v>
      </c>
      <c r="K2553">
        <f>VLOOKUP(F2553,'LEAID Match'!$A$2:$C$2979,3,FALSE)</f>
        <v>2005130</v>
      </c>
    </row>
    <row r="2554" spans="1:11" x14ac:dyDescent="0.2">
      <c r="A2554">
        <v>2005700</v>
      </c>
      <c r="B2554">
        <v>2022</v>
      </c>
      <c r="C2554" t="s">
        <v>6</v>
      </c>
      <c r="D2554" t="s">
        <v>7</v>
      </c>
      <c r="E2554" t="s">
        <v>8</v>
      </c>
      <c r="F2554">
        <v>5162</v>
      </c>
      <c r="G2554" t="s">
        <v>207</v>
      </c>
      <c r="H2554" s="1">
        <v>454742</v>
      </c>
      <c r="I2554" s="1">
        <v>0</v>
      </c>
      <c r="J2554" s="1">
        <v>454742</v>
      </c>
      <c r="K2554">
        <f>VLOOKUP(F2554,'LEAID Match'!$A$2:$C$2979,3,FALSE)</f>
        <v>2005700</v>
      </c>
    </row>
    <row r="2555" spans="1:11" x14ac:dyDescent="0.2">
      <c r="A2555">
        <v>2008220</v>
      </c>
      <c r="B2555">
        <v>2022</v>
      </c>
      <c r="C2555" t="s">
        <v>6</v>
      </c>
      <c r="D2555" t="s">
        <v>7</v>
      </c>
      <c r="E2555" t="s">
        <v>8</v>
      </c>
      <c r="F2555">
        <v>5163</v>
      </c>
      <c r="G2555" s="9" t="s">
        <v>208</v>
      </c>
      <c r="H2555" s="1">
        <v>317879</v>
      </c>
      <c r="I2555" s="1">
        <v>0</v>
      </c>
      <c r="J2555" s="1">
        <v>317879</v>
      </c>
      <c r="K2555">
        <f>VLOOKUP(F2555,'LEAID Match'!$A$2:$C$2979,3,FALSE)</f>
        <v>2008220</v>
      </c>
    </row>
    <row r="2556" spans="1:11" x14ac:dyDescent="0.2">
      <c r="A2556">
        <v>2007530</v>
      </c>
      <c r="B2556">
        <v>2022</v>
      </c>
      <c r="C2556" t="s">
        <v>6</v>
      </c>
      <c r="D2556" t="s">
        <v>7</v>
      </c>
      <c r="E2556" t="s">
        <v>8</v>
      </c>
      <c r="F2556" s="3">
        <v>5164</v>
      </c>
      <c r="G2556" s="3" t="s">
        <v>209</v>
      </c>
      <c r="H2556" s="22">
        <v>380069</v>
      </c>
      <c r="I2556" s="1">
        <v>0</v>
      </c>
      <c r="J2556" s="1">
        <v>380069</v>
      </c>
      <c r="K2556">
        <f>VLOOKUP(F2556,'LEAID Match'!$A$2:$C$2979,3,FALSE)</f>
        <v>2007530</v>
      </c>
    </row>
    <row r="2557" spans="1:11" x14ac:dyDescent="0.2">
      <c r="A2557">
        <v>2012330</v>
      </c>
      <c r="B2557">
        <v>2022</v>
      </c>
      <c r="C2557" t="s">
        <v>6</v>
      </c>
      <c r="D2557" t="s">
        <v>7</v>
      </c>
      <c r="E2557" t="s">
        <v>8</v>
      </c>
      <c r="F2557" s="3">
        <v>5166</v>
      </c>
      <c r="G2557" s="3" t="s">
        <v>210</v>
      </c>
      <c r="H2557" s="1">
        <v>280773</v>
      </c>
      <c r="I2557" s="21">
        <v>0</v>
      </c>
      <c r="J2557" s="21">
        <v>280773</v>
      </c>
      <c r="K2557">
        <f>VLOOKUP(F2557,'LEAID Match'!$A$2:$C$2979,3,FALSE)</f>
        <v>2012330</v>
      </c>
    </row>
    <row r="2558" spans="1:11" x14ac:dyDescent="0.2">
      <c r="A2558">
        <v>2007470</v>
      </c>
      <c r="B2558">
        <v>2022</v>
      </c>
      <c r="C2558" t="s">
        <v>6</v>
      </c>
      <c r="D2558" t="s">
        <v>7</v>
      </c>
      <c r="E2558" t="s">
        <v>8</v>
      </c>
      <c r="F2558" s="3">
        <v>5167</v>
      </c>
      <c r="G2558" s="3" t="s">
        <v>211</v>
      </c>
      <c r="H2558" s="1">
        <v>619881</v>
      </c>
      <c r="I2558" s="1">
        <v>0</v>
      </c>
      <c r="J2558" s="1">
        <v>619881</v>
      </c>
      <c r="K2558">
        <f>VLOOKUP(F2558,'LEAID Match'!$A$2:$C$2979,3,FALSE)</f>
        <v>2007470</v>
      </c>
    </row>
    <row r="2559" spans="1:11" x14ac:dyDescent="0.2">
      <c r="A2559">
        <v>2007320</v>
      </c>
      <c r="B2559">
        <v>2022</v>
      </c>
      <c r="C2559" t="s">
        <v>6</v>
      </c>
      <c r="D2559" t="s">
        <v>7</v>
      </c>
      <c r="E2559" t="s">
        <v>8</v>
      </c>
      <c r="F2559">
        <v>5168</v>
      </c>
      <c r="G2559" t="s">
        <v>212</v>
      </c>
      <c r="H2559" s="1">
        <v>668322</v>
      </c>
      <c r="I2559" s="1">
        <v>0</v>
      </c>
      <c r="J2559" s="1">
        <v>668322</v>
      </c>
      <c r="K2559">
        <f>VLOOKUP(F2559,'LEAID Match'!$A$2:$C$2979,3,FALSE)</f>
        <v>2007320</v>
      </c>
    </row>
    <row r="2560" spans="1:11" x14ac:dyDescent="0.2">
      <c r="A2560">
        <v>2008880</v>
      </c>
      <c r="B2560">
        <v>2022</v>
      </c>
      <c r="C2560" t="s">
        <v>6</v>
      </c>
      <c r="D2560" t="s">
        <v>7</v>
      </c>
      <c r="E2560" t="s">
        <v>8</v>
      </c>
      <c r="F2560">
        <v>5171</v>
      </c>
      <c r="G2560" t="s">
        <v>213</v>
      </c>
      <c r="H2560" s="1">
        <v>271483</v>
      </c>
      <c r="I2560" s="1">
        <v>0</v>
      </c>
      <c r="J2560" s="1">
        <v>271483</v>
      </c>
      <c r="K2560">
        <f>VLOOKUP(F2560,'LEAID Match'!$A$2:$C$2979,3,FALSE)</f>
        <v>2008880</v>
      </c>
    </row>
    <row r="2561" spans="1:11" x14ac:dyDescent="0.2">
      <c r="A2561">
        <v>2004740</v>
      </c>
      <c r="B2561">
        <v>2022</v>
      </c>
      <c r="C2561" t="s">
        <v>6</v>
      </c>
      <c r="D2561" t="s">
        <v>7</v>
      </c>
      <c r="E2561" t="s">
        <v>8</v>
      </c>
      <c r="F2561">
        <v>5172</v>
      </c>
      <c r="G2561" t="s">
        <v>214</v>
      </c>
      <c r="H2561" s="1">
        <v>744752</v>
      </c>
      <c r="I2561" s="1">
        <v>0</v>
      </c>
      <c r="J2561" s="1">
        <v>744752</v>
      </c>
      <c r="K2561">
        <f>VLOOKUP(F2561,'LEAID Match'!$A$2:$C$2979,3,FALSE)</f>
        <v>2004740</v>
      </c>
    </row>
    <row r="2562" spans="1:11" x14ac:dyDescent="0.2">
      <c r="A2562">
        <v>2007860</v>
      </c>
      <c r="B2562">
        <v>2022</v>
      </c>
      <c r="C2562" t="s">
        <v>6</v>
      </c>
      <c r="D2562" t="s">
        <v>7</v>
      </c>
      <c r="E2562" t="s">
        <v>8</v>
      </c>
      <c r="F2562">
        <v>5173</v>
      </c>
      <c r="G2562" t="s">
        <v>215</v>
      </c>
      <c r="H2562" s="20">
        <v>381501</v>
      </c>
      <c r="I2562" s="1">
        <v>0</v>
      </c>
      <c r="J2562" s="1">
        <v>381501</v>
      </c>
      <c r="K2562">
        <f>VLOOKUP(F2562,'LEAID Match'!$A$2:$C$2979,3,FALSE)</f>
        <v>2007860</v>
      </c>
    </row>
    <row r="2563" spans="1:11" x14ac:dyDescent="0.2">
      <c r="A2563">
        <v>2007170</v>
      </c>
      <c r="B2563">
        <v>2022</v>
      </c>
      <c r="C2563" t="s">
        <v>6</v>
      </c>
      <c r="D2563" t="s">
        <v>7</v>
      </c>
      <c r="E2563" t="s">
        <v>8</v>
      </c>
      <c r="F2563">
        <v>5174</v>
      </c>
      <c r="G2563" t="s">
        <v>216</v>
      </c>
      <c r="H2563" s="1">
        <v>660958</v>
      </c>
      <c r="I2563" s="1">
        <v>0</v>
      </c>
      <c r="J2563" s="1">
        <v>660958</v>
      </c>
      <c r="K2563">
        <f>VLOOKUP(F2563,'LEAID Match'!$A$2:$C$2979,3,FALSE)</f>
        <v>2007170</v>
      </c>
    </row>
    <row r="2564" spans="1:11" x14ac:dyDescent="0.2">
      <c r="A2564">
        <v>2004230</v>
      </c>
      <c r="B2564">
        <v>2022</v>
      </c>
      <c r="C2564" t="s">
        <v>6</v>
      </c>
      <c r="D2564" t="s">
        <v>7</v>
      </c>
      <c r="E2564" t="s">
        <v>8</v>
      </c>
      <c r="F2564">
        <v>5175</v>
      </c>
      <c r="G2564" s="9" t="s">
        <v>217</v>
      </c>
      <c r="H2564" s="1">
        <v>308833</v>
      </c>
      <c r="I2564" s="1">
        <v>0</v>
      </c>
      <c r="J2564" s="1">
        <v>308833</v>
      </c>
      <c r="K2564">
        <f>VLOOKUP(F2564,'LEAID Match'!$A$2:$C$2979,3,FALSE)</f>
        <v>2004230</v>
      </c>
    </row>
    <row r="2565" spans="1:11" x14ac:dyDescent="0.2">
      <c r="A2565">
        <v>2008340</v>
      </c>
      <c r="B2565">
        <v>2022</v>
      </c>
      <c r="C2565" t="s">
        <v>6</v>
      </c>
      <c r="D2565" t="s">
        <v>7</v>
      </c>
      <c r="E2565" t="s">
        <v>8</v>
      </c>
      <c r="F2565" s="3">
        <v>5176</v>
      </c>
      <c r="G2565" s="3" t="s">
        <v>218</v>
      </c>
      <c r="H2565" s="22">
        <v>2553269</v>
      </c>
      <c r="I2565" s="1">
        <v>0</v>
      </c>
      <c r="J2565" s="1">
        <v>2553269</v>
      </c>
      <c r="K2565">
        <f>VLOOKUP(F2565,'LEAID Match'!$A$2:$C$2979,3,FALSE)</f>
        <v>2008340</v>
      </c>
    </row>
    <row r="2566" spans="1:11" x14ac:dyDescent="0.2">
      <c r="A2566">
        <v>2012000</v>
      </c>
      <c r="B2566">
        <v>2022</v>
      </c>
      <c r="C2566" t="s">
        <v>6</v>
      </c>
      <c r="D2566" t="s">
        <v>7</v>
      </c>
      <c r="E2566" t="s">
        <v>8</v>
      </c>
      <c r="F2566" s="3">
        <v>5185</v>
      </c>
      <c r="G2566" s="3" t="s">
        <v>219</v>
      </c>
      <c r="H2566" s="1">
        <v>21840362</v>
      </c>
      <c r="I2566" s="21">
        <v>0</v>
      </c>
      <c r="J2566" s="21">
        <v>21840362</v>
      </c>
      <c r="K2566">
        <f>VLOOKUP(F2566,'LEAID Match'!$A$2:$C$2979,3,FALSE)</f>
        <v>2012000</v>
      </c>
    </row>
    <row r="2567" spans="1:11" x14ac:dyDescent="0.2">
      <c r="A2567">
        <v>2000007</v>
      </c>
      <c r="B2567">
        <v>2022</v>
      </c>
      <c r="C2567" t="s">
        <v>6</v>
      </c>
      <c r="D2567" t="s">
        <v>7</v>
      </c>
      <c r="E2567" t="s">
        <v>8</v>
      </c>
      <c r="F2567" s="3">
        <v>5186</v>
      </c>
      <c r="G2567" s="3" t="s">
        <v>220</v>
      </c>
      <c r="H2567" s="1">
        <v>404134</v>
      </c>
      <c r="I2567" s="1">
        <v>0</v>
      </c>
      <c r="J2567" s="1">
        <v>404134</v>
      </c>
      <c r="K2567">
        <f>VLOOKUP(F2567,'LEAID Match'!$A$2:$C$2979,3,FALSE)</f>
        <v>2000007</v>
      </c>
    </row>
    <row r="2568" spans="1:11" x14ac:dyDescent="0.2">
      <c r="A2568">
        <v>2003960</v>
      </c>
      <c r="B2568">
        <v>2022</v>
      </c>
      <c r="C2568" t="s">
        <v>6</v>
      </c>
      <c r="D2568" t="s">
        <v>7</v>
      </c>
      <c r="E2568" t="s">
        <v>8</v>
      </c>
      <c r="F2568">
        <v>5187</v>
      </c>
      <c r="G2568" t="s">
        <v>221</v>
      </c>
      <c r="H2568" s="1">
        <v>527668</v>
      </c>
      <c r="I2568" s="1">
        <v>0</v>
      </c>
      <c r="J2568" s="1">
        <v>527668</v>
      </c>
      <c r="K2568">
        <f>VLOOKUP(F2568,'LEAID Match'!$A$2:$C$2979,3,FALSE)</f>
        <v>2003960</v>
      </c>
    </row>
    <row r="2569" spans="1:11" x14ac:dyDescent="0.2">
      <c r="A2569">
        <v>2012060</v>
      </c>
      <c r="B2569">
        <v>2022</v>
      </c>
      <c r="C2569" t="s">
        <v>6</v>
      </c>
      <c r="D2569" t="s">
        <v>7</v>
      </c>
      <c r="E2569" t="s">
        <v>8</v>
      </c>
      <c r="F2569">
        <v>5188</v>
      </c>
      <c r="G2569" t="s">
        <v>222</v>
      </c>
      <c r="H2569" s="1">
        <v>323951</v>
      </c>
      <c r="I2569" s="1">
        <v>0</v>
      </c>
      <c r="J2569" s="1">
        <v>323951</v>
      </c>
      <c r="K2569">
        <f>VLOOKUP(F2569,'LEAID Match'!$A$2:$C$2979,3,FALSE)</f>
        <v>2012060</v>
      </c>
    </row>
    <row r="2570" spans="1:11" x14ac:dyDescent="0.2">
      <c r="A2570">
        <v>2006780</v>
      </c>
      <c r="B2570">
        <v>2022</v>
      </c>
      <c r="C2570" t="s">
        <v>6</v>
      </c>
      <c r="D2570" t="s">
        <v>7</v>
      </c>
      <c r="E2570" t="s">
        <v>8</v>
      </c>
      <c r="F2570">
        <v>5189</v>
      </c>
      <c r="G2570" t="s">
        <v>223</v>
      </c>
      <c r="H2570" s="1">
        <v>114346</v>
      </c>
      <c r="I2570" s="1">
        <v>0</v>
      </c>
      <c r="J2570" s="1">
        <v>114346</v>
      </c>
      <c r="K2570">
        <f>VLOOKUP(F2570,'LEAID Match'!$A$2:$C$2979,3,FALSE)</f>
        <v>2006780</v>
      </c>
    </row>
    <row r="2571" spans="1:11" x14ac:dyDescent="0.2">
      <c r="A2571">
        <v>2011880</v>
      </c>
      <c r="B2571">
        <v>2022</v>
      </c>
      <c r="C2571" t="s">
        <v>6</v>
      </c>
      <c r="D2571" t="s">
        <v>7</v>
      </c>
      <c r="E2571" t="s">
        <v>8</v>
      </c>
      <c r="F2571">
        <v>5190</v>
      </c>
      <c r="G2571" t="s">
        <v>224</v>
      </c>
      <c r="H2571" s="20">
        <v>290330</v>
      </c>
      <c r="I2571" s="1">
        <v>0</v>
      </c>
      <c r="J2571" s="1">
        <v>290330</v>
      </c>
      <c r="K2571">
        <f>VLOOKUP(F2571,'LEAID Match'!$A$2:$C$2979,3,FALSE)</f>
        <v>2011880</v>
      </c>
    </row>
    <row r="2572" spans="1:11" x14ac:dyDescent="0.2">
      <c r="A2572">
        <v>2009990</v>
      </c>
      <c r="B2572">
        <v>2022</v>
      </c>
      <c r="C2572" t="s">
        <v>6</v>
      </c>
      <c r="D2572" t="s">
        <v>7</v>
      </c>
      <c r="E2572" t="s">
        <v>8</v>
      </c>
      <c r="F2572">
        <v>5191</v>
      </c>
      <c r="G2572" t="s">
        <v>225</v>
      </c>
      <c r="H2572" s="1">
        <v>1053297</v>
      </c>
      <c r="I2572" s="1">
        <v>0</v>
      </c>
      <c r="J2572" s="1">
        <v>1053297</v>
      </c>
      <c r="K2572">
        <f>VLOOKUP(F2572,'LEAID Match'!$A$2:$C$2979,3,FALSE)</f>
        <v>2009990</v>
      </c>
    </row>
    <row r="2573" spans="1:11" x14ac:dyDescent="0.2">
      <c r="A2573">
        <v>2008310</v>
      </c>
      <c r="B2573">
        <v>2022</v>
      </c>
      <c r="C2573" t="s">
        <v>6</v>
      </c>
      <c r="D2573" t="s">
        <v>7</v>
      </c>
      <c r="E2573" t="s">
        <v>8</v>
      </c>
      <c r="F2573">
        <v>5192</v>
      </c>
      <c r="G2573" s="9" t="s">
        <v>226</v>
      </c>
      <c r="H2573" s="1">
        <v>331980</v>
      </c>
      <c r="I2573" s="1">
        <v>0</v>
      </c>
      <c r="J2573" s="1">
        <v>331980</v>
      </c>
      <c r="K2573">
        <f>VLOOKUP(F2573,'LEAID Match'!$A$2:$C$2979,3,FALSE)</f>
        <v>2008310</v>
      </c>
    </row>
    <row r="2574" spans="1:11" x14ac:dyDescent="0.2">
      <c r="A2574">
        <v>2004200</v>
      </c>
      <c r="B2574">
        <v>2022</v>
      </c>
      <c r="C2574" t="s">
        <v>6</v>
      </c>
      <c r="D2574" t="s">
        <v>7</v>
      </c>
      <c r="E2574" t="s">
        <v>8</v>
      </c>
      <c r="F2574" s="3">
        <v>5193</v>
      </c>
      <c r="G2574" s="3" t="s">
        <v>227</v>
      </c>
      <c r="H2574" s="1">
        <v>1703944</v>
      </c>
      <c r="I2574" s="21">
        <v>0</v>
      </c>
      <c r="J2574" s="21">
        <v>1703944</v>
      </c>
      <c r="K2574">
        <f>VLOOKUP(F2574,'LEAID Match'!$A$2:$C$2979,3,FALSE)</f>
        <v>2004200</v>
      </c>
    </row>
    <row r="2575" spans="1:11" x14ac:dyDescent="0.2">
      <c r="A2575">
        <v>2000004</v>
      </c>
      <c r="B2575">
        <v>2022</v>
      </c>
      <c r="C2575" t="s">
        <v>6</v>
      </c>
      <c r="D2575" t="s">
        <v>7</v>
      </c>
      <c r="E2575" t="s">
        <v>8</v>
      </c>
      <c r="F2575" s="3">
        <v>5195</v>
      </c>
      <c r="G2575" s="3" t="s">
        <v>228</v>
      </c>
      <c r="H2575" s="1">
        <v>959298</v>
      </c>
      <c r="I2575" s="1">
        <v>0</v>
      </c>
      <c r="J2575" s="1">
        <v>959298</v>
      </c>
      <c r="K2575">
        <f>VLOOKUP(F2575,'LEAID Match'!$A$2:$C$2979,3,FALSE)</f>
        <v>2000004</v>
      </c>
    </row>
    <row r="2576" spans="1:11" x14ac:dyDescent="0.2">
      <c r="A2576">
        <v>2010320</v>
      </c>
      <c r="B2576">
        <v>2022</v>
      </c>
      <c r="C2576" t="s">
        <v>6</v>
      </c>
      <c r="D2576" t="s">
        <v>7</v>
      </c>
      <c r="E2576" t="s">
        <v>8</v>
      </c>
      <c r="F2576">
        <v>5196</v>
      </c>
      <c r="G2576" t="s">
        <v>229</v>
      </c>
      <c r="H2576" s="1">
        <v>577746</v>
      </c>
      <c r="I2576" s="1">
        <v>0</v>
      </c>
      <c r="J2576" s="1">
        <v>577746</v>
      </c>
      <c r="K2576">
        <f>VLOOKUP(F2576,'LEAID Match'!$A$2:$C$2979,3,FALSE)</f>
        <v>2010320</v>
      </c>
    </row>
    <row r="2577" spans="1:11" x14ac:dyDescent="0.2">
      <c r="A2577">
        <v>2009060</v>
      </c>
      <c r="B2577">
        <v>2022</v>
      </c>
      <c r="C2577" t="s">
        <v>6</v>
      </c>
      <c r="D2577" t="s">
        <v>7</v>
      </c>
      <c r="E2577" t="s">
        <v>8</v>
      </c>
      <c r="F2577">
        <v>5197</v>
      </c>
      <c r="G2577" t="s">
        <v>230</v>
      </c>
      <c r="H2577" s="1">
        <v>299081</v>
      </c>
      <c r="I2577" s="1">
        <v>0</v>
      </c>
      <c r="J2577" s="1">
        <v>299081</v>
      </c>
      <c r="K2577">
        <f>VLOOKUP(F2577,'LEAID Match'!$A$2:$C$2979,3,FALSE)</f>
        <v>2009060</v>
      </c>
    </row>
    <row r="2578" spans="1:11" x14ac:dyDescent="0.2">
      <c r="A2578">
        <v>2012840</v>
      </c>
      <c r="B2578">
        <v>2022</v>
      </c>
      <c r="C2578" t="s">
        <v>6</v>
      </c>
      <c r="D2578" t="s">
        <v>7</v>
      </c>
      <c r="E2578" t="s">
        <v>8</v>
      </c>
      <c r="F2578">
        <v>5198</v>
      </c>
      <c r="G2578" t="s">
        <v>231</v>
      </c>
      <c r="H2578" s="1">
        <v>1524445</v>
      </c>
      <c r="I2578" s="1">
        <v>0</v>
      </c>
      <c r="J2578" s="1">
        <v>1524445</v>
      </c>
      <c r="K2578">
        <f>VLOOKUP(F2578,'LEAID Match'!$A$2:$C$2979,3,FALSE)</f>
        <v>2012840</v>
      </c>
    </row>
    <row r="2579" spans="1:11" x14ac:dyDescent="0.2">
      <c r="A2579">
        <v>2005820</v>
      </c>
      <c r="B2579">
        <v>2022</v>
      </c>
      <c r="C2579" t="s">
        <v>6</v>
      </c>
      <c r="D2579" t="s">
        <v>7</v>
      </c>
      <c r="E2579" t="s">
        <v>8</v>
      </c>
      <c r="F2579">
        <v>5199</v>
      </c>
      <c r="G2579" t="s">
        <v>232</v>
      </c>
      <c r="H2579" s="20">
        <v>471636</v>
      </c>
      <c r="I2579" s="1">
        <v>0</v>
      </c>
      <c r="J2579" s="1">
        <v>471636</v>
      </c>
      <c r="K2579">
        <f>VLOOKUP(F2579,'LEAID Match'!$A$2:$C$2979,3,FALSE)</f>
        <v>2005820</v>
      </c>
    </row>
    <row r="2580" spans="1:11" x14ac:dyDescent="0.2">
      <c r="A2580">
        <v>2008250</v>
      </c>
      <c r="B2580">
        <v>2022</v>
      </c>
      <c r="C2580" t="s">
        <v>6</v>
      </c>
      <c r="D2580" t="s">
        <v>7</v>
      </c>
      <c r="E2580" t="s">
        <v>8</v>
      </c>
      <c r="F2580">
        <v>5200</v>
      </c>
      <c r="G2580" t="s">
        <v>233</v>
      </c>
      <c r="H2580" s="1">
        <v>1034821</v>
      </c>
      <c r="I2580" s="1">
        <v>0</v>
      </c>
      <c r="J2580" s="1">
        <v>1034821</v>
      </c>
      <c r="K2580">
        <f>VLOOKUP(F2580,'LEAID Match'!$A$2:$C$2979,3,FALSE)</f>
        <v>2008250</v>
      </c>
    </row>
    <row r="2581" spans="1:11" x14ac:dyDescent="0.2">
      <c r="A2581">
        <v>2004350</v>
      </c>
      <c r="B2581">
        <v>2022</v>
      </c>
      <c r="C2581" t="s">
        <v>6</v>
      </c>
      <c r="D2581" t="s">
        <v>7</v>
      </c>
      <c r="E2581" t="s">
        <v>8</v>
      </c>
      <c r="F2581">
        <v>5201</v>
      </c>
      <c r="G2581" s="9" t="s">
        <v>234</v>
      </c>
      <c r="H2581" s="1">
        <v>226363</v>
      </c>
      <c r="I2581" s="1">
        <v>0</v>
      </c>
      <c r="J2581" s="1">
        <v>226363</v>
      </c>
      <c r="K2581">
        <f>VLOOKUP(F2581,'LEAID Match'!$A$2:$C$2979,3,FALSE)</f>
        <v>2004350</v>
      </c>
    </row>
    <row r="2582" spans="1:11" x14ac:dyDescent="0.2">
      <c r="A2582">
        <v>2010290</v>
      </c>
      <c r="B2582">
        <v>2022</v>
      </c>
      <c r="C2582" t="s">
        <v>6</v>
      </c>
      <c r="D2582" t="s">
        <v>7</v>
      </c>
      <c r="E2582" t="s">
        <v>8</v>
      </c>
      <c r="F2582" s="3">
        <v>5202</v>
      </c>
      <c r="G2582" s="3" t="s">
        <v>235</v>
      </c>
      <c r="H2582" s="22">
        <v>292530</v>
      </c>
      <c r="I2582" s="1">
        <v>0</v>
      </c>
      <c r="J2582" s="1">
        <v>292530</v>
      </c>
      <c r="K2582">
        <f>VLOOKUP(F2582,'LEAID Match'!$A$2:$C$2979,3,FALSE)</f>
        <v>2010290</v>
      </c>
    </row>
    <row r="2583" spans="1:11" x14ac:dyDescent="0.2">
      <c r="A2583">
        <v>2000002</v>
      </c>
      <c r="B2583">
        <v>2022</v>
      </c>
      <c r="C2583" t="s">
        <v>6</v>
      </c>
      <c r="D2583" t="s">
        <v>7</v>
      </c>
      <c r="E2583" t="s">
        <v>8</v>
      </c>
      <c r="F2583" s="3">
        <v>5203</v>
      </c>
      <c r="G2583" s="3" t="s">
        <v>236</v>
      </c>
      <c r="H2583" s="1">
        <v>776612</v>
      </c>
      <c r="I2583" s="21">
        <v>0</v>
      </c>
      <c r="J2583" s="21">
        <v>776612</v>
      </c>
      <c r="K2583">
        <f>VLOOKUP(F2583,'LEAID Match'!$A$2:$C$2979,3,FALSE)</f>
        <v>2000002</v>
      </c>
    </row>
    <row r="2584" spans="1:11" x14ac:dyDescent="0.2">
      <c r="A2584">
        <v>2009030</v>
      </c>
      <c r="B2584">
        <v>2022</v>
      </c>
      <c r="C2584" t="s">
        <v>6</v>
      </c>
      <c r="D2584" t="s">
        <v>7</v>
      </c>
      <c r="E2584" t="s">
        <v>8</v>
      </c>
      <c r="F2584" s="3">
        <v>5204</v>
      </c>
      <c r="G2584" s="3" t="s">
        <v>237</v>
      </c>
      <c r="H2584" s="1">
        <v>1118378</v>
      </c>
      <c r="I2584" s="1">
        <v>0</v>
      </c>
      <c r="J2584" s="1">
        <v>1118378</v>
      </c>
      <c r="K2584">
        <f>VLOOKUP(F2584,'LEAID Match'!$A$2:$C$2979,3,FALSE)</f>
        <v>2009030</v>
      </c>
    </row>
    <row r="2585" spans="1:11" x14ac:dyDescent="0.2">
      <c r="A2585">
        <v>2009240</v>
      </c>
      <c r="B2585">
        <v>2022</v>
      </c>
      <c r="C2585" t="s">
        <v>6</v>
      </c>
      <c r="D2585" t="s">
        <v>7</v>
      </c>
      <c r="E2585" t="s">
        <v>8</v>
      </c>
      <c r="F2585">
        <v>5205</v>
      </c>
      <c r="G2585" t="s">
        <v>238</v>
      </c>
      <c r="H2585" s="1">
        <v>554857</v>
      </c>
      <c r="I2585" s="1">
        <v>0</v>
      </c>
      <c r="J2585" s="1">
        <v>554857</v>
      </c>
      <c r="K2585">
        <f>VLOOKUP(F2585,'LEAID Match'!$A$2:$C$2979,3,FALSE)</f>
        <v>2009240</v>
      </c>
    </row>
    <row r="2586" spans="1:11" x14ac:dyDescent="0.2">
      <c r="A2586">
        <v>2007290</v>
      </c>
      <c r="B2586">
        <v>2022</v>
      </c>
      <c r="C2586" t="s">
        <v>6</v>
      </c>
      <c r="D2586" t="s">
        <v>7</v>
      </c>
      <c r="E2586" t="s">
        <v>8</v>
      </c>
      <c r="F2586">
        <v>5206</v>
      </c>
      <c r="G2586" t="s">
        <v>239</v>
      </c>
      <c r="H2586" s="1">
        <v>533165</v>
      </c>
      <c r="I2586" s="1">
        <v>0</v>
      </c>
      <c r="J2586" s="1">
        <v>533165</v>
      </c>
      <c r="K2586">
        <f>VLOOKUP(F2586,'LEAID Match'!$A$2:$C$2979,3,FALSE)</f>
        <v>2007290</v>
      </c>
    </row>
    <row r="2587" spans="1:11" x14ac:dyDescent="0.2">
      <c r="A2587">
        <v>2008970</v>
      </c>
      <c r="B2587">
        <v>2022</v>
      </c>
      <c r="C2587" t="s">
        <v>6</v>
      </c>
      <c r="D2587" t="s">
        <v>7</v>
      </c>
      <c r="E2587" t="s">
        <v>8</v>
      </c>
      <c r="F2587">
        <v>5207</v>
      </c>
      <c r="G2587" t="s">
        <v>240</v>
      </c>
      <c r="H2587" s="1">
        <v>1171767</v>
      </c>
      <c r="I2587" s="1">
        <v>0</v>
      </c>
      <c r="J2587" s="1">
        <v>1171767</v>
      </c>
      <c r="K2587">
        <f>VLOOKUP(F2587,'LEAID Match'!$A$2:$C$2979,3,FALSE)</f>
        <v>2008970</v>
      </c>
    </row>
    <row r="2588" spans="1:11" x14ac:dyDescent="0.2">
      <c r="A2588">
        <v>2009780</v>
      </c>
      <c r="B2588">
        <v>2022</v>
      </c>
      <c r="C2588" t="s">
        <v>6</v>
      </c>
      <c r="D2588" t="s">
        <v>7</v>
      </c>
      <c r="E2588" t="s">
        <v>8</v>
      </c>
      <c r="F2588">
        <v>5208</v>
      </c>
      <c r="G2588" t="s">
        <v>241</v>
      </c>
      <c r="H2588" s="20">
        <v>360148</v>
      </c>
      <c r="I2588" s="1">
        <v>0</v>
      </c>
      <c r="J2588" s="1">
        <v>360148</v>
      </c>
      <c r="K2588">
        <f>VLOOKUP(F2588,'LEAID Match'!$A$2:$C$2979,3,FALSE)</f>
        <v>2009780</v>
      </c>
    </row>
    <row r="2589" spans="1:11" x14ac:dyDescent="0.2">
      <c r="A2589">
        <v>2006660</v>
      </c>
      <c r="B2589">
        <v>2022</v>
      </c>
      <c r="C2589" t="s">
        <v>6</v>
      </c>
      <c r="D2589" t="s">
        <v>7</v>
      </c>
      <c r="E2589" t="s">
        <v>8</v>
      </c>
      <c r="F2589">
        <v>5210</v>
      </c>
      <c r="G2589" t="s">
        <v>242</v>
      </c>
      <c r="H2589" s="1">
        <v>3576933</v>
      </c>
      <c r="I2589" s="1">
        <v>0</v>
      </c>
      <c r="J2589" s="1">
        <v>3576933</v>
      </c>
      <c r="K2589">
        <f>VLOOKUP(F2589,'LEAID Match'!$A$2:$C$2979,3,FALSE)</f>
        <v>2006660</v>
      </c>
    </row>
    <row r="2590" spans="1:11" x14ac:dyDescent="0.2">
      <c r="A2590">
        <v>2010410</v>
      </c>
      <c r="B2590">
        <v>2022</v>
      </c>
      <c r="C2590" t="s">
        <v>6</v>
      </c>
      <c r="D2590" t="s">
        <v>7</v>
      </c>
      <c r="E2590" t="s">
        <v>8</v>
      </c>
      <c r="F2590">
        <v>5212</v>
      </c>
      <c r="G2590" s="9" t="s">
        <v>243</v>
      </c>
      <c r="H2590" s="1">
        <v>949459</v>
      </c>
      <c r="I2590" s="1">
        <v>0</v>
      </c>
      <c r="J2590" s="1">
        <v>949459</v>
      </c>
      <c r="K2590">
        <f>VLOOKUP(F2590,'LEAID Match'!$A$2:$C$2979,3,FALSE)</f>
        <v>2010410</v>
      </c>
    </row>
    <row r="2591" spans="1:11" x14ac:dyDescent="0.2">
      <c r="A2591">
        <v>2004410</v>
      </c>
      <c r="B2591">
        <v>2022</v>
      </c>
      <c r="C2591" t="s">
        <v>6</v>
      </c>
      <c r="D2591" t="s">
        <v>7</v>
      </c>
      <c r="E2591" t="s">
        <v>8</v>
      </c>
      <c r="F2591" s="3">
        <v>5213</v>
      </c>
      <c r="G2591" s="3" t="s">
        <v>244</v>
      </c>
      <c r="H2591" s="1">
        <v>698688</v>
      </c>
      <c r="I2591" s="21">
        <v>0</v>
      </c>
      <c r="J2591" s="21">
        <v>698688</v>
      </c>
      <c r="K2591">
        <f>VLOOKUP(F2591,'LEAID Match'!$A$2:$C$2979,3,FALSE)</f>
        <v>2004410</v>
      </c>
    </row>
    <row r="2592" spans="1:11" x14ac:dyDescent="0.2">
      <c r="A2592">
        <v>2012180</v>
      </c>
      <c r="B2592">
        <v>2022</v>
      </c>
      <c r="C2592" t="s">
        <v>6</v>
      </c>
      <c r="D2592" t="s">
        <v>7</v>
      </c>
      <c r="E2592" t="s">
        <v>8</v>
      </c>
      <c r="F2592" s="3">
        <v>5214</v>
      </c>
      <c r="G2592" s="3" t="s">
        <v>245</v>
      </c>
      <c r="H2592" s="1">
        <v>3638204</v>
      </c>
      <c r="I2592" s="1">
        <v>0</v>
      </c>
      <c r="J2592" s="1">
        <v>3638204</v>
      </c>
      <c r="K2592">
        <f>VLOOKUP(F2592,'LEAID Match'!$A$2:$C$2979,3,FALSE)</f>
        <v>2012180</v>
      </c>
    </row>
    <row r="2593" spans="1:11" x14ac:dyDescent="0.2">
      <c r="A2593">
        <v>2000017</v>
      </c>
      <c r="B2593">
        <v>2022</v>
      </c>
      <c r="C2593" t="s">
        <v>6</v>
      </c>
      <c r="D2593" t="s">
        <v>7</v>
      </c>
      <c r="E2593" t="s">
        <v>8</v>
      </c>
      <c r="F2593">
        <v>5215</v>
      </c>
      <c r="G2593" t="s">
        <v>246</v>
      </c>
      <c r="H2593" s="1">
        <v>854921</v>
      </c>
      <c r="I2593" s="1">
        <v>0</v>
      </c>
      <c r="J2593" s="1">
        <v>854921</v>
      </c>
      <c r="K2593">
        <f>VLOOKUP(F2593,'LEAID Match'!$A$2:$C$2979,3,FALSE)</f>
        <v>2000017</v>
      </c>
    </row>
    <row r="2594" spans="1:11" x14ac:dyDescent="0.2">
      <c r="A2594">
        <v>2007740</v>
      </c>
      <c r="B2594">
        <v>2022</v>
      </c>
      <c r="C2594" t="s">
        <v>6</v>
      </c>
      <c r="D2594" t="s">
        <v>7</v>
      </c>
      <c r="E2594" t="s">
        <v>8</v>
      </c>
      <c r="F2594">
        <v>5150</v>
      </c>
      <c r="G2594" t="s">
        <v>247</v>
      </c>
      <c r="H2594" s="1">
        <v>989944</v>
      </c>
      <c r="I2594" s="1">
        <v>0</v>
      </c>
      <c r="J2594" s="1">
        <v>989944</v>
      </c>
      <c r="K2594">
        <f>VLOOKUP(F2594,'LEAID Match'!$A$2:$C$2979,3,FALSE)</f>
        <v>2007740</v>
      </c>
    </row>
    <row r="2595" spans="1:11" x14ac:dyDescent="0.2">
      <c r="A2595">
        <v>2005190</v>
      </c>
      <c r="B2595">
        <v>2022</v>
      </c>
      <c r="C2595" t="s">
        <v>6</v>
      </c>
      <c r="D2595" t="s">
        <v>7</v>
      </c>
      <c r="E2595" t="s">
        <v>8</v>
      </c>
      <c r="F2595">
        <v>5217</v>
      </c>
      <c r="G2595" t="s">
        <v>248</v>
      </c>
      <c r="H2595" s="1">
        <v>133554</v>
      </c>
      <c r="I2595" s="1">
        <v>0</v>
      </c>
      <c r="J2595" s="1">
        <v>133554</v>
      </c>
      <c r="K2595">
        <f>VLOOKUP(F2595,'LEAID Match'!$A$2:$C$2979,3,FALSE)</f>
        <v>2005190</v>
      </c>
    </row>
    <row r="2596" spans="1:11" x14ac:dyDescent="0.2">
      <c r="A2596">
        <v>2007440</v>
      </c>
      <c r="B2596">
        <v>2022</v>
      </c>
      <c r="C2596" t="s">
        <v>6</v>
      </c>
      <c r="D2596" t="s">
        <v>7</v>
      </c>
      <c r="E2596" t="s">
        <v>8</v>
      </c>
      <c r="F2596">
        <v>5218</v>
      </c>
      <c r="G2596" t="s">
        <v>249</v>
      </c>
      <c r="H2596" s="20">
        <v>310793</v>
      </c>
      <c r="I2596" s="1">
        <v>0</v>
      </c>
      <c r="J2596" s="1">
        <v>310793</v>
      </c>
      <c r="K2596">
        <f>VLOOKUP(F2596,'LEAID Match'!$A$2:$C$2979,3,FALSE)</f>
        <v>2007440</v>
      </c>
    </row>
    <row r="2597" spans="1:11" x14ac:dyDescent="0.2">
      <c r="A2597">
        <v>2011610</v>
      </c>
      <c r="B2597">
        <v>2022</v>
      </c>
      <c r="C2597" t="s">
        <v>6</v>
      </c>
      <c r="D2597" t="s">
        <v>7</v>
      </c>
      <c r="E2597" t="s">
        <v>8</v>
      </c>
      <c r="F2597">
        <v>5219</v>
      </c>
      <c r="G2597" t="s">
        <v>250</v>
      </c>
      <c r="H2597" s="1">
        <v>203755</v>
      </c>
      <c r="I2597" s="1">
        <v>0</v>
      </c>
      <c r="J2597" s="1">
        <v>203755</v>
      </c>
      <c r="K2597">
        <f>VLOOKUP(F2597,'LEAID Match'!$A$2:$C$2979,3,FALSE)</f>
        <v>2011610</v>
      </c>
    </row>
    <row r="2598" spans="1:11" x14ac:dyDescent="0.2">
      <c r="A2598">
        <v>2012810</v>
      </c>
      <c r="B2598">
        <v>2022</v>
      </c>
      <c r="C2598" t="s">
        <v>6</v>
      </c>
      <c r="D2598" t="s">
        <v>7</v>
      </c>
      <c r="E2598" t="s">
        <v>8</v>
      </c>
      <c r="F2598">
        <v>5220</v>
      </c>
      <c r="G2598" s="9" t="s">
        <v>251</v>
      </c>
      <c r="H2598" s="1">
        <v>423084</v>
      </c>
      <c r="I2598" s="1">
        <v>0</v>
      </c>
      <c r="J2598" s="1">
        <v>423084</v>
      </c>
      <c r="K2598">
        <f>VLOOKUP(F2598,'LEAID Match'!$A$2:$C$2979,3,FALSE)</f>
        <v>2012810</v>
      </c>
    </row>
    <row r="2599" spans="1:11" x14ac:dyDescent="0.2">
      <c r="A2599">
        <v>2005800</v>
      </c>
      <c r="B2599">
        <v>2022</v>
      </c>
      <c r="C2599" t="s">
        <v>6</v>
      </c>
      <c r="D2599" t="s">
        <v>7</v>
      </c>
      <c r="E2599" t="s">
        <v>8</v>
      </c>
      <c r="F2599" s="3">
        <v>5222</v>
      </c>
      <c r="G2599" s="3" t="s">
        <v>252</v>
      </c>
      <c r="H2599" s="22">
        <v>391647</v>
      </c>
      <c r="I2599" s="1">
        <v>0</v>
      </c>
      <c r="J2599" s="1">
        <v>391647</v>
      </c>
      <c r="K2599">
        <f>VLOOKUP(F2599,'LEAID Match'!$A$2:$C$2979,3,FALSE)</f>
        <v>2005800</v>
      </c>
    </row>
    <row r="2600" spans="1:11" x14ac:dyDescent="0.2">
      <c r="A2600">
        <v>2013020</v>
      </c>
      <c r="B2600">
        <v>2022</v>
      </c>
      <c r="C2600" t="s">
        <v>6</v>
      </c>
      <c r="D2600" t="s">
        <v>7</v>
      </c>
      <c r="E2600" t="s">
        <v>8</v>
      </c>
      <c r="F2600" s="3">
        <v>5223</v>
      </c>
      <c r="G2600" s="3" t="s">
        <v>253</v>
      </c>
      <c r="H2600" s="1">
        <v>445257</v>
      </c>
      <c r="I2600" s="21">
        <v>0</v>
      </c>
      <c r="J2600" s="21">
        <v>445257</v>
      </c>
      <c r="K2600">
        <f>VLOOKUP(F2600,'LEAID Match'!$A$2:$C$2979,3,FALSE)</f>
        <v>2013020</v>
      </c>
    </row>
    <row r="2601" spans="1:11" x14ac:dyDescent="0.2">
      <c r="A2601">
        <v>2004470</v>
      </c>
      <c r="B2601">
        <v>2022</v>
      </c>
      <c r="C2601" t="s">
        <v>6</v>
      </c>
      <c r="D2601" t="s">
        <v>7</v>
      </c>
      <c r="E2601" t="s">
        <v>8</v>
      </c>
      <c r="F2601" s="3">
        <v>5226</v>
      </c>
      <c r="G2601" s="3" t="s">
        <v>254</v>
      </c>
      <c r="H2601" s="1">
        <v>260812</v>
      </c>
      <c r="I2601" s="1">
        <v>0</v>
      </c>
      <c r="J2601" s="1">
        <v>260812</v>
      </c>
      <c r="K2601">
        <f>VLOOKUP(F2601,'LEAID Match'!$A$2:$C$2979,3,FALSE)</f>
        <v>2004470</v>
      </c>
    </row>
    <row r="2602" spans="1:11" x14ac:dyDescent="0.2">
      <c r="A2602">
        <v>2000013</v>
      </c>
      <c r="B2602">
        <v>2022</v>
      </c>
      <c r="C2602" t="s">
        <v>6</v>
      </c>
      <c r="D2602" t="s">
        <v>7</v>
      </c>
      <c r="E2602" t="s">
        <v>8</v>
      </c>
      <c r="F2602">
        <v>5227</v>
      </c>
      <c r="G2602" t="s">
        <v>255</v>
      </c>
      <c r="H2602" s="1">
        <v>101025</v>
      </c>
      <c r="I2602" s="1">
        <v>0</v>
      </c>
      <c r="J2602" s="1">
        <v>101025</v>
      </c>
      <c r="K2602">
        <f>VLOOKUP(F2602,'LEAID Match'!$A$2:$C$2979,3,FALSE)</f>
        <v>2000013</v>
      </c>
    </row>
    <row r="2603" spans="1:11" x14ac:dyDescent="0.2">
      <c r="A2603">
        <v>2006630</v>
      </c>
      <c r="B2603">
        <v>2022</v>
      </c>
      <c r="C2603" t="s">
        <v>6</v>
      </c>
      <c r="D2603" t="s">
        <v>7</v>
      </c>
      <c r="E2603" t="s">
        <v>8</v>
      </c>
      <c r="F2603">
        <v>5228</v>
      </c>
      <c r="G2603" t="s">
        <v>256</v>
      </c>
      <c r="H2603" s="1">
        <v>186274</v>
      </c>
      <c r="I2603" s="1">
        <v>0</v>
      </c>
      <c r="J2603" s="1">
        <v>186274</v>
      </c>
      <c r="K2603">
        <f>VLOOKUP(F2603,'LEAID Match'!$A$2:$C$2979,3,FALSE)</f>
        <v>2006630</v>
      </c>
    </row>
    <row r="2604" spans="1:11" x14ac:dyDescent="0.2">
      <c r="A2604">
        <v>2010080</v>
      </c>
      <c r="B2604">
        <v>2022</v>
      </c>
      <c r="C2604" t="s">
        <v>6</v>
      </c>
      <c r="D2604" t="s">
        <v>7</v>
      </c>
      <c r="E2604" t="s">
        <v>8</v>
      </c>
      <c r="F2604">
        <v>5229</v>
      </c>
      <c r="G2604" t="s">
        <v>257</v>
      </c>
      <c r="H2604" s="1">
        <v>363105</v>
      </c>
      <c r="I2604" s="1">
        <v>0</v>
      </c>
      <c r="J2604" s="1">
        <v>363105</v>
      </c>
      <c r="K2604">
        <f>VLOOKUP(F2604,'LEAID Match'!$A$2:$C$2979,3,FALSE)</f>
        <v>2010080</v>
      </c>
    </row>
    <row r="2605" spans="1:11" x14ac:dyDescent="0.2">
      <c r="A2605">
        <v>2006960</v>
      </c>
      <c r="B2605">
        <v>2022</v>
      </c>
      <c r="C2605" t="s">
        <v>6</v>
      </c>
      <c r="D2605" t="s">
        <v>7</v>
      </c>
      <c r="E2605" t="s">
        <v>8</v>
      </c>
      <c r="F2605">
        <v>5230</v>
      </c>
      <c r="G2605" t="s">
        <v>258</v>
      </c>
      <c r="H2605" s="20">
        <v>716800</v>
      </c>
      <c r="I2605" s="1">
        <v>0</v>
      </c>
      <c r="J2605" s="1">
        <v>716800</v>
      </c>
      <c r="K2605">
        <f>VLOOKUP(F2605,'LEAID Match'!$A$2:$C$2979,3,FALSE)</f>
        <v>2006960</v>
      </c>
    </row>
    <row r="2606" spans="1:11" x14ac:dyDescent="0.2">
      <c r="A2606">
        <v>2007380</v>
      </c>
      <c r="B2606">
        <v>2022</v>
      </c>
      <c r="C2606" t="s">
        <v>6</v>
      </c>
      <c r="D2606" t="s">
        <v>7</v>
      </c>
      <c r="E2606" t="s">
        <v>8</v>
      </c>
      <c r="F2606">
        <v>5231</v>
      </c>
      <c r="G2606" t="s">
        <v>259</v>
      </c>
      <c r="H2606" s="1">
        <v>1634703</v>
      </c>
      <c r="I2606" s="1">
        <v>0</v>
      </c>
      <c r="J2606" s="1">
        <v>1634703</v>
      </c>
      <c r="K2606">
        <f>VLOOKUP(F2606,'LEAID Match'!$A$2:$C$2979,3,FALSE)</f>
        <v>2007380</v>
      </c>
    </row>
    <row r="2607" spans="1:11" x14ac:dyDescent="0.2">
      <c r="A2607">
        <v>2003200</v>
      </c>
      <c r="B2607">
        <v>2022</v>
      </c>
      <c r="C2607" t="s">
        <v>6</v>
      </c>
      <c r="D2607" t="s">
        <v>7</v>
      </c>
      <c r="E2607" t="s">
        <v>8</v>
      </c>
      <c r="F2607">
        <v>5233</v>
      </c>
      <c r="G2607" s="9" t="s">
        <v>260</v>
      </c>
      <c r="H2607" s="1">
        <v>6055556</v>
      </c>
      <c r="I2607" s="1">
        <v>0</v>
      </c>
      <c r="J2607" s="1">
        <v>6055556</v>
      </c>
      <c r="K2607">
        <f>VLOOKUP(F2607,'LEAID Match'!$A$2:$C$2979,3,FALSE)</f>
        <v>2003200</v>
      </c>
    </row>
    <row r="2608" spans="1:11" x14ac:dyDescent="0.2">
      <c r="A2608">
        <v>2008040</v>
      </c>
      <c r="B2608">
        <v>2022</v>
      </c>
      <c r="C2608" t="s">
        <v>6</v>
      </c>
      <c r="D2608" t="s">
        <v>7</v>
      </c>
      <c r="E2608" t="s">
        <v>8</v>
      </c>
      <c r="F2608" s="3">
        <v>5235</v>
      </c>
      <c r="G2608" s="3" t="s">
        <v>261</v>
      </c>
      <c r="H2608" s="22">
        <v>234251</v>
      </c>
      <c r="I2608" s="1">
        <v>0</v>
      </c>
      <c r="J2608" s="1">
        <v>234251</v>
      </c>
      <c r="K2608">
        <f>VLOOKUP(F2608,'LEAID Match'!$A$2:$C$2979,3,FALSE)</f>
        <v>2008040</v>
      </c>
    </row>
    <row r="2609" spans="1:11" x14ac:dyDescent="0.2">
      <c r="A2609">
        <v>2006060</v>
      </c>
      <c r="B2609">
        <v>2022</v>
      </c>
      <c r="C2609" t="s">
        <v>6</v>
      </c>
      <c r="D2609" t="s">
        <v>7</v>
      </c>
      <c r="E2609" t="s">
        <v>8</v>
      </c>
      <c r="F2609" s="3">
        <v>5236</v>
      </c>
      <c r="G2609" s="3" t="s">
        <v>262</v>
      </c>
      <c r="H2609" s="1">
        <v>557404</v>
      </c>
      <c r="I2609" s="21">
        <v>0</v>
      </c>
      <c r="J2609" s="21">
        <v>557404</v>
      </c>
      <c r="K2609">
        <f>VLOOKUP(F2609,'LEAID Match'!$A$2:$C$2979,3,FALSE)</f>
        <v>2006060</v>
      </c>
    </row>
    <row r="2610" spans="1:11" x14ac:dyDescent="0.2">
      <c r="A2610">
        <v>2006510</v>
      </c>
      <c r="B2610">
        <v>2022</v>
      </c>
      <c r="C2610" t="s">
        <v>6</v>
      </c>
      <c r="D2610" t="s">
        <v>7</v>
      </c>
      <c r="E2610" t="s">
        <v>8</v>
      </c>
      <c r="F2610" s="3">
        <v>5237</v>
      </c>
      <c r="G2610" s="3" t="s">
        <v>263</v>
      </c>
      <c r="H2610" s="1">
        <v>252262</v>
      </c>
      <c r="I2610" s="1">
        <v>0</v>
      </c>
      <c r="J2610" s="1">
        <v>252262</v>
      </c>
      <c r="K2610">
        <f>VLOOKUP(F2610,'LEAID Match'!$A$2:$C$2979,3,FALSE)</f>
        <v>2006510</v>
      </c>
    </row>
    <row r="2611" spans="1:11" x14ac:dyDescent="0.2">
      <c r="A2611">
        <v>2004170</v>
      </c>
      <c r="B2611">
        <v>2022</v>
      </c>
      <c r="C2611" t="s">
        <v>6</v>
      </c>
      <c r="D2611" t="s">
        <v>7</v>
      </c>
      <c r="E2611" t="s">
        <v>8</v>
      </c>
      <c r="F2611">
        <v>5238</v>
      </c>
      <c r="G2611" t="s">
        <v>264</v>
      </c>
      <c r="H2611" s="1">
        <v>212923</v>
      </c>
      <c r="I2611" s="1">
        <v>0</v>
      </c>
      <c r="J2611" s="1">
        <v>212923</v>
      </c>
      <c r="K2611">
        <f>VLOOKUP(F2611,'LEAID Match'!$A$2:$C$2979,3,FALSE)</f>
        <v>2004170</v>
      </c>
    </row>
    <row r="2612" spans="1:11" x14ac:dyDescent="0.2">
      <c r="A2612">
        <v>2004650</v>
      </c>
      <c r="B2612">
        <v>2022</v>
      </c>
      <c r="C2612" t="s">
        <v>6</v>
      </c>
      <c r="D2612" t="s">
        <v>7</v>
      </c>
      <c r="E2612" t="s">
        <v>8</v>
      </c>
      <c r="F2612">
        <v>5239</v>
      </c>
      <c r="G2612" t="s">
        <v>265</v>
      </c>
      <c r="H2612" s="1">
        <v>182342</v>
      </c>
      <c r="I2612" s="1">
        <v>0</v>
      </c>
      <c r="J2612" s="1">
        <v>182342</v>
      </c>
      <c r="K2612">
        <f>VLOOKUP(F2612,'LEAID Match'!$A$2:$C$2979,3,FALSE)</f>
        <v>2004650</v>
      </c>
    </row>
    <row r="2613" spans="1:11" x14ac:dyDescent="0.2">
      <c r="A2613">
        <v>2012150</v>
      </c>
      <c r="B2613">
        <v>2022</v>
      </c>
      <c r="C2613" t="s">
        <v>6</v>
      </c>
      <c r="D2613" t="s">
        <v>7</v>
      </c>
      <c r="E2613" t="s">
        <v>8</v>
      </c>
      <c r="F2613">
        <v>5240</v>
      </c>
      <c r="G2613" t="s">
        <v>266</v>
      </c>
      <c r="H2613" s="1">
        <v>474872</v>
      </c>
      <c r="I2613" s="1">
        <v>0</v>
      </c>
      <c r="J2613" s="1">
        <v>474872</v>
      </c>
      <c r="K2613">
        <f>VLOOKUP(F2613,'LEAID Match'!$A$2:$C$2979,3,FALSE)</f>
        <v>2012150</v>
      </c>
    </row>
    <row r="2614" spans="1:11" x14ac:dyDescent="0.2">
      <c r="A2614">
        <v>2005040</v>
      </c>
      <c r="B2614">
        <v>2022</v>
      </c>
      <c r="C2614" t="s">
        <v>6</v>
      </c>
      <c r="D2614" t="s">
        <v>7</v>
      </c>
      <c r="E2614" t="s">
        <v>8</v>
      </c>
      <c r="F2614">
        <v>5241</v>
      </c>
      <c r="G2614" t="s">
        <v>267</v>
      </c>
      <c r="H2614" s="20">
        <v>284173</v>
      </c>
      <c r="I2614" s="1">
        <v>0</v>
      </c>
      <c r="J2614" s="1">
        <v>284173</v>
      </c>
      <c r="K2614">
        <f>VLOOKUP(F2614,'LEAID Match'!$A$2:$C$2979,3,FALSE)</f>
        <v>2005040</v>
      </c>
    </row>
    <row r="2615" spans="1:11" x14ac:dyDescent="0.2">
      <c r="A2615">
        <v>2000001</v>
      </c>
      <c r="B2615">
        <v>2022</v>
      </c>
      <c r="C2615" t="s">
        <v>6</v>
      </c>
      <c r="D2615" t="s">
        <v>7</v>
      </c>
      <c r="E2615" t="s">
        <v>8</v>
      </c>
      <c r="F2615">
        <v>5250</v>
      </c>
      <c r="G2615" t="s">
        <v>268</v>
      </c>
      <c r="H2615" s="1">
        <v>646959</v>
      </c>
      <c r="I2615" s="1">
        <v>0</v>
      </c>
      <c r="J2615" s="1">
        <v>646959</v>
      </c>
      <c r="K2615">
        <f>VLOOKUP(F2615,'LEAID Match'!$A$2:$C$2979,3,FALSE)</f>
        <v>2000001</v>
      </c>
    </row>
    <row r="2616" spans="1:11" x14ac:dyDescent="0.2">
      <c r="A2616">
        <v>2010980</v>
      </c>
      <c r="B2616">
        <v>2022</v>
      </c>
      <c r="C2616" t="s">
        <v>6</v>
      </c>
      <c r="D2616" t="s">
        <v>7</v>
      </c>
      <c r="E2616" t="s">
        <v>8</v>
      </c>
      <c r="F2616">
        <v>5251</v>
      </c>
      <c r="G2616" s="9" t="s">
        <v>269</v>
      </c>
      <c r="H2616" s="1">
        <v>215590</v>
      </c>
      <c r="I2616" s="1">
        <v>0</v>
      </c>
      <c r="J2616" s="1">
        <v>215590</v>
      </c>
      <c r="K2616">
        <f>VLOOKUP(F2616,'LEAID Match'!$A$2:$C$2979,3,FALSE)</f>
        <v>2010980</v>
      </c>
    </row>
    <row r="2617" spans="1:11" x14ac:dyDescent="0.2">
      <c r="A2617">
        <v>2008940</v>
      </c>
      <c r="B2617">
        <v>2022</v>
      </c>
      <c r="C2617" t="s">
        <v>6</v>
      </c>
      <c r="D2617" t="s">
        <v>7</v>
      </c>
      <c r="E2617" t="s">
        <v>8</v>
      </c>
      <c r="F2617" s="3">
        <v>5267</v>
      </c>
      <c r="G2617" s="3" t="s">
        <v>270</v>
      </c>
      <c r="H2617" s="22">
        <v>265874</v>
      </c>
      <c r="I2617" s="1">
        <v>0</v>
      </c>
      <c r="J2617" s="1">
        <v>265874</v>
      </c>
      <c r="K2617">
        <f>VLOOKUP(F2617,'LEAID Match'!$A$2:$C$2979,3,FALSE)</f>
        <v>2008940</v>
      </c>
    </row>
    <row r="2618" spans="1:11" x14ac:dyDescent="0.2">
      <c r="A2618">
        <v>2003510</v>
      </c>
      <c r="B2618">
        <v>2022</v>
      </c>
      <c r="C2618" t="s">
        <v>6</v>
      </c>
      <c r="D2618" t="s">
        <v>7</v>
      </c>
      <c r="E2618" t="s">
        <v>8</v>
      </c>
      <c r="F2618" s="3">
        <v>5268</v>
      </c>
      <c r="G2618" s="3" t="s">
        <v>271</v>
      </c>
      <c r="H2618" s="1">
        <v>220001</v>
      </c>
      <c r="I2618" s="21">
        <v>0</v>
      </c>
      <c r="J2618" s="21">
        <v>220001</v>
      </c>
      <c r="K2618">
        <f>VLOOKUP(F2618,'LEAID Match'!$A$2:$C$2979,3,FALSE)</f>
        <v>2003510</v>
      </c>
    </row>
    <row r="2619" spans="1:11" x14ac:dyDescent="0.2">
      <c r="A2619">
        <v>2004950</v>
      </c>
      <c r="B2619">
        <v>2022</v>
      </c>
      <c r="C2619" t="s">
        <v>6</v>
      </c>
      <c r="D2619" t="s">
        <v>7</v>
      </c>
      <c r="E2619" t="s">
        <v>8</v>
      </c>
      <c r="F2619" s="3">
        <v>5270</v>
      </c>
      <c r="G2619" s="3" t="s">
        <v>272</v>
      </c>
      <c r="H2619" s="1">
        <v>359336</v>
      </c>
      <c r="I2619" s="1">
        <v>0</v>
      </c>
      <c r="J2619" s="1">
        <v>359336</v>
      </c>
      <c r="K2619">
        <f>VLOOKUP(F2619,'LEAID Match'!$A$2:$C$2979,3,FALSE)</f>
        <v>2004950</v>
      </c>
    </row>
    <row r="2620" spans="1:11" x14ac:dyDescent="0.2">
      <c r="A2620">
        <v>2006210</v>
      </c>
      <c r="B2620">
        <v>2022</v>
      </c>
      <c r="C2620" t="s">
        <v>6</v>
      </c>
      <c r="D2620" t="s">
        <v>7</v>
      </c>
      <c r="E2620" t="s">
        <v>8</v>
      </c>
      <c r="F2620">
        <v>5271</v>
      </c>
      <c r="G2620" t="s">
        <v>273</v>
      </c>
      <c r="H2620" s="1">
        <v>124646</v>
      </c>
      <c r="I2620" s="1">
        <v>0</v>
      </c>
      <c r="J2620" s="1">
        <v>124646</v>
      </c>
      <c r="K2620">
        <f>VLOOKUP(F2620,'LEAID Match'!$A$2:$C$2979,3,FALSE)</f>
        <v>2006210</v>
      </c>
    </row>
    <row r="2621" spans="1:11" x14ac:dyDescent="0.2">
      <c r="A2621">
        <v>2011850</v>
      </c>
      <c r="B2621">
        <v>2022</v>
      </c>
      <c r="C2621" t="s">
        <v>6</v>
      </c>
      <c r="D2621" t="s">
        <v>7</v>
      </c>
      <c r="E2621" t="s">
        <v>8</v>
      </c>
      <c r="F2621">
        <v>5272</v>
      </c>
      <c r="G2621" t="s">
        <v>274</v>
      </c>
      <c r="H2621" s="1">
        <v>3828473</v>
      </c>
      <c r="I2621" s="1">
        <v>0</v>
      </c>
      <c r="J2621" s="1">
        <v>3828473</v>
      </c>
      <c r="K2621">
        <f>VLOOKUP(F2621,'LEAID Match'!$A$2:$C$2979,3,FALSE)</f>
        <v>2011850</v>
      </c>
    </row>
    <row r="2622" spans="1:11" x14ac:dyDescent="0.2">
      <c r="A2622">
        <v>2006300</v>
      </c>
      <c r="B2622">
        <v>2022</v>
      </c>
      <c r="C2622" t="s">
        <v>6</v>
      </c>
      <c r="D2622" t="s">
        <v>7</v>
      </c>
      <c r="E2622" t="s">
        <v>8</v>
      </c>
      <c r="F2622">
        <v>5274</v>
      </c>
      <c r="G2622" t="s">
        <v>275</v>
      </c>
      <c r="H2622" s="1">
        <v>814602</v>
      </c>
      <c r="I2622" s="1">
        <v>0</v>
      </c>
      <c r="J2622" s="1">
        <v>814602</v>
      </c>
      <c r="K2622">
        <f>VLOOKUP(F2622,'LEAID Match'!$A$2:$C$2979,3,FALSE)</f>
        <v>2006300</v>
      </c>
    </row>
    <row r="2623" spans="1:11" x14ac:dyDescent="0.2">
      <c r="A2623">
        <v>2009840</v>
      </c>
      <c r="B2623">
        <v>2022</v>
      </c>
      <c r="C2623" t="s">
        <v>6</v>
      </c>
      <c r="D2623" t="s">
        <v>7</v>
      </c>
      <c r="E2623" t="s">
        <v>8</v>
      </c>
      <c r="F2623">
        <v>5275</v>
      </c>
      <c r="G2623" t="s">
        <v>276</v>
      </c>
      <c r="H2623" s="20">
        <v>1812854</v>
      </c>
      <c r="I2623" s="1">
        <v>0</v>
      </c>
      <c r="J2623" s="1">
        <v>1812854</v>
      </c>
      <c r="K2623">
        <f>VLOOKUP(F2623,'LEAID Match'!$A$2:$C$2979,3,FALSE)</f>
        <v>2009840</v>
      </c>
    </row>
    <row r="2624" spans="1:11" x14ac:dyDescent="0.2">
      <c r="A2624">
        <v>2004920</v>
      </c>
      <c r="B2624">
        <v>2022</v>
      </c>
      <c r="C2624" t="s">
        <v>6</v>
      </c>
      <c r="D2624" t="s">
        <v>7</v>
      </c>
      <c r="E2624" t="s">
        <v>8</v>
      </c>
      <c r="F2624">
        <v>5276</v>
      </c>
      <c r="G2624" t="s">
        <v>277</v>
      </c>
      <c r="H2624" s="1">
        <v>904096</v>
      </c>
      <c r="I2624" s="1">
        <v>0</v>
      </c>
      <c r="J2624" s="1">
        <v>904096</v>
      </c>
      <c r="K2624">
        <f>VLOOKUP(F2624,'LEAID Match'!$A$2:$C$2979,3,FALSE)</f>
        <v>2004920</v>
      </c>
    </row>
    <row r="2625" spans="1:11" x14ac:dyDescent="0.2">
      <c r="A2625">
        <v>2010950</v>
      </c>
      <c r="B2625">
        <v>2022</v>
      </c>
      <c r="C2625" t="s">
        <v>6</v>
      </c>
      <c r="D2625" t="s">
        <v>7</v>
      </c>
      <c r="E2625" t="s">
        <v>8</v>
      </c>
      <c r="F2625">
        <v>5278</v>
      </c>
      <c r="G2625" s="9" t="s">
        <v>278</v>
      </c>
      <c r="H2625" s="1">
        <v>308165</v>
      </c>
      <c r="I2625" s="1">
        <v>0</v>
      </c>
      <c r="J2625" s="1">
        <v>308165</v>
      </c>
      <c r="K2625">
        <f>VLOOKUP(F2625,'LEAID Match'!$A$2:$C$2979,3,FALSE)</f>
        <v>2010950</v>
      </c>
    </row>
    <row r="2626" spans="1:11" x14ac:dyDescent="0.2">
      <c r="A2626">
        <v>2007620</v>
      </c>
      <c r="B2626">
        <v>2022</v>
      </c>
      <c r="C2626" t="s">
        <v>6</v>
      </c>
      <c r="D2626" t="s">
        <v>7</v>
      </c>
      <c r="E2626" t="s">
        <v>8</v>
      </c>
      <c r="F2626" s="3">
        <v>5280</v>
      </c>
      <c r="G2626" s="3" t="s">
        <v>279</v>
      </c>
      <c r="H2626" s="22">
        <v>5080682</v>
      </c>
      <c r="I2626" s="1">
        <v>0</v>
      </c>
      <c r="J2626" s="1">
        <v>5080682</v>
      </c>
      <c r="K2626">
        <f>VLOOKUP(F2626,'LEAID Match'!$A$2:$C$2979,3,FALSE)</f>
        <v>2007620</v>
      </c>
    </row>
    <row r="2627" spans="1:11" x14ac:dyDescent="0.2">
      <c r="A2627">
        <v>2011040</v>
      </c>
      <c r="B2627">
        <v>2022</v>
      </c>
      <c r="C2627" t="s">
        <v>6</v>
      </c>
      <c r="D2627" t="s">
        <v>7</v>
      </c>
      <c r="E2627" t="s">
        <v>8</v>
      </c>
      <c r="F2627" s="3">
        <v>5281</v>
      </c>
      <c r="G2627" s="3" t="s">
        <v>280</v>
      </c>
      <c r="H2627" s="1">
        <v>247689</v>
      </c>
      <c r="I2627" s="21">
        <v>0</v>
      </c>
      <c r="J2627" s="21">
        <v>247689</v>
      </c>
      <c r="K2627">
        <f>VLOOKUP(F2627,'LEAID Match'!$A$2:$C$2979,3,FALSE)</f>
        <v>2011040</v>
      </c>
    </row>
    <row r="2628" spans="1:11" x14ac:dyDescent="0.2">
      <c r="A2628">
        <v>2010650</v>
      </c>
      <c r="B2628">
        <v>2022</v>
      </c>
      <c r="C2628" t="s">
        <v>6</v>
      </c>
      <c r="D2628" t="s">
        <v>7</v>
      </c>
      <c r="E2628" t="s">
        <v>8</v>
      </c>
      <c r="F2628" s="3">
        <v>5283</v>
      </c>
      <c r="G2628" s="3" t="s">
        <v>281</v>
      </c>
      <c r="H2628" s="1">
        <v>475623</v>
      </c>
      <c r="I2628" s="1">
        <v>0</v>
      </c>
      <c r="J2628" s="1">
        <v>475623</v>
      </c>
      <c r="K2628">
        <f>VLOOKUP(F2628,'LEAID Match'!$A$2:$C$2979,3,FALSE)</f>
        <v>2010650</v>
      </c>
    </row>
    <row r="2629" spans="1:11" x14ac:dyDescent="0.2">
      <c r="A2629">
        <v>2009510</v>
      </c>
      <c r="B2629">
        <v>2022</v>
      </c>
      <c r="C2629" t="s">
        <v>6</v>
      </c>
      <c r="D2629" t="s">
        <v>7</v>
      </c>
      <c r="E2629" t="s">
        <v>8</v>
      </c>
      <c r="F2629">
        <v>5284</v>
      </c>
      <c r="G2629" t="s">
        <v>282</v>
      </c>
      <c r="H2629" s="1">
        <v>765976</v>
      </c>
      <c r="I2629" s="1">
        <v>0</v>
      </c>
      <c r="J2629" s="1">
        <v>765976</v>
      </c>
      <c r="K2629">
        <f>VLOOKUP(F2629,'LEAID Match'!$A$2:$C$2979,3,FALSE)</f>
        <v>2009510</v>
      </c>
    </row>
    <row r="2630" spans="1:11" x14ac:dyDescent="0.2">
      <c r="A2630">
        <v>2010770</v>
      </c>
      <c r="B2630">
        <v>2022</v>
      </c>
      <c r="C2630" t="s">
        <v>6</v>
      </c>
      <c r="D2630" t="s">
        <v>7</v>
      </c>
      <c r="E2630" t="s">
        <v>8</v>
      </c>
      <c r="F2630">
        <v>5285</v>
      </c>
      <c r="G2630" t="s">
        <v>283</v>
      </c>
      <c r="H2630" s="1">
        <v>379269</v>
      </c>
      <c r="I2630" s="1">
        <v>0</v>
      </c>
      <c r="J2630" s="1">
        <v>379269</v>
      </c>
      <c r="K2630">
        <f>VLOOKUP(F2630,'LEAID Match'!$A$2:$C$2979,3,FALSE)</f>
        <v>2010770</v>
      </c>
    </row>
    <row r="2631" spans="1:11" x14ac:dyDescent="0.2">
      <c r="A2631">
        <v>2011910</v>
      </c>
      <c r="B2631">
        <v>2022</v>
      </c>
      <c r="C2631" t="s">
        <v>6</v>
      </c>
      <c r="D2631" t="s">
        <v>7</v>
      </c>
      <c r="E2631" t="s">
        <v>8</v>
      </c>
      <c r="F2631">
        <v>5286</v>
      </c>
      <c r="G2631" t="s">
        <v>284</v>
      </c>
      <c r="H2631" s="1">
        <v>332202</v>
      </c>
      <c r="I2631" s="1">
        <v>0</v>
      </c>
      <c r="J2631" s="1">
        <v>332202</v>
      </c>
      <c r="K2631">
        <f>VLOOKUP(F2631,'LEAID Match'!$A$2:$C$2979,3,FALSE)</f>
        <v>2011910</v>
      </c>
    </row>
    <row r="2632" spans="1:11" x14ac:dyDescent="0.2">
      <c r="A2632">
        <v>2003900</v>
      </c>
      <c r="B2632">
        <v>2022</v>
      </c>
      <c r="C2632" t="s">
        <v>6</v>
      </c>
      <c r="D2632" t="s">
        <v>7</v>
      </c>
      <c r="E2632" t="s">
        <v>8</v>
      </c>
      <c r="F2632">
        <v>5287</v>
      </c>
      <c r="G2632" t="s">
        <v>285</v>
      </c>
      <c r="H2632" s="20">
        <v>582299</v>
      </c>
      <c r="I2632" s="1">
        <v>0</v>
      </c>
      <c r="J2632" s="1">
        <v>582299</v>
      </c>
      <c r="K2632">
        <f>VLOOKUP(F2632,'LEAID Match'!$A$2:$C$2979,3,FALSE)</f>
        <v>2003900</v>
      </c>
    </row>
    <row r="2633" spans="1:11" x14ac:dyDescent="0.2">
      <c r="A2633">
        <v>2010440</v>
      </c>
      <c r="B2633">
        <v>2022</v>
      </c>
      <c r="C2633" t="s">
        <v>6</v>
      </c>
      <c r="D2633" t="s">
        <v>7</v>
      </c>
      <c r="E2633" t="s">
        <v>8</v>
      </c>
      <c r="F2633">
        <v>5288</v>
      </c>
      <c r="G2633" t="s">
        <v>286</v>
      </c>
      <c r="H2633" s="1">
        <v>343583</v>
      </c>
      <c r="I2633" s="1">
        <v>0</v>
      </c>
      <c r="J2633" s="1">
        <v>343583</v>
      </c>
      <c r="K2633">
        <f>VLOOKUP(F2633,'LEAID Match'!$A$2:$C$2979,3,FALSE)</f>
        <v>2010440</v>
      </c>
    </row>
    <row r="2634" spans="1:11" x14ac:dyDescent="0.2">
      <c r="A2634">
        <v>2013110</v>
      </c>
      <c r="B2634">
        <v>2022</v>
      </c>
      <c r="C2634" t="s">
        <v>6</v>
      </c>
      <c r="D2634" t="s">
        <v>7</v>
      </c>
      <c r="E2634" t="s">
        <v>8</v>
      </c>
      <c r="F2634">
        <v>5289</v>
      </c>
      <c r="G2634" s="9" t="s">
        <v>287</v>
      </c>
      <c r="H2634" s="1">
        <v>439619</v>
      </c>
      <c r="I2634" s="1">
        <v>0</v>
      </c>
      <c r="J2634" s="1">
        <v>439619</v>
      </c>
      <c r="K2634">
        <f>VLOOKUP(F2634,'LEAID Match'!$A$2:$C$2979,3,FALSE)</f>
        <v>2013110</v>
      </c>
    </row>
    <row r="2635" spans="1:11" x14ac:dyDescent="0.2">
      <c r="A2635">
        <v>2012090</v>
      </c>
      <c r="B2635">
        <v>2022</v>
      </c>
      <c r="C2635" t="s">
        <v>6</v>
      </c>
      <c r="D2635" t="s">
        <v>7</v>
      </c>
      <c r="E2635" t="s">
        <v>8</v>
      </c>
      <c r="F2635" s="3">
        <v>5291</v>
      </c>
      <c r="G2635" s="3" t="s">
        <v>288</v>
      </c>
      <c r="H2635" s="22">
        <v>559142</v>
      </c>
      <c r="I2635" s="1">
        <v>0</v>
      </c>
      <c r="J2635" s="1">
        <v>559142</v>
      </c>
      <c r="K2635">
        <f>VLOOKUP(F2635,'LEAID Match'!$A$2:$C$2979,3,FALSE)</f>
        <v>2012090</v>
      </c>
    </row>
    <row r="2636" spans="1:11" x14ac:dyDescent="0.2">
      <c r="A2636">
        <v>2012300</v>
      </c>
      <c r="B2636">
        <v>2022</v>
      </c>
      <c r="C2636" t="s">
        <v>6</v>
      </c>
      <c r="D2636" t="s">
        <v>7</v>
      </c>
      <c r="E2636" t="s">
        <v>8</v>
      </c>
      <c r="F2636" s="3">
        <v>5292</v>
      </c>
      <c r="G2636" s="3" t="s">
        <v>289</v>
      </c>
      <c r="H2636" s="1">
        <v>1604824</v>
      </c>
      <c r="I2636" s="21">
        <v>0</v>
      </c>
      <c r="J2636" s="21">
        <v>1604824</v>
      </c>
      <c r="K2636">
        <f>VLOOKUP(F2636,'LEAID Match'!$A$2:$C$2979,3,FALSE)</f>
        <v>2012300</v>
      </c>
    </row>
    <row r="2637" spans="1:11" x14ac:dyDescent="0.2">
      <c r="A2637">
        <v>2005850</v>
      </c>
      <c r="B2637">
        <v>2022</v>
      </c>
      <c r="C2637" t="s">
        <v>6</v>
      </c>
      <c r="D2637" t="s">
        <v>7</v>
      </c>
      <c r="E2637" t="s">
        <v>8</v>
      </c>
      <c r="F2637" s="3">
        <v>5293</v>
      </c>
      <c r="G2637" s="3" t="s">
        <v>290</v>
      </c>
      <c r="H2637" s="1">
        <v>360759</v>
      </c>
      <c r="I2637" s="1">
        <v>0</v>
      </c>
      <c r="J2637" s="1">
        <v>360759</v>
      </c>
      <c r="K2637">
        <f>VLOOKUP(F2637,'LEAID Match'!$A$2:$C$2979,3,FALSE)</f>
        <v>2005850</v>
      </c>
    </row>
    <row r="2638" spans="1:11" x14ac:dyDescent="0.2">
      <c r="A2638">
        <v>2011310</v>
      </c>
      <c r="B2638">
        <v>2022</v>
      </c>
      <c r="C2638" t="s">
        <v>6</v>
      </c>
      <c r="D2638" t="s">
        <v>7</v>
      </c>
      <c r="E2638" t="s">
        <v>8</v>
      </c>
      <c r="F2638">
        <v>5294</v>
      </c>
      <c r="G2638" t="s">
        <v>291</v>
      </c>
      <c r="H2638" s="1">
        <v>868052</v>
      </c>
      <c r="I2638" s="1">
        <v>0</v>
      </c>
      <c r="J2638" s="1">
        <v>868052</v>
      </c>
      <c r="K2638">
        <f>VLOOKUP(F2638,'LEAID Match'!$A$2:$C$2979,3,FALSE)</f>
        <v>2011310</v>
      </c>
    </row>
    <row r="2639" spans="1:11" x14ac:dyDescent="0.2">
      <c r="A2639">
        <v>2006570</v>
      </c>
      <c r="B2639">
        <v>2022</v>
      </c>
      <c r="C2639" t="s">
        <v>6</v>
      </c>
      <c r="D2639" t="s">
        <v>7</v>
      </c>
      <c r="E2639" t="s">
        <v>8</v>
      </c>
      <c r="F2639">
        <v>5295</v>
      </c>
      <c r="G2639" t="s">
        <v>292</v>
      </c>
      <c r="H2639" s="1">
        <v>284926</v>
      </c>
      <c r="I2639" s="1">
        <v>0</v>
      </c>
      <c r="J2639" s="1">
        <v>284926</v>
      </c>
      <c r="K2639">
        <f>VLOOKUP(F2639,'LEAID Match'!$A$2:$C$2979,3,FALSE)</f>
        <v>2006570</v>
      </c>
    </row>
    <row r="2640" spans="1:11" x14ac:dyDescent="0.2">
      <c r="A2640">
        <v>2003180</v>
      </c>
      <c r="B2640">
        <v>2022</v>
      </c>
      <c r="C2640" t="s">
        <v>6</v>
      </c>
      <c r="D2640" t="s">
        <v>7</v>
      </c>
      <c r="E2640" t="s">
        <v>8</v>
      </c>
      <c r="F2640">
        <v>5296</v>
      </c>
      <c r="G2640" t="s">
        <v>293</v>
      </c>
      <c r="H2640" s="1">
        <v>1185188</v>
      </c>
      <c r="I2640" s="1">
        <v>0</v>
      </c>
      <c r="J2640" s="1">
        <v>1185188</v>
      </c>
      <c r="K2640">
        <f>VLOOKUP(F2640,'LEAID Match'!$A$2:$C$2979,3,FALSE)</f>
        <v>2003180</v>
      </c>
    </row>
    <row r="2641" spans="1:11" x14ac:dyDescent="0.2">
      <c r="A2641">
        <v>2009900</v>
      </c>
      <c r="B2641">
        <v>2022</v>
      </c>
      <c r="C2641" t="s">
        <v>6</v>
      </c>
      <c r="D2641" t="s">
        <v>7</v>
      </c>
      <c r="E2641" t="s">
        <v>8</v>
      </c>
      <c r="F2641">
        <v>5297</v>
      </c>
      <c r="G2641" t="s">
        <v>294</v>
      </c>
      <c r="H2641" s="20">
        <v>714182</v>
      </c>
      <c r="I2641" s="1">
        <v>0</v>
      </c>
      <c r="J2641" s="1">
        <v>714182</v>
      </c>
      <c r="K2641">
        <f>VLOOKUP(F2641,'LEAID Match'!$A$2:$C$2979,3,FALSE)</f>
        <v>2009900</v>
      </c>
    </row>
    <row r="2642" spans="1:11" x14ac:dyDescent="0.2">
      <c r="A2642">
        <v>2007080</v>
      </c>
      <c r="B2642">
        <v>2022</v>
      </c>
      <c r="C2642" t="s">
        <v>6</v>
      </c>
      <c r="D2642" t="s">
        <v>7</v>
      </c>
      <c r="E2642" t="s">
        <v>8</v>
      </c>
      <c r="F2642">
        <v>5298</v>
      </c>
      <c r="G2642" t="s">
        <v>295</v>
      </c>
      <c r="H2642" s="1">
        <v>85968</v>
      </c>
      <c r="I2642" s="1">
        <v>0</v>
      </c>
      <c r="J2642" s="1">
        <v>85968</v>
      </c>
      <c r="K2642">
        <f>VLOOKUP(F2642,'LEAID Match'!$A$2:$C$2979,3,FALSE)</f>
        <v>2007080</v>
      </c>
    </row>
    <row r="2643" spans="1:11" x14ac:dyDescent="0.2">
      <c r="A2643">
        <v>2005520</v>
      </c>
      <c r="B2643">
        <v>2022</v>
      </c>
      <c r="C2643" t="s">
        <v>6</v>
      </c>
      <c r="D2643" t="s">
        <v>7</v>
      </c>
      <c r="E2643" t="s">
        <v>8</v>
      </c>
      <c r="F2643">
        <v>5299</v>
      </c>
      <c r="G2643" s="9" t="s">
        <v>296</v>
      </c>
      <c r="H2643" s="1">
        <v>232056</v>
      </c>
      <c r="I2643" s="1">
        <v>0</v>
      </c>
      <c r="J2643" s="1">
        <v>232056</v>
      </c>
      <c r="K2643">
        <f>VLOOKUP(F2643,'LEAID Match'!$A$2:$C$2979,3,FALSE)</f>
        <v>2005520</v>
      </c>
    </row>
    <row r="2644" spans="1:11" x14ac:dyDescent="0.2">
      <c r="A2644">
        <v>2006270</v>
      </c>
      <c r="B2644">
        <v>2022</v>
      </c>
      <c r="C2644" t="s">
        <v>6</v>
      </c>
      <c r="D2644" t="s">
        <v>7</v>
      </c>
      <c r="E2644" t="s">
        <v>8</v>
      </c>
      <c r="F2644" s="3">
        <v>5300</v>
      </c>
      <c r="G2644" s="3" t="s">
        <v>297</v>
      </c>
      <c r="H2644" s="1">
        <v>634025</v>
      </c>
      <c r="I2644" s="21">
        <v>0</v>
      </c>
      <c r="J2644" s="21">
        <v>634025</v>
      </c>
      <c r="K2644">
        <f>VLOOKUP(F2644,'LEAID Match'!$A$2:$C$2979,3,FALSE)</f>
        <v>2006270</v>
      </c>
    </row>
    <row r="2645" spans="1:11" x14ac:dyDescent="0.2">
      <c r="A2645">
        <v>2007020</v>
      </c>
      <c r="B2645">
        <v>2022</v>
      </c>
      <c r="C2645" t="s">
        <v>6</v>
      </c>
      <c r="D2645" t="s">
        <v>7</v>
      </c>
      <c r="E2645" t="s">
        <v>8</v>
      </c>
      <c r="F2645" s="3">
        <v>5302</v>
      </c>
      <c r="G2645" s="3" t="s">
        <v>298</v>
      </c>
      <c r="H2645" s="1">
        <v>2697961</v>
      </c>
      <c r="I2645" s="1">
        <v>0</v>
      </c>
      <c r="J2645" s="1">
        <v>2697961</v>
      </c>
      <c r="K2645">
        <f>VLOOKUP(F2645,'LEAID Match'!$A$2:$C$2979,3,FALSE)</f>
        <v>2007020</v>
      </c>
    </row>
    <row r="2646" spans="1:11" x14ac:dyDescent="0.2">
      <c r="A2646">
        <v>2004620</v>
      </c>
      <c r="B2646">
        <v>2022</v>
      </c>
      <c r="C2646" t="s">
        <v>6</v>
      </c>
      <c r="D2646" t="s">
        <v>7</v>
      </c>
      <c r="E2646" t="s">
        <v>8</v>
      </c>
      <c r="F2646">
        <v>5216</v>
      </c>
      <c r="G2646" t="s">
        <v>299</v>
      </c>
      <c r="H2646" s="1">
        <v>977582</v>
      </c>
      <c r="I2646" s="1">
        <v>0</v>
      </c>
      <c r="J2646" s="1">
        <v>977582</v>
      </c>
      <c r="K2646">
        <f>VLOOKUP(F2646,'LEAID Match'!$A$2:$C$2979,3,FALSE)</f>
        <v>2004620</v>
      </c>
    </row>
    <row r="2647" spans="1:11" x14ac:dyDescent="0.2">
      <c r="A2647">
        <v>2006090</v>
      </c>
      <c r="B2647">
        <v>2022</v>
      </c>
      <c r="C2647" t="s">
        <v>6</v>
      </c>
      <c r="D2647" t="s">
        <v>7</v>
      </c>
      <c r="E2647" t="s">
        <v>8</v>
      </c>
      <c r="F2647">
        <v>5304</v>
      </c>
      <c r="G2647" t="s">
        <v>300</v>
      </c>
      <c r="H2647" s="1">
        <v>1426631</v>
      </c>
      <c r="I2647" s="1">
        <v>0</v>
      </c>
      <c r="J2647" s="1">
        <v>1426631</v>
      </c>
      <c r="K2647">
        <f>VLOOKUP(F2647,'LEAID Match'!$A$2:$C$2979,3,FALSE)</f>
        <v>2006090</v>
      </c>
    </row>
    <row r="2648" spans="1:11" x14ac:dyDescent="0.2">
      <c r="A2648">
        <v>2011220</v>
      </c>
      <c r="B2648">
        <v>2022</v>
      </c>
      <c r="C2648" t="s">
        <v>6</v>
      </c>
      <c r="D2648" t="s">
        <v>7</v>
      </c>
      <c r="E2648" t="s">
        <v>8</v>
      </c>
      <c r="F2648">
        <v>5305</v>
      </c>
      <c r="G2648" t="s">
        <v>301</v>
      </c>
      <c r="H2648" s="1">
        <v>307012</v>
      </c>
      <c r="I2648" s="1">
        <v>0</v>
      </c>
      <c r="J2648" s="1">
        <v>307012</v>
      </c>
      <c r="K2648">
        <f>VLOOKUP(F2648,'LEAID Match'!$A$2:$C$2979,3,FALSE)</f>
        <v>2011220</v>
      </c>
    </row>
    <row r="2649" spans="1:11" x14ac:dyDescent="0.2">
      <c r="A2649">
        <v>2008370</v>
      </c>
      <c r="B2649">
        <v>2022</v>
      </c>
      <c r="C2649" t="s">
        <v>6</v>
      </c>
      <c r="D2649" t="s">
        <v>7</v>
      </c>
      <c r="E2649" t="s">
        <v>8</v>
      </c>
      <c r="F2649">
        <v>5306</v>
      </c>
      <c r="G2649" t="s">
        <v>302</v>
      </c>
      <c r="H2649" s="20">
        <v>1073404</v>
      </c>
      <c r="I2649" s="1">
        <v>0</v>
      </c>
      <c r="J2649" s="1">
        <v>1073404</v>
      </c>
      <c r="K2649">
        <f>VLOOKUP(F2649,'LEAID Match'!$A$2:$C$2979,3,FALSE)</f>
        <v>2008370</v>
      </c>
    </row>
    <row r="2650" spans="1:11" x14ac:dyDescent="0.2">
      <c r="A2650">
        <v>2011280</v>
      </c>
      <c r="B2650">
        <v>2022</v>
      </c>
      <c r="C2650" t="s">
        <v>6</v>
      </c>
      <c r="D2650" t="s">
        <v>7</v>
      </c>
      <c r="E2650" t="s">
        <v>8</v>
      </c>
      <c r="F2650">
        <v>5307</v>
      </c>
      <c r="G2650" t="s">
        <v>303</v>
      </c>
      <c r="H2650" s="1">
        <v>183553</v>
      </c>
      <c r="I2650" s="1">
        <v>0</v>
      </c>
      <c r="J2650" s="1">
        <v>183553</v>
      </c>
      <c r="K2650">
        <f>VLOOKUP(F2650,'LEAID Match'!$A$2:$C$2979,3,FALSE)</f>
        <v>2011280</v>
      </c>
    </row>
    <row r="2651" spans="1:11" x14ac:dyDescent="0.2">
      <c r="A2651">
        <v>2008400</v>
      </c>
      <c r="B2651">
        <v>2022</v>
      </c>
      <c r="C2651" t="s">
        <v>6</v>
      </c>
      <c r="D2651" t="s">
        <v>7</v>
      </c>
      <c r="E2651" t="s">
        <v>8</v>
      </c>
      <c r="F2651">
        <v>5308</v>
      </c>
      <c r="G2651" s="9" t="s">
        <v>304</v>
      </c>
      <c r="H2651" s="1">
        <v>10375009</v>
      </c>
      <c r="I2651" s="1">
        <v>0</v>
      </c>
      <c r="J2651" s="1">
        <v>10375009</v>
      </c>
      <c r="K2651">
        <f>VLOOKUP(F2651,'LEAID Match'!$A$2:$C$2979,3,FALSE)</f>
        <v>2008400</v>
      </c>
    </row>
    <row r="2652" spans="1:11" x14ac:dyDescent="0.2">
      <c r="A2652">
        <v>2006360</v>
      </c>
      <c r="B2652">
        <v>2022</v>
      </c>
      <c r="C2652" t="s">
        <v>6</v>
      </c>
      <c r="D2652" t="s">
        <v>7</v>
      </c>
      <c r="E2652" t="s">
        <v>8</v>
      </c>
      <c r="F2652" s="3">
        <v>5309</v>
      </c>
      <c r="G2652" s="3" t="s">
        <v>305</v>
      </c>
      <c r="H2652" s="1">
        <v>739628</v>
      </c>
      <c r="I2652" s="21">
        <v>0</v>
      </c>
      <c r="J2652" s="21">
        <v>739628</v>
      </c>
      <c r="K2652">
        <f>VLOOKUP(F2652,'LEAID Match'!$A$2:$C$2979,3,FALSE)</f>
        <v>2006360</v>
      </c>
    </row>
    <row r="2653" spans="1:11" x14ac:dyDescent="0.2">
      <c r="A2653">
        <v>2008700</v>
      </c>
      <c r="B2653">
        <v>2022</v>
      </c>
      <c r="C2653" t="s">
        <v>6</v>
      </c>
      <c r="D2653" t="s">
        <v>7</v>
      </c>
      <c r="E2653" t="s">
        <v>8</v>
      </c>
      <c r="F2653" s="3">
        <v>5310</v>
      </c>
      <c r="G2653" s="3" t="s">
        <v>306</v>
      </c>
      <c r="H2653" s="1">
        <v>109764</v>
      </c>
      <c r="I2653" s="1">
        <v>0</v>
      </c>
      <c r="J2653" s="1">
        <v>109764</v>
      </c>
      <c r="K2653">
        <f>VLOOKUP(F2653,'LEAID Match'!$A$2:$C$2979,3,FALSE)</f>
        <v>2008700</v>
      </c>
    </row>
    <row r="2654" spans="1:11" x14ac:dyDescent="0.2">
      <c r="A2654">
        <v>2011490</v>
      </c>
      <c r="B2654">
        <v>2022</v>
      </c>
      <c r="C2654" t="s">
        <v>6</v>
      </c>
      <c r="D2654" t="s">
        <v>7</v>
      </c>
      <c r="E2654" t="s">
        <v>8</v>
      </c>
      <c r="F2654">
        <v>5312</v>
      </c>
      <c r="G2654" t="s">
        <v>307</v>
      </c>
      <c r="H2654" s="1">
        <v>3904972</v>
      </c>
      <c r="I2654" s="1">
        <v>0</v>
      </c>
      <c r="J2654" s="1">
        <v>3904972</v>
      </c>
      <c r="K2654">
        <f>VLOOKUP(F2654,'LEAID Match'!$A$2:$C$2979,3,FALSE)</f>
        <v>2011490</v>
      </c>
    </row>
    <row r="2655" spans="1:11" x14ac:dyDescent="0.2">
      <c r="A2655">
        <v>2011430</v>
      </c>
      <c r="B2655">
        <v>2022</v>
      </c>
      <c r="C2655" t="s">
        <v>6</v>
      </c>
      <c r="D2655" t="s">
        <v>7</v>
      </c>
      <c r="E2655" t="s">
        <v>8</v>
      </c>
      <c r="F2655">
        <v>5313</v>
      </c>
      <c r="G2655" t="s">
        <v>308</v>
      </c>
      <c r="H2655" s="1">
        <v>338429</v>
      </c>
      <c r="I2655" s="1">
        <v>0</v>
      </c>
      <c r="J2655" s="1">
        <v>338429</v>
      </c>
      <c r="K2655">
        <f>VLOOKUP(F2655,'LEAID Match'!$A$2:$C$2979,3,FALSE)</f>
        <v>2011430</v>
      </c>
    </row>
    <row r="2656" spans="1:11" x14ac:dyDescent="0.2">
      <c r="A2656">
        <v>2012260</v>
      </c>
      <c r="B2656">
        <v>2022</v>
      </c>
      <c r="C2656" t="s">
        <v>6</v>
      </c>
      <c r="D2656" t="s">
        <v>7</v>
      </c>
      <c r="E2656" t="s">
        <v>8</v>
      </c>
      <c r="F2656">
        <v>5314</v>
      </c>
      <c r="G2656" t="s">
        <v>309</v>
      </c>
      <c r="H2656" s="1">
        <v>16196515</v>
      </c>
      <c r="I2656" s="1">
        <v>0</v>
      </c>
      <c r="J2656" s="1">
        <v>16196515</v>
      </c>
      <c r="K2656">
        <f>VLOOKUP(F2656,'LEAID Match'!$A$2:$C$2979,3,FALSE)</f>
        <v>2012260</v>
      </c>
    </row>
    <row r="2657" spans="1:11" x14ac:dyDescent="0.2">
      <c r="A2657">
        <v>0</v>
      </c>
      <c r="B2657">
        <v>2022</v>
      </c>
      <c r="C2657" t="s">
        <v>6</v>
      </c>
      <c r="D2657" t="s">
        <v>7</v>
      </c>
      <c r="E2657" t="s">
        <v>8</v>
      </c>
      <c r="F2657">
        <v>5316</v>
      </c>
      <c r="G2657" t="s">
        <v>310</v>
      </c>
      <c r="H2657" s="20">
        <v>446716</v>
      </c>
      <c r="I2657" s="1">
        <v>0</v>
      </c>
      <c r="J2657" s="1">
        <v>446716</v>
      </c>
      <c r="K2657">
        <f>VLOOKUP(F2657,'LEAID Match'!$A$2:$C$2979,3,FALSE)</f>
        <v>0</v>
      </c>
    </row>
    <row r="2658" spans="1:11" x14ac:dyDescent="0.2">
      <c r="A2658">
        <v>0</v>
      </c>
      <c r="B2658">
        <v>2022</v>
      </c>
      <c r="C2658" t="s">
        <v>6</v>
      </c>
      <c r="D2658" t="s">
        <v>7</v>
      </c>
      <c r="E2658" t="s">
        <v>8</v>
      </c>
      <c r="F2658">
        <v>5317</v>
      </c>
      <c r="G2658" t="s">
        <v>311</v>
      </c>
      <c r="H2658" s="1">
        <v>491743</v>
      </c>
      <c r="I2658" s="1">
        <v>0</v>
      </c>
      <c r="J2658" s="1">
        <v>491743</v>
      </c>
      <c r="K2658">
        <f>VLOOKUP(F2658,'LEAID Match'!$A$2:$C$2979,3,FALSE)</f>
        <v>0</v>
      </c>
    </row>
    <row r="2659" spans="1:11" x14ac:dyDescent="0.2">
      <c r="A2659">
        <v>2004710</v>
      </c>
      <c r="B2659">
        <v>2022</v>
      </c>
      <c r="C2659" t="s">
        <v>6</v>
      </c>
      <c r="D2659" t="s">
        <v>7</v>
      </c>
      <c r="E2659" t="s">
        <v>8</v>
      </c>
      <c r="F2659">
        <v>5318</v>
      </c>
      <c r="G2659" s="9" t="s">
        <v>312</v>
      </c>
      <c r="H2659" s="1">
        <v>546860</v>
      </c>
      <c r="I2659" s="1">
        <v>0</v>
      </c>
      <c r="J2659" s="1">
        <v>546860</v>
      </c>
      <c r="K2659">
        <f>VLOOKUP(F2659,'LEAID Match'!$A$2:$C$2979,3,FALSE)</f>
        <v>2004710</v>
      </c>
    </row>
    <row r="2660" spans="1:11" x14ac:dyDescent="0.2">
      <c r="A2660">
        <v>2006480</v>
      </c>
      <c r="B2660">
        <v>2022</v>
      </c>
      <c r="C2660" t="s">
        <v>6</v>
      </c>
      <c r="D2660" t="s">
        <v>7</v>
      </c>
      <c r="E2660" t="s">
        <v>8</v>
      </c>
      <c r="F2660" s="3">
        <v>5319</v>
      </c>
      <c r="G2660" s="3" t="s">
        <v>313</v>
      </c>
      <c r="H2660" s="1">
        <v>808786</v>
      </c>
      <c r="I2660" s="21">
        <v>0</v>
      </c>
      <c r="J2660" s="21">
        <v>808786</v>
      </c>
      <c r="K2660">
        <f>VLOOKUP(F2660,'LEAID Match'!$A$2:$C$2979,3,FALSE)</f>
        <v>2006480</v>
      </c>
    </row>
    <row r="2661" spans="1:11" x14ac:dyDescent="0.2">
      <c r="A2661">
        <v>2005310</v>
      </c>
      <c r="B2661">
        <v>2022</v>
      </c>
      <c r="C2661" t="s">
        <v>6</v>
      </c>
      <c r="D2661" t="s">
        <v>7</v>
      </c>
      <c r="E2661" t="s">
        <v>8</v>
      </c>
      <c r="F2661" s="3">
        <v>5320</v>
      </c>
      <c r="G2661" s="3" t="s">
        <v>314</v>
      </c>
      <c r="H2661" s="1">
        <v>203147</v>
      </c>
      <c r="I2661" s="1">
        <v>0</v>
      </c>
      <c r="J2661" s="1">
        <v>203147</v>
      </c>
      <c r="K2661">
        <f>VLOOKUP(F2661,'LEAID Match'!$A$2:$C$2979,3,FALSE)</f>
        <v>2005310</v>
      </c>
    </row>
    <row r="2662" spans="1:11" x14ac:dyDescent="0.2">
      <c r="A2662">
        <v>2012780</v>
      </c>
      <c r="B2662">
        <v>2022</v>
      </c>
      <c r="C2662" t="s">
        <v>6</v>
      </c>
      <c r="D2662" t="s">
        <v>7</v>
      </c>
      <c r="E2662" t="s">
        <v>8</v>
      </c>
      <c r="F2662">
        <v>5321</v>
      </c>
      <c r="G2662" t="s">
        <v>315</v>
      </c>
      <c r="H2662" s="1">
        <v>416357</v>
      </c>
      <c r="I2662" s="1">
        <v>0</v>
      </c>
      <c r="J2662" s="1">
        <v>416357</v>
      </c>
      <c r="K2662">
        <f>VLOOKUP(F2662,'LEAID Match'!$A$2:$C$2979,3,FALSE)</f>
        <v>2012780</v>
      </c>
    </row>
    <row r="2663" spans="1:11" x14ac:dyDescent="0.2">
      <c r="A2663">
        <v>2010350</v>
      </c>
      <c r="B2663">
        <v>2022</v>
      </c>
      <c r="C2663" t="s">
        <v>6</v>
      </c>
      <c r="D2663" t="s">
        <v>7</v>
      </c>
      <c r="E2663" t="s">
        <v>8</v>
      </c>
      <c r="F2663">
        <v>5322</v>
      </c>
      <c r="G2663" t="s">
        <v>316</v>
      </c>
      <c r="H2663" s="1">
        <v>464100</v>
      </c>
      <c r="I2663" s="1">
        <v>0</v>
      </c>
      <c r="J2663" s="1">
        <v>464100</v>
      </c>
      <c r="K2663">
        <f>VLOOKUP(F2663,'LEAID Match'!$A$2:$C$2979,3,FALSE)</f>
        <v>2010350</v>
      </c>
    </row>
    <row r="2664" spans="1:11" x14ac:dyDescent="0.2">
      <c r="A2664">
        <v>2007950</v>
      </c>
      <c r="B2664">
        <v>2022</v>
      </c>
      <c r="C2664" t="s">
        <v>6</v>
      </c>
      <c r="D2664" t="s">
        <v>7</v>
      </c>
      <c r="E2664" t="s">
        <v>8</v>
      </c>
      <c r="F2664">
        <v>5324</v>
      </c>
      <c r="G2664" t="s">
        <v>317</v>
      </c>
      <c r="H2664" s="1">
        <v>27335630</v>
      </c>
      <c r="I2664" s="1">
        <v>0</v>
      </c>
      <c r="J2664" s="1">
        <v>27335630</v>
      </c>
      <c r="K2664">
        <f>VLOOKUP(F2664,'LEAID Match'!$A$2:$C$2979,3,FALSE)</f>
        <v>2007950</v>
      </c>
    </row>
    <row r="2665" spans="1:11" x14ac:dyDescent="0.2">
      <c r="A2665">
        <v>2008670</v>
      </c>
      <c r="B2665">
        <v>2022</v>
      </c>
      <c r="C2665" t="s">
        <v>6</v>
      </c>
      <c r="D2665" t="s">
        <v>7</v>
      </c>
      <c r="E2665" t="s">
        <v>8</v>
      </c>
      <c r="F2665">
        <v>5329</v>
      </c>
      <c r="G2665" t="s">
        <v>318</v>
      </c>
      <c r="H2665" s="20">
        <v>254956</v>
      </c>
      <c r="I2665" s="1">
        <v>0</v>
      </c>
      <c r="J2665" s="1">
        <v>254956</v>
      </c>
      <c r="K2665">
        <f>VLOOKUP(F2665,'LEAID Match'!$A$2:$C$2979,3,FALSE)</f>
        <v>2008670</v>
      </c>
    </row>
    <row r="2666" spans="1:11" x14ac:dyDescent="0.2">
      <c r="A2666">
        <v>2005070</v>
      </c>
      <c r="B2666">
        <v>2022</v>
      </c>
      <c r="C2666" t="s">
        <v>6</v>
      </c>
      <c r="D2666" t="s">
        <v>7</v>
      </c>
      <c r="E2666" t="s">
        <v>8</v>
      </c>
      <c r="F2666">
        <v>5330</v>
      </c>
      <c r="G2666" t="s">
        <v>319</v>
      </c>
      <c r="H2666" s="1">
        <v>908318</v>
      </c>
      <c r="I2666" s="1">
        <v>0</v>
      </c>
      <c r="J2666" s="1">
        <v>908318</v>
      </c>
      <c r="K2666">
        <f>VLOOKUP(F2666,'LEAID Match'!$A$2:$C$2979,3,FALSE)</f>
        <v>2005070</v>
      </c>
    </row>
    <row r="2667" spans="1:11" x14ac:dyDescent="0.2">
      <c r="A2667">
        <v>2010560</v>
      </c>
      <c r="B2667">
        <v>2022</v>
      </c>
      <c r="C2667" t="s">
        <v>6</v>
      </c>
      <c r="D2667" t="s">
        <v>7</v>
      </c>
      <c r="E2667" t="s">
        <v>8</v>
      </c>
      <c r="F2667">
        <v>5331</v>
      </c>
      <c r="G2667" s="9" t="s">
        <v>320</v>
      </c>
      <c r="H2667" s="1">
        <v>1211843</v>
      </c>
      <c r="I2667" s="1">
        <v>0</v>
      </c>
      <c r="J2667" s="1">
        <v>1211843</v>
      </c>
      <c r="K2667">
        <f>VLOOKUP(F2667,'LEAID Match'!$A$2:$C$2979,3,FALSE)</f>
        <v>2010560</v>
      </c>
    </row>
    <row r="2668" spans="1:11" x14ac:dyDescent="0.2">
      <c r="A2668">
        <v>2003300</v>
      </c>
      <c r="B2668">
        <v>2022</v>
      </c>
      <c r="C2668" t="s">
        <v>6</v>
      </c>
      <c r="D2668" t="s">
        <v>7</v>
      </c>
      <c r="E2668" t="s">
        <v>8</v>
      </c>
      <c r="F2668" s="3">
        <v>5332</v>
      </c>
      <c r="G2668" s="3" t="s">
        <v>321</v>
      </c>
      <c r="H2668" s="1">
        <v>1271320</v>
      </c>
      <c r="I2668" s="21">
        <v>0</v>
      </c>
      <c r="J2668" s="21">
        <v>1271320</v>
      </c>
      <c r="K2668">
        <f>VLOOKUP(F2668,'LEAID Match'!$A$2:$C$2979,3,FALSE)</f>
        <v>2003300</v>
      </c>
    </row>
    <row r="2669" spans="1:11" x14ac:dyDescent="0.2">
      <c r="A2669">
        <v>2004770</v>
      </c>
      <c r="B2669">
        <v>2022</v>
      </c>
      <c r="C2669" t="s">
        <v>6</v>
      </c>
      <c r="D2669" t="s">
        <v>7</v>
      </c>
      <c r="E2669" t="s">
        <v>8</v>
      </c>
      <c r="F2669" s="3">
        <v>5333</v>
      </c>
      <c r="G2669" s="3" t="s">
        <v>322</v>
      </c>
      <c r="H2669" s="1">
        <v>420378</v>
      </c>
      <c r="I2669" s="1">
        <v>0</v>
      </c>
      <c r="J2669" s="1">
        <v>420378</v>
      </c>
      <c r="K2669">
        <f>VLOOKUP(F2669,'LEAID Match'!$A$2:$C$2979,3,FALSE)</f>
        <v>2004770</v>
      </c>
    </row>
    <row r="2670" spans="1:11" x14ac:dyDescent="0.2">
      <c r="A2670">
        <v>2006330</v>
      </c>
      <c r="B2670">
        <v>2022</v>
      </c>
      <c r="C2670" t="s">
        <v>6</v>
      </c>
      <c r="D2670" t="s">
        <v>7</v>
      </c>
      <c r="E2670" t="s">
        <v>8</v>
      </c>
      <c r="F2670">
        <v>5337</v>
      </c>
      <c r="G2670" t="s">
        <v>323</v>
      </c>
      <c r="H2670" s="1">
        <v>1649581</v>
      </c>
      <c r="I2670" s="1">
        <v>0</v>
      </c>
      <c r="J2670" s="1">
        <v>1649581</v>
      </c>
      <c r="K2670">
        <f>VLOOKUP(F2670,'LEAID Match'!$A$2:$C$2979,3,FALSE)</f>
        <v>2006330</v>
      </c>
    </row>
    <row r="2671" spans="1:11" x14ac:dyDescent="0.2">
      <c r="A2671">
        <v>2003810</v>
      </c>
      <c r="B2671">
        <v>2022</v>
      </c>
      <c r="C2671" t="s">
        <v>6</v>
      </c>
      <c r="D2671" t="s">
        <v>7</v>
      </c>
      <c r="E2671" t="s">
        <v>8</v>
      </c>
      <c r="F2671">
        <v>5366</v>
      </c>
      <c r="G2671" t="s">
        <v>324</v>
      </c>
      <c r="H2671" s="1">
        <v>833797</v>
      </c>
      <c r="I2671" s="1">
        <v>0</v>
      </c>
      <c r="J2671" s="1">
        <v>833797</v>
      </c>
      <c r="K2671">
        <f>VLOOKUP(F2671,'LEAID Match'!$A$2:$C$2979,3,FALSE)</f>
        <v>2003810</v>
      </c>
    </row>
    <row r="2672" spans="1:11" x14ac:dyDescent="0.2">
      <c r="A2672">
        <v>2011400</v>
      </c>
      <c r="B2672">
        <v>2022</v>
      </c>
      <c r="C2672" t="s">
        <v>6</v>
      </c>
      <c r="D2672" t="s">
        <v>7</v>
      </c>
      <c r="E2672" t="s">
        <v>8</v>
      </c>
      <c r="F2672">
        <v>5367</v>
      </c>
      <c r="G2672" t="s">
        <v>325</v>
      </c>
      <c r="H2672" s="1">
        <v>345051</v>
      </c>
      <c r="I2672" s="1">
        <v>0</v>
      </c>
      <c r="J2672" s="1">
        <v>345051</v>
      </c>
      <c r="K2672">
        <f>VLOOKUP(F2672,'LEAID Match'!$A$2:$C$2979,3,FALSE)</f>
        <v>2011400</v>
      </c>
    </row>
    <row r="2673" spans="1:11" x14ac:dyDescent="0.2">
      <c r="A2673">
        <v>0</v>
      </c>
      <c r="B2673">
        <v>2022</v>
      </c>
      <c r="C2673" t="s">
        <v>6</v>
      </c>
      <c r="D2673" t="s">
        <v>7</v>
      </c>
      <c r="E2673" t="s">
        <v>8</v>
      </c>
      <c r="F2673">
        <v>5368</v>
      </c>
      <c r="G2673" t="s">
        <v>326</v>
      </c>
      <c r="H2673" s="20">
        <v>449378</v>
      </c>
      <c r="I2673" s="1">
        <v>0</v>
      </c>
      <c r="J2673" s="1">
        <v>449378</v>
      </c>
      <c r="K2673">
        <f>VLOOKUP(F2673,'LEAID Match'!$A$2:$C$2979,3,FALSE)</f>
        <v>0</v>
      </c>
    </row>
    <row r="2674" spans="1:11" x14ac:dyDescent="0.2">
      <c r="A2674">
        <v>2003570</v>
      </c>
      <c r="B2674">
        <v>2022</v>
      </c>
      <c r="C2674" t="s">
        <v>6</v>
      </c>
      <c r="D2674" t="s">
        <v>7</v>
      </c>
      <c r="E2674" t="s">
        <v>8</v>
      </c>
      <c r="F2674">
        <v>5405</v>
      </c>
      <c r="G2674" t="s">
        <v>327</v>
      </c>
      <c r="H2674" s="1">
        <v>215677</v>
      </c>
      <c r="I2674" s="1">
        <v>0</v>
      </c>
      <c r="J2674" s="1">
        <v>215677</v>
      </c>
      <c r="K2674">
        <f>VLOOKUP(F2674,'LEAID Match'!$A$2:$C$2979,3,FALSE)</f>
        <v>2003570</v>
      </c>
    </row>
    <row r="2675" spans="1:11" x14ac:dyDescent="0.2">
      <c r="A2675">
        <v>2006690</v>
      </c>
      <c r="B2675">
        <v>2022</v>
      </c>
      <c r="C2675" t="s">
        <v>6</v>
      </c>
      <c r="D2675" t="s">
        <v>7</v>
      </c>
      <c r="E2675" t="s">
        <v>8</v>
      </c>
      <c r="F2675">
        <v>5409</v>
      </c>
      <c r="G2675" s="9" t="s">
        <v>328</v>
      </c>
      <c r="H2675" s="1">
        <v>235972</v>
      </c>
      <c r="I2675" s="1">
        <v>0</v>
      </c>
      <c r="J2675" s="1">
        <v>235972</v>
      </c>
      <c r="K2675">
        <f>VLOOKUP(F2675,'LEAID Match'!$A$2:$C$2979,3,FALSE)</f>
        <v>2006690</v>
      </c>
    </row>
    <row r="2676" spans="1:11" x14ac:dyDescent="0.2">
      <c r="A2676">
        <v>2011790</v>
      </c>
      <c r="B2676">
        <v>2022</v>
      </c>
      <c r="C2676" t="s">
        <v>6</v>
      </c>
      <c r="D2676" t="s">
        <v>7</v>
      </c>
      <c r="E2676" t="s">
        <v>8</v>
      </c>
      <c r="F2676" s="3">
        <v>5410</v>
      </c>
      <c r="G2676" s="3" t="s">
        <v>329</v>
      </c>
      <c r="H2676" s="1">
        <v>230472</v>
      </c>
      <c r="I2676" s="21">
        <v>0</v>
      </c>
      <c r="J2676" s="21">
        <v>230472</v>
      </c>
      <c r="K2676">
        <f>VLOOKUP(F2676,'LEAID Match'!$A$2:$C$2979,3,FALSE)</f>
        <v>2011790</v>
      </c>
    </row>
    <row r="2677" spans="1:11" x14ac:dyDescent="0.2">
      <c r="A2677">
        <v>2011640</v>
      </c>
      <c r="B2677">
        <v>2022</v>
      </c>
      <c r="C2677" t="s">
        <v>6</v>
      </c>
      <c r="D2677" t="s">
        <v>7</v>
      </c>
      <c r="E2677" t="s">
        <v>8</v>
      </c>
      <c r="F2677" s="3">
        <v>5430</v>
      </c>
      <c r="G2677" s="3" t="s">
        <v>330</v>
      </c>
      <c r="H2677" s="1">
        <v>25367680</v>
      </c>
      <c r="I2677" s="1">
        <v>0</v>
      </c>
      <c r="J2677" s="1">
        <v>25367680</v>
      </c>
      <c r="K2677">
        <f>VLOOKUP(F2677,'LEAID Match'!$A$2:$C$2979,3,FALSE)</f>
        <v>2011640</v>
      </c>
    </row>
    <row r="2678" spans="1:11" x14ac:dyDescent="0.2">
      <c r="A2678">
        <v>2004800</v>
      </c>
      <c r="B2678">
        <v>2022</v>
      </c>
      <c r="C2678" t="s">
        <v>6</v>
      </c>
      <c r="D2678" t="s">
        <v>7</v>
      </c>
      <c r="E2678" t="s">
        <v>8</v>
      </c>
      <c r="F2678">
        <v>5436</v>
      </c>
      <c r="G2678" t="s">
        <v>331</v>
      </c>
      <c r="H2678" s="1">
        <v>662775</v>
      </c>
      <c r="I2678" s="1">
        <v>0</v>
      </c>
      <c r="J2678" s="1">
        <v>662775</v>
      </c>
      <c r="K2678">
        <f>VLOOKUP(F2678,'LEAID Match'!$A$2:$C$2979,3,FALSE)</f>
        <v>2004800</v>
      </c>
    </row>
    <row r="2679" spans="1:11" x14ac:dyDescent="0.2">
      <c r="A2679">
        <v>2004790</v>
      </c>
      <c r="B2679">
        <v>2022</v>
      </c>
      <c r="C2679" t="s">
        <v>6</v>
      </c>
      <c r="D2679" t="s">
        <v>7</v>
      </c>
      <c r="E2679" t="s">
        <v>8</v>
      </c>
      <c r="F2679">
        <v>5590</v>
      </c>
      <c r="G2679" t="s">
        <v>332</v>
      </c>
      <c r="H2679" s="1">
        <v>159119</v>
      </c>
      <c r="I2679" s="1">
        <v>0</v>
      </c>
      <c r="J2679" s="1">
        <v>159119</v>
      </c>
      <c r="K2679">
        <f>VLOOKUP(F2679,'LEAID Match'!$A$2:$C$2979,3,FALSE)</f>
        <v>2004790</v>
      </c>
    </row>
    <row r="2680" spans="1:11" x14ac:dyDescent="0.2">
      <c r="A2680">
        <v>0</v>
      </c>
      <c r="B2680">
        <v>2022</v>
      </c>
      <c r="C2680" t="s">
        <v>6</v>
      </c>
      <c r="D2680" t="s">
        <v>7</v>
      </c>
      <c r="E2680" t="s">
        <v>8</v>
      </c>
      <c r="F2680">
        <v>5696</v>
      </c>
      <c r="G2680" t="s">
        <v>333</v>
      </c>
      <c r="H2680" s="1">
        <v>257382</v>
      </c>
      <c r="I2680" s="1">
        <v>0</v>
      </c>
      <c r="J2680" s="1">
        <v>257382</v>
      </c>
      <c r="K2680">
        <f>VLOOKUP(F2680,'LEAID Match'!$A$2:$C$2979,3,FALSE)</f>
        <v>0</v>
      </c>
    </row>
    <row r="2681" spans="1:11" x14ac:dyDescent="0.2">
      <c r="A2681">
        <v>2000023</v>
      </c>
      <c r="B2681">
        <v>2022</v>
      </c>
      <c r="C2681" t="s">
        <v>6</v>
      </c>
      <c r="D2681" t="s">
        <v>7</v>
      </c>
      <c r="E2681" t="s">
        <v>8</v>
      </c>
      <c r="F2681">
        <v>9291</v>
      </c>
      <c r="G2681" t="s">
        <v>334</v>
      </c>
      <c r="H2681" s="20">
        <v>362213</v>
      </c>
      <c r="I2681" s="1">
        <v>0</v>
      </c>
      <c r="J2681" s="1">
        <v>362213</v>
      </c>
      <c r="K2681">
        <f>VLOOKUP(F2681,'LEAID Match'!$A$2:$C$2979,3,FALSE)</f>
        <v>2000023</v>
      </c>
    </row>
    <row r="2682" spans="1:11" x14ac:dyDescent="0.2">
      <c r="A2682">
        <v>2000020</v>
      </c>
      <c r="B2682">
        <v>2022</v>
      </c>
      <c r="C2682" t="s">
        <v>6</v>
      </c>
      <c r="D2682" t="s">
        <v>7</v>
      </c>
      <c r="E2682" t="s">
        <v>8</v>
      </c>
      <c r="F2682">
        <v>9302</v>
      </c>
      <c r="G2682" t="s">
        <v>335</v>
      </c>
      <c r="H2682" s="1">
        <v>185194</v>
      </c>
      <c r="I2682" s="1">
        <v>0</v>
      </c>
      <c r="J2682" s="1">
        <v>185194</v>
      </c>
      <c r="K2682">
        <f>VLOOKUP(F2682,'LEAID Match'!$A$2:$C$2979,3,FALSE)</f>
        <v>2000020</v>
      </c>
    </row>
    <row r="2683" spans="1:11" x14ac:dyDescent="0.2">
      <c r="A2683">
        <v>2000029</v>
      </c>
      <c r="B2683">
        <v>2022</v>
      </c>
      <c r="C2683" t="s">
        <v>6</v>
      </c>
      <c r="D2683" t="s">
        <v>7</v>
      </c>
      <c r="E2683" t="s">
        <v>8</v>
      </c>
      <c r="F2683">
        <v>9332</v>
      </c>
      <c r="G2683" s="9" t="s">
        <v>336</v>
      </c>
      <c r="H2683" s="1">
        <v>332544</v>
      </c>
      <c r="I2683" s="1">
        <v>0</v>
      </c>
      <c r="J2683" s="1">
        <v>332544</v>
      </c>
      <c r="K2683">
        <f>VLOOKUP(F2683,'LEAID Match'!$A$2:$C$2979,3,FALSE)</f>
        <v>2000029</v>
      </c>
    </row>
    <row r="2684" spans="1:11" x14ac:dyDescent="0.2">
      <c r="A2684">
        <v>2000028</v>
      </c>
      <c r="B2684">
        <v>2022</v>
      </c>
      <c r="C2684" t="s">
        <v>6</v>
      </c>
      <c r="D2684" t="s">
        <v>7</v>
      </c>
      <c r="E2684" t="s">
        <v>8</v>
      </c>
      <c r="F2684" s="3">
        <v>9333</v>
      </c>
      <c r="G2684" s="3" t="s">
        <v>337</v>
      </c>
      <c r="H2684" s="1">
        <v>380833</v>
      </c>
      <c r="I2684" s="21">
        <v>0</v>
      </c>
      <c r="J2684" s="21">
        <v>380833</v>
      </c>
      <c r="K2684">
        <f>VLOOKUP(F2684,'LEAID Match'!$A$2:$C$2979,3,FALSE)</f>
        <v>2000028</v>
      </c>
    </row>
    <row r="2685" spans="1:11" x14ac:dyDescent="0.2">
      <c r="A2685">
        <v>2000030</v>
      </c>
      <c r="B2685">
        <v>2022</v>
      </c>
      <c r="C2685" t="s">
        <v>6</v>
      </c>
      <c r="D2685" t="s">
        <v>7</v>
      </c>
      <c r="E2685" t="s">
        <v>8</v>
      </c>
      <c r="F2685" s="3">
        <v>9335</v>
      </c>
      <c r="G2685" s="3" t="s">
        <v>338</v>
      </c>
      <c r="H2685" s="1">
        <v>467705</v>
      </c>
      <c r="I2685" s="1">
        <v>0</v>
      </c>
      <c r="J2685" s="1">
        <v>467705</v>
      </c>
      <c r="K2685">
        <f>VLOOKUP(F2685,'LEAID Match'!$A$2:$C$2979,3,FALSE)</f>
        <v>2000030</v>
      </c>
    </row>
    <row r="2686" spans="1:11" x14ac:dyDescent="0.2">
      <c r="A2686">
        <v>2000346</v>
      </c>
      <c r="B2686">
        <v>2022</v>
      </c>
      <c r="C2686" t="s">
        <v>6</v>
      </c>
      <c r="D2686" t="s">
        <v>7</v>
      </c>
      <c r="E2686" t="s">
        <v>8</v>
      </c>
      <c r="F2686">
        <v>9389</v>
      </c>
      <c r="G2686" t="s">
        <v>339</v>
      </c>
      <c r="H2686" s="1">
        <v>248599</v>
      </c>
      <c r="I2686" s="1">
        <v>0</v>
      </c>
      <c r="J2686" s="1">
        <v>248599</v>
      </c>
      <c r="K2686">
        <f>VLOOKUP(F2686,'LEAID Match'!$A$2:$C$2979,3,FALSE)</f>
        <v>2000346</v>
      </c>
    </row>
    <row r="2687" spans="1:11" x14ac:dyDescent="0.2">
      <c r="A2687">
        <v>2000348</v>
      </c>
      <c r="B2687">
        <v>2022</v>
      </c>
      <c r="C2687" t="s">
        <v>6</v>
      </c>
      <c r="D2687" t="s">
        <v>7</v>
      </c>
      <c r="E2687" t="s">
        <v>8</v>
      </c>
      <c r="F2687">
        <v>9410</v>
      </c>
      <c r="G2687" t="s">
        <v>340</v>
      </c>
      <c r="H2687" s="1">
        <v>348447</v>
      </c>
      <c r="I2687" s="1">
        <v>0</v>
      </c>
      <c r="J2687" s="1">
        <v>348447</v>
      </c>
      <c r="K2687">
        <f>VLOOKUP(F2687,'LEAID Match'!$A$2:$C$2979,3,FALSE)</f>
        <v>2000348</v>
      </c>
    </row>
    <row r="2688" spans="1:11" x14ac:dyDescent="0.2">
      <c r="A2688">
        <v>2000351</v>
      </c>
      <c r="B2688">
        <v>2022</v>
      </c>
      <c r="C2688" t="s">
        <v>6</v>
      </c>
      <c r="D2688" t="s">
        <v>7</v>
      </c>
      <c r="E2688" t="s">
        <v>8</v>
      </c>
      <c r="F2688">
        <v>9444</v>
      </c>
      <c r="G2688" t="s">
        <v>341</v>
      </c>
      <c r="H2688" s="1">
        <v>554735</v>
      </c>
      <c r="I2688" s="1">
        <v>0</v>
      </c>
      <c r="J2688" s="1">
        <v>554735</v>
      </c>
      <c r="K2688">
        <f>VLOOKUP(F2688,'LEAID Match'!$A$2:$C$2979,3,FALSE)</f>
        <v>2000351</v>
      </c>
    </row>
    <row r="2689" spans="1:11" x14ac:dyDescent="0.2">
      <c r="A2689">
        <v>2000349</v>
      </c>
      <c r="B2689">
        <v>2022</v>
      </c>
      <c r="C2689" t="s">
        <v>6</v>
      </c>
      <c r="D2689" t="s">
        <v>7</v>
      </c>
      <c r="E2689" t="s">
        <v>8</v>
      </c>
      <c r="F2689">
        <v>9445</v>
      </c>
      <c r="G2689" t="s">
        <v>342</v>
      </c>
      <c r="H2689" s="20">
        <v>533875</v>
      </c>
      <c r="I2689" s="1">
        <v>0</v>
      </c>
      <c r="J2689" s="1">
        <v>533875</v>
      </c>
      <c r="K2689">
        <f>VLOOKUP(F2689,'LEAID Match'!$A$2:$C$2979,3,FALSE)</f>
        <v>2000349</v>
      </c>
    </row>
    <row r="2690" spans="1:11" x14ac:dyDescent="0.2">
      <c r="A2690">
        <v>2000350</v>
      </c>
      <c r="B2690">
        <v>2022</v>
      </c>
      <c r="C2690" t="s">
        <v>6</v>
      </c>
      <c r="D2690" t="s">
        <v>7</v>
      </c>
      <c r="E2690" t="s">
        <v>8</v>
      </c>
      <c r="F2690">
        <v>9446</v>
      </c>
      <c r="G2690" t="s">
        <v>343</v>
      </c>
      <c r="H2690" s="1">
        <v>964336</v>
      </c>
      <c r="I2690" s="1">
        <v>0</v>
      </c>
      <c r="J2690" s="1">
        <v>964336</v>
      </c>
      <c r="K2690">
        <f>VLOOKUP(F2690,'LEAID Match'!$A$2:$C$2979,3,FALSE)</f>
        <v>2000350</v>
      </c>
    </row>
    <row r="2691" spans="1:11" x14ac:dyDescent="0.2">
      <c r="A2691">
        <v>2000353</v>
      </c>
      <c r="B2691">
        <v>2022</v>
      </c>
      <c r="C2691" t="s">
        <v>6</v>
      </c>
      <c r="D2691" t="s">
        <v>7</v>
      </c>
      <c r="E2691" t="s">
        <v>8</v>
      </c>
      <c r="F2691">
        <v>9461</v>
      </c>
      <c r="G2691" s="9" t="s">
        <v>344</v>
      </c>
      <c r="H2691" s="1">
        <v>750398</v>
      </c>
      <c r="I2691" s="1">
        <v>0</v>
      </c>
      <c r="J2691" s="1">
        <v>750398</v>
      </c>
      <c r="K2691">
        <f>VLOOKUP(F2691,'LEAID Match'!$A$2:$C$2979,3,FALSE)</f>
        <v>2000353</v>
      </c>
    </row>
    <row r="2692" spans="1:11" x14ac:dyDescent="0.2">
      <c r="A2692">
        <v>2005730</v>
      </c>
      <c r="B2692">
        <v>2022</v>
      </c>
      <c r="C2692" t="s">
        <v>6</v>
      </c>
      <c r="D2692" t="s">
        <v>7</v>
      </c>
      <c r="E2692" t="s">
        <v>8</v>
      </c>
      <c r="F2692" s="3">
        <v>5303</v>
      </c>
      <c r="G2692" s="3" t="s">
        <v>345</v>
      </c>
      <c r="H2692" s="1">
        <v>1633129</v>
      </c>
      <c r="I2692" s="21">
        <v>0</v>
      </c>
      <c r="J2692" s="21">
        <v>1633129</v>
      </c>
      <c r="K2692">
        <f>VLOOKUP(F2692,'LEAID Match'!$A$2:$C$2979,3,FALSE)</f>
        <v>2005730</v>
      </c>
    </row>
    <row r="2693" spans="1:11" x14ac:dyDescent="0.2">
      <c r="A2693">
        <v>0</v>
      </c>
      <c r="B2693">
        <v>2023</v>
      </c>
      <c r="C2693" t="s">
        <v>6</v>
      </c>
      <c r="D2693" t="s">
        <v>7</v>
      </c>
      <c r="E2693" t="s">
        <v>8</v>
      </c>
      <c r="F2693" s="34">
        <v>4930</v>
      </c>
      <c r="G2693" s="3" t="s">
        <v>9</v>
      </c>
      <c r="H2693" s="1">
        <v>11026</v>
      </c>
      <c r="I2693" s="1">
        <v>567347.99580730521</v>
      </c>
      <c r="J2693" s="1">
        <v>578373.99580730521</v>
      </c>
      <c r="K2693">
        <f>VLOOKUP(F2693,'LEAID Match'!$A$2:$C$2979,3,FALSE)</f>
        <v>0</v>
      </c>
    </row>
    <row r="2694" spans="1:11" x14ac:dyDescent="0.2">
      <c r="A2694">
        <v>0</v>
      </c>
      <c r="B2694">
        <v>2023</v>
      </c>
      <c r="C2694" t="s">
        <v>6</v>
      </c>
      <c r="D2694" t="s">
        <v>7</v>
      </c>
      <c r="E2694" t="s">
        <v>8</v>
      </c>
      <c r="F2694" s="29">
        <v>4931</v>
      </c>
      <c r="G2694" t="s">
        <v>10</v>
      </c>
      <c r="H2694" s="1">
        <v>3768</v>
      </c>
      <c r="I2694" s="1">
        <v>448147.46287010843</v>
      </c>
      <c r="J2694" s="1">
        <v>451915.46287010843</v>
      </c>
      <c r="K2694">
        <f>VLOOKUP(F2694,'LEAID Match'!$A$2:$C$2979,3,FALSE)</f>
        <v>0</v>
      </c>
    </row>
    <row r="2695" spans="1:11" x14ac:dyDescent="0.2">
      <c r="A2695">
        <v>0</v>
      </c>
      <c r="B2695">
        <v>2023</v>
      </c>
      <c r="C2695" t="s">
        <v>6</v>
      </c>
      <c r="D2695" t="s">
        <v>7</v>
      </c>
      <c r="E2695" t="s">
        <v>8</v>
      </c>
      <c r="F2695" s="29">
        <v>5045</v>
      </c>
      <c r="G2695" t="s">
        <v>11</v>
      </c>
      <c r="H2695" s="1"/>
      <c r="I2695" s="1">
        <v>701788.08471361094</v>
      </c>
      <c r="J2695" s="1">
        <v>701788.08471361094</v>
      </c>
      <c r="K2695">
        <f>VLOOKUP(F2695,'LEAID Match'!$A$2:$C$2979,3,FALSE)</f>
        <v>0</v>
      </c>
    </row>
    <row r="2696" spans="1:11" x14ac:dyDescent="0.2">
      <c r="A2696">
        <v>0</v>
      </c>
      <c r="B2696">
        <v>2023</v>
      </c>
      <c r="C2696" t="s">
        <v>6</v>
      </c>
      <c r="D2696" t="s">
        <v>7</v>
      </c>
      <c r="E2696" t="s">
        <v>8</v>
      </c>
      <c r="F2696" s="29">
        <v>5046</v>
      </c>
      <c r="G2696" t="s">
        <v>12</v>
      </c>
      <c r="H2696" s="1"/>
      <c r="I2696" s="1">
        <v>946567.78470518067</v>
      </c>
      <c r="J2696" s="1">
        <v>946567.78470518067</v>
      </c>
      <c r="K2696">
        <f>VLOOKUP(F2696,'LEAID Match'!$A$2:$C$2979,3,FALSE)</f>
        <v>0</v>
      </c>
    </row>
    <row r="2697" spans="1:11" x14ac:dyDescent="0.2">
      <c r="A2697">
        <v>0</v>
      </c>
      <c r="B2697">
        <v>2023</v>
      </c>
      <c r="C2697" t="s">
        <v>6</v>
      </c>
      <c r="D2697" t="s">
        <v>7</v>
      </c>
      <c r="E2697" t="s">
        <v>8</v>
      </c>
      <c r="F2697" s="29">
        <v>5047</v>
      </c>
      <c r="G2697" t="s">
        <v>13</v>
      </c>
      <c r="H2697" s="20">
        <v>12710</v>
      </c>
      <c r="I2697" s="1">
        <v>1520600.2816632327</v>
      </c>
      <c r="J2697" s="1">
        <v>1533310.2816632327</v>
      </c>
      <c r="K2697">
        <f>VLOOKUP(F2697,'LEAID Match'!$A$2:$C$2979,3,FALSE)</f>
        <v>0</v>
      </c>
    </row>
    <row r="2698" spans="1:11" x14ac:dyDescent="0.2">
      <c r="A2698">
        <v>0</v>
      </c>
      <c r="B2698">
        <v>2023</v>
      </c>
      <c r="C2698" t="s">
        <v>6</v>
      </c>
      <c r="D2698" t="s">
        <v>7</v>
      </c>
      <c r="E2698" t="s">
        <v>8</v>
      </c>
      <c r="F2698" s="29">
        <v>5048</v>
      </c>
      <c r="G2698" t="s">
        <v>14</v>
      </c>
      <c r="H2698" s="1">
        <v>79632</v>
      </c>
      <c r="I2698" s="1">
        <v>3090766.3929675976</v>
      </c>
      <c r="J2698" s="1">
        <v>3170398.3929675976</v>
      </c>
      <c r="K2698">
        <f>VLOOKUP(F2698,'LEAID Match'!$A$2:$C$2979,3,FALSE)</f>
        <v>0</v>
      </c>
    </row>
    <row r="2699" spans="1:11" x14ac:dyDescent="0.2">
      <c r="A2699">
        <v>0</v>
      </c>
      <c r="B2699">
        <v>2023</v>
      </c>
      <c r="C2699" t="s">
        <v>6</v>
      </c>
      <c r="D2699" t="s">
        <v>7</v>
      </c>
      <c r="E2699" t="s">
        <v>8</v>
      </c>
      <c r="F2699" s="29">
        <v>5049</v>
      </c>
      <c r="G2699" s="9" t="s">
        <v>15</v>
      </c>
      <c r="H2699" s="1">
        <v>173633</v>
      </c>
      <c r="I2699" s="1">
        <v>4415009.2612001086</v>
      </c>
      <c r="J2699" s="1">
        <v>4588642.2612001086</v>
      </c>
      <c r="K2699">
        <f>VLOOKUP(F2699,'LEAID Match'!$A$2:$C$2979,3,FALSE)</f>
        <v>0</v>
      </c>
    </row>
    <row r="2700" spans="1:11" x14ac:dyDescent="0.2">
      <c r="A2700">
        <v>0</v>
      </c>
      <c r="B2700">
        <v>2023</v>
      </c>
      <c r="C2700" t="s">
        <v>6</v>
      </c>
      <c r="D2700" t="s">
        <v>7</v>
      </c>
      <c r="E2700" t="s">
        <v>8</v>
      </c>
      <c r="F2700" s="34">
        <v>5050</v>
      </c>
      <c r="G2700" s="3" t="s">
        <v>16</v>
      </c>
      <c r="H2700" s="1">
        <v>12445</v>
      </c>
      <c r="I2700" s="21">
        <v>1052343.9826111926</v>
      </c>
      <c r="J2700" s="21">
        <v>1064788.9826111926</v>
      </c>
      <c r="K2700">
        <f>VLOOKUP(F2700,'LEAID Match'!$A$2:$C$2979,3,FALSE)</f>
        <v>0</v>
      </c>
    </row>
    <row r="2701" spans="1:11" x14ac:dyDescent="0.2">
      <c r="A2701">
        <v>0</v>
      </c>
      <c r="B2701">
        <v>2023</v>
      </c>
      <c r="C2701" t="s">
        <v>6</v>
      </c>
      <c r="D2701" t="s">
        <v>7</v>
      </c>
      <c r="E2701" t="s">
        <v>8</v>
      </c>
      <c r="F2701" s="34">
        <v>5107</v>
      </c>
      <c r="G2701" s="3" t="s">
        <v>17</v>
      </c>
      <c r="H2701" s="1">
        <v>9502</v>
      </c>
      <c r="I2701" s="1">
        <v>1686218.826730242</v>
      </c>
      <c r="J2701" s="1">
        <v>1695720.826730242</v>
      </c>
      <c r="K2701">
        <f>VLOOKUP(F2701,'LEAID Match'!$A$2:$C$2979,3,FALSE)</f>
        <v>0</v>
      </c>
    </row>
    <row r="2702" spans="1:11" x14ac:dyDescent="0.2">
      <c r="A2702">
        <v>0</v>
      </c>
      <c r="B2702">
        <v>2023</v>
      </c>
      <c r="C2702" t="s">
        <v>6</v>
      </c>
      <c r="D2702" t="s">
        <v>7</v>
      </c>
      <c r="E2702" t="s">
        <v>8</v>
      </c>
      <c r="F2702" s="29">
        <v>5108</v>
      </c>
      <c r="G2702" t="s">
        <v>18</v>
      </c>
      <c r="H2702" s="1">
        <v>35307</v>
      </c>
      <c r="I2702" s="1">
        <v>2201134.4500943585</v>
      </c>
      <c r="J2702" s="1">
        <v>2236441.4500943585</v>
      </c>
      <c r="K2702">
        <f>VLOOKUP(F2702,'LEAID Match'!$A$2:$C$2979,3,FALSE)</f>
        <v>0</v>
      </c>
    </row>
    <row r="2703" spans="1:11" x14ac:dyDescent="0.2">
      <c r="A2703">
        <v>0</v>
      </c>
      <c r="B2703">
        <v>2023</v>
      </c>
      <c r="C2703" t="s">
        <v>6</v>
      </c>
      <c r="D2703" t="s">
        <v>7</v>
      </c>
      <c r="E2703" t="s">
        <v>8</v>
      </c>
      <c r="F2703" s="29">
        <v>5109</v>
      </c>
      <c r="G2703" t="s">
        <v>19</v>
      </c>
      <c r="H2703" s="1">
        <v>53517</v>
      </c>
      <c r="I2703" s="1">
        <v>3554058.1165501247</v>
      </c>
      <c r="J2703" s="1">
        <v>3607575.1165501247</v>
      </c>
      <c r="K2703">
        <f>VLOOKUP(F2703,'LEAID Match'!$A$2:$C$2979,3,FALSE)</f>
        <v>0</v>
      </c>
    </row>
    <row r="2704" spans="1:11" x14ac:dyDescent="0.2">
      <c r="A2704">
        <v>0</v>
      </c>
      <c r="B2704">
        <v>2023</v>
      </c>
      <c r="C2704" t="s">
        <v>6</v>
      </c>
      <c r="D2704" t="s">
        <v>7</v>
      </c>
      <c r="E2704" t="s">
        <v>8</v>
      </c>
      <c r="F2704" s="29">
        <v>5110</v>
      </c>
      <c r="G2704" t="s">
        <v>20</v>
      </c>
      <c r="H2704" s="1">
        <v>14708</v>
      </c>
      <c r="I2704" s="1">
        <v>717613.24540528469</v>
      </c>
      <c r="J2704" s="1">
        <v>732321.24540528469</v>
      </c>
      <c r="K2704">
        <f>VLOOKUP(F2704,'LEAID Match'!$A$2:$C$2979,3,FALSE)</f>
        <v>0</v>
      </c>
    </row>
    <row r="2705" spans="1:11" x14ac:dyDescent="0.2">
      <c r="A2705">
        <v>0</v>
      </c>
      <c r="B2705">
        <v>2023</v>
      </c>
      <c r="C2705" t="s">
        <v>6</v>
      </c>
      <c r="D2705" t="s">
        <v>7</v>
      </c>
      <c r="E2705" t="s">
        <v>8</v>
      </c>
      <c r="F2705" s="29">
        <v>5111</v>
      </c>
      <c r="G2705" t="s">
        <v>21</v>
      </c>
      <c r="H2705" s="20"/>
      <c r="I2705" s="1">
        <v>739302.13842395309</v>
      </c>
      <c r="J2705" s="1">
        <v>739302.13842395309</v>
      </c>
      <c r="K2705">
        <f>VLOOKUP(F2705,'LEAID Match'!$A$2:$C$2979,3,FALSE)</f>
        <v>0</v>
      </c>
    </row>
    <row r="2706" spans="1:11" x14ac:dyDescent="0.2">
      <c r="A2706">
        <v>0</v>
      </c>
      <c r="B2706">
        <v>2023</v>
      </c>
      <c r="C2706" t="s">
        <v>6</v>
      </c>
      <c r="D2706" t="s">
        <v>7</v>
      </c>
      <c r="E2706" t="s">
        <v>8</v>
      </c>
      <c r="F2706" s="29">
        <v>5112</v>
      </c>
      <c r="G2706" t="s">
        <v>22</v>
      </c>
      <c r="H2706" s="1">
        <v>4590</v>
      </c>
      <c r="I2706" s="1">
        <v>879967.15942051494</v>
      </c>
      <c r="J2706" s="1">
        <v>884557.15942051494</v>
      </c>
      <c r="K2706">
        <f>VLOOKUP(F2706,'LEAID Match'!$A$2:$C$2979,3,FALSE)</f>
        <v>0</v>
      </c>
    </row>
    <row r="2707" spans="1:11" x14ac:dyDescent="0.2">
      <c r="A2707">
        <v>0</v>
      </c>
      <c r="B2707">
        <v>2023</v>
      </c>
      <c r="C2707" t="s">
        <v>6</v>
      </c>
      <c r="D2707" t="s">
        <v>7</v>
      </c>
      <c r="E2707" t="s">
        <v>8</v>
      </c>
      <c r="F2707" s="29">
        <v>5113</v>
      </c>
      <c r="G2707" s="9" t="s">
        <v>23</v>
      </c>
      <c r="H2707" s="1">
        <v>23029</v>
      </c>
      <c r="I2707" s="1">
        <v>798074.71947758773</v>
      </c>
      <c r="J2707" s="1">
        <v>821103.71947758773</v>
      </c>
      <c r="K2707">
        <f>VLOOKUP(F2707,'LEAID Match'!$A$2:$C$2979,3,FALSE)</f>
        <v>0</v>
      </c>
    </row>
    <row r="2708" spans="1:11" x14ac:dyDescent="0.2">
      <c r="A2708">
        <v>0</v>
      </c>
      <c r="B2708">
        <v>2023</v>
      </c>
      <c r="C2708" t="s">
        <v>6</v>
      </c>
      <c r="D2708" t="s">
        <v>7</v>
      </c>
      <c r="E2708" t="s">
        <v>8</v>
      </c>
      <c r="F2708" s="34">
        <v>5177</v>
      </c>
      <c r="G2708" s="3" t="s">
        <v>24</v>
      </c>
      <c r="H2708" s="1">
        <v>53687</v>
      </c>
      <c r="I2708" s="21">
        <v>923841.40300480288</v>
      </c>
      <c r="J2708" s="21">
        <v>977528.40300480288</v>
      </c>
      <c r="K2708">
        <f>VLOOKUP(F2708,'LEAID Match'!$A$2:$C$2979,3,FALSE)</f>
        <v>0</v>
      </c>
    </row>
    <row r="2709" spans="1:11" x14ac:dyDescent="0.2">
      <c r="A2709">
        <v>0</v>
      </c>
      <c r="B2709">
        <v>2023</v>
      </c>
      <c r="C2709" t="s">
        <v>6</v>
      </c>
      <c r="D2709" t="s">
        <v>7</v>
      </c>
      <c r="E2709" t="s">
        <v>8</v>
      </c>
      <c r="F2709" s="34">
        <v>5178</v>
      </c>
      <c r="G2709" s="3" t="s">
        <v>25</v>
      </c>
      <c r="H2709" s="1">
        <v>34063</v>
      </c>
      <c r="I2709" s="1">
        <v>1509207.8874279291</v>
      </c>
      <c r="J2709" s="1">
        <v>1543270.8874279291</v>
      </c>
      <c r="K2709">
        <f>VLOOKUP(F2709,'LEAID Match'!$A$2:$C$2979,3,FALSE)</f>
        <v>0</v>
      </c>
    </row>
    <row r="2710" spans="1:11" x14ac:dyDescent="0.2">
      <c r="A2710">
        <v>0</v>
      </c>
      <c r="B2710">
        <v>2023</v>
      </c>
      <c r="C2710" t="s">
        <v>6</v>
      </c>
      <c r="D2710" t="s">
        <v>7</v>
      </c>
      <c r="E2710" t="s">
        <v>8</v>
      </c>
      <c r="F2710" s="29">
        <v>5179</v>
      </c>
      <c r="G2710" t="s">
        <v>26</v>
      </c>
      <c r="H2710" s="1">
        <v>28259</v>
      </c>
      <c r="I2710" s="1">
        <v>823490.88664906379</v>
      </c>
      <c r="J2710" s="1">
        <v>851749.88664906379</v>
      </c>
      <c r="K2710">
        <f>VLOOKUP(F2710,'LEAID Match'!$A$2:$C$2979,3,FALSE)</f>
        <v>0</v>
      </c>
    </row>
    <row r="2711" spans="1:11" x14ac:dyDescent="0.2">
      <c r="A2711">
        <v>0</v>
      </c>
      <c r="B2711">
        <v>2023</v>
      </c>
      <c r="C2711" t="s">
        <v>6</v>
      </c>
      <c r="D2711" t="s">
        <v>7</v>
      </c>
      <c r="E2711" t="s">
        <v>8</v>
      </c>
      <c r="F2711" s="29">
        <v>5180</v>
      </c>
      <c r="G2711" t="s">
        <v>27</v>
      </c>
      <c r="H2711" s="1">
        <v>3900</v>
      </c>
      <c r="I2711" s="1">
        <v>1121917.2050964893</v>
      </c>
      <c r="J2711" s="1">
        <v>1125817.2050964893</v>
      </c>
      <c r="K2711">
        <f>VLOOKUP(F2711,'LEAID Match'!$A$2:$C$2979,3,FALSE)</f>
        <v>0</v>
      </c>
    </row>
    <row r="2712" spans="1:11" x14ac:dyDescent="0.2">
      <c r="A2712">
        <v>0</v>
      </c>
      <c r="B2712">
        <v>2023</v>
      </c>
      <c r="C2712" t="s">
        <v>6</v>
      </c>
      <c r="D2712" t="s">
        <v>7</v>
      </c>
      <c r="E2712" t="s">
        <v>8</v>
      </c>
      <c r="F2712" s="29">
        <v>5404</v>
      </c>
      <c r="G2712" t="s">
        <v>28</v>
      </c>
      <c r="H2712" s="1">
        <v>13406</v>
      </c>
      <c r="I2712" s="1">
        <v>1316872.8560417013</v>
      </c>
      <c r="J2712" s="1">
        <v>1330278.8560417013</v>
      </c>
      <c r="K2712">
        <f>VLOOKUP(F2712,'LEAID Match'!$A$2:$C$2979,3,FALSE)</f>
        <v>0</v>
      </c>
    </row>
    <row r="2713" spans="1:11" x14ac:dyDescent="0.2">
      <c r="A2713">
        <v>0</v>
      </c>
      <c r="B2713">
        <v>2023</v>
      </c>
      <c r="C2713" t="s">
        <v>6</v>
      </c>
      <c r="D2713" t="s">
        <v>7</v>
      </c>
      <c r="E2713" t="s">
        <v>8</v>
      </c>
      <c r="F2713" s="29">
        <v>5406</v>
      </c>
      <c r="G2713" t="s">
        <v>29</v>
      </c>
      <c r="H2713" s="20">
        <v>107563</v>
      </c>
      <c r="I2713" s="1">
        <v>12768150.337858347</v>
      </c>
      <c r="J2713" s="1">
        <v>12875713.337858347</v>
      </c>
      <c r="K2713">
        <f>VLOOKUP(F2713,'LEAID Match'!$A$2:$C$2979,3,FALSE)</f>
        <v>0</v>
      </c>
    </row>
    <row r="2714" spans="1:11" x14ac:dyDescent="0.2">
      <c r="A2714">
        <v>2000046</v>
      </c>
      <c r="B2714">
        <v>2023</v>
      </c>
      <c r="C2714" t="s">
        <v>6</v>
      </c>
      <c r="D2714" t="s">
        <v>7</v>
      </c>
      <c r="E2714" t="s">
        <v>8</v>
      </c>
      <c r="F2714" s="29">
        <v>5596</v>
      </c>
      <c r="G2714" t="s">
        <v>30</v>
      </c>
      <c r="H2714" s="1">
        <v>58206</v>
      </c>
      <c r="I2714" s="1">
        <v>1112984.0432919043</v>
      </c>
      <c r="J2714" s="1">
        <v>1171190.0432919043</v>
      </c>
      <c r="K2714">
        <f>VLOOKUP(F2714,'LEAID Match'!$A$2:$C$2979,3,FALSE)</f>
        <v>2000046</v>
      </c>
    </row>
    <row r="2715" spans="1:11" x14ac:dyDescent="0.2">
      <c r="A2715">
        <v>0</v>
      </c>
      <c r="B2715">
        <v>2023</v>
      </c>
      <c r="C2715" t="s">
        <v>6</v>
      </c>
      <c r="D2715" t="s">
        <v>7</v>
      </c>
      <c r="E2715" t="s">
        <v>8</v>
      </c>
      <c r="F2715" s="29">
        <v>5600</v>
      </c>
      <c r="G2715" s="9" t="s">
        <v>31</v>
      </c>
      <c r="H2715" s="1">
        <v>91048</v>
      </c>
      <c r="I2715" s="1">
        <v>1297363.4577647573</v>
      </c>
      <c r="J2715" s="1">
        <v>1388411.4577647573</v>
      </c>
      <c r="K2715">
        <f>VLOOKUP(F2715,'LEAID Match'!$A$2:$C$2979,3,FALSE)</f>
        <v>0</v>
      </c>
    </row>
    <row r="2716" spans="1:11" x14ac:dyDescent="0.2">
      <c r="A2716">
        <v>2000048</v>
      </c>
      <c r="B2716">
        <v>2023</v>
      </c>
      <c r="C2716" t="s">
        <v>6</v>
      </c>
      <c r="D2716" t="s">
        <v>7</v>
      </c>
      <c r="E2716" t="s">
        <v>8</v>
      </c>
      <c r="F2716" s="34">
        <v>5604</v>
      </c>
      <c r="G2716" s="3" t="s">
        <v>32</v>
      </c>
      <c r="H2716" s="1">
        <v>26388</v>
      </c>
      <c r="I2716" s="21">
        <v>1190769.5650755314</v>
      </c>
      <c r="J2716" s="21">
        <v>1217157.5650755314</v>
      </c>
      <c r="K2716">
        <f>VLOOKUP(F2716,'LEAID Match'!$A$2:$C$2979,3,FALSE)</f>
        <v>2000048</v>
      </c>
    </row>
    <row r="2717" spans="1:11" x14ac:dyDescent="0.2">
      <c r="A2717">
        <v>2000035</v>
      </c>
      <c r="B2717">
        <v>2023</v>
      </c>
      <c r="C2717" t="s">
        <v>6</v>
      </c>
      <c r="D2717" t="s">
        <v>7</v>
      </c>
      <c r="E2717" t="s">
        <v>8</v>
      </c>
      <c r="F2717" s="34">
        <v>5608</v>
      </c>
      <c r="G2717" s="3" t="s">
        <v>33</v>
      </c>
      <c r="H2717" s="1">
        <v>2754</v>
      </c>
      <c r="I2717" s="1">
        <v>1119447.2135238864</v>
      </c>
      <c r="J2717" s="1">
        <v>1122201.2135238864</v>
      </c>
      <c r="K2717">
        <f>VLOOKUP(F2717,'LEAID Match'!$A$2:$C$2979,3,FALSE)</f>
        <v>2000035</v>
      </c>
    </row>
    <row r="2718" spans="1:11" x14ac:dyDescent="0.2">
      <c r="A2718">
        <v>2000039</v>
      </c>
      <c r="B2718">
        <v>2023</v>
      </c>
      <c r="C2718" t="s">
        <v>6</v>
      </c>
      <c r="D2718" t="s">
        <v>7</v>
      </c>
      <c r="E2718" t="s">
        <v>8</v>
      </c>
      <c r="F2718" s="29">
        <v>5609</v>
      </c>
      <c r="G2718" t="s">
        <v>34</v>
      </c>
      <c r="H2718" s="1">
        <v>13776</v>
      </c>
      <c r="I2718" s="1">
        <v>1219913.0063998154</v>
      </c>
      <c r="J2718" s="1">
        <v>1233689.0063998154</v>
      </c>
      <c r="K2718">
        <f>VLOOKUP(F2718,'LEAID Match'!$A$2:$C$2979,3,FALSE)</f>
        <v>2000039</v>
      </c>
    </row>
    <row r="2719" spans="1:11" x14ac:dyDescent="0.2">
      <c r="A2719">
        <v>2000041</v>
      </c>
      <c r="B2719">
        <v>2023</v>
      </c>
      <c r="C2719" t="s">
        <v>6</v>
      </c>
      <c r="D2719" t="s">
        <v>7</v>
      </c>
      <c r="E2719" t="s">
        <v>8</v>
      </c>
      <c r="F2719" s="29">
        <v>5612</v>
      </c>
      <c r="G2719" t="s">
        <v>35</v>
      </c>
      <c r="H2719" s="1">
        <v>84113</v>
      </c>
      <c r="I2719" s="1">
        <v>2518670.5415487364</v>
      </c>
      <c r="J2719" s="1">
        <v>2602783.5415487364</v>
      </c>
      <c r="K2719">
        <f>VLOOKUP(F2719,'LEAID Match'!$A$2:$C$2979,3,FALSE)</f>
        <v>2000041</v>
      </c>
    </row>
    <row r="2720" spans="1:11" x14ac:dyDescent="0.2">
      <c r="A2720">
        <v>0</v>
      </c>
      <c r="B2720">
        <v>2023</v>
      </c>
      <c r="C2720" t="s">
        <v>6</v>
      </c>
      <c r="D2720" t="s">
        <v>7</v>
      </c>
      <c r="E2720" t="s">
        <v>8</v>
      </c>
      <c r="F2720" s="29">
        <v>5624</v>
      </c>
      <c r="G2720" t="s">
        <v>36</v>
      </c>
      <c r="H2720" s="1">
        <v>25118</v>
      </c>
      <c r="I2720" s="1">
        <v>898291.5150699066</v>
      </c>
      <c r="J2720" s="1">
        <v>923409.5150699066</v>
      </c>
      <c r="K2720">
        <f>VLOOKUP(F2720,'LEAID Match'!$A$2:$C$2979,3,FALSE)</f>
        <v>0</v>
      </c>
    </row>
    <row r="2721" spans="1:11" x14ac:dyDescent="0.2">
      <c r="A2721">
        <v>2000044</v>
      </c>
      <c r="B2721">
        <v>2023</v>
      </c>
      <c r="C2721" t="s">
        <v>6</v>
      </c>
      <c r="D2721" t="s">
        <v>7</v>
      </c>
      <c r="E2721" t="s">
        <v>8</v>
      </c>
      <c r="F2721" s="29">
        <v>5626</v>
      </c>
      <c r="G2721" t="s">
        <v>37</v>
      </c>
      <c r="H2721" s="20">
        <v>9885</v>
      </c>
      <c r="I2721" s="1">
        <v>1043659.8180902178</v>
      </c>
      <c r="J2721" s="1">
        <v>1053544.8180902177</v>
      </c>
      <c r="K2721">
        <f>VLOOKUP(F2721,'LEAID Match'!$A$2:$C$2979,3,FALSE)</f>
        <v>2000044</v>
      </c>
    </row>
    <row r="2722" spans="1:11" x14ac:dyDescent="0.2">
      <c r="A2722">
        <v>2000047</v>
      </c>
      <c r="B2722">
        <v>2023</v>
      </c>
      <c r="C2722" t="s">
        <v>6</v>
      </c>
      <c r="D2722" t="s">
        <v>7</v>
      </c>
      <c r="E2722" t="s">
        <v>8</v>
      </c>
      <c r="F2722" s="29">
        <v>5634</v>
      </c>
      <c r="G2722" t="s">
        <v>38</v>
      </c>
      <c r="H2722" s="1">
        <v>62575</v>
      </c>
      <c r="I2722" s="1">
        <v>1524731.7921468397</v>
      </c>
      <c r="J2722" s="1">
        <v>1587306.7921468397</v>
      </c>
      <c r="K2722">
        <f>VLOOKUP(F2722,'LEAID Match'!$A$2:$C$2979,3,FALSE)</f>
        <v>2000047</v>
      </c>
    </row>
    <row r="2723" spans="1:11" x14ac:dyDescent="0.2">
      <c r="A2723">
        <v>2000051</v>
      </c>
      <c r="B2723">
        <v>2023</v>
      </c>
      <c r="C2723" t="s">
        <v>6</v>
      </c>
      <c r="D2723" t="s">
        <v>7</v>
      </c>
      <c r="E2723" t="s">
        <v>8</v>
      </c>
      <c r="F2723" s="29">
        <v>5638</v>
      </c>
      <c r="G2723" s="9" t="s">
        <v>39</v>
      </c>
      <c r="H2723" s="1">
        <v>19158</v>
      </c>
      <c r="I2723" s="1">
        <v>802153.97127204202</v>
      </c>
      <c r="J2723" s="1">
        <v>821311.97127204202</v>
      </c>
      <c r="K2723">
        <f>VLOOKUP(F2723,'LEAID Match'!$A$2:$C$2979,3,FALSE)</f>
        <v>2000051</v>
      </c>
    </row>
    <row r="2724" spans="1:11" x14ac:dyDescent="0.2">
      <c r="A2724">
        <v>2000033</v>
      </c>
      <c r="B2724">
        <v>2023</v>
      </c>
      <c r="C2724" t="s">
        <v>6</v>
      </c>
      <c r="D2724" t="s">
        <v>7</v>
      </c>
      <c r="E2724" t="s">
        <v>8</v>
      </c>
      <c r="F2724" s="34">
        <v>5655</v>
      </c>
      <c r="G2724" s="3" t="s">
        <v>40</v>
      </c>
      <c r="H2724" s="1"/>
      <c r="I2724" s="21">
        <v>360666.41722837323</v>
      </c>
      <c r="J2724" s="21">
        <v>360666.41722837323</v>
      </c>
      <c r="K2724">
        <f>VLOOKUP(F2724,'LEAID Match'!$A$2:$C$2979,3,FALSE)</f>
        <v>2000033</v>
      </c>
    </row>
    <row r="2725" spans="1:11" x14ac:dyDescent="0.2">
      <c r="A2725">
        <v>2000037</v>
      </c>
      <c r="B2725">
        <v>2023</v>
      </c>
      <c r="C2725" t="s">
        <v>6</v>
      </c>
      <c r="D2725" t="s">
        <v>7</v>
      </c>
      <c r="E2725" t="s">
        <v>8</v>
      </c>
      <c r="F2725" s="34">
        <v>5657</v>
      </c>
      <c r="G2725" s="3" t="s">
        <v>41</v>
      </c>
      <c r="H2725" s="1">
        <v>4131</v>
      </c>
      <c r="I2725" s="1">
        <v>199194.75284766321</v>
      </c>
      <c r="J2725" s="1">
        <v>203325.75284766321</v>
      </c>
      <c r="K2725">
        <f>VLOOKUP(F2725,'LEAID Match'!$A$2:$C$2979,3,FALSE)</f>
        <v>2000037</v>
      </c>
    </row>
    <row r="2726" spans="1:11" x14ac:dyDescent="0.2">
      <c r="A2726">
        <v>2000040</v>
      </c>
      <c r="B2726">
        <v>2023</v>
      </c>
      <c r="C2726" t="s">
        <v>6</v>
      </c>
      <c r="D2726" t="s">
        <v>7</v>
      </c>
      <c r="E2726" t="s">
        <v>8</v>
      </c>
      <c r="F2726" s="29">
        <v>5671</v>
      </c>
      <c r="G2726" t="s">
        <v>42</v>
      </c>
      <c r="H2726" s="1">
        <v>29501</v>
      </c>
      <c r="I2726" s="1">
        <v>483240.70965646196</v>
      </c>
      <c r="J2726" s="1">
        <v>512741.70965646196</v>
      </c>
      <c r="K2726">
        <f>VLOOKUP(F2726,'LEAID Match'!$A$2:$C$2979,3,FALSE)</f>
        <v>2000040</v>
      </c>
    </row>
    <row r="2727" spans="1:11" x14ac:dyDescent="0.2">
      <c r="A2727">
        <v>2093310</v>
      </c>
      <c r="B2727">
        <v>2023</v>
      </c>
      <c r="C2727" t="s">
        <v>6</v>
      </c>
      <c r="D2727" t="s">
        <v>7</v>
      </c>
      <c r="E2727" t="s">
        <v>8</v>
      </c>
      <c r="F2727" s="29">
        <v>5682</v>
      </c>
      <c r="G2727" t="s">
        <v>43</v>
      </c>
      <c r="H2727" s="1"/>
      <c r="I2727" s="1">
        <v>3437049.3745168061</v>
      </c>
      <c r="J2727" s="1">
        <v>3437049.3745168061</v>
      </c>
      <c r="K2727">
        <f>VLOOKUP(F2727,'LEAID Match'!$A$2:$C$2979,3,FALSE)</f>
        <v>2093310</v>
      </c>
    </row>
    <row r="2728" spans="1:11" x14ac:dyDescent="0.2">
      <c r="A2728">
        <v>2000043</v>
      </c>
      <c r="B2728">
        <v>2023</v>
      </c>
      <c r="C2728" t="s">
        <v>6</v>
      </c>
      <c r="D2728" t="s">
        <v>7</v>
      </c>
      <c r="E2728" t="s">
        <v>8</v>
      </c>
      <c r="F2728" s="29">
        <v>5688</v>
      </c>
      <c r="G2728" t="s">
        <v>44</v>
      </c>
      <c r="H2728" s="1">
        <v>13639</v>
      </c>
      <c r="I2728" s="1">
        <v>387158.49858828867</v>
      </c>
      <c r="J2728" s="1">
        <v>400797.49858828867</v>
      </c>
      <c r="K2728">
        <f>VLOOKUP(F2728,'LEAID Match'!$A$2:$C$2979,3,FALSE)</f>
        <v>2000043</v>
      </c>
    </row>
    <row r="2729" spans="1:11" x14ac:dyDescent="0.2">
      <c r="A2729">
        <v>2000045</v>
      </c>
      <c r="B2729">
        <v>2023</v>
      </c>
      <c r="C2729" t="s">
        <v>6</v>
      </c>
      <c r="D2729" t="s">
        <v>7</v>
      </c>
      <c r="E2729" t="s">
        <v>8</v>
      </c>
      <c r="F2729" s="29">
        <v>9034</v>
      </c>
      <c r="G2729" t="s">
        <v>45</v>
      </c>
      <c r="H2729" s="20">
        <v>73201</v>
      </c>
      <c r="I2729" s="1">
        <v>718394.0517020378</v>
      </c>
      <c r="J2729" s="1">
        <v>791595.0517020378</v>
      </c>
      <c r="K2729">
        <f>VLOOKUP(F2729,'LEAID Match'!$A$2:$C$2979,3,FALSE)</f>
        <v>2000045</v>
      </c>
    </row>
    <row r="2730" spans="1:11" x14ac:dyDescent="0.2">
      <c r="A2730">
        <v>0</v>
      </c>
      <c r="B2730">
        <v>2023</v>
      </c>
      <c r="C2730" t="s">
        <v>6</v>
      </c>
      <c r="D2730" t="s">
        <v>7</v>
      </c>
      <c r="E2730" t="s">
        <v>8</v>
      </c>
      <c r="F2730" s="29">
        <v>9042</v>
      </c>
      <c r="G2730" t="s">
        <v>46</v>
      </c>
      <c r="H2730" s="1">
        <v>748</v>
      </c>
      <c r="I2730" s="1">
        <v>468283.96541688568</v>
      </c>
      <c r="J2730" s="1">
        <v>469031.96541688568</v>
      </c>
      <c r="K2730">
        <f>VLOOKUP(F2730,'LEAID Match'!$A$2:$C$2979,3,FALSE)</f>
        <v>0</v>
      </c>
    </row>
    <row r="2731" spans="1:11" x14ac:dyDescent="0.2">
      <c r="A2731">
        <v>2000347</v>
      </c>
      <c r="B2731">
        <v>2023</v>
      </c>
      <c r="C2731" t="s">
        <v>6</v>
      </c>
      <c r="D2731" t="s">
        <v>7</v>
      </c>
      <c r="E2731" t="s">
        <v>8</v>
      </c>
      <c r="F2731" s="29">
        <v>9047</v>
      </c>
      <c r="G2731" s="9" t="s">
        <v>47</v>
      </c>
      <c r="H2731" s="1">
        <v>7144</v>
      </c>
      <c r="I2731" s="1">
        <v>404360.82944116491</v>
      </c>
      <c r="J2731" s="1">
        <v>411504.82944116491</v>
      </c>
      <c r="K2731">
        <f>VLOOKUP(F2731,'LEAID Match'!$A$2:$C$2979,3,FALSE)</f>
        <v>2000347</v>
      </c>
    </row>
    <row r="2732" spans="1:11" x14ac:dyDescent="0.2">
      <c r="A2732">
        <v>0</v>
      </c>
      <c r="B2732">
        <v>2023</v>
      </c>
      <c r="C2732" t="s">
        <v>6</v>
      </c>
      <c r="D2732" t="s">
        <v>7</v>
      </c>
      <c r="E2732" t="s">
        <v>8</v>
      </c>
      <c r="F2732" s="34">
        <v>9053</v>
      </c>
      <c r="G2732" s="3" t="s">
        <v>48</v>
      </c>
      <c r="H2732" s="1"/>
      <c r="I2732" s="21">
        <v>22800.158673299247</v>
      </c>
      <c r="J2732" s="21">
        <v>22800.158673299247</v>
      </c>
      <c r="K2732">
        <f>VLOOKUP(F2732,'LEAID Match'!$A$2:$C$2979,3,FALSE)</f>
        <v>0</v>
      </c>
    </row>
    <row r="2733" spans="1:11" x14ac:dyDescent="0.2">
      <c r="A2733">
        <v>2000049</v>
      </c>
      <c r="B2733">
        <v>2023</v>
      </c>
      <c r="C2733" t="s">
        <v>6</v>
      </c>
      <c r="D2733" t="s">
        <v>7</v>
      </c>
      <c r="E2733" t="s">
        <v>8</v>
      </c>
      <c r="F2733" s="34">
        <v>9055</v>
      </c>
      <c r="G2733" s="3" t="s">
        <v>49</v>
      </c>
      <c r="H2733" s="1">
        <v>92824</v>
      </c>
      <c r="I2733" s="1">
        <v>451913.16252964619</v>
      </c>
      <c r="J2733" s="1">
        <v>544737.16252964619</v>
      </c>
      <c r="K2733">
        <f>VLOOKUP(F2733,'LEAID Match'!$A$2:$C$2979,3,FALSE)</f>
        <v>2000049</v>
      </c>
    </row>
    <row r="2734" spans="1:11" x14ac:dyDescent="0.2">
      <c r="A2734" t="s">
        <v>371</v>
      </c>
      <c r="B2734">
        <v>2023</v>
      </c>
      <c r="C2734" t="s">
        <v>6</v>
      </c>
      <c r="D2734" t="s">
        <v>7</v>
      </c>
      <c r="E2734" t="s">
        <v>8</v>
      </c>
      <c r="F2734" s="29">
        <v>9056</v>
      </c>
      <c r="G2734" t="s">
        <v>50</v>
      </c>
      <c r="H2734" s="1">
        <v>14218</v>
      </c>
      <c r="I2734" s="1">
        <v>379670.13583675073</v>
      </c>
      <c r="J2734" s="1">
        <v>393888.13583675073</v>
      </c>
      <c r="K2734" t="str">
        <f>VLOOKUP(F2734,'LEAID Match'!$A$2:$C$2979,3,FALSE)</f>
        <v>20D0001</v>
      </c>
    </row>
    <row r="2735" spans="1:11" x14ac:dyDescent="0.2">
      <c r="A2735">
        <v>0</v>
      </c>
      <c r="B2735">
        <v>2023</v>
      </c>
      <c r="C2735" t="s">
        <v>6</v>
      </c>
      <c r="D2735" t="s">
        <v>7</v>
      </c>
      <c r="E2735" t="s">
        <v>8</v>
      </c>
      <c r="F2735" s="29">
        <v>9273</v>
      </c>
      <c r="G2735" t="s">
        <v>51</v>
      </c>
      <c r="H2735" s="1">
        <v>5551</v>
      </c>
      <c r="I2735" s="1">
        <v>760600.62829424476</v>
      </c>
      <c r="J2735" s="1">
        <v>766151.62829424476</v>
      </c>
      <c r="K2735">
        <f>VLOOKUP(F2735,'LEAID Match'!$A$2:$C$2979,3,FALSE)</f>
        <v>0</v>
      </c>
    </row>
    <row r="2736" spans="1:11" x14ac:dyDescent="0.2">
      <c r="A2736">
        <v>2000034</v>
      </c>
      <c r="B2736">
        <v>2023</v>
      </c>
      <c r="C2736" t="s">
        <v>6</v>
      </c>
      <c r="D2736" t="s">
        <v>7</v>
      </c>
      <c r="E2736" t="s">
        <v>8</v>
      </c>
      <c r="F2736" s="29">
        <v>9274</v>
      </c>
      <c r="G2736" t="s">
        <v>52</v>
      </c>
      <c r="H2736" s="1">
        <v>50617</v>
      </c>
      <c r="I2736" s="1">
        <v>2069905.1965304099</v>
      </c>
      <c r="J2736" s="1">
        <v>2120522.1965304101</v>
      </c>
      <c r="K2736">
        <f>VLOOKUP(F2736,'LEAID Match'!$A$2:$C$2979,3,FALSE)</f>
        <v>2000034</v>
      </c>
    </row>
    <row r="2737" spans="1:11" x14ac:dyDescent="0.2">
      <c r="A2737">
        <v>0</v>
      </c>
      <c r="B2737">
        <v>2023</v>
      </c>
      <c r="C2737" t="s">
        <v>6</v>
      </c>
      <c r="D2737" t="s">
        <v>7</v>
      </c>
      <c r="E2737" t="s">
        <v>8</v>
      </c>
      <c r="F2737" s="29">
        <v>9303</v>
      </c>
      <c r="G2737" t="s">
        <v>53</v>
      </c>
      <c r="H2737" s="20">
        <v>10196</v>
      </c>
      <c r="I2737" s="1">
        <v>1437817.9069844391</v>
      </c>
      <c r="J2737" s="1">
        <v>1448013.9069844391</v>
      </c>
      <c r="K2737">
        <f>VLOOKUP(F2737,'LEAID Match'!$A$2:$C$2979,3,FALSE)</f>
        <v>0</v>
      </c>
    </row>
    <row r="2738" spans="1:11" x14ac:dyDescent="0.2">
      <c r="A2738">
        <v>0</v>
      </c>
      <c r="B2738">
        <v>2023</v>
      </c>
      <c r="C2738" t="s">
        <v>6</v>
      </c>
      <c r="D2738" t="s">
        <v>7</v>
      </c>
      <c r="E2738" t="s">
        <v>8</v>
      </c>
      <c r="F2738" s="29">
        <v>9304</v>
      </c>
      <c r="G2738" t="s">
        <v>54</v>
      </c>
      <c r="H2738" s="1"/>
      <c r="I2738" s="1">
        <v>484888.3953850434</v>
      </c>
      <c r="J2738" s="1">
        <v>484888.3953850434</v>
      </c>
      <c r="K2738">
        <f>VLOOKUP(F2738,'LEAID Match'!$A$2:$C$2979,3,FALSE)</f>
        <v>0</v>
      </c>
    </row>
    <row r="2739" spans="1:11" x14ac:dyDescent="0.2">
      <c r="A2739">
        <v>0</v>
      </c>
      <c r="B2739">
        <v>2023</v>
      </c>
      <c r="C2739" t="s">
        <v>6</v>
      </c>
      <c r="D2739" t="s">
        <v>7</v>
      </c>
      <c r="E2739" t="s">
        <v>8</v>
      </c>
      <c r="F2739" s="29">
        <v>9305</v>
      </c>
      <c r="G2739" s="9" t="s">
        <v>55</v>
      </c>
      <c r="H2739" s="1">
        <v>28012</v>
      </c>
      <c r="I2739" s="1">
        <v>562288.12508110178</v>
      </c>
      <c r="J2739" s="1">
        <v>590300.12508110178</v>
      </c>
      <c r="K2739">
        <f>VLOOKUP(F2739,'LEAID Match'!$A$2:$C$2979,3,FALSE)</f>
        <v>0</v>
      </c>
    </row>
    <row r="2740" spans="1:11" x14ac:dyDescent="0.2">
      <c r="A2740">
        <v>0</v>
      </c>
      <c r="B2740">
        <v>2023</v>
      </c>
      <c r="C2740" t="s">
        <v>6</v>
      </c>
      <c r="D2740" t="s">
        <v>7</v>
      </c>
      <c r="E2740" t="s">
        <v>8</v>
      </c>
      <c r="F2740" s="34">
        <v>9395</v>
      </c>
      <c r="G2740" s="3" t="s">
        <v>56</v>
      </c>
      <c r="H2740" s="1"/>
      <c r="I2740" s="21">
        <v>347486.46841999108</v>
      </c>
      <c r="J2740" s="21">
        <v>347486.46841999108</v>
      </c>
      <c r="K2740">
        <f>VLOOKUP(F2740,'LEAID Match'!$A$2:$C$2979,3,FALSE)</f>
        <v>0</v>
      </c>
    </row>
    <row r="2741" spans="1:11" x14ac:dyDescent="0.2">
      <c r="A2741">
        <v>0</v>
      </c>
      <c r="B2741">
        <v>2023</v>
      </c>
      <c r="C2741" t="s">
        <v>6</v>
      </c>
      <c r="D2741" t="s">
        <v>7</v>
      </c>
      <c r="E2741" t="s">
        <v>8</v>
      </c>
      <c r="F2741" s="34">
        <v>9487</v>
      </c>
      <c r="G2741" s="3" t="s">
        <v>57</v>
      </c>
      <c r="H2741" s="1">
        <v>5474</v>
      </c>
      <c r="I2741" s="1">
        <v>35463.668671230524</v>
      </c>
      <c r="J2741" s="1">
        <v>40937.668671230524</v>
      </c>
      <c r="K2741">
        <f>VLOOKUP(F2741,'LEAID Match'!$A$2:$C$2979,3,FALSE)</f>
        <v>0</v>
      </c>
    </row>
    <row r="2742" spans="1:11" x14ac:dyDescent="0.2">
      <c r="A2742">
        <v>2000354</v>
      </c>
      <c r="B2742">
        <v>2023</v>
      </c>
      <c r="C2742" t="s">
        <v>6</v>
      </c>
      <c r="D2742" t="s">
        <v>7</v>
      </c>
      <c r="E2742" t="s">
        <v>8</v>
      </c>
      <c r="F2742" s="29">
        <v>9507</v>
      </c>
      <c r="G2742" t="s">
        <v>58</v>
      </c>
      <c r="H2742" s="1">
        <v>84264</v>
      </c>
      <c r="I2742" s="1">
        <v>1924672.1512937883</v>
      </c>
      <c r="J2742" s="1">
        <v>2008936.1512937883</v>
      </c>
      <c r="K2742">
        <f>VLOOKUP(F2742,'LEAID Match'!$A$2:$C$2979,3,FALSE)</f>
        <v>2000354</v>
      </c>
    </row>
    <row r="2743" spans="1:11" x14ac:dyDescent="0.2">
      <c r="A2743">
        <v>2012360</v>
      </c>
      <c r="B2743">
        <v>2023</v>
      </c>
      <c r="C2743" t="s">
        <v>6</v>
      </c>
      <c r="D2743" t="s">
        <v>7</v>
      </c>
      <c r="E2743" t="s">
        <v>8</v>
      </c>
      <c r="F2743" s="29">
        <v>4828</v>
      </c>
      <c r="G2743" t="s">
        <v>59</v>
      </c>
      <c r="H2743" s="1">
        <v>4053735</v>
      </c>
      <c r="I2743" s="1">
        <v>0</v>
      </c>
      <c r="J2743" s="1">
        <v>4053735</v>
      </c>
      <c r="K2743">
        <f>VLOOKUP(F2743,'LEAID Match'!$A$2:$C$2979,3,FALSE)</f>
        <v>2012360</v>
      </c>
    </row>
    <row r="2744" spans="1:11" x14ac:dyDescent="0.2">
      <c r="A2744">
        <v>2010680</v>
      </c>
      <c r="B2744">
        <v>2023</v>
      </c>
      <c r="C2744" t="s">
        <v>6</v>
      </c>
      <c r="D2744" t="s">
        <v>7</v>
      </c>
      <c r="E2744" t="s">
        <v>8</v>
      </c>
      <c r="F2744" s="29">
        <v>4829</v>
      </c>
      <c r="G2744" t="s">
        <v>60</v>
      </c>
      <c r="H2744" s="1">
        <v>2246981</v>
      </c>
      <c r="I2744" s="1">
        <v>0</v>
      </c>
      <c r="J2744" s="1">
        <v>2246981</v>
      </c>
      <c r="K2744">
        <f>VLOOKUP(F2744,'LEAID Match'!$A$2:$C$2979,3,FALSE)</f>
        <v>2010680</v>
      </c>
    </row>
    <row r="2745" spans="1:11" x14ac:dyDescent="0.2">
      <c r="A2745">
        <v>2008550</v>
      </c>
      <c r="B2745">
        <v>2023</v>
      </c>
      <c r="C2745" t="s">
        <v>6</v>
      </c>
      <c r="D2745" t="s">
        <v>7</v>
      </c>
      <c r="E2745" t="s">
        <v>8</v>
      </c>
      <c r="F2745" s="29">
        <v>4871</v>
      </c>
      <c r="G2745" t="s">
        <v>61</v>
      </c>
      <c r="H2745" s="20">
        <v>528579</v>
      </c>
      <c r="I2745" s="1">
        <v>0</v>
      </c>
      <c r="J2745" s="1">
        <v>528579</v>
      </c>
      <c r="K2745">
        <f>VLOOKUP(F2745,'LEAID Match'!$A$2:$C$2979,3,FALSE)</f>
        <v>2008550</v>
      </c>
    </row>
    <row r="2746" spans="1:11" x14ac:dyDescent="0.2">
      <c r="A2746">
        <v>2004050</v>
      </c>
      <c r="B2746">
        <v>2023</v>
      </c>
      <c r="C2746" t="s">
        <v>6</v>
      </c>
      <c r="D2746" t="s">
        <v>7</v>
      </c>
      <c r="E2746" t="s">
        <v>8</v>
      </c>
      <c r="F2746" s="29">
        <v>4882</v>
      </c>
      <c r="G2746" t="s">
        <v>62</v>
      </c>
      <c r="H2746" s="1">
        <v>2819319</v>
      </c>
      <c r="I2746" s="1">
        <v>0</v>
      </c>
      <c r="J2746" s="1">
        <v>2819319</v>
      </c>
      <c r="K2746">
        <f>VLOOKUP(F2746,'LEAID Match'!$A$2:$C$2979,3,FALSE)</f>
        <v>2004050</v>
      </c>
    </row>
    <row r="2747" spans="1:11" x14ac:dyDescent="0.2">
      <c r="A2747">
        <v>2006240</v>
      </c>
      <c r="B2747">
        <v>2023</v>
      </c>
      <c r="C2747" t="s">
        <v>6</v>
      </c>
      <c r="D2747" t="s">
        <v>7</v>
      </c>
      <c r="E2747" t="s">
        <v>8</v>
      </c>
      <c r="F2747" s="29">
        <v>4912</v>
      </c>
      <c r="G2747" s="9" t="s">
        <v>63</v>
      </c>
      <c r="H2747" s="1">
        <v>485997</v>
      </c>
      <c r="I2747" s="1">
        <v>0</v>
      </c>
      <c r="J2747" s="1">
        <v>485997</v>
      </c>
      <c r="K2747">
        <f>VLOOKUP(F2747,'LEAID Match'!$A$2:$C$2979,3,FALSE)</f>
        <v>2006240</v>
      </c>
    </row>
    <row r="2748" spans="1:11" x14ac:dyDescent="0.2">
      <c r="A2748">
        <v>2009720</v>
      </c>
      <c r="B2748">
        <v>2023</v>
      </c>
      <c r="C2748" t="s">
        <v>6</v>
      </c>
      <c r="D2748" t="s">
        <v>7</v>
      </c>
      <c r="E2748" t="s">
        <v>8</v>
      </c>
      <c r="F2748" s="34">
        <v>4977</v>
      </c>
      <c r="G2748" s="3" t="s">
        <v>64</v>
      </c>
      <c r="H2748" s="1">
        <v>203499</v>
      </c>
      <c r="I2748" s="21">
        <v>0</v>
      </c>
      <c r="J2748" s="21">
        <v>203499</v>
      </c>
      <c r="K2748">
        <f>VLOOKUP(F2748,'LEAID Match'!$A$2:$C$2979,3,FALSE)</f>
        <v>2009720</v>
      </c>
    </row>
    <row r="2749" spans="1:11" x14ac:dyDescent="0.2">
      <c r="A2749">
        <v>2010140</v>
      </c>
      <c r="B2749">
        <v>2023</v>
      </c>
      <c r="C2749" t="s">
        <v>6</v>
      </c>
      <c r="D2749" t="s">
        <v>7</v>
      </c>
      <c r="E2749" t="s">
        <v>8</v>
      </c>
      <c r="F2749" s="34">
        <v>4978</v>
      </c>
      <c r="G2749" s="3" t="s">
        <v>65</v>
      </c>
      <c r="H2749" s="1">
        <v>29701427</v>
      </c>
      <c r="I2749" s="1">
        <v>0</v>
      </c>
      <c r="J2749" s="1">
        <v>29701427</v>
      </c>
      <c r="K2749">
        <f>VLOOKUP(F2749,'LEAID Match'!$A$2:$C$2979,3,FALSE)</f>
        <v>2010140</v>
      </c>
    </row>
    <row r="2750" spans="1:11" x14ac:dyDescent="0.2">
      <c r="A2750">
        <v>2012900</v>
      </c>
      <c r="B2750">
        <v>2023</v>
      </c>
      <c r="C2750" t="s">
        <v>6</v>
      </c>
      <c r="D2750" t="s">
        <v>7</v>
      </c>
      <c r="E2750" t="s">
        <v>8</v>
      </c>
      <c r="F2750" s="29">
        <v>4979</v>
      </c>
      <c r="G2750" t="s">
        <v>66</v>
      </c>
      <c r="H2750" s="1">
        <v>102980</v>
      </c>
      <c r="I2750" s="1">
        <v>0</v>
      </c>
      <c r="J2750" s="1">
        <v>102980</v>
      </c>
      <c r="K2750">
        <f>VLOOKUP(F2750,'LEAID Match'!$A$2:$C$2979,3,FALSE)</f>
        <v>2012900</v>
      </c>
    </row>
    <row r="2751" spans="1:11" x14ac:dyDescent="0.2">
      <c r="A2751">
        <v>2010710</v>
      </c>
      <c r="B2751">
        <v>2023</v>
      </c>
      <c r="C2751" t="s">
        <v>6</v>
      </c>
      <c r="D2751" t="s">
        <v>7</v>
      </c>
      <c r="E2751" t="s">
        <v>8</v>
      </c>
      <c r="F2751" s="29">
        <v>4980</v>
      </c>
      <c r="G2751" t="s">
        <v>67</v>
      </c>
      <c r="H2751" s="1">
        <v>2724769</v>
      </c>
      <c r="I2751" s="1">
        <v>0</v>
      </c>
      <c r="J2751" s="1">
        <v>2724769</v>
      </c>
      <c r="K2751">
        <f>VLOOKUP(F2751,'LEAID Match'!$A$2:$C$2979,3,FALSE)</f>
        <v>2010710</v>
      </c>
    </row>
    <row r="2752" spans="1:11" x14ac:dyDescent="0.2">
      <c r="A2752">
        <v>2005940</v>
      </c>
      <c r="B2752">
        <v>2023</v>
      </c>
      <c r="C2752" t="s">
        <v>6</v>
      </c>
      <c r="D2752" t="s">
        <v>7</v>
      </c>
      <c r="E2752" t="s">
        <v>8</v>
      </c>
      <c r="F2752" s="29">
        <v>4981</v>
      </c>
      <c r="G2752" t="s">
        <v>68</v>
      </c>
      <c r="H2752" s="1">
        <v>4927937</v>
      </c>
      <c r="I2752" s="1">
        <v>0</v>
      </c>
      <c r="J2752" s="1">
        <v>4927937</v>
      </c>
      <c r="K2752">
        <f>VLOOKUP(F2752,'LEAID Match'!$A$2:$C$2979,3,FALSE)</f>
        <v>2005940</v>
      </c>
    </row>
    <row r="2753" spans="1:11" x14ac:dyDescent="0.2">
      <c r="A2753">
        <v>2012990</v>
      </c>
      <c r="B2753">
        <v>2023</v>
      </c>
      <c r="C2753" t="s">
        <v>6</v>
      </c>
      <c r="D2753" t="s">
        <v>7</v>
      </c>
      <c r="E2753" t="s">
        <v>8</v>
      </c>
      <c r="F2753" s="29">
        <v>4982</v>
      </c>
      <c r="G2753" t="s">
        <v>69</v>
      </c>
      <c r="H2753" s="20">
        <v>54571125</v>
      </c>
      <c r="I2753" s="1">
        <v>0</v>
      </c>
      <c r="J2753" s="1">
        <v>54571125</v>
      </c>
      <c r="K2753">
        <f>VLOOKUP(F2753,'LEAID Match'!$A$2:$C$2979,3,FALSE)</f>
        <v>2012990</v>
      </c>
    </row>
    <row r="2754" spans="1:11" x14ac:dyDescent="0.2">
      <c r="A2754">
        <v>2005460</v>
      </c>
      <c r="B2754">
        <v>2023</v>
      </c>
      <c r="C2754" t="s">
        <v>6</v>
      </c>
      <c r="D2754" t="s">
        <v>7</v>
      </c>
      <c r="E2754" t="s">
        <v>8</v>
      </c>
      <c r="F2754" s="29">
        <v>4983</v>
      </c>
      <c r="G2754" t="s">
        <v>70</v>
      </c>
      <c r="H2754" s="1">
        <v>6745803</v>
      </c>
      <c r="I2754" s="1">
        <v>0</v>
      </c>
      <c r="J2754" s="1">
        <v>6745803</v>
      </c>
      <c r="K2754">
        <f>VLOOKUP(F2754,'LEAID Match'!$A$2:$C$2979,3,FALSE)</f>
        <v>2005460</v>
      </c>
    </row>
    <row r="2755" spans="1:11" x14ac:dyDescent="0.2">
      <c r="A2755">
        <v>2012510</v>
      </c>
      <c r="B2755">
        <v>2023</v>
      </c>
      <c r="C2755" t="s">
        <v>6</v>
      </c>
      <c r="D2755" t="s">
        <v>7</v>
      </c>
      <c r="E2755" t="s">
        <v>8</v>
      </c>
      <c r="F2755" s="29">
        <v>4984</v>
      </c>
      <c r="G2755" s="9" t="s">
        <v>71</v>
      </c>
      <c r="H2755" s="1">
        <v>3299848</v>
      </c>
      <c r="I2755" s="1">
        <v>0</v>
      </c>
      <c r="J2755" s="1">
        <v>3299848</v>
      </c>
      <c r="K2755">
        <f>VLOOKUP(F2755,'LEAID Match'!$A$2:$C$2979,3,FALSE)</f>
        <v>2012510</v>
      </c>
    </row>
    <row r="2756" spans="1:11" x14ac:dyDescent="0.2">
      <c r="A2756">
        <v>2006540</v>
      </c>
      <c r="B2756">
        <v>2023</v>
      </c>
      <c r="C2756" t="s">
        <v>6</v>
      </c>
      <c r="D2756" t="s">
        <v>7</v>
      </c>
      <c r="E2756" t="s">
        <v>8</v>
      </c>
      <c r="F2756" s="34">
        <v>4985</v>
      </c>
      <c r="G2756" s="3" t="s">
        <v>72</v>
      </c>
      <c r="H2756" s="1">
        <v>6771271</v>
      </c>
      <c r="I2756" s="21">
        <v>0</v>
      </c>
      <c r="J2756" s="21">
        <v>6771271</v>
      </c>
      <c r="K2756">
        <f>VLOOKUP(F2756,'LEAID Match'!$A$2:$C$2979,3,FALSE)</f>
        <v>2006540</v>
      </c>
    </row>
    <row r="2757" spans="1:11" x14ac:dyDescent="0.2">
      <c r="A2757">
        <v>2009140</v>
      </c>
      <c r="B2757">
        <v>2023</v>
      </c>
      <c r="C2757" t="s">
        <v>6</v>
      </c>
      <c r="D2757" t="s">
        <v>7</v>
      </c>
      <c r="E2757" t="s">
        <v>8</v>
      </c>
      <c r="F2757" s="34">
        <v>4986</v>
      </c>
      <c r="G2757" s="3" t="s">
        <v>73</v>
      </c>
      <c r="H2757" s="1">
        <v>8791813</v>
      </c>
      <c r="I2757" s="1">
        <v>0</v>
      </c>
      <c r="J2757" s="1">
        <v>8791813</v>
      </c>
      <c r="K2757">
        <f>VLOOKUP(F2757,'LEAID Match'!$A$2:$C$2979,3,FALSE)</f>
        <v>2009140</v>
      </c>
    </row>
    <row r="2758" spans="1:11" x14ac:dyDescent="0.2">
      <c r="A2758">
        <v>2004670</v>
      </c>
      <c r="B2758">
        <v>2023</v>
      </c>
      <c r="C2758" t="s">
        <v>6</v>
      </c>
      <c r="D2758" t="s">
        <v>7</v>
      </c>
      <c r="E2758" t="s">
        <v>8</v>
      </c>
      <c r="F2758" s="29">
        <v>4987</v>
      </c>
      <c r="G2758" t="s">
        <v>74</v>
      </c>
      <c r="H2758" s="1">
        <v>709889</v>
      </c>
      <c r="I2758" s="1">
        <v>0</v>
      </c>
      <c r="J2758" s="1">
        <v>709889</v>
      </c>
      <c r="K2758">
        <f>VLOOKUP(F2758,'LEAID Match'!$A$2:$C$2979,3,FALSE)</f>
        <v>2004670</v>
      </c>
    </row>
    <row r="2759" spans="1:11" x14ac:dyDescent="0.2">
      <c r="A2759">
        <v>2000015</v>
      </c>
      <c r="B2759">
        <v>2023</v>
      </c>
      <c r="C2759" t="s">
        <v>6</v>
      </c>
      <c r="D2759" t="s">
        <v>7</v>
      </c>
      <c r="E2759" t="s">
        <v>8</v>
      </c>
      <c r="F2759" s="29">
        <v>4988</v>
      </c>
      <c r="G2759" t="s">
        <v>75</v>
      </c>
      <c r="H2759" s="1">
        <v>2535874</v>
      </c>
      <c r="I2759" s="1">
        <v>0</v>
      </c>
      <c r="J2759" s="1">
        <v>2535874</v>
      </c>
      <c r="K2759">
        <f>VLOOKUP(F2759,'LEAID Match'!$A$2:$C$2979,3,FALSE)</f>
        <v>2000015</v>
      </c>
    </row>
    <row r="2760" spans="1:11" x14ac:dyDescent="0.2">
      <c r="A2760">
        <v>2004080</v>
      </c>
      <c r="B2760">
        <v>2023</v>
      </c>
      <c r="C2760" t="s">
        <v>6</v>
      </c>
      <c r="D2760" t="s">
        <v>7</v>
      </c>
      <c r="E2760" t="s">
        <v>8</v>
      </c>
      <c r="F2760" s="29">
        <v>4990</v>
      </c>
      <c r="G2760" t="s">
        <v>76</v>
      </c>
      <c r="H2760" s="1">
        <v>167394</v>
      </c>
      <c r="I2760" s="1">
        <v>0</v>
      </c>
      <c r="J2760" s="1">
        <v>167394</v>
      </c>
      <c r="K2760">
        <f>VLOOKUP(F2760,'LEAID Match'!$A$2:$C$2979,3,FALSE)</f>
        <v>2004080</v>
      </c>
    </row>
    <row r="2761" spans="1:11" x14ac:dyDescent="0.2">
      <c r="A2761">
        <v>2003720</v>
      </c>
      <c r="B2761">
        <v>2023</v>
      </c>
      <c r="C2761" t="s">
        <v>6</v>
      </c>
      <c r="D2761" t="s">
        <v>7</v>
      </c>
      <c r="E2761" t="s">
        <v>8</v>
      </c>
      <c r="F2761" s="29">
        <v>4991</v>
      </c>
      <c r="G2761" t="s">
        <v>77</v>
      </c>
      <c r="H2761" s="20">
        <v>1025018</v>
      </c>
      <c r="I2761" s="1">
        <v>0</v>
      </c>
      <c r="J2761" s="1">
        <v>1025018</v>
      </c>
      <c r="K2761">
        <f>VLOOKUP(F2761,'LEAID Match'!$A$2:$C$2979,3,FALSE)</f>
        <v>2003720</v>
      </c>
    </row>
    <row r="2762" spans="1:11" x14ac:dyDescent="0.2">
      <c r="A2762">
        <v>2011970</v>
      </c>
      <c r="B2762">
        <v>2023</v>
      </c>
      <c r="C2762" t="s">
        <v>6</v>
      </c>
      <c r="D2762" t="s">
        <v>7</v>
      </c>
      <c r="E2762" t="s">
        <v>8</v>
      </c>
      <c r="F2762" s="29">
        <v>4992</v>
      </c>
      <c r="G2762" t="s">
        <v>78</v>
      </c>
      <c r="H2762" s="1">
        <v>325715</v>
      </c>
      <c r="I2762" s="1">
        <v>0</v>
      </c>
      <c r="J2762" s="1">
        <v>325715</v>
      </c>
      <c r="K2762">
        <f>VLOOKUP(F2762,'LEAID Match'!$A$2:$C$2979,3,FALSE)</f>
        <v>2011970</v>
      </c>
    </row>
    <row r="2763" spans="1:11" x14ac:dyDescent="0.2">
      <c r="A2763">
        <v>2006580</v>
      </c>
      <c r="B2763">
        <v>2023</v>
      </c>
      <c r="C2763" t="s">
        <v>6</v>
      </c>
      <c r="D2763" t="s">
        <v>7</v>
      </c>
      <c r="E2763" t="s">
        <v>8</v>
      </c>
      <c r="F2763" s="29">
        <v>4993</v>
      </c>
      <c r="G2763" s="9" t="s">
        <v>79</v>
      </c>
      <c r="H2763" s="1">
        <v>794621</v>
      </c>
      <c r="I2763" s="1">
        <v>0</v>
      </c>
      <c r="J2763" s="1">
        <v>794621</v>
      </c>
      <c r="K2763">
        <f>VLOOKUP(F2763,'LEAID Match'!$A$2:$C$2979,3,FALSE)</f>
        <v>2006580</v>
      </c>
    </row>
    <row r="2764" spans="1:11" x14ac:dyDescent="0.2">
      <c r="A2764">
        <v>2003430</v>
      </c>
      <c r="B2764">
        <v>2023</v>
      </c>
      <c r="C2764" t="s">
        <v>6</v>
      </c>
      <c r="D2764" t="s">
        <v>7</v>
      </c>
      <c r="E2764" t="s">
        <v>8</v>
      </c>
      <c r="F2764" s="34">
        <v>4994</v>
      </c>
      <c r="G2764" s="3" t="s">
        <v>80</v>
      </c>
      <c r="H2764" s="22">
        <v>198467</v>
      </c>
      <c r="I2764" s="1">
        <v>0</v>
      </c>
      <c r="J2764" s="1">
        <v>198467</v>
      </c>
      <c r="K2764">
        <f>VLOOKUP(F2764,'LEAID Match'!$A$2:$C$2979,3,FALSE)</f>
        <v>2003430</v>
      </c>
    </row>
    <row r="2765" spans="1:11" x14ac:dyDescent="0.2">
      <c r="A2765">
        <v>2007350</v>
      </c>
      <c r="B2765">
        <v>2023</v>
      </c>
      <c r="C2765" t="s">
        <v>6</v>
      </c>
      <c r="D2765" t="s">
        <v>7</v>
      </c>
      <c r="E2765" t="s">
        <v>8</v>
      </c>
      <c r="F2765" s="34">
        <v>4995</v>
      </c>
      <c r="G2765" s="3" t="s">
        <v>81</v>
      </c>
      <c r="H2765" s="1">
        <v>945490</v>
      </c>
      <c r="I2765" s="21">
        <v>0</v>
      </c>
      <c r="J2765" s="21">
        <v>945490</v>
      </c>
      <c r="K2765">
        <f>VLOOKUP(F2765,'LEAID Match'!$A$2:$C$2979,3,FALSE)</f>
        <v>2007350</v>
      </c>
    </row>
    <row r="2766" spans="1:11" x14ac:dyDescent="0.2">
      <c r="A2766">
        <v>2009630</v>
      </c>
      <c r="B2766">
        <v>2023</v>
      </c>
      <c r="C2766" t="s">
        <v>6</v>
      </c>
      <c r="D2766" t="s">
        <v>7</v>
      </c>
      <c r="E2766" t="s">
        <v>8</v>
      </c>
      <c r="F2766" s="34">
        <v>4996</v>
      </c>
      <c r="G2766" s="3" t="s">
        <v>82</v>
      </c>
      <c r="H2766" s="1">
        <v>249704</v>
      </c>
      <c r="I2766" s="1">
        <v>0</v>
      </c>
      <c r="J2766" s="1">
        <v>249704</v>
      </c>
      <c r="K2766">
        <f>VLOOKUP(F2766,'LEAID Match'!$A$2:$C$2979,3,FALSE)</f>
        <v>2009630</v>
      </c>
    </row>
    <row r="2767" spans="1:11" x14ac:dyDescent="0.2">
      <c r="A2767">
        <v>2009960</v>
      </c>
      <c r="B2767">
        <v>2023</v>
      </c>
      <c r="C2767" t="s">
        <v>6</v>
      </c>
      <c r="D2767" t="s">
        <v>7</v>
      </c>
      <c r="E2767" t="s">
        <v>8</v>
      </c>
      <c r="F2767" s="29">
        <v>4997</v>
      </c>
      <c r="G2767" t="s">
        <v>83</v>
      </c>
      <c r="H2767" s="1">
        <v>3694115</v>
      </c>
      <c r="I2767" s="1">
        <v>0</v>
      </c>
      <c r="J2767" s="1">
        <v>3694115</v>
      </c>
      <c r="K2767">
        <f>VLOOKUP(F2767,'LEAID Match'!$A$2:$C$2979,3,FALSE)</f>
        <v>2009960</v>
      </c>
    </row>
    <row r="2768" spans="1:11" x14ac:dyDescent="0.2">
      <c r="A2768">
        <v>2012030</v>
      </c>
      <c r="B2768">
        <v>2023</v>
      </c>
      <c r="C2768" t="s">
        <v>6</v>
      </c>
      <c r="D2768" t="s">
        <v>7</v>
      </c>
      <c r="E2768" t="s">
        <v>8</v>
      </c>
      <c r="F2768" s="29">
        <v>4998</v>
      </c>
      <c r="G2768" t="s">
        <v>84</v>
      </c>
      <c r="H2768" s="1">
        <v>435858</v>
      </c>
      <c r="I2768" s="1">
        <v>0</v>
      </c>
      <c r="J2768" s="1">
        <v>435858</v>
      </c>
      <c r="K2768">
        <f>VLOOKUP(F2768,'LEAID Match'!$A$2:$C$2979,3,FALSE)</f>
        <v>2012030</v>
      </c>
    </row>
    <row r="2769" spans="1:11" x14ac:dyDescent="0.2">
      <c r="A2769">
        <v>2009180</v>
      </c>
      <c r="B2769">
        <v>2023</v>
      </c>
      <c r="C2769" t="s">
        <v>6</v>
      </c>
      <c r="D2769" t="s">
        <v>7</v>
      </c>
      <c r="E2769" t="s">
        <v>8</v>
      </c>
      <c r="F2769" s="29">
        <v>4999</v>
      </c>
      <c r="G2769" t="s">
        <v>85</v>
      </c>
      <c r="H2769" s="1">
        <v>7512087</v>
      </c>
      <c r="I2769" s="1">
        <v>0</v>
      </c>
      <c r="J2769" s="1">
        <v>7512087</v>
      </c>
      <c r="K2769">
        <f>VLOOKUP(F2769,'LEAID Match'!$A$2:$C$2979,3,FALSE)</f>
        <v>2009180</v>
      </c>
    </row>
    <row r="2770" spans="1:11" x14ac:dyDescent="0.2">
      <c r="A2770">
        <v>2003360</v>
      </c>
      <c r="B2770">
        <v>2023</v>
      </c>
      <c r="C2770" t="s">
        <v>6</v>
      </c>
      <c r="D2770" t="s">
        <v>7</v>
      </c>
      <c r="E2770" t="s">
        <v>8</v>
      </c>
      <c r="F2770" s="29">
        <v>5000</v>
      </c>
      <c r="G2770" t="s">
        <v>86</v>
      </c>
      <c r="H2770" s="20">
        <v>4519903</v>
      </c>
      <c r="I2770" s="1">
        <v>0</v>
      </c>
      <c r="J2770" s="1">
        <v>4519903</v>
      </c>
      <c r="K2770">
        <f>VLOOKUP(F2770,'LEAID Match'!$A$2:$C$2979,3,FALSE)</f>
        <v>2003360</v>
      </c>
    </row>
    <row r="2771" spans="1:11" x14ac:dyDescent="0.2">
      <c r="A2771">
        <v>2009090</v>
      </c>
      <c r="B2771">
        <v>2023</v>
      </c>
      <c r="C2771" t="s">
        <v>6</v>
      </c>
      <c r="D2771" t="s">
        <v>7</v>
      </c>
      <c r="E2771" t="s">
        <v>8</v>
      </c>
      <c r="F2771" s="29">
        <v>5001</v>
      </c>
      <c r="G2771" t="s">
        <v>87</v>
      </c>
      <c r="H2771" s="1">
        <v>264831</v>
      </c>
      <c r="I2771" s="1">
        <v>0</v>
      </c>
      <c r="J2771" s="1">
        <v>264831</v>
      </c>
      <c r="K2771">
        <f>VLOOKUP(F2771,'LEAID Match'!$A$2:$C$2979,3,FALSE)</f>
        <v>2009090</v>
      </c>
    </row>
    <row r="2772" spans="1:11" x14ac:dyDescent="0.2">
      <c r="A2772">
        <v>2006870</v>
      </c>
      <c r="B2772">
        <v>2023</v>
      </c>
      <c r="C2772" t="s">
        <v>6</v>
      </c>
      <c r="D2772" t="s">
        <v>7</v>
      </c>
      <c r="E2772" t="s">
        <v>8</v>
      </c>
      <c r="F2772" s="29">
        <v>5002</v>
      </c>
      <c r="G2772" s="9" t="s">
        <v>88</v>
      </c>
      <c r="H2772" s="1">
        <v>106164</v>
      </c>
      <c r="I2772" s="1">
        <v>0</v>
      </c>
      <c r="J2772" s="1">
        <v>106164</v>
      </c>
      <c r="K2772">
        <f>VLOOKUP(F2772,'LEAID Match'!$A$2:$C$2979,3,FALSE)</f>
        <v>2006870</v>
      </c>
    </row>
    <row r="2773" spans="1:11" x14ac:dyDescent="0.2">
      <c r="A2773">
        <v>2011250</v>
      </c>
      <c r="B2773">
        <v>2023</v>
      </c>
      <c r="C2773" t="s">
        <v>6</v>
      </c>
      <c r="D2773" t="s">
        <v>7</v>
      </c>
      <c r="E2773" t="s">
        <v>8</v>
      </c>
      <c r="F2773" s="34">
        <v>5004</v>
      </c>
      <c r="G2773" s="3" t="s">
        <v>89</v>
      </c>
      <c r="H2773" s="1">
        <v>1407230</v>
      </c>
      <c r="I2773" s="21">
        <v>0</v>
      </c>
      <c r="J2773" s="21">
        <v>1407230</v>
      </c>
      <c r="K2773">
        <f>VLOOKUP(F2773,'LEAID Match'!$A$2:$C$2979,3,FALSE)</f>
        <v>2011250</v>
      </c>
    </row>
    <row r="2774" spans="1:11" x14ac:dyDescent="0.2">
      <c r="A2774">
        <v>2005610</v>
      </c>
      <c r="B2774">
        <v>2023</v>
      </c>
      <c r="C2774" t="s">
        <v>6</v>
      </c>
      <c r="D2774" t="s">
        <v>7</v>
      </c>
      <c r="E2774" t="s">
        <v>8</v>
      </c>
      <c r="F2774" s="34">
        <v>5005</v>
      </c>
      <c r="G2774" s="3" t="s">
        <v>90</v>
      </c>
      <c r="H2774" s="1">
        <v>618952</v>
      </c>
      <c r="I2774" s="1">
        <v>0</v>
      </c>
      <c r="J2774" s="1">
        <v>618952</v>
      </c>
      <c r="K2774">
        <f>VLOOKUP(F2774,'LEAID Match'!$A$2:$C$2979,3,FALSE)</f>
        <v>2005610</v>
      </c>
    </row>
    <row r="2775" spans="1:11" x14ac:dyDescent="0.2">
      <c r="A2775">
        <v>2010590</v>
      </c>
      <c r="B2775">
        <v>2023</v>
      </c>
      <c r="C2775" t="s">
        <v>6</v>
      </c>
      <c r="D2775" t="s">
        <v>7</v>
      </c>
      <c r="E2775" t="s">
        <v>8</v>
      </c>
      <c r="F2775" s="29">
        <v>5006</v>
      </c>
      <c r="G2775" t="s">
        <v>91</v>
      </c>
      <c r="H2775" s="1">
        <v>230834</v>
      </c>
      <c r="I2775" s="1">
        <v>0</v>
      </c>
      <c r="J2775" s="1">
        <v>230834</v>
      </c>
      <c r="K2775">
        <f>VLOOKUP(F2775,'LEAID Match'!$A$2:$C$2979,3,FALSE)</f>
        <v>2010590</v>
      </c>
    </row>
    <row r="2776" spans="1:11" x14ac:dyDescent="0.2">
      <c r="A2776">
        <v>2011130</v>
      </c>
      <c r="B2776">
        <v>2023</v>
      </c>
      <c r="C2776" t="s">
        <v>6</v>
      </c>
      <c r="D2776" t="s">
        <v>7</v>
      </c>
      <c r="E2776" t="s">
        <v>8</v>
      </c>
      <c r="F2776" s="29">
        <v>5008</v>
      </c>
      <c r="G2776" t="s">
        <v>92</v>
      </c>
      <c r="H2776" s="1">
        <v>706292</v>
      </c>
      <c r="I2776" s="1">
        <v>0</v>
      </c>
      <c r="J2776" s="1">
        <v>706292</v>
      </c>
      <c r="K2776">
        <f>VLOOKUP(F2776,'LEAID Match'!$A$2:$C$2979,3,FALSE)</f>
        <v>2011130</v>
      </c>
    </row>
    <row r="2777" spans="1:11" x14ac:dyDescent="0.2">
      <c r="A2777">
        <v>2003540</v>
      </c>
      <c r="B2777">
        <v>2023</v>
      </c>
      <c r="C2777" t="s">
        <v>6</v>
      </c>
      <c r="D2777" t="s">
        <v>7</v>
      </c>
      <c r="E2777" t="s">
        <v>8</v>
      </c>
      <c r="F2777" s="29">
        <v>5010</v>
      </c>
      <c r="G2777" t="s">
        <v>93</v>
      </c>
      <c r="H2777" s="1">
        <v>1646501</v>
      </c>
      <c r="I2777" s="1">
        <v>0</v>
      </c>
      <c r="J2777" s="1">
        <v>1646501</v>
      </c>
      <c r="K2777">
        <f>VLOOKUP(F2777,'LEAID Match'!$A$2:$C$2979,3,FALSE)</f>
        <v>2003540</v>
      </c>
    </row>
    <row r="2778" spans="1:11" x14ac:dyDescent="0.2">
      <c r="A2778">
        <v>2010230</v>
      </c>
      <c r="B2778">
        <v>2023</v>
      </c>
      <c r="C2778" t="s">
        <v>6</v>
      </c>
      <c r="D2778" t="s">
        <v>7</v>
      </c>
      <c r="E2778" t="s">
        <v>8</v>
      </c>
      <c r="F2778" s="29">
        <v>5011</v>
      </c>
      <c r="G2778" t="s">
        <v>94</v>
      </c>
      <c r="H2778" s="20">
        <v>612739</v>
      </c>
      <c r="I2778" s="1">
        <v>0</v>
      </c>
      <c r="J2778" s="1">
        <v>612739</v>
      </c>
      <c r="K2778">
        <f>VLOOKUP(F2778,'LEAID Match'!$A$2:$C$2979,3,FALSE)</f>
        <v>2010230</v>
      </c>
    </row>
    <row r="2779" spans="1:11" x14ac:dyDescent="0.2">
      <c r="A2779">
        <v>2009000</v>
      </c>
      <c r="B2779">
        <v>2023</v>
      </c>
      <c r="C2779" t="s">
        <v>6</v>
      </c>
      <c r="D2779" t="s">
        <v>7</v>
      </c>
      <c r="E2779" t="s">
        <v>8</v>
      </c>
      <c r="F2779" s="29">
        <v>5012</v>
      </c>
      <c r="G2779" t="s">
        <v>95</v>
      </c>
      <c r="H2779" s="1">
        <v>401009</v>
      </c>
      <c r="I2779" s="1">
        <v>0</v>
      </c>
      <c r="J2779" s="1">
        <v>401009</v>
      </c>
      <c r="K2779">
        <f>VLOOKUP(F2779,'LEAID Match'!$A$2:$C$2979,3,FALSE)</f>
        <v>2009000</v>
      </c>
    </row>
    <row r="2780" spans="1:11" x14ac:dyDescent="0.2">
      <c r="A2780">
        <v>2005580</v>
      </c>
      <c r="B2780">
        <v>2023</v>
      </c>
      <c r="C2780" t="s">
        <v>6</v>
      </c>
      <c r="D2780" t="s">
        <v>7</v>
      </c>
      <c r="E2780" t="s">
        <v>8</v>
      </c>
      <c r="F2780" s="29">
        <v>5013</v>
      </c>
      <c r="G2780" s="9" t="s">
        <v>96</v>
      </c>
      <c r="H2780" s="1">
        <v>7658423</v>
      </c>
      <c r="I2780" s="1">
        <v>0</v>
      </c>
      <c r="J2780" s="1">
        <v>7658423</v>
      </c>
      <c r="K2780">
        <f>VLOOKUP(F2780,'LEAID Match'!$A$2:$C$2979,3,FALSE)</f>
        <v>2005580</v>
      </c>
    </row>
    <row r="2781" spans="1:11" x14ac:dyDescent="0.2">
      <c r="A2781">
        <v>2007650</v>
      </c>
      <c r="B2781">
        <v>2023</v>
      </c>
      <c r="C2781" t="s">
        <v>6</v>
      </c>
      <c r="D2781" t="s">
        <v>7</v>
      </c>
      <c r="E2781" t="s">
        <v>8</v>
      </c>
      <c r="F2781" s="34">
        <v>5014</v>
      </c>
      <c r="G2781" s="3" t="s">
        <v>97</v>
      </c>
      <c r="H2781" s="1">
        <v>1658615</v>
      </c>
      <c r="I2781" s="21">
        <v>0</v>
      </c>
      <c r="J2781" s="21">
        <v>1658615</v>
      </c>
      <c r="K2781">
        <f>VLOOKUP(F2781,'LEAID Match'!$A$2:$C$2979,3,FALSE)</f>
        <v>2007650</v>
      </c>
    </row>
    <row r="2782" spans="1:11" x14ac:dyDescent="0.2">
      <c r="A2782">
        <v>2007710</v>
      </c>
      <c r="B2782">
        <v>2023</v>
      </c>
      <c r="C2782" t="s">
        <v>6</v>
      </c>
      <c r="D2782" t="s">
        <v>7</v>
      </c>
      <c r="E2782" t="s">
        <v>8</v>
      </c>
      <c r="F2782" s="34">
        <v>5015</v>
      </c>
      <c r="G2782" s="3" t="s">
        <v>98</v>
      </c>
      <c r="H2782" s="1">
        <v>421646</v>
      </c>
      <c r="I2782" s="1">
        <v>0</v>
      </c>
      <c r="J2782" s="1">
        <v>421646</v>
      </c>
      <c r="K2782">
        <f>VLOOKUP(F2782,'LEAID Match'!$A$2:$C$2979,3,FALSE)</f>
        <v>2007710</v>
      </c>
    </row>
    <row r="2783" spans="1:11" x14ac:dyDescent="0.2">
      <c r="A2783">
        <v>2005640</v>
      </c>
      <c r="B2783">
        <v>2023</v>
      </c>
      <c r="C2783" t="s">
        <v>6</v>
      </c>
      <c r="D2783" t="s">
        <v>7</v>
      </c>
      <c r="E2783" t="s">
        <v>8</v>
      </c>
      <c r="F2783" s="29">
        <v>5016</v>
      </c>
      <c r="G2783" t="s">
        <v>99</v>
      </c>
      <c r="H2783" s="1">
        <v>612351</v>
      </c>
      <c r="I2783" s="1">
        <v>0</v>
      </c>
      <c r="J2783" s="1">
        <v>612351</v>
      </c>
      <c r="K2783">
        <f>VLOOKUP(F2783,'LEAID Match'!$A$2:$C$2979,3,FALSE)</f>
        <v>2005640</v>
      </c>
    </row>
    <row r="2784" spans="1:11" x14ac:dyDescent="0.2">
      <c r="A2784">
        <v>2008430</v>
      </c>
      <c r="B2784">
        <v>2023</v>
      </c>
      <c r="C2784" t="s">
        <v>6</v>
      </c>
      <c r="D2784" t="s">
        <v>7</v>
      </c>
      <c r="E2784" t="s">
        <v>8</v>
      </c>
      <c r="F2784" s="29">
        <v>5017</v>
      </c>
      <c r="G2784" t="s">
        <v>100</v>
      </c>
      <c r="H2784" s="1">
        <v>3653466</v>
      </c>
      <c r="I2784" s="1">
        <v>0</v>
      </c>
      <c r="J2784" s="1">
        <v>3653466</v>
      </c>
      <c r="K2784">
        <f>VLOOKUP(F2784,'LEAID Match'!$A$2:$C$2979,3,FALSE)</f>
        <v>2008430</v>
      </c>
    </row>
    <row r="2785" spans="1:11" x14ac:dyDescent="0.2">
      <c r="A2785">
        <v>2009480</v>
      </c>
      <c r="B2785">
        <v>2023</v>
      </c>
      <c r="C2785" t="s">
        <v>6</v>
      </c>
      <c r="D2785" t="s">
        <v>7</v>
      </c>
      <c r="E2785" t="s">
        <v>8</v>
      </c>
      <c r="F2785" s="29">
        <v>5018</v>
      </c>
      <c r="G2785" t="s">
        <v>101</v>
      </c>
      <c r="H2785" s="1">
        <v>268447</v>
      </c>
      <c r="I2785" s="1">
        <v>0</v>
      </c>
      <c r="J2785" s="1">
        <v>268447</v>
      </c>
      <c r="K2785">
        <f>VLOOKUP(F2785,'LEAID Match'!$A$2:$C$2979,3,FALSE)</f>
        <v>2009480</v>
      </c>
    </row>
    <row r="2786" spans="1:11" x14ac:dyDescent="0.2">
      <c r="A2786">
        <v>2003450</v>
      </c>
      <c r="B2786">
        <v>2023</v>
      </c>
      <c r="C2786" t="s">
        <v>6</v>
      </c>
      <c r="D2786" t="s">
        <v>7</v>
      </c>
      <c r="E2786" t="s">
        <v>8</v>
      </c>
      <c r="F2786" s="29">
        <v>5019</v>
      </c>
      <c r="G2786" t="s">
        <v>102</v>
      </c>
      <c r="H2786" s="20">
        <v>2987626</v>
      </c>
      <c r="I2786" s="1">
        <v>0</v>
      </c>
      <c r="J2786" s="1">
        <v>2987626</v>
      </c>
      <c r="K2786">
        <f>VLOOKUP(F2786,'LEAID Match'!$A$2:$C$2979,3,FALSE)</f>
        <v>2003450</v>
      </c>
    </row>
    <row r="2787" spans="1:11" x14ac:dyDescent="0.2">
      <c r="A2787">
        <v>2007890</v>
      </c>
      <c r="B2787">
        <v>2023</v>
      </c>
      <c r="C2787" t="s">
        <v>6</v>
      </c>
      <c r="D2787" t="s">
        <v>7</v>
      </c>
      <c r="E2787" t="s">
        <v>8</v>
      </c>
      <c r="F2787" s="29">
        <v>5020</v>
      </c>
      <c r="G2787" t="s">
        <v>103</v>
      </c>
      <c r="H2787" s="1">
        <v>7784014</v>
      </c>
      <c r="I2787" s="1">
        <v>0</v>
      </c>
      <c r="J2787" s="1">
        <v>7784014</v>
      </c>
      <c r="K2787">
        <f>VLOOKUP(F2787,'LEAID Match'!$A$2:$C$2979,3,FALSE)</f>
        <v>2007890</v>
      </c>
    </row>
    <row r="2788" spans="1:11" x14ac:dyDescent="0.2">
      <c r="A2788">
        <v>2007680</v>
      </c>
      <c r="B2788">
        <v>2023</v>
      </c>
      <c r="C2788" t="s">
        <v>6</v>
      </c>
      <c r="D2788" t="s">
        <v>7</v>
      </c>
      <c r="E2788" t="s">
        <v>8</v>
      </c>
      <c r="F2788" s="29">
        <v>5021</v>
      </c>
      <c r="G2788" s="9" t="s">
        <v>104</v>
      </c>
      <c r="H2788" s="1">
        <v>279454</v>
      </c>
      <c r="I2788" s="1">
        <v>0</v>
      </c>
      <c r="J2788" s="1">
        <v>279454</v>
      </c>
      <c r="K2788">
        <f>VLOOKUP(F2788,'LEAID Match'!$A$2:$C$2979,3,FALSE)</f>
        <v>2007680</v>
      </c>
    </row>
    <row r="2789" spans="1:11" x14ac:dyDescent="0.2">
      <c r="A2789">
        <v>2008730</v>
      </c>
      <c r="B2789">
        <v>2023</v>
      </c>
      <c r="C2789" t="s">
        <v>6</v>
      </c>
      <c r="D2789" t="s">
        <v>7</v>
      </c>
      <c r="E2789" t="s">
        <v>8</v>
      </c>
      <c r="F2789" s="34">
        <v>5022</v>
      </c>
      <c r="G2789" s="3" t="s">
        <v>105</v>
      </c>
      <c r="H2789" s="1">
        <v>5099765</v>
      </c>
      <c r="I2789" s="21">
        <v>0</v>
      </c>
      <c r="J2789" s="21">
        <v>5099765</v>
      </c>
      <c r="K2789">
        <f>VLOOKUP(F2789,'LEAID Match'!$A$2:$C$2979,3,FALSE)</f>
        <v>2008730</v>
      </c>
    </row>
    <row r="2790" spans="1:11" x14ac:dyDescent="0.2">
      <c r="A2790">
        <v>2008280</v>
      </c>
      <c r="B2790">
        <v>2023</v>
      </c>
      <c r="C2790" t="s">
        <v>6</v>
      </c>
      <c r="D2790" t="s">
        <v>7</v>
      </c>
      <c r="E2790" t="s">
        <v>8</v>
      </c>
      <c r="F2790" s="34">
        <v>5024</v>
      </c>
      <c r="G2790" s="3" t="s">
        <v>106</v>
      </c>
      <c r="H2790" s="1">
        <v>611706</v>
      </c>
      <c r="I2790" s="1">
        <v>0</v>
      </c>
      <c r="J2790" s="1">
        <v>611706</v>
      </c>
      <c r="K2790">
        <f>VLOOKUP(F2790,'LEAID Match'!$A$2:$C$2979,3,FALSE)</f>
        <v>2008280</v>
      </c>
    </row>
    <row r="2791" spans="1:11" x14ac:dyDescent="0.2">
      <c r="A2791">
        <v>2006180</v>
      </c>
      <c r="B2791">
        <v>2023</v>
      </c>
      <c r="C2791" t="s">
        <v>6</v>
      </c>
      <c r="D2791" t="s">
        <v>7</v>
      </c>
      <c r="E2791" t="s">
        <v>8</v>
      </c>
      <c r="F2791" s="29">
        <v>5025</v>
      </c>
      <c r="G2791" t="s">
        <v>107</v>
      </c>
      <c r="H2791" s="1">
        <v>2006999</v>
      </c>
      <c r="I2791" s="1">
        <v>0</v>
      </c>
      <c r="J2791" s="1">
        <v>2006999</v>
      </c>
      <c r="K2791">
        <f>VLOOKUP(F2791,'LEAID Match'!$A$2:$C$2979,3,FALSE)</f>
        <v>2006180</v>
      </c>
    </row>
    <row r="2792" spans="1:11" x14ac:dyDescent="0.2">
      <c r="A2792">
        <v>2003210</v>
      </c>
      <c r="B2792">
        <v>2023</v>
      </c>
      <c r="C2792" t="s">
        <v>6</v>
      </c>
      <c r="D2792" t="s">
        <v>7</v>
      </c>
      <c r="E2792" t="s">
        <v>8</v>
      </c>
      <c r="F2792" s="29">
        <v>5026</v>
      </c>
      <c r="G2792" t="s">
        <v>108</v>
      </c>
      <c r="H2792" s="1">
        <v>400189</v>
      </c>
      <c r="I2792" s="1">
        <v>0</v>
      </c>
      <c r="J2792" s="1">
        <v>400189</v>
      </c>
      <c r="K2792">
        <f>VLOOKUP(F2792,'LEAID Match'!$A$2:$C$2979,3,FALSE)</f>
        <v>2003210</v>
      </c>
    </row>
    <row r="2793" spans="1:11" x14ac:dyDescent="0.2">
      <c r="A2793">
        <v>2007050</v>
      </c>
      <c r="B2793">
        <v>2023</v>
      </c>
      <c r="C2793" t="s">
        <v>6</v>
      </c>
      <c r="D2793" t="s">
        <v>7</v>
      </c>
      <c r="E2793" t="s">
        <v>8</v>
      </c>
      <c r="F2793" s="29">
        <v>5027</v>
      </c>
      <c r="G2793" t="s">
        <v>109</v>
      </c>
      <c r="H2793" s="1">
        <v>5999612</v>
      </c>
      <c r="I2793" s="1">
        <v>0</v>
      </c>
      <c r="J2793" s="1">
        <v>5999612</v>
      </c>
      <c r="K2793">
        <f>VLOOKUP(F2793,'LEAID Match'!$A$2:$C$2979,3,FALSE)</f>
        <v>2007050</v>
      </c>
    </row>
    <row r="2794" spans="1:11" x14ac:dyDescent="0.2">
      <c r="A2794">
        <v>2011080</v>
      </c>
      <c r="B2794">
        <v>2023</v>
      </c>
      <c r="C2794" t="s">
        <v>6</v>
      </c>
      <c r="D2794" t="s">
        <v>7</v>
      </c>
      <c r="E2794" t="s">
        <v>8</v>
      </c>
      <c r="F2794" s="29">
        <v>5028</v>
      </c>
      <c r="G2794" t="s">
        <v>110</v>
      </c>
      <c r="H2794" s="20">
        <v>1301640</v>
      </c>
      <c r="I2794" s="1">
        <v>0</v>
      </c>
      <c r="J2794" s="1">
        <v>1301640</v>
      </c>
      <c r="K2794">
        <f>VLOOKUP(F2794,'LEAID Match'!$A$2:$C$2979,3,FALSE)</f>
        <v>2011080</v>
      </c>
    </row>
    <row r="2795" spans="1:11" x14ac:dyDescent="0.2">
      <c r="A2795">
        <v>2000014</v>
      </c>
      <c r="B2795">
        <v>2023</v>
      </c>
      <c r="C2795" t="s">
        <v>6</v>
      </c>
      <c r="D2795" t="s">
        <v>7</v>
      </c>
      <c r="E2795" t="s">
        <v>8</v>
      </c>
      <c r="F2795" s="29">
        <v>5029</v>
      </c>
      <c r="G2795" t="s">
        <v>111</v>
      </c>
      <c r="H2795" s="1">
        <v>488418</v>
      </c>
      <c r="I2795" s="1">
        <v>0</v>
      </c>
      <c r="J2795" s="1">
        <v>488418</v>
      </c>
      <c r="K2795">
        <f>VLOOKUP(F2795,'LEAID Match'!$A$2:$C$2979,3,FALSE)</f>
        <v>2000014</v>
      </c>
    </row>
    <row r="2796" spans="1:11" x14ac:dyDescent="0.2">
      <c r="A2796">
        <v>2011370</v>
      </c>
      <c r="B2796">
        <v>2023</v>
      </c>
      <c r="C2796" t="s">
        <v>6</v>
      </c>
      <c r="D2796" t="s">
        <v>7</v>
      </c>
      <c r="E2796" t="s">
        <v>8</v>
      </c>
      <c r="F2796" s="29">
        <v>5031</v>
      </c>
      <c r="G2796" s="9" t="s">
        <v>112</v>
      </c>
      <c r="H2796" s="1">
        <v>9714019</v>
      </c>
      <c r="I2796" s="1">
        <v>0</v>
      </c>
      <c r="J2796" s="1">
        <v>9714019</v>
      </c>
      <c r="K2796">
        <f>VLOOKUP(F2796,'LEAID Match'!$A$2:$C$2979,3,FALSE)</f>
        <v>2011370</v>
      </c>
    </row>
    <row r="2797" spans="1:11" x14ac:dyDescent="0.2">
      <c r="A2797">
        <v>2003390</v>
      </c>
      <c r="B2797">
        <v>2023</v>
      </c>
      <c r="C2797" t="s">
        <v>6</v>
      </c>
      <c r="D2797" t="s">
        <v>7</v>
      </c>
      <c r="E2797" t="s">
        <v>8</v>
      </c>
      <c r="F2797" s="34">
        <v>5032</v>
      </c>
      <c r="G2797" s="3" t="s">
        <v>113</v>
      </c>
      <c r="H2797" s="1">
        <v>870188</v>
      </c>
      <c r="I2797" s="21">
        <v>0</v>
      </c>
      <c r="J2797" s="21">
        <v>870188</v>
      </c>
      <c r="K2797">
        <f>VLOOKUP(F2797,'LEAID Match'!$A$2:$C$2979,3,FALSE)</f>
        <v>2003390</v>
      </c>
    </row>
    <row r="2798" spans="1:11" x14ac:dyDescent="0.2">
      <c r="A2798">
        <v>2011100</v>
      </c>
      <c r="B2798">
        <v>2023</v>
      </c>
      <c r="C2798" t="s">
        <v>6</v>
      </c>
      <c r="D2798" t="s">
        <v>7</v>
      </c>
      <c r="E2798" t="s">
        <v>8</v>
      </c>
      <c r="F2798" s="34">
        <v>5033</v>
      </c>
      <c r="G2798" s="3" t="s">
        <v>114</v>
      </c>
      <c r="H2798" s="1">
        <v>569264</v>
      </c>
      <c r="I2798" s="1">
        <v>0</v>
      </c>
      <c r="J2798" s="1">
        <v>569264</v>
      </c>
      <c r="K2798">
        <f>VLOOKUP(F2798,'LEAID Match'!$A$2:$C$2979,3,FALSE)</f>
        <v>2011100</v>
      </c>
    </row>
    <row r="2799" spans="1:11" x14ac:dyDescent="0.2">
      <c r="A2799">
        <v>2004020</v>
      </c>
      <c r="B2799">
        <v>2023</v>
      </c>
      <c r="C2799" t="s">
        <v>6</v>
      </c>
      <c r="D2799" t="s">
        <v>7</v>
      </c>
      <c r="E2799" t="s">
        <v>8</v>
      </c>
      <c r="F2799" s="29">
        <v>5034</v>
      </c>
      <c r="G2799" t="s">
        <v>115</v>
      </c>
      <c r="H2799" s="1">
        <v>240866</v>
      </c>
      <c r="I2799" s="1">
        <v>0</v>
      </c>
      <c r="J2799" s="1">
        <v>240866</v>
      </c>
      <c r="K2799">
        <f>VLOOKUP(F2799,'LEAID Match'!$A$2:$C$2979,3,FALSE)</f>
        <v>2004020</v>
      </c>
    </row>
    <row r="2800" spans="1:11" x14ac:dyDescent="0.2">
      <c r="A2800">
        <v>2004590</v>
      </c>
      <c r="B2800">
        <v>2023</v>
      </c>
      <c r="C2800" t="s">
        <v>6</v>
      </c>
      <c r="D2800" t="s">
        <v>7</v>
      </c>
      <c r="E2800" t="s">
        <v>8</v>
      </c>
      <c r="F2800" s="29">
        <v>5035</v>
      </c>
      <c r="G2800" t="s">
        <v>116</v>
      </c>
      <c r="H2800" s="1">
        <v>1557606</v>
      </c>
      <c r="I2800" s="1">
        <v>0</v>
      </c>
      <c r="J2800" s="1">
        <v>1557606</v>
      </c>
      <c r="K2800">
        <f>VLOOKUP(F2800,'LEAID Match'!$A$2:$C$2979,3,FALSE)</f>
        <v>2004590</v>
      </c>
    </row>
    <row r="2801" spans="1:11" x14ac:dyDescent="0.2">
      <c r="A2801">
        <v>2000006</v>
      </c>
      <c r="B2801">
        <v>2023</v>
      </c>
      <c r="C2801" t="s">
        <v>6</v>
      </c>
      <c r="D2801" t="s">
        <v>7</v>
      </c>
      <c r="E2801" t="s">
        <v>8</v>
      </c>
      <c r="F2801" s="29">
        <v>5036</v>
      </c>
      <c r="G2801" t="s">
        <v>117</v>
      </c>
      <c r="H2801" s="1">
        <v>838404</v>
      </c>
      <c r="I2801" s="1">
        <v>0</v>
      </c>
      <c r="J2801" s="1">
        <v>838404</v>
      </c>
      <c r="K2801">
        <f>VLOOKUP(F2801,'LEAID Match'!$A$2:$C$2979,3,FALSE)</f>
        <v>2000006</v>
      </c>
    </row>
    <row r="2802" spans="1:11" x14ac:dyDescent="0.2">
      <c r="A2802">
        <v>2009390</v>
      </c>
      <c r="B2802">
        <v>2023</v>
      </c>
      <c r="C2802" t="s">
        <v>6</v>
      </c>
      <c r="D2802" t="s">
        <v>7</v>
      </c>
      <c r="E2802" t="s">
        <v>8</v>
      </c>
      <c r="F2802" s="29">
        <v>5037</v>
      </c>
      <c r="G2802" t="s">
        <v>118</v>
      </c>
      <c r="H2802" s="1">
        <v>2909653</v>
      </c>
      <c r="I2802" s="1">
        <v>0</v>
      </c>
      <c r="J2802" s="1">
        <v>2909653</v>
      </c>
      <c r="K2802">
        <f>VLOOKUP(F2802,'LEAID Match'!$A$2:$C$2979,3,FALSE)</f>
        <v>2009390</v>
      </c>
    </row>
    <row r="2803" spans="1:11" x14ac:dyDescent="0.2">
      <c r="A2803">
        <v>2006720</v>
      </c>
      <c r="B2803">
        <v>2023</v>
      </c>
      <c r="C2803" t="s">
        <v>6</v>
      </c>
      <c r="D2803" t="s">
        <v>7</v>
      </c>
      <c r="E2803" t="s">
        <v>8</v>
      </c>
      <c r="F2803" s="29">
        <v>5038</v>
      </c>
      <c r="G2803" s="9" t="s">
        <v>119</v>
      </c>
      <c r="H2803" s="1">
        <v>365813</v>
      </c>
      <c r="I2803" s="1">
        <v>0</v>
      </c>
      <c r="J2803" s="1">
        <v>365813</v>
      </c>
      <c r="K2803">
        <f>VLOOKUP(F2803,'LEAID Match'!$A$2:$C$2979,3,FALSE)</f>
        <v>2006720</v>
      </c>
    </row>
    <row r="2804" spans="1:11" x14ac:dyDescent="0.2">
      <c r="A2804">
        <v>2011550</v>
      </c>
      <c r="B2804">
        <v>2023</v>
      </c>
      <c r="C2804" t="s">
        <v>6</v>
      </c>
      <c r="D2804" t="s">
        <v>7</v>
      </c>
      <c r="E2804" t="s">
        <v>8</v>
      </c>
      <c r="F2804" s="34">
        <v>5039</v>
      </c>
      <c r="G2804" s="3" t="s">
        <v>120</v>
      </c>
      <c r="H2804" s="1">
        <v>419595</v>
      </c>
      <c r="I2804" s="21">
        <v>0</v>
      </c>
      <c r="J2804" s="21">
        <v>419595</v>
      </c>
      <c r="K2804">
        <f>VLOOKUP(F2804,'LEAID Match'!$A$2:$C$2979,3,FALSE)</f>
        <v>2011550</v>
      </c>
    </row>
    <row r="2805" spans="1:11" x14ac:dyDescent="0.2">
      <c r="A2805">
        <v>2004980</v>
      </c>
      <c r="B2805">
        <v>2023</v>
      </c>
      <c r="C2805" t="s">
        <v>6</v>
      </c>
      <c r="D2805" t="s">
        <v>7</v>
      </c>
      <c r="E2805" t="s">
        <v>8</v>
      </c>
      <c r="F2805" s="34">
        <v>5040</v>
      </c>
      <c r="G2805" s="3" t="s">
        <v>121</v>
      </c>
      <c r="H2805" s="1">
        <v>1483004</v>
      </c>
      <c r="I2805" s="1">
        <v>0</v>
      </c>
      <c r="J2805" s="1">
        <v>1483004</v>
      </c>
      <c r="K2805">
        <f>VLOOKUP(F2805,'LEAID Match'!$A$2:$C$2979,3,FALSE)</f>
        <v>2004980</v>
      </c>
    </row>
    <row r="2806" spans="1:11" x14ac:dyDescent="0.2">
      <c r="A2806">
        <v>2006390</v>
      </c>
      <c r="B2806">
        <v>2023</v>
      </c>
      <c r="C2806" t="s">
        <v>6</v>
      </c>
      <c r="D2806" t="s">
        <v>7</v>
      </c>
      <c r="E2806" t="s">
        <v>8</v>
      </c>
      <c r="F2806" s="29">
        <v>5041</v>
      </c>
      <c r="G2806" t="s">
        <v>122</v>
      </c>
      <c r="H2806" s="1">
        <v>7457590</v>
      </c>
      <c r="I2806" s="1">
        <v>0</v>
      </c>
      <c r="J2806" s="1">
        <v>7457590</v>
      </c>
      <c r="K2806">
        <f>VLOOKUP(F2806,'LEAID Match'!$A$2:$C$2979,3,FALSE)</f>
        <v>2006390</v>
      </c>
    </row>
    <row r="2807" spans="1:11" x14ac:dyDescent="0.2">
      <c r="A2807">
        <v>2003780</v>
      </c>
      <c r="B2807">
        <v>2023</v>
      </c>
      <c r="C2807" t="s">
        <v>6</v>
      </c>
      <c r="D2807" t="s">
        <v>7</v>
      </c>
      <c r="E2807" t="s">
        <v>8</v>
      </c>
      <c r="F2807" s="29">
        <v>5042</v>
      </c>
      <c r="G2807" t="s">
        <v>123</v>
      </c>
      <c r="H2807" s="1">
        <v>2649129</v>
      </c>
      <c r="I2807" s="1">
        <v>0</v>
      </c>
      <c r="J2807" s="1">
        <v>2649129</v>
      </c>
      <c r="K2807">
        <f>VLOOKUP(F2807,'LEAID Match'!$A$2:$C$2979,3,FALSE)</f>
        <v>2003780</v>
      </c>
    </row>
    <row r="2808" spans="1:11" x14ac:dyDescent="0.2">
      <c r="A2808">
        <v>2013050</v>
      </c>
      <c r="B2808">
        <v>2023</v>
      </c>
      <c r="C2808" t="s">
        <v>6</v>
      </c>
      <c r="D2808" t="s">
        <v>7</v>
      </c>
      <c r="E2808" t="s">
        <v>8</v>
      </c>
      <c r="F2808" s="29">
        <v>5043</v>
      </c>
      <c r="G2808" t="s">
        <v>124</v>
      </c>
      <c r="H2808" s="1">
        <v>3409537</v>
      </c>
      <c r="I2808" s="1">
        <v>0</v>
      </c>
      <c r="J2808" s="1">
        <v>3409537</v>
      </c>
      <c r="K2808">
        <f>VLOOKUP(F2808,'LEAID Match'!$A$2:$C$2979,3,FALSE)</f>
        <v>2013050</v>
      </c>
    </row>
    <row r="2809" spans="1:11" x14ac:dyDescent="0.2">
      <c r="A2809">
        <v>2000012</v>
      </c>
      <c r="B2809">
        <v>2023</v>
      </c>
      <c r="C2809" t="s">
        <v>6</v>
      </c>
      <c r="D2809" t="s">
        <v>7</v>
      </c>
      <c r="E2809" t="s">
        <v>8</v>
      </c>
      <c r="F2809" s="29">
        <v>5056</v>
      </c>
      <c r="G2809" t="s">
        <v>125</v>
      </c>
      <c r="H2809" s="20">
        <v>361820</v>
      </c>
      <c r="I2809" s="1">
        <v>0</v>
      </c>
      <c r="J2809" s="1">
        <v>361820</v>
      </c>
      <c r="K2809">
        <f>VLOOKUP(F2809,'LEAID Match'!$A$2:$C$2979,3,FALSE)</f>
        <v>2000012</v>
      </c>
    </row>
    <row r="2810" spans="1:11" x14ac:dyDescent="0.2">
      <c r="A2810">
        <v>2007590</v>
      </c>
      <c r="B2810">
        <v>2023</v>
      </c>
      <c r="C2810" t="s">
        <v>6</v>
      </c>
      <c r="D2810" t="s">
        <v>7</v>
      </c>
      <c r="E2810" t="s">
        <v>8</v>
      </c>
      <c r="F2810" s="29">
        <v>5057</v>
      </c>
      <c r="G2810" t="s">
        <v>126</v>
      </c>
      <c r="H2810" s="1">
        <v>668696</v>
      </c>
      <c r="I2810" s="1">
        <v>0</v>
      </c>
      <c r="J2810" s="1">
        <v>668696</v>
      </c>
      <c r="K2810">
        <f>VLOOKUP(F2810,'LEAID Match'!$A$2:$C$2979,3,FALSE)</f>
        <v>2007590</v>
      </c>
    </row>
    <row r="2811" spans="1:11" x14ac:dyDescent="0.2">
      <c r="A2811">
        <v>2003870</v>
      </c>
      <c r="B2811">
        <v>2023</v>
      </c>
      <c r="C2811" t="s">
        <v>6</v>
      </c>
      <c r="D2811" t="s">
        <v>7</v>
      </c>
      <c r="E2811" t="s">
        <v>8</v>
      </c>
      <c r="F2811" s="29">
        <v>5058</v>
      </c>
      <c r="G2811" s="9" t="s">
        <v>127</v>
      </c>
      <c r="H2811" s="1">
        <v>1305603</v>
      </c>
      <c r="I2811" s="1">
        <v>0</v>
      </c>
      <c r="J2811" s="1">
        <v>1305603</v>
      </c>
      <c r="K2811">
        <f>VLOOKUP(F2811,'LEAID Match'!$A$2:$C$2979,3,FALSE)</f>
        <v>2003870</v>
      </c>
    </row>
    <row r="2812" spans="1:11" x14ac:dyDescent="0.2">
      <c r="A2812">
        <v>2005250</v>
      </c>
      <c r="B2812">
        <v>2023</v>
      </c>
      <c r="C2812" t="s">
        <v>6</v>
      </c>
      <c r="D2812" t="s">
        <v>7</v>
      </c>
      <c r="E2812" t="s">
        <v>8</v>
      </c>
      <c r="F2812" s="34">
        <v>5059</v>
      </c>
      <c r="G2812" s="3" t="s">
        <v>128</v>
      </c>
      <c r="H2812" s="1">
        <v>402659</v>
      </c>
      <c r="I2812" s="21">
        <v>0</v>
      </c>
      <c r="J2812" s="21">
        <v>402659</v>
      </c>
      <c r="K2812">
        <f>VLOOKUP(F2812,'LEAID Match'!$A$2:$C$2979,3,FALSE)</f>
        <v>2005250</v>
      </c>
    </row>
    <row r="2813" spans="1:11" x14ac:dyDescent="0.2">
      <c r="A2813">
        <v>2004500</v>
      </c>
      <c r="B2813">
        <v>2023</v>
      </c>
      <c r="C2813" t="s">
        <v>6</v>
      </c>
      <c r="D2813" t="s">
        <v>7</v>
      </c>
      <c r="E2813" t="s">
        <v>8</v>
      </c>
      <c r="F2813" s="34">
        <v>5060</v>
      </c>
      <c r="G2813" s="3" t="s">
        <v>129</v>
      </c>
      <c r="H2813" s="1">
        <v>186351</v>
      </c>
      <c r="I2813" s="1">
        <v>0</v>
      </c>
      <c r="J2813" s="1">
        <v>186351</v>
      </c>
      <c r="K2813">
        <f>VLOOKUP(F2813,'LEAID Match'!$A$2:$C$2979,3,FALSE)</f>
        <v>2004500</v>
      </c>
    </row>
    <row r="2814" spans="1:11" x14ac:dyDescent="0.2">
      <c r="A2814">
        <v>2011520</v>
      </c>
      <c r="B2814">
        <v>2023</v>
      </c>
      <c r="C2814" t="s">
        <v>6</v>
      </c>
      <c r="D2814" t="s">
        <v>7</v>
      </c>
      <c r="E2814" t="s">
        <v>8</v>
      </c>
      <c r="F2814" s="29">
        <v>5061</v>
      </c>
      <c r="G2814" t="s">
        <v>130</v>
      </c>
      <c r="H2814" s="1">
        <v>388024</v>
      </c>
      <c r="I2814" s="1">
        <v>0</v>
      </c>
      <c r="J2814" s="1">
        <v>388024</v>
      </c>
      <c r="K2814">
        <f>VLOOKUP(F2814,'LEAID Match'!$A$2:$C$2979,3,FALSE)</f>
        <v>2011520</v>
      </c>
    </row>
    <row r="2815" spans="1:11" x14ac:dyDescent="0.2">
      <c r="A2815">
        <v>2010800</v>
      </c>
      <c r="B2815">
        <v>2023</v>
      </c>
      <c r="C2815" t="s">
        <v>6</v>
      </c>
      <c r="D2815" t="s">
        <v>7</v>
      </c>
      <c r="E2815" t="s">
        <v>8</v>
      </c>
      <c r="F2815" s="29">
        <v>5062</v>
      </c>
      <c r="G2815" t="s">
        <v>131</v>
      </c>
      <c r="H2815" s="1">
        <v>627948</v>
      </c>
      <c r="I2815" s="1">
        <v>0</v>
      </c>
      <c r="J2815" s="1">
        <v>627948</v>
      </c>
      <c r="K2815">
        <f>VLOOKUP(F2815,'LEAID Match'!$A$2:$C$2979,3,FALSE)</f>
        <v>2010800</v>
      </c>
    </row>
    <row r="2816" spans="1:11" x14ac:dyDescent="0.2">
      <c r="A2816">
        <v>2005870</v>
      </c>
      <c r="B2816">
        <v>2023</v>
      </c>
      <c r="C2816" t="s">
        <v>6</v>
      </c>
      <c r="D2816" t="s">
        <v>7</v>
      </c>
      <c r="E2816" t="s">
        <v>8</v>
      </c>
      <c r="F2816" s="29">
        <v>5063</v>
      </c>
      <c r="G2816" t="s">
        <v>132</v>
      </c>
      <c r="H2816" s="1">
        <v>533967</v>
      </c>
      <c r="I2816" s="1">
        <v>0</v>
      </c>
      <c r="J2816" s="1">
        <v>533967</v>
      </c>
      <c r="K2816">
        <f>VLOOKUP(F2816,'LEAID Match'!$A$2:$C$2979,3,FALSE)</f>
        <v>2005870</v>
      </c>
    </row>
    <row r="2817" spans="1:11" x14ac:dyDescent="0.2">
      <c r="A2817">
        <v>2012540</v>
      </c>
      <c r="B2817">
        <v>2023</v>
      </c>
      <c r="C2817" t="s">
        <v>6</v>
      </c>
      <c r="D2817" t="s">
        <v>7</v>
      </c>
      <c r="E2817" t="s">
        <v>8</v>
      </c>
      <c r="F2817" s="29">
        <v>5064</v>
      </c>
      <c r="G2817" t="s">
        <v>133</v>
      </c>
      <c r="H2817" s="20">
        <v>357514</v>
      </c>
      <c r="I2817" s="1">
        <v>0</v>
      </c>
      <c r="J2817" s="1">
        <v>357514</v>
      </c>
      <c r="K2817">
        <f>VLOOKUP(F2817,'LEAID Match'!$A$2:$C$2979,3,FALSE)</f>
        <v>2012540</v>
      </c>
    </row>
    <row r="2818" spans="1:11" x14ac:dyDescent="0.2">
      <c r="A2818">
        <v>2009360</v>
      </c>
      <c r="B2818">
        <v>2023</v>
      </c>
      <c r="C2818" t="s">
        <v>6</v>
      </c>
      <c r="D2818" t="s">
        <v>7</v>
      </c>
      <c r="E2818" t="s">
        <v>8</v>
      </c>
      <c r="F2818" s="29">
        <v>5065</v>
      </c>
      <c r="G2818" t="s">
        <v>134</v>
      </c>
      <c r="H2818" s="1">
        <v>428638</v>
      </c>
      <c r="I2818" s="1">
        <v>0</v>
      </c>
      <c r="J2818" s="1">
        <v>428638</v>
      </c>
      <c r="K2818">
        <f>VLOOKUP(F2818,'LEAID Match'!$A$2:$C$2979,3,FALSE)</f>
        <v>2009360</v>
      </c>
    </row>
    <row r="2819" spans="1:11" x14ac:dyDescent="0.2">
      <c r="A2819">
        <v>2004560</v>
      </c>
      <c r="B2819">
        <v>2023</v>
      </c>
      <c r="C2819" t="s">
        <v>6</v>
      </c>
      <c r="D2819" t="s">
        <v>7</v>
      </c>
      <c r="E2819" t="s">
        <v>8</v>
      </c>
      <c r="F2819" s="29">
        <v>5066</v>
      </c>
      <c r="G2819" s="9" t="s">
        <v>135</v>
      </c>
      <c r="H2819" s="1">
        <v>509741</v>
      </c>
      <c r="I2819" s="1">
        <v>0</v>
      </c>
      <c r="J2819" s="1">
        <v>509741</v>
      </c>
      <c r="K2819">
        <f>VLOOKUP(F2819,'LEAID Match'!$A$2:$C$2979,3,FALSE)</f>
        <v>2004560</v>
      </c>
    </row>
    <row r="2820" spans="1:11" x14ac:dyDescent="0.2">
      <c r="A2820">
        <v>2006120</v>
      </c>
      <c r="B2820">
        <v>2023</v>
      </c>
      <c r="C2820" t="s">
        <v>6</v>
      </c>
      <c r="D2820" t="s">
        <v>7</v>
      </c>
      <c r="E2820" t="s">
        <v>8</v>
      </c>
      <c r="F2820" s="34">
        <v>5067</v>
      </c>
      <c r="G2820" s="3" t="s">
        <v>136</v>
      </c>
      <c r="H2820" s="1">
        <v>784980</v>
      </c>
      <c r="I2820" s="21">
        <v>0</v>
      </c>
      <c r="J2820" s="21">
        <v>784980</v>
      </c>
      <c r="K2820">
        <f>VLOOKUP(F2820,'LEAID Match'!$A$2:$C$2979,3,FALSE)</f>
        <v>2006120</v>
      </c>
    </row>
    <row r="2821" spans="1:11" x14ac:dyDescent="0.2">
      <c r="A2821">
        <v>0</v>
      </c>
      <c r="B2821">
        <v>2023</v>
      </c>
      <c r="C2821" t="s">
        <v>6</v>
      </c>
      <c r="D2821" t="s">
        <v>7</v>
      </c>
      <c r="E2821" t="s">
        <v>8</v>
      </c>
      <c r="F2821" s="34">
        <v>5068</v>
      </c>
      <c r="G2821" s="3" t="s">
        <v>137</v>
      </c>
      <c r="H2821" s="1">
        <v>745887</v>
      </c>
      <c r="I2821" s="1">
        <v>0</v>
      </c>
      <c r="J2821" s="1">
        <v>745887</v>
      </c>
      <c r="K2821">
        <f>VLOOKUP(F2821,'LEAID Match'!$A$2:$C$2979,3,FALSE)</f>
        <v>0</v>
      </c>
    </row>
    <row r="2822" spans="1:11" x14ac:dyDescent="0.2">
      <c r="A2822">
        <v>2006840</v>
      </c>
      <c r="B2822">
        <v>2023</v>
      </c>
      <c r="C2822" t="s">
        <v>6</v>
      </c>
      <c r="D2822" t="s">
        <v>7</v>
      </c>
      <c r="E2822" t="s">
        <v>8</v>
      </c>
      <c r="F2822" s="29">
        <v>5069</v>
      </c>
      <c r="G2822" t="s">
        <v>138</v>
      </c>
      <c r="H2822" s="1">
        <v>693217</v>
      </c>
      <c r="I2822" s="1">
        <v>0</v>
      </c>
      <c r="J2822" s="1">
        <v>693217</v>
      </c>
      <c r="K2822">
        <f>VLOOKUP(F2822,'LEAID Match'!$A$2:$C$2979,3,FALSE)</f>
        <v>2006840</v>
      </c>
    </row>
    <row r="2823" spans="1:11" x14ac:dyDescent="0.2">
      <c r="A2823">
        <v>2012210</v>
      </c>
      <c r="B2823">
        <v>2023</v>
      </c>
      <c r="C2823" t="s">
        <v>6</v>
      </c>
      <c r="D2823" t="s">
        <v>7</v>
      </c>
      <c r="E2823" t="s">
        <v>8</v>
      </c>
      <c r="F2823" s="29">
        <v>5070</v>
      </c>
      <c r="G2823" t="s">
        <v>139</v>
      </c>
      <c r="H2823" s="1">
        <v>1638004</v>
      </c>
      <c r="I2823" s="1">
        <v>0</v>
      </c>
      <c r="J2823" s="1">
        <v>1638004</v>
      </c>
      <c r="K2823">
        <f>VLOOKUP(F2823,'LEAID Match'!$A$2:$C$2979,3,FALSE)</f>
        <v>2012210</v>
      </c>
    </row>
    <row r="2824" spans="1:11" x14ac:dyDescent="0.2">
      <c r="A2824">
        <v>2005550</v>
      </c>
      <c r="B2824">
        <v>2023</v>
      </c>
      <c r="C2824" t="s">
        <v>6</v>
      </c>
      <c r="D2824" t="s">
        <v>7</v>
      </c>
      <c r="E2824" t="s">
        <v>8</v>
      </c>
      <c r="F2824" s="29">
        <v>5072</v>
      </c>
      <c r="G2824" t="s">
        <v>140</v>
      </c>
      <c r="H2824" s="1">
        <v>223050</v>
      </c>
      <c r="I2824" s="1">
        <v>0</v>
      </c>
      <c r="J2824" s="1">
        <v>223050</v>
      </c>
      <c r="K2824">
        <f>VLOOKUP(F2824,'LEAID Match'!$A$2:$C$2979,3,FALSE)</f>
        <v>2005550</v>
      </c>
    </row>
    <row r="2825" spans="1:11" x14ac:dyDescent="0.2">
      <c r="A2825">
        <v>2007110</v>
      </c>
      <c r="B2825">
        <v>2023</v>
      </c>
      <c r="C2825" t="s">
        <v>6</v>
      </c>
      <c r="D2825" t="s">
        <v>7</v>
      </c>
      <c r="E2825" t="s">
        <v>8</v>
      </c>
      <c r="F2825" s="29">
        <v>5073</v>
      </c>
      <c r="G2825" t="s">
        <v>141</v>
      </c>
      <c r="H2825" s="20">
        <v>442348</v>
      </c>
      <c r="I2825" s="1">
        <v>0</v>
      </c>
      <c r="J2825" s="1">
        <v>442348</v>
      </c>
      <c r="K2825">
        <f>VLOOKUP(F2825,'LEAID Match'!$A$2:$C$2979,3,FALSE)</f>
        <v>2007110</v>
      </c>
    </row>
    <row r="2826" spans="1:11" x14ac:dyDescent="0.2">
      <c r="A2826">
        <v>2011190</v>
      </c>
      <c r="B2826">
        <v>2023</v>
      </c>
      <c r="C2826" t="s">
        <v>6</v>
      </c>
      <c r="D2826" t="s">
        <v>7</v>
      </c>
      <c r="E2826" t="s">
        <v>8</v>
      </c>
      <c r="F2826" s="29">
        <v>5076</v>
      </c>
      <c r="G2826" t="s">
        <v>142</v>
      </c>
      <c r="H2826" s="1">
        <v>180194</v>
      </c>
      <c r="I2826" s="1">
        <v>0</v>
      </c>
      <c r="J2826" s="1">
        <v>180194</v>
      </c>
      <c r="K2826">
        <f>VLOOKUP(F2826,'LEAID Match'!$A$2:$C$2979,3,FALSE)</f>
        <v>2011190</v>
      </c>
    </row>
    <row r="2827" spans="1:11" x14ac:dyDescent="0.2">
      <c r="A2827">
        <v>2009850</v>
      </c>
      <c r="B2827">
        <v>2023</v>
      </c>
      <c r="C2827" t="s">
        <v>6</v>
      </c>
      <c r="D2827" t="s">
        <v>7</v>
      </c>
      <c r="E2827" t="s">
        <v>8</v>
      </c>
      <c r="F2827" s="29">
        <v>5007</v>
      </c>
      <c r="G2827" s="9" t="s">
        <v>143</v>
      </c>
      <c r="H2827" s="1">
        <v>148485</v>
      </c>
      <c r="I2827" s="1">
        <v>0</v>
      </c>
      <c r="J2827" s="1">
        <v>148485</v>
      </c>
      <c r="K2827">
        <f>VLOOKUP(F2827,'LEAID Match'!$A$2:$C$2979,3,FALSE)</f>
        <v>2009850</v>
      </c>
    </row>
    <row r="2828" spans="1:11" x14ac:dyDescent="0.2">
      <c r="A2828">
        <v>2009420</v>
      </c>
      <c r="B2828">
        <v>2023</v>
      </c>
      <c r="C2828" t="s">
        <v>6</v>
      </c>
      <c r="D2828" t="s">
        <v>7</v>
      </c>
      <c r="E2828" t="s">
        <v>8</v>
      </c>
      <c r="F2828" s="34">
        <v>5078</v>
      </c>
      <c r="G2828" s="3" t="s">
        <v>144</v>
      </c>
      <c r="H2828" s="1">
        <v>403487</v>
      </c>
      <c r="I2828" s="21">
        <v>0</v>
      </c>
      <c r="J2828" s="21">
        <v>403487</v>
      </c>
      <c r="K2828">
        <f>VLOOKUP(F2828,'LEAID Match'!$A$2:$C$2979,3,FALSE)</f>
        <v>2009420</v>
      </c>
    </row>
    <row r="2829" spans="1:11" x14ac:dyDescent="0.2">
      <c r="A2829">
        <v>2012450</v>
      </c>
      <c r="B2829">
        <v>2023</v>
      </c>
      <c r="C2829" t="s">
        <v>6</v>
      </c>
      <c r="D2829" t="s">
        <v>7</v>
      </c>
      <c r="E2829" t="s">
        <v>8</v>
      </c>
      <c r="F2829" s="34">
        <v>5079</v>
      </c>
      <c r="G2829" s="3" t="s">
        <v>145</v>
      </c>
      <c r="H2829" s="1">
        <v>469612</v>
      </c>
      <c r="I2829" s="1">
        <v>0</v>
      </c>
      <c r="J2829" s="1">
        <v>469612</v>
      </c>
      <c r="K2829">
        <f>VLOOKUP(F2829,'LEAID Match'!$A$2:$C$2979,3,FALSE)</f>
        <v>2012450</v>
      </c>
    </row>
    <row r="2830" spans="1:11" x14ac:dyDescent="0.2">
      <c r="A2830">
        <v>2006930</v>
      </c>
      <c r="B2830">
        <v>2023</v>
      </c>
      <c r="C2830" t="s">
        <v>6</v>
      </c>
      <c r="D2830" t="s">
        <v>7</v>
      </c>
      <c r="E2830" t="s">
        <v>8</v>
      </c>
      <c r="F2830" s="29">
        <v>5080</v>
      </c>
      <c r="G2830" t="s">
        <v>146</v>
      </c>
      <c r="H2830" s="1">
        <v>649302</v>
      </c>
      <c r="I2830" s="1">
        <v>0</v>
      </c>
      <c r="J2830" s="1">
        <v>649302</v>
      </c>
      <c r="K2830">
        <f>VLOOKUP(F2830,'LEAID Match'!$A$2:$C$2979,3,FALSE)</f>
        <v>2006930</v>
      </c>
    </row>
    <row r="2831" spans="1:11" x14ac:dyDescent="0.2">
      <c r="A2831">
        <v>2009450</v>
      </c>
      <c r="B2831">
        <v>2023</v>
      </c>
      <c r="C2831" t="s">
        <v>6</v>
      </c>
      <c r="D2831" t="s">
        <v>7</v>
      </c>
      <c r="E2831" t="s">
        <v>8</v>
      </c>
      <c r="F2831" s="29">
        <v>5081</v>
      </c>
      <c r="G2831" t="s">
        <v>147</v>
      </c>
      <c r="H2831" s="1">
        <v>484445</v>
      </c>
      <c r="I2831" s="1">
        <v>0</v>
      </c>
      <c r="J2831" s="1">
        <v>484445</v>
      </c>
      <c r="K2831">
        <f>VLOOKUP(F2831,'LEAID Match'!$A$2:$C$2979,3,FALSE)</f>
        <v>2009450</v>
      </c>
    </row>
    <row r="2832" spans="1:11" x14ac:dyDescent="0.2">
      <c r="A2832">
        <v>2010470</v>
      </c>
      <c r="B2832">
        <v>2023</v>
      </c>
      <c r="C2832" t="s">
        <v>6</v>
      </c>
      <c r="D2832" t="s">
        <v>7</v>
      </c>
      <c r="E2832" t="s">
        <v>8</v>
      </c>
      <c r="F2832" s="29">
        <v>5082</v>
      </c>
      <c r="G2832" t="s">
        <v>148</v>
      </c>
      <c r="H2832" s="1">
        <v>112724</v>
      </c>
      <c r="I2832" s="1">
        <v>0</v>
      </c>
      <c r="J2832" s="1">
        <v>112724</v>
      </c>
      <c r="K2832">
        <f>VLOOKUP(F2832,'LEAID Match'!$A$2:$C$2979,3,FALSE)</f>
        <v>2010470</v>
      </c>
    </row>
    <row r="2833" spans="1:11" x14ac:dyDescent="0.2">
      <c r="A2833">
        <v>2010740</v>
      </c>
      <c r="B2833">
        <v>2023</v>
      </c>
      <c r="C2833" t="s">
        <v>6</v>
      </c>
      <c r="D2833" t="s">
        <v>7</v>
      </c>
      <c r="E2833" t="s">
        <v>8</v>
      </c>
      <c r="F2833" s="29">
        <v>5083</v>
      </c>
      <c r="G2833" t="s">
        <v>149</v>
      </c>
      <c r="H2833" s="20">
        <v>376088</v>
      </c>
      <c r="I2833" s="1">
        <v>0</v>
      </c>
      <c r="J2833" s="1">
        <v>376088</v>
      </c>
      <c r="K2833">
        <f>VLOOKUP(F2833,'LEAID Match'!$A$2:$C$2979,3,FALSE)</f>
        <v>2010740</v>
      </c>
    </row>
    <row r="2834" spans="1:11" x14ac:dyDescent="0.2">
      <c r="A2834">
        <v>2007260</v>
      </c>
      <c r="B2834">
        <v>2023</v>
      </c>
      <c r="C2834" t="s">
        <v>6</v>
      </c>
      <c r="D2834" t="s">
        <v>7</v>
      </c>
      <c r="E2834" t="s">
        <v>8</v>
      </c>
      <c r="F2834" s="29">
        <v>5087</v>
      </c>
      <c r="G2834" t="s">
        <v>150</v>
      </c>
      <c r="H2834" s="1">
        <v>362284</v>
      </c>
      <c r="I2834" s="1">
        <v>0</v>
      </c>
      <c r="J2834" s="1">
        <v>362284</v>
      </c>
      <c r="K2834">
        <f>VLOOKUP(F2834,'LEAID Match'!$A$2:$C$2979,3,FALSE)</f>
        <v>2007260</v>
      </c>
    </row>
    <row r="2835" spans="1:11" x14ac:dyDescent="0.2">
      <c r="A2835">
        <v>2012870</v>
      </c>
      <c r="B2835">
        <v>2023</v>
      </c>
      <c r="C2835" t="s">
        <v>6</v>
      </c>
      <c r="D2835" t="s">
        <v>7</v>
      </c>
      <c r="E2835" t="s">
        <v>8</v>
      </c>
      <c r="F2835" s="29">
        <v>5088</v>
      </c>
      <c r="G2835" s="9" t="s">
        <v>151</v>
      </c>
      <c r="H2835" s="1">
        <v>668026</v>
      </c>
      <c r="I2835" s="1">
        <v>0</v>
      </c>
      <c r="J2835" s="1">
        <v>668026</v>
      </c>
      <c r="K2835">
        <f>VLOOKUP(F2835,'LEAID Match'!$A$2:$C$2979,3,FALSE)</f>
        <v>2012870</v>
      </c>
    </row>
    <row r="2836" spans="1:11" x14ac:dyDescent="0.2">
      <c r="A2836">
        <v>2008790</v>
      </c>
      <c r="B2836">
        <v>2023</v>
      </c>
      <c r="C2836" t="s">
        <v>6</v>
      </c>
      <c r="D2836" t="s">
        <v>7</v>
      </c>
      <c r="E2836" t="s">
        <v>8</v>
      </c>
      <c r="F2836" s="34">
        <v>5089</v>
      </c>
      <c r="G2836" s="3" t="s">
        <v>152</v>
      </c>
      <c r="H2836" s="22">
        <v>287516</v>
      </c>
      <c r="I2836" s="1">
        <v>0</v>
      </c>
      <c r="J2836" s="1">
        <v>287516</v>
      </c>
      <c r="K2836">
        <f>VLOOKUP(F2836,'LEAID Match'!$A$2:$C$2979,3,FALSE)</f>
        <v>2008790</v>
      </c>
    </row>
    <row r="2837" spans="1:11" x14ac:dyDescent="0.2">
      <c r="A2837">
        <v>2009930</v>
      </c>
      <c r="B2837">
        <v>2023</v>
      </c>
      <c r="C2837" t="s">
        <v>6</v>
      </c>
      <c r="D2837" t="s">
        <v>7</v>
      </c>
      <c r="E2837" t="s">
        <v>8</v>
      </c>
      <c r="F2837" s="34">
        <v>5090</v>
      </c>
      <c r="G2837" s="3" t="s">
        <v>153</v>
      </c>
      <c r="H2837" s="1">
        <v>275133</v>
      </c>
      <c r="I2837" s="21">
        <v>0</v>
      </c>
      <c r="J2837" s="21">
        <v>275133</v>
      </c>
      <c r="K2837">
        <f>VLOOKUP(F2837,'LEAID Match'!$A$2:$C$2979,3,FALSE)</f>
        <v>2009930</v>
      </c>
    </row>
    <row r="2838" spans="1:11" x14ac:dyDescent="0.2">
      <c r="A2838">
        <v>2007970</v>
      </c>
      <c r="B2838">
        <v>2023</v>
      </c>
      <c r="C2838" t="s">
        <v>6</v>
      </c>
      <c r="D2838" t="s">
        <v>7</v>
      </c>
      <c r="E2838" t="s">
        <v>8</v>
      </c>
      <c r="F2838" s="34">
        <v>5092</v>
      </c>
      <c r="G2838" s="3" t="s">
        <v>154</v>
      </c>
      <c r="H2838" s="1">
        <v>1294943</v>
      </c>
      <c r="I2838" s="1">
        <v>0</v>
      </c>
      <c r="J2838" s="1">
        <v>1294943</v>
      </c>
      <c r="K2838">
        <f>VLOOKUP(F2838,'LEAID Match'!$A$2:$C$2979,3,FALSE)</f>
        <v>2007970</v>
      </c>
    </row>
    <row r="2839" spans="1:11" x14ac:dyDescent="0.2">
      <c r="A2839">
        <v>2010170</v>
      </c>
      <c r="B2839">
        <v>2023</v>
      </c>
      <c r="C2839" t="s">
        <v>6</v>
      </c>
      <c r="D2839" t="s">
        <v>7</v>
      </c>
      <c r="E2839" t="s">
        <v>8</v>
      </c>
      <c r="F2839" s="29">
        <v>5093</v>
      </c>
      <c r="G2839" t="s">
        <v>155</v>
      </c>
      <c r="H2839" s="1">
        <v>273740</v>
      </c>
      <c r="I2839" s="1">
        <v>0</v>
      </c>
      <c r="J2839" s="1">
        <v>273740</v>
      </c>
      <c r="K2839">
        <f>VLOOKUP(F2839,'LEAID Match'!$A$2:$C$2979,3,FALSE)</f>
        <v>2010170</v>
      </c>
    </row>
    <row r="2840" spans="1:11" x14ac:dyDescent="0.2">
      <c r="A2840">
        <v>2003240</v>
      </c>
      <c r="B2840">
        <v>2023</v>
      </c>
      <c r="C2840" t="s">
        <v>6</v>
      </c>
      <c r="D2840" t="s">
        <v>7</v>
      </c>
      <c r="E2840" t="s">
        <v>8</v>
      </c>
      <c r="F2840" s="29">
        <v>5095</v>
      </c>
      <c r="G2840" t="s">
        <v>156</v>
      </c>
      <c r="H2840" s="1">
        <v>452077</v>
      </c>
      <c r="I2840" s="1">
        <v>0</v>
      </c>
      <c r="J2840" s="1">
        <v>452077</v>
      </c>
      <c r="K2840">
        <f>VLOOKUP(F2840,'LEAID Match'!$A$2:$C$2979,3,FALSE)</f>
        <v>2003240</v>
      </c>
    </row>
    <row r="2841" spans="1:11" x14ac:dyDescent="0.2">
      <c r="A2841">
        <v>2007750</v>
      </c>
      <c r="B2841">
        <v>2023</v>
      </c>
      <c r="C2841" t="s">
        <v>6</v>
      </c>
      <c r="D2841" t="s">
        <v>7</v>
      </c>
      <c r="E2841" t="s">
        <v>8</v>
      </c>
      <c r="F2841" s="29">
        <v>5096</v>
      </c>
      <c r="G2841" t="s">
        <v>157</v>
      </c>
      <c r="H2841" s="1">
        <v>601217</v>
      </c>
      <c r="I2841" s="1">
        <v>0</v>
      </c>
      <c r="J2841" s="1">
        <v>601217</v>
      </c>
      <c r="K2841">
        <f>VLOOKUP(F2841,'LEAID Match'!$A$2:$C$2979,3,FALSE)</f>
        <v>2007750</v>
      </c>
    </row>
    <row r="2842" spans="1:11" x14ac:dyDescent="0.2">
      <c r="A2842">
        <v>2004380</v>
      </c>
      <c r="B2842">
        <v>2023</v>
      </c>
      <c r="C2842" t="s">
        <v>6</v>
      </c>
      <c r="D2842" t="s">
        <v>7</v>
      </c>
      <c r="E2842" t="s">
        <v>8</v>
      </c>
      <c r="F2842" s="29">
        <v>5098</v>
      </c>
      <c r="G2842" t="s">
        <v>158</v>
      </c>
      <c r="H2842" s="20">
        <v>288274</v>
      </c>
      <c r="I2842" s="1">
        <v>0</v>
      </c>
      <c r="J2842" s="1">
        <v>288274</v>
      </c>
      <c r="K2842">
        <f>VLOOKUP(F2842,'LEAID Match'!$A$2:$C$2979,3,FALSE)</f>
        <v>2004380</v>
      </c>
    </row>
    <row r="2843" spans="1:11" x14ac:dyDescent="0.2">
      <c r="A2843">
        <v>2006450</v>
      </c>
      <c r="B2843">
        <v>2023</v>
      </c>
      <c r="C2843" t="s">
        <v>6</v>
      </c>
      <c r="D2843" t="s">
        <v>7</v>
      </c>
      <c r="E2843" t="s">
        <v>8</v>
      </c>
      <c r="F2843" s="29">
        <v>5099</v>
      </c>
      <c r="G2843" t="s">
        <v>159</v>
      </c>
      <c r="H2843" s="1">
        <v>924208</v>
      </c>
      <c r="I2843" s="1">
        <v>0</v>
      </c>
      <c r="J2843" s="1">
        <v>924208</v>
      </c>
      <c r="K2843">
        <f>VLOOKUP(F2843,'LEAID Match'!$A$2:$C$2979,3,FALSE)</f>
        <v>2006450</v>
      </c>
    </row>
    <row r="2844" spans="1:11" x14ac:dyDescent="0.2">
      <c r="A2844">
        <v>2010260</v>
      </c>
      <c r="B2844">
        <v>2023</v>
      </c>
      <c r="C2844" t="s">
        <v>6</v>
      </c>
      <c r="D2844" t="s">
        <v>7</v>
      </c>
      <c r="E2844" t="s">
        <v>8</v>
      </c>
      <c r="F2844" s="29">
        <v>5100</v>
      </c>
      <c r="G2844" s="9" t="s">
        <v>160</v>
      </c>
      <c r="H2844" s="1">
        <v>1017943</v>
      </c>
      <c r="I2844" s="1">
        <v>0</v>
      </c>
      <c r="J2844" s="1">
        <v>1017943</v>
      </c>
      <c r="K2844">
        <f>VLOOKUP(F2844,'LEAID Match'!$A$2:$C$2979,3,FALSE)</f>
        <v>2010260</v>
      </c>
    </row>
    <row r="2845" spans="1:11" x14ac:dyDescent="0.2">
      <c r="A2845">
        <v>2011700</v>
      </c>
      <c r="B2845">
        <v>2023</v>
      </c>
      <c r="C2845" t="s">
        <v>6</v>
      </c>
      <c r="D2845" t="s">
        <v>7</v>
      </c>
      <c r="E2845" t="s">
        <v>8</v>
      </c>
      <c r="F2845" s="34">
        <v>5101</v>
      </c>
      <c r="G2845" s="3" t="s">
        <v>161</v>
      </c>
      <c r="H2845" s="22">
        <v>720091</v>
      </c>
      <c r="I2845" s="1">
        <v>0</v>
      </c>
      <c r="J2845" s="1">
        <v>720091</v>
      </c>
      <c r="K2845">
        <f>VLOOKUP(F2845,'LEAID Match'!$A$2:$C$2979,3,FALSE)</f>
        <v>2011700</v>
      </c>
    </row>
    <row r="2846" spans="1:11" x14ac:dyDescent="0.2">
      <c r="A2846">
        <v>2004890</v>
      </c>
      <c r="B2846">
        <v>2023</v>
      </c>
      <c r="C2846" t="s">
        <v>6</v>
      </c>
      <c r="D2846" t="s">
        <v>7</v>
      </c>
      <c r="E2846" t="s">
        <v>8</v>
      </c>
      <c r="F2846" s="34">
        <v>5102</v>
      </c>
      <c r="G2846" s="3" t="s">
        <v>162</v>
      </c>
      <c r="H2846" s="1">
        <v>1561876</v>
      </c>
      <c r="I2846" s="21">
        <v>0</v>
      </c>
      <c r="J2846" s="21">
        <v>1561876</v>
      </c>
      <c r="K2846">
        <f>VLOOKUP(F2846,'LEAID Match'!$A$2:$C$2979,3,FALSE)</f>
        <v>2004890</v>
      </c>
    </row>
    <row r="2847" spans="1:11" x14ac:dyDescent="0.2">
      <c r="A2847">
        <v>2010890</v>
      </c>
      <c r="B2847">
        <v>2023</v>
      </c>
      <c r="C2847" t="s">
        <v>6</v>
      </c>
      <c r="D2847" t="s">
        <v>7</v>
      </c>
      <c r="E2847" t="s">
        <v>8</v>
      </c>
      <c r="F2847" s="34">
        <v>5103</v>
      </c>
      <c r="G2847" s="3" t="s">
        <v>163</v>
      </c>
      <c r="H2847" s="1">
        <v>935718</v>
      </c>
      <c r="I2847" s="1">
        <v>0</v>
      </c>
      <c r="J2847" s="1">
        <v>935718</v>
      </c>
      <c r="K2847">
        <f>VLOOKUP(F2847,'LEAID Match'!$A$2:$C$2979,3,FALSE)</f>
        <v>2010890</v>
      </c>
    </row>
    <row r="2848" spans="1:11" x14ac:dyDescent="0.2">
      <c r="A2848">
        <v>2004440</v>
      </c>
      <c r="B2848">
        <v>2023</v>
      </c>
      <c r="C2848" t="s">
        <v>6</v>
      </c>
      <c r="D2848" t="s">
        <v>7</v>
      </c>
      <c r="E2848" t="s">
        <v>8</v>
      </c>
      <c r="F2848" s="29">
        <v>5104</v>
      </c>
      <c r="G2848" t="s">
        <v>164</v>
      </c>
      <c r="H2848" s="1">
        <v>299231</v>
      </c>
      <c r="I2848" s="1">
        <v>0</v>
      </c>
      <c r="J2848" s="1">
        <v>299231</v>
      </c>
      <c r="K2848">
        <f>VLOOKUP(F2848,'LEAID Match'!$A$2:$C$2979,3,FALSE)</f>
        <v>2004440</v>
      </c>
    </row>
    <row r="2849" spans="1:11" x14ac:dyDescent="0.2">
      <c r="A2849">
        <v>2004140</v>
      </c>
      <c r="B2849">
        <v>2023</v>
      </c>
      <c r="C2849" t="s">
        <v>6</v>
      </c>
      <c r="D2849" t="s">
        <v>7</v>
      </c>
      <c r="E2849" t="s">
        <v>8</v>
      </c>
      <c r="F2849" s="29">
        <v>5105</v>
      </c>
      <c r="G2849" t="s">
        <v>165</v>
      </c>
      <c r="H2849" s="1">
        <v>268934</v>
      </c>
      <c r="I2849" s="1">
        <v>0</v>
      </c>
      <c r="J2849" s="1">
        <v>268934</v>
      </c>
      <c r="K2849">
        <f>VLOOKUP(F2849,'LEAID Match'!$A$2:$C$2979,3,FALSE)</f>
        <v>2004140</v>
      </c>
    </row>
    <row r="2850" spans="1:11" x14ac:dyDescent="0.2">
      <c r="A2850">
        <v>2008190</v>
      </c>
      <c r="B2850">
        <v>2023</v>
      </c>
      <c r="C2850" t="s">
        <v>6</v>
      </c>
      <c r="D2850" t="s">
        <v>7</v>
      </c>
      <c r="E2850" t="s">
        <v>8</v>
      </c>
      <c r="F2850" s="29">
        <v>5106</v>
      </c>
      <c r="G2850" t="s">
        <v>166</v>
      </c>
      <c r="H2850" s="1">
        <v>735667</v>
      </c>
      <c r="I2850" s="1">
        <v>0</v>
      </c>
      <c r="J2850" s="1">
        <v>735667</v>
      </c>
      <c r="K2850">
        <f>VLOOKUP(F2850,'LEAID Match'!$A$2:$C$2979,3,FALSE)</f>
        <v>2008190</v>
      </c>
    </row>
    <row r="2851" spans="1:11" x14ac:dyDescent="0.2">
      <c r="A2851">
        <v>2007560</v>
      </c>
      <c r="B2851">
        <v>2023</v>
      </c>
      <c r="C2851" t="s">
        <v>6</v>
      </c>
      <c r="D2851" t="s">
        <v>7</v>
      </c>
      <c r="E2851" t="s">
        <v>8</v>
      </c>
      <c r="F2851" s="29">
        <v>5116</v>
      </c>
      <c r="G2851" t="s">
        <v>167</v>
      </c>
      <c r="H2851" s="20">
        <v>999085</v>
      </c>
      <c r="I2851" s="1">
        <v>0</v>
      </c>
      <c r="J2851" s="1">
        <v>999085</v>
      </c>
      <c r="K2851">
        <f>VLOOKUP(F2851,'LEAID Match'!$A$2:$C$2979,3,FALSE)</f>
        <v>2007560</v>
      </c>
    </row>
    <row r="2852" spans="1:11" x14ac:dyDescent="0.2">
      <c r="A2852">
        <v>2003270</v>
      </c>
      <c r="B2852">
        <v>2023</v>
      </c>
      <c r="C2852" t="s">
        <v>6</v>
      </c>
      <c r="D2852" t="s">
        <v>7</v>
      </c>
      <c r="E2852" t="s">
        <v>8</v>
      </c>
      <c r="F2852" s="29">
        <v>5117</v>
      </c>
      <c r="G2852" t="s">
        <v>168</v>
      </c>
      <c r="H2852" s="1">
        <v>166678</v>
      </c>
      <c r="I2852" s="1">
        <v>0</v>
      </c>
      <c r="J2852" s="1">
        <v>166678</v>
      </c>
      <c r="K2852">
        <f>VLOOKUP(F2852,'LEAID Match'!$A$2:$C$2979,3,FALSE)</f>
        <v>2003270</v>
      </c>
    </row>
    <row r="2853" spans="1:11" x14ac:dyDescent="0.2">
      <c r="A2853">
        <v>2012420</v>
      </c>
      <c r="B2853">
        <v>2023</v>
      </c>
      <c r="C2853" t="s">
        <v>6</v>
      </c>
      <c r="D2853" t="s">
        <v>7</v>
      </c>
      <c r="E2853" t="s">
        <v>8</v>
      </c>
      <c r="F2853" s="29">
        <v>5118</v>
      </c>
      <c r="G2853" s="9" t="s">
        <v>169</v>
      </c>
      <c r="H2853" s="1">
        <v>1365863</v>
      </c>
      <c r="I2853" s="1">
        <v>0</v>
      </c>
      <c r="J2853" s="1">
        <v>1365863</v>
      </c>
      <c r="K2853">
        <f>VLOOKUP(F2853,'LEAID Match'!$A$2:$C$2979,3,FALSE)</f>
        <v>2012420</v>
      </c>
    </row>
    <row r="2854" spans="1:11" x14ac:dyDescent="0.2">
      <c r="A2854">
        <v>2009600</v>
      </c>
      <c r="B2854">
        <v>2023</v>
      </c>
      <c r="C2854" t="s">
        <v>6</v>
      </c>
      <c r="D2854" t="s">
        <v>7</v>
      </c>
      <c r="E2854" t="s">
        <v>8</v>
      </c>
      <c r="F2854" s="34">
        <v>5119</v>
      </c>
      <c r="G2854" s="3" t="s">
        <v>170</v>
      </c>
      <c r="H2854" s="1">
        <v>309098</v>
      </c>
      <c r="I2854" s="21">
        <v>0</v>
      </c>
      <c r="J2854" s="21">
        <v>309098</v>
      </c>
      <c r="K2854">
        <f>VLOOKUP(F2854,'LEAID Match'!$A$2:$C$2979,3,FALSE)</f>
        <v>2009600</v>
      </c>
    </row>
    <row r="2855" spans="1:11" x14ac:dyDescent="0.2">
      <c r="A2855">
        <v>2006420</v>
      </c>
      <c r="B2855">
        <v>2023</v>
      </c>
      <c r="C2855" t="s">
        <v>6</v>
      </c>
      <c r="D2855" t="s">
        <v>7</v>
      </c>
      <c r="E2855" t="s">
        <v>8</v>
      </c>
      <c r="F2855" s="34">
        <v>5120</v>
      </c>
      <c r="G2855" s="3" t="s">
        <v>171</v>
      </c>
      <c r="H2855" s="1">
        <v>6222540</v>
      </c>
      <c r="I2855" s="1">
        <v>0</v>
      </c>
      <c r="J2855" s="1">
        <v>6222540</v>
      </c>
      <c r="K2855">
        <f>VLOOKUP(F2855,'LEAID Match'!$A$2:$C$2979,3,FALSE)</f>
        <v>2006420</v>
      </c>
    </row>
    <row r="2856" spans="1:11" x14ac:dyDescent="0.2">
      <c r="A2856">
        <v>2008130</v>
      </c>
      <c r="B2856">
        <v>2023</v>
      </c>
      <c r="C2856" t="s">
        <v>6</v>
      </c>
      <c r="D2856" t="s">
        <v>7</v>
      </c>
      <c r="E2856" t="s">
        <v>8</v>
      </c>
      <c r="F2856" s="29">
        <v>5122</v>
      </c>
      <c r="G2856" t="s">
        <v>172</v>
      </c>
      <c r="H2856" s="1">
        <v>254856</v>
      </c>
      <c r="I2856" s="1">
        <v>0</v>
      </c>
      <c r="J2856" s="1">
        <v>254856</v>
      </c>
      <c r="K2856">
        <f>VLOOKUP(F2856,'LEAID Match'!$A$2:$C$2979,3,FALSE)</f>
        <v>2008130</v>
      </c>
    </row>
    <row r="2857" spans="1:11" x14ac:dyDescent="0.2">
      <c r="A2857">
        <v>2009660</v>
      </c>
      <c r="B2857">
        <v>2023</v>
      </c>
      <c r="C2857" t="s">
        <v>6</v>
      </c>
      <c r="D2857" t="s">
        <v>7</v>
      </c>
      <c r="E2857" t="s">
        <v>8</v>
      </c>
      <c r="F2857" s="29">
        <v>5123</v>
      </c>
      <c r="G2857" t="s">
        <v>173</v>
      </c>
      <c r="H2857" s="1">
        <v>260861</v>
      </c>
      <c r="I2857" s="1">
        <v>0</v>
      </c>
      <c r="J2857" s="1">
        <v>260861</v>
      </c>
      <c r="K2857">
        <f>VLOOKUP(F2857,'LEAID Match'!$A$2:$C$2979,3,FALSE)</f>
        <v>2009660</v>
      </c>
    </row>
    <row r="2858" spans="1:11" x14ac:dyDescent="0.2">
      <c r="A2858">
        <v>2000003</v>
      </c>
      <c r="B2858">
        <v>2023</v>
      </c>
      <c r="C2858" t="s">
        <v>6</v>
      </c>
      <c r="D2858" t="s">
        <v>7</v>
      </c>
      <c r="E2858" t="s">
        <v>8</v>
      </c>
      <c r="F2858" s="29">
        <v>5125</v>
      </c>
      <c r="G2858" t="s">
        <v>174</v>
      </c>
      <c r="H2858" s="1">
        <v>1823995</v>
      </c>
      <c r="I2858" s="1">
        <v>0</v>
      </c>
      <c r="J2858" s="1">
        <v>1823995</v>
      </c>
      <c r="K2858">
        <f>VLOOKUP(F2858,'LEAID Match'!$A$2:$C$2979,3,FALSE)</f>
        <v>2000003</v>
      </c>
    </row>
    <row r="2859" spans="1:11" x14ac:dyDescent="0.2">
      <c r="A2859">
        <v>2005370</v>
      </c>
      <c r="B2859">
        <v>2023</v>
      </c>
      <c r="C2859" t="s">
        <v>6</v>
      </c>
      <c r="D2859" t="s">
        <v>7</v>
      </c>
      <c r="E2859" t="s">
        <v>8</v>
      </c>
      <c r="F2859" s="29">
        <v>5127</v>
      </c>
      <c r="G2859" t="s">
        <v>175</v>
      </c>
      <c r="H2859" s="20">
        <v>229056</v>
      </c>
      <c r="I2859" s="1">
        <v>0</v>
      </c>
      <c r="J2859" s="1">
        <v>229056</v>
      </c>
      <c r="K2859">
        <f>VLOOKUP(F2859,'LEAID Match'!$A$2:$C$2979,3,FALSE)</f>
        <v>2005370</v>
      </c>
    </row>
    <row r="2860" spans="1:11" x14ac:dyDescent="0.2">
      <c r="A2860">
        <v>2004830</v>
      </c>
      <c r="B2860">
        <v>2023</v>
      </c>
      <c r="C2860" t="s">
        <v>6</v>
      </c>
      <c r="D2860" t="s">
        <v>7</v>
      </c>
      <c r="E2860" t="s">
        <v>8</v>
      </c>
      <c r="F2860" s="29">
        <v>5128</v>
      </c>
      <c r="G2860" t="s">
        <v>176</v>
      </c>
      <c r="H2860" s="1">
        <v>363949</v>
      </c>
      <c r="I2860" s="1">
        <v>0</v>
      </c>
      <c r="J2860" s="1">
        <v>363949</v>
      </c>
      <c r="K2860">
        <f>VLOOKUP(F2860,'LEAID Match'!$A$2:$C$2979,3,FALSE)</f>
        <v>2004830</v>
      </c>
    </row>
    <row r="2861" spans="1:11" x14ac:dyDescent="0.2">
      <c r="A2861">
        <v>2009320</v>
      </c>
      <c r="B2861">
        <v>2023</v>
      </c>
      <c r="C2861" t="s">
        <v>6</v>
      </c>
      <c r="D2861" t="s">
        <v>7</v>
      </c>
      <c r="E2861" t="s">
        <v>8</v>
      </c>
      <c r="F2861" s="29">
        <v>5129</v>
      </c>
      <c r="G2861" s="9" t="s">
        <v>177</v>
      </c>
      <c r="H2861" s="1">
        <v>852433</v>
      </c>
      <c r="I2861" s="1">
        <v>0</v>
      </c>
      <c r="J2861" s="1">
        <v>852433</v>
      </c>
      <c r="K2861">
        <f>VLOOKUP(F2861,'LEAID Match'!$A$2:$C$2979,3,FALSE)</f>
        <v>2009320</v>
      </c>
    </row>
    <row r="2862" spans="1:11" x14ac:dyDescent="0.2">
      <c r="A2862">
        <v>2010620</v>
      </c>
      <c r="B2862">
        <v>2023</v>
      </c>
      <c r="C2862" t="s">
        <v>6</v>
      </c>
      <c r="D2862" t="s">
        <v>7</v>
      </c>
      <c r="E2862" t="s">
        <v>8</v>
      </c>
      <c r="F2862" s="34">
        <v>5130</v>
      </c>
      <c r="G2862" s="3" t="s">
        <v>178</v>
      </c>
      <c r="H2862" s="1">
        <v>696948</v>
      </c>
      <c r="I2862" s="21">
        <v>0</v>
      </c>
      <c r="J2862" s="21">
        <v>696948</v>
      </c>
      <c r="K2862">
        <f>VLOOKUP(F2862,'LEAID Match'!$A$2:$C$2979,3,FALSE)</f>
        <v>2010620</v>
      </c>
    </row>
    <row r="2863" spans="1:11" x14ac:dyDescent="0.2">
      <c r="A2863">
        <v>2000016</v>
      </c>
      <c r="B2863">
        <v>2023</v>
      </c>
      <c r="C2863" t="s">
        <v>6</v>
      </c>
      <c r="D2863" t="s">
        <v>7</v>
      </c>
      <c r="E2863" t="s">
        <v>8</v>
      </c>
      <c r="F2863" s="34">
        <v>5131</v>
      </c>
      <c r="G2863" s="3" t="s">
        <v>179</v>
      </c>
      <c r="H2863" s="1">
        <v>822641</v>
      </c>
      <c r="I2863" s="1">
        <v>0</v>
      </c>
      <c r="J2863" s="1">
        <v>822641</v>
      </c>
      <c r="K2863">
        <f>VLOOKUP(F2863,'LEAID Match'!$A$2:$C$2979,3,FALSE)</f>
        <v>2000016</v>
      </c>
    </row>
    <row r="2864" spans="1:11" x14ac:dyDescent="0.2">
      <c r="A2864">
        <v>2010500</v>
      </c>
      <c r="B2864">
        <v>2023</v>
      </c>
      <c r="C2864" t="s">
        <v>6</v>
      </c>
      <c r="D2864" t="s">
        <v>7</v>
      </c>
      <c r="E2864" t="s">
        <v>8</v>
      </c>
      <c r="F2864" s="29">
        <v>5132</v>
      </c>
      <c r="G2864" t="s">
        <v>180</v>
      </c>
      <c r="H2864" s="1">
        <v>3173536</v>
      </c>
      <c r="I2864" s="1">
        <v>0</v>
      </c>
      <c r="J2864" s="1">
        <v>3173536</v>
      </c>
      <c r="K2864">
        <f>VLOOKUP(F2864,'LEAID Match'!$A$2:$C$2979,3,FALSE)</f>
        <v>2010500</v>
      </c>
    </row>
    <row r="2865" spans="1:11" x14ac:dyDescent="0.2">
      <c r="A2865">
        <v>2011820</v>
      </c>
      <c r="B2865">
        <v>2023</v>
      </c>
      <c r="C2865" t="s">
        <v>6</v>
      </c>
      <c r="D2865" t="s">
        <v>7</v>
      </c>
      <c r="E2865" t="s">
        <v>8</v>
      </c>
      <c r="F2865" s="29">
        <v>5133</v>
      </c>
      <c r="G2865" t="s">
        <v>181</v>
      </c>
      <c r="H2865" s="1">
        <v>311482</v>
      </c>
      <c r="I2865" s="1">
        <v>0</v>
      </c>
      <c r="J2865" s="1">
        <v>311482</v>
      </c>
      <c r="K2865">
        <f>VLOOKUP(F2865,'LEAID Match'!$A$2:$C$2979,3,FALSE)</f>
        <v>2011820</v>
      </c>
    </row>
    <row r="2866" spans="1:11" x14ac:dyDescent="0.2">
      <c r="A2866">
        <v>2011760</v>
      </c>
      <c r="B2866">
        <v>2023</v>
      </c>
      <c r="C2866" t="s">
        <v>6</v>
      </c>
      <c r="D2866" t="s">
        <v>7</v>
      </c>
      <c r="E2866" t="s">
        <v>8</v>
      </c>
      <c r="F2866" s="29">
        <v>5134</v>
      </c>
      <c r="G2866" t="s">
        <v>182</v>
      </c>
      <c r="H2866" s="1">
        <v>336620</v>
      </c>
      <c r="I2866" s="1">
        <v>0</v>
      </c>
      <c r="J2866" s="1">
        <v>336620</v>
      </c>
      <c r="K2866">
        <f>VLOOKUP(F2866,'LEAID Match'!$A$2:$C$2979,3,FALSE)</f>
        <v>2011760</v>
      </c>
    </row>
    <row r="2867" spans="1:11" x14ac:dyDescent="0.2">
      <c r="A2867">
        <v>2003630</v>
      </c>
      <c r="B2867">
        <v>2023</v>
      </c>
      <c r="C2867" t="s">
        <v>6</v>
      </c>
      <c r="D2867" t="s">
        <v>7</v>
      </c>
      <c r="E2867" t="s">
        <v>8</v>
      </c>
      <c r="F2867" s="29">
        <v>5135</v>
      </c>
      <c r="G2867" t="s">
        <v>183</v>
      </c>
      <c r="H2867" s="1">
        <v>1548608</v>
      </c>
      <c r="I2867" s="1">
        <v>0</v>
      </c>
      <c r="J2867" s="1">
        <v>1548608</v>
      </c>
      <c r="K2867">
        <f>VLOOKUP(F2867,'LEAID Match'!$A$2:$C$2979,3,FALSE)</f>
        <v>2003630</v>
      </c>
    </row>
    <row r="2868" spans="1:11" x14ac:dyDescent="0.2">
      <c r="A2868">
        <v>2012600</v>
      </c>
      <c r="B2868">
        <v>2023</v>
      </c>
      <c r="C2868" t="s">
        <v>6</v>
      </c>
      <c r="D2868" t="s">
        <v>7</v>
      </c>
      <c r="E2868" t="s">
        <v>8</v>
      </c>
      <c r="F2868" s="29">
        <v>5137</v>
      </c>
      <c r="G2868" s="9" t="s">
        <v>184</v>
      </c>
      <c r="H2868" s="1">
        <v>238462</v>
      </c>
      <c r="I2868" s="1">
        <v>0</v>
      </c>
      <c r="J2868" s="1">
        <v>238462</v>
      </c>
      <c r="K2868">
        <f>VLOOKUP(F2868,'LEAID Match'!$A$2:$C$2979,3,FALSE)</f>
        <v>2012600</v>
      </c>
    </row>
    <row r="2869" spans="1:11" x14ac:dyDescent="0.2">
      <c r="A2869">
        <v>2004260</v>
      </c>
      <c r="B2869">
        <v>2023</v>
      </c>
      <c r="C2869" t="s">
        <v>6</v>
      </c>
      <c r="D2869" t="s">
        <v>7</v>
      </c>
      <c r="E2869" t="s">
        <v>8</v>
      </c>
      <c r="F2869" s="34">
        <v>5138</v>
      </c>
      <c r="G2869" s="3" t="s">
        <v>185</v>
      </c>
      <c r="H2869" s="1">
        <v>256012</v>
      </c>
      <c r="I2869" s="21">
        <v>0</v>
      </c>
      <c r="J2869" s="21">
        <v>256012</v>
      </c>
      <c r="K2869">
        <f>VLOOKUP(F2869,'LEAID Match'!$A$2:$C$2979,3,FALSE)</f>
        <v>2004260</v>
      </c>
    </row>
    <row r="2870" spans="1:11" x14ac:dyDescent="0.2">
      <c r="A2870">
        <v>2012390</v>
      </c>
      <c r="B2870">
        <v>2023</v>
      </c>
      <c r="C2870" t="s">
        <v>6</v>
      </c>
      <c r="D2870" t="s">
        <v>7</v>
      </c>
      <c r="E2870" t="s">
        <v>8</v>
      </c>
      <c r="F2870" s="34">
        <v>5140</v>
      </c>
      <c r="G2870" s="3" t="s">
        <v>186</v>
      </c>
      <c r="H2870" s="1">
        <v>352680</v>
      </c>
      <c r="I2870" s="1">
        <v>0</v>
      </c>
      <c r="J2870" s="1">
        <v>352680</v>
      </c>
      <c r="K2870">
        <f>VLOOKUP(F2870,'LEAID Match'!$A$2:$C$2979,3,FALSE)</f>
        <v>2012390</v>
      </c>
    </row>
    <row r="2871" spans="1:11" x14ac:dyDescent="0.2">
      <c r="A2871">
        <v>0</v>
      </c>
      <c r="B2871">
        <v>2023</v>
      </c>
      <c r="C2871" t="s">
        <v>6</v>
      </c>
      <c r="D2871" t="s">
        <v>7</v>
      </c>
      <c r="E2871" t="s">
        <v>8</v>
      </c>
      <c r="F2871" s="29">
        <v>5141</v>
      </c>
      <c r="G2871" t="s">
        <v>187</v>
      </c>
      <c r="H2871" s="1">
        <v>389576</v>
      </c>
      <c r="I2871" s="1">
        <v>0</v>
      </c>
      <c r="J2871" s="1">
        <v>389576</v>
      </c>
      <c r="K2871">
        <f>VLOOKUP(F2871,'LEAID Match'!$A$2:$C$2979,3,FALSE)</f>
        <v>0</v>
      </c>
    </row>
    <row r="2872" spans="1:11" x14ac:dyDescent="0.2">
      <c r="A2872">
        <v>2006990</v>
      </c>
      <c r="B2872">
        <v>2023</v>
      </c>
      <c r="C2872" t="s">
        <v>6</v>
      </c>
      <c r="D2872" t="s">
        <v>7</v>
      </c>
      <c r="E2872" t="s">
        <v>8</v>
      </c>
      <c r="F2872" s="29">
        <v>5142</v>
      </c>
      <c r="G2872" t="s">
        <v>188</v>
      </c>
      <c r="H2872" s="1">
        <v>103302</v>
      </c>
      <c r="I2872" s="1">
        <v>0</v>
      </c>
      <c r="J2872" s="1">
        <v>103302</v>
      </c>
      <c r="K2872">
        <f>VLOOKUP(F2872,'LEAID Match'!$A$2:$C$2979,3,FALSE)</f>
        <v>2006990</v>
      </c>
    </row>
    <row r="2873" spans="1:11" x14ac:dyDescent="0.2">
      <c r="A2873">
        <v>2010020</v>
      </c>
      <c r="B2873">
        <v>2023</v>
      </c>
      <c r="C2873" t="s">
        <v>6</v>
      </c>
      <c r="D2873" t="s">
        <v>7</v>
      </c>
      <c r="E2873" t="s">
        <v>8</v>
      </c>
      <c r="F2873" s="29">
        <v>5143</v>
      </c>
      <c r="G2873" t="s">
        <v>189</v>
      </c>
      <c r="H2873" s="1">
        <v>581171</v>
      </c>
      <c r="I2873" s="1">
        <v>0</v>
      </c>
      <c r="J2873" s="1">
        <v>581171</v>
      </c>
      <c r="K2873">
        <f>VLOOKUP(F2873,'LEAID Match'!$A$2:$C$2979,3,FALSE)</f>
        <v>2010020</v>
      </c>
    </row>
    <row r="2874" spans="1:11" x14ac:dyDescent="0.2">
      <c r="A2874">
        <v>2005400</v>
      </c>
      <c r="B2874">
        <v>2023</v>
      </c>
      <c r="C2874" t="s">
        <v>6</v>
      </c>
      <c r="D2874" t="s">
        <v>7</v>
      </c>
      <c r="E2874" t="s">
        <v>8</v>
      </c>
      <c r="F2874" s="29">
        <v>5144</v>
      </c>
      <c r="G2874" t="s">
        <v>190</v>
      </c>
      <c r="H2874" s="20">
        <v>271410</v>
      </c>
      <c r="I2874" s="1">
        <v>0</v>
      </c>
      <c r="J2874" s="1">
        <v>271410</v>
      </c>
      <c r="K2874">
        <f>VLOOKUP(F2874,'LEAID Match'!$A$2:$C$2979,3,FALSE)</f>
        <v>2005400</v>
      </c>
    </row>
    <row r="2875" spans="1:11" x14ac:dyDescent="0.2">
      <c r="A2875">
        <v>0</v>
      </c>
      <c r="B2875">
        <v>2023</v>
      </c>
      <c r="C2875" t="s">
        <v>6</v>
      </c>
      <c r="D2875" t="s">
        <v>7</v>
      </c>
      <c r="E2875" t="s">
        <v>8</v>
      </c>
      <c r="F2875" s="29">
        <v>5145</v>
      </c>
      <c r="G2875" t="s">
        <v>191</v>
      </c>
      <c r="H2875" s="1">
        <v>271467</v>
      </c>
      <c r="I2875" s="1">
        <v>0</v>
      </c>
      <c r="J2875" s="1">
        <v>271467</v>
      </c>
      <c r="K2875">
        <f>VLOOKUP(F2875,'LEAID Match'!$A$2:$C$2979,3,FALSE)</f>
        <v>0</v>
      </c>
    </row>
    <row r="2876" spans="1:11" x14ac:dyDescent="0.2">
      <c r="A2876">
        <v>2005490</v>
      </c>
      <c r="B2876">
        <v>2023</v>
      </c>
      <c r="C2876" t="s">
        <v>6</v>
      </c>
      <c r="D2876" t="s">
        <v>7</v>
      </c>
      <c r="E2876" t="s">
        <v>8</v>
      </c>
      <c r="F2876" s="29">
        <v>5147</v>
      </c>
      <c r="G2876" s="9" t="s">
        <v>192</v>
      </c>
      <c r="H2876" s="1">
        <v>6832862</v>
      </c>
      <c r="I2876" s="1">
        <v>0</v>
      </c>
      <c r="J2876" s="1">
        <v>6832862</v>
      </c>
      <c r="K2876">
        <f>VLOOKUP(F2876,'LEAID Match'!$A$2:$C$2979,3,FALSE)</f>
        <v>2005490</v>
      </c>
    </row>
    <row r="2877" spans="1:11" x14ac:dyDescent="0.2">
      <c r="A2877">
        <v>2009570</v>
      </c>
      <c r="B2877">
        <v>2023</v>
      </c>
      <c r="C2877" t="s">
        <v>6</v>
      </c>
      <c r="D2877" t="s">
        <v>7</v>
      </c>
      <c r="E2877" t="s">
        <v>8</v>
      </c>
      <c r="F2877" s="34">
        <v>5148</v>
      </c>
      <c r="G2877" s="3" t="s">
        <v>193</v>
      </c>
      <c r="H2877" s="22">
        <v>598972</v>
      </c>
      <c r="I2877" s="1">
        <v>0</v>
      </c>
      <c r="J2877" s="1">
        <v>598972</v>
      </c>
      <c r="K2877">
        <f>VLOOKUP(F2877,'LEAID Match'!$A$2:$C$2979,3,FALSE)</f>
        <v>2009570</v>
      </c>
    </row>
    <row r="2878" spans="1:11" x14ac:dyDescent="0.2">
      <c r="A2878">
        <v>2004290</v>
      </c>
      <c r="B2878">
        <v>2023</v>
      </c>
      <c r="C2878" t="s">
        <v>6</v>
      </c>
      <c r="D2878" t="s">
        <v>7</v>
      </c>
      <c r="E2878" t="s">
        <v>8</v>
      </c>
      <c r="F2878" s="34">
        <v>5149</v>
      </c>
      <c r="G2878" s="3" t="s">
        <v>194</v>
      </c>
      <c r="H2878" s="1">
        <v>1184985</v>
      </c>
      <c r="I2878" s="21">
        <v>0</v>
      </c>
      <c r="J2878" s="21">
        <v>1184985</v>
      </c>
      <c r="K2878">
        <f>VLOOKUP(F2878,'LEAID Match'!$A$2:$C$2979,3,FALSE)</f>
        <v>2004290</v>
      </c>
    </row>
    <row r="2879" spans="1:11" x14ac:dyDescent="0.2">
      <c r="A2879">
        <v>2005790</v>
      </c>
      <c r="B2879">
        <v>2023</v>
      </c>
      <c r="C2879" t="s">
        <v>6</v>
      </c>
      <c r="D2879" t="s">
        <v>7</v>
      </c>
      <c r="E2879" t="s">
        <v>8</v>
      </c>
      <c r="F2879" s="34">
        <v>5077</v>
      </c>
      <c r="G2879" s="3" t="s">
        <v>195</v>
      </c>
      <c r="H2879" s="1">
        <v>452987</v>
      </c>
      <c r="I2879" s="1">
        <v>0</v>
      </c>
      <c r="J2879" s="1">
        <v>452987</v>
      </c>
      <c r="K2879">
        <f>VLOOKUP(F2879,'LEAID Match'!$A$2:$C$2979,3,FALSE)</f>
        <v>2005790</v>
      </c>
    </row>
    <row r="2880" spans="1:11" x14ac:dyDescent="0.2">
      <c r="A2880">
        <v>2010050</v>
      </c>
      <c r="B2880">
        <v>2023</v>
      </c>
      <c r="C2880" t="s">
        <v>6</v>
      </c>
      <c r="D2880" t="s">
        <v>7</v>
      </c>
      <c r="E2880" t="s">
        <v>8</v>
      </c>
      <c r="F2880" s="29">
        <v>5151</v>
      </c>
      <c r="G2880" t="s">
        <v>196</v>
      </c>
      <c r="H2880" s="1">
        <v>401055</v>
      </c>
      <c r="I2880" s="1">
        <v>0</v>
      </c>
      <c r="J2880" s="1">
        <v>401055</v>
      </c>
      <c r="K2880">
        <f>VLOOKUP(F2880,'LEAID Match'!$A$2:$C$2979,3,FALSE)</f>
        <v>2010050</v>
      </c>
    </row>
    <row r="2881" spans="1:11" x14ac:dyDescent="0.2">
      <c r="A2881">
        <v>2007500</v>
      </c>
      <c r="B2881">
        <v>2023</v>
      </c>
      <c r="C2881" t="s">
        <v>6</v>
      </c>
      <c r="D2881" t="s">
        <v>7</v>
      </c>
      <c r="E2881" t="s">
        <v>8</v>
      </c>
      <c r="F2881" s="29">
        <v>5152</v>
      </c>
      <c r="G2881" t="s">
        <v>197</v>
      </c>
      <c r="H2881" s="1">
        <v>739422</v>
      </c>
      <c r="I2881" s="1">
        <v>0</v>
      </c>
      <c r="J2881" s="1">
        <v>739422</v>
      </c>
      <c r="K2881">
        <f>VLOOKUP(F2881,'LEAID Match'!$A$2:$C$2979,3,FALSE)</f>
        <v>2007500</v>
      </c>
    </row>
    <row r="2882" spans="1:11" x14ac:dyDescent="0.2">
      <c r="A2882">
        <v>2005760</v>
      </c>
      <c r="B2882">
        <v>2023</v>
      </c>
      <c r="C2882" t="s">
        <v>6</v>
      </c>
      <c r="D2882" t="s">
        <v>7</v>
      </c>
      <c r="E2882" t="s">
        <v>8</v>
      </c>
      <c r="F2882" s="29">
        <v>5153</v>
      </c>
      <c r="G2882" t="s">
        <v>198</v>
      </c>
      <c r="H2882" s="1">
        <v>138056</v>
      </c>
      <c r="I2882" s="1">
        <v>0</v>
      </c>
      <c r="J2882" s="1">
        <v>138056</v>
      </c>
      <c r="K2882">
        <f>VLOOKUP(F2882,'LEAID Match'!$A$2:$C$2979,3,FALSE)</f>
        <v>2005760</v>
      </c>
    </row>
    <row r="2883" spans="1:11" x14ac:dyDescent="0.2">
      <c r="A2883">
        <v>2012120</v>
      </c>
      <c r="B2883">
        <v>2023</v>
      </c>
      <c r="C2883" t="s">
        <v>6</v>
      </c>
      <c r="D2883" t="s">
        <v>7</v>
      </c>
      <c r="E2883" t="s">
        <v>8</v>
      </c>
      <c r="F2883" s="29">
        <v>5154</v>
      </c>
      <c r="G2883" t="s">
        <v>199</v>
      </c>
      <c r="H2883" s="20">
        <v>232697</v>
      </c>
      <c r="I2883" s="1">
        <v>0</v>
      </c>
      <c r="J2883" s="1">
        <v>232697</v>
      </c>
      <c r="K2883">
        <f>VLOOKUP(F2883,'LEAID Match'!$A$2:$C$2979,3,FALSE)</f>
        <v>2012120</v>
      </c>
    </row>
    <row r="2884" spans="1:11" x14ac:dyDescent="0.2">
      <c r="A2884">
        <v>2010920</v>
      </c>
      <c r="B2884">
        <v>2023</v>
      </c>
      <c r="C2884" t="s">
        <v>6</v>
      </c>
      <c r="D2884" t="s">
        <v>7</v>
      </c>
      <c r="E2884" t="s">
        <v>8</v>
      </c>
      <c r="F2884" s="29">
        <v>5155</v>
      </c>
      <c r="G2884" t="s">
        <v>200</v>
      </c>
      <c r="H2884" s="1">
        <v>286091</v>
      </c>
      <c r="I2884" s="1">
        <v>0</v>
      </c>
      <c r="J2884" s="1">
        <v>286091</v>
      </c>
      <c r="K2884">
        <f>VLOOKUP(F2884,'LEAID Match'!$A$2:$C$2979,3,FALSE)</f>
        <v>2010920</v>
      </c>
    </row>
    <row r="2885" spans="1:11" x14ac:dyDescent="0.2">
      <c r="A2885">
        <v>2005010</v>
      </c>
      <c r="B2885">
        <v>2023</v>
      </c>
      <c r="C2885" t="s">
        <v>6</v>
      </c>
      <c r="D2885" t="s">
        <v>7</v>
      </c>
      <c r="E2885" t="s">
        <v>8</v>
      </c>
      <c r="F2885" s="29">
        <v>5156</v>
      </c>
      <c r="G2885" s="9" t="s">
        <v>201</v>
      </c>
      <c r="H2885" s="1">
        <v>792426</v>
      </c>
      <c r="I2885" s="1">
        <v>0</v>
      </c>
      <c r="J2885" s="1">
        <v>792426</v>
      </c>
      <c r="K2885">
        <f>VLOOKUP(F2885,'LEAID Match'!$A$2:$C$2979,3,FALSE)</f>
        <v>2005010</v>
      </c>
    </row>
    <row r="2886" spans="1:11" x14ac:dyDescent="0.2">
      <c r="A2886">
        <v>2008910</v>
      </c>
      <c r="B2886">
        <v>2023</v>
      </c>
      <c r="C2886" t="s">
        <v>6</v>
      </c>
      <c r="D2886" t="s">
        <v>7</v>
      </c>
      <c r="E2886" t="s">
        <v>8</v>
      </c>
      <c r="F2886" s="34">
        <v>5157</v>
      </c>
      <c r="G2886" s="3" t="s">
        <v>202</v>
      </c>
      <c r="H2886" s="22">
        <v>150444</v>
      </c>
      <c r="I2886" s="1">
        <v>0</v>
      </c>
      <c r="J2886" s="1">
        <v>150444</v>
      </c>
      <c r="K2886">
        <f>VLOOKUP(F2886,'LEAID Match'!$A$2:$C$2979,3,FALSE)</f>
        <v>2008910</v>
      </c>
    </row>
    <row r="2887" spans="1:11" x14ac:dyDescent="0.2">
      <c r="A2887">
        <v>2008070</v>
      </c>
      <c r="B2887">
        <v>2023</v>
      </c>
      <c r="C2887" t="s">
        <v>6</v>
      </c>
      <c r="D2887" t="s">
        <v>7</v>
      </c>
      <c r="E2887" t="s">
        <v>8</v>
      </c>
      <c r="F2887" s="34">
        <v>5158</v>
      </c>
      <c r="G2887" s="3" t="s">
        <v>203</v>
      </c>
      <c r="H2887" s="1">
        <v>848376</v>
      </c>
      <c r="I2887" s="21">
        <v>0</v>
      </c>
      <c r="J2887" s="21">
        <v>848376</v>
      </c>
      <c r="K2887">
        <f>VLOOKUP(F2887,'LEAID Match'!$A$2:$C$2979,3,FALSE)</f>
        <v>2008070</v>
      </c>
    </row>
    <row r="2888" spans="1:11" x14ac:dyDescent="0.2">
      <c r="A2888">
        <v>2005100</v>
      </c>
      <c r="B2888">
        <v>2023</v>
      </c>
      <c r="C2888" t="s">
        <v>6</v>
      </c>
      <c r="D2888" t="s">
        <v>7</v>
      </c>
      <c r="E2888" t="s">
        <v>8</v>
      </c>
      <c r="F2888" s="34">
        <v>5159</v>
      </c>
      <c r="G2888" s="3" t="s">
        <v>204</v>
      </c>
      <c r="H2888" s="1">
        <v>1384249</v>
      </c>
      <c r="I2888" s="1">
        <v>0</v>
      </c>
      <c r="J2888" s="1">
        <v>1384249</v>
      </c>
      <c r="K2888">
        <f>VLOOKUP(F2888,'LEAID Match'!$A$2:$C$2979,3,FALSE)</f>
        <v>2005100</v>
      </c>
    </row>
    <row r="2889" spans="1:11" x14ac:dyDescent="0.2">
      <c r="A2889">
        <v>2008100</v>
      </c>
      <c r="B2889">
        <v>2023</v>
      </c>
      <c r="C2889" t="s">
        <v>6</v>
      </c>
      <c r="D2889" t="s">
        <v>7</v>
      </c>
      <c r="E2889" t="s">
        <v>8</v>
      </c>
      <c r="F2889" s="29">
        <v>5160</v>
      </c>
      <c r="G2889" t="s">
        <v>205</v>
      </c>
      <c r="H2889" s="1">
        <v>342543</v>
      </c>
      <c r="I2889" s="1">
        <v>0</v>
      </c>
      <c r="J2889" s="1">
        <v>342543</v>
      </c>
      <c r="K2889">
        <f>VLOOKUP(F2889,'LEAID Match'!$A$2:$C$2979,3,FALSE)</f>
        <v>2008100</v>
      </c>
    </row>
    <row r="2890" spans="1:11" x14ac:dyDescent="0.2">
      <c r="A2890">
        <v>2005130</v>
      </c>
      <c r="B2890">
        <v>2023</v>
      </c>
      <c r="C2890" t="s">
        <v>6</v>
      </c>
      <c r="D2890" t="s">
        <v>7</v>
      </c>
      <c r="E2890" t="s">
        <v>8</v>
      </c>
      <c r="F2890" s="29">
        <v>5161</v>
      </c>
      <c r="G2890" t="s">
        <v>206</v>
      </c>
      <c r="H2890" s="1">
        <v>420579</v>
      </c>
      <c r="I2890" s="1">
        <v>0</v>
      </c>
      <c r="J2890" s="1">
        <v>420579</v>
      </c>
      <c r="K2890">
        <f>VLOOKUP(F2890,'LEAID Match'!$A$2:$C$2979,3,FALSE)</f>
        <v>2005130</v>
      </c>
    </row>
    <row r="2891" spans="1:11" x14ac:dyDescent="0.2">
      <c r="A2891">
        <v>2005700</v>
      </c>
      <c r="B2891">
        <v>2023</v>
      </c>
      <c r="C2891" t="s">
        <v>6</v>
      </c>
      <c r="D2891" t="s">
        <v>7</v>
      </c>
      <c r="E2891" t="s">
        <v>8</v>
      </c>
      <c r="F2891" s="29">
        <v>5162</v>
      </c>
      <c r="G2891" t="s">
        <v>207</v>
      </c>
      <c r="H2891" s="1">
        <v>433650</v>
      </c>
      <c r="I2891" s="1">
        <v>0</v>
      </c>
      <c r="J2891" s="1">
        <v>433650</v>
      </c>
      <c r="K2891">
        <f>VLOOKUP(F2891,'LEAID Match'!$A$2:$C$2979,3,FALSE)</f>
        <v>2005700</v>
      </c>
    </row>
    <row r="2892" spans="1:11" x14ac:dyDescent="0.2">
      <c r="A2892">
        <v>2008220</v>
      </c>
      <c r="B2892">
        <v>2023</v>
      </c>
      <c r="C2892" t="s">
        <v>6</v>
      </c>
      <c r="D2892" t="s">
        <v>7</v>
      </c>
      <c r="E2892" t="s">
        <v>8</v>
      </c>
      <c r="F2892" s="29">
        <v>5163</v>
      </c>
      <c r="G2892" t="s">
        <v>208</v>
      </c>
      <c r="H2892" s="20">
        <v>377290</v>
      </c>
      <c r="I2892" s="1">
        <v>0</v>
      </c>
      <c r="J2892" s="1">
        <v>377290</v>
      </c>
      <c r="K2892">
        <f>VLOOKUP(F2892,'LEAID Match'!$A$2:$C$2979,3,FALSE)</f>
        <v>2008220</v>
      </c>
    </row>
    <row r="2893" spans="1:11" x14ac:dyDescent="0.2">
      <c r="A2893">
        <v>2007530</v>
      </c>
      <c r="B2893">
        <v>2023</v>
      </c>
      <c r="C2893" t="s">
        <v>6</v>
      </c>
      <c r="D2893" t="s">
        <v>7</v>
      </c>
      <c r="E2893" t="s">
        <v>8</v>
      </c>
      <c r="F2893" s="29">
        <v>5164</v>
      </c>
      <c r="G2893" t="s">
        <v>209</v>
      </c>
      <c r="H2893" s="1">
        <v>402147</v>
      </c>
      <c r="I2893" s="1">
        <v>0</v>
      </c>
      <c r="J2893" s="1">
        <v>402147</v>
      </c>
      <c r="K2893">
        <f>VLOOKUP(F2893,'LEAID Match'!$A$2:$C$2979,3,FALSE)</f>
        <v>2007530</v>
      </c>
    </row>
    <row r="2894" spans="1:11" x14ac:dyDescent="0.2">
      <c r="A2894">
        <v>2012330</v>
      </c>
      <c r="B2894">
        <v>2023</v>
      </c>
      <c r="C2894" t="s">
        <v>6</v>
      </c>
      <c r="D2894" t="s">
        <v>7</v>
      </c>
      <c r="E2894" t="s">
        <v>8</v>
      </c>
      <c r="F2894" s="29">
        <v>5166</v>
      </c>
      <c r="G2894" s="9" t="s">
        <v>210</v>
      </c>
      <c r="H2894" s="1">
        <v>259222</v>
      </c>
      <c r="I2894" s="1">
        <v>0</v>
      </c>
      <c r="J2894" s="1">
        <v>259222</v>
      </c>
      <c r="K2894">
        <f>VLOOKUP(F2894,'LEAID Match'!$A$2:$C$2979,3,FALSE)</f>
        <v>2012330</v>
      </c>
    </row>
    <row r="2895" spans="1:11" x14ac:dyDescent="0.2">
      <c r="A2895">
        <v>2007470</v>
      </c>
      <c r="B2895">
        <v>2023</v>
      </c>
      <c r="C2895" t="s">
        <v>6</v>
      </c>
      <c r="D2895" t="s">
        <v>7</v>
      </c>
      <c r="E2895" t="s">
        <v>8</v>
      </c>
      <c r="F2895" s="34">
        <v>5167</v>
      </c>
      <c r="G2895" s="3" t="s">
        <v>211</v>
      </c>
      <c r="H2895" s="22">
        <v>599371</v>
      </c>
      <c r="I2895" s="1">
        <v>0</v>
      </c>
      <c r="J2895" s="1">
        <v>599371</v>
      </c>
      <c r="K2895">
        <f>VLOOKUP(F2895,'LEAID Match'!$A$2:$C$2979,3,FALSE)</f>
        <v>2007470</v>
      </c>
    </row>
    <row r="2896" spans="1:11" x14ac:dyDescent="0.2">
      <c r="A2896">
        <v>2007320</v>
      </c>
      <c r="B2896">
        <v>2023</v>
      </c>
      <c r="C2896" t="s">
        <v>6</v>
      </c>
      <c r="D2896" t="s">
        <v>7</v>
      </c>
      <c r="E2896" t="s">
        <v>8</v>
      </c>
      <c r="F2896" s="34">
        <v>5168</v>
      </c>
      <c r="G2896" s="3" t="s">
        <v>212</v>
      </c>
      <c r="H2896" s="1">
        <v>685435</v>
      </c>
      <c r="I2896" s="21">
        <v>0</v>
      </c>
      <c r="J2896" s="21">
        <v>685435</v>
      </c>
      <c r="K2896">
        <f>VLOOKUP(F2896,'LEAID Match'!$A$2:$C$2979,3,FALSE)</f>
        <v>2007320</v>
      </c>
    </row>
    <row r="2897" spans="1:11" x14ac:dyDescent="0.2">
      <c r="A2897">
        <v>2008880</v>
      </c>
      <c r="B2897">
        <v>2023</v>
      </c>
      <c r="C2897" t="s">
        <v>6</v>
      </c>
      <c r="D2897" t="s">
        <v>7</v>
      </c>
      <c r="E2897" t="s">
        <v>8</v>
      </c>
      <c r="F2897" s="34">
        <v>5171</v>
      </c>
      <c r="G2897" s="3" t="s">
        <v>213</v>
      </c>
      <c r="H2897" s="1">
        <v>284283</v>
      </c>
      <c r="I2897" s="1">
        <v>0</v>
      </c>
      <c r="J2897" s="1">
        <v>284283</v>
      </c>
      <c r="K2897">
        <f>VLOOKUP(F2897,'LEAID Match'!$A$2:$C$2979,3,FALSE)</f>
        <v>2008880</v>
      </c>
    </row>
    <row r="2898" spans="1:11" x14ac:dyDescent="0.2">
      <c r="A2898">
        <v>2004740</v>
      </c>
      <c r="B2898">
        <v>2023</v>
      </c>
      <c r="C2898" t="s">
        <v>6</v>
      </c>
      <c r="D2898" t="s">
        <v>7</v>
      </c>
      <c r="E2898" t="s">
        <v>8</v>
      </c>
      <c r="F2898" s="29">
        <v>5172</v>
      </c>
      <c r="G2898" t="s">
        <v>214</v>
      </c>
      <c r="H2898" s="1">
        <v>755712</v>
      </c>
      <c r="I2898" s="1">
        <v>0</v>
      </c>
      <c r="J2898" s="1">
        <v>755712</v>
      </c>
      <c r="K2898">
        <f>VLOOKUP(F2898,'LEAID Match'!$A$2:$C$2979,3,FALSE)</f>
        <v>2004740</v>
      </c>
    </row>
    <row r="2899" spans="1:11" x14ac:dyDescent="0.2">
      <c r="A2899">
        <v>2007860</v>
      </c>
      <c r="B2899">
        <v>2023</v>
      </c>
      <c r="C2899" t="s">
        <v>6</v>
      </c>
      <c r="D2899" t="s">
        <v>7</v>
      </c>
      <c r="E2899" t="s">
        <v>8</v>
      </c>
      <c r="F2899" s="29">
        <v>5173</v>
      </c>
      <c r="G2899" t="s">
        <v>215</v>
      </c>
      <c r="H2899" s="1">
        <v>361981</v>
      </c>
      <c r="I2899" s="1">
        <v>0</v>
      </c>
      <c r="J2899" s="1">
        <v>361981</v>
      </c>
      <c r="K2899">
        <f>VLOOKUP(F2899,'LEAID Match'!$A$2:$C$2979,3,FALSE)</f>
        <v>2007860</v>
      </c>
    </row>
    <row r="2900" spans="1:11" x14ac:dyDescent="0.2">
      <c r="A2900">
        <v>2007170</v>
      </c>
      <c r="B2900">
        <v>2023</v>
      </c>
      <c r="C2900" t="s">
        <v>6</v>
      </c>
      <c r="D2900" t="s">
        <v>7</v>
      </c>
      <c r="E2900" t="s">
        <v>8</v>
      </c>
      <c r="F2900" s="29">
        <v>5174</v>
      </c>
      <c r="G2900" t="s">
        <v>216</v>
      </c>
      <c r="H2900" s="1">
        <v>670847</v>
      </c>
      <c r="I2900" s="1">
        <v>0</v>
      </c>
      <c r="J2900" s="1">
        <v>670847</v>
      </c>
      <c r="K2900">
        <f>VLOOKUP(F2900,'LEAID Match'!$A$2:$C$2979,3,FALSE)</f>
        <v>2007170</v>
      </c>
    </row>
    <row r="2901" spans="1:11" x14ac:dyDescent="0.2">
      <c r="A2901">
        <v>2004230</v>
      </c>
      <c r="B2901">
        <v>2023</v>
      </c>
      <c r="C2901" t="s">
        <v>6</v>
      </c>
      <c r="D2901" t="s">
        <v>7</v>
      </c>
      <c r="E2901" t="s">
        <v>8</v>
      </c>
      <c r="F2901" s="29">
        <v>5175</v>
      </c>
      <c r="G2901" t="s">
        <v>217</v>
      </c>
      <c r="H2901" s="20">
        <v>306120</v>
      </c>
      <c r="I2901" s="1">
        <v>0</v>
      </c>
      <c r="J2901" s="1">
        <v>306120</v>
      </c>
      <c r="K2901">
        <f>VLOOKUP(F2901,'LEAID Match'!$A$2:$C$2979,3,FALSE)</f>
        <v>2004230</v>
      </c>
    </row>
    <row r="2902" spans="1:11" x14ac:dyDescent="0.2">
      <c r="A2902">
        <v>2008340</v>
      </c>
      <c r="B2902">
        <v>2023</v>
      </c>
      <c r="C2902" t="s">
        <v>6</v>
      </c>
      <c r="D2902" t="s">
        <v>7</v>
      </c>
      <c r="E2902" t="s">
        <v>8</v>
      </c>
      <c r="F2902" s="29">
        <v>5176</v>
      </c>
      <c r="G2902" t="s">
        <v>218</v>
      </c>
      <c r="H2902" s="1">
        <v>2496692</v>
      </c>
      <c r="I2902" s="1">
        <v>0</v>
      </c>
      <c r="J2902" s="1">
        <v>2496692</v>
      </c>
      <c r="K2902">
        <f>VLOOKUP(F2902,'LEAID Match'!$A$2:$C$2979,3,FALSE)</f>
        <v>2008340</v>
      </c>
    </row>
    <row r="2903" spans="1:11" x14ac:dyDescent="0.2">
      <c r="A2903">
        <v>2012000</v>
      </c>
      <c r="B2903">
        <v>2023</v>
      </c>
      <c r="C2903" t="s">
        <v>6</v>
      </c>
      <c r="D2903" t="s">
        <v>7</v>
      </c>
      <c r="E2903" t="s">
        <v>8</v>
      </c>
      <c r="F2903" s="29">
        <v>5185</v>
      </c>
      <c r="G2903" s="9" t="s">
        <v>219</v>
      </c>
      <c r="H2903" s="1">
        <v>21976456</v>
      </c>
      <c r="I2903" s="1">
        <v>0</v>
      </c>
      <c r="J2903" s="1">
        <v>21976456</v>
      </c>
      <c r="K2903">
        <f>VLOOKUP(F2903,'LEAID Match'!$A$2:$C$2979,3,FALSE)</f>
        <v>2012000</v>
      </c>
    </row>
    <row r="2904" spans="1:11" x14ac:dyDescent="0.2">
      <c r="A2904">
        <v>2000007</v>
      </c>
      <c r="B2904">
        <v>2023</v>
      </c>
      <c r="C2904" t="s">
        <v>6</v>
      </c>
      <c r="D2904" t="s">
        <v>7</v>
      </c>
      <c r="E2904" t="s">
        <v>8</v>
      </c>
      <c r="F2904" s="34">
        <v>5186</v>
      </c>
      <c r="G2904" s="3" t="s">
        <v>220</v>
      </c>
      <c r="H2904" s="22">
        <v>401351</v>
      </c>
      <c r="I2904" s="1">
        <v>0</v>
      </c>
      <c r="J2904" s="1">
        <v>401351</v>
      </c>
      <c r="K2904">
        <f>VLOOKUP(F2904,'LEAID Match'!$A$2:$C$2979,3,FALSE)</f>
        <v>2000007</v>
      </c>
    </row>
    <row r="2905" spans="1:11" x14ac:dyDescent="0.2">
      <c r="A2905">
        <v>2003960</v>
      </c>
      <c r="B2905">
        <v>2023</v>
      </c>
      <c r="C2905" t="s">
        <v>6</v>
      </c>
      <c r="D2905" t="s">
        <v>7</v>
      </c>
      <c r="E2905" t="s">
        <v>8</v>
      </c>
      <c r="F2905" s="34">
        <v>5187</v>
      </c>
      <c r="G2905" s="3" t="s">
        <v>221</v>
      </c>
      <c r="H2905" s="1">
        <v>536570</v>
      </c>
      <c r="I2905" s="21">
        <v>0</v>
      </c>
      <c r="J2905" s="21">
        <v>536570</v>
      </c>
      <c r="K2905">
        <f>VLOOKUP(F2905,'LEAID Match'!$A$2:$C$2979,3,FALSE)</f>
        <v>2003960</v>
      </c>
    </row>
    <row r="2906" spans="1:11" x14ac:dyDescent="0.2">
      <c r="A2906">
        <v>2012060</v>
      </c>
      <c r="B2906">
        <v>2023</v>
      </c>
      <c r="C2906" t="s">
        <v>6</v>
      </c>
      <c r="D2906" t="s">
        <v>7</v>
      </c>
      <c r="E2906" t="s">
        <v>8</v>
      </c>
      <c r="F2906" s="34">
        <v>5188</v>
      </c>
      <c r="G2906" s="3" t="s">
        <v>222</v>
      </c>
      <c r="H2906" s="1">
        <v>313851</v>
      </c>
      <c r="I2906" s="1">
        <v>0</v>
      </c>
      <c r="J2906" s="1">
        <v>313851</v>
      </c>
      <c r="K2906">
        <f>VLOOKUP(F2906,'LEAID Match'!$A$2:$C$2979,3,FALSE)</f>
        <v>2012060</v>
      </c>
    </row>
    <row r="2907" spans="1:11" x14ac:dyDescent="0.2">
      <c r="A2907">
        <v>2006780</v>
      </c>
      <c r="B2907">
        <v>2023</v>
      </c>
      <c r="C2907" t="s">
        <v>6</v>
      </c>
      <c r="D2907" t="s">
        <v>7</v>
      </c>
      <c r="E2907" t="s">
        <v>8</v>
      </c>
      <c r="F2907" s="29">
        <v>5189</v>
      </c>
      <c r="G2907" t="s">
        <v>223</v>
      </c>
      <c r="H2907" s="1">
        <v>113449</v>
      </c>
      <c r="I2907" s="1">
        <v>0</v>
      </c>
      <c r="J2907" s="1">
        <v>113449</v>
      </c>
      <c r="K2907">
        <f>VLOOKUP(F2907,'LEAID Match'!$A$2:$C$2979,3,FALSE)</f>
        <v>2006780</v>
      </c>
    </row>
    <row r="2908" spans="1:11" x14ac:dyDescent="0.2">
      <c r="A2908">
        <v>2011880</v>
      </c>
      <c r="B2908">
        <v>2023</v>
      </c>
      <c r="C2908" t="s">
        <v>6</v>
      </c>
      <c r="D2908" t="s">
        <v>7</v>
      </c>
      <c r="E2908" t="s">
        <v>8</v>
      </c>
      <c r="F2908" s="29">
        <v>5190</v>
      </c>
      <c r="G2908" t="s">
        <v>224</v>
      </c>
      <c r="H2908" s="1">
        <v>282399</v>
      </c>
      <c r="I2908" s="1">
        <v>0</v>
      </c>
      <c r="J2908" s="1">
        <v>282399</v>
      </c>
      <c r="K2908">
        <f>VLOOKUP(F2908,'LEAID Match'!$A$2:$C$2979,3,FALSE)</f>
        <v>2011880</v>
      </c>
    </row>
    <row r="2909" spans="1:11" x14ac:dyDescent="0.2">
      <c r="A2909">
        <v>2009990</v>
      </c>
      <c r="B2909">
        <v>2023</v>
      </c>
      <c r="C2909" t="s">
        <v>6</v>
      </c>
      <c r="D2909" t="s">
        <v>7</v>
      </c>
      <c r="E2909" t="s">
        <v>8</v>
      </c>
      <c r="F2909" s="29">
        <v>5191</v>
      </c>
      <c r="G2909" t="s">
        <v>225</v>
      </c>
      <c r="H2909" s="1">
        <v>1032686</v>
      </c>
      <c r="I2909" s="1">
        <v>0</v>
      </c>
      <c r="J2909" s="1">
        <v>1032686</v>
      </c>
      <c r="K2909">
        <f>VLOOKUP(F2909,'LEAID Match'!$A$2:$C$2979,3,FALSE)</f>
        <v>2009990</v>
      </c>
    </row>
    <row r="2910" spans="1:11" x14ac:dyDescent="0.2">
      <c r="A2910">
        <v>2008310</v>
      </c>
      <c r="B2910">
        <v>2023</v>
      </c>
      <c r="C2910" t="s">
        <v>6</v>
      </c>
      <c r="D2910" t="s">
        <v>7</v>
      </c>
      <c r="E2910" t="s">
        <v>8</v>
      </c>
      <c r="F2910" s="29">
        <v>5192</v>
      </c>
      <c r="G2910" t="s">
        <v>226</v>
      </c>
      <c r="H2910" s="20">
        <v>328329</v>
      </c>
      <c r="I2910" s="1">
        <v>0</v>
      </c>
      <c r="J2910" s="1">
        <v>328329</v>
      </c>
      <c r="K2910">
        <f>VLOOKUP(F2910,'LEAID Match'!$A$2:$C$2979,3,FALSE)</f>
        <v>2008310</v>
      </c>
    </row>
    <row r="2911" spans="1:11" x14ac:dyDescent="0.2">
      <c r="A2911">
        <v>2004200</v>
      </c>
      <c r="B2911">
        <v>2023</v>
      </c>
      <c r="C2911" t="s">
        <v>6</v>
      </c>
      <c r="D2911" t="s">
        <v>7</v>
      </c>
      <c r="E2911" t="s">
        <v>8</v>
      </c>
      <c r="F2911" s="29">
        <v>5193</v>
      </c>
      <c r="G2911" t="s">
        <v>227</v>
      </c>
      <c r="H2911" s="1">
        <v>1675877</v>
      </c>
      <c r="I2911" s="1">
        <v>0</v>
      </c>
      <c r="J2911" s="1">
        <v>1675877</v>
      </c>
      <c r="K2911">
        <f>VLOOKUP(F2911,'LEAID Match'!$A$2:$C$2979,3,FALSE)</f>
        <v>2004200</v>
      </c>
    </row>
    <row r="2912" spans="1:11" x14ac:dyDescent="0.2">
      <c r="A2912">
        <v>2000004</v>
      </c>
      <c r="B2912">
        <v>2023</v>
      </c>
      <c r="C2912" t="s">
        <v>6</v>
      </c>
      <c r="D2912" t="s">
        <v>7</v>
      </c>
      <c r="E2912" t="s">
        <v>8</v>
      </c>
      <c r="F2912" s="29">
        <v>5195</v>
      </c>
      <c r="G2912" s="9" t="s">
        <v>228</v>
      </c>
      <c r="H2912" s="1">
        <v>975325</v>
      </c>
      <c r="I2912" s="1">
        <v>0</v>
      </c>
      <c r="J2912" s="1">
        <v>975325</v>
      </c>
      <c r="K2912">
        <f>VLOOKUP(F2912,'LEAID Match'!$A$2:$C$2979,3,FALSE)</f>
        <v>2000004</v>
      </c>
    </row>
    <row r="2913" spans="1:11" x14ac:dyDescent="0.2">
      <c r="A2913">
        <v>2010320</v>
      </c>
      <c r="B2913">
        <v>2023</v>
      </c>
      <c r="C2913" t="s">
        <v>6</v>
      </c>
      <c r="D2913" t="s">
        <v>7</v>
      </c>
      <c r="E2913" t="s">
        <v>8</v>
      </c>
      <c r="F2913" s="34">
        <v>5196</v>
      </c>
      <c r="G2913" s="3" t="s">
        <v>229</v>
      </c>
      <c r="H2913" s="1">
        <v>590790</v>
      </c>
      <c r="I2913" s="21">
        <v>0</v>
      </c>
      <c r="J2913" s="21">
        <v>590790</v>
      </c>
      <c r="K2913">
        <f>VLOOKUP(F2913,'LEAID Match'!$A$2:$C$2979,3,FALSE)</f>
        <v>2010320</v>
      </c>
    </row>
    <row r="2914" spans="1:11" x14ac:dyDescent="0.2">
      <c r="A2914">
        <v>2009060</v>
      </c>
      <c r="B2914">
        <v>2023</v>
      </c>
      <c r="C2914" t="s">
        <v>6</v>
      </c>
      <c r="D2914" t="s">
        <v>7</v>
      </c>
      <c r="E2914" t="s">
        <v>8</v>
      </c>
      <c r="F2914" s="34">
        <v>5197</v>
      </c>
      <c r="G2914" s="3" t="s">
        <v>230</v>
      </c>
      <c r="H2914" s="1">
        <v>294461</v>
      </c>
      <c r="I2914" s="1">
        <v>0</v>
      </c>
      <c r="J2914" s="1">
        <v>294461</v>
      </c>
      <c r="K2914">
        <f>VLOOKUP(F2914,'LEAID Match'!$A$2:$C$2979,3,FALSE)</f>
        <v>2009060</v>
      </c>
    </row>
    <row r="2915" spans="1:11" x14ac:dyDescent="0.2">
      <c r="A2915">
        <v>2012840</v>
      </c>
      <c r="B2915">
        <v>2023</v>
      </c>
      <c r="C2915" t="s">
        <v>6</v>
      </c>
      <c r="D2915" t="s">
        <v>7</v>
      </c>
      <c r="E2915" t="s">
        <v>8</v>
      </c>
      <c r="F2915" s="29">
        <v>5198</v>
      </c>
      <c r="G2915" t="s">
        <v>231</v>
      </c>
      <c r="H2915" s="1">
        <v>1476201</v>
      </c>
      <c r="I2915" s="1">
        <v>0</v>
      </c>
      <c r="J2915" s="1">
        <v>1476201</v>
      </c>
      <c r="K2915">
        <f>VLOOKUP(F2915,'LEAID Match'!$A$2:$C$2979,3,FALSE)</f>
        <v>2012840</v>
      </c>
    </row>
    <row r="2916" spans="1:11" x14ac:dyDescent="0.2">
      <c r="A2916">
        <v>2005820</v>
      </c>
      <c r="B2916">
        <v>2023</v>
      </c>
      <c r="C2916" t="s">
        <v>6</v>
      </c>
      <c r="D2916" t="s">
        <v>7</v>
      </c>
      <c r="E2916" t="s">
        <v>8</v>
      </c>
      <c r="F2916" s="29">
        <v>5199</v>
      </c>
      <c r="G2916" t="s">
        <v>232</v>
      </c>
      <c r="H2916" s="1">
        <v>443730</v>
      </c>
      <c r="I2916" s="1">
        <v>0</v>
      </c>
      <c r="J2916" s="1">
        <v>443730</v>
      </c>
      <c r="K2916">
        <f>VLOOKUP(F2916,'LEAID Match'!$A$2:$C$2979,3,FALSE)</f>
        <v>2005820</v>
      </c>
    </row>
    <row r="2917" spans="1:11" x14ac:dyDescent="0.2">
      <c r="A2917">
        <v>2008250</v>
      </c>
      <c r="B2917">
        <v>2023</v>
      </c>
      <c r="C2917" t="s">
        <v>6</v>
      </c>
      <c r="D2917" t="s">
        <v>7</v>
      </c>
      <c r="E2917" t="s">
        <v>8</v>
      </c>
      <c r="F2917" s="29">
        <v>5200</v>
      </c>
      <c r="G2917" t="s">
        <v>233</v>
      </c>
      <c r="H2917" s="1">
        <v>1063198</v>
      </c>
      <c r="I2917" s="1">
        <v>0</v>
      </c>
      <c r="J2917" s="1">
        <v>1063198</v>
      </c>
      <c r="K2917">
        <f>VLOOKUP(F2917,'LEAID Match'!$A$2:$C$2979,3,FALSE)</f>
        <v>2008250</v>
      </c>
    </row>
    <row r="2918" spans="1:11" x14ac:dyDescent="0.2">
      <c r="A2918">
        <v>2004350</v>
      </c>
      <c r="B2918">
        <v>2023</v>
      </c>
      <c r="C2918" t="s">
        <v>6</v>
      </c>
      <c r="D2918" t="s">
        <v>7</v>
      </c>
      <c r="E2918" t="s">
        <v>8</v>
      </c>
      <c r="F2918" s="29">
        <v>5201</v>
      </c>
      <c r="G2918" t="s">
        <v>234</v>
      </c>
      <c r="H2918" s="1">
        <v>212561</v>
      </c>
      <c r="I2918" s="1">
        <v>0</v>
      </c>
      <c r="J2918" s="1">
        <v>212561</v>
      </c>
      <c r="K2918">
        <f>VLOOKUP(F2918,'LEAID Match'!$A$2:$C$2979,3,FALSE)</f>
        <v>2004350</v>
      </c>
    </row>
    <row r="2919" spans="1:11" x14ac:dyDescent="0.2">
      <c r="A2919">
        <v>2010290</v>
      </c>
      <c r="B2919">
        <v>2023</v>
      </c>
      <c r="C2919" t="s">
        <v>6</v>
      </c>
      <c r="D2919" t="s">
        <v>7</v>
      </c>
      <c r="E2919" t="s">
        <v>8</v>
      </c>
      <c r="F2919" s="29">
        <v>5202</v>
      </c>
      <c r="G2919" s="9" t="s">
        <v>235</v>
      </c>
      <c r="H2919" s="1">
        <v>288226</v>
      </c>
      <c r="I2919" s="1">
        <v>0</v>
      </c>
      <c r="J2919" s="1">
        <v>288226</v>
      </c>
      <c r="K2919">
        <f>VLOOKUP(F2919,'LEAID Match'!$A$2:$C$2979,3,FALSE)</f>
        <v>2010290</v>
      </c>
    </row>
    <row r="2920" spans="1:11" x14ac:dyDescent="0.2">
      <c r="A2920">
        <v>2000002</v>
      </c>
      <c r="B2920">
        <v>2023</v>
      </c>
      <c r="C2920" t="s">
        <v>6</v>
      </c>
      <c r="D2920" t="s">
        <v>7</v>
      </c>
      <c r="E2920" t="s">
        <v>8</v>
      </c>
      <c r="F2920" s="34">
        <v>5203</v>
      </c>
      <c r="G2920" s="3" t="s">
        <v>236</v>
      </c>
      <c r="H2920" s="22">
        <v>793995</v>
      </c>
      <c r="I2920" s="1">
        <v>0</v>
      </c>
      <c r="J2920" s="1">
        <v>793995</v>
      </c>
      <c r="K2920">
        <f>VLOOKUP(F2920,'LEAID Match'!$A$2:$C$2979,3,FALSE)</f>
        <v>2000002</v>
      </c>
    </row>
    <row r="2921" spans="1:11" x14ac:dyDescent="0.2">
      <c r="A2921">
        <v>2009030</v>
      </c>
      <c r="B2921">
        <v>2023</v>
      </c>
      <c r="C2921" t="s">
        <v>6</v>
      </c>
      <c r="D2921" t="s">
        <v>7</v>
      </c>
      <c r="E2921" t="s">
        <v>8</v>
      </c>
      <c r="F2921" s="34">
        <v>5204</v>
      </c>
      <c r="G2921" s="3" t="s">
        <v>237</v>
      </c>
      <c r="H2921" s="1">
        <v>1142451</v>
      </c>
      <c r="I2921" s="21">
        <v>0</v>
      </c>
      <c r="J2921" s="21">
        <v>1142451</v>
      </c>
      <c r="K2921">
        <f>VLOOKUP(F2921,'LEAID Match'!$A$2:$C$2979,3,FALSE)</f>
        <v>2009030</v>
      </c>
    </row>
    <row r="2922" spans="1:11" x14ac:dyDescent="0.2">
      <c r="A2922">
        <v>2009240</v>
      </c>
      <c r="B2922">
        <v>2023</v>
      </c>
      <c r="C2922" t="s">
        <v>6</v>
      </c>
      <c r="D2922" t="s">
        <v>7</v>
      </c>
      <c r="E2922" t="s">
        <v>8</v>
      </c>
      <c r="F2922" s="34">
        <v>5205</v>
      </c>
      <c r="G2922" s="3" t="s">
        <v>238</v>
      </c>
      <c r="H2922" s="1">
        <v>536196</v>
      </c>
      <c r="I2922" s="1">
        <v>0</v>
      </c>
      <c r="J2922" s="1">
        <v>536196</v>
      </c>
      <c r="K2922">
        <f>VLOOKUP(F2922,'LEAID Match'!$A$2:$C$2979,3,FALSE)</f>
        <v>2009240</v>
      </c>
    </row>
    <row r="2923" spans="1:11" x14ac:dyDescent="0.2">
      <c r="A2923">
        <v>2007290</v>
      </c>
      <c r="B2923">
        <v>2023</v>
      </c>
      <c r="C2923" t="s">
        <v>6</v>
      </c>
      <c r="D2923" t="s">
        <v>7</v>
      </c>
      <c r="E2923" t="s">
        <v>8</v>
      </c>
      <c r="F2923" s="29">
        <v>5206</v>
      </c>
      <c r="G2923" t="s">
        <v>239</v>
      </c>
      <c r="H2923" s="1">
        <v>529940</v>
      </c>
      <c r="I2923" s="1">
        <v>0</v>
      </c>
      <c r="J2923" s="1">
        <v>529940</v>
      </c>
      <c r="K2923">
        <f>VLOOKUP(F2923,'LEAID Match'!$A$2:$C$2979,3,FALSE)</f>
        <v>2007290</v>
      </c>
    </row>
    <row r="2924" spans="1:11" x14ac:dyDescent="0.2">
      <c r="A2924">
        <v>2008970</v>
      </c>
      <c r="B2924">
        <v>2023</v>
      </c>
      <c r="C2924" t="s">
        <v>6</v>
      </c>
      <c r="D2924" t="s">
        <v>7</v>
      </c>
      <c r="E2924" t="s">
        <v>8</v>
      </c>
      <c r="F2924" s="29">
        <v>5207</v>
      </c>
      <c r="G2924" t="s">
        <v>240</v>
      </c>
      <c r="H2924" s="1">
        <v>1148563</v>
      </c>
      <c r="I2924" s="1">
        <v>0</v>
      </c>
      <c r="J2924" s="1">
        <v>1148563</v>
      </c>
      <c r="K2924">
        <f>VLOOKUP(F2924,'LEAID Match'!$A$2:$C$2979,3,FALSE)</f>
        <v>2008970</v>
      </c>
    </row>
    <row r="2925" spans="1:11" x14ac:dyDescent="0.2">
      <c r="A2925">
        <v>2009780</v>
      </c>
      <c r="B2925">
        <v>2023</v>
      </c>
      <c r="C2925" t="s">
        <v>6</v>
      </c>
      <c r="D2925" t="s">
        <v>7</v>
      </c>
      <c r="E2925" t="s">
        <v>8</v>
      </c>
      <c r="F2925" s="29">
        <v>5208</v>
      </c>
      <c r="G2925" t="s">
        <v>241</v>
      </c>
      <c r="H2925" s="1">
        <v>372717</v>
      </c>
      <c r="I2925" s="1">
        <v>0</v>
      </c>
      <c r="J2925" s="1">
        <v>372717</v>
      </c>
      <c r="K2925">
        <f>VLOOKUP(F2925,'LEAID Match'!$A$2:$C$2979,3,FALSE)</f>
        <v>2009780</v>
      </c>
    </row>
    <row r="2926" spans="1:11" x14ac:dyDescent="0.2">
      <c r="A2926">
        <v>2006660</v>
      </c>
      <c r="B2926">
        <v>2023</v>
      </c>
      <c r="C2926" t="s">
        <v>6</v>
      </c>
      <c r="D2926" t="s">
        <v>7</v>
      </c>
      <c r="E2926" t="s">
        <v>8</v>
      </c>
      <c r="F2926" s="29">
        <v>5210</v>
      </c>
      <c r="G2926" t="s">
        <v>242</v>
      </c>
      <c r="H2926" s="20">
        <v>3718992</v>
      </c>
      <c r="I2926" s="1">
        <v>0</v>
      </c>
      <c r="J2926" s="1">
        <v>3718992</v>
      </c>
      <c r="K2926">
        <f>VLOOKUP(F2926,'LEAID Match'!$A$2:$C$2979,3,FALSE)</f>
        <v>2006660</v>
      </c>
    </row>
    <row r="2927" spans="1:11" x14ac:dyDescent="0.2">
      <c r="A2927">
        <v>2010410</v>
      </c>
      <c r="B2927">
        <v>2023</v>
      </c>
      <c r="C2927" t="s">
        <v>6</v>
      </c>
      <c r="D2927" t="s">
        <v>7</v>
      </c>
      <c r="E2927" t="s">
        <v>8</v>
      </c>
      <c r="F2927" s="29">
        <v>5212</v>
      </c>
      <c r="G2927" t="s">
        <v>243</v>
      </c>
      <c r="H2927" s="1">
        <v>930576</v>
      </c>
      <c r="I2927" s="1">
        <v>0</v>
      </c>
      <c r="J2927" s="1">
        <v>930576</v>
      </c>
      <c r="K2927">
        <f>VLOOKUP(F2927,'LEAID Match'!$A$2:$C$2979,3,FALSE)</f>
        <v>2010410</v>
      </c>
    </row>
    <row r="2928" spans="1:11" x14ac:dyDescent="0.2">
      <c r="A2928">
        <v>2004410</v>
      </c>
      <c r="B2928">
        <v>2023</v>
      </c>
      <c r="C2928" t="s">
        <v>6</v>
      </c>
      <c r="D2928" t="s">
        <v>7</v>
      </c>
      <c r="E2928" t="s">
        <v>8</v>
      </c>
      <c r="F2928" s="29">
        <v>5213</v>
      </c>
      <c r="G2928" s="9" t="s">
        <v>244</v>
      </c>
      <c r="H2928" s="1">
        <v>735128</v>
      </c>
      <c r="I2928" s="1">
        <v>0</v>
      </c>
      <c r="J2928" s="1">
        <v>735128</v>
      </c>
      <c r="K2928">
        <f>VLOOKUP(F2928,'LEAID Match'!$A$2:$C$2979,3,FALSE)</f>
        <v>2004410</v>
      </c>
    </row>
    <row r="2929" spans="1:11" x14ac:dyDescent="0.2">
      <c r="A2929">
        <v>2012180</v>
      </c>
      <c r="B2929">
        <v>2023</v>
      </c>
      <c r="C2929" t="s">
        <v>6</v>
      </c>
      <c r="D2929" t="s">
        <v>7</v>
      </c>
      <c r="E2929" t="s">
        <v>8</v>
      </c>
      <c r="F2929" s="34">
        <v>5214</v>
      </c>
      <c r="G2929" s="3" t="s">
        <v>245</v>
      </c>
      <c r="H2929" s="22">
        <v>3612609</v>
      </c>
      <c r="I2929" s="1">
        <v>0</v>
      </c>
      <c r="J2929" s="1">
        <v>3612609</v>
      </c>
      <c r="K2929">
        <f>VLOOKUP(F2929,'LEAID Match'!$A$2:$C$2979,3,FALSE)</f>
        <v>2012180</v>
      </c>
    </row>
    <row r="2930" spans="1:11" x14ac:dyDescent="0.2">
      <c r="A2930">
        <v>2000017</v>
      </c>
      <c r="B2930">
        <v>2023</v>
      </c>
      <c r="C2930" t="s">
        <v>6</v>
      </c>
      <c r="D2930" t="s">
        <v>7</v>
      </c>
      <c r="E2930" t="s">
        <v>8</v>
      </c>
      <c r="F2930" s="34">
        <v>5215</v>
      </c>
      <c r="G2930" s="3" t="s">
        <v>246</v>
      </c>
      <c r="H2930" s="1">
        <v>807078</v>
      </c>
      <c r="I2930" s="21">
        <v>0</v>
      </c>
      <c r="J2930" s="21">
        <v>807078</v>
      </c>
      <c r="K2930">
        <f>VLOOKUP(F2930,'LEAID Match'!$A$2:$C$2979,3,FALSE)</f>
        <v>2000017</v>
      </c>
    </row>
    <row r="2931" spans="1:11" x14ac:dyDescent="0.2">
      <c r="A2931">
        <v>2007740</v>
      </c>
      <c r="B2931">
        <v>2023</v>
      </c>
      <c r="C2931" t="s">
        <v>6</v>
      </c>
      <c r="D2931" t="s">
        <v>7</v>
      </c>
      <c r="E2931" t="s">
        <v>8</v>
      </c>
      <c r="F2931" s="34">
        <v>5150</v>
      </c>
      <c r="G2931" s="3" t="s">
        <v>247</v>
      </c>
      <c r="H2931" s="1">
        <v>1047376</v>
      </c>
      <c r="I2931" s="1">
        <v>0</v>
      </c>
      <c r="J2931" s="1">
        <v>1047376</v>
      </c>
      <c r="K2931">
        <f>VLOOKUP(F2931,'LEAID Match'!$A$2:$C$2979,3,FALSE)</f>
        <v>2007740</v>
      </c>
    </row>
    <row r="2932" spans="1:11" x14ac:dyDescent="0.2">
      <c r="A2932">
        <v>2005190</v>
      </c>
      <c r="B2932">
        <v>2023</v>
      </c>
      <c r="C2932" t="s">
        <v>6</v>
      </c>
      <c r="D2932" t="s">
        <v>7</v>
      </c>
      <c r="E2932" t="s">
        <v>8</v>
      </c>
      <c r="F2932" s="29">
        <v>5217</v>
      </c>
      <c r="G2932" t="s">
        <v>248</v>
      </c>
      <c r="H2932" s="1">
        <v>125073</v>
      </c>
      <c r="I2932" s="1">
        <v>0</v>
      </c>
      <c r="J2932" s="1">
        <v>125073</v>
      </c>
      <c r="K2932">
        <f>VLOOKUP(F2932,'LEAID Match'!$A$2:$C$2979,3,FALSE)</f>
        <v>2005190</v>
      </c>
    </row>
    <row r="2933" spans="1:11" x14ac:dyDescent="0.2">
      <c r="A2933">
        <v>2007440</v>
      </c>
      <c r="B2933">
        <v>2023</v>
      </c>
      <c r="C2933" t="s">
        <v>6</v>
      </c>
      <c r="D2933" t="s">
        <v>7</v>
      </c>
      <c r="E2933" t="s">
        <v>8</v>
      </c>
      <c r="F2933" s="29">
        <v>5218</v>
      </c>
      <c r="G2933" t="s">
        <v>249</v>
      </c>
      <c r="H2933" s="1">
        <v>318260</v>
      </c>
      <c r="I2933" s="1">
        <v>0</v>
      </c>
      <c r="J2933" s="1">
        <v>318260</v>
      </c>
      <c r="K2933">
        <f>VLOOKUP(F2933,'LEAID Match'!$A$2:$C$2979,3,FALSE)</f>
        <v>2007440</v>
      </c>
    </row>
    <row r="2934" spans="1:11" x14ac:dyDescent="0.2">
      <c r="A2934">
        <v>2011610</v>
      </c>
      <c r="B2934">
        <v>2023</v>
      </c>
      <c r="C2934" t="s">
        <v>6</v>
      </c>
      <c r="D2934" t="s">
        <v>7</v>
      </c>
      <c r="E2934" t="s">
        <v>8</v>
      </c>
      <c r="F2934" s="29">
        <v>5219</v>
      </c>
      <c r="G2934" t="s">
        <v>250</v>
      </c>
      <c r="H2934" s="1">
        <v>219322</v>
      </c>
      <c r="I2934" s="1">
        <v>0</v>
      </c>
      <c r="J2934" s="1">
        <v>219322</v>
      </c>
      <c r="K2934">
        <f>VLOOKUP(F2934,'LEAID Match'!$A$2:$C$2979,3,FALSE)</f>
        <v>2011610</v>
      </c>
    </row>
    <row r="2935" spans="1:11" x14ac:dyDescent="0.2">
      <c r="A2935">
        <v>2012810</v>
      </c>
      <c r="B2935">
        <v>2023</v>
      </c>
      <c r="C2935" t="s">
        <v>6</v>
      </c>
      <c r="D2935" t="s">
        <v>7</v>
      </c>
      <c r="E2935" t="s">
        <v>8</v>
      </c>
      <c r="F2935" s="29">
        <v>5220</v>
      </c>
      <c r="G2935" t="s">
        <v>251</v>
      </c>
      <c r="H2935" s="20">
        <v>442383</v>
      </c>
      <c r="I2935" s="1">
        <v>0</v>
      </c>
      <c r="J2935" s="1">
        <v>442383</v>
      </c>
      <c r="K2935">
        <f>VLOOKUP(F2935,'LEAID Match'!$A$2:$C$2979,3,FALSE)</f>
        <v>2012810</v>
      </c>
    </row>
    <row r="2936" spans="1:11" x14ac:dyDescent="0.2">
      <c r="A2936">
        <v>2005800</v>
      </c>
      <c r="B2936">
        <v>2023</v>
      </c>
      <c r="C2936" t="s">
        <v>6</v>
      </c>
      <c r="D2936" t="s">
        <v>7</v>
      </c>
      <c r="E2936" t="s">
        <v>8</v>
      </c>
      <c r="F2936" s="29">
        <v>5222</v>
      </c>
      <c r="G2936" t="s">
        <v>252</v>
      </c>
      <c r="H2936" s="1">
        <v>381216</v>
      </c>
      <c r="I2936" s="1">
        <v>0</v>
      </c>
      <c r="J2936" s="1">
        <v>381216</v>
      </c>
      <c r="K2936">
        <f>VLOOKUP(F2936,'LEAID Match'!$A$2:$C$2979,3,FALSE)</f>
        <v>2005800</v>
      </c>
    </row>
    <row r="2937" spans="1:11" x14ac:dyDescent="0.2">
      <c r="A2937">
        <v>2013020</v>
      </c>
      <c r="B2937">
        <v>2023</v>
      </c>
      <c r="C2937" t="s">
        <v>6</v>
      </c>
      <c r="D2937" t="s">
        <v>7</v>
      </c>
      <c r="E2937" t="s">
        <v>8</v>
      </c>
      <c r="F2937" s="29">
        <v>5223</v>
      </c>
      <c r="G2937" s="9" t="s">
        <v>253</v>
      </c>
      <c r="H2937" s="1">
        <v>428911</v>
      </c>
      <c r="I2937" s="1">
        <v>0</v>
      </c>
      <c r="J2937" s="1">
        <v>428911</v>
      </c>
      <c r="K2937">
        <f>VLOOKUP(F2937,'LEAID Match'!$A$2:$C$2979,3,FALSE)</f>
        <v>2013020</v>
      </c>
    </row>
    <row r="2938" spans="1:11" x14ac:dyDescent="0.2">
      <c r="A2938">
        <v>2004470</v>
      </c>
      <c r="B2938">
        <v>2023</v>
      </c>
      <c r="C2938" t="s">
        <v>6</v>
      </c>
      <c r="D2938" t="s">
        <v>7</v>
      </c>
      <c r="E2938" t="s">
        <v>8</v>
      </c>
      <c r="F2938" s="34">
        <v>5226</v>
      </c>
      <c r="G2938" s="3" t="s">
        <v>254</v>
      </c>
      <c r="H2938" s="22">
        <v>275717</v>
      </c>
      <c r="I2938" s="1">
        <v>0</v>
      </c>
      <c r="J2938" s="1">
        <v>275717</v>
      </c>
      <c r="K2938">
        <f>VLOOKUP(F2938,'LEAID Match'!$A$2:$C$2979,3,FALSE)</f>
        <v>2004470</v>
      </c>
    </row>
    <row r="2939" spans="1:11" x14ac:dyDescent="0.2">
      <c r="A2939">
        <v>2000013</v>
      </c>
      <c r="B2939">
        <v>2023</v>
      </c>
      <c r="C2939" t="s">
        <v>6</v>
      </c>
      <c r="D2939" t="s">
        <v>7</v>
      </c>
      <c r="E2939" t="s">
        <v>8</v>
      </c>
      <c r="F2939" s="34">
        <v>5227</v>
      </c>
      <c r="G2939" s="3" t="s">
        <v>255</v>
      </c>
      <c r="H2939" s="1">
        <v>100358</v>
      </c>
      <c r="I2939" s="21">
        <v>0</v>
      </c>
      <c r="J2939" s="21">
        <v>100358</v>
      </c>
      <c r="K2939">
        <f>VLOOKUP(F2939,'LEAID Match'!$A$2:$C$2979,3,FALSE)</f>
        <v>2000013</v>
      </c>
    </row>
    <row r="2940" spans="1:11" x14ac:dyDescent="0.2">
      <c r="A2940">
        <v>2006630</v>
      </c>
      <c r="B2940">
        <v>2023</v>
      </c>
      <c r="C2940" t="s">
        <v>6</v>
      </c>
      <c r="D2940" t="s">
        <v>7</v>
      </c>
      <c r="E2940" t="s">
        <v>8</v>
      </c>
      <c r="F2940" s="34">
        <v>5228</v>
      </c>
      <c r="G2940" s="3" t="s">
        <v>256</v>
      </c>
      <c r="H2940" s="1">
        <v>203936</v>
      </c>
      <c r="I2940" s="1">
        <v>0</v>
      </c>
      <c r="J2940" s="1">
        <v>203936</v>
      </c>
      <c r="K2940">
        <f>VLOOKUP(F2940,'LEAID Match'!$A$2:$C$2979,3,FALSE)</f>
        <v>2006630</v>
      </c>
    </row>
    <row r="2941" spans="1:11" x14ac:dyDescent="0.2">
      <c r="A2941">
        <v>2010080</v>
      </c>
      <c r="B2941">
        <v>2023</v>
      </c>
      <c r="C2941" t="s">
        <v>6</v>
      </c>
      <c r="D2941" t="s">
        <v>7</v>
      </c>
      <c r="E2941" t="s">
        <v>8</v>
      </c>
      <c r="F2941" s="29">
        <v>5229</v>
      </c>
      <c r="G2941" t="s">
        <v>257</v>
      </c>
      <c r="H2941" s="1">
        <v>358267</v>
      </c>
      <c r="I2941" s="1">
        <v>0</v>
      </c>
      <c r="J2941" s="1">
        <v>358267</v>
      </c>
      <c r="K2941">
        <f>VLOOKUP(F2941,'LEAID Match'!$A$2:$C$2979,3,FALSE)</f>
        <v>2010080</v>
      </c>
    </row>
    <row r="2942" spans="1:11" x14ac:dyDescent="0.2">
      <c r="A2942">
        <v>2006960</v>
      </c>
      <c r="B2942">
        <v>2023</v>
      </c>
      <c r="C2942" t="s">
        <v>6</v>
      </c>
      <c r="D2942" t="s">
        <v>7</v>
      </c>
      <c r="E2942" t="s">
        <v>8</v>
      </c>
      <c r="F2942" s="29">
        <v>5230</v>
      </c>
      <c r="G2942" t="s">
        <v>258</v>
      </c>
      <c r="H2942" s="1">
        <v>735897</v>
      </c>
      <c r="I2942" s="1">
        <v>0</v>
      </c>
      <c r="J2942" s="1">
        <v>735897</v>
      </c>
      <c r="K2942">
        <f>VLOOKUP(F2942,'LEAID Match'!$A$2:$C$2979,3,FALSE)</f>
        <v>2006960</v>
      </c>
    </row>
    <row r="2943" spans="1:11" x14ac:dyDescent="0.2">
      <c r="A2943">
        <v>2007380</v>
      </c>
      <c r="B2943">
        <v>2023</v>
      </c>
      <c r="C2943" t="s">
        <v>6</v>
      </c>
      <c r="D2943" t="s">
        <v>7</v>
      </c>
      <c r="E2943" t="s">
        <v>8</v>
      </c>
      <c r="F2943" s="29">
        <v>5231</v>
      </c>
      <c r="G2943" t="s">
        <v>259</v>
      </c>
      <c r="H2943" s="1">
        <v>1456788</v>
      </c>
      <c r="I2943" s="1">
        <v>0</v>
      </c>
      <c r="J2943" s="1">
        <v>1456788</v>
      </c>
      <c r="K2943">
        <f>VLOOKUP(F2943,'LEAID Match'!$A$2:$C$2979,3,FALSE)</f>
        <v>2007380</v>
      </c>
    </row>
    <row r="2944" spans="1:11" x14ac:dyDescent="0.2">
      <c r="A2944">
        <v>2003200</v>
      </c>
      <c r="B2944">
        <v>2023</v>
      </c>
      <c r="C2944" t="s">
        <v>6</v>
      </c>
      <c r="D2944" t="s">
        <v>7</v>
      </c>
      <c r="E2944" t="s">
        <v>8</v>
      </c>
      <c r="F2944" s="29">
        <v>5233</v>
      </c>
      <c r="G2944" t="s">
        <v>260</v>
      </c>
      <c r="H2944" s="20">
        <v>6286205</v>
      </c>
      <c r="I2944" s="1">
        <v>0</v>
      </c>
      <c r="J2944" s="1">
        <v>6286205</v>
      </c>
      <c r="K2944">
        <f>VLOOKUP(F2944,'LEAID Match'!$A$2:$C$2979,3,FALSE)</f>
        <v>2003200</v>
      </c>
    </row>
    <row r="2945" spans="1:11" x14ac:dyDescent="0.2">
      <c r="A2945">
        <v>2008040</v>
      </c>
      <c r="B2945">
        <v>2023</v>
      </c>
      <c r="C2945" t="s">
        <v>6</v>
      </c>
      <c r="D2945" t="s">
        <v>7</v>
      </c>
      <c r="E2945" t="s">
        <v>8</v>
      </c>
      <c r="F2945" s="29">
        <v>5235</v>
      </c>
      <c r="G2945" t="s">
        <v>261</v>
      </c>
      <c r="H2945" s="1">
        <v>238518</v>
      </c>
      <c r="I2945" s="1">
        <v>0</v>
      </c>
      <c r="J2945" s="1">
        <v>238518</v>
      </c>
      <c r="K2945">
        <f>VLOOKUP(F2945,'LEAID Match'!$A$2:$C$2979,3,FALSE)</f>
        <v>2008040</v>
      </c>
    </row>
    <row r="2946" spans="1:11" x14ac:dyDescent="0.2">
      <c r="A2946">
        <v>2006060</v>
      </c>
      <c r="B2946">
        <v>2023</v>
      </c>
      <c r="C2946" t="s">
        <v>6</v>
      </c>
      <c r="D2946" t="s">
        <v>7</v>
      </c>
      <c r="E2946" t="s">
        <v>8</v>
      </c>
      <c r="F2946" s="29">
        <v>5236</v>
      </c>
      <c r="G2946" s="9" t="s">
        <v>262</v>
      </c>
      <c r="H2946" s="1">
        <v>578698</v>
      </c>
      <c r="I2946" s="1">
        <v>0</v>
      </c>
      <c r="J2946" s="1">
        <v>578698</v>
      </c>
      <c r="K2946">
        <f>VLOOKUP(F2946,'LEAID Match'!$A$2:$C$2979,3,FALSE)</f>
        <v>2006060</v>
      </c>
    </row>
    <row r="2947" spans="1:11" x14ac:dyDescent="0.2">
      <c r="A2947">
        <v>2006510</v>
      </c>
      <c r="B2947">
        <v>2023</v>
      </c>
      <c r="C2947" t="s">
        <v>6</v>
      </c>
      <c r="D2947" t="s">
        <v>7</v>
      </c>
      <c r="E2947" t="s">
        <v>8</v>
      </c>
      <c r="F2947" s="34">
        <v>5237</v>
      </c>
      <c r="G2947" s="3" t="s">
        <v>263</v>
      </c>
      <c r="H2947" s="22">
        <v>244672</v>
      </c>
      <c r="I2947" s="1">
        <v>0</v>
      </c>
      <c r="J2947" s="1">
        <v>244672</v>
      </c>
      <c r="K2947">
        <f>VLOOKUP(F2947,'LEAID Match'!$A$2:$C$2979,3,FALSE)</f>
        <v>2006510</v>
      </c>
    </row>
    <row r="2948" spans="1:11" x14ac:dyDescent="0.2">
      <c r="A2948">
        <v>2004170</v>
      </c>
      <c r="B2948">
        <v>2023</v>
      </c>
      <c r="C2948" t="s">
        <v>6</v>
      </c>
      <c r="D2948" t="s">
        <v>7</v>
      </c>
      <c r="E2948" t="s">
        <v>8</v>
      </c>
      <c r="F2948" s="34">
        <v>5238</v>
      </c>
      <c r="G2948" s="3" t="s">
        <v>264</v>
      </c>
      <c r="H2948" s="1">
        <v>201371</v>
      </c>
      <c r="I2948" s="21">
        <v>0</v>
      </c>
      <c r="J2948" s="21">
        <v>201371</v>
      </c>
      <c r="K2948">
        <f>VLOOKUP(F2948,'LEAID Match'!$A$2:$C$2979,3,FALSE)</f>
        <v>2004170</v>
      </c>
    </row>
    <row r="2949" spans="1:11" x14ac:dyDescent="0.2">
      <c r="A2949">
        <v>2004650</v>
      </c>
      <c r="B2949">
        <v>2023</v>
      </c>
      <c r="C2949" t="s">
        <v>6</v>
      </c>
      <c r="D2949" t="s">
        <v>7</v>
      </c>
      <c r="E2949" t="s">
        <v>8</v>
      </c>
      <c r="F2949" s="34">
        <v>5239</v>
      </c>
      <c r="G2949" s="3" t="s">
        <v>265</v>
      </c>
      <c r="H2949" s="1">
        <v>171148</v>
      </c>
      <c r="I2949" s="1">
        <v>0</v>
      </c>
      <c r="J2949" s="1">
        <v>171148</v>
      </c>
      <c r="K2949">
        <f>VLOOKUP(F2949,'LEAID Match'!$A$2:$C$2979,3,FALSE)</f>
        <v>2004650</v>
      </c>
    </row>
    <row r="2950" spans="1:11" x14ac:dyDescent="0.2">
      <c r="A2950">
        <v>2012150</v>
      </c>
      <c r="B2950">
        <v>2023</v>
      </c>
      <c r="C2950" t="s">
        <v>6</v>
      </c>
      <c r="D2950" t="s">
        <v>7</v>
      </c>
      <c r="E2950" t="s">
        <v>8</v>
      </c>
      <c r="F2950" s="29">
        <v>5240</v>
      </c>
      <c r="G2950" t="s">
        <v>266</v>
      </c>
      <c r="H2950" s="1">
        <v>480937</v>
      </c>
      <c r="I2950" s="1">
        <v>0</v>
      </c>
      <c r="J2950" s="1">
        <v>480937</v>
      </c>
      <c r="K2950">
        <f>VLOOKUP(F2950,'LEAID Match'!$A$2:$C$2979,3,FALSE)</f>
        <v>2012150</v>
      </c>
    </row>
    <row r="2951" spans="1:11" x14ac:dyDescent="0.2">
      <c r="A2951">
        <v>2005040</v>
      </c>
      <c r="B2951">
        <v>2023</v>
      </c>
      <c r="C2951" t="s">
        <v>6</v>
      </c>
      <c r="D2951" t="s">
        <v>7</v>
      </c>
      <c r="E2951" t="s">
        <v>8</v>
      </c>
      <c r="F2951" s="29">
        <v>5241</v>
      </c>
      <c r="G2951" t="s">
        <v>267</v>
      </c>
      <c r="H2951" s="1">
        <v>270315</v>
      </c>
      <c r="I2951" s="1">
        <v>0</v>
      </c>
      <c r="J2951" s="1">
        <v>270315</v>
      </c>
      <c r="K2951">
        <f>VLOOKUP(F2951,'LEAID Match'!$A$2:$C$2979,3,FALSE)</f>
        <v>2005040</v>
      </c>
    </row>
    <row r="2952" spans="1:11" x14ac:dyDescent="0.2">
      <c r="A2952">
        <v>2000001</v>
      </c>
      <c r="B2952">
        <v>2023</v>
      </c>
      <c r="C2952" t="s">
        <v>6</v>
      </c>
      <c r="D2952" t="s">
        <v>7</v>
      </c>
      <c r="E2952" t="s">
        <v>8</v>
      </c>
      <c r="F2952" s="29">
        <v>5250</v>
      </c>
      <c r="G2952" t="s">
        <v>268</v>
      </c>
      <c r="H2952" s="1">
        <v>625922</v>
      </c>
      <c r="I2952" s="1">
        <v>0</v>
      </c>
      <c r="J2952" s="1">
        <v>625922</v>
      </c>
      <c r="K2952">
        <f>VLOOKUP(F2952,'LEAID Match'!$A$2:$C$2979,3,FALSE)</f>
        <v>2000001</v>
      </c>
    </row>
    <row r="2953" spans="1:11" x14ac:dyDescent="0.2">
      <c r="A2953">
        <v>2010980</v>
      </c>
      <c r="B2953">
        <v>2023</v>
      </c>
      <c r="C2953" t="s">
        <v>6</v>
      </c>
      <c r="D2953" t="s">
        <v>7</v>
      </c>
      <c r="E2953" t="s">
        <v>8</v>
      </c>
      <c r="F2953" s="29">
        <v>5251</v>
      </c>
      <c r="G2953" t="s">
        <v>269</v>
      </c>
      <c r="H2953" s="20">
        <v>229155</v>
      </c>
      <c r="I2953" s="1">
        <v>0</v>
      </c>
      <c r="J2953" s="1">
        <v>229155</v>
      </c>
      <c r="K2953">
        <f>VLOOKUP(F2953,'LEAID Match'!$A$2:$C$2979,3,FALSE)</f>
        <v>2010980</v>
      </c>
    </row>
    <row r="2954" spans="1:11" x14ac:dyDescent="0.2">
      <c r="A2954">
        <v>2008940</v>
      </c>
      <c r="B2954">
        <v>2023</v>
      </c>
      <c r="C2954" t="s">
        <v>6</v>
      </c>
      <c r="D2954" t="s">
        <v>7</v>
      </c>
      <c r="E2954" t="s">
        <v>8</v>
      </c>
      <c r="F2954" s="29">
        <v>5267</v>
      </c>
      <c r="G2954" t="s">
        <v>270</v>
      </c>
      <c r="H2954" s="1">
        <v>283774</v>
      </c>
      <c r="I2954" s="1">
        <v>0</v>
      </c>
      <c r="J2954" s="1">
        <v>283774</v>
      </c>
      <c r="K2954">
        <f>VLOOKUP(F2954,'LEAID Match'!$A$2:$C$2979,3,FALSE)</f>
        <v>2008940</v>
      </c>
    </row>
    <row r="2955" spans="1:11" x14ac:dyDescent="0.2">
      <c r="A2955">
        <v>2003510</v>
      </c>
      <c r="B2955">
        <v>2023</v>
      </c>
      <c r="C2955" t="s">
        <v>6</v>
      </c>
      <c r="D2955" t="s">
        <v>7</v>
      </c>
      <c r="E2955" t="s">
        <v>8</v>
      </c>
      <c r="F2955" s="29">
        <v>5268</v>
      </c>
      <c r="G2955" s="9" t="s">
        <v>271</v>
      </c>
      <c r="H2955" s="1">
        <v>213451</v>
      </c>
      <c r="I2955" s="1">
        <v>0</v>
      </c>
      <c r="J2955" s="1">
        <v>213451</v>
      </c>
      <c r="K2955">
        <f>VLOOKUP(F2955,'LEAID Match'!$A$2:$C$2979,3,FALSE)</f>
        <v>2003510</v>
      </c>
    </row>
    <row r="2956" spans="1:11" x14ac:dyDescent="0.2">
      <c r="A2956">
        <v>2004950</v>
      </c>
      <c r="B2956">
        <v>2023</v>
      </c>
      <c r="C2956" t="s">
        <v>6</v>
      </c>
      <c r="D2956" t="s">
        <v>7</v>
      </c>
      <c r="E2956" t="s">
        <v>8</v>
      </c>
      <c r="F2956" s="34">
        <v>5270</v>
      </c>
      <c r="G2956" s="3" t="s">
        <v>272</v>
      </c>
      <c r="H2956" s="22">
        <v>357922</v>
      </c>
      <c r="I2956" s="1">
        <v>0</v>
      </c>
      <c r="J2956" s="1">
        <v>357922</v>
      </c>
      <c r="K2956">
        <f>VLOOKUP(F2956,'LEAID Match'!$A$2:$C$2979,3,FALSE)</f>
        <v>2004950</v>
      </c>
    </row>
    <row r="2957" spans="1:11" x14ac:dyDescent="0.2">
      <c r="A2957">
        <v>2006210</v>
      </c>
      <c r="B2957">
        <v>2023</v>
      </c>
      <c r="C2957" t="s">
        <v>6</v>
      </c>
      <c r="D2957" t="s">
        <v>7</v>
      </c>
      <c r="E2957" t="s">
        <v>8</v>
      </c>
      <c r="F2957" s="34">
        <v>5271</v>
      </c>
      <c r="G2957" s="3" t="s">
        <v>273</v>
      </c>
      <c r="H2957" s="1">
        <v>83317</v>
      </c>
      <c r="I2957" s="21">
        <v>0</v>
      </c>
      <c r="J2957" s="21">
        <v>83317</v>
      </c>
      <c r="K2957">
        <f>VLOOKUP(F2957,'LEAID Match'!$A$2:$C$2979,3,FALSE)</f>
        <v>2006210</v>
      </c>
    </row>
    <row r="2958" spans="1:11" x14ac:dyDescent="0.2">
      <c r="A2958">
        <v>2011850</v>
      </c>
      <c r="B2958">
        <v>2023</v>
      </c>
      <c r="C2958" t="s">
        <v>6</v>
      </c>
      <c r="D2958" t="s">
        <v>7</v>
      </c>
      <c r="E2958" t="s">
        <v>8</v>
      </c>
      <c r="F2958" s="34">
        <v>5272</v>
      </c>
      <c r="G2958" s="3" t="s">
        <v>274</v>
      </c>
      <c r="H2958" s="1">
        <v>4010562</v>
      </c>
      <c r="I2958" s="1">
        <v>0</v>
      </c>
      <c r="J2958" s="1">
        <v>4010562</v>
      </c>
      <c r="K2958">
        <f>VLOOKUP(F2958,'LEAID Match'!$A$2:$C$2979,3,FALSE)</f>
        <v>2011850</v>
      </c>
    </row>
    <row r="2959" spans="1:11" x14ac:dyDescent="0.2">
      <c r="A2959">
        <v>2006300</v>
      </c>
      <c r="B2959">
        <v>2023</v>
      </c>
      <c r="C2959" t="s">
        <v>6</v>
      </c>
      <c r="D2959" t="s">
        <v>7</v>
      </c>
      <c r="E2959" t="s">
        <v>8</v>
      </c>
      <c r="F2959" s="29">
        <v>5274</v>
      </c>
      <c r="G2959" t="s">
        <v>275</v>
      </c>
      <c r="H2959" s="1">
        <v>840186</v>
      </c>
      <c r="I2959" s="1">
        <v>0</v>
      </c>
      <c r="J2959" s="1">
        <v>840186</v>
      </c>
      <c r="K2959">
        <f>VLOOKUP(F2959,'LEAID Match'!$A$2:$C$2979,3,FALSE)</f>
        <v>2006300</v>
      </c>
    </row>
    <row r="2960" spans="1:11" x14ac:dyDescent="0.2">
      <c r="A2960">
        <v>2009840</v>
      </c>
      <c r="B2960">
        <v>2023</v>
      </c>
      <c r="C2960" t="s">
        <v>6</v>
      </c>
      <c r="D2960" t="s">
        <v>7</v>
      </c>
      <c r="E2960" t="s">
        <v>8</v>
      </c>
      <c r="F2960" s="29">
        <v>5275</v>
      </c>
      <c r="G2960" t="s">
        <v>276</v>
      </c>
      <c r="H2960" s="1">
        <v>1971399</v>
      </c>
      <c r="I2960" s="1">
        <v>0</v>
      </c>
      <c r="J2960" s="1">
        <v>1971399</v>
      </c>
      <c r="K2960">
        <f>VLOOKUP(F2960,'LEAID Match'!$A$2:$C$2979,3,FALSE)</f>
        <v>2009840</v>
      </c>
    </row>
    <row r="2961" spans="1:11" x14ac:dyDescent="0.2">
      <c r="A2961">
        <v>2004920</v>
      </c>
      <c r="B2961">
        <v>2023</v>
      </c>
      <c r="C2961" t="s">
        <v>6</v>
      </c>
      <c r="D2961" t="s">
        <v>7</v>
      </c>
      <c r="E2961" t="s">
        <v>8</v>
      </c>
      <c r="F2961" s="29">
        <v>5276</v>
      </c>
      <c r="G2961" t="s">
        <v>277</v>
      </c>
      <c r="H2961" s="1">
        <v>903209</v>
      </c>
      <c r="I2961" s="1">
        <v>0</v>
      </c>
      <c r="J2961" s="1">
        <v>903209</v>
      </c>
      <c r="K2961">
        <f>VLOOKUP(F2961,'LEAID Match'!$A$2:$C$2979,3,FALSE)</f>
        <v>2004920</v>
      </c>
    </row>
    <row r="2962" spans="1:11" x14ac:dyDescent="0.2">
      <c r="A2962">
        <v>2010950</v>
      </c>
      <c r="B2962">
        <v>2023</v>
      </c>
      <c r="C2962" t="s">
        <v>6</v>
      </c>
      <c r="D2962" t="s">
        <v>7</v>
      </c>
      <c r="E2962" t="s">
        <v>8</v>
      </c>
      <c r="F2962" s="29">
        <v>5278</v>
      </c>
      <c r="G2962" t="s">
        <v>278</v>
      </c>
      <c r="H2962" s="20">
        <v>318691</v>
      </c>
      <c r="I2962" s="1">
        <v>0</v>
      </c>
      <c r="J2962" s="1">
        <v>318691</v>
      </c>
      <c r="K2962">
        <f>VLOOKUP(F2962,'LEAID Match'!$A$2:$C$2979,3,FALSE)</f>
        <v>2010950</v>
      </c>
    </row>
    <row r="2963" spans="1:11" x14ac:dyDescent="0.2">
      <c r="A2963">
        <v>2007620</v>
      </c>
      <c r="B2963">
        <v>2023</v>
      </c>
      <c r="C2963" t="s">
        <v>6</v>
      </c>
      <c r="D2963" t="s">
        <v>7</v>
      </c>
      <c r="E2963" t="s">
        <v>8</v>
      </c>
      <c r="F2963" s="29">
        <v>5280</v>
      </c>
      <c r="G2963" t="s">
        <v>279</v>
      </c>
      <c r="H2963" s="1">
        <v>4995571</v>
      </c>
      <c r="I2963" s="1">
        <v>0</v>
      </c>
      <c r="J2963" s="1">
        <v>4995571</v>
      </c>
      <c r="K2963">
        <f>VLOOKUP(F2963,'LEAID Match'!$A$2:$C$2979,3,FALSE)</f>
        <v>2007620</v>
      </c>
    </row>
    <row r="2964" spans="1:11" x14ac:dyDescent="0.2">
      <c r="A2964">
        <v>2011040</v>
      </c>
      <c r="B2964">
        <v>2023</v>
      </c>
      <c r="C2964" t="s">
        <v>6</v>
      </c>
      <c r="D2964" t="s">
        <v>7</v>
      </c>
      <c r="E2964" t="s">
        <v>8</v>
      </c>
      <c r="F2964" s="29">
        <v>5281</v>
      </c>
      <c r="G2964" s="9" t="s">
        <v>280</v>
      </c>
      <c r="H2964" s="1">
        <v>253057</v>
      </c>
      <c r="I2964" s="1">
        <v>0</v>
      </c>
      <c r="J2964" s="1">
        <v>253057</v>
      </c>
      <c r="K2964">
        <f>VLOOKUP(F2964,'LEAID Match'!$A$2:$C$2979,3,FALSE)</f>
        <v>2011040</v>
      </c>
    </row>
    <row r="2965" spans="1:11" x14ac:dyDescent="0.2">
      <c r="A2965">
        <v>2010650</v>
      </c>
      <c r="B2965">
        <v>2023</v>
      </c>
      <c r="C2965" t="s">
        <v>6</v>
      </c>
      <c r="D2965" t="s">
        <v>7</v>
      </c>
      <c r="E2965" t="s">
        <v>8</v>
      </c>
      <c r="F2965" s="34">
        <v>5283</v>
      </c>
      <c r="G2965" s="3" t="s">
        <v>281</v>
      </c>
      <c r="H2965" s="1">
        <v>490444</v>
      </c>
      <c r="I2965" s="21">
        <v>0</v>
      </c>
      <c r="J2965" s="21">
        <v>490444</v>
      </c>
      <c r="K2965">
        <f>VLOOKUP(F2965,'LEAID Match'!$A$2:$C$2979,3,FALSE)</f>
        <v>2010650</v>
      </c>
    </row>
    <row r="2966" spans="1:11" x14ac:dyDescent="0.2">
      <c r="A2966">
        <v>2009510</v>
      </c>
      <c r="B2966">
        <v>2023</v>
      </c>
      <c r="C2966" t="s">
        <v>6</v>
      </c>
      <c r="D2966" t="s">
        <v>7</v>
      </c>
      <c r="E2966" t="s">
        <v>8</v>
      </c>
      <c r="F2966" s="34">
        <v>5284</v>
      </c>
      <c r="G2966" s="3" t="s">
        <v>282</v>
      </c>
      <c r="H2966" s="1">
        <v>746680</v>
      </c>
      <c r="I2966" s="1">
        <v>0</v>
      </c>
      <c r="J2966" s="1">
        <v>746680</v>
      </c>
      <c r="K2966">
        <f>VLOOKUP(F2966,'LEAID Match'!$A$2:$C$2979,3,FALSE)</f>
        <v>2009510</v>
      </c>
    </row>
    <row r="2967" spans="1:11" x14ac:dyDescent="0.2">
      <c r="A2967">
        <v>2010770</v>
      </c>
      <c r="B2967">
        <v>2023</v>
      </c>
      <c r="C2967" t="s">
        <v>6</v>
      </c>
      <c r="D2967" t="s">
        <v>7</v>
      </c>
      <c r="E2967" t="s">
        <v>8</v>
      </c>
      <c r="F2967" s="29">
        <v>5285</v>
      </c>
      <c r="G2967" t="s">
        <v>283</v>
      </c>
      <c r="H2967" s="1">
        <v>378553</v>
      </c>
      <c r="I2967" s="1">
        <v>0</v>
      </c>
      <c r="J2967" s="1">
        <v>378553</v>
      </c>
      <c r="K2967">
        <f>VLOOKUP(F2967,'LEAID Match'!$A$2:$C$2979,3,FALSE)</f>
        <v>2010770</v>
      </c>
    </row>
    <row r="2968" spans="1:11" x14ac:dyDescent="0.2">
      <c r="A2968">
        <v>2011910</v>
      </c>
      <c r="B2968">
        <v>2023</v>
      </c>
      <c r="C2968" t="s">
        <v>6</v>
      </c>
      <c r="D2968" t="s">
        <v>7</v>
      </c>
      <c r="E2968" t="s">
        <v>8</v>
      </c>
      <c r="F2968" s="29">
        <v>5286</v>
      </c>
      <c r="G2968" t="s">
        <v>284</v>
      </c>
      <c r="H2968" s="1">
        <v>344662</v>
      </c>
      <c r="I2968" s="1">
        <v>0</v>
      </c>
      <c r="J2968" s="1">
        <v>344662</v>
      </c>
      <c r="K2968">
        <f>VLOOKUP(F2968,'LEAID Match'!$A$2:$C$2979,3,FALSE)</f>
        <v>2011910</v>
      </c>
    </row>
    <row r="2969" spans="1:11" x14ac:dyDescent="0.2">
      <c r="A2969">
        <v>2003900</v>
      </c>
      <c r="B2969">
        <v>2023</v>
      </c>
      <c r="C2969" t="s">
        <v>6</v>
      </c>
      <c r="D2969" t="s">
        <v>7</v>
      </c>
      <c r="E2969" t="s">
        <v>8</v>
      </c>
      <c r="F2969" s="29">
        <v>5287</v>
      </c>
      <c r="G2969" t="s">
        <v>285</v>
      </c>
      <c r="H2969" s="1">
        <v>573622</v>
      </c>
      <c r="I2969" s="1">
        <v>0</v>
      </c>
      <c r="J2969" s="1">
        <v>573622</v>
      </c>
      <c r="K2969">
        <f>VLOOKUP(F2969,'LEAID Match'!$A$2:$C$2979,3,FALSE)</f>
        <v>2003900</v>
      </c>
    </row>
    <row r="2970" spans="1:11" x14ac:dyDescent="0.2">
      <c r="A2970">
        <v>2010440</v>
      </c>
      <c r="B2970">
        <v>2023</v>
      </c>
      <c r="C2970" t="s">
        <v>6</v>
      </c>
      <c r="D2970" t="s">
        <v>7</v>
      </c>
      <c r="E2970" t="s">
        <v>8</v>
      </c>
      <c r="F2970" s="29">
        <v>5288</v>
      </c>
      <c r="G2970" t="s">
        <v>286</v>
      </c>
      <c r="H2970" s="1">
        <v>360610</v>
      </c>
      <c r="I2970" s="1">
        <v>0</v>
      </c>
      <c r="J2970" s="1">
        <v>360610</v>
      </c>
      <c r="K2970">
        <f>VLOOKUP(F2970,'LEAID Match'!$A$2:$C$2979,3,FALSE)</f>
        <v>2010440</v>
      </c>
    </row>
    <row r="2971" spans="1:11" x14ac:dyDescent="0.2">
      <c r="A2971">
        <v>2013110</v>
      </c>
      <c r="B2971">
        <v>2023</v>
      </c>
      <c r="C2971" t="s">
        <v>6</v>
      </c>
      <c r="D2971" t="s">
        <v>7</v>
      </c>
      <c r="E2971" t="s">
        <v>8</v>
      </c>
      <c r="F2971" s="29">
        <v>5289</v>
      </c>
      <c r="G2971" s="9" t="s">
        <v>287</v>
      </c>
      <c r="H2971" s="1">
        <v>411172</v>
      </c>
      <c r="I2971" s="1">
        <v>0</v>
      </c>
      <c r="J2971" s="1">
        <v>411172</v>
      </c>
      <c r="K2971">
        <f>VLOOKUP(F2971,'LEAID Match'!$A$2:$C$2979,3,FALSE)</f>
        <v>2013110</v>
      </c>
    </row>
    <row r="2972" spans="1:11" x14ac:dyDescent="0.2">
      <c r="A2972">
        <v>2012090</v>
      </c>
      <c r="B2972">
        <v>2023</v>
      </c>
      <c r="C2972" t="s">
        <v>6</v>
      </c>
      <c r="D2972" t="s">
        <v>7</v>
      </c>
      <c r="E2972" t="s">
        <v>8</v>
      </c>
      <c r="F2972" s="34">
        <v>5291</v>
      </c>
      <c r="G2972" s="3" t="s">
        <v>288</v>
      </c>
      <c r="H2972" s="1">
        <v>537443</v>
      </c>
      <c r="I2972" s="21">
        <v>0</v>
      </c>
      <c r="J2972" s="21">
        <v>537443</v>
      </c>
      <c r="K2972">
        <f>VLOOKUP(F2972,'LEAID Match'!$A$2:$C$2979,3,FALSE)</f>
        <v>2012090</v>
      </c>
    </row>
    <row r="2973" spans="1:11" x14ac:dyDescent="0.2">
      <c r="A2973">
        <v>2012300</v>
      </c>
      <c r="B2973">
        <v>2023</v>
      </c>
      <c r="C2973" t="s">
        <v>6</v>
      </c>
      <c r="D2973" t="s">
        <v>7</v>
      </c>
      <c r="E2973" t="s">
        <v>8</v>
      </c>
      <c r="F2973" s="34">
        <v>5292</v>
      </c>
      <c r="G2973" s="3" t="s">
        <v>289</v>
      </c>
      <c r="H2973" s="1">
        <v>1614378</v>
      </c>
      <c r="I2973" s="1">
        <v>0</v>
      </c>
      <c r="J2973" s="1">
        <v>1614378</v>
      </c>
      <c r="K2973">
        <f>VLOOKUP(F2973,'LEAID Match'!$A$2:$C$2979,3,FALSE)</f>
        <v>2012300</v>
      </c>
    </row>
    <row r="2974" spans="1:11" x14ac:dyDescent="0.2">
      <c r="A2974">
        <v>2005850</v>
      </c>
      <c r="B2974">
        <v>2023</v>
      </c>
      <c r="C2974" t="s">
        <v>6</v>
      </c>
      <c r="D2974" t="s">
        <v>7</v>
      </c>
      <c r="E2974" t="s">
        <v>8</v>
      </c>
      <c r="F2974" s="29">
        <v>5293</v>
      </c>
      <c r="G2974" t="s">
        <v>290</v>
      </c>
      <c r="H2974" s="1">
        <v>364736</v>
      </c>
      <c r="I2974" s="1">
        <v>0</v>
      </c>
      <c r="J2974" s="1">
        <v>364736</v>
      </c>
      <c r="K2974">
        <f>VLOOKUP(F2974,'LEAID Match'!$A$2:$C$2979,3,FALSE)</f>
        <v>2005850</v>
      </c>
    </row>
    <row r="2975" spans="1:11" x14ac:dyDescent="0.2">
      <c r="A2975">
        <v>2011310</v>
      </c>
      <c r="B2975">
        <v>2023</v>
      </c>
      <c r="C2975" t="s">
        <v>6</v>
      </c>
      <c r="D2975" t="s">
        <v>7</v>
      </c>
      <c r="E2975" t="s">
        <v>8</v>
      </c>
      <c r="F2975" s="29">
        <v>5294</v>
      </c>
      <c r="G2975" t="s">
        <v>291</v>
      </c>
      <c r="H2975" s="1">
        <v>885250</v>
      </c>
      <c r="I2975" s="1">
        <v>0</v>
      </c>
      <c r="J2975" s="1">
        <v>885250</v>
      </c>
      <c r="K2975">
        <f>VLOOKUP(F2975,'LEAID Match'!$A$2:$C$2979,3,FALSE)</f>
        <v>2011310</v>
      </c>
    </row>
    <row r="2976" spans="1:11" x14ac:dyDescent="0.2">
      <c r="A2976">
        <v>2006570</v>
      </c>
      <c r="B2976">
        <v>2023</v>
      </c>
      <c r="C2976" t="s">
        <v>6</v>
      </c>
      <c r="D2976" t="s">
        <v>7</v>
      </c>
      <c r="E2976" t="s">
        <v>8</v>
      </c>
      <c r="F2976" s="29">
        <v>5295</v>
      </c>
      <c r="G2976" t="s">
        <v>292</v>
      </c>
      <c r="H2976" s="1">
        <v>290227</v>
      </c>
      <c r="I2976" s="1">
        <v>0</v>
      </c>
      <c r="J2976" s="1">
        <v>290227</v>
      </c>
      <c r="K2976">
        <f>VLOOKUP(F2976,'LEAID Match'!$A$2:$C$2979,3,FALSE)</f>
        <v>2006570</v>
      </c>
    </row>
    <row r="2977" spans="1:11" x14ac:dyDescent="0.2">
      <c r="A2977">
        <v>2003180</v>
      </c>
      <c r="B2977">
        <v>2023</v>
      </c>
      <c r="C2977" t="s">
        <v>6</v>
      </c>
      <c r="D2977" t="s">
        <v>7</v>
      </c>
      <c r="E2977" t="s">
        <v>8</v>
      </c>
      <c r="F2977" s="29">
        <v>5296</v>
      </c>
      <c r="G2977" t="s">
        <v>293</v>
      </c>
      <c r="H2977" s="20">
        <v>1155508</v>
      </c>
      <c r="I2977" s="1">
        <v>0</v>
      </c>
      <c r="J2977" s="1">
        <v>1155508</v>
      </c>
      <c r="K2977">
        <f>VLOOKUP(F2977,'LEAID Match'!$A$2:$C$2979,3,FALSE)</f>
        <v>2003180</v>
      </c>
    </row>
    <row r="2978" spans="1:11" x14ac:dyDescent="0.2">
      <c r="A2978">
        <v>2009900</v>
      </c>
      <c r="B2978">
        <v>2023</v>
      </c>
      <c r="C2978" t="s">
        <v>6</v>
      </c>
      <c r="D2978" t="s">
        <v>7</v>
      </c>
      <c r="E2978" t="s">
        <v>8</v>
      </c>
      <c r="F2978" s="29">
        <v>5297</v>
      </c>
      <c r="G2978" t="s">
        <v>294</v>
      </c>
      <c r="H2978" s="1">
        <v>731587</v>
      </c>
      <c r="I2978" s="1">
        <v>0</v>
      </c>
      <c r="J2978" s="1">
        <v>731587</v>
      </c>
      <c r="K2978">
        <f>VLOOKUP(F2978,'LEAID Match'!$A$2:$C$2979,3,FALSE)</f>
        <v>2009900</v>
      </c>
    </row>
    <row r="2979" spans="1:11" x14ac:dyDescent="0.2">
      <c r="A2979">
        <v>2007080</v>
      </c>
      <c r="B2979">
        <v>2023</v>
      </c>
      <c r="C2979" t="s">
        <v>6</v>
      </c>
      <c r="D2979" t="s">
        <v>7</v>
      </c>
      <c r="E2979" t="s">
        <v>8</v>
      </c>
      <c r="F2979" s="29">
        <v>5298</v>
      </c>
      <c r="G2979" s="9" t="s">
        <v>295</v>
      </c>
      <c r="H2979" s="1">
        <v>72192</v>
      </c>
      <c r="I2979" s="1">
        <v>0</v>
      </c>
      <c r="J2979" s="1">
        <v>72192</v>
      </c>
      <c r="K2979">
        <f>VLOOKUP(F2979,'LEAID Match'!$A$2:$C$2979,3,FALSE)</f>
        <v>2007080</v>
      </c>
    </row>
    <row r="2980" spans="1:11" x14ac:dyDescent="0.2">
      <c r="A2980">
        <v>2005520</v>
      </c>
      <c r="B2980">
        <v>2023</v>
      </c>
      <c r="C2980" t="s">
        <v>6</v>
      </c>
      <c r="D2980" t="s">
        <v>7</v>
      </c>
      <c r="E2980" t="s">
        <v>8</v>
      </c>
      <c r="F2980" s="29">
        <v>5299</v>
      </c>
      <c r="G2980" t="s">
        <v>296</v>
      </c>
      <c r="H2980">
        <v>241736</v>
      </c>
      <c r="I2980">
        <v>0</v>
      </c>
      <c r="J2980">
        <v>241736</v>
      </c>
      <c r="K2980">
        <f>VLOOKUP(F2980,'LEAID Match'!$A$2:$C$2979,3,FALSE)</f>
        <v>2005520</v>
      </c>
    </row>
    <row r="2981" spans="1:11" x14ac:dyDescent="0.2">
      <c r="A2981">
        <v>2006270</v>
      </c>
      <c r="B2981">
        <v>2023</v>
      </c>
      <c r="C2981" t="s">
        <v>6</v>
      </c>
      <c r="D2981" t="s">
        <v>7</v>
      </c>
      <c r="E2981" t="s">
        <v>8</v>
      </c>
      <c r="F2981" s="29">
        <v>5300</v>
      </c>
      <c r="G2981" t="s">
        <v>297</v>
      </c>
      <c r="H2981">
        <v>622764</v>
      </c>
      <c r="I2981">
        <v>0</v>
      </c>
      <c r="J2981">
        <v>622764</v>
      </c>
      <c r="K2981">
        <f>VLOOKUP(F2981,'LEAID Match'!$A$2:$C$2979,3,FALSE)</f>
        <v>2006270</v>
      </c>
    </row>
    <row r="2982" spans="1:11" x14ac:dyDescent="0.2">
      <c r="A2982">
        <v>2007020</v>
      </c>
      <c r="B2982">
        <v>2023</v>
      </c>
      <c r="C2982" t="s">
        <v>6</v>
      </c>
      <c r="D2982" t="s">
        <v>7</v>
      </c>
      <c r="E2982" t="s">
        <v>8</v>
      </c>
      <c r="F2982" s="29">
        <v>5302</v>
      </c>
      <c r="G2982" t="s">
        <v>298</v>
      </c>
      <c r="H2982">
        <v>4005799</v>
      </c>
      <c r="I2982">
        <v>0</v>
      </c>
      <c r="J2982">
        <v>4005799</v>
      </c>
      <c r="K2982">
        <f>VLOOKUP(F2982,'LEAID Match'!$A$2:$C$2979,3,FALSE)</f>
        <v>2007020</v>
      </c>
    </row>
    <row r="2983" spans="1:11" x14ac:dyDescent="0.2">
      <c r="A2983">
        <v>2004620</v>
      </c>
      <c r="B2983">
        <v>2023</v>
      </c>
      <c r="C2983" t="s">
        <v>6</v>
      </c>
      <c r="D2983" t="s">
        <v>7</v>
      </c>
      <c r="E2983" t="s">
        <v>8</v>
      </c>
      <c r="F2983" s="29">
        <v>5216</v>
      </c>
      <c r="G2983" t="s">
        <v>299</v>
      </c>
      <c r="H2983">
        <v>984386</v>
      </c>
      <c r="I2983">
        <v>0</v>
      </c>
      <c r="J2983">
        <v>984386</v>
      </c>
      <c r="K2983">
        <f>VLOOKUP(F2983,'LEAID Match'!$A$2:$C$2979,3,FALSE)</f>
        <v>2004620</v>
      </c>
    </row>
    <row r="2984" spans="1:11" x14ac:dyDescent="0.2">
      <c r="A2984">
        <v>2006090</v>
      </c>
      <c r="B2984">
        <v>2023</v>
      </c>
      <c r="C2984" t="s">
        <v>6</v>
      </c>
      <c r="D2984" t="s">
        <v>7</v>
      </c>
      <c r="E2984" t="s">
        <v>8</v>
      </c>
      <c r="F2984" s="29">
        <v>5304</v>
      </c>
      <c r="G2984" t="s">
        <v>300</v>
      </c>
      <c r="H2984">
        <v>1426641</v>
      </c>
      <c r="I2984">
        <v>0</v>
      </c>
      <c r="J2984">
        <v>1426641</v>
      </c>
      <c r="K2984">
        <f>VLOOKUP(F2984,'LEAID Match'!$A$2:$C$2979,3,FALSE)</f>
        <v>2006090</v>
      </c>
    </row>
    <row r="2985" spans="1:11" x14ac:dyDescent="0.2">
      <c r="A2985">
        <v>2011220</v>
      </c>
      <c r="B2985">
        <v>2023</v>
      </c>
      <c r="C2985" t="s">
        <v>6</v>
      </c>
      <c r="D2985" t="s">
        <v>7</v>
      </c>
      <c r="E2985" t="s">
        <v>8</v>
      </c>
      <c r="F2985" s="29">
        <v>5305</v>
      </c>
      <c r="G2985" t="s">
        <v>301</v>
      </c>
      <c r="H2985">
        <v>303771</v>
      </c>
      <c r="I2985">
        <v>0</v>
      </c>
      <c r="J2985">
        <v>303771</v>
      </c>
      <c r="K2985">
        <f>VLOOKUP(F2985,'LEAID Match'!$A$2:$C$2979,3,FALSE)</f>
        <v>2011220</v>
      </c>
    </row>
    <row r="2986" spans="1:11" x14ac:dyDescent="0.2">
      <c r="A2986">
        <v>2008370</v>
      </c>
      <c r="B2986">
        <v>2023</v>
      </c>
      <c r="C2986" t="s">
        <v>6</v>
      </c>
      <c r="D2986" t="s">
        <v>7</v>
      </c>
      <c r="E2986" t="s">
        <v>8</v>
      </c>
      <c r="F2986" s="29">
        <v>5306</v>
      </c>
      <c r="G2986" t="s">
        <v>302</v>
      </c>
      <c r="H2986">
        <v>1125387</v>
      </c>
      <c r="I2986">
        <v>0</v>
      </c>
      <c r="J2986">
        <v>1125387</v>
      </c>
      <c r="K2986">
        <f>VLOOKUP(F2986,'LEAID Match'!$A$2:$C$2979,3,FALSE)</f>
        <v>2008370</v>
      </c>
    </row>
    <row r="2987" spans="1:11" x14ac:dyDescent="0.2">
      <c r="A2987">
        <v>2011280</v>
      </c>
      <c r="B2987">
        <v>2023</v>
      </c>
      <c r="C2987" t="s">
        <v>6</v>
      </c>
      <c r="D2987" t="s">
        <v>7</v>
      </c>
      <c r="E2987" t="s">
        <v>8</v>
      </c>
      <c r="F2987" s="29">
        <v>5307</v>
      </c>
      <c r="G2987" t="s">
        <v>303</v>
      </c>
      <c r="H2987">
        <v>186955</v>
      </c>
      <c r="I2987">
        <v>0</v>
      </c>
      <c r="J2987">
        <v>186955</v>
      </c>
      <c r="K2987">
        <f>VLOOKUP(F2987,'LEAID Match'!$A$2:$C$2979,3,FALSE)</f>
        <v>2011280</v>
      </c>
    </row>
    <row r="2988" spans="1:11" x14ac:dyDescent="0.2">
      <c r="A2988">
        <v>2008400</v>
      </c>
      <c r="B2988">
        <v>2023</v>
      </c>
      <c r="C2988" t="s">
        <v>6</v>
      </c>
      <c r="D2988" t="s">
        <v>7</v>
      </c>
      <c r="E2988" t="s">
        <v>8</v>
      </c>
      <c r="F2988" s="29">
        <v>5308</v>
      </c>
      <c r="G2988" t="s">
        <v>304</v>
      </c>
      <c r="H2988">
        <v>9769389</v>
      </c>
      <c r="I2988">
        <v>0</v>
      </c>
      <c r="J2988">
        <v>9769389</v>
      </c>
      <c r="K2988">
        <f>VLOOKUP(F2988,'LEAID Match'!$A$2:$C$2979,3,FALSE)</f>
        <v>2008400</v>
      </c>
    </row>
    <row r="2989" spans="1:11" x14ac:dyDescent="0.2">
      <c r="A2989">
        <v>2006360</v>
      </c>
      <c r="B2989">
        <v>2023</v>
      </c>
      <c r="C2989" t="s">
        <v>6</v>
      </c>
      <c r="D2989" t="s">
        <v>7</v>
      </c>
      <c r="E2989" t="s">
        <v>8</v>
      </c>
      <c r="F2989" s="29">
        <v>5309</v>
      </c>
      <c r="G2989" t="s">
        <v>305</v>
      </c>
      <c r="H2989">
        <v>767962</v>
      </c>
      <c r="I2989">
        <v>0</v>
      </c>
      <c r="J2989">
        <v>767962</v>
      </c>
      <c r="K2989">
        <f>VLOOKUP(F2989,'LEAID Match'!$A$2:$C$2979,3,FALSE)</f>
        <v>2006360</v>
      </c>
    </row>
    <row r="2990" spans="1:11" x14ac:dyDescent="0.2">
      <c r="A2990">
        <v>2008700</v>
      </c>
      <c r="B2990">
        <v>2023</v>
      </c>
      <c r="C2990" t="s">
        <v>6</v>
      </c>
      <c r="D2990" t="s">
        <v>7</v>
      </c>
      <c r="E2990" t="s">
        <v>8</v>
      </c>
      <c r="F2990" s="29">
        <v>5310</v>
      </c>
      <c r="G2990" t="s">
        <v>306</v>
      </c>
      <c r="H2990">
        <v>122791</v>
      </c>
      <c r="I2990">
        <v>0</v>
      </c>
      <c r="J2990">
        <v>122791</v>
      </c>
      <c r="K2990">
        <f>VLOOKUP(F2990,'LEAID Match'!$A$2:$C$2979,3,FALSE)</f>
        <v>2008700</v>
      </c>
    </row>
    <row r="2991" spans="1:11" x14ac:dyDescent="0.2">
      <c r="A2991">
        <v>2011490</v>
      </c>
      <c r="B2991">
        <v>2023</v>
      </c>
      <c r="C2991" t="s">
        <v>6</v>
      </c>
      <c r="D2991" t="s">
        <v>7</v>
      </c>
      <c r="E2991" t="s">
        <v>8</v>
      </c>
      <c r="F2991" s="29">
        <v>5312</v>
      </c>
      <c r="G2991" t="s">
        <v>307</v>
      </c>
      <c r="H2991">
        <v>3961176</v>
      </c>
      <c r="I2991">
        <v>0</v>
      </c>
      <c r="J2991">
        <v>3961176</v>
      </c>
      <c r="K2991">
        <f>VLOOKUP(F2991,'LEAID Match'!$A$2:$C$2979,3,FALSE)</f>
        <v>2011490</v>
      </c>
    </row>
    <row r="2992" spans="1:11" x14ac:dyDescent="0.2">
      <c r="A2992">
        <v>2011430</v>
      </c>
      <c r="B2992">
        <v>2023</v>
      </c>
      <c r="C2992" t="s">
        <v>6</v>
      </c>
      <c r="D2992" t="s">
        <v>7</v>
      </c>
      <c r="E2992" t="s">
        <v>8</v>
      </c>
      <c r="F2992" s="29">
        <v>5313</v>
      </c>
      <c r="G2992" t="s">
        <v>308</v>
      </c>
      <c r="H2992">
        <v>340849</v>
      </c>
      <c r="I2992">
        <v>0</v>
      </c>
      <c r="J2992">
        <v>340849</v>
      </c>
      <c r="K2992">
        <f>VLOOKUP(F2992,'LEAID Match'!$A$2:$C$2979,3,FALSE)</f>
        <v>2011430</v>
      </c>
    </row>
    <row r="2993" spans="1:11" x14ac:dyDescent="0.2">
      <c r="A2993">
        <v>2012260</v>
      </c>
      <c r="B2993">
        <v>2023</v>
      </c>
      <c r="C2993" t="s">
        <v>6</v>
      </c>
      <c r="D2993" t="s">
        <v>7</v>
      </c>
      <c r="E2993" t="s">
        <v>8</v>
      </c>
      <c r="F2993" s="29">
        <v>5314</v>
      </c>
      <c r="G2993" t="s">
        <v>309</v>
      </c>
      <c r="H2993">
        <v>16990727</v>
      </c>
      <c r="I2993">
        <v>0</v>
      </c>
      <c r="J2993">
        <v>16990727</v>
      </c>
      <c r="K2993">
        <f>VLOOKUP(F2993,'LEAID Match'!$A$2:$C$2979,3,FALSE)</f>
        <v>2012260</v>
      </c>
    </row>
    <row r="2994" spans="1:11" x14ac:dyDescent="0.2">
      <c r="A2994">
        <v>0</v>
      </c>
      <c r="B2994">
        <v>2023</v>
      </c>
      <c r="C2994" t="s">
        <v>6</v>
      </c>
      <c r="D2994" t="s">
        <v>7</v>
      </c>
      <c r="E2994" t="s">
        <v>8</v>
      </c>
      <c r="F2994" s="29">
        <v>5316</v>
      </c>
      <c r="G2994" t="s">
        <v>310</v>
      </c>
      <c r="H2994">
        <v>403657</v>
      </c>
      <c r="I2994">
        <v>0</v>
      </c>
      <c r="J2994">
        <v>403657</v>
      </c>
      <c r="K2994">
        <f>VLOOKUP(F2994,'LEAID Match'!$A$2:$C$2979,3,FALSE)</f>
        <v>0</v>
      </c>
    </row>
    <row r="2995" spans="1:11" x14ac:dyDescent="0.2">
      <c r="A2995">
        <v>0</v>
      </c>
      <c r="B2995">
        <v>2023</v>
      </c>
      <c r="C2995" t="s">
        <v>6</v>
      </c>
      <c r="D2995" t="s">
        <v>7</v>
      </c>
      <c r="E2995" t="s">
        <v>8</v>
      </c>
      <c r="F2995" s="29">
        <v>5317</v>
      </c>
      <c r="G2995" t="s">
        <v>311</v>
      </c>
      <c r="H2995">
        <v>510322</v>
      </c>
      <c r="I2995">
        <v>0</v>
      </c>
      <c r="J2995">
        <v>510322</v>
      </c>
      <c r="K2995">
        <f>VLOOKUP(F2995,'LEAID Match'!$A$2:$C$2979,3,FALSE)</f>
        <v>0</v>
      </c>
    </row>
    <row r="2996" spans="1:11" x14ac:dyDescent="0.2">
      <c r="A2996">
        <v>2004710</v>
      </c>
      <c r="B2996">
        <v>2023</v>
      </c>
      <c r="C2996" t="s">
        <v>6</v>
      </c>
      <c r="D2996" t="s">
        <v>7</v>
      </c>
      <c r="E2996" t="s">
        <v>8</v>
      </c>
      <c r="F2996" s="29">
        <v>5318</v>
      </c>
      <c r="G2996" t="s">
        <v>312</v>
      </c>
      <c r="H2996">
        <v>537199</v>
      </c>
      <c r="I2996">
        <v>0</v>
      </c>
      <c r="J2996">
        <v>537199</v>
      </c>
      <c r="K2996">
        <f>VLOOKUP(F2996,'LEAID Match'!$A$2:$C$2979,3,FALSE)</f>
        <v>2004710</v>
      </c>
    </row>
    <row r="2997" spans="1:11" x14ac:dyDescent="0.2">
      <c r="A2997">
        <v>2006480</v>
      </c>
      <c r="B2997">
        <v>2023</v>
      </c>
      <c r="C2997" t="s">
        <v>6</v>
      </c>
      <c r="D2997" t="s">
        <v>7</v>
      </c>
      <c r="E2997" t="s">
        <v>8</v>
      </c>
      <c r="F2997" s="29">
        <v>5319</v>
      </c>
      <c r="G2997" t="s">
        <v>313</v>
      </c>
      <c r="H2997">
        <v>833706</v>
      </c>
      <c r="I2997">
        <v>0</v>
      </c>
      <c r="J2997">
        <v>833706</v>
      </c>
      <c r="K2997">
        <f>VLOOKUP(F2997,'LEAID Match'!$A$2:$C$2979,3,FALSE)</f>
        <v>2006480</v>
      </c>
    </row>
    <row r="2998" spans="1:11" x14ac:dyDescent="0.2">
      <c r="A2998">
        <v>2005310</v>
      </c>
      <c r="B2998">
        <v>2023</v>
      </c>
      <c r="C2998" t="s">
        <v>6</v>
      </c>
      <c r="D2998" t="s">
        <v>7</v>
      </c>
      <c r="E2998" t="s">
        <v>8</v>
      </c>
      <c r="F2998" s="29">
        <v>5320</v>
      </c>
      <c r="G2998" t="s">
        <v>314</v>
      </c>
      <c r="H2998">
        <v>224938</v>
      </c>
      <c r="I2998">
        <v>0</v>
      </c>
      <c r="J2998">
        <v>224938</v>
      </c>
      <c r="K2998">
        <f>VLOOKUP(F2998,'LEAID Match'!$A$2:$C$2979,3,FALSE)</f>
        <v>2005310</v>
      </c>
    </row>
    <row r="2999" spans="1:11" x14ac:dyDescent="0.2">
      <c r="A2999">
        <v>2012780</v>
      </c>
      <c r="B2999">
        <v>2023</v>
      </c>
      <c r="C2999" t="s">
        <v>6</v>
      </c>
      <c r="D2999" t="s">
        <v>7</v>
      </c>
      <c r="E2999" t="s">
        <v>8</v>
      </c>
      <c r="F2999" s="29">
        <v>5321</v>
      </c>
      <c r="G2999" t="s">
        <v>315</v>
      </c>
      <c r="H2999">
        <v>405652</v>
      </c>
      <c r="I2999">
        <v>0</v>
      </c>
      <c r="J2999">
        <v>405652</v>
      </c>
      <c r="K2999">
        <f>VLOOKUP(F2999,'LEAID Match'!$A$2:$C$2979,3,FALSE)</f>
        <v>2012780</v>
      </c>
    </row>
    <row r="3000" spans="1:11" x14ac:dyDescent="0.2">
      <c r="A3000">
        <v>2010350</v>
      </c>
      <c r="B3000">
        <v>2023</v>
      </c>
      <c r="C3000" t="s">
        <v>6</v>
      </c>
      <c r="D3000" t="s">
        <v>7</v>
      </c>
      <c r="E3000" t="s">
        <v>8</v>
      </c>
      <c r="F3000" s="29">
        <v>5322</v>
      </c>
      <c r="G3000" t="s">
        <v>316</v>
      </c>
      <c r="H3000">
        <v>462658</v>
      </c>
      <c r="I3000">
        <v>0</v>
      </c>
      <c r="J3000">
        <v>462658</v>
      </c>
      <c r="K3000">
        <f>VLOOKUP(F3000,'LEAID Match'!$A$2:$C$2979,3,FALSE)</f>
        <v>2010350</v>
      </c>
    </row>
    <row r="3001" spans="1:11" x14ac:dyDescent="0.2">
      <c r="A3001">
        <v>2007950</v>
      </c>
      <c r="B3001">
        <v>2023</v>
      </c>
      <c r="C3001" t="s">
        <v>6</v>
      </c>
      <c r="D3001" t="s">
        <v>7</v>
      </c>
      <c r="E3001" t="s">
        <v>8</v>
      </c>
      <c r="F3001" s="29">
        <v>5324</v>
      </c>
      <c r="G3001" t="s">
        <v>317</v>
      </c>
      <c r="H3001">
        <v>27775027</v>
      </c>
      <c r="I3001">
        <v>0</v>
      </c>
      <c r="J3001">
        <v>27775027</v>
      </c>
      <c r="K3001">
        <f>VLOOKUP(F3001,'LEAID Match'!$A$2:$C$2979,3,FALSE)</f>
        <v>2007950</v>
      </c>
    </row>
    <row r="3002" spans="1:11" x14ac:dyDescent="0.2">
      <c r="A3002">
        <v>2008670</v>
      </c>
      <c r="B3002">
        <v>2023</v>
      </c>
      <c r="C3002" t="s">
        <v>6</v>
      </c>
      <c r="D3002" t="s">
        <v>7</v>
      </c>
      <c r="E3002" t="s">
        <v>8</v>
      </c>
      <c r="F3002" s="29">
        <v>5329</v>
      </c>
      <c r="G3002" t="s">
        <v>318</v>
      </c>
      <c r="H3002">
        <v>198207</v>
      </c>
      <c r="I3002">
        <v>0</v>
      </c>
      <c r="J3002">
        <v>198207</v>
      </c>
      <c r="K3002">
        <f>VLOOKUP(F3002,'LEAID Match'!$A$2:$C$2979,3,FALSE)</f>
        <v>2008670</v>
      </c>
    </row>
    <row r="3003" spans="1:11" x14ac:dyDescent="0.2">
      <c r="A3003">
        <v>2005070</v>
      </c>
      <c r="B3003">
        <v>2023</v>
      </c>
      <c r="C3003" t="s">
        <v>6</v>
      </c>
      <c r="D3003" t="s">
        <v>7</v>
      </c>
      <c r="E3003" t="s">
        <v>8</v>
      </c>
      <c r="F3003" s="29">
        <v>5330</v>
      </c>
      <c r="G3003" t="s">
        <v>319</v>
      </c>
      <c r="H3003">
        <v>885350</v>
      </c>
      <c r="I3003">
        <v>0</v>
      </c>
      <c r="J3003">
        <v>885350</v>
      </c>
      <c r="K3003">
        <f>VLOOKUP(F3003,'LEAID Match'!$A$2:$C$2979,3,FALSE)</f>
        <v>2005070</v>
      </c>
    </row>
    <row r="3004" spans="1:11" x14ac:dyDescent="0.2">
      <c r="A3004">
        <v>2010560</v>
      </c>
      <c r="B3004">
        <v>2023</v>
      </c>
      <c r="C3004" t="s">
        <v>6</v>
      </c>
      <c r="D3004" t="s">
        <v>7</v>
      </c>
      <c r="E3004" t="s">
        <v>8</v>
      </c>
      <c r="F3004" s="29">
        <v>5331</v>
      </c>
      <c r="G3004" t="s">
        <v>320</v>
      </c>
      <c r="H3004">
        <v>1259989</v>
      </c>
      <c r="I3004">
        <v>0</v>
      </c>
      <c r="J3004">
        <v>1259989</v>
      </c>
      <c r="K3004">
        <f>VLOOKUP(F3004,'LEAID Match'!$A$2:$C$2979,3,FALSE)</f>
        <v>2010560</v>
      </c>
    </row>
    <row r="3005" spans="1:11" x14ac:dyDescent="0.2">
      <c r="A3005">
        <v>2003300</v>
      </c>
      <c r="B3005">
        <v>2023</v>
      </c>
      <c r="C3005" t="s">
        <v>6</v>
      </c>
      <c r="D3005" t="s">
        <v>7</v>
      </c>
      <c r="E3005" t="s">
        <v>8</v>
      </c>
      <c r="F3005" s="29">
        <v>5332</v>
      </c>
      <c r="G3005" t="s">
        <v>321</v>
      </c>
      <c r="H3005">
        <v>1262902</v>
      </c>
      <c r="I3005">
        <v>0</v>
      </c>
      <c r="J3005">
        <v>1262902</v>
      </c>
      <c r="K3005">
        <f>VLOOKUP(F3005,'LEAID Match'!$A$2:$C$2979,3,FALSE)</f>
        <v>2003300</v>
      </c>
    </row>
    <row r="3006" spans="1:11" x14ac:dyDescent="0.2">
      <c r="A3006">
        <v>2004770</v>
      </c>
      <c r="B3006">
        <v>2023</v>
      </c>
      <c r="C3006" t="s">
        <v>6</v>
      </c>
      <c r="D3006" t="s">
        <v>7</v>
      </c>
      <c r="E3006" t="s">
        <v>8</v>
      </c>
      <c r="F3006" s="29">
        <v>5333</v>
      </c>
      <c r="G3006" t="s">
        <v>322</v>
      </c>
      <c r="H3006">
        <v>405802</v>
      </c>
      <c r="I3006">
        <v>0</v>
      </c>
      <c r="J3006">
        <v>405802</v>
      </c>
      <c r="K3006">
        <f>VLOOKUP(F3006,'LEAID Match'!$A$2:$C$2979,3,FALSE)</f>
        <v>2004770</v>
      </c>
    </row>
    <row r="3007" spans="1:11" x14ac:dyDescent="0.2">
      <c r="A3007">
        <v>2006330</v>
      </c>
      <c r="B3007">
        <v>2023</v>
      </c>
      <c r="C3007" t="s">
        <v>6</v>
      </c>
      <c r="D3007" t="s">
        <v>7</v>
      </c>
      <c r="E3007" t="s">
        <v>8</v>
      </c>
      <c r="F3007" s="29">
        <v>5337</v>
      </c>
      <c r="G3007" t="s">
        <v>323</v>
      </c>
      <c r="H3007">
        <v>1706850</v>
      </c>
      <c r="I3007">
        <v>0</v>
      </c>
      <c r="J3007">
        <v>1706850</v>
      </c>
      <c r="K3007">
        <f>VLOOKUP(F3007,'LEAID Match'!$A$2:$C$2979,3,FALSE)</f>
        <v>2006330</v>
      </c>
    </row>
    <row r="3008" spans="1:11" x14ac:dyDescent="0.2">
      <c r="A3008">
        <v>2003810</v>
      </c>
      <c r="B3008">
        <v>2023</v>
      </c>
      <c r="C3008" t="s">
        <v>6</v>
      </c>
      <c r="D3008" t="s">
        <v>7</v>
      </c>
      <c r="E3008" t="s">
        <v>8</v>
      </c>
      <c r="F3008" s="29">
        <v>5366</v>
      </c>
      <c r="G3008" t="s">
        <v>324</v>
      </c>
      <c r="H3008">
        <v>888419</v>
      </c>
      <c r="I3008">
        <v>0</v>
      </c>
      <c r="J3008">
        <v>888419</v>
      </c>
      <c r="K3008">
        <f>VLOOKUP(F3008,'LEAID Match'!$A$2:$C$2979,3,FALSE)</f>
        <v>2003810</v>
      </c>
    </row>
    <row r="3009" spans="1:11" x14ac:dyDescent="0.2">
      <c r="A3009">
        <v>2011400</v>
      </c>
      <c r="B3009">
        <v>2023</v>
      </c>
      <c r="C3009" t="s">
        <v>6</v>
      </c>
      <c r="D3009" t="s">
        <v>7</v>
      </c>
      <c r="E3009" t="s">
        <v>8</v>
      </c>
      <c r="F3009" s="29">
        <v>5367</v>
      </c>
      <c r="G3009" t="s">
        <v>325</v>
      </c>
      <c r="H3009">
        <v>337214</v>
      </c>
      <c r="I3009">
        <v>0</v>
      </c>
      <c r="J3009">
        <v>337214</v>
      </c>
      <c r="K3009">
        <f>VLOOKUP(F3009,'LEAID Match'!$A$2:$C$2979,3,FALSE)</f>
        <v>2011400</v>
      </c>
    </row>
    <row r="3010" spans="1:11" x14ac:dyDescent="0.2">
      <c r="A3010">
        <v>0</v>
      </c>
      <c r="B3010">
        <v>2023</v>
      </c>
      <c r="C3010" t="s">
        <v>6</v>
      </c>
      <c r="D3010" t="s">
        <v>7</v>
      </c>
      <c r="E3010" t="s">
        <v>8</v>
      </c>
      <c r="F3010" s="29">
        <v>5368</v>
      </c>
      <c r="G3010" t="s">
        <v>326</v>
      </c>
      <c r="H3010">
        <v>451191</v>
      </c>
      <c r="I3010">
        <v>0</v>
      </c>
      <c r="J3010">
        <v>451191</v>
      </c>
      <c r="K3010">
        <f>VLOOKUP(F3010,'LEAID Match'!$A$2:$C$2979,3,FALSE)</f>
        <v>0</v>
      </c>
    </row>
    <row r="3011" spans="1:11" x14ac:dyDescent="0.2">
      <c r="A3011">
        <v>2003570</v>
      </c>
      <c r="B3011">
        <v>2023</v>
      </c>
      <c r="C3011" t="s">
        <v>6</v>
      </c>
      <c r="D3011" t="s">
        <v>7</v>
      </c>
      <c r="E3011" t="s">
        <v>8</v>
      </c>
      <c r="F3011" s="29">
        <v>5405</v>
      </c>
      <c r="G3011" t="s">
        <v>327</v>
      </c>
      <c r="H3011">
        <v>168789</v>
      </c>
      <c r="I3011">
        <v>0</v>
      </c>
      <c r="J3011">
        <v>168789</v>
      </c>
      <c r="K3011">
        <f>VLOOKUP(F3011,'LEAID Match'!$A$2:$C$2979,3,FALSE)</f>
        <v>2003570</v>
      </c>
    </row>
    <row r="3012" spans="1:11" x14ac:dyDescent="0.2">
      <c r="A3012">
        <v>2006690</v>
      </c>
      <c r="B3012">
        <v>2023</v>
      </c>
      <c r="C3012" t="s">
        <v>6</v>
      </c>
      <c r="D3012" t="s">
        <v>7</v>
      </c>
      <c r="E3012" t="s">
        <v>8</v>
      </c>
      <c r="F3012" s="29">
        <v>5409</v>
      </c>
      <c r="G3012" t="s">
        <v>328</v>
      </c>
      <c r="H3012">
        <v>241509</v>
      </c>
      <c r="I3012">
        <v>0</v>
      </c>
      <c r="J3012">
        <v>241509</v>
      </c>
      <c r="K3012">
        <f>VLOOKUP(F3012,'LEAID Match'!$A$2:$C$2979,3,FALSE)</f>
        <v>2006690</v>
      </c>
    </row>
    <row r="3013" spans="1:11" x14ac:dyDescent="0.2">
      <c r="A3013">
        <v>2011790</v>
      </c>
      <c r="B3013">
        <v>2023</v>
      </c>
      <c r="C3013" t="s">
        <v>6</v>
      </c>
      <c r="D3013" t="s">
        <v>7</v>
      </c>
      <c r="E3013" t="s">
        <v>8</v>
      </c>
      <c r="F3013" s="29">
        <v>5410</v>
      </c>
      <c r="G3013" t="s">
        <v>329</v>
      </c>
      <c r="H3013">
        <v>222970</v>
      </c>
      <c r="I3013">
        <v>0</v>
      </c>
      <c r="J3013">
        <v>222970</v>
      </c>
      <c r="K3013">
        <f>VLOOKUP(F3013,'LEAID Match'!$A$2:$C$2979,3,FALSE)</f>
        <v>2011790</v>
      </c>
    </row>
    <row r="3014" spans="1:11" x14ac:dyDescent="0.2">
      <c r="A3014">
        <v>2011640</v>
      </c>
      <c r="B3014">
        <v>2023</v>
      </c>
      <c r="C3014" t="s">
        <v>6</v>
      </c>
      <c r="D3014" t="s">
        <v>7</v>
      </c>
      <c r="E3014" t="s">
        <v>8</v>
      </c>
      <c r="F3014" s="29">
        <v>5430</v>
      </c>
      <c r="G3014" t="s">
        <v>330</v>
      </c>
      <c r="H3014">
        <v>22233131</v>
      </c>
      <c r="I3014">
        <v>0</v>
      </c>
      <c r="J3014">
        <v>22233131</v>
      </c>
      <c r="K3014">
        <f>VLOOKUP(F3014,'LEAID Match'!$A$2:$C$2979,3,FALSE)</f>
        <v>2011640</v>
      </c>
    </row>
    <row r="3015" spans="1:11" x14ac:dyDescent="0.2">
      <c r="A3015">
        <v>2004800</v>
      </c>
      <c r="B3015">
        <v>2023</v>
      </c>
      <c r="C3015" t="s">
        <v>6</v>
      </c>
      <c r="D3015" t="s">
        <v>7</v>
      </c>
      <c r="E3015" t="s">
        <v>8</v>
      </c>
      <c r="F3015" s="29">
        <v>5436</v>
      </c>
      <c r="G3015" t="s">
        <v>331</v>
      </c>
      <c r="H3015">
        <v>623132</v>
      </c>
      <c r="I3015">
        <v>0</v>
      </c>
      <c r="J3015">
        <v>623132</v>
      </c>
      <c r="K3015">
        <f>VLOOKUP(F3015,'LEAID Match'!$A$2:$C$2979,3,FALSE)</f>
        <v>2004800</v>
      </c>
    </row>
    <row r="3016" spans="1:11" x14ac:dyDescent="0.2">
      <c r="A3016">
        <v>2004790</v>
      </c>
      <c r="B3016">
        <v>2023</v>
      </c>
      <c r="C3016" t="s">
        <v>6</v>
      </c>
      <c r="D3016" t="s">
        <v>7</v>
      </c>
      <c r="E3016" t="s">
        <v>8</v>
      </c>
      <c r="F3016" s="29">
        <v>5590</v>
      </c>
      <c r="G3016" t="s">
        <v>332</v>
      </c>
      <c r="H3016">
        <v>160624</v>
      </c>
      <c r="I3016">
        <v>0</v>
      </c>
      <c r="J3016">
        <v>160624</v>
      </c>
      <c r="K3016">
        <f>VLOOKUP(F3016,'LEAID Match'!$A$2:$C$2979,3,FALSE)</f>
        <v>2004790</v>
      </c>
    </row>
    <row r="3017" spans="1:11" x14ac:dyDescent="0.2">
      <c r="A3017">
        <v>0</v>
      </c>
      <c r="B3017">
        <v>2023</v>
      </c>
      <c r="C3017" t="s">
        <v>6</v>
      </c>
      <c r="D3017" t="s">
        <v>7</v>
      </c>
      <c r="E3017" t="s">
        <v>8</v>
      </c>
      <c r="F3017" s="29">
        <v>5696</v>
      </c>
      <c r="G3017" t="s">
        <v>333</v>
      </c>
      <c r="H3017">
        <v>273619</v>
      </c>
      <c r="I3017">
        <v>0</v>
      </c>
      <c r="J3017">
        <v>273619</v>
      </c>
      <c r="K3017">
        <f>VLOOKUP(F3017,'LEAID Match'!$A$2:$C$2979,3,FALSE)</f>
        <v>0</v>
      </c>
    </row>
    <row r="3018" spans="1:11" x14ac:dyDescent="0.2">
      <c r="A3018">
        <v>2000023</v>
      </c>
      <c r="B3018">
        <v>2023</v>
      </c>
      <c r="C3018" t="s">
        <v>6</v>
      </c>
      <c r="D3018" t="s">
        <v>7</v>
      </c>
      <c r="E3018" t="s">
        <v>8</v>
      </c>
      <c r="F3018" s="29">
        <v>9291</v>
      </c>
      <c r="G3018" t="s">
        <v>334</v>
      </c>
      <c r="H3018">
        <v>381597</v>
      </c>
      <c r="I3018">
        <v>0</v>
      </c>
      <c r="J3018">
        <v>381597</v>
      </c>
      <c r="K3018">
        <f>VLOOKUP(F3018,'LEAID Match'!$A$2:$C$2979,3,FALSE)</f>
        <v>2000023</v>
      </c>
    </row>
    <row r="3019" spans="1:11" x14ac:dyDescent="0.2">
      <c r="A3019">
        <v>2000020</v>
      </c>
      <c r="B3019">
        <v>2023</v>
      </c>
      <c r="C3019" t="s">
        <v>6</v>
      </c>
      <c r="D3019" t="s">
        <v>7</v>
      </c>
      <c r="E3019" t="s">
        <v>8</v>
      </c>
      <c r="F3019" s="29">
        <v>9302</v>
      </c>
      <c r="G3019" t="s">
        <v>335</v>
      </c>
      <c r="H3019">
        <v>200374</v>
      </c>
      <c r="I3019">
        <v>0</v>
      </c>
      <c r="J3019">
        <v>200374</v>
      </c>
      <c r="K3019">
        <f>VLOOKUP(F3019,'LEAID Match'!$A$2:$C$2979,3,FALSE)</f>
        <v>2000020</v>
      </c>
    </row>
    <row r="3020" spans="1:11" x14ac:dyDescent="0.2">
      <c r="A3020">
        <v>2000029</v>
      </c>
      <c r="B3020">
        <v>2023</v>
      </c>
      <c r="C3020" t="s">
        <v>6</v>
      </c>
      <c r="D3020" t="s">
        <v>7</v>
      </c>
      <c r="E3020" t="s">
        <v>8</v>
      </c>
      <c r="F3020" s="29">
        <v>9332</v>
      </c>
      <c r="G3020" t="s">
        <v>336</v>
      </c>
      <c r="H3020">
        <v>325524</v>
      </c>
      <c r="I3020">
        <v>0</v>
      </c>
      <c r="J3020">
        <v>325524</v>
      </c>
      <c r="K3020">
        <f>VLOOKUP(F3020,'LEAID Match'!$A$2:$C$2979,3,FALSE)</f>
        <v>2000029</v>
      </c>
    </row>
    <row r="3021" spans="1:11" x14ac:dyDescent="0.2">
      <c r="A3021">
        <v>2000028</v>
      </c>
      <c r="B3021">
        <v>2023</v>
      </c>
      <c r="C3021" t="s">
        <v>6</v>
      </c>
      <c r="D3021" t="s">
        <v>7</v>
      </c>
      <c r="E3021" t="s">
        <v>8</v>
      </c>
      <c r="F3021" s="29">
        <v>9333</v>
      </c>
      <c r="G3021" t="s">
        <v>337</v>
      </c>
      <c r="H3021">
        <v>385882</v>
      </c>
      <c r="I3021">
        <v>0</v>
      </c>
      <c r="J3021">
        <v>385882</v>
      </c>
      <c r="K3021">
        <f>VLOOKUP(F3021,'LEAID Match'!$A$2:$C$2979,3,FALSE)</f>
        <v>2000028</v>
      </c>
    </row>
    <row r="3022" spans="1:11" x14ac:dyDescent="0.2">
      <c r="A3022">
        <v>2000030</v>
      </c>
      <c r="B3022">
        <v>2023</v>
      </c>
      <c r="C3022" t="s">
        <v>6</v>
      </c>
      <c r="D3022" t="s">
        <v>7</v>
      </c>
      <c r="E3022" t="s">
        <v>8</v>
      </c>
      <c r="F3022" s="29">
        <v>9335</v>
      </c>
      <c r="G3022" t="s">
        <v>338</v>
      </c>
      <c r="H3022">
        <v>488734</v>
      </c>
      <c r="I3022">
        <v>0</v>
      </c>
      <c r="J3022">
        <v>488734</v>
      </c>
      <c r="K3022">
        <f>VLOOKUP(F3022,'LEAID Match'!$A$2:$C$2979,3,FALSE)</f>
        <v>2000030</v>
      </c>
    </row>
    <row r="3023" spans="1:11" x14ac:dyDescent="0.2">
      <c r="A3023">
        <v>2000346</v>
      </c>
      <c r="B3023">
        <v>2023</v>
      </c>
      <c r="C3023" t="s">
        <v>6</v>
      </c>
      <c r="D3023" t="s">
        <v>7</v>
      </c>
      <c r="E3023" t="s">
        <v>8</v>
      </c>
      <c r="F3023" s="29">
        <v>9389</v>
      </c>
      <c r="G3023" t="s">
        <v>339</v>
      </c>
      <c r="H3023">
        <v>241074</v>
      </c>
      <c r="I3023">
        <v>0</v>
      </c>
      <c r="J3023">
        <v>241074</v>
      </c>
      <c r="K3023">
        <f>VLOOKUP(F3023,'LEAID Match'!$A$2:$C$2979,3,FALSE)</f>
        <v>2000346</v>
      </c>
    </row>
    <row r="3024" spans="1:11" x14ac:dyDescent="0.2">
      <c r="A3024">
        <v>2000348</v>
      </c>
      <c r="B3024">
        <v>2023</v>
      </c>
      <c r="C3024" t="s">
        <v>6</v>
      </c>
      <c r="D3024" t="s">
        <v>7</v>
      </c>
      <c r="E3024" t="s">
        <v>8</v>
      </c>
      <c r="F3024" s="29">
        <v>9410</v>
      </c>
      <c r="G3024" t="s">
        <v>340</v>
      </c>
      <c r="H3024">
        <v>372370</v>
      </c>
      <c r="I3024">
        <v>0</v>
      </c>
      <c r="J3024">
        <v>372370</v>
      </c>
      <c r="K3024">
        <f>VLOOKUP(F3024,'LEAID Match'!$A$2:$C$2979,3,FALSE)</f>
        <v>2000348</v>
      </c>
    </row>
    <row r="3025" spans="1:11" x14ac:dyDescent="0.2">
      <c r="A3025">
        <v>2000351</v>
      </c>
      <c r="B3025">
        <v>2023</v>
      </c>
      <c r="C3025" t="s">
        <v>6</v>
      </c>
      <c r="D3025" t="s">
        <v>7</v>
      </c>
      <c r="E3025" t="s">
        <v>8</v>
      </c>
      <c r="F3025" s="29">
        <v>9444</v>
      </c>
      <c r="G3025" t="s">
        <v>341</v>
      </c>
      <c r="H3025">
        <v>561904</v>
      </c>
      <c r="I3025">
        <v>0</v>
      </c>
      <c r="J3025">
        <v>561904</v>
      </c>
      <c r="K3025">
        <f>VLOOKUP(F3025,'LEAID Match'!$A$2:$C$2979,3,FALSE)</f>
        <v>2000351</v>
      </c>
    </row>
    <row r="3026" spans="1:11" x14ac:dyDescent="0.2">
      <c r="A3026">
        <v>2000349</v>
      </c>
      <c r="B3026">
        <v>2023</v>
      </c>
      <c r="C3026" t="s">
        <v>6</v>
      </c>
      <c r="D3026" t="s">
        <v>7</v>
      </c>
      <c r="E3026" t="s">
        <v>8</v>
      </c>
      <c r="F3026" s="29">
        <v>9445</v>
      </c>
      <c r="G3026" t="s">
        <v>342</v>
      </c>
      <c r="H3026">
        <v>506782</v>
      </c>
      <c r="I3026">
        <v>0</v>
      </c>
      <c r="J3026">
        <v>506782</v>
      </c>
      <c r="K3026">
        <f>VLOOKUP(F3026,'LEAID Match'!$A$2:$C$2979,3,FALSE)</f>
        <v>2000349</v>
      </c>
    </row>
    <row r="3027" spans="1:11" x14ac:dyDescent="0.2">
      <c r="A3027">
        <v>2000350</v>
      </c>
      <c r="B3027">
        <v>2023</v>
      </c>
      <c r="C3027" t="s">
        <v>6</v>
      </c>
      <c r="D3027" t="s">
        <v>7</v>
      </c>
      <c r="E3027" t="s">
        <v>8</v>
      </c>
      <c r="F3027" s="29">
        <v>9446</v>
      </c>
      <c r="G3027" t="s">
        <v>343</v>
      </c>
      <c r="H3027">
        <v>948107</v>
      </c>
      <c r="I3027">
        <v>0</v>
      </c>
      <c r="J3027">
        <v>948107</v>
      </c>
      <c r="K3027">
        <f>VLOOKUP(F3027,'LEAID Match'!$A$2:$C$2979,3,FALSE)</f>
        <v>2000350</v>
      </c>
    </row>
    <row r="3028" spans="1:11" x14ac:dyDescent="0.2">
      <c r="A3028">
        <v>2000353</v>
      </c>
      <c r="B3028">
        <v>2023</v>
      </c>
      <c r="C3028" t="s">
        <v>6</v>
      </c>
      <c r="D3028" t="s">
        <v>7</v>
      </c>
      <c r="E3028" t="s">
        <v>8</v>
      </c>
      <c r="F3028" s="29">
        <v>9461</v>
      </c>
      <c r="G3028" t="s">
        <v>344</v>
      </c>
      <c r="H3028">
        <v>767118</v>
      </c>
      <c r="I3028">
        <v>0</v>
      </c>
      <c r="J3028">
        <v>767118</v>
      </c>
      <c r="K3028">
        <f>VLOOKUP(F3028,'LEAID Match'!$A$2:$C$2979,3,FALSE)</f>
        <v>2000353</v>
      </c>
    </row>
    <row r="3029" spans="1:11" x14ac:dyDescent="0.2">
      <c r="A3029">
        <v>2005730</v>
      </c>
      <c r="B3029">
        <v>2023</v>
      </c>
      <c r="C3029" t="s">
        <v>6</v>
      </c>
      <c r="D3029" t="s">
        <v>7</v>
      </c>
      <c r="E3029" t="s">
        <v>8</v>
      </c>
      <c r="F3029" s="29">
        <v>5303</v>
      </c>
      <c r="G3029" t="s">
        <v>345</v>
      </c>
      <c r="H3029">
        <v>1570580</v>
      </c>
      <c r="I3029">
        <v>0</v>
      </c>
      <c r="J3029">
        <v>1570580</v>
      </c>
      <c r="K3029">
        <f>VLOOKUP(F3029,'LEAID Match'!$A$2:$C$2979,3,FALSE)</f>
        <v>2005730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69B0B-22D4-B142-A560-9DCC6D92A977}">
  <sheetPr>
    <tabColor rgb="FFFF0000"/>
  </sheetPr>
  <dimension ref="A1"/>
  <sheetViews>
    <sheetView workbookViewId="0">
      <selection activeCell="E36" sqref="E36"/>
    </sheetView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A5194-F10E-D348-90D4-505389737018}">
  <sheetPr>
    <tabColor rgb="FFFFFF00"/>
  </sheetPr>
  <dimension ref="A1:H347"/>
  <sheetViews>
    <sheetView workbookViewId="0">
      <selection activeCell="G2" sqref="G2:H338"/>
    </sheetView>
  </sheetViews>
  <sheetFormatPr baseColWidth="10" defaultRowHeight="16" x14ac:dyDescent="0.2"/>
  <cols>
    <col min="2" max="2" width="11.83203125" bestFit="1" customWidth="1"/>
    <col min="3" max="3" width="41.5" bestFit="1" customWidth="1"/>
    <col min="4" max="4" width="18.83203125" bestFit="1" customWidth="1"/>
    <col min="5" max="5" width="21.1640625" bestFit="1" customWidth="1"/>
    <col min="6" max="6" width="18.5" customWidth="1"/>
    <col min="7" max="7" width="17.1640625" bestFit="1" customWidth="1"/>
    <col min="8" max="8" width="16.83203125" bestFit="1" customWidth="1"/>
  </cols>
  <sheetData>
    <row r="1" spans="1:8" x14ac:dyDescent="0.2">
      <c r="A1" t="s">
        <v>1</v>
      </c>
      <c r="B1" t="s">
        <v>5</v>
      </c>
      <c r="C1" t="s">
        <v>4</v>
      </c>
      <c r="D1" t="s">
        <v>350</v>
      </c>
      <c r="E1" t="s">
        <v>370</v>
      </c>
      <c r="F1" s="3" t="s">
        <v>374</v>
      </c>
      <c r="G1" t="s">
        <v>368</v>
      </c>
      <c r="H1" t="s">
        <v>351</v>
      </c>
    </row>
    <row r="2" spans="1:8" x14ac:dyDescent="0.2">
      <c r="A2">
        <v>2023</v>
      </c>
      <c r="B2" s="34">
        <v>4930</v>
      </c>
      <c r="C2" s="9" t="s">
        <v>9</v>
      </c>
      <c r="D2" s="10">
        <v>11026</v>
      </c>
      <c r="E2" s="10">
        <v>11026</v>
      </c>
      <c r="F2" s="11">
        <f>VLOOKUP(B2,'2015'!$B$2:$G$338,6,FALSE)</f>
        <v>8.169597553666752E-3</v>
      </c>
      <c r="G2" s="19">
        <f>F2*$D$341</f>
        <v>567347.99580730521</v>
      </c>
      <c r="H2" s="18">
        <f>SUM(G2,D2)</f>
        <v>578373.99580730521</v>
      </c>
    </row>
    <row r="3" spans="1:8" x14ac:dyDescent="0.2">
      <c r="A3">
        <v>2023</v>
      </c>
      <c r="B3" s="34">
        <v>4931</v>
      </c>
      <c r="C3" s="9" t="s">
        <v>10</v>
      </c>
      <c r="D3" s="10">
        <v>3768</v>
      </c>
      <c r="E3" s="10">
        <v>3768</v>
      </c>
      <c r="F3" s="11">
        <f>VLOOKUP(B3,'2015'!$B$2:$G$338,6,FALSE)</f>
        <v>6.4531547540516718E-3</v>
      </c>
      <c r="G3" s="19">
        <f t="shared" ref="G3:G66" si="0">F3*$D$341</f>
        <v>448147.46287010843</v>
      </c>
      <c r="H3" s="18">
        <f t="shared" ref="H3:H66" si="1">SUM(G3,D3)</f>
        <v>451915.46287010843</v>
      </c>
    </row>
    <row r="4" spans="1:8" x14ac:dyDescent="0.2">
      <c r="A4">
        <v>2023</v>
      </c>
      <c r="B4" s="34">
        <v>5045</v>
      </c>
      <c r="C4" s="9" t="s">
        <v>11</v>
      </c>
      <c r="D4" s="9"/>
      <c r="E4" s="9"/>
      <c r="F4" s="11">
        <f>VLOOKUP(B4,'2015'!$B$2:$G$338,6,FALSE)</f>
        <v>1.0105484222096495E-2</v>
      </c>
      <c r="G4" s="19">
        <f t="shared" si="0"/>
        <v>701788.08471361094</v>
      </c>
      <c r="H4" s="18">
        <f t="shared" si="1"/>
        <v>701788.08471361094</v>
      </c>
    </row>
    <row r="5" spans="1:8" x14ac:dyDescent="0.2">
      <c r="A5">
        <v>2023</v>
      </c>
      <c r="B5" s="34">
        <v>5046</v>
      </c>
      <c r="C5" s="9" t="s">
        <v>12</v>
      </c>
      <c r="D5" s="9"/>
      <c r="E5" s="9"/>
      <c r="F5" s="11">
        <f>VLOOKUP(B5,'2015'!$B$2:$G$338,6,FALSE)</f>
        <v>1.3630219751289424E-2</v>
      </c>
      <c r="G5" s="19">
        <f t="shared" si="0"/>
        <v>946567.78470518067</v>
      </c>
      <c r="H5" s="18">
        <f t="shared" si="1"/>
        <v>946567.78470518067</v>
      </c>
    </row>
    <row r="6" spans="1:8" x14ac:dyDescent="0.2">
      <c r="A6">
        <v>2023</v>
      </c>
      <c r="B6" s="34">
        <v>5047</v>
      </c>
      <c r="C6" s="9" t="s">
        <v>13</v>
      </c>
      <c r="D6" s="10">
        <v>12710</v>
      </c>
      <c r="E6" s="10">
        <v>12710</v>
      </c>
      <c r="F6" s="11">
        <f>VLOOKUP(B6,'2015'!$B$2:$G$338,6,FALSE)</f>
        <v>2.189607160505451E-2</v>
      </c>
      <c r="G6" s="19">
        <f t="shared" si="0"/>
        <v>1520600.2816632327</v>
      </c>
      <c r="H6" s="18">
        <f t="shared" si="1"/>
        <v>1533310.2816632327</v>
      </c>
    </row>
    <row r="7" spans="1:8" x14ac:dyDescent="0.2">
      <c r="A7">
        <v>2023</v>
      </c>
      <c r="B7" s="34">
        <v>5048</v>
      </c>
      <c r="C7" s="9" t="s">
        <v>14</v>
      </c>
      <c r="D7" s="10">
        <v>79632</v>
      </c>
      <c r="E7" s="10">
        <v>79632</v>
      </c>
      <c r="F7" s="11">
        <f>VLOOKUP(B7,'2015'!$B$2:$G$338,6,FALSE)</f>
        <v>4.4505872497202836E-2</v>
      </c>
      <c r="G7" s="19">
        <f t="shared" si="0"/>
        <v>3090766.3929675976</v>
      </c>
      <c r="H7" s="18">
        <f t="shared" si="1"/>
        <v>3170398.3929675976</v>
      </c>
    </row>
    <row r="8" spans="1:8" x14ac:dyDescent="0.2">
      <c r="A8">
        <v>2023</v>
      </c>
      <c r="B8" s="34">
        <v>5049</v>
      </c>
      <c r="C8" s="9" t="s">
        <v>15</v>
      </c>
      <c r="D8" s="10">
        <v>173633</v>
      </c>
      <c r="E8" s="10">
        <v>173633</v>
      </c>
      <c r="F8" s="11">
        <f>VLOOKUP(B8,'2015'!$B$2:$G$338,6,FALSE)</f>
        <v>6.3574471270304675E-2</v>
      </c>
      <c r="G8" s="19">
        <f t="shared" si="0"/>
        <v>4415009.2612001086</v>
      </c>
      <c r="H8" s="18">
        <f t="shared" si="1"/>
        <v>4588642.2612001086</v>
      </c>
    </row>
    <row r="9" spans="1:8" x14ac:dyDescent="0.2">
      <c r="A9">
        <v>2023</v>
      </c>
      <c r="B9" s="34">
        <v>5050</v>
      </c>
      <c r="C9" s="9" t="s">
        <v>16</v>
      </c>
      <c r="D9" s="10">
        <v>12445</v>
      </c>
      <c r="E9" s="10">
        <v>12445</v>
      </c>
      <c r="F9" s="11">
        <f>VLOOKUP(B9,'2015'!$B$2:$G$338,6,FALSE)</f>
        <v>1.5153357180231053E-2</v>
      </c>
      <c r="G9" s="19">
        <f t="shared" si="0"/>
        <v>1052343.9826111926</v>
      </c>
      <c r="H9" s="18">
        <f t="shared" si="1"/>
        <v>1064788.9826111926</v>
      </c>
    </row>
    <row r="10" spans="1:8" x14ac:dyDescent="0.2">
      <c r="A10">
        <v>2023</v>
      </c>
      <c r="B10" s="34">
        <v>5107</v>
      </c>
      <c r="C10" s="9" t="s">
        <v>17</v>
      </c>
      <c r="D10" s="10">
        <v>9502</v>
      </c>
      <c r="E10" s="10">
        <v>9502</v>
      </c>
      <c r="F10" s="11">
        <f>VLOOKUP(B10,'2015'!$B$2:$G$338,6,FALSE)</f>
        <v>2.4280916304639615E-2</v>
      </c>
      <c r="G10" s="19">
        <f t="shared" si="0"/>
        <v>1686218.826730242</v>
      </c>
      <c r="H10" s="18">
        <f t="shared" si="1"/>
        <v>1695720.826730242</v>
      </c>
    </row>
    <row r="11" spans="1:8" x14ac:dyDescent="0.2">
      <c r="A11">
        <v>2023</v>
      </c>
      <c r="B11" s="34">
        <v>5108</v>
      </c>
      <c r="C11" s="9" t="s">
        <v>18</v>
      </c>
      <c r="D11" s="10">
        <v>35307</v>
      </c>
      <c r="E11" s="10">
        <v>35307</v>
      </c>
      <c r="F11" s="11">
        <f>VLOOKUP(B11,'2015'!$B$2:$G$338,6,FALSE)</f>
        <v>3.1695507434012407E-2</v>
      </c>
      <c r="G11" s="19">
        <f t="shared" si="0"/>
        <v>2201134.4500943585</v>
      </c>
      <c r="H11" s="18">
        <f t="shared" si="1"/>
        <v>2236441.4500943585</v>
      </c>
    </row>
    <row r="12" spans="1:8" x14ac:dyDescent="0.2">
      <c r="A12">
        <v>2023</v>
      </c>
      <c r="B12" s="34">
        <v>5109</v>
      </c>
      <c r="C12" s="9" t="s">
        <v>19</v>
      </c>
      <c r="D12" s="10">
        <v>53517</v>
      </c>
      <c r="E12" s="10">
        <v>53517</v>
      </c>
      <c r="F12" s="11">
        <f>VLOOKUP(B12,'2015'!$B$2:$G$338,6,FALSE)</f>
        <v>5.1177098904248042E-2</v>
      </c>
      <c r="G12" s="19">
        <f t="shared" si="0"/>
        <v>3554058.1165501247</v>
      </c>
      <c r="H12" s="18">
        <f t="shared" si="1"/>
        <v>3607575.1165501247</v>
      </c>
    </row>
    <row r="13" spans="1:8" x14ac:dyDescent="0.2">
      <c r="A13">
        <v>2023</v>
      </c>
      <c r="B13" s="34">
        <v>5110</v>
      </c>
      <c r="C13" s="9" t="s">
        <v>20</v>
      </c>
      <c r="D13" s="10">
        <v>14708</v>
      </c>
      <c r="E13" s="10">
        <v>14708</v>
      </c>
      <c r="F13" s="11">
        <f>VLOOKUP(B13,'2015'!$B$2:$G$338,6,FALSE)</f>
        <v>1.0333360578457136E-2</v>
      </c>
      <c r="G13" s="19">
        <f t="shared" si="0"/>
        <v>717613.24540528469</v>
      </c>
      <c r="H13" s="18">
        <f t="shared" si="1"/>
        <v>732321.24540528469</v>
      </c>
    </row>
    <row r="14" spans="1:8" x14ac:dyDescent="0.2">
      <c r="A14">
        <v>2023</v>
      </c>
      <c r="B14" s="34">
        <v>5111</v>
      </c>
      <c r="C14" s="9" t="s">
        <v>21</v>
      </c>
      <c r="D14" s="3"/>
      <c r="E14" s="9"/>
      <c r="F14" s="11">
        <f>VLOOKUP(B14,'2015'!$B$2:$G$338,6,FALSE)</f>
        <v>1.0645672472843794E-2</v>
      </c>
      <c r="G14" s="19">
        <f t="shared" si="0"/>
        <v>739302.13842395309</v>
      </c>
      <c r="H14" s="18">
        <f t="shared" si="1"/>
        <v>739302.13842395309</v>
      </c>
    </row>
    <row r="15" spans="1:8" x14ac:dyDescent="0.2">
      <c r="A15">
        <v>2023</v>
      </c>
      <c r="B15" s="34">
        <v>5112</v>
      </c>
      <c r="C15" s="9" t="s">
        <v>22</v>
      </c>
      <c r="D15" s="10">
        <v>4590</v>
      </c>
      <c r="E15" s="10">
        <v>4590</v>
      </c>
      <c r="F15" s="11">
        <f>VLOOKUP(B15,'2015'!$B$2:$G$338,6,FALSE)</f>
        <v>1.26711958199119E-2</v>
      </c>
      <c r="G15" s="19">
        <f t="shared" si="0"/>
        <v>879967.15942051494</v>
      </c>
      <c r="H15" s="18">
        <f t="shared" si="1"/>
        <v>884557.15942051494</v>
      </c>
    </row>
    <row r="16" spans="1:8" x14ac:dyDescent="0.2">
      <c r="A16">
        <v>2023</v>
      </c>
      <c r="B16" s="34">
        <v>5113</v>
      </c>
      <c r="C16" s="9" t="s">
        <v>23</v>
      </c>
      <c r="D16" s="10">
        <v>23029</v>
      </c>
      <c r="E16" s="10">
        <v>23029</v>
      </c>
      <c r="F16" s="11">
        <f>VLOOKUP(B16,'2015'!$B$2:$G$338,6,FALSE)</f>
        <v>1.1491975514269418E-2</v>
      </c>
      <c r="G16" s="19">
        <f t="shared" si="0"/>
        <v>798074.71947758773</v>
      </c>
      <c r="H16" s="18">
        <f t="shared" si="1"/>
        <v>821103.71947758773</v>
      </c>
    </row>
    <row r="17" spans="1:8" x14ac:dyDescent="0.2">
      <c r="A17">
        <v>2023</v>
      </c>
      <c r="B17" s="34">
        <v>5177</v>
      </c>
      <c r="C17" s="9" t="s">
        <v>24</v>
      </c>
      <c r="D17" s="10">
        <v>53687</v>
      </c>
      <c r="E17" s="10">
        <v>53687</v>
      </c>
      <c r="F17" s="11">
        <f>VLOOKUP(B17,'2015'!$B$2:$G$338,6,FALSE)</f>
        <v>1.3302968410463039E-2</v>
      </c>
      <c r="G17" s="19">
        <f t="shared" si="0"/>
        <v>923841.40300480288</v>
      </c>
      <c r="H17" s="18">
        <f t="shared" si="1"/>
        <v>977528.40300480288</v>
      </c>
    </row>
    <row r="18" spans="1:8" x14ac:dyDescent="0.2">
      <c r="A18">
        <v>2023</v>
      </c>
      <c r="B18" s="34">
        <v>5178</v>
      </c>
      <c r="C18" s="9" t="s">
        <v>25</v>
      </c>
      <c r="D18" s="10">
        <v>34063</v>
      </c>
      <c r="E18" s="10">
        <v>34063</v>
      </c>
      <c r="F18" s="11">
        <f>VLOOKUP(B18,'2015'!$B$2:$G$338,6,FALSE)</f>
        <v>2.1732025416889681E-2</v>
      </c>
      <c r="G18" s="19">
        <f t="shared" si="0"/>
        <v>1509207.8874279291</v>
      </c>
      <c r="H18" s="18">
        <f t="shared" si="1"/>
        <v>1543270.8874279291</v>
      </c>
    </row>
    <row r="19" spans="1:8" x14ac:dyDescent="0.2">
      <c r="A19">
        <v>2023</v>
      </c>
      <c r="B19" s="34">
        <v>5179</v>
      </c>
      <c r="C19" s="9" t="s">
        <v>26</v>
      </c>
      <c r="D19" s="10">
        <v>28259</v>
      </c>
      <c r="E19" s="10">
        <v>28259</v>
      </c>
      <c r="F19" s="11">
        <f>VLOOKUP(B19,'2015'!$B$2:$G$338,6,FALSE)</f>
        <v>1.1857958753272873E-2</v>
      </c>
      <c r="G19" s="19">
        <f t="shared" si="0"/>
        <v>823490.88664906379</v>
      </c>
      <c r="H19" s="18">
        <f t="shared" si="1"/>
        <v>851749.88664906379</v>
      </c>
    </row>
    <row r="20" spans="1:8" x14ac:dyDescent="0.2">
      <c r="A20">
        <v>2023</v>
      </c>
      <c r="B20" s="34">
        <v>5180</v>
      </c>
      <c r="C20" s="9" t="s">
        <v>27</v>
      </c>
      <c r="D20" s="10">
        <v>3900</v>
      </c>
      <c r="E20" s="10">
        <v>3900</v>
      </c>
      <c r="F20" s="11">
        <f>VLOOKUP(B20,'2015'!$B$2:$G$338,6,FALSE)</f>
        <v>1.6155185392222552E-2</v>
      </c>
      <c r="G20" s="19">
        <f t="shared" si="0"/>
        <v>1121917.2050964893</v>
      </c>
      <c r="H20" s="18">
        <f t="shared" si="1"/>
        <v>1125817.2050964893</v>
      </c>
    </row>
    <row r="21" spans="1:8" x14ac:dyDescent="0.2">
      <c r="A21">
        <v>2023</v>
      </c>
      <c r="B21" s="34">
        <v>5404</v>
      </c>
      <c r="C21" s="9" t="s">
        <v>28</v>
      </c>
      <c r="D21" s="10">
        <v>13406</v>
      </c>
      <c r="E21" s="10">
        <v>13406</v>
      </c>
      <c r="F21" s="11">
        <f>VLOOKUP(B21,'2015'!$B$2:$G$338,6,FALSE)</f>
        <v>1.896247337209666E-2</v>
      </c>
      <c r="G21" s="19">
        <f t="shared" si="0"/>
        <v>1316872.8560417013</v>
      </c>
      <c r="H21" s="18">
        <f t="shared" si="1"/>
        <v>1330278.8560417013</v>
      </c>
    </row>
    <row r="22" spans="1:8" x14ac:dyDescent="0.2">
      <c r="A22">
        <v>2023</v>
      </c>
      <c r="B22" s="34">
        <v>5406</v>
      </c>
      <c r="C22" s="9" t="s">
        <v>29</v>
      </c>
      <c r="D22" s="10">
        <v>107563</v>
      </c>
      <c r="E22" s="10">
        <v>107563</v>
      </c>
      <c r="F22" s="11">
        <f>VLOOKUP(B22,'2015'!$B$2:$G$338,6,FALSE)</f>
        <v>0.18385655811930474</v>
      </c>
      <c r="G22" s="19">
        <f t="shared" si="0"/>
        <v>12768150.337858347</v>
      </c>
      <c r="H22" s="18">
        <f t="shared" si="1"/>
        <v>12875713.337858347</v>
      </c>
    </row>
    <row r="23" spans="1:8" x14ac:dyDescent="0.2">
      <c r="A23">
        <v>2023</v>
      </c>
      <c r="B23" s="34">
        <v>5596</v>
      </c>
      <c r="C23" s="9" t="s">
        <v>30</v>
      </c>
      <c r="D23" s="10">
        <v>58206</v>
      </c>
      <c r="E23" s="10">
        <v>58206</v>
      </c>
      <c r="F23" s="11">
        <f>VLOOKUP(B23,'2015'!$B$2:$G$338,6,FALSE)</f>
        <v>1.6026551225248188E-2</v>
      </c>
      <c r="G23" s="19">
        <f t="shared" si="0"/>
        <v>1112984.0432919043</v>
      </c>
      <c r="H23" s="18">
        <f t="shared" si="1"/>
        <v>1171190.0432919043</v>
      </c>
    </row>
    <row r="24" spans="1:8" x14ac:dyDescent="0.2">
      <c r="A24">
        <v>2023</v>
      </c>
      <c r="B24" s="34">
        <v>5600</v>
      </c>
      <c r="C24" s="9" t="s">
        <v>31</v>
      </c>
      <c r="D24" s="10">
        <v>91048</v>
      </c>
      <c r="E24" s="10">
        <v>91048</v>
      </c>
      <c r="F24" s="11">
        <f>VLOOKUP(B24,'2015'!$B$2:$G$338,6,FALSE)</f>
        <v>1.8681545381490052E-2</v>
      </c>
      <c r="G24" s="19">
        <f t="shared" si="0"/>
        <v>1297363.4577647573</v>
      </c>
      <c r="H24" s="18">
        <f t="shared" si="1"/>
        <v>1388411.4577647573</v>
      </c>
    </row>
    <row r="25" spans="1:8" x14ac:dyDescent="0.2">
      <c r="A25">
        <v>2023</v>
      </c>
      <c r="B25" s="34">
        <v>5604</v>
      </c>
      <c r="C25" s="9" t="s">
        <v>32</v>
      </c>
      <c r="D25" s="10">
        <v>26388</v>
      </c>
      <c r="E25" s="10">
        <v>26388</v>
      </c>
      <c r="F25" s="11">
        <f>VLOOKUP(B25,'2015'!$B$2:$G$338,6,FALSE)</f>
        <v>1.7146633455502592E-2</v>
      </c>
      <c r="G25" s="19">
        <f t="shared" si="0"/>
        <v>1190769.5650755314</v>
      </c>
      <c r="H25" s="18">
        <f t="shared" si="1"/>
        <v>1217157.5650755314</v>
      </c>
    </row>
    <row r="26" spans="1:8" x14ac:dyDescent="0.2">
      <c r="A26">
        <v>2023</v>
      </c>
      <c r="B26" s="34">
        <v>5608</v>
      </c>
      <c r="C26" s="9" t="s">
        <v>33</v>
      </c>
      <c r="D26" s="10">
        <v>2754</v>
      </c>
      <c r="E26" s="10">
        <v>2754</v>
      </c>
      <c r="F26" s="11">
        <f>VLOOKUP(B26,'2015'!$B$2:$G$338,6,FALSE)</f>
        <v>1.6119618443439378E-2</v>
      </c>
      <c r="G26" s="19">
        <f t="shared" si="0"/>
        <v>1119447.2135238864</v>
      </c>
      <c r="H26" s="18">
        <f t="shared" si="1"/>
        <v>1122201.2135238864</v>
      </c>
    </row>
    <row r="27" spans="1:8" x14ac:dyDescent="0.2">
      <c r="A27">
        <v>2023</v>
      </c>
      <c r="B27" s="34">
        <v>5609</v>
      </c>
      <c r="C27" s="9" t="s">
        <v>34</v>
      </c>
      <c r="D27" s="10">
        <v>13776</v>
      </c>
      <c r="E27" s="10">
        <v>13776</v>
      </c>
      <c r="F27" s="11">
        <f>VLOOKUP(B27,'2015'!$B$2:$G$338,6,FALSE)</f>
        <v>1.7566288039122847E-2</v>
      </c>
      <c r="G27" s="19">
        <f t="shared" si="0"/>
        <v>1219913.0063998154</v>
      </c>
      <c r="H27" s="18">
        <f t="shared" si="1"/>
        <v>1233689.0063998154</v>
      </c>
    </row>
    <row r="28" spans="1:8" x14ac:dyDescent="0.2">
      <c r="A28">
        <v>2023</v>
      </c>
      <c r="B28" s="34">
        <v>5612</v>
      </c>
      <c r="C28" s="9" t="s">
        <v>35</v>
      </c>
      <c r="D28" s="10">
        <v>84113</v>
      </c>
      <c r="E28" s="10">
        <v>84113</v>
      </c>
      <c r="F28" s="11">
        <f>VLOOKUP(B28,'2015'!$B$2:$G$338,6,FALSE)</f>
        <v>3.6267907610125244E-2</v>
      </c>
      <c r="G28" s="19">
        <f t="shared" si="0"/>
        <v>2518670.5415487364</v>
      </c>
      <c r="H28" s="18">
        <f t="shared" si="1"/>
        <v>2602783.5415487364</v>
      </c>
    </row>
    <row r="29" spans="1:8" x14ac:dyDescent="0.2">
      <c r="A29">
        <v>2023</v>
      </c>
      <c r="B29" s="34">
        <v>5624</v>
      </c>
      <c r="C29" s="9" t="s">
        <v>36</v>
      </c>
      <c r="D29" s="10">
        <v>25118</v>
      </c>
      <c r="E29" s="10">
        <v>25118</v>
      </c>
      <c r="F29" s="11">
        <f>VLOOKUP(B29,'2015'!$B$2:$G$338,6,FALSE)</f>
        <v>1.2935059642807353E-2</v>
      </c>
      <c r="G29" s="19">
        <f t="shared" si="0"/>
        <v>898291.5150699066</v>
      </c>
      <c r="H29" s="18">
        <f t="shared" si="1"/>
        <v>923409.5150699066</v>
      </c>
    </row>
    <row r="30" spans="1:8" x14ac:dyDescent="0.2">
      <c r="A30">
        <v>2023</v>
      </c>
      <c r="B30" s="34">
        <v>5626</v>
      </c>
      <c r="C30" s="9" t="s">
        <v>37</v>
      </c>
      <c r="D30" s="10">
        <v>9885</v>
      </c>
      <c r="E30" s="10">
        <v>9885</v>
      </c>
      <c r="F30" s="11">
        <f>VLOOKUP(B30,'2015'!$B$2:$G$338,6,FALSE)</f>
        <v>1.5028308480402224E-2</v>
      </c>
      <c r="G30" s="19">
        <f t="shared" si="0"/>
        <v>1043659.8180902178</v>
      </c>
      <c r="H30" s="18">
        <f t="shared" si="1"/>
        <v>1053544.8180902177</v>
      </c>
    </row>
    <row r="31" spans="1:8" x14ac:dyDescent="0.2">
      <c r="A31">
        <v>2023</v>
      </c>
      <c r="B31" s="34">
        <v>5634</v>
      </c>
      <c r="C31" s="9" t="s">
        <v>38</v>
      </c>
      <c r="D31" s="10">
        <v>62575</v>
      </c>
      <c r="E31" s="10">
        <v>62575</v>
      </c>
      <c r="F31" s="11">
        <f>VLOOKUP(B31,'2015'!$B$2:$G$338,6,FALSE)</f>
        <v>2.1955563800654488E-2</v>
      </c>
      <c r="G31" s="19">
        <f t="shared" si="0"/>
        <v>1524731.7921468397</v>
      </c>
      <c r="H31" s="18">
        <f t="shared" si="1"/>
        <v>1587306.7921468397</v>
      </c>
    </row>
    <row r="32" spans="1:8" x14ac:dyDescent="0.2">
      <c r="A32">
        <v>2023</v>
      </c>
      <c r="B32" s="34">
        <v>5638</v>
      </c>
      <c r="C32" s="9" t="s">
        <v>39</v>
      </c>
      <c r="D32" s="10">
        <v>19158</v>
      </c>
      <c r="E32" s="10">
        <v>19158</v>
      </c>
      <c r="F32" s="11">
        <f>VLOOKUP(B32,'2015'!$B$2:$G$338,6,FALSE)</f>
        <v>1.1550715204419101E-2</v>
      </c>
      <c r="G32" s="19">
        <f t="shared" si="0"/>
        <v>802153.97127204202</v>
      </c>
      <c r="H32" s="18">
        <f t="shared" si="1"/>
        <v>821311.97127204202</v>
      </c>
    </row>
    <row r="33" spans="1:8" x14ac:dyDescent="0.2">
      <c r="A33">
        <v>2023</v>
      </c>
      <c r="B33" s="34">
        <v>5655</v>
      </c>
      <c r="C33" s="9" t="s">
        <v>40</v>
      </c>
      <c r="D33" s="9"/>
      <c r="E33" s="9"/>
      <c r="F33" s="11">
        <f>VLOOKUP(B33,'2015'!$B$2:$G$338,6,FALSE)</f>
        <v>5.1934606302538574E-3</v>
      </c>
      <c r="G33" s="19">
        <f t="shared" si="0"/>
        <v>360666.41722837323</v>
      </c>
      <c r="H33" s="18">
        <f t="shared" si="1"/>
        <v>360666.41722837323</v>
      </c>
    </row>
    <row r="34" spans="1:8" x14ac:dyDescent="0.2">
      <c r="A34">
        <v>2023</v>
      </c>
      <c r="B34" s="34">
        <v>5657</v>
      </c>
      <c r="C34" s="9" t="s">
        <v>41</v>
      </c>
      <c r="D34" s="10">
        <v>4131</v>
      </c>
      <c r="E34" s="10">
        <v>4131</v>
      </c>
      <c r="F34" s="11">
        <f>VLOOKUP(B34,'2015'!$B$2:$G$338,6,FALSE)</f>
        <v>2.8683294514011727E-3</v>
      </c>
      <c r="G34" s="19">
        <f t="shared" si="0"/>
        <v>199194.75284766321</v>
      </c>
      <c r="H34" s="18">
        <f t="shared" si="1"/>
        <v>203325.75284766321</v>
      </c>
    </row>
    <row r="35" spans="1:8" x14ac:dyDescent="0.2">
      <c r="A35">
        <v>2023</v>
      </c>
      <c r="B35" s="34">
        <v>5671</v>
      </c>
      <c r="C35" s="9" t="s">
        <v>42</v>
      </c>
      <c r="D35" s="10">
        <v>29501</v>
      </c>
      <c r="E35" s="10">
        <v>29501</v>
      </c>
      <c r="F35" s="11">
        <f>VLOOKUP(B35,'2015'!$B$2:$G$338,6,FALSE)</f>
        <v>6.9584842964396064E-3</v>
      </c>
      <c r="G35" s="19">
        <f t="shared" si="0"/>
        <v>483240.70965646196</v>
      </c>
      <c r="H35" s="18">
        <f t="shared" si="1"/>
        <v>512741.70965646196</v>
      </c>
    </row>
    <row r="36" spans="1:8" x14ac:dyDescent="0.2">
      <c r="A36">
        <v>2023</v>
      </c>
      <c r="B36" s="34">
        <v>5682</v>
      </c>
      <c r="C36" s="9" t="s">
        <v>43</v>
      </c>
      <c r="D36" s="9"/>
      <c r="E36" s="9"/>
      <c r="F36" s="11">
        <f>VLOOKUP(B36,'2015'!$B$2:$G$338,6,FALSE)</f>
        <v>4.9492217068518966E-2</v>
      </c>
      <c r="G36" s="19">
        <f t="shared" si="0"/>
        <v>3437049.3745168061</v>
      </c>
      <c r="H36" s="18">
        <f t="shared" si="1"/>
        <v>3437049.3745168061</v>
      </c>
    </row>
    <row r="37" spans="1:8" x14ac:dyDescent="0.2">
      <c r="A37">
        <v>2023</v>
      </c>
      <c r="B37" s="34">
        <v>5688</v>
      </c>
      <c r="C37" s="9" t="s">
        <v>44</v>
      </c>
      <c r="D37" s="10">
        <v>13639</v>
      </c>
      <c r="E37" s="10">
        <v>13639</v>
      </c>
      <c r="F37" s="11">
        <f>VLOOKUP(B37,'2015'!$B$2:$G$338,6,FALSE)</f>
        <v>5.5749366285281409E-3</v>
      </c>
      <c r="G37" s="19">
        <f t="shared" si="0"/>
        <v>387158.49858828867</v>
      </c>
      <c r="H37" s="18">
        <f t="shared" si="1"/>
        <v>400797.49858828867</v>
      </c>
    </row>
    <row r="38" spans="1:8" x14ac:dyDescent="0.2">
      <c r="A38">
        <v>2023</v>
      </c>
      <c r="B38" s="34">
        <v>9034</v>
      </c>
      <c r="C38" s="9" t="s">
        <v>45</v>
      </c>
      <c r="D38" s="10">
        <v>73201</v>
      </c>
      <c r="E38" s="10">
        <v>73201</v>
      </c>
      <c r="F38" s="11">
        <f>VLOOKUP(B38,'2015'!$B$2:$G$338,6,FALSE)</f>
        <v>1.0344603895185109E-2</v>
      </c>
      <c r="G38" s="19">
        <f t="shared" si="0"/>
        <v>718394.0517020378</v>
      </c>
      <c r="H38" s="18">
        <f t="shared" si="1"/>
        <v>791595.0517020378</v>
      </c>
    </row>
    <row r="39" spans="1:8" x14ac:dyDescent="0.2">
      <c r="A39">
        <v>2023</v>
      </c>
      <c r="B39" s="34">
        <v>9042</v>
      </c>
      <c r="C39" s="9" t="s">
        <v>46</v>
      </c>
      <c r="D39" s="9">
        <v>748</v>
      </c>
      <c r="E39" s="9">
        <v>748</v>
      </c>
      <c r="F39" s="11">
        <f>VLOOKUP(B39,'2015'!$B$2:$G$338,6,FALSE)</f>
        <v>6.7431128100618474E-3</v>
      </c>
      <c r="G39" s="19">
        <f t="shared" si="0"/>
        <v>468283.96541688568</v>
      </c>
      <c r="H39" s="18">
        <f t="shared" si="1"/>
        <v>469031.96541688568</v>
      </c>
    </row>
    <row r="40" spans="1:8" x14ac:dyDescent="0.2">
      <c r="A40">
        <v>2023</v>
      </c>
      <c r="B40" s="34">
        <v>9047</v>
      </c>
      <c r="C40" s="9" t="s">
        <v>47</v>
      </c>
      <c r="D40" s="10">
        <v>7144</v>
      </c>
      <c r="E40" s="10">
        <v>7144</v>
      </c>
      <c r="F40" s="11">
        <f>VLOOKUP(B40,'2015'!$B$2:$G$338,6,FALSE)</f>
        <v>5.8226437167554438E-3</v>
      </c>
      <c r="G40" s="19">
        <f t="shared" si="0"/>
        <v>404360.82944116491</v>
      </c>
      <c r="H40" s="18">
        <f t="shared" si="1"/>
        <v>411504.82944116491</v>
      </c>
    </row>
    <row r="41" spans="1:8" x14ac:dyDescent="0.2">
      <c r="A41">
        <v>2023</v>
      </c>
      <c r="B41" s="34">
        <v>9053</v>
      </c>
      <c r="C41" s="9" t="s">
        <v>48</v>
      </c>
      <c r="D41" s="9"/>
      <c r="E41" s="9"/>
      <c r="F41" s="11">
        <f>VLOOKUP(B41,'2015'!$B$2:$G$338,6,FALSE)</f>
        <v>3.2831370146209815E-4</v>
      </c>
      <c r="G41" s="19">
        <f t="shared" si="0"/>
        <v>22800.158673299247</v>
      </c>
      <c r="H41" s="18">
        <f t="shared" si="1"/>
        <v>22800.158673299247</v>
      </c>
    </row>
    <row r="42" spans="1:8" x14ac:dyDescent="0.2">
      <c r="A42">
        <v>2023</v>
      </c>
      <c r="B42" s="34">
        <v>9055</v>
      </c>
      <c r="C42" s="9" t="s">
        <v>49</v>
      </c>
      <c r="D42" s="10">
        <v>92824</v>
      </c>
      <c r="E42" s="10">
        <v>92824</v>
      </c>
      <c r="F42" s="11">
        <f>VLOOKUP(B42,'2015'!$B$2:$G$338,6,FALSE)</f>
        <v>6.5073794114995712E-3</v>
      </c>
      <c r="G42" s="19">
        <f t="shared" si="0"/>
        <v>451913.16252964619</v>
      </c>
      <c r="H42" s="18">
        <f t="shared" si="1"/>
        <v>544737.16252964619</v>
      </c>
    </row>
    <row r="43" spans="1:8" x14ac:dyDescent="0.2">
      <c r="A43">
        <v>2023</v>
      </c>
      <c r="B43" s="34">
        <v>9056</v>
      </c>
      <c r="C43" s="9" t="s">
        <v>50</v>
      </c>
      <c r="D43" s="10">
        <v>14218</v>
      </c>
      <c r="E43" s="10">
        <v>14218</v>
      </c>
      <c r="F43" s="11">
        <f>VLOOKUP(B43,'2015'!$B$2:$G$338,6,FALSE)</f>
        <v>5.467107024003175E-3</v>
      </c>
      <c r="G43" s="19">
        <f t="shared" si="0"/>
        <v>379670.13583675073</v>
      </c>
      <c r="H43" s="18">
        <f t="shared" si="1"/>
        <v>393888.13583675073</v>
      </c>
    </row>
    <row r="44" spans="1:8" x14ac:dyDescent="0.2">
      <c r="A44">
        <v>2023</v>
      </c>
      <c r="B44" s="34">
        <v>9273</v>
      </c>
      <c r="C44" s="9" t="s">
        <v>51</v>
      </c>
      <c r="D44" s="10">
        <v>5551</v>
      </c>
      <c r="E44" s="10">
        <v>5551</v>
      </c>
      <c r="F44" s="11">
        <f>VLOOKUP(B44,'2015'!$B$2:$G$338,6,FALSE)</f>
        <v>1.0952362708866464E-2</v>
      </c>
      <c r="G44" s="19">
        <f t="shared" si="0"/>
        <v>760600.62829424476</v>
      </c>
      <c r="H44" s="18">
        <f t="shared" si="1"/>
        <v>766151.62829424476</v>
      </c>
    </row>
    <row r="45" spans="1:8" x14ac:dyDescent="0.2">
      <c r="A45">
        <v>2023</v>
      </c>
      <c r="B45" s="34">
        <v>9274</v>
      </c>
      <c r="C45" s="9" t="s">
        <v>52</v>
      </c>
      <c r="D45" s="10">
        <v>50617</v>
      </c>
      <c r="E45" s="10">
        <v>50617</v>
      </c>
      <c r="F45" s="11">
        <f>VLOOKUP(B45,'2015'!$B$2:$G$338,6,FALSE)</f>
        <v>2.9805855585749469E-2</v>
      </c>
      <c r="G45" s="19">
        <f t="shared" si="0"/>
        <v>2069905.1965304099</v>
      </c>
      <c r="H45" s="18">
        <f t="shared" si="1"/>
        <v>2120522.1965304101</v>
      </c>
    </row>
    <row r="46" spans="1:8" x14ac:dyDescent="0.2">
      <c r="A46">
        <v>2023</v>
      </c>
      <c r="B46" s="34">
        <v>9303</v>
      </c>
      <c r="C46" s="9" t="s">
        <v>53</v>
      </c>
      <c r="D46" s="10">
        <v>10196</v>
      </c>
      <c r="E46" s="10">
        <v>10196</v>
      </c>
      <c r="F46" s="11">
        <f>VLOOKUP(B46,'2015'!$B$2:$G$338,6,FALSE)</f>
        <v>2.0704036574243728E-2</v>
      </c>
      <c r="G46" s="19">
        <f t="shared" si="0"/>
        <v>1437817.9069844391</v>
      </c>
      <c r="H46" s="18">
        <f t="shared" si="1"/>
        <v>1448013.9069844391</v>
      </c>
    </row>
    <row r="47" spans="1:8" x14ac:dyDescent="0.2">
      <c r="A47">
        <v>2023</v>
      </c>
      <c r="B47" s="34">
        <v>9304</v>
      </c>
      <c r="C47" s="9" t="s">
        <v>54</v>
      </c>
      <c r="D47" s="9"/>
      <c r="E47" s="9"/>
      <c r="F47" s="11">
        <f>VLOOKUP(B47,'2015'!$B$2:$G$338,6,FALSE)</f>
        <v>6.982210350637218E-3</v>
      </c>
      <c r="G47" s="19">
        <f t="shared" si="0"/>
        <v>484888.3953850434</v>
      </c>
      <c r="H47" s="18">
        <f t="shared" si="1"/>
        <v>484888.3953850434</v>
      </c>
    </row>
    <row r="48" spans="1:8" x14ac:dyDescent="0.2">
      <c r="A48">
        <v>2023</v>
      </c>
      <c r="B48" s="34">
        <v>9305</v>
      </c>
      <c r="C48" s="9" t="s">
        <v>55</v>
      </c>
      <c r="D48" s="10">
        <v>28012</v>
      </c>
      <c r="E48" s="10">
        <v>28012</v>
      </c>
      <c r="F48" s="11">
        <f>VLOOKUP(B48,'2015'!$B$2:$G$338,6,FALSE)</f>
        <v>8.0967373200673699E-3</v>
      </c>
      <c r="G48" s="19">
        <f t="shared" si="0"/>
        <v>562288.12508110178</v>
      </c>
      <c r="H48" s="18">
        <f t="shared" si="1"/>
        <v>590300.12508110178</v>
      </c>
    </row>
    <row r="49" spans="1:8" x14ac:dyDescent="0.2">
      <c r="A49">
        <v>2023</v>
      </c>
      <c r="B49" s="34">
        <v>9395</v>
      </c>
      <c r="C49" s="9" t="s">
        <v>56</v>
      </c>
      <c r="D49" s="9"/>
      <c r="E49" s="9"/>
      <c r="F49" s="11">
        <f>VLOOKUP(B49,'2015'!$B$2:$G$338,6,FALSE)</f>
        <v>5.0036743291862092E-3</v>
      </c>
      <c r="G49" s="19">
        <f t="shared" si="0"/>
        <v>347486.46841999108</v>
      </c>
      <c r="H49" s="18">
        <f t="shared" si="1"/>
        <v>347486.46841999108</v>
      </c>
    </row>
    <row r="50" spans="1:8" x14ac:dyDescent="0.2">
      <c r="A50">
        <v>2023</v>
      </c>
      <c r="B50" s="34">
        <v>9487</v>
      </c>
      <c r="C50" s="9" t="s">
        <v>57</v>
      </c>
      <c r="D50" s="10">
        <v>5474</v>
      </c>
      <c r="E50" s="10">
        <v>5474</v>
      </c>
      <c r="F50" s="11">
        <f>VLOOKUP(B50,'2015'!$B$2:$G$338,6,FALSE)</f>
        <v>5.106634780797486E-4</v>
      </c>
      <c r="G50" s="19">
        <f t="shared" si="0"/>
        <v>35463.668671230524</v>
      </c>
      <c r="H50" s="18">
        <f t="shared" si="1"/>
        <v>40937.668671230524</v>
      </c>
    </row>
    <row r="51" spans="1:8" x14ac:dyDescent="0.2">
      <c r="A51">
        <v>2023</v>
      </c>
      <c r="B51" s="34">
        <v>9507</v>
      </c>
      <c r="C51" s="9" t="s">
        <v>58</v>
      </c>
      <c r="D51" s="10">
        <v>84264</v>
      </c>
      <c r="E51" s="10">
        <v>84264</v>
      </c>
      <c r="F51" s="11">
        <f>VLOOKUP(B51,'2015'!$B$2:$G$338,6,FALSE)</f>
        <v>2.7714554409320073E-2</v>
      </c>
      <c r="G51" s="19">
        <f t="shared" si="0"/>
        <v>1924672.1512937883</v>
      </c>
      <c r="H51" s="18">
        <f t="shared" si="1"/>
        <v>2008936.1512937883</v>
      </c>
    </row>
    <row r="52" spans="1:8" x14ac:dyDescent="0.2">
      <c r="A52">
        <v>2023</v>
      </c>
      <c r="B52" s="34">
        <v>4828</v>
      </c>
      <c r="C52" s="9" t="s">
        <v>59</v>
      </c>
      <c r="D52" s="10">
        <v>4053735</v>
      </c>
      <c r="E52" s="10">
        <v>4053735</v>
      </c>
      <c r="F52" s="11">
        <f>VLOOKUP(B52,'2015'!$B$2:$G$338,6,FALSE)</f>
        <v>0</v>
      </c>
      <c r="G52" s="19">
        <f t="shared" si="0"/>
        <v>0</v>
      </c>
      <c r="H52" s="18">
        <f t="shared" si="1"/>
        <v>4053735</v>
      </c>
    </row>
    <row r="53" spans="1:8" x14ac:dyDescent="0.2">
      <c r="A53">
        <v>2023</v>
      </c>
      <c r="B53" s="34">
        <v>4829</v>
      </c>
      <c r="C53" s="9" t="s">
        <v>60</v>
      </c>
      <c r="D53" s="10">
        <v>2246981</v>
      </c>
      <c r="E53" s="10">
        <v>2246981</v>
      </c>
      <c r="F53" s="11">
        <f>VLOOKUP(B53,'2015'!$B$2:$G$338,6,FALSE)</f>
        <v>0</v>
      </c>
      <c r="G53" s="19">
        <f t="shared" si="0"/>
        <v>0</v>
      </c>
      <c r="H53" s="18">
        <f t="shared" si="1"/>
        <v>2246981</v>
      </c>
    </row>
    <row r="54" spans="1:8" x14ac:dyDescent="0.2">
      <c r="A54">
        <v>2023</v>
      </c>
      <c r="B54" s="34">
        <v>4871</v>
      </c>
      <c r="C54" s="9" t="s">
        <v>61</v>
      </c>
      <c r="D54" s="10">
        <v>528579</v>
      </c>
      <c r="E54" s="10">
        <v>528579</v>
      </c>
      <c r="F54" s="11">
        <f>VLOOKUP(B54,'2015'!$B$2:$G$338,6,FALSE)</f>
        <v>0</v>
      </c>
      <c r="G54" s="19">
        <f t="shared" si="0"/>
        <v>0</v>
      </c>
      <c r="H54" s="18">
        <f t="shared" si="1"/>
        <v>528579</v>
      </c>
    </row>
    <row r="55" spans="1:8" x14ac:dyDescent="0.2">
      <c r="A55">
        <v>2023</v>
      </c>
      <c r="B55" s="34">
        <v>4882</v>
      </c>
      <c r="C55" s="9" t="s">
        <v>62</v>
      </c>
      <c r="D55" s="10">
        <v>2819319</v>
      </c>
      <c r="E55" s="10">
        <v>2819319</v>
      </c>
      <c r="F55" s="11">
        <f>VLOOKUP(B55,'2015'!$B$2:$G$338,6,FALSE)</f>
        <v>0</v>
      </c>
      <c r="G55" s="19">
        <f t="shared" si="0"/>
        <v>0</v>
      </c>
      <c r="H55" s="18">
        <f t="shared" si="1"/>
        <v>2819319</v>
      </c>
    </row>
    <row r="56" spans="1:8" x14ac:dyDescent="0.2">
      <c r="A56">
        <v>2023</v>
      </c>
      <c r="B56" s="34">
        <v>4912</v>
      </c>
      <c r="C56" s="9" t="s">
        <v>63</v>
      </c>
      <c r="D56" s="10">
        <v>485997</v>
      </c>
      <c r="E56" s="10">
        <v>485997</v>
      </c>
      <c r="F56" s="11">
        <f>VLOOKUP(B56,'2015'!$B$2:$G$338,6,FALSE)</f>
        <v>0</v>
      </c>
      <c r="G56" s="19">
        <f t="shared" si="0"/>
        <v>0</v>
      </c>
      <c r="H56" s="18">
        <f t="shared" si="1"/>
        <v>485997</v>
      </c>
    </row>
    <row r="57" spans="1:8" x14ac:dyDescent="0.2">
      <c r="A57">
        <v>2023</v>
      </c>
      <c r="B57" s="34">
        <v>4977</v>
      </c>
      <c r="C57" s="9" t="s">
        <v>64</v>
      </c>
      <c r="D57" s="10">
        <v>203499</v>
      </c>
      <c r="E57" s="10">
        <v>203499</v>
      </c>
      <c r="F57" s="11">
        <f>VLOOKUP(B57,'2015'!$B$2:$G$338,6,FALSE)</f>
        <v>0</v>
      </c>
      <c r="G57" s="19">
        <f t="shared" si="0"/>
        <v>0</v>
      </c>
      <c r="H57" s="18">
        <f t="shared" si="1"/>
        <v>203499</v>
      </c>
    </row>
    <row r="58" spans="1:8" x14ac:dyDescent="0.2">
      <c r="A58">
        <v>2023</v>
      </c>
      <c r="B58" s="34">
        <v>4978</v>
      </c>
      <c r="C58" s="9" t="s">
        <v>65</v>
      </c>
      <c r="D58" s="10">
        <v>29701427</v>
      </c>
      <c r="E58" s="10">
        <v>29701427</v>
      </c>
      <c r="F58" s="11">
        <f>VLOOKUP(B58,'2015'!$B$2:$G$338,6,FALSE)</f>
        <v>0</v>
      </c>
      <c r="G58" s="19">
        <f t="shared" si="0"/>
        <v>0</v>
      </c>
      <c r="H58" s="18">
        <f t="shared" si="1"/>
        <v>29701427</v>
      </c>
    </row>
    <row r="59" spans="1:8" x14ac:dyDescent="0.2">
      <c r="A59">
        <v>2023</v>
      </c>
      <c r="B59" s="34">
        <v>4979</v>
      </c>
      <c r="C59" s="9" t="s">
        <v>66</v>
      </c>
      <c r="D59" s="10">
        <v>102980</v>
      </c>
      <c r="E59" s="10">
        <v>102980</v>
      </c>
      <c r="F59" s="11">
        <f>VLOOKUP(B59,'2015'!$B$2:$G$338,6,FALSE)</f>
        <v>0</v>
      </c>
      <c r="G59" s="19">
        <f t="shared" si="0"/>
        <v>0</v>
      </c>
      <c r="H59" s="18">
        <f t="shared" si="1"/>
        <v>102980</v>
      </c>
    </row>
    <row r="60" spans="1:8" x14ac:dyDescent="0.2">
      <c r="A60">
        <v>2023</v>
      </c>
      <c r="B60" s="34">
        <v>4980</v>
      </c>
      <c r="C60" s="9" t="s">
        <v>67</v>
      </c>
      <c r="D60" s="10">
        <v>2724769</v>
      </c>
      <c r="E60" s="10">
        <v>2724769</v>
      </c>
      <c r="F60" s="11">
        <f>VLOOKUP(B60,'2015'!$B$2:$G$338,6,FALSE)</f>
        <v>0</v>
      </c>
      <c r="G60" s="19">
        <f t="shared" si="0"/>
        <v>0</v>
      </c>
      <c r="H60" s="18">
        <f t="shared" si="1"/>
        <v>2724769</v>
      </c>
    </row>
    <row r="61" spans="1:8" x14ac:dyDescent="0.2">
      <c r="A61">
        <v>2023</v>
      </c>
      <c r="B61" s="34">
        <v>4981</v>
      </c>
      <c r="C61" s="9" t="s">
        <v>68</v>
      </c>
      <c r="D61" s="10">
        <v>4927937</v>
      </c>
      <c r="E61" s="10">
        <v>4927937</v>
      </c>
      <c r="F61" s="11">
        <f>VLOOKUP(B61,'2015'!$B$2:$G$338,6,FALSE)</f>
        <v>0</v>
      </c>
      <c r="G61" s="19">
        <f t="shared" si="0"/>
        <v>0</v>
      </c>
      <c r="H61" s="18">
        <f t="shared" si="1"/>
        <v>4927937</v>
      </c>
    </row>
    <row r="62" spans="1:8" x14ac:dyDescent="0.2">
      <c r="A62">
        <v>2023</v>
      </c>
      <c r="B62" s="34">
        <v>4982</v>
      </c>
      <c r="C62" s="9" t="s">
        <v>69</v>
      </c>
      <c r="D62" s="10">
        <v>54571125</v>
      </c>
      <c r="E62" s="10">
        <v>54571125</v>
      </c>
      <c r="F62" s="11">
        <f>VLOOKUP(B62,'2015'!$B$2:$G$338,6,FALSE)</f>
        <v>0</v>
      </c>
      <c r="G62" s="19">
        <f t="shared" si="0"/>
        <v>0</v>
      </c>
      <c r="H62" s="18">
        <f t="shared" si="1"/>
        <v>54571125</v>
      </c>
    </row>
    <row r="63" spans="1:8" x14ac:dyDescent="0.2">
      <c r="A63">
        <v>2023</v>
      </c>
      <c r="B63" s="34">
        <v>4983</v>
      </c>
      <c r="C63" s="9" t="s">
        <v>70</v>
      </c>
      <c r="D63" s="10">
        <v>6745803</v>
      </c>
      <c r="E63" s="10">
        <v>6745803</v>
      </c>
      <c r="F63" s="11">
        <f>VLOOKUP(B63,'2015'!$B$2:$G$338,6,FALSE)</f>
        <v>0</v>
      </c>
      <c r="G63" s="19">
        <f t="shared" si="0"/>
        <v>0</v>
      </c>
      <c r="H63" s="18">
        <f t="shared" si="1"/>
        <v>6745803</v>
      </c>
    </row>
    <row r="64" spans="1:8" x14ac:dyDescent="0.2">
      <c r="A64">
        <v>2023</v>
      </c>
      <c r="B64" s="34">
        <v>4984</v>
      </c>
      <c r="C64" s="9" t="s">
        <v>71</v>
      </c>
      <c r="D64" s="10">
        <v>3299848</v>
      </c>
      <c r="E64" s="10">
        <v>3299848</v>
      </c>
      <c r="F64" s="11">
        <f>VLOOKUP(B64,'2015'!$B$2:$G$338,6,FALSE)</f>
        <v>0</v>
      </c>
      <c r="G64" s="19">
        <f t="shared" si="0"/>
        <v>0</v>
      </c>
      <c r="H64" s="18">
        <f t="shared" si="1"/>
        <v>3299848</v>
      </c>
    </row>
    <row r="65" spans="1:8" x14ac:dyDescent="0.2">
      <c r="A65">
        <v>2023</v>
      </c>
      <c r="B65" s="34">
        <v>4985</v>
      </c>
      <c r="C65" s="9" t="s">
        <v>72</v>
      </c>
      <c r="D65" s="10">
        <v>6771271</v>
      </c>
      <c r="E65" s="10">
        <v>6771271</v>
      </c>
      <c r="F65" s="11">
        <f>VLOOKUP(B65,'2015'!$B$2:$G$338,6,FALSE)</f>
        <v>0</v>
      </c>
      <c r="G65" s="19">
        <f t="shared" si="0"/>
        <v>0</v>
      </c>
      <c r="H65" s="18">
        <f t="shared" si="1"/>
        <v>6771271</v>
      </c>
    </row>
    <row r="66" spans="1:8" x14ac:dyDescent="0.2">
      <c r="A66">
        <v>2023</v>
      </c>
      <c r="B66" s="34">
        <v>4986</v>
      </c>
      <c r="C66" s="9" t="s">
        <v>73</v>
      </c>
      <c r="D66" s="10">
        <v>8791813</v>
      </c>
      <c r="E66" s="10">
        <v>8791813</v>
      </c>
      <c r="F66" s="11">
        <f>VLOOKUP(B66,'2015'!$B$2:$G$338,6,FALSE)</f>
        <v>0</v>
      </c>
      <c r="G66" s="19">
        <f t="shared" si="0"/>
        <v>0</v>
      </c>
      <c r="H66" s="18">
        <f t="shared" si="1"/>
        <v>8791813</v>
      </c>
    </row>
    <row r="67" spans="1:8" x14ac:dyDescent="0.2">
      <c r="A67">
        <v>2023</v>
      </c>
      <c r="B67" s="34">
        <v>4987</v>
      </c>
      <c r="C67" s="9" t="s">
        <v>74</v>
      </c>
      <c r="D67" s="10">
        <v>709889</v>
      </c>
      <c r="E67" s="10">
        <v>709889</v>
      </c>
      <c r="F67" s="11">
        <f>VLOOKUP(B67,'2015'!$B$2:$G$338,6,FALSE)</f>
        <v>0</v>
      </c>
      <c r="G67" s="19">
        <f t="shared" ref="G67:G130" si="2">F67*$D$341</f>
        <v>0</v>
      </c>
      <c r="H67" s="18">
        <f t="shared" ref="H67:H130" si="3">SUM(G67,D67)</f>
        <v>709889</v>
      </c>
    </row>
    <row r="68" spans="1:8" x14ac:dyDescent="0.2">
      <c r="A68">
        <v>2023</v>
      </c>
      <c r="B68" s="34">
        <v>4988</v>
      </c>
      <c r="C68" s="9" t="s">
        <v>75</v>
      </c>
      <c r="D68" s="10">
        <v>2535874</v>
      </c>
      <c r="E68" s="10">
        <v>2535874</v>
      </c>
      <c r="F68" s="11">
        <f>VLOOKUP(B68,'2015'!$B$2:$G$338,6,FALSE)</f>
        <v>0</v>
      </c>
      <c r="G68" s="19">
        <f t="shared" si="2"/>
        <v>0</v>
      </c>
      <c r="H68" s="18">
        <f t="shared" si="3"/>
        <v>2535874</v>
      </c>
    </row>
    <row r="69" spans="1:8" x14ac:dyDescent="0.2">
      <c r="A69">
        <v>2023</v>
      </c>
      <c r="B69" s="34">
        <v>4990</v>
      </c>
      <c r="C69" s="9" t="s">
        <v>76</v>
      </c>
      <c r="D69" s="10">
        <v>167394</v>
      </c>
      <c r="E69" s="10">
        <v>167394</v>
      </c>
      <c r="F69" s="11">
        <f>VLOOKUP(B69,'2015'!$B$2:$G$338,6,FALSE)</f>
        <v>0</v>
      </c>
      <c r="G69" s="19">
        <f t="shared" si="2"/>
        <v>0</v>
      </c>
      <c r="H69" s="18">
        <f t="shared" si="3"/>
        <v>167394</v>
      </c>
    </row>
    <row r="70" spans="1:8" x14ac:dyDescent="0.2">
      <c r="A70">
        <v>2023</v>
      </c>
      <c r="B70" s="34">
        <v>4991</v>
      </c>
      <c r="C70" s="9" t="s">
        <v>77</v>
      </c>
      <c r="D70" s="10">
        <v>1025018</v>
      </c>
      <c r="E70" s="10">
        <v>1025018</v>
      </c>
      <c r="F70" s="11">
        <f>VLOOKUP(B70,'2015'!$B$2:$G$338,6,FALSE)</f>
        <v>0</v>
      </c>
      <c r="G70" s="19">
        <f t="shared" si="2"/>
        <v>0</v>
      </c>
      <c r="H70" s="18">
        <f t="shared" si="3"/>
        <v>1025018</v>
      </c>
    </row>
    <row r="71" spans="1:8" x14ac:dyDescent="0.2">
      <c r="A71">
        <v>2023</v>
      </c>
      <c r="B71" s="34">
        <v>4992</v>
      </c>
      <c r="C71" s="9" t="s">
        <v>78</v>
      </c>
      <c r="D71" s="10">
        <v>325715</v>
      </c>
      <c r="E71" s="10">
        <v>325715</v>
      </c>
      <c r="F71" s="11">
        <f>VLOOKUP(B71,'2015'!$B$2:$G$338,6,FALSE)</f>
        <v>0</v>
      </c>
      <c r="G71" s="19">
        <f t="shared" si="2"/>
        <v>0</v>
      </c>
      <c r="H71" s="18">
        <f t="shared" si="3"/>
        <v>325715</v>
      </c>
    </row>
    <row r="72" spans="1:8" x14ac:dyDescent="0.2">
      <c r="A72">
        <v>2023</v>
      </c>
      <c r="B72" s="34">
        <v>4993</v>
      </c>
      <c r="C72" s="9" t="s">
        <v>79</v>
      </c>
      <c r="D72" s="10">
        <v>794621</v>
      </c>
      <c r="E72" s="10">
        <v>794621</v>
      </c>
      <c r="F72" s="11">
        <f>VLOOKUP(B72,'2015'!$B$2:$G$338,6,FALSE)</f>
        <v>0</v>
      </c>
      <c r="G72" s="19">
        <f t="shared" si="2"/>
        <v>0</v>
      </c>
      <c r="H72" s="18">
        <f t="shared" si="3"/>
        <v>794621</v>
      </c>
    </row>
    <row r="73" spans="1:8" x14ac:dyDescent="0.2">
      <c r="A73">
        <v>2023</v>
      </c>
      <c r="B73" s="34">
        <v>4994</v>
      </c>
      <c r="C73" s="9" t="s">
        <v>80</v>
      </c>
      <c r="D73" s="10">
        <v>198467</v>
      </c>
      <c r="E73" s="10">
        <v>198467</v>
      </c>
      <c r="F73" s="11">
        <f>VLOOKUP(B73,'2015'!$B$2:$G$338,6,FALSE)</f>
        <v>0</v>
      </c>
      <c r="G73" s="19">
        <f t="shared" si="2"/>
        <v>0</v>
      </c>
      <c r="H73" s="18">
        <f t="shared" si="3"/>
        <v>198467</v>
      </c>
    </row>
    <row r="74" spans="1:8" x14ac:dyDescent="0.2">
      <c r="A74">
        <v>2023</v>
      </c>
      <c r="B74" s="34">
        <v>4995</v>
      </c>
      <c r="C74" s="9" t="s">
        <v>81</v>
      </c>
      <c r="D74" s="10">
        <v>945490</v>
      </c>
      <c r="E74" s="10">
        <v>945490</v>
      </c>
      <c r="F74" s="11">
        <f>VLOOKUP(B74,'2015'!$B$2:$G$338,6,FALSE)</f>
        <v>0</v>
      </c>
      <c r="G74" s="19">
        <f t="shared" si="2"/>
        <v>0</v>
      </c>
      <c r="H74" s="18">
        <f t="shared" si="3"/>
        <v>945490</v>
      </c>
    </row>
    <row r="75" spans="1:8" x14ac:dyDescent="0.2">
      <c r="A75">
        <v>2023</v>
      </c>
      <c r="B75" s="34">
        <v>4996</v>
      </c>
      <c r="C75" s="9" t="s">
        <v>82</v>
      </c>
      <c r="D75" s="10">
        <v>249704</v>
      </c>
      <c r="E75" s="10">
        <v>249704</v>
      </c>
      <c r="F75" s="11">
        <f>VLOOKUP(B75,'2015'!$B$2:$G$338,6,FALSE)</f>
        <v>0</v>
      </c>
      <c r="G75" s="19">
        <f t="shared" si="2"/>
        <v>0</v>
      </c>
      <c r="H75" s="18">
        <f t="shared" si="3"/>
        <v>249704</v>
      </c>
    </row>
    <row r="76" spans="1:8" x14ac:dyDescent="0.2">
      <c r="A76">
        <v>2023</v>
      </c>
      <c r="B76" s="34">
        <v>4997</v>
      </c>
      <c r="C76" s="9" t="s">
        <v>83</v>
      </c>
      <c r="D76" s="10">
        <v>3694115</v>
      </c>
      <c r="E76" s="10">
        <v>3694115</v>
      </c>
      <c r="F76" s="11">
        <f>VLOOKUP(B76,'2015'!$B$2:$G$338,6,FALSE)</f>
        <v>0</v>
      </c>
      <c r="G76" s="19">
        <f t="shared" si="2"/>
        <v>0</v>
      </c>
      <c r="H76" s="18">
        <f t="shared" si="3"/>
        <v>3694115</v>
      </c>
    </row>
    <row r="77" spans="1:8" x14ac:dyDescent="0.2">
      <c r="A77">
        <v>2023</v>
      </c>
      <c r="B77" s="34">
        <v>4998</v>
      </c>
      <c r="C77" s="9" t="s">
        <v>84</v>
      </c>
      <c r="D77" s="10">
        <v>435858</v>
      </c>
      <c r="E77" s="10">
        <v>435858</v>
      </c>
      <c r="F77" s="11">
        <f>VLOOKUP(B77,'2015'!$B$2:$G$338,6,FALSE)</f>
        <v>0</v>
      </c>
      <c r="G77" s="19">
        <f t="shared" si="2"/>
        <v>0</v>
      </c>
      <c r="H77" s="18">
        <f t="shared" si="3"/>
        <v>435858</v>
      </c>
    </row>
    <row r="78" spans="1:8" x14ac:dyDescent="0.2">
      <c r="A78">
        <v>2023</v>
      </c>
      <c r="B78" s="34">
        <v>4999</v>
      </c>
      <c r="C78" s="9" t="s">
        <v>85</v>
      </c>
      <c r="D78" s="10">
        <v>7512087</v>
      </c>
      <c r="E78" s="10">
        <v>7512087</v>
      </c>
      <c r="F78" s="11">
        <f>VLOOKUP(B78,'2015'!$B$2:$G$338,6,FALSE)</f>
        <v>0</v>
      </c>
      <c r="G78" s="19">
        <f t="shared" si="2"/>
        <v>0</v>
      </c>
      <c r="H78" s="18">
        <f t="shared" si="3"/>
        <v>7512087</v>
      </c>
    </row>
    <row r="79" spans="1:8" x14ac:dyDescent="0.2">
      <c r="A79">
        <v>2023</v>
      </c>
      <c r="B79" s="34">
        <v>5000</v>
      </c>
      <c r="C79" s="9" t="s">
        <v>86</v>
      </c>
      <c r="D79" s="10">
        <v>4519903</v>
      </c>
      <c r="E79" s="10">
        <v>4519903</v>
      </c>
      <c r="F79" s="11">
        <f>VLOOKUP(B79,'2015'!$B$2:$G$338,6,FALSE)</f>
        <v>0</v>
      </c>
      <c r="G79" s="19">
        <f t="shared" si="2"/>
        <v>0</v>
      </c>
      <c r="H79" s="18">
        <f t="shared" si="3"/>
        <v>4519903</v>
      </c>
    </row>
    <row r="80" spans="1:8" x14ac:dyDescent="0.2">
      <c r="A80">
        <v>2023</v>
      </c>
      <c r="B80" s="34">
        <v>5001</v>
      </c>
      <c r="C80" s="9" t="s">
        <v>87</v>
      </c>
      <c r="D80" s="10">
        <v>264831</v>
      </c>
      <c r="E80" s="10">
        <v>264831</v>
      </c>
      <c r="F80" s="11">
        <f>VLOOKUP(B80,'2015'!$B$2:$G$338,6,FALSE)</f>
        <v>0</v>
      </c>
      <c r="G80" s="19">
        <f t="shared" si="2"/>
        <v>0</v>
      </c>
      <c r="H80" s="18">
        <f t="shared" si="3"/>
        <v>264831</v>
      </c>
    </row>
    <row r="81" spans="1:8" x14ac:dyDescent="0.2">
      <c r="A81">
        <v>2023</v>
      </c>
      <c r="B81" s="34">
        <v>5002</v>
      </c>
      <c r="C81" s="9" t="s">
        <v>88</v>
      </c>
      <c r="D81" s="10">
        <v>106164</v>
      </c>
      <c r="E81" s="10">
        <v>106164</v>
      </c>
      <c r="F81" s="11">
        <f>VLOOKUP(B81,'2015'!$B$2:$G$338,6,FALSE)</f>
        <v>0</v>
      </c>
      <c r="G81" s="19">
        <f t="shared" si="2"/>
        <v>0</v>
      </c>
      <c r="H81" s="18">
        <f t="shared" si="3"/>
        <v>106164</v>
      </c>
    </row>
    <row r="82" spans="1:8" x14ac:dyDescent="0.2">
      <c r="A82">
        <v>2023</v>
      </c>
      <c r="B82" s="34">
        <v>5004</v>
      </c>
      <c r="C82" s="9" t="s">
        <v>89</v>
      </c>
      <c r="D82" s="10">
        <v>1407230</v>
      </c>
      <c r="E82" s="10">
        <v>1407230</v>
      </c>
      <c r="F82" s="11">
        <f>VLOOKUP(B82,'2015'!$B$2:$G$338,6,FALSE)</f>
        <v>0</v>
      </c>
      <c r="G82" s="19">
        <f t="shared" si="2"/>
        <v>0</v>
      </c>
      <c r="H82" s="18">
        <f t="shared" si="3"/>
        <v>1407230</v>
      </c>
    </row>
    <row r="83" spans="1:8" x14ac:dyDescent="0.2">
      <c r="A83">
        <v>2023</v>
      </c>
      <c r="B83" s="34">
        <v>5005</v>
      </c>
      <c r="C83" s="9" t="s">
        <v>90</v>
      </c>
      <c r="D83" s="10">
        <v>618952</v>
      </c>
      <c r="E83" s="10">
        <v>618952</v>
      </c>
      <c r="F83" s="11">
        <f>VLOOKUP(B83,'2015'!$B$2:$G$338,6,FALSE)</f>
        <v>0</v>
      </c>
      <c r="G83" s="19">
        <f t="shared" si="2"/>
        <v>0</v>
      </c>
      <c r="H83" s="18">
        <f t="shared" si="3"/>
        <v>618952</v>
      </c>
    </row>
    <row r="84" spans="1:8" x14ac:dyDescent="0.2">
      <c r="A84">
        <v>2023</v>
      </c>
      <c r="B84" s="34">
        <v>5006</v>
      </c>
      <c r="C84" s="9" t="s">
        <v>91</v>
      </c>
      <c r="D84" s="10">
        <v>230834</v>
      </c>
      <c r="E84" s="10">
        <v>230834</v>
      </c>
      <c r="F84" s="11">
        <f>VLOOKUP(B84,'2015'!$B$2:$G$338,6,FALSE)</f>
        <v>0</v>
      </c>
      <c r="G84" s="19">
        <f t="shared" si="2"/>
        <v>0</v>
      </c>
      <c r="H84" s="18">
        <f t="shared" si="3"/>
        <v>230834</v>
      </c>
    </row>
    <row r="85" spans="1:8" x14ac:dyDescent="0.2">
      <c r="A85">
        <v>2023</v>
      </c>
      <c r="B85" s="34">
        <v>5008</v>
      </c>
      <c r="C85" s="9" t="s">
        <v>92</v>
      </c>
      <c r="D85" s="10">
        <v>706292</v>
      </c>
      <c r="E85" s="10">
        <v>706292</v>
      </c>
      <c r="F85" s="11">
        <f>VLOOKUP(B85,'2015'!$B$2:$G$338,6,FALSE)</f>
        <v>0</v>
      </c>
      <c r="G85" s="19">
        <f t="shared" si="2"/>
        <v>0</v>
      </c>
      <c r="H85" s="18">
        <f t="shared" si="3"/>
        <v>706292</v>
      </c>
    </row>
    <row r="86" spans="1:8" x14ac:dyDescent="0.2">
      <c r="A86">
        <v>2023</v>
      </c>
      <c r="B86" s="34">
        <v>5010</v>
      </c>
      <c r="C86" s="9" t="s">
        <v>93</v>
      </c>
      <c r="D86" s="10">
        <v>1646501</v>
      </c>
      <c r="E86" s="10">
        <v>1646501</v>
      </c>
      <c r="F86" s="11">
        <f>VLOOKUP(B86,'2015'!$B$2:$G$338,6,FALSE)</f>
        <v>0</v>
      </c>
      <c r="G86" s="19">
        <f t="shared" si="2"/>
        <v>0</v>
      </c>
      <c r="H86" s="18">
        <f t="shared" si="3"/>
        <v>1646501</v>
      </c>
    </row>
    <row r="87" spans="1:8" x14ac:dyDescent="0.2">
      <c r="A87">
        <v>2023</v>
      </c>
      <c r="B87" s="34">
        <v>5011</v>
      </c>
      <c r="C87" s="9" t="s">
        <v>94</v>
      </c>
      <c r="D87" s="10">
        <v>612739</v>
      </c>
      <c r="E87" s="10">
        <v>612739</v>
      </c>
      <c r="F87" s="11">
        <f>VLOOKUP(B87,'2015'!$B$2:$G$338,6,FALSE)</f>
        <v>0</v>
      </c>
      <c r="G87" s="19">
        <f t="shared" si="2"/>
        <v>0</v>
      </c>
      <c r="H87" s="18">
        <f t="shared" si="3"/>
        <v>612739</v>
      </c>
    </row>
    <row r="88" spans="1:8" x14ac:dyDescent="0.2">
      <c r="A88">
        <v>2023</v>
      </c>
      <c r="B88" s="34">
        <v>5012</v>
      </c>
      <c r="C88" s="9" t="s">
        <v>95</v>
      </c>
      <c r="D88" s="10">
        <v>401009</v>
      </c>
      <c r="E88" s="10">
        <v>401009</v>
      </c>
      <c r="F88" s="11">
        <f>VLOOKUP(B88,'2015'!$B$2:$G$338,6,FALSE)</f>
        <v>0</v>
      </c>
      <c r="G88" s="19">
        <f t="shared" si="2"/>
        <v>0</v>
      </c>
      <c r="H88" s="18">
        <f t="shared" si="3"/>
        <v>401009</v>
      </c>
    </row>
    <row r="89" spans="1:8" x14ac:dyDescent="0.2">
      <c r="A89">
        <v>2023</v>
      </c>
      <c r="B89" s="34">
        <v>5013</v>
      </c>
      <c r="C89" s="9" t="s">
        <v>96</v>
      </c>
      <c r="D89" s="10">
        <v>7658423</v>
      </c>
      <c r="E89" s="10">
        <v>7658423</v>
      </c>
      <c r="F89" s="11">
        <f>VLOOKUP(B89,'2015'!$B$2:$G$338,6,FALSE)</f>
        <v>0</v>
      </c>
      <c r="G89" s="19">
        <f t="shared" si="2"/>
        <v>0</v>
      </c>
      <c r="H89" s="18">
        <f t="shared" si="3"/>
        <v>7658423</v>
      </c>
    </row>
    <row r="90" spans="1:8" x14ac:dyDescent="0.2">
      <c r="A90">
        <v>2023</v>
      </c>
      <c r="B90" s="34">
        <v>5014</v>
      </c>
      <c r="C90" s="9" t="s">
        <v>97</v>
      </c>
      <c r="D90" s="10">
        <v>1658615</v>
      </c>
      <c r="E90" s="10">
        <v>1658615</v>
      </c>
      <c r="F90" s="11">
        <f>VLOOKUP(B90,'2015'!$B$2:$G$338,6,FALSE)</f>
        <v>0</v>
      </c>
      <c r="G90" s="19">
        <f t="shared" si="2"/>
        <v>0</v>
      </c>
      <c r="H90" s="18">
        <f t="shared" si="3"/>
        <v>1658615</v>
      </c>
    </row>
    <row r="91" spans="1:8" x14ac:dyDescent="0.2">
      <c r="A91">
        <v>2023</v>
      </c>
      <c r="B91" s="34">
        <v>5015</v>
      </c>
      <c r="C91" s="9" t="s">
        <v>98</v>
      </c>
      <c r="D91" s="10">
        <v>421646</v>
      </c>
      <c r="E91" s="10">
        <v>421646</v>
      </c>
      <c r="F91" s="11">
        <f>VLOOKUP(B91,'2015'!$B$2:$G$338,6,FALSE)</f>
        <v>0</v>
      </c>
      <c r="G91" s="19">
        <f t="shared" si="2"/>
        <v>0</v>
      </c>
      <c r="H91" s="18">
        <f t="shared" si="3"/>
        <v>421646</v>
      </c>
    </row>
    <row r="92" spans="1:8" x14ac:dyDescent="0.2">
      <c r="A92">
        <v>2023</v>
      </c>
      <c r="B92" s="34">
        <v>5016</v>
      </c>
      <c r="C92" s="9" t="s">
        <v>99</v>
      </c>
      <c r="D92" s="10">
        <v>612351</v>
      </c>
      <c r="E92" s="10">
        <v>612351</v>
      </c>
      <c r="F92" s="11">
        <f>VLOOKUP(B92,'2015'!$B$2:$G$338,6,FALSE)</f>
        <v>0</v>
      </c>
      <c r="G92" s="19">
        <f t="shared" si="2"/>
        <v>0</v>
      </c>
      <c r="H92" s="18">
        <f t="shared" si="3"/>
        <v>612351</v>
      </c>
    </row>
    <row r="93" spans="1:8" x14ac:dyDescent="0.2">
      <c r="A93">
        <v>2023</v>
      </c>
      <c r="B93" s="34">
        <v>5017</v>
      </c>
      <c r="C93" s="9" t="s">
        <v>100</v>
      </c>
      <c r="D93" s="10">
        <v>3653466</v>
      </c>
      <c r="E93" s="10">
        <v>3653466</v>
      </c>
      <c r="F93" s="11">
        <f>VLOOKUP(B93,'2015'!$B$2:$G$338,6,FALSE)</f>
        <v>0</v>
      </c>
      <c r="G93" s="19">
        <f t="shared" si="2"/>
        <v>0</v>
      </c>
      <c r="H93" s="18">
        <f t="shared" si="3"/>
        <v>3653466</v>
      </c>
    </row>
    <row r="94" spans="1:8" x14ac:dyDescent="0.2">
      <c r="A94">
        <v>2023</v>
      </c>
      <c r="B94" s="34">
        <v>5018</v>
      </c>
      <c r="C94" s="9" t="s">
        <v>101</v>
      </c>
      <c r="D94" s="10">
        <v>268447</v>
      </c>
      <c r="E94" s="10">
        <v>268447</v>
      </c>
      <c r="F94" s="11">
        <f>VLOOKUP(B94,'2015'!$B$2:$G$338,6,FALSE)</f>
        <v>0</v>
      </c>
      <c r="G94" s="19">
        <f t="shared" si="2"/>
        <v>0</v>
      </c>
      <c r="H94" s="18">
        <f t="shared" si="3"/>
        <v>268447</v>
      </c>
    </row>
    <row r="95" spans="1:8" x14ac:dyDescent="0.2">
      <c r="A95">
        <v>2023</v>
      </c>
      <c r="B95" s="34">
        <v>5019</v>
      </c>
      <c r="C95" s="9" t="s">
        <v>102</v>
      </c>
      <c r="D95" s="10">
        <v>2987626</v>
      </c>
      <c r="E95" s="10">
        <v>2987626</v>
      </c>
      <c r="F95" s="11">
        <f>VLOOKUP(B95,'2015'!$B$2:$G$338,6,FALSE)</f>
        <v>0</v>
      </c>
      <c r="G95" s="19">
        <f t="shared" si="2"/>
        <v>0</v>
      </c>
      <c r="H95" s="18">
        <f t="shared" si="3"/>
        <v>2987626</v>
      </c>
    </row>
    <row r="96" spans="1:8" x14ac:dyDescent="0.2">
      <c r="A96">
        <v>2023</v>
      </c>
      <c r="B96" s="34">
        <v>5020</v>
      </c>
      <c r="C96" s="9" t="s">
        <v>103</v>
      </c>
      <c r="D96" s="10">
        <v>7784014</v>
      </c>
      <c r="E96" s="10">
        <v>7784014</v>
      </c>
      <c r="F96" s="11">
        <f>VLOOKUP(B96,'2015'!$B$2:$G$338,6,FALSE)</f>
        <v>0</v>
      </c>
      <c r="G96" s="19">
        <f t="shared" si="2"/>
        <v>0</v>
      </c>
      <c r="H96" s="18">
        <f t="shared" si="3"/>
        <v>7784014</v>
      </c>
    </row>
    <row r="97" spans="1:8" x14ac:dyDescent="0.2">
      <c r="A97">
        <v>2023</v>
      </c>
      <c r="B97" s="34">
        <v>5021</v>
      </c>
      <c r="C97" s="9" t="s">
        <v>104</v>
      </c>
      <c r="D97" s="10">
        <v>279454</v>
      </c>
      <c r="E97" s="10">
        <v>279454</v>
      </c>
      <c r="F97" s="11">
        <f>VLOOKUP(B97,'2015'!$B$2:$G$338,6,FALSE)</f>
        <v>0</v>
      </c>
      <c r="G97" s="19">
        <f t="shared" si="2"/>
        <v>0</v>
      </c>
      <c r="H97" s="18">
        <f t="shared" si="3"/>
        <v>279454</v>
      </c>
    </row>
    <row r="98" spans="1:8" x14ac:dyDescent="0.2">
      <c r="A98">
        <v>2023</v>
      </c>
      <c r="B98" s="34">
        <v>5022</v>
      </c>
      <c r="C98" s="9" t="s">
        <v>105</v>
      </c>
      <c r="D98" s="10">
        <v>5099765</v>
      </c>
      <c r="E98" s="10">
        <v>5099765</v>
      </c>
      <c r="F98" s="11">
        <f>VLOOKUP(B98,'2015'!$B$2:$G$338,6,FALSE)</f>
        <v>0</v>
      </c>
      <c r="G98" s="19">
        <f t="shared" si="2"/>
        <v>0</v>
      </c>
      <c r="H98" s="18">
        <f t="shared" si="3"/>
        <v>5099765</v>
      </c>
    </row>
    <row r="99" spans="1:8" x14ac:dyDescent="0.2">
      <c r="A99">
        <v>2023</v>
      </c>
      <c r="B99" s="34">
        <v>5024</v>
      </c>
      <c r="C99" s="9" t="s">
        <v>106</v>
      </c>
      <c r="D99" s="10">
        <v>611706</v>
      </c>
      <c r="E99" s="10">
        <v>611706</v>
      </c>
      <c r="F99" s="11">
        <f>VLOOKUP(B99,'2015'!$B$2:$G$338,6,FALSE)</f>
        <v>0</v>
      </c>
      <c r="G99" s="19">
        <f t="shared" si="2"/>
        <v>0</v>
      </c>
      <c r="H99" s="18">
        <f t="shared" si="3"/>
        <v>611706</v>
      </c>
    </row>
    <row r="100" spans="1:8" x14ac:dyDescent="0.2">
      <c r="A100">
        <v>2023</v>
      </c>
      <c r="B100" s="34">
        <v>5025</v>
      </c>
      <c r="C100" s="9" t="s">
        <v>107</v>
      </c>
      <c r="D100" s="10">
        <v>2006999</v>
      </c>
      <c r="E100" s="10">
        <v>2006999</v>
      </c>
      <c r="F100" s="11">
        <f>VLOOKUP(B100,'2015'!$B$2:$G$338,6,FALSE)</f>
        <v>0</v>
      </c>
      <c r="G100" s="19">
        <f t="shared" si="2"/>
        <v>0</v>
      </c>
      <c r="H100" s="18">
        <f t="shared" si="3"/>
        <v>2006999</v>
      </c>
    </row>
    <row r="101" spans="1:8" x14ac:dyDescent="0.2">
      <c r="A101">
        <v>2023</v>
      </c>
      <c r="B101" s="34">
        <v>5026</v>
      </c>
      <c r="C101" s="9" t="s">
        <v>108</v>
      </c>
      <c r="D101" s="10">
        <v>400189</v>
      </c>
      <c r="E101" s="10">
        <v>400189</v>
      </c>
      <c r="F101" s="11">
        <f>VLOOKUP(B101,'2015'!$B$2:$G$338,6,FALSE)</f>
        <v>0</v>
      </c>
      <c r="G101" s="19">
        <f t="shared" si="2"/>
        <v>0</v>
      </c>
      <c r="H101" s="18">
        <f t="shared" si="3"/>
        <v>400189</v>
      </c>
    </row>
    <row r="102" spans="1:8" x14ac:dyDescent="0.2">
      <c r="A102">
        <v>2023</v>
      </c>
      <c r="B102" s="34">
        <v>5027</v>
      </c>
      <c r="C102" s="9" t="s">
        <v>109</v>
      </c>
      <c r="D102" s="10">
        <v>5999612</v>
      </c>
      <c r="E102" s="10">
        <v>5999612</v>
      </c>
      <c r="F102" s="11">
        <f>VLOOKUP(B102,'2015'!$B$2:$G$338,6,FALSE)</f>
        <v>0</v>
      </c>
      <c r="G102" s="19">
        <f t="shared" si="2"/>
        <v>0</v>
      </c>
      <c r="H102" s="18">
        <f t="shared" si="3"/>
        <v>5999612</v>
      </c>
    </row>
    <row r="103" spans="1:8" x14ac:dyDescent="0.2">
      <c r="A103">
        <v>2023</v>
      </c>
      <c r="B103" s="34">
        <v>5028</v>
      </c>
      <c r="C103" s="9" t="s">
        <v>110</v>
      </c>
      <c r="D103" s="10">
        <v>1301640</v>
      </c>
      <c r="E103" s="10">
        <v>1301640</v>
      </c>
      <c r="F103" s="11">
        <f>VLOOKUP(B103,'2015'!$B$2:$G$338,6,FALSE)</f>
        <v>0</v>
      </c>
      <c r="G103" s="19">
        <f t="shared" si="2"/>
        <v>0</v>
      </c>
      <c r="H103" s="18">
        <f t="shared" si="3"/>
        <v>1301640</v>
      </c>
    </row>
    <row r="104" spans="1:8" x14ac:dyDescent="0.2">
      <c r="A104">
        <v>2023</v>
      </c>
      <c r="B104" s="34">
        <v>5029</v>
      </c>
      <c r="C104" s="9" t="s">
        <v>111</v>
      </c>
      <c r="D104" s="10">
        <v>488418</v>
      </c>
      <c r="E104" s="10">
        <v>488418</v>
      </c>
      <c r="F104" s="11">
        <f>VLOOKUP(B104,'2015'!$B$2:$G$338,6,FALSE)</f>
        <v>0</v>
      </c>
      <c r="G104" s="19">
        <f t="shared" si="2"/>
        <v>0</v>
      </c>
      <c r="H104" s="18">
        <f t="shared" si="3"/>
        <v>488418</v>
      </c>
    </row>
    <row r="105" spans="1:8" x14ac:dyDescent="0.2">
      <c r="A105">
        <v>2023</v>
      </c>
      <c r="B105" s="34">
        <v>5031</v>
      </c>
      <c r="C105" s="9" t="s">
        <v>112</v>
      </c>
      <c r="D105" s="10">
        <v>9714019</v>
      </c>
      <c r="E105" s="10">
        <v>9714019</v>
      </c>
      <c r="F105" s="11">
        <f>VLOOKUP(B105,'2015'!$B$2:$G$338,6,FALSE)</f>
        <v>0</v>
      </c>
      <c r="G105" s="19">
        <f t="shared" si="2"/>
        <v>0</v>
      </c>
      <c r="H105" s="18">
        <f t="shared" si="3"/>
        <v>9714019</v>
      </c>
    </row>
    <row r="106" spans="1:8" x14ac:dyDescent="0.2">
      <c r="A106">
        <v>2023</v>
      </c>
      <c r="B106" s="34">
        <v>5032</v>
      </c>
      <c r="C106" s="9" t="s">
        <v>113</v>
      </c>
      <c r="D106" s="10">
        <v>870188</v>
      </c>
      <c r="E106" s="10">
        <v>870188</v>
      </c>
      <c r="F106" s="11">
        <f>VLOOKUP(B106,'2015'!$B$2:$G$338,6,FALSE)</f>
        <v>0</v>
      </c>
      <c r="G106" s="19">
        <f t="shared" si="2"/>
        <v>0</v>
      </c>
      <c r="H106" s="18">
        <f t="shared" si="3"/>
        <v>870188</v>
      </c>
    </row>
    <row r="107" spans="1:8" x14ac:dyDescent="0.2">
      <c r="A107">
        <v>2023</v>
      </c>
      <c r="B107" s="34">
        <v>5033</v>
      </c>
      <c r="C107" s="9" t="s">
        <v>114</v>
      </c>
      <c r="D107" s="10">
        <v>569264</v>
      </c>
      <c r="E107" s="10">
        <v>569264</v>
      </c>
      <c r="F107" s="11">
        <f>VLOOKUP(B107,'2015'!$B$2:$G$338,6,FALSE)</f>
        <v>0</v>
      </c>
      <c r="G107" s="19">
        <f t="shared" si="2"/>
        <v>0</v>
      </c>
      <c r="H107" s="18">
        <f t="shared" si="3"/>
        <v>569264</v>
      </c>
    </row>
    <row r="108" spans="1:8" x14ac:dyDescent="0.2">
      <c r="A108">
        <v>2023</v>
      </c>
      <c r="B108" s="34">
        <v>5034</v>
      </c>
      <c r="C108" s="9" t="s">
        <v>115</v>
      </c>
      <c r="D108" s="10">
        <v>240866</v>
      </c>
      <c r="E108" s="10">
        <v>240866</v>
      </c>
      <c r="F108" s="11">
        <f>VLOOKUP(B108,'2015'!$B$2:$G$338,6,FALSE)</f>
        <v>0</v>
      </c>
      <c r="G108" s="19">
        <f t="shared" si="2"/>
        <v>0</v>
      </c>
      <c r="H108" s="18">
        <f t="shared" si="3"/>
        <v>240866</v>
      </c>
    </row>
    <row r="109" spans="1:8" x14ac:dyDescent="0.2">
      <c r="A109">
        <v>2023</v>
      </c>
      <c r="B109" s="34">
        <v>5035</v>
      </c>
      <c r="C109" s="9" t="s">
        <v>116</v>
      </c>
      <c r="D109" s="10">
        <v>1557606</v>
      </c>
      <c r="E109" s="10">
        <v>1557606</v>
      </c>
      <c r="F109" s="11">
        <f>VLOOKUP(B109,'2015'!$B$2:$G$338,6,FALSE)</f>
        <v>0</v>
      </c>
      <c r="G109" s="19">
        <f t="shared" si="2"/>
        <v>0</v>
      </c>
      <c r="H109" s="18">
        <f t="shared" si="3"/>
        <v>1557606</v>
      </c>
    </row>
    <row r="110" spans="1:8" x14ac:dyDescent="0.2">
      <c r="A110">
        <v>2023</v>
      </c>
      <c r="B110" s="34">
        <v>5036</v>
      </c>
      <c r="C110" s="9" t="s">
        <v>117</v>
      </c>
      <c r="D110" s="10">
        <v>838404</v>
      </c>
      <c r="E110" s="10">
        <v>838404</v>
      </c>
      <c r="F110" s="11">
        <f>VLOOKUP(B110,'2015'!$B$2:$G$338,6,FALSE)</f>
        <v>0</v>
      </c>
      <c r="G110" s="19">
        <f t="shared" si="2"/>
        <v>0</v>
      </c>
      <c r="H110" s="18">
        <f t="shared" si="3"/>
        <v>838404</v>
      </c>
    </row>
    <row r="111" spans="1:8" x14ac:dyDescent="0.2">
      <c r="A111">
        <v>2023</v>
      </c>
      <c r="B111" s="34">
        <v>5037</v>
      </c>
      <c r="C111" s="9" t="s">
        <v>118</v>
      </c>
      <c r="D111" s="10">
        <v>2909653</v>
      </c>
      <c r="E111" s="10">
        <v>2909653</v>
      </c>
      <c r="F111" s="11">
        <f>VLOOKUP(B111,'2015'!$B$2:$G$338,6,FALSE)</f>
        <v>0</v>
      </c>
      <c r="G111" s="19">
        <f t="shared" si="2"/>
        <v>0</v>
      </c>
      <c r="H111" s="18">
        <f t="shared" si="3"/>
        <v>2909653</v>
      </c>
    </row>
    <row r="112" spans="1:8" x14ac:dyDescent="0.2">
      <c r="A112">
        <v>2023</v>
      </c>
      <c r="B112" s="34">
        <v>5038</v>
      </c>
      <c r="C112" s="9" t="s">
        <v>119</v>
      </c>
      <c r="D112" s="10">
        <v>365813</v>
      </c>
      <c r="E112" s="10">
        <v>365813</v>
      </c>
      <c r="F112" s="11">
        <f>VLOOKUP(B112,'2015'!$B$2:$G$338,6,FALSE)</f>
        <v>0</v>
      </c>
      <c r="G112" s="19">
        <f t="shared" si="2"/>
        <v>0</v>
      </c>
      <c r="H112" s="18">
        <f t="shared" si="3"/>
        <v>365813</v>
      </c>
    </row>
    <row r="113" spans="1:8" x14ac:dyDescent="0.2">
      <c r="A113">
        <v>2023</v>
      </c>
      <c r="B113" s="34">
        <v>5039</v>
      </c>
      <c r="C113" s="9" t="s">
        <v>120</v>
      </c>
      <c r="D113" s="10">
        <v>419595</v>
      </c>
      <c r="E113" s="10">
        <v>419595</v>
      </c>
      <c r="F113" s="11">
        <f>VLOOKUP(B113,'2015'!$B$2:$G$338,6,FALSE)</f>
        <v>0</v>
      </c>
      <c r="G113" s="19">
        <f t="shared" si="2"/>
        <v>0</v>
      </c>
      <c r="H113" s="18">
        <f t="shared" si="3"/>
        <v>419595</v>
      </c>
    </row>
    <row r="114" spans="1:8" x14ac:dyDescent="0.2">
      <c r="A114">
        <v>2023</v>
      </c>
      <c r="B114" s="34">
        <v>5040</v>
      </c>
      <c r="C114" s="9" t="s">
        <v>121</v>
      </c>
      <c r="D114" s="10">
        <v>1483004</v>
      </c>
      <c r="E114" s="10">
        <v>1483004</v>
      </c>
      <c r="F114" s="11">
        <f>VLOOKUP(B114,'2015'!$B$2:$G$338,6,FALSE)</f>
        <v>0</v>
      </c>
      <c r="G114" s="19">
        <f t="shared" si="2"/>
        <v>0</v>
      </c>
      <c r="H114" s="18">
        <f t="shared" si="3"/>
        <v>1483004</v>
      </c>
    </row>
    <row r="115" spans="1:8" x14ac:dyDescent="0.2">
      <c r="A115">
        <v>2023</v>
      </c>
      <c r="B115" s="34">
        <v>5041</v>
      </c>
      <c r="C115" s="9" t="s">
        <v>122</v>
      </c>
      <c r="D115" s="10">
        <v>7457590</v>
      </c>
      <c r="E115" s="10">
        <v>7457590</v>
      </c>
      <c r="F115" s="11">
        <f>VLOOKUP(B115,'2015'!$B$2:$G$338,6,FALSE)</f>
        <v>0</v>
      </c>
      <c r="G115" s="19">
        <f t="shared" si="2"/>
        <v>0</v>
      </c>
      <c r="H115" s="18">
        <f t="shared" si="3"/>
        <v>7457590</v>
      </c>
    </row>
    <row r="116" spans="1:8" x14ac:dyDescent="0.2">
      <c r="A116">
        <v>2023</v>
      </c>
      <c r="B116" s="34">
        <v>5042</v>
      </c>
      <c r="C116" s="9" t="s">
        <v>123</v>
      </c>
      <c r="D116" s="10">
        <v>2649129</v>
      </c>
      <c r="E116" s="10">
        <v>2649129</v>
      </c>
      <c r="F116" s="11">
        <f>VLOOKUP(B116,'2015'!$B$2:$G$338,6,FALSE)</f>
        <v>0</v>
      </c>
      <c r="G116" s="19">
        <f t="shared" si="2"/>
        <v>0</v>
      </c>
      <c r="H116" s="18">
        <f t="shared" si="3"/>
        <v>2649129</v>
      </c>
    </row>
    <row r="117" spans="1:8" x14ac:dyDescent="0.2">
      <c r="A117">
        <v>2023</v>
      </c>
      <c r="B117" s="34">
        <v>5043</v>
      </c>
      <c r="C117" s="9" t="s">
        <v>124</v>
      </c>
      <c r="D117" s="10">
        <v>3409537</v>
      </c>
      <c r="E117" s="10">
        <v>3409537</v>
      </c>
      <c r="F117" s="11">
        <f>VLOOKUP(B117,'2015'!$B$2:$G$338,6,FALSE)</f>
        <v>0</v>
      </c>
      <c r="G117" s="19">
        <f t="shared" si="2"/>
        <v>0</v>
      </c>
      <c r="H117" s="18">
        <f t="shared" si="3"/>
        <v>3409537</v>
      </c>
    </row>
    <row r="118" spans="1:8" x14ac:dyDescent="0.2">
      <c r="A118">
        <v>2023</v>
      </c>
      <c r="B118" s="34">
        <v>5056</v>
      </c>
      <c r="C118" s="9" t="s">
        <v>125</v>
      </c>
      <c r="D118" s="10">
        <v>361820</v>
      </c>
      <c r="E118" s="10">
        <v>361820</v>
      </c>
      <c r="F118" s="11">
        <f>VLOOKUP(B118,'2015'!$B$2:$G$338,6,FALSE)</f>
        <v>0</v>
      </c>
      <c r="G118" s="19">
        <f t="shared" si="2"/>
        <v>0</v>
      </c>
      <c r="H118" s="18">
        <f t="shared" si="3"/>
        <v>361820</v>
      </c>
    </row>
    <row r="119" spans="1:8" x14ac:dyDescent="0.2">
      <c r="A119">
        <v>2023</v>
      </c>
      <c r="B119" s="34">
        <v>5057</v>
      </c>
      <c r="C119" s="9" t="s">
        <v>126</v>
      </c>
      <c r="D119" s="10">
        <v>668696</v>
      </c>
      <c r="E119" s="10">
        <v>668696</v>
      </c>
      <c r="F119" s="11">
        <f>VLOOKUP(B119,'2015'!$B$2:$G$338,6,FALSE)</f>
        <v>0</v>
      </c>
      <c r="G119" s="19">
        <f t="shared" si="2"/>
        <v>0</v>
      </c>
      <c r="H119" s="18">
        <f t="shared" si="3"/>
        <v>668696</v>
      </c>
    </row>
    <row r="120" spans="1:8" x14ac:dyDescent="0.2">
      <c r="A120">
        <v>2023</v>
      </c>
      <c r="B120" s="34">
        <v>5058</v>
      </c>
      <c r="C120" s="9" t="s">
        <v>127</v>
      </c>
      <c r="D120" s="10">
        <v>1305603</v>
      </c>
      <c r="E120" s="10">
        <v>1305603</v>
      </c>
      <c r="F120" s="11">
        <f>VLOOKUP(B120,'2015'!$B$2:$G$338,6,FALSE)</f>
        <v>0</v>
      </c>
      <c r="G120" s="19">
        <f t="shared" si="2"/>
        <v>0</v>
      </c>
      <c r="H120" s="18">
        <f t="shared" si="3"/>
        <v>1305603</v>
      </c>
    </row>
    <row r="121" spans="1:8" x14ac:dyDescent="0.2">
      <c r="A121">
        <v>2023</v>
      </c>
      <c r="B121" s="34">
        <v>5059</v>
      </c>
      <c r="C121" s="9" t="s">
        <v>128</v>
      </c>
      <c r="D121" s="10">
        <v>402659</v>
      </c>
      <c r="E121" s="10">
        <v>402659</v>
      </c>
      <c r="F121" s="11">
        <f>VLOOKUP(B121,'2015'!$B$2:$G$338,6,FALSE)</f>
        <v>0</v>
      </c>
      <c r="G121" s="19">
        <f t="shared" si="2"/>
        <v>0</v>
      </c>
      <c r="H121" s="18">
        <f t="shared" si="3"/>
        <v>402659</v>
      </c>
    </row>
    <row r="122" spans="1:8" x14ac:dyDescent="0.2">
      <c r="A122">
        <v>2023</v>
      </c>
      <c r="B122" s="34">
        <v>5060</v>
      </c>
      <c r="C122" s="9" t="s">
        <v>129</v>
      </c>
      <c r="D122" s="10">
        <v>186351</v>
      </c>
      <c r="E122" s="10">
        <v>186351</v>
      </c>
      <c r="F122" s="11">
        <f>VLOOKUP(B122,'2015'!$B$2:$G$338,6,FALSE)</f>
        <v>0</v>
      </c>
      <c r="G122" s="19">
        <f t="shared" si="2"/>
        <v>0</v>
      </c>
      <c r="H122" s="18">
        <f t="shared" si="3"/>
        <v>186351</v>
      </c>
    </row>
    <row r="123" spans="1:8" x14ac:dyDescent="0.2">
      <c r="A123">
        <v>2023</v>
      </c>
      <c r="B123" s="34">
        <v>5061</v>
      </c>
      <c r="C123" s="9" t="s">
        <v>130</v>
      </c>
      <c r="D123" s="10">
        <v>388024</v>
      </c>
      <c r="E123" s="10">
        <v>388024</v>
      </c>
      <c r="F123" s="11">
        <f>VLOOKUP(B123,'2015'!$B$2:$G$338,6,FALSE)</f>
        <v>0</v>
      </c>
      <c r="G123" s="19">
        <f t="shared" si="2"/>
        <v>0</v>
      </c>
      <c r="H123" s="18">
        <f t="shared" si="3"/>
        <v>388024</v>
      </c>
    </row>
    <row r="124" spans="1:8" x14ac:dyDescent="0.2">
      <c r="A124">
        <v>2023</v>
      </c>
      <c r="B124" s="34">
        <v>5062</v>
      </c>
      <c r="C124" s="9" t="s">
        <v>131</v>
      </c>
      <c r="D124" s="10">
        <v>627948</v>
      </c>
      <c r="E124" s="10">
        <v>627948</v>
      </c>
      <c r="F124" s="11">
        <f>VLOOKUP(B124,'2015'!$B$2:$G$338,6,FALSE)</f>
        <v>0</v>
      </c>
      <c r="G124" s="19">
        <f t="shared" si="2"/>
        <v>0</v>
      </c>
      <c r="H124" s="18">
        <f t="shared" si="3"/>
        <v>627948</v>
      </c>
    </row>
    <row r="125" spans="1:8" x14ac:dyDescent="0.2">
      <c r="A125">
        <v>2023</v>
      </c>
      <c r="B125" s="34">
        <v>5063</v>
      </c>
      <c r="C125" s="9" t="s">
        <v>132</v>
      </c>
      <c r="D125" s="10">
        <v>533967</v>
      </c>
      <c r="E125" s="10">
        <v>533967</v>
      </c>
      <c r="F125" s="11">
        <f>VLOOKUP(B125,'2015'!$B$2:$G$338,6,FALSE)</f>
        <v>0</v>
      </c>
      <c r="G125" s="19">
        <f t="shared" si="2"/>
        <v>0</v>
      </c>
      <c r="H125" s="18">
        <f t="shared" si="3"/>
        <v>533967</v>
      </c>
    </row>
    <row r="126" spans="1:8" x14ac:dyDescent="0.2">
      <c r="A126">
        <v>2023</v>
      </c>
      <c r="B126" s="34">
        <v>5064</v>
      </c>
      <c r="C126" s="9" t="s">
        <v>133</v>
      </c>
      <c r="D126" s="10">
        <v>357514</v>
      </c>
      <c r="E126" s="10">
        <v>357514</v>
      </c>
      <c r="F126" s="11">
        <f>VLOOKUP(B126,'2015'!$B$2:$G$338,6,FALSE)</f>
        <v>0</v>
      </c>
      <c r="G126" s="19">
        <f t="shared" si="2"/>
        <v>0</v>
      </c>
      <c r="H126" s="18">
        <f t="shared" si="3"/>
        <v>357514</v>
      </c>
    </row>
    <row r="127" spans="1:8" x14ac:dyDescent="0.2">
      <c r="A127">
        <v>2023</v>
      </c>
      <c r="B127" s="34">
        <v>5065</v>
      </c>
      <c r="C127" s="9" t="s">
        <v>134</v>
      </c>
      <c r="D127" s="10">
        <v>428638</v>
      </c>
      <c r="E127" s="10">
        <v>428638</v>
      </c>
      <c r="F127" s="11">
        <f>VLOOKUP(B127,'2015'!$B$2:$G$338,6,FALSE)</f>
        <v>0</v>
      </c>
      <c r="G127" s="19">
        <f t="shared" si="2"/>
        <v>0</v>
      </c>
      <c r="H127" s="18">
        <f t="shared" si="3"/>
        <v>428638</v>
      </c>
    </row>
    <row r="128" spans="1:8" x14ac:dyDescent="0.2">
      <c r="A128">
        <v>2023</v>
      </c>
      <c r="B128" s="34">
        <v>5066</v>
      </c>
      <c r="C128" s="9" t="s">
        <v>135</v>
      </c>
      <c r="D128" s="10">
        <v>509741</v>
      </c>
      <c r="E128" s="10">
        <v>509741</v>
      </c>
      <c r="F128" s="11">
        <f>VLOOKUP(B128,'2015'!$B$2:$G$338,6,FALSE)</f>
        <v>0</v>
      </c>
      <c r="G128" s="19">
        <f t="shared" si="2"/>
        <v>0</v>
      </c>
      <c r="H128" s="18">
        <f t="shared" si="3"/>
        <v>509741</v>
      </c>
    </row>
    <row r="129" spans="1:8" x14ac:dyDescent="0.2">
      <c r="A129">
        <v>2023</v>
      </c>
      <c r="B129" s="34">
        <v>5067</v>
      </c>
      <c r="C129" s="9" t="s">
        <v>136</v>
      </c>
      <c r="D129" s="10">
        <v>784980</v>
      </c>
      <c r="E129" s="10">
        <v>784980</v>
      </c>
      <c r="F129" s="11">
        <f>VLOOKUP(B129,'2015'!$B$2:$G$338,6,FALSE)</f>
        <v>0</v>
      </c>
      <c r="G129" s="19">
        <f t="shared" si="2"/>
        <v>0</v>
      </c>
      <c r="H129" s="18">
        <f t="shared" si="3"/>
        <v>784980</v>
      </c>
    </row>
    <row r="130" spans="1:8" x14ac:dyDescent="0.2">
      <c r="A130">
        <v>2023</v>
      </c>
      <c r="B130" s="34">
        <v>5068</v>
      </c>
      <c r="C130" s="9" t="s">
        <v>137</v>
      </c>
      <c r="D130" s="10">
        <v>745887</v>
      </c>
      <c r="E130" s="10">
        <v>745887</v>
      </c>
      <c r="F130" s="11">
        <f>VLOOKUP(B130,'2015'!$B$2:$G$338,6,FALSE)</f>
        <v>0</v>
      </c>
      <c r="G130" s="19">
        <f t="shared" si="2"/>
        <v>0</v>
      </c>
      <c r="H130" s="18">
        <f t="shared" si="3"/>
        <v>745887</v>
      </c>
    </row>
    <row r="131" spans="1:8" x14ac:dyDescent="0.2">
      <c r="A131">
        <v>2023</v>
      </c>
      <c r="B131" s="34">
        <v>5069</v>
      </c>
      <c r="C131" s="9" t="s">
        <v>138</v>
      </c>
      <c r="D131" s="10">
        <v>693217</v>
      </c>
      <c r="E131" s="10">
        <v>693217</v>
      </c>
      <c r="F131" s="11">
        <f>VLOOKUP(B131,'2015'!$B$2:$G$338,6,FALSE)</f>
        <v>0</v>
      </c>
      <c r="G131" s="19">
        <f t="shared" ref="G131:G194" si="4">F131*$D$341</f>
        <v>0</v>
      </c>
      <c r="H131" s="18">
        <f t="shared" ref="H131:H194" si="5">SUM(G131,D131)</f>
        <v>693217</v>
      </c>
    </row>
    <row r="132" spans="1:8" x14ac:dyDescent="0.2">
      <c r="A132">
        <v>2023</v>
      </c>
      <c r="B132" s="34">
        <v>5070</v>
      </c>
      <c r="C132" s="9" t="s">
        <v>139</v>
      </c>
      <c r="D132" s="10">
        <v>1638004</v>
      </c>
      <c r="E132" s="10">
        <v>1638004</v>
      </c>
      <c r="F132" s="11">
        <f>VLOOKUP(B132,'2015'!$B$2:$G$338,6,FALSE)</f>
        <v>0</v>
      </c>
      <c r="G132" s="19">
        <f t="shared" si="4"/>
        <v>0</v>
      </c>
      <c r="H132" s="18">
        <f t="shared" si="5"/>
        <v>1638004</v>
      </c>
    </row>
    <row r="133" spans="1:8" x14ac:dyDescent="0.2">
      <c r="A133">
        <v>2023</v>
      </c>
      <c r="B133" s="34">
        <v>5072</v>
      </c>
      <c r="C133" s="9" t="s">
        <v>140</v>
      </c>
      <c r="D133" s="10">
        <v>223050</v>
      </c>
      <c r="E133" s="10">
        <v>223050</v>
      </c>
      <c r="F133" s="11">
        <f>VLOOKUP(B133,'2015'!$B$2:$G$338,6,FALSE)</f>
        <v>0</v>
      </c>
      <c r="G133" s="19">
        <f t="shared" si="4"/>
        <v>0</v>
      </c>
      <c r="H133" s="18">
        <f t="shared" si="5"/>
        <v>223050</v>
      </c>
    </row>
    <row r="134" spans="1:8" x14ac:dyDescent="0.2">
      <c r="A134">
        <v>2023</v>
      </c>
      <c r="B134" s="34">
        <v>5073</v>
      </c>
      <c r="C134" s="9" t="s">
        <v>141</v>
      </c>
      <c r="D134" s="10">
        <v>442348</v>
      </c>
      <c r="E134" s="10">
        <v>442348</v>
      </c>
      <c r="F134" s="11">
        <f>VLOOKUP(B134,'2015'!$B$2:$G$338,6,FALSE)</f>
        <v>0</v>
      </c>
      <c r="G134" s="19">
        <f t="shared" si="4"/>
        <v>0</v>
      </c>
      <c r="H134" s="18">
        <f t="shared" si="5"/>
        <v>442348</v>
      </c>
    </row>
    <row r="135" spans="1:8" x14ac:dyDescent="0.2">
      <c r="A135">
        <v>2023</v>
      </c>
      <c r="B135" s="34">
        <v>5076</v>
      </c>
      <c r="C135" s="9" t="s">
        <v>142</v>
      </c>
      <c r="D135" s="10">
        <v>180194</v>
      </c>
      <c r="E135" s="10">
        <v>180194</v>
      </c>
      <c r="F135" s="11">
        <f>VLOOKUP(B135,'2015'!$B$2:$G$338,6,FALSE)</f>
        <v>0</v>
      </c>
      <c r="G135" s="19">
        <f t="shared" si="4"/>
        <v>0</v>
      </c>
      <c r="H135" s="18">
        <f t="shared" si="5"/>
        <v>180194</v>
      </c>
    </row>
    <row r="136" spans="1:8" x14ac:dyDescent="0.2">
      <c r="A136">
        <v>2023</v>
      </c>
      <c r="B136" s="34">
        <v>5007</v>
      </c>
      <c r="C136" s="9" t="s">
        <v>143</v>
      </c>
      <c r="D136" s="10">
        <v>148485</v>
      </c>
      <c r="E136" s="10">
        <v>148485</v>
      </c>
      <c r="F136" s="11">
        <f>VLOOKUP(B136,'2015'!$B$2:$G$338,6,FALSE)</f>
        <v>0</v>
      </c>
      <c r="G136" s="19">
        <f t="shared" si="4"/>
        <v>0</v>
      </c>
      <c r="H136" s="18">
        <f t="shared" si="5"/>
        <v>148485</v>
      </c>
    </row>
    <row r="137" spans="1:8" x14ac:dyDescent="0.2">
      <c r="A137">
        <v>2023</v>
      </c>
      <c r="B137" s="34">
        <v>5078</v>
      </c>
      <c r="C137" s="9" t="s">
        <v>144</v>
      </c>
      <c r="D137" s="10">
        <v>403487</v>
      </c>
      <c r="E137" s="10">
        <v>403487</v>
      </c>
      <c r="F137" s="11">
        <f>VLOOKUP(B137,'2015'!$B$2:$G$338,6,FALSE)</f>
        <v>0</v>
      </c>
      <c r="G137" s="19">
        <f t="shared" si="4"/>
        <v>0</v>
      </c>
      <c r="H137" s="18">
        <f t="shared" si="5"/>
        <v>403487</v>
      </c>
    </row>
    <row r="138" spans="1:8" x14ac:dyDescent="0.2">
      <c r="A138">
        <v>2023</v>
      </c>
      <c r="B138" s="34">
        <v>5079</v>
      </c>
      <c r="C138" s="9" t="s">
        <v>145</v>
      </c>
      <c r="D138" s="10">
        <v>469612</v>
      </c>
      <c r="E138" s="10">
        <v>469612</v>
      </c>
      <c r="F138" s="11">
        <f>VLOOKUP(B138,'2015'!$B$2:$G$338,6,FALSE)</f>
        <v>0</v>
      </c>
      <c r="G138" s="19">
        <f t="shared" si="4"/>
        <v>0</v>
      </c>
      <c r="H138" s="18">
        <f t="shared" si="5"/>
        <v>469612</v>
      </c>
    </row>
    <row r="139" spans="1:8" x14ac:dyDescent="0.2">
      <c r="A139">
        <v>2023</v>
      </c>
      <c r="B139" s="34">
        <v>5080</v>
      </c>
      <c r="C139" s="9" t="s">
        <v>146</v>
      </c>
      <c r="D139" s="10">
        <v>649302</v>
      </c>
      <c r="E139" s="10">
        <v>649302</v>
      </c>
      <c r="F139" s="11">
        <f>VLOOKUP(B139,'2015'!$B$2:$G$338,6,FALSE)</f>
        <v>0</v>
      </c>
      <c r="G139" s="19">
        <f t="shared" si="4"/>
        <v>0</v>
      </c>
      <c r="H139" s="18">
        <f t="shared" si="5"/>
        <v>649302</v>
      </c>
    </row>
    <row r="140" spans="1:8" x14ac:dyDescent="0.2">
      <c r="A140">
        <v>2023</v>
      </c>
      <c r="B140" s="34">
        <v>5081</v>
      </c>
      <c r="C140" s="9" t="s">
        <v>147</v>
      </c>
      <c r="D140" s="10">
        <v>484445</v>
      </c>
      <c r="E140" s="10">
        <v>484445</v>
      </c>
      <c r="F140" s="11">
        <f>VLOOKUP(B140,'2015'!$B$2:$G$338,6,FALSE)</f>
        <v>0</v>
      </c>
      <c r="G140" s="19">
        <f t="shared" si="4"/>
        <v>0</v>
      </c>
      <c r="H140" s="18">
        <f t="shared" si="5"/>
        <v>484445</v>
      </c>
    </row>
    <row r="141" spans="1:8" x14ac:dyDescent="0.2">
      <c r="A141">
        <v>2023</v>
      </c>
      <c r="B141" s="34">
        <v>5082</v>
      </c>
      <c r="C141" s="9" t="s">
        <v>148</v>
      </c>
      <c r="D141" s="10">
        <v>112724</v>
      </c>
      <c r="E141" s="10">
        <v>112724</v>
      </c>
      <c r="F141" s="11">
        <f>VLOOKUP(B141,'2015'!$B$2:$G$338,6,FALSE)</f>
        <v>0</v>
      </c>
      <c r="G141" s="19">
        <f t="shared" si="4"/>
        <v>0</v>
      </c>
      <c r="H141" s="18">
        <f t="shared" si="5"/>
        <v>112724</v>
      </c>
    </row>
    <row r="142" spans="1:8" x14ac:dyDescent="0.2">
      <c r="A142">
        <v>2023</v>
      </c>
      <c r="B142" s="34">
        <v>5083</v>
      </c>
      <c r="C142" s="9" t="s">
        <v>149</v>
      </c>
      <c r="D142" s="10">
        <v>376088</v>
      </c>
      <c r="E142" s="10">
        <v>376088</v>
      </c>
      <c r="F142" s="11">
        <f>VLOOKUP(B142,'2015'!$B$2:$G$338,6,FALSE)</f>
        <v>0</v>
      </c>
      <c r="G142" s="19">
        <f t="shared" si="4"/>
        <v>0</v>
      </c>
      <c r="H142" s="18">
        <f t="shared" si="5"/>
        <v>376088</v>
      </c>
    </row>
    <row r="143" spans="1:8" x14ac:dyDescent="0.2">
      <c r="A143">
        <v>2023</v>
      </c>
      <c r="B143" s="34">
        <v>5087</v>
      </c>
      <c r="C143" s="9" t="s">
        <v>150</v>
      </c>
      <c r="D143" s="10">
        <v>362284</v>
      </c>
      <c r="E143" s="10">
        <v>362284</v>
      </c>
      <c r="F143" s="11">
        <f>VLOOKUP(B143,'2015'!$B$2:$G$338,6,FALSE)</f>
        <v>0</v>
      </c>
      <c r="G143" s="19">
        <f t="shared" si="4"/>
        <v>0</v>
      </c>
      <c r="H143" s="18">
        <f t="shared" si="5"/>
        <v>362284</v>
      </c>
    </row>
    <row r="144" spans="1:8" x14ac:dyDescent="0.2">
      <c r="A144">
        <v>2023</v>
      </c>
      <c r="B144" s="34">
        <v>5088</v>
      </c>
      <c r="C144" s="9" t="s">
        <v>151</v>
      </c>
      <c r="D144" s="10">
        <v>668026</v>
      </c>
      <c r="E144" s="10">
        <v>668026</v>
      </c>
      <c r="F144" s="11">
        <f>VLOOKUP(B144,'2015'!$B$2:$G$338,6,FALSE)</f>
        <v>0</v>
      </c>
      <c r="G144" s="19">
        <f t="shared" si="4"/>
        <v>0</v>
      </c>
      <c r="H144" s="18">
        <f t="shared" si="5"/>
        <v>668026</v>
      </c>
    </row>
    <row r="145" spans="1:8" x14ac:dyDescent="0.2">
      <c r="A145">
        <v>2023</v>
      </c>
      <c r="B145" s="34">
        <v>5089</v>
      </c>
      <c r="C145" s="9" t="s">
        <v>152</v>
      </c>
      <c r="D145" s="10">
        <v>287516</v>
      </c>
      <c r="E145" s="10">
        <v>287516</v>
      </c>
      <c r="F145" s="11">
        <f>VLOOKUP(B145,'2015'!$B$2:$G$338,6,FALSE)</f>
        <v>0</v>
      </c>
      <c r="G145" s="19">
        <f t="shared" si="4"/>
        <v>0</v>
      </c>
      <c r="H145" s="18">
        <f t="shared" si="5"/>
        <v>287516</v>
      </c>
    </row>
    <row r="146" spans="1:8" x14ac:dyDescent="0.2">
      <c r="A146">
        <v>2023</v>
      </c>
      <c r="B146" s="34">
        <v>5090</v>
      </c>
      <c r="C146" s="9" t="s">
        <v>153</v>
      </c>
      <c r="D146" s="10">
        <v>275133</v>
      </c>
      <c r="E146" s="10">
        <v>275133</v>
      </c>
      <c r="F146" s="11">
        <f>VLOOKUP(B146,'2015'!$B$2:$G$338,6,FALSE)</f>
        <v>0</v>
      </c>
      <c r="G146" s="19">
        <f t="shared" si="4"/>
        <v>0</v>
      </c>
      <c r="H146" s="18">
        <f t="shared" si="5"/>
        <v>275133</v>
      </c>
    </row>
    <row r="147" spans="1:8" x14ac:dyDescent="0.2">
      <c r="A147">
        <v>2023</v>
      </c>
      <c r="B147" s="34">
        <v>5092</v>
      </c>
      <c r="C147" s="9" t="s">
        <v>154</v>
      </c>
      <c r="D147" s="10">
        <v>1294943</v>
      </c>
      <c r="E147" s="10">
        <v>1294943</v>
      </c>
      <c r="F147" s="11">
        <f>VLOOKUP(B147,'2015'!$B$2:$G$338,6,FALSE)</f>
        <v>0</v>
      </c>
      <c r="G147" s="19">
        <f t="shared" si="4"/>
        <v>0</v>
      </c>
      <c r="H147" s="18">
        <f t="shared" si="5"/>
        <v>1294943</v>
      </c>
    </row>
    <row r="148" spans="1:8" x14ac:dyDescent="0.2">
      <c r="A148">
        <v>2023</v>
      </c>
      <c r="B148" s="34">
        <v>5093</v>
      </c>
      <c r="C148" s="9" t="s">
        <v>155</v>
      </c>
      <c r="D148" s="10">
        <v>273740</v>
      </c>
      <c r="E148" s="10">
        <v>273740</v>
      </c>
      <c r="F148" s="11">
        <f>VLOOKUP(B148,'2015'!$B$2:$G$338,6,FALSE)</f>
        <v>0</v>
      </c>
      <c r="G148" s="19">
        <f t="shared" si="4"/>
        <v>0</v>
      </c>
      <c r="H148" s="18">
        <f t="shared" si="5"/>
        <v>273740</v>
      </c>
    </row>
    <row r="149" spans="1:8" x14ac:dyDescent="0.2">
      <c r="A149">
        <v>2023</v>
      </c>
      <c r="B149" s="34">
        <v>5095</v>
      </c>
      <c r="C149" s="9" t="s">
        <v>156</v>
      </c>
      <c r="D149" s="10">
        <v>452077</v>
      </c>
      <c r="E149" s="10">
        <v>452077</v>
      </c>
      <c r="F149" s="11">
        <f>VLOOKUP(B149,'2015'!$B$2:$G$338,6,FALSE)</f>
        <v>0</v>
      </c>
      <c r="G149" s="19">
        <f t="shared" si="4"/>
        <v>0</v>
      </c>
      <c r="H149" s="18">
        <f t="shared" si="5"/>
        <v>452077</v>
      </c>
    </row>
    <row r="150" spans="1:8" x14ac:dyDescent="0.2">
      <c r="A150">
        <v>2023</v>
      </c>
      <c r="B150" s="34">
        <v>5096</v>
      </c>
      <c r="C150" s="9" t="s">
        <v>157</v>
      </c>
      <c r="D150" s="10">
        <v>601217</v>
      </c>
      <c r="E150" s="10">
        <v>601217</v>
      </c>
      <c r="F150" s="11">
        <f>VLOOKUP(B150,'2015'!$B$2:$G$338,6,FALSE)</f>
        <v>0</v>
      </c>
      <c r="G150" s="19">
        <f t="shared" si="4"/>
        <v>0</v>
      </c>
      <c r="H150" s="18">
        <f t="shared" si="5"/>
        <v>601217</v>
      </c>
    </row>
    <row r="151" spans="1:8" x14ac:dyDescent="0.2">
      <c r="A151">
        <v>2023</v>
      </c>
      <c r="B151" s="34">
        <v>5098</v>
      </c>
      <c r="C151" s="9" t="s">
        <v>158</v>
      </c>
      <c r="D151" s="10">
        <v>288274</v>
      </c>
      <c r="E151" s="10">
        <v>288274</v>
      </c>
      <c r="F151" s="11">
        <f>VLOOKUP(B151,'2015'!$B$2:$G$338,6,FALSE)</f>
        <v>0</v>
      </c>
      <c r="G151" s="19">
        <f t="shared" si="4"/>
        <v>0</v>
      </c>
      <c r="H151" s="18">
        <f t="shared" si="5"/>
        <v>288274</v>
      </c>
    </row>
    <row r="152" spans="1:8" x14ac:dyDescent="0.2">
      <c r="A152">
        <v>2023</v>
      </c>
      <c r="B152" s="34">
        <v>5099</v>
      </c>
      <c r="C152" s="9" t="s">
        <v>159</v>
      </c>
      <c r="D152" s="10">
        <v>924208</v>
      </c>
      <c r="E152" s="10">
        <v>924208</v>
      </c>
      <c r="F152" s="11">
        <f>VLOOKUP(B152,'2015'!$B$2:$G$338,6,FALSE)</f>
        <v>0</v>
      </c>
      <c r="G152" s="19">
        <f t="shared" si="4"/>
        <v>0</v>
      </c>
      <c r="H152" s="18">
        <f t="shared" si="5"/>
        <v>924208</v>
      </c>
    </row>
    <row r="153" spans="1:8" x14ac:dyDescent="0.2">
      <c r="A153">
        <v>2023</v>
      </c>
      <c r="B153" s="34">
        <v>5100</v>
      </c>
      <c r="C153" s="9" t="s">
        <v>160</v>
      </c>
      <c r="D153" s="10">
        <v>1017943</v>
      </c>
      <c r="E153" s="10">
        <v>1017943</v>
      </c>
      <c r="F153" s="11">
        <f>VLOOKUP(B153,'2015'!$B$2:$G$338,6,FALSE)</f>
        <v>0</v>
      </c>
      <c r="G153" s="19">
        <f t="shared" si="4"/>
        <v>0</v>
      </c>
      <c r="H153" s="18">
        <f t="shared" si="5"/>
        <v>1017943</v>
      </c>
    </row>
    <row r="154" spans="1:8" x14ac:dyDescent="0.2">
      <c r="A154">
        <v>2023</v>
      </c>
      <c r="B154" s="34">
        <v>5101</v>
      </c>
      <c r="C154" s="9" t="s">
        <v>161</v>
      </c>
      <c r="D154" s="10">
        <v>720091</v>
      </c>
      <c r="E154" s="10">
        <v>720091</v>
      </c>
      <c r="F154" s="11">
        <f>VLOOKUP(B154,'2015'!$B$2:$G$338,6,FALSE)</f>
        <v>0</v>
      </c>
      <c r="G154" s="19">
        <f t="shared" si="4"/>
        <v>0</v>
      </c>
      <c r="H154" s="18">
        <f t="shared" si="5"/>
        <v>720091</v>
      </c>
    </row>
    <row r="155" spans="1:8" x14ac:dyDescent="0.2">
      <c r="A155">
        <v>2023</v>
      </c>
      <c r="B155" s="34">
        <v>5102</v>
      </c>
      <c r="C155" s="9" t="s">
        <v>162</v>
      </c>
      <c r="D155" s="10">
        <v>1561876</v>
      </c>
      <c r="E155" s="10">
        <v>1561876</v>
      </c>
      <c r="F155" s="11">
        <f>VLOOKUP(B155,'2015'!$B$2:$G$338,6,FALSE)</f>
        <v>0</v>
      </c>
      <c r="G155" s="19">
        <f t="shared" si="4"/>
        <v>0</v>
      </c>
      <c r="H155" s="18">
        <f t="shared" si="5"/>
        <v>1561876</v>
      </c>
    </row>
    <row r="156" spans="1:8" x14ac:dyDescent="0.2">
      <c r="A156">
        <v>2023</v>
      </c>
      <c r="B156" s="34">
        <v>5103</v>
      </c>
      <c r="C156" s="9" t="s">
        <v>163</v>
      </c>
      <c r="D156" s="10">
        <v>935718</v>
      </c>
      <c r="E156" s="10">
        <v>935718</v>
      </c>
      <c r="F156" s="11">
        <f>VLOOKUP(B156,'2015'!$B$2:$G$338,6,FALSE)</f>
        <v>0</v>
      </c>
      <c r="G156" s="19">
        <f t="shared" si="4"/>
        <v>0</v>
      </c>
      <c r="H156" s="18">
        <f t="shared" si="5"/>
        <v>935718</v>
      </c>
    </row>
    <row r="157" spans="1:8" x14ac:dyDescent="0.2">
      <c r="A157">
        <v>2023</v>
      </c>
      <c r="B157" s="34">
        <v>5104</v>
      </c>
      <c r="C157" s="9" t="s">
        <v>164</v>
      </c>
      <c r="D157" s="10">
        <v>299231</v>
      </c>
      <c r="E157" s="10">
        <v>299231</v>
      </c>
      <c r="F157" s="11">
        <f>VLOOKUP(B157,'2015'!$B$2:$G$338,6,FALSE)</f>
        <v>0</v>
      </c>
      <c r="G157" s="19">
        <f t="shared" si="4"/>
        <v>0</v>
      </c>
      <c r="H157" s="18">
        <f t="shared" si="5"/>
        <v>299231</v>
      </c>
    </row>
    <row r="158" spans="1:8" x14ac:dyDescent="0.2">
      <c r="A158">
        <v>2023</v>
      </c>
      <c r="B158" s="34">
        <v>5105</v>
      </c>
      <c r="C158" s="9" t="s">
        <v>165</v>
      </c>
      <c r="D158" s="10">
        <v>268934</v>
      </c>
      <c r="E158" s="10">
        <v>268934</v>
      </c>
      <c r="F158" s="11">
        <f>VLOOKUP(B158,'2015'!$B$2:$G$338,6,FALSE)</f>
        <v>0</v>
      </c>
      <c r="G158" s="19">
        <f t="shared" si="4"/>
        <v>0</v>
      </c>
      <c r="H158" s="18">
        <f t="shared" si="5"/>
        <v>268934</v>
      </c>
    </row>
    <row r="159" spans="1:8" x14ac:dyDescent="0.2">
      <c r="A159">
        <v>2023</v>
      </c>
      <c r="B159" s="34">
        <v>5106</v>
      </c>
      <c r="C159" s="9" t="s">
        <v>166</v>
      </c>
      <c r="D159" s="10">
        <v>735667</v>
      </c>
      <c r="E159" s="10">
        <v>735667</v>
      </c>
      <c r="F159" s="11">
        <f>VLOOKUP(B159,'2015'!$B$2:$G$338,6,FALSE)</f>
        <v>0</v>
      </c>
      <c r="G159" s="19">
        <f t="shared" si="4"/>
        <v>0</v>
      </c>
      <c r="H159" s="18">
        <f t="shared" si="5"/>
        <v>735667</v>
      </c>
    </row>
    <row r="160" spans="1:8" x14ac:dyDescent="0.2">
      <c r="A160">
        <v>2023</v>
      </c>
      <c r="B160" s="34">
        <v>5116</v>
      </c>
      <c r="C160" s="9" t="s">
        <v>167</v>
      </c>
      <c r="D160" s="10">
        <v>999085</v>
      </c>
      <c r="E160" s="10">
        <v>999085</v>
      </c>
      <c r="F160" s="11">
        <f>VLOOKUP(B160,'2015'!$B$2:$G$338,6,FALSE)</f>
        <v>0</v>
      </c>
      <c r="G160" s="19">
        <f t="shared" si="4"/>
        <v>0</v>
      </c>
      <c r="H160" s="18">
        <f t="shared" si="5"/>
        <v>999085</v>
      </c>
    </row>
    <row r="161" spans="1:8" x14ac:dyDescent="0.2">
      <c r="A161">
        <v>2023</v>
      </c>
      <c r="B161" s="34">
        <v>5117</v>
      </c>
      <c r="C161" s="9" t="s">
        <v>168</v>
      </c>
      <c r="D161" s="10">
        <v>166678</v>
      </c>
      <c r="E161" s="10">
        <v>166678</v>
      </c>
      <c r="F161" s="11">
        <f>VLOOKUP(B161,'2015'!$B$2:$G$338,6,FALSE)</f>
        <v>0</v>
      </c>
      <c r="G161" s="19">
        <f t="shared" si="4"/>
        <v>0</v>
      </c>
      <c r="H161" s="18">
        <f t="shared" si="5"/>
        <v>166678</v>
      </c>
    </row>
    <row r="162" spans="1:8" x14ac:dyDescent="0.2">
      <c r="A162">
        <v>2023</v>
      </c>
      <c r="B162" s="34">
        <v>5118</v>
      </c>
      <c r="C162" s="9" t="s">
        <v>169</v>
      </c>
      <c r="D162" s="10">
        <v>1365863</v>
      </c>
      <c r="E162" s="10">
        <v>1365863</v>
      </c>
      <c r="F162" s="11">
        <f>VLOOKUP(B162,'2015'!$B$2:$G$338,6,FALSE)</f>
        <v>0</v>
      </c>
      <c r="G162" s="19">
        <f t="shared" si="4"/>
        <v>0</v>
      </c>
      <c r="H162" s="18">
        <f t="shared" si="5"/>
        <v>1365863</v>
      </c>
    </row>
    <row r="163" spans="1:8" x14ac:dyDescent="0.2">
      <c r="A163">
        <v>2023</v>
      </c>
      <c r="B163" s="34">
        <v>5119</v>
      </c>
      <c r="C163" s="9" t="s">
        <v>170</v>
      </c>
      <c r="D163" s="10">
        <v>309098</v>
      </c>
      <c r="E163" s="10">
        <v>309098</v>
      </c>
      <c r="F163" s="11">
        <f>VLOOKUP(B163,'2015'!$B$2:$G$338,6,FALSE)</f>
        <v>0</v>
      </c>
      <c r="G163" s="19">
        <f t="shared" si="4"/>
        <v>0</v>
      </c>
      <c r="H163" s="18">
        <f t="shared" si="5"/>
        <v>309098</v>
      </c>
    </row>
    <row r="164" spans="1:8" x14ac:dyDescent="0.2">
      <c r="A164">
        <v>2023</v>
      </c>
      <c r="B164" s="34">
        <v>5120</v>
      </c>
      <c r="C164" s="9" t="s">
        <v>171</v>
      </c>
      <c r="D164" s="10">
        <v>6222540</v>
      </c>
      <c r="E164" s="10">
        <v>6222540</v>
      </c>
      <c r="F164" s="11">
        <f>VLOOKUP(B164,'2015'!$B$2:$G$338,6,FALSE)</f>
        <v>0</v>
      </c>
      <c r="G164" s="19">
        <f t="shared" si="4"/>
        <v>0</v>
      </c>
      <c r="H164" s="18">
        <f t="shared" si="5"/>
        <v>6222540</v>
      </c>
    </row>
    <row r="165" spans="1:8" x14ac:dyDescent="0.2">
      <c r="A165">
        <v>2023</v>
      </c>
      <c r="B165" s="34">
        <v>5122</v>
      </c>
      <c r="C165" s="9" t="s">
        <v>172</v>
      </c>
      <c r="D165" s="10">
        <v>254856</v>
      </c>
      <c r="E165" s="10">
        <v>254856</v>
      </c>
      <c r="F165" s="11">
        <f>VLOOKUP(B165,'2015'!$B$2:$G$338,6,FALSE)</f>
        <v>0</v>
      </c>
      <c r="G165" s="19">
        <f t="shared" si="4"/>
        <v>0</v>
      </c>
      <c r="H165" s="18">
        <f t="shared" si="5"/>
        <v>254856</v>
      </c>
    </row>
    <row r="166" spans="1:8" x14ac:dyDescent="0.2">
      <c r="A166">
        <v>2023</v>
      </c>
      <c r="B166" s="34">
        <v>5123</v>
      </c>
      <c r="C166" s="9" t="s">
        <v>173</v>
      </c>
      <c r="D166" s="10">
        <v>260861</v>
      </c>
      <c r="E166" s="10">
        <v>260861</v>
      </c>
      <c r="F166" s="11">
        <f>VLOOKUP(B166,'2015'!$B$2:$G$338,6,FALSE)</f>
        <v>0</v>
      </c>
      <c r="G166" s="19">
        <f t="shared" si="4"/>
        <v>0</v>
      </c>
      <c r="H166" s="18">
        <f t="shared" si="5"/>
        <v>260861</v>
      </c>
    </row>
    <row r="167" spans="1:8" x14ac:dyDescent="0.2">
      <c r="A167">
        <v>2023</v>
      </c>
      <c r="B167" s="34">
        <v>5125</v>
      </c>
      <c r="C167" s="9" t="s">
        <v>174</v>
      </c>
      <c r="D167" s="10">
        <v>1823995</v>
      </c>
      <c r="E167" s="10">
        <v>1823995</v>
      </c>
      <c r="F167" s="11">
        <f>VLOOKUP(B167,'2015'!$B$2:$G$338,6,FALSE)</f>
        <v>0</v>
      </c>
      <c r="G167" s="19">
        <f t="shared" si="4"/>
        <v>0</v>
      </c>
      <c r="H167" s="18">
        <f t="shared" si="5"/>
        <v>1823995</v>
      </c>
    </row>
    <row r="168" spans="1:8" x14ac:dyDescent="0.2">
      <c r="A168">
        <v>2023</v>
      </c>
      <c r="B168" s="34">
        <v>5127</v>
      </c>
      <c r="C168" s="9" t="s">
        <v>175</v>
      </c>
      <c r="D168" s="10">
        <v>229056</v>
      </c>
      <c r="E168" s="10">
        <v>229056</v>
      </c>
      <c r="F168" s="11">
        <f>VLOOKUP(B168,'2015'!$B$2:$G$338,6,FALSE)</f>
        <v>0</v>
      </c>
      <c r="G168" s="19">
        <f t="shared" si="4"/>
        <v>0</v>
      </c>
      <c r="H168" s="18">
        <f t="shared" si="5"/>
        <v>229056</v>
      </c>
    </row>
    <row r="169" spans="1:8" x14ac:dyDescent="0.2">
      <c r="A169">
        <v>2023</v>
      </c>
      <c r="B169" s="34">
        <v>5128</v>
      </c>
      <c r="C169" s="9" t="s">
        <v>176</v>
      </c>
      <c r="D169" s="10">
        <v>363949</v>
      </c>
      <c r="E169" s="10">
        <v>363949</v>
      </c>
      <c r="F169" s="11">
        <f>VLOOKUP(B169,'2015'!$B$2:$G$338,6,FALSE)</f>
        <v>0</v>
      </c>
      <c r="G169" s="19">
        <f t="shared" si="4"/>
        <v>0</v>
      </c>
      <c r="H169" s="18">
        <f t="shared" si="5"/>
        <v>363949</v>
      </c>
    </row>
    <row r="170" spans="1:8" x14ac:dyDescent="0.2">
      <c r="A170">
        <v>2023</v>
      </c>
      <c r="B170" s="34">
        <v>5129</v>
      </c>
      <c r="C170" s="9" t="s">
        <v>177</v>
      </c>
      <c r="D170" s="10">
        <v>852433</v>
      </c>
      <c r="E170" s="10">
        <v>852433</v>
      </c>
      <c r="F170" s="11">
        <f>VLOOKUP(B170,'2015'!$B$2:$G$338,6,FALSE)</f>
        <v>0</v>
      </c>
      <c r="G170" s="19">
        <f t="shared" si="4"/>
        <v>0</v>
      </c>
      <c r="H170" s="18">
        <f t="shared" si="5"/>
        <v>852433</v>
      </c>
    </row>
    <row r="171" spans="1:8" x14ac:dyDescent="0.2">
      <c r="A171">
        <v>2023</v>
      </c>
      <c r="B171" s="34">
        <v>5130</v>
      </c>
      <c r="C171" s="9" t="s">
        <v>178</v>
      </c>
      <c r="D171" s="10">
        <v>696948</v>
      </c>
      <c r="E171" s="10">
        <v>696948</v>
      </c>
      <c r="F171" s="11">
        <f>VLOOKUP(B171,'2015'!$B$2:$G$338,6,FALSE)</f>
        <v>0</v>
      </c>
      <c r="G171" s="19">
        <f t="shared" si="4"/>
        <v>0</v>
      </c>
      <c r="H171" s="18">
        <f t="shared" si="5"/>
        <v>696948</v>
      </c>
    </row>
    <row r="172" spans="1:8" x14ac:dyDescent="0.2">
      <c r="A172">
        <v>2023</v>
      </c>
      <c r="B172" s="34">
        <v>5131</v>
      </c>
      <c r="C172" s="9" t="s">
        <v>179</v>
      </c>
      <c r="D172" s="10">
        <v>822641</v>
      </c>
      <c r="E172" s="10">
        <v>822641</v>
      </c>
      <c r="F172" s="11">
        <f>VLOOKUP(B172,'2015'!$B$2:$G$338,6,FALSE)</f>
        <v>0</v>
      </c>
      <c r="G172" s="19">
        <f t="shared" si="4"/>
        <v>0</v>
      </c>
      <c r="H172" s="18">
        <f t="shared" si="5"/>
        <v>822641</v>
      </c>
    </row>
    <row r="173" spans="1:8" x14ac:dyDescent="0.2">
      <c r="A173">
        <v>2023</v>
      </c>
      <c r="B173" s="34">
        <v>5132</v>
      </c>
      <c r="C173" s="9" t="s">
        <v>180</v>
      </c>
      <c r="D173" s="10">
        <v>3173536</v>
      </c>
      <c r="E173" s="10">
        <v>3173536</v>
      </c>
      <c r="F173" s="11">
        <f>VLOOKUP(B173,'2015'!$B$2:$G$338,6,FALSE)</f>
        <v>0</v>
      </c>
      <c r="G173" s="19">
        <f t="shared" si="4"/>
        <v>0</v>
      </c>
      <c r="H173" s="18">
        <f t="shared" si="5"/>
        <v>3173536</v>
      </c>
    </row>
    <row r="174" spans="1:8" x14ac:dyDescent="0.2">
      <c r="A174">
        <v>2023</v>
      </c>
      <c r="B174" s="34">
        <v>5133</v>
      </c>
      <c r="C174" s="9" t="s">
        <v>181</v>
      </c>
      <c r="D174" s="10">
        <v>311482</v>
      </c>
      <c r="E174" s="10">
        <v>311482</v>
      </c>
      <c r="F174" s="11">
        <f>VLOOKUP(B174,'2015'!$B$2:$G$338,6,FALSE)</f>
        <v>0</v>
      </c>
      <c r="G174" s="19">
        <f t="shared" si="4"/>
        <v>0</v>
      </c>
      <c r="H174" s="18">
        <f t="shared" si="5"/>
        <v>311482</v>
      </c>
    </row>
    <row r="175" spans="1:8" x14ac:dyDescent="0.2">
      <c r="A175">
        <v>2023</v>
      </c>
      <c r="B175" s="34">
        <v>5134</v>
      </c>
      <c r="C175" s="9" t="s">
        <v>182</v>
      </c>
      <c r="D175" s="10">
        <v>336620</v>
      </c>
      <c r="E175" s="10">
        <v>336620</v>
      </c>
      <c r="F175" s="11">
        <f>VLOOKUP(B175,'2015'!$B$2:$G$338,6,FALSE)</f>
        <v>0</v>
      </c>
      <c r="G175" s="19">
        <f t="shared" si="4"/>
        <v>0</v>
      </c>
      <c r="H175" s="18">
        <f t="shared" si="5"/>
        <v>336620</v>
      </c>
    </row>
    <row r="176" spans="1:8" x14ac:dyDescent="0.2">
      <c r="A176">
        <v>2023</v>
      </c>
      <c r="B176" s="34">
        <v>5135</v>
      </c>
      <c r="C176" s="9" t="s">
        <v>183</v>
      </c>
      <c r="D176" s="10">
        <v>1548608</v>
      </c>
      <c r="E176" s="10">
        <v>1548608</v>
      </c>
      <c r="F176" s="11">
        <f>VLOOKUP(B176,'2015'!$B$2:$G$338,6,FALSE)</f>
        <v>0</v>
      </c>
      <c r="G176" s="19">
        <f t="shared" si="4"/>
        <v>0</v>
      </c>
      <c r="H176" s="18">
        <f t="shared" si="5"/>
        <v>1548608</v>
      </c>
    </row>
    <row r="177" spans="1:8" x14ac:dyDescent="0.2">
      <c r="A177">
        <v>2023</v>
      </c>
      <c r="B177" s="34">
        <v>5137</v>
      </c>
      <c r="C177" s="9" t="s">
        <v>184</v>
      </c>
      <c r="D177" s="10">
        <v>238462</v>
      </c>
      <c r="E177" s="10">
        <v>238462</v>
      </c>
      <c r="F177" s="11">
        <f>VLOOKUP(B177,'2015'!$B$2:$G$338,6,FALSE)</f>
        <v>0</v>
      </c>
      <c r="G177" s="19">
        <f t="shared" si="4"/>
        <v>0</v>
      </c>
      <c r="H177" s="18">
        <f t="shared" si="5"/>
        <v>238462</v>
      </c>
    </row>
    <row r="178" spans="1:8" x14ac:dyDescent="0.2">
      <c r="A178">
        <v>2023</v>
      </c>
      <c r="B178" s="34">
        <v>5138</v>
      </c>
      <c r="C178" s="9" t="s">
        <v>185</v>
      </c>
      <c r="D178" s="10">
        <v>256012</v>
      </c>
      <c r="E178" s="10">
        <v>256012</v>
      </c>
      <c r="F178" s="11">
        <f>VLOOKUP(B178,'2015'!$B$2:$G$338,6,FALSE)</f>
        <v>0</v>
      </c>
      <c r="G178" s="19">
        <f t="shared" si="4"/>
        <v>0</v>
      </c>
      <c r="H178" s="18">
        <f t="shared" si="5"/>
        <v>256012</v>
      </c>
    </row>
    <row r="179" spans="1:8" x14ac:dyDescent="0.2">
      <c r="A179">
        <v>2023</v>
      </c>
      <c r="B179" s="34">
        <v>5140</v>
      </c>
      <c r="C179" s="9" t="s">
        <v>186</v>
      </c>
      <c r="D179" s="10">
        <v>352680</v>
      </c>
      <c r="E179" s="10">
        <v>352680</v>
      </c>
      <c r="F179" s="11">
        <f>VLOOKUP(B179,'2015'!$B$2:$G$338,6,FALSE)</f>
        <v>0</v>
      </c>
      <c r="G179" s="19">
        <f t="shared" si="4"/>
        <v>0</v>
      </c>
      <c r="H179" s="18">
        <f t="shared" si="5"/>
        <v>352680</v>
      </c>
    </row>
    <row r="180" spans="1:8" x14ac:dyDescent="0.2">
      <c r="A180">
        <v>2023</v>
      </c>
      <c r="B180" s="34">
        <v>5141</v>
      </c>
      <c r="C180" s="9" t="s">
        <v>187</v>
      </c>
      <c r="D180" s="10">
        <v>389576</v>
      </c>
      <c r="E180" s="10">
        <v>389576</v>
      </c>
      <c r="F180" s="11">
        <f>VLOOKUP(B180,'2015'!$B$2:$G$338,6,FALSE)</f>
        <v>0</v>
      </c>
      <c r="G180" s="19">
        <f t="shared" si="4"/>
        <v>0</v>
      </c>
      <c r="H180" s="18">
        <f t="shared" si="5"/>
        <v>389576</v>
      </c>
    </row>
    <row r="181" spans="1:8" x14ac:dyDescent="0.2">
      <c r="A181">
        <v>2023</v>
      </c>
      <c r="B181" s="34">
        <v>5142</v>
      </c>
      <c r="C181" s="9" t="s">
        <v>188</v>
      </c>
      <c r="D181" s="10">
        <v>103302</v>
      </c>
      <c r="E181" s="10">
        <v>103302</v>
      </c>
      <c r="F181" s="11">
        <f>VLOOKUP(B181,'2015'!$B$2:$G$338,6,FALSE)</f>
        <v>0</v>
      </c>
      <c r="G181" s="19">
        <f t="shared" si="4"/>
        <v>0</v>
      </c>
      <c r="H181" s="18">
        <f t="shared" si="5"/>
        <v>103302</v>
      </c>
    </row>
    <row r="182" spans="1:8" x14ac:dyDescent="0.2">
      <c r="A182">
        <v>2023</v>
      </c>
      <c r="B182" s="34">
        <v>5143</v>
      </c>
      <c r="C182" s="9" t="s">
        <v>189</v>
      </c>
      <c r="D182" s="10">
        <v>581171</v>
      </c>
      <c r="E182" s="10">
        <v>581171</v>
      </c>
      <c r="F182" s="11">
        <f>VLOOKUP(B182,'2015'!$B$2:$G$338,6,FALSE)</f>
        <v>0</v>
      </c>
      <c r="G182" s="19">
        <f t="shared" si="4"/>
        <v>0</v>
      </c>
      <c r="H182" s="18">
        <f t="shared" si="5"/>
        <v>581171</v>
      </c>
    </row>
    <row r="183" spans="1:8" x14ac:dyDescent="0.2">
      <c r="A183">
        <v>2023</v>
      </c>
      <c r="B183" s="34">
        <v>5144</v>
      </c>
      <c r="C183" s="9" t="s">
        <v>190</v>
      </c>
      <c r="D183" s="10">
        <v>271410</v>
      </c>
      <c r="E183" s="10">
        <v>271410</v>
      </c>
      <c r="F183" s="11">
        <f>VLOOKUP(B183,'2015'!$B$2:$G$338,6,FALSE)</f>
        <v>0</v>
      </c>
      <c r="G183" s="19">
        <f t="shared" si="4"/>
        <v>0</v>
      </c>
      <c r="H183" s="18">
        <f t="shared" si="5"/>
        <v>271410</v>
      </c>
    </row>
    <row r="184" spans="1:8" x14ac:dyDescent="0.2">
      <c r="A184">
        <v>2023</v>
      </c>
      <c r="B184" s="34">
        <v>5145</v>
      </c>
      <c r="C184" s="9" t="s">
        <v>191</v>
      </c>
      <c r="D184" s="10">
        <v>271467</v>
      </c>
      <c r="E184" s="10">
        <v>271467</v>
      </c>
      <c r="F184" s="11">
        <f>VLOOKUP(B184,'2015'!$B$2:$G$338,6,FALSE)</f>
        <v>0</v>
      </c>
      <c r="G184" s="19">
        <f t="shared" si="4"/>
        <v>0</v>
      </c>
      <c r="H184" s="18">
        <f t="shared" si="5"/>
        <v>271467</v>
      </c>
    </row>
    <row r="185" spans="1:8" x14ac:dyDescent="0.2">
      <c r="A185">
        <v>2023</v>
      </c>
      <c r="B185" s="34">
        <v>5147</v>
      </c>
      <c r="C185" s="9" t="s">
        <v>192</v>
      </c>
      <c r="D185" s="10">
        <v>6832862</v>
      </c>
      <c r="E185" s="10">
        <v>6832862</v>
      </c>
      <c r="F185" s="11">
        <f>VLOOKUP(B185,'2015'!$B$2:$G$338,6,FALSE)</f>
        <v>0</v>
      </c>
      <c r="G185" s="19">
        <f t="shared" si="4"/>
        <v>0</v>
      </c>
      <c r="H185" s="18">
        <f t="shared" si="5"/>
        <v>6832862</v>
      </c>
    </row>
    <row r="186" spans="1:8" x14ac:dyDescent="0.2">
      <c r="A186">
        <v>2023</v>
      </c>
      <c r="B186" s="34">
        <v>5148</v>
      </c>
      <c r="C186" s="9" t="s">
        <v>193</v>
      </c>
      <c r="D186" s="10">
        <v>598972</v>
      </c>
      <c r="E186" s="10">
        <v>598972</v>
      </c>
      <c r="F186" s="11">
        <f>VLOOKUP(B186,'2015'!$B$2:$G$338,6,FALSE)</f>
        <v>0</v>
      </c>
      <c r="G186" s="19">
        <f t="shared" si="4"/>
        <v>0</v>
      </c>
      <c r="H186" s="18">
        <f t="shared" si="5"/>
        <v>598972</v>
      </c>
    </row>
    <row r="187" spans="1:8" x14ac:dyDescent="0.2">
      <c r="A187">
        <v>2023</v>
      </c>
      <c r="B187" s="34">
        <v>5149</v>
      </c>
      <c r="C187" s="9" t="s">
        <v>194</v>
      </c>
      <c r="D187" s="10">
        <v>1184985</v>
      </c>
      <c r="E187" s="10">
        <v>1184985</v>
      </c>
      <c r="F187" s="11">
        <f>VLOOKUP(B187,'2015'!$B$2:$G$338,6,FALSE)</f>
        <v>0</v>
      </c>
      <c r="G187" s="19">
        <f t="shared" si="4"/>
        <v>0</v>
      </c>
      <c r="H187" s="18">
        <f t="shared" si="5"/>
        <v>1184985</v>
      </c>
    </row>
    <row r="188" spans="1:8" x14ac:dyDescent="0.2">
      <c r="A188">
        <v>2023</v>
      </c>
      <c r="B188" s="34">
        <v>5077</v>
      </c>
      <c r="C188" s="9" t="s">
        <v>195</v>
      </c>
      <c r="D188" s="10">
        <v>452987</v>
      </c>
      <c r="E188" s="10">
        <v>452897</v>
      </c>
      <c r="F188" s="11">
        <f>VLOOKUP(B188,'2015'!$B$2:$G$338,6,FALSE)</f>
        <v>0</v>
      </c>
      <c r="G188" s="19">
        <f t="shared" si="4"/>
        <v>0</v>
      </c>
      <c r="H188" s="18">
        <f t="shared" si="5"/>
        <v>452987</v>
      </c>
    </row>
    <row r="189" spans="1:8" x14ac:dyDescent="0.2">
      <c r="A189">
        <v>2023</v>
      </c>
      <c r="B189" s="34">
        <v>5151</v>
      </c>
      <c r="C189" s="9" t="s">
        <v>196</v>
      </c>
      <c r="D189" s="10">
        <v>401055</v>
      </c>
      <c r="E189" s="10">
        <v>401055</v>
      </c>
      <c r="F189" s="11">
        <f>VLOOKUP(B189,'2015'!$B$2:$G$338,6,FALSE)</f>
        <v>0</v>
      </c>
      <c r="G189" s="19">
        <f t="shared" si="4"/>
        <v>0</v>
      </c>
      <c r="H189" s="18">
        <f t="shared" si="5"/>
        <v>401055</v>
      </c>
    </row>
    <row r="190" spans="1:8" x14ac:dyDescent="0.2">
      <c r="A190">
        <v>2023</v>
      </c>
      <c r="B190" s="34">
        <v>5152</v>
      </c>
      <c r="C190" s="9" t="s">
        <v>197</v>
      </c>
      <c r="D190" s="10">
        <v>739422</v>
      </c>
      <c r="E190" s="10">
        <v>739422</v>
      </c>
      <c r="F190" s="11">
        <f>VLOOKUP(B190,'2015'!$B$2:$G$338,6,FALSE)</f>
        <v>0</v>
      </c>
      <c r="G190" s="19">
        <f t="shared" si="4"/>
        <v>0</v>
      </c>
      <c r="H190" s="18">
        <f t="shared" si="5"/>
        <v>739422</v>
      </c>
    </row>
    <row r="191" spans="1:8" x14ac:dyDescent="0.2">
      <c r="A191">
        <v>2023</v>
      </c>
      <c r="B191" s="34">
        <v>5153</v>
      </c>
      <c r="C191" s="9" t="s">
        <v>198</v>
      </c>
      <c r="D191" s="10">
        <v>138056</v>
      </c>
      <c r="E191" s="10">
        <v>138056</v>
      </c>
      <c r="F191" s="11">
        <f>VLOOKUP(B191,'2015'!$B$2:$G$338,6,FALSE)</f>
        <v>0</v>
      </c>
      <c r="G191" s="19">
        <f t="shared" si="4"/>
        <v>0</v>
      </c>
      <c r="H191" s="18">
        <f t="shared" si="5"/>
        <v>138056</v>
      </c>
    </row>
    <row r="192" spans="1:8" x14ac:dyDescent="0.2">
      <c r="A192">
        <v>2023</v>
      </c>
      <c r="B192" s="34">
        <v>5154</v>
      </c>
      <c r="C192" s="9" t="s">
        <v>199</v>
      </c>
      <c r="D192" s="10">
        <v>232697</v>
      </c>
      <c r="E192" s="10">
        <v>232697</v>
      </c>
      <c r="F192" s="11">
        <f>VLOOKUP(B192,'2015'!$B$2:$G$338,6,FALSE)</f>
        <v>0</v>
      </c>
      <c r="G192" s="19">
        <f t="shared" si="4"/>
        <v>0</v>
      </c>
      <c r="H192" s="18">
        <f t="shared" si="5"/>
        <v>232697</v>
      </c>
    </row>
    <row r="193" spans="1:8" x14ac:dyDescent="0.2">
      <c r="A193">
        <v>2023</v>
      </c>
      <c r="B193" s="34">
        <v>5155</v>
      </c>
      <c r="C193" s="9" t="s">
        <v>200</v>
      </c>
      <c r="D193" s="10">
        <v>286091</v>
      </c>
      <c r="E193" s="10">
        <v>286091</v>
      </c>
      <c r="F193" s="11">
        <f>VLOOKUP(B193,'2015'!$B$2:$G$338,6,FALSE)</f>
        <v>0</v>
      </c>
      <c r="G193" s="19">
        <f t="shared" si="4"/>
        <v>0</v>
      </c>
      <c r="H193" s="18">
        <f t="shared" si="5"/>
        <v>286091</v>
      </c>
    </row>
    <row r="194" spans="1:8" x14ac:dyDescent="0.2">
      <c r="A194">
        <v>2023</v>
      </c>
      <c r="B194" s="34">
        <v>5156</v>
      </c>
      <c r="C194" s="9" t="s">
        <v>201</v>
      </c>
      <c r="D194" s="10">
        <v>792426</v>
      </c>
      <c r="E194" s="10">
        <v>792426</v>
      </c>
      <c r="F194" s="11">
        <f>VLOOKUP(B194,'2015'!$B$2:$G$338,6,FALSE)</f>
        <v>0</v>
      </c>
      <c r="G194" s="19">
        <f t="shared" si="4"/>
        <v>0</v>
      </c>
      <c r="H194" s="18">
        <f t="shared" si="5"/>
        <v>792426</v>
      </c>
    </row>
    <row r="195" spans="1:8" x14ac:dyDescent="0.2">
      <c r="A195">
        <v>2023</v>
      </c>
      <c r="B195" s="34">
        <v>5157</v>
      </c>
      <c r="C195" s="9" t="s">
        <v>202</v>
      </c>
      <c r="D195" s="10">
        <v>150444</v>
      </c>
      <c r="E195" s="10">
        <v>150444</v>
      </c>
      <c r="F195" s="11">
        <f>VLOOKUP(B195,'2015'!$B$2:$G$338,6,FALSE)</f>
        <v>0</v>
      </c>
      <c r="G195" s="19">
        <f t="shared" ref="G195:G258" si="6">F195*$D$341</f>
        <v>0</v>
      </c>
      <c r="H195" s="18">
        <f t="shared" ref="H195:H258" si="7">SUM(G195,D195)</f>
        <v>150444</v>
      </c>
    </row>
    <row r="196" spans="1:8" x14ac:dyDescent="0.2">
      <c r="A196">
        <v>2023</v>
      </c>
      <c r="B196" s="34">
        <v>5158</v>
      </c>
      <c r="C196" s="9" t="s">
        <v>203</v>
      </c>
      <c r="D196" s="10">
        <v>848376</v>
      </c>
      <c r="E196" s="10">
        <v>848376</v>
      </c>
      <c r="F196" s="11">
        <f>VLOOKUP(B196,'2015'!$B$2:$G$338,6,FALSE)</f>
        <v>0</v>
      </c>
      <c r="G196" s="19">
        <f t="shared" si="6"/>
        <v>0</v>
      </c>
      <c r="H196" s="18">
        <f t="shared" si="7"/>
        <v>848376</v>
      </c>
    </row>
    <row r="197" spans="1:8" x14ac:dyDescent="0.2">
      <c r="A197">
        <v>2023</v>
      </c>
      <c r="B197" s="34">
        <v>5159</v>
      </c>
      <c r="C197" s="9" t="s">
        <v>204</v>
      </c>
      <c r="D197" s="10">
        <v>1384249</v>
      </c>
      <c r="E197" s="10">
        <v>1384249</v>
      </c>
      <c r="F197" s="11">
        <f>VLOOKUP(B197,'2015'!$B$2:$G$338,6,FALSE)</f>
        <v>0</v>
      </c>
      <c r="G197" s="19">
        <f t="shared" si="6"/>
        <v>0</v>
      </c>
      <c r="H197" s="18">
        <f t="shared" si="7"/>
        <v>1384249</v>
      </c>
    </row>
    <row r="198" spans="1:8" x14ac:dyDescent="0.2">
      <c r="A198">
        <v>2023</v>
      </c>
      <c r="B198" s="34">
        <v>5160</v>
      </c>
      <c r="C198" s="9" t="s">
        <v>205</v>
      </c>
      <c r="D198" s="10">
        <v>342543</v>
      </c>
      <c r="E198" s="10">
        <v>342543</v>
      </c>
      <c r="F198" s="11">
        <f>VLOOKUP(B198,'2015'!$B$2:$G$338,6,FALSE)</f>
        <v>0</v>
      </c>
      <c r="G198" s="19">
        <f t="shared" si="6"/>
        <v>0</v>
      </c>
      <c r="H198" s="18">
        <f t="shared" si="7"/>
        <v>342543</v>
      </c>
    </row>
    <row r="199" spans="1:8" x14ac:dyDescent="0.2">
      <c r="A199">
        <v>2023</v>
      </c>
      <c r="B199" s="34">
        <v>5161</v>
      </c>
      <c r="C199" s="9" t="s">
        <v>206</v>
      </c>
      <c r="D199" s="10">
        <v>420579</v>
      </c>
      <c r="E199" s="10">
        <v>420579</v>
      </c>
      <c r="F199" s="11">
        <f>VLOOKUP(B199,'2015'!$B$2:$G$338,6,FALSE)</f>
        <v>0</v>
      </c>
      <c r="G199" s="19">
        <f t="shared" si="6"/>
        <v>0</v>
      </c>
      <c r="H199" s="18">
        <f t="shared" si="7"/>
        <v>420579</v>
      </c>
    </row>
    <row r="200" spans="1:8" x14ac:dyDescent="0.2">
      <c r="A200">
        <v>2023</v>
      </c>
      <c r="B200" s="34">
        <v>5162</v>
      </c>
      <c r="C200" s="9" t="s">
        <v>207</v>
      </c>
      <c r="D200" s="10">
        <v>433650</v>
      </c>
      <c r="E200" s="10">
        <v>433650</v>
      </c>
      <c r="F200" s="11">
        <f>VLOOKUP(B200,'2015'!$B$2:$G$338,6,FALSE)</f>
        <v>0</v>
      </c>
      <c r="G200" s="19">
        <f t="shared" si="6"/>
        <v>0</v>
      </c>
      <c r="H200" s="18">
        <f t="shared" si="7"/>
        <v>433650</v>
      </c>
    </row>
    <row r="201" spans="1:8" x14ac:dyDescent="0.2">
      <c r="A201">
        <v>2023</v>
      </c>
      <c r="B201" s="34">
        <v>5163</v>
      </c>
      <c r="C201" s="9" t="s">
        <v>208</v>
      </c>
      <c r="D201" s="10">
        <v>377290</v>
      </c>
      <c r="E201" s="10">
        <v>377290</v>
      </c>
      <c r="F201" s="11">
        <f>VLOOKUP(B201,'2015'!$B$2:$G$338,6,FALSE)</f>
        <v>0</v>
      </c>
      <c r="G201" s="19">
        <f t="shared" si="6"/>
        <v>0</v>
      </c>
      <c r="H201" s="18">
        <f t="shared" si="7"/>
        <v>377290</v>
      </c>
    </row>
    <row r="202" spans="1:8" x14ac:dyDescent="0.2">
      <c r="A202">
        <v>2023</v>
      </c>
      <c r="B202" s="34">
        <v>5164</v>
      </c>
      <c r="C202" s="9" t="s">
        <v>209</v>
      </c>
      <c r="D202" s="10">
        <v>402147</v>
      </c>
      <c r="E202" s="10">
        <v>402147</v>
      </c>
      <c r="F202" s="11">
        <f>VLOOKUP(B202,'2015'!$B$2:$G$338,6,FALSE)</f>
        <v>0</v>
      </c>
      <c r="G202" s="19">
        <f t="shared" si="6"/>
        <v>0</v>
      </c>
      <c r="H202" s="18">
        <f t="shared" si="7"/>
        <v>402147</v>
      </c>
    </row>
    <row r="203" spans="1:8" x14ac:dyDescent="0.2">
      <c r="A203">
        <v>2023</v>
      </c>
      <c r="B203" s="34">
        <v>5166</v>
      </c>
      <c r="C203" s="9" t="s">
        <v>210</v>
      </c>
      <c r="D203" s="10">
        <v>259222</v>
      </c>
      <c r="E203" s="10">
        <v>259222</v>
      </c>
      <c r="F203" s="11">
        <f>VLOOKUP(B203,'2015'!$B$2:$G$338,6,FALSE)</f>
        <v>0</v>
      </c>
      <c r="G203" s="19">
        <f t="shared" si="6"/>
        <v>0</v>
      </c>
      <c r="H203" s="18">
        <f t="shared" si="7"/>
        <v>259222</v>
      </c>
    </row>
    <row r="204" spans="1:8" x14ac:dyDescent="0.2">
      <c r="A204">
        <v>2023</v>
      </c>
      <c r="B204" s="34">
        <v>5167</v>
      </c>
      <c r="C204" s="9" t="s">
        <v>211</v>
      </c>
      <c r="D204" s="10">
        <v>599371</v>
      </c>
      <c r="E204" s="10">
        <v>599371</v>
      </c>
      <c r="F204" s="11">
        <f>VLOOKUP(B204,'2015'!$B$2:$G$338,6,FALSE)</f>
        <v>0</v>
      </c>
      <c r="G204" s="19">
        <f t="shared" si="6"/>
        <v>0</v>
      </c>
      <c r="H204" s="18">
        <f t="shared" si="7"/>
        <v>599371</v>
      </c>
    </row>
    <row r="205" spans="1:8" x14ac:dyDescent="0.2">
      <c r="A205">
        <v>2023</v>
      </c>
      <c r="B205" s="34">
        <v>5168</v>
      </c>
      <c r="C205" s="9" t="s">
        <v>212</v>
      </c>
      <c r="D205" s="10">
        <v>685435</v>
      </c>
      <c r="E205" s="10">
        <v>685435</v>
      </c>
      <c r="F205" s="11">
        <f>VLOOKUP(B205,'2015'!$B$2:$G$338,6,FALSE)</f>
        <v>0</v>
      </c>
      <c r="G205" s="19">
        <f t="shared" si="6"/>
        <v>0</v>
      </c>
      <c r="H205" s="18">
        <f t="shared" si="7"/>
        <v>685435</v>
      </c>
    </row>
    <row r="206" spans="1:8" x14ac:dyDescent="0.2">
      <c r="A206">
        <v>2023</v>
      </c>
      <c r="B206" s="34">
        <v>5171</v>
      </c>
      <c r="C206" s="9" t="s">
        <v>213</v>
      </c>
      <c r="D206" s="10">
        <v>284283</v>
      </c>
      <c r="E206" s="10">
        <v>284283</v>
      </c>
      <c r="F206" s="11">
        <f>VLOOKUP(B206,'2015'!$B$2:$G$338,6,FALSE)</f>
        <v>0</v>
      </c>
      <c r="G206" s="19">
        <f t="shared" si="6"/>
        <v>0</v>
      </c>
      <c r="H206" s="18">
        <f t="shared" si="7"/>
        <v>284283</v>
      </c>
    </row>
    <row r="207" spans="1:8" x14ac:dyDescent="0.2">
      <c r="A207">
        <v>2023</v>
      </c>
      <c r="B207" s="34">
        <v>5172</v>
      </c>
      <c r="C207" s="9" t="s">
        <v>214</v>
      </c>
      <c r="D207" s="10">
        <v>755712</v>
      </c>
      <c r="E207" s="10">
        <v>755712</v>
      </c>
      <c r="F207" s="11">
        <f>VLOOKUP(B207,'2015'!$B$2:$G$338,6,FALSE)</f>
        <v>0</v>
      </c>
      <c r="G207" s="19">
        <f t="shared" si="6"/>
        <v>0</v>
      </c>
      <c r="H207" s="18">
        <f t="shared" si="7"/>
        <v>755712</v>
      </c>
    </row>
    <row r="208" spans="1:8" x14ac:dyDescent="0.2">
      <c r="A208">
        <v>2023</v>
      </c>
      <c r="B208" s="34">
        <v>5173</v>
      </c>
      <c r="C208" s="9" t="s">
        <v>215</v>
      </c>
      <c r="D208" s="10">
        <v>361981</v>
      </c>
      <c r="E208" s="10">
        <v>361981</v>
      </c>
      <c r="F208" s="11">
        <f>VLOOKUP(B208,'2015'!$B$2:$G$338,6,FALSE)</f>
        <v>0</v>
      </c>
      <c r="G208" s="19">
        <f t="shared" si="6"/>
        <v>0</v>
      </c>
      <c r="H208" s="18">
        <f t="shared" si="7"/>
        <v>361981</v>
      </c>
    </row>
    <row r="209" spans="1:8" x14ac:dyDescent="0.2">
      <c r="A209">
        <v>2023</v>
      </c>
      <c r="B209" s="34">
        <v>5174</v>
      </c>
      <c r="C209" s="9" t="s">
        <v>216</v>
      </c>
      <c r="D209" s="10">
        <v>670847</v>
      </c>
      <c r="E209" s="10">
        <v>670847</v>
      </c>
      <c r="F209" s="11">
        <f>VLOOKUP(B209,'2015'!$B$2:$G$338,6,FALSE)</f>
        <v>0</v>
      </c>
      <c r="G209" s="19">
        <f t="shared" si="6"/>
        <v>0</v>
      </c>
      <c r="H209" s="18">
        <f t="shared" si="7"/>
        <v>670847</v>
      </c>
    </row>
    <row r="210" spans="1:8" x14ac:dyDescent="0.2">
      <c r="A210">
        <v>2023</v>
      </c>
      <c r="B210" s="34">
        <v>5175</v>
      </c>
      <c r="C210" s="9" t="s">
        <v>217</v>
      </c>
      <c r="D210" s="10">
        <v>306120</v>
      </c>
      <c r="E210" s="10">
        <v>306120</v>
      </c>
      <c r="F210" s="11">
        <f>VLOOKUP(B210,'2015'!$B$2:$G$338,6,FALSE)</f>
        <v>0</v>
      </c>
      <c r="G210" s="19">
        <f t="shared" si="6"/>
        <v>0</v>
      </c>
      <c r="H210" s="18">
        <f t="shared" si="7"/>
        <v>306120</v>
      </c>
    </row>
    <row r="211" spans="1:8" x14ac:dyDescent="0.2">
      <c r="A211">
        <v>2023</v>
      </c>
      <c r="B211" s="34">
        <v>5176</v>
      </c>
      <c r="C211" s="9" t="s">
        <v>218</v>
      </c>
      <c r="D211" s="10">
        <v>2496692</v>
      </c>
      <c r="E211" s="10">
        <v>2496692</v>
      </c>
      <c r="F211" s="11">
        <f>VLOOKUP(B211,'2015'!$B$2:$G$338,6,FALSE)</f>
        <v>0</v>
      </c>
      <c r="G211" s="19">
        <f t="shared" si="6"/>
        <v>0</v>
      </c>
      <c r="H211" s="18">
        <f t="shared" si="7"/>
        <v>2496692</v>
      </c>
    </row>
    <row r="212" spans="1:8" x14ac:dyDescent="0.2">
      <c r="A212">
        <v>2023</v>
      </c>
      <c r="B212" s="34">
        <v>5185</v>
      </c>
      <c r="C212" s="9" t="s">
        <v>219</v>
      </c>
      <c r="D212" s="10">
        <v>21976456</v>
      </c>
      <c r="E212" s="10">
        <v>21976456</v>
      </c>
      <c r="F212" s="11">
        <f>VLOOKUP(B212,'2015'!$B$2:$G$338,6,FALSE)</f>
        <v>0</v>
      </c>
      <c r="G212" s="19">
        <f t="shared" si="6"/>
        <v>0</v>
      </c>
      <c r="H212" s="18">
        <f t="shared" si="7"/>
        <v>21976456</v>
      </c>
    </row>
    <row r="213" spans="1:8" x14ac:dyDescent="0.2">
      <c r="A213">
        <v>2023</v>
      </c>
      <c r="B213" s="34">
        <v>5186</v>
      </c>
      <c r="C213" s="9" t="s">
        <v>220</v>
      </c>
      <c r="D213" s="10">
        <v>401351</v>
      </c>
      <c r="E213" s="10">
        <v>401351</v>
      </c>
      <c r="F213" s="11">
        <f>VLOOKUP(B213,'2015'!$B$2:$G$338,6,FALSE)</f>
        <v>0</v>
      </c>
      <c r="G213" s="19">
        <f t="shared" si="6"/>
        <v>0</v>
      </c>
      <c r="H213" s="18">
        <f t="shared" si="7"/>
        <v>401351</v>
      </c>
    </row>
    <row r="214" spans="1:8" x14ac:dyDescent="0.2">
      <c r="A214">
        <v>2023</v>
      </c>
      <c r="B214" s="34">
        <v>5187</v>
      </c>
      <c r="C214" s="9" t="s">
        <v>221</v>
      </c>
      <c r="D214" s="10">
        <v>536570</v>
      </c>
      <c r="E214" s="10">
        <v>536570</v>
      </c>
      <c r="F214" s="11">
        <f>VLOOKUP(B214,'2015'!$B$2:$G$338,6,FALSE)</f>
        <v>0</v>
      </c>
      <c r="G214" s="19">
        <f t="shared" si="6"/>
        <v>0</v>
      </c>
      <c r="H214" s="18">
        <f t="shared" si="7"/>
        <v>536570</v>
      </c>
    </row>
    <row r="215" spans="1:8" x14ac:dyDescent="0.2">
      <c r="A215">
        <v>2023</v>
      </c>
      <c r="B215" s="34">
        <v>5188</v>
      </c>
      <c r="C215" s="9" t="s">
        <v>222</v>
      </c>
      <c r="D215" s="10">
        <v>313851</v>
      </c>
      <c r="E215" s="10">
        <v>313851</v>
      </c>
      <c r="F215" s="11">
        <f>VLOOKUP(B215,'2015'!$B$2:$G$338,6,FALSE)</f>
        <v>0</v>
      </c>
      <c r="G215" s="19">
        <f t="shared" si="6"/>
        <v>0</v>
      </c>
      <c r="H215" s="18">
        <f t="shared" si="7"/>
        <v>313851</v>
      </c>
    </row>
    <row r="216" spans="1:8" x14ac:dyDescent="0.2">
      <c r="A216">
        <v>2023</v>
      </c>
      <c r="B216" s="34">
        <v>5189</v>
      </c>
      <c r="C216" s="9" t="s">
        <v>223</v>
      </c>
      <c r="D216" s="10">
        <v>113449</v>
      </c>
      <c r="E216" s="10">
        <v>113449</v>
      </c>
      <c r="F216" s="11">
        <f>VLOOKUP(B216,'2015'!$B$2:$G$338,6,FALSE)</f>
        <v>0</v>
      </c>
      <c r="G216" s="19">
        <f t="shared" si="6"/>
        <v>0</v>
      </c>
      <c r="H216" s="18">
        <f t="shared" si="7"/>
        <v>113449</v>
      </c>
    </row>
    <row r="217" spans="1:8" x14ac:dyDescent="0.2">
      <c r="A217">
        <v>2023</v>
      </c>
      <c r="B217" s="34">
        <v>5190</v>
      </c>
      <c r="C217" s="9" t="s">
        <v>224</v>
      </c>
      <c r="D217" s="10">
        <v>282399</v>
      </c>
      <c r="E217" s="10">
        <v>282399</v>
      </c>
      <c r="F217" s="11">
        <f>VLOOKUP(B217,'2015'!$B$2:$G$338,6,FALSE)</f>
        <v>0</v>
      </c>
      <c r="G217" s="19">
        <f t="shared" si="6"/>
        <v>0</v>
      </c>
      <c r="H217" s="18">
        <f t="shared" si="7"/>
        <v>282399</v>
      </c>
    </row>
    <row r="218" spans="1:8" x14ac:dyDescent="0.2">
      <c r="A218">
        <v>2023</v>
      </c>
      <c r="B218" s="34">
        <v>5191</v>
      </c>
      <c r="C218" s="9" t="s">
        <v>225</v>
      </c>
      <c r="D218" s="10">
        <v>1032686</v>
      </c>
      <c r="E218" s="10">
        <v>1032686</v>
      </c>
      <c r="F218" s="11">
        <f>VLOOKUP(B218,'2015'!$B$2:$G$338,6,FALSE)</f>
        <v>0</v>
      </c>
      <c r="G218" s="19">
        <f t="shared" si="6"/>
        <v>0</v>
      </c>
      <c r="H218" s="18">
        <f t="shared" si="7"/>
        <v>1032686</v>
      </c>
    </row>
    <row r="219" spans="1:8" x14ac:dyDescent="0.2">
      <c r="A219">
        <v>2023</v>
      </c>
      <c r="B219" s="34">
        <v>5192</v>
      </c>
      <c r="C219" s="9" t="s">
        <v>226</v>
      </c>
      <c r="D219" s="10">
        <v>328329</v>
      </c>
      <c r="E219" s="10">
        <v>328329</v>
      </c>
      <c r="F219" s="11">
        <f>VLOOKUP(B219,'2015'!$B$2:$G$338,6,FALSE)</f>
        <v>0</v>
      </c>
      <c r="G219" s="19">
        <f t="shared" si="6"/>
        <v>0</v>
      </c>
      <c r="H219" s="18">
        <f t="shared" si="7"/>
        <v>328329</v>
      </c>
    </row>
    <row r="220" spans="1:8" x14ac:dyDescent="0.2">
      <c r="A220">
        <v>2023</v>
      </c>
      <c r="B220" s="34">
        <v>5193</v>
      </c>
      <c r="C220" s="9" t="s">
        <v>227</v>
      </c>
      <c r="D220" s="10">
        <v>1675877</v>
      </c>
      <c r="E220" s="10">
        <v>1675877</v>
      </c>
      <c r="F220" s="11">
        <f>VLOOKUP(B220,'2015'!$B$2:$G$338,6,FALSE)</f>
        <v>0</v>
      </c>
      <c r="G220" s="19">
        <f t="shared" si="6"/>
        <v>0</v>
      </c>
      <c r="H220" s="18">
        <f t="shared" si="7"/>
        <v>1675877</v>
      </c>
    </row>
    <row r="221" spans="1:8" x14ac:dyDescent="0.2">
      <c r="A221">
        <v>2023</v>
      </c>
      <c r="B221" s="34">
        <v>5195</v>
      </c>
      <c r="C221" s="9" t="s">
        <v>228</v>
      </c>
      <c r="D221" s="10">
        <v>975325</v>
      </c>
      <c r="E221" s="10">
        <v>975325</v>
      </c>
      <c r="F221" s="11">
        <f>VLOOKUP(B221,'2015'!$B$2:$G$338,6,FALSE)</f>
        <v>0</v>
      </c>
      <c r="G221" s="19">
        <f t="shared" si="6"/>
        <v>0</v>
      </c>
      <c r="H221" s="18">
        <f t="shared" si="7"/>
        <v>975325</v>
      </c>
    </row>
    <row r="222" spans="1:8" x14ac:dyDescent="0.2">
      <c r="A222">
        <v>2023</v>
      </c>
      <c r="B222" s="34">
        <v>5196</v>
      </c>
      <c r="C222" s="9" t="s">
        <v>229</v>
      </c>
      <c r="D222" s="10">
        <v>590790</v>
      </c>
      <c r="E222" s="10">
        <v>590790</v>
      </c>
      <c r="F222" s="11">
        <f>VLOOKUP(B222,'2015'!$B$2:$G$338,6,FALSE)</f>
        <v>0</v>
      </c>
      <c r="G222" s="19">
        <f t="shared" si="6"/>
        <v>0</v>
      </c>
      <c r="H222" s="18">
        <f t="shared" si="7"/>
        <v>590790</v>
      </c>
    </row>
    <row r="223" spans="1:8" x14ac:dyDescent="0.2">
      <c r="A223">
        <v>2023</v>
      </c>
      <c r="B223" s="34">
        <v>5197</v>
      </c>
      <c r="C223" s="9" t="s">
        <v>230</v>
      </c>
      <c r="D223" s="10">
        <v>294461</v>
      </c>
      <c r="E223" s="10">
        <v>294461</v>
      </c>
      <c r="F223" s="11">
        <f>VLOOKUP(B223,'2015'!$B$2:$G$338,6,FALSE)</f>
        <v>0</v>
      </c>
      <c r="G223" s="19">
        <f t="shared" si="6"/>
        <v>0</v>
      </c>
      <c r="H223" s="18">
        <f t="shared" si="7"/>
        <v>294461</v>
      </c>
    </row>
    <row r="224" spans="1:8" x14ac:dyDescent="0.2">
      <c r="A224">
        <v>2023</v>
      </c>
      <c r="B224" s="34">
        <v>5198</v>
      </c>
      <c r="C224" s="9" t="s">
        <v>231</v>
      </c>
      <c r="D224" s="10">
        <v>1476201</v>
      </c>
      <c r="E224" s="10">
        <v>1476201</v>
      </c>
      <c r="F224" s="11">
        <f>VLOOKUP(B224,'2015'!$B$2:$G$338,6,FALSE)</f>
        <v>0</v>
      </c>
      <c r="G224" s="19">
        <f t="shared" si="6"/>
        <v>0</v>
      </c>
      <c r="H224" s="18">
        <f t="shared" si="7"/>
        <v>1476201</v>
      </c>
    </row>
    <row r="225" spans="1:8" x14ac:dyDescent="0.2">
      <c r="A225">
        <v>2023</v>
      </c>
      <c r="B225" s="34">
        <v>5199</v>
      </c>
      <c r="C225" s="9" t="s">
        <v>232</v>
      </c>
      <c r="D225" s="10">
        <v>443730</v>
      </c>
      <c r="E225" s="10">
        <v>443730</v>
      </c>
      <c r="F225" s="11">
        <f>VLOOKUP(B225,'2015'!$B$2:$G$338,6,FALSE)</f>
        <v>0</v>
      </c>
      <c r="G225" s="19">
        <f t="shared" si="6"/>
        <v>0</v>
      </c>
      <c r="H225" s="18">
        <f t="shared" si="7"/>
        <v>443730</v>
      </c>
    </row>
    <row r="226" spans="1:8" x14ac:dyDescent="0.2">
      <c r="A226">
        <v>2023</v>
      </c>
      <c r="B226" s="34">
        <v>5200</v>
      </c>
      <c r="C226" s="9" t="s">
        <v>233</v>
      </c>
      <c r="D226" s="10">
        <v>1063198</v>
      </c>
      <c r="E226" s="10">
        <v>1063198</v>
      </c>
      <c r="F226" s="11">
        <f>VLOOKUP(B226,'2015'!$B$2:$G$338,6,FALSE)</f>
        <v>0</v>
      </c>
      <c r="G226" s="19">
        <f t="shared" si="6"/>
        <v>0</v>
      </c>
      <c r="H226" s="18">
        <f t="shared" si="7"/>
        <v>1063198</v>
      </c>
    </row>
    <row r="227" spans="1:8" x14ac:dyDescent="0.2">
      <c r="A227">
        <v>2023</v>
      </c>
      <c r="B227" s="34">
        <v>5201</v>
      </c>
      <c r="C227" s="9" t="s">
        <v>234</v>
      </c>
      <c r="D227" s="10">
        <v>212561</v>
      </c>
      <c r="E227" s="10">
        <v>212561</v>
      </c>
      <c r="F227" s="11">
        <f>VLOOKUP(B227,'2015'!$B$2:$G$338,6,FALSE)</f>
        <v>0</v>
      </c>
      <c r="G227" s="19">
        <f t="shared" si="6"/>
        <v>0</v>
      </c>
      <c r="H227" s="18">
        <f t="shared" si="7"/>
        <v>212561</v>
      </c>
    </row>
    <row r="228" spans="1:8" x14ac:dyDescent="0.2">
      <c r="A228">
        <v>2023</v>
      </c>
      <c r="B228" s="34">
        <v>5202</v>
      </c>
      <c r="C228" s="9" t="s">
        <v>235</v>
      </c>
      <c r="D228" s="10">
        <v>288226</v>
      </c>
      <c r="E228" s="10">
        <v>288226</v>
      </c>
      <c r="F228" s="11">
        <f>VLOOKUP(B228,'2015'!$B$2:$G$338,6,FALSE)</f>
        <v>0</v>
      </c>
      <c r="G228" s="19">
        <f t="shared" si="6"/>
        <v>0</v>
      </c>
      <c r="H228" s="18">
        <f t="shared" si="7"/>
        <v>288226</v>
      </c>
    </row>
    <row r="229" spans="1:8" x14ac:dyDescent="0.2">
      <c r="A229">
        <v>2023</v>
      </c>
      <c r="B229" s="34">
        <v>5203</v>
      </c>
      <c r="C229" s="9" t="s">
        <v>236</v>
      </c>
      <c r="D229" s="10">
        <v>793995</v>
      </c>
      <c r="E229" s="10">
        <v>793995</v>
      </c>
      <c r="F229" s="11">
        <f>VLOOKUP(B229,'2015'!$B$2:$G$338,6,FALSE)</f>
        <v>0</v>
      </c>
      <c r="G229" s="19">
        <f t="shared" si="6"/>
        <v>0</v>
      </c>
      <c r="H229" s="18">
        <f t="shared" si="7"/>
        <v>793995</v>
      </c>
    </row>
    <row r="230" spans="1:8" x14ac:dyDescent="0.2">
      <c r="A230">
        <v>2023</v>
      </c>
      <c r="B230" s="34">
        <v>5204</v>
      </c>
      <c r="C230" s="9" t="s">
        <v>237</v>
      </c>
      <c r="D230" s="10">
        <v>1142451</v>
      </c>
      <c r="E230" s="10">
        <v>1142451</v>
      </c>
      <c r="F230" s="11">
        <f>VLOOKUP(B230,'2015'!$B$2:$G$338,6,FALSE)</f>
        <v>0</v>
      </c>
      <c r="G230" s="19">
        <f t="shared" si="6"/>
        <v>0</v>
      </c>
      <c r="H230" s="18">
        <f t="shared" si="7"/>
        <v>1142451</v>
      </c>
    </row>
    <row r="231" spans="1:8" x14ac:dyDescent="0.2">
      <c r="A231">
        <v>2023</v>
      </c>
      <c r="B231" s="34">
        <v>5205</v>
      </c>
      <c r="C231" s="9" t="s">
        <v>238</v>
      </c>
      <c r="D231" s="10">
        <v>536196</v>
      </c>
      <c r="E231" s="10">
        <v>536196</v>
      </c>
      <c r="F231" s="11">
        <f>VLOOKUP(B231,'2015'!$B$2:$G$338,6,FALSE)</f>
        <v>0</v>
      </c>
      <c r="G231" s="19">
        <f t="shared" si="6"/>
        <v>0</v>
      </c>
      <c r="H231" s="18">
        <f t="shared" si="7"/>
        <v>536196</v>
      </c>
    </row>
    <row r="232" spans="1:8" x14ac:dyDescent="0.2">
      <c r="A232">
        <v>2023</v>
      </c>
      <c r="B232" s="34">
        <v>5206</v>
      </c>
      <c r="C232" s="9" t="s">
        <v>239</v>
      </c>
      <c r="D232" s="10">
        <v>529940</v>
      </c>
      <c r="E232" s="10">
        <v>529940</v>
      </c>
      <c r="F232" s="11">
        <f>VLOOKUP(B232,'2015'!$B$2:$G$338,6,FALSE)</f>
        <v>0</v>
      </c>
      <c r="G232" s="19">
        <f t="shared" si="6"/>
        <v>0</v>
      </c>
      <c r="H232" s="18">
        <f t="shared" si="7"/>
        <v>529940</v>
      </c>
    </row>
    <row r="233" spans="1:8" x14ac:dyDescent="0.2">
      <c r="A233">
        <v>2023</v>
      </c>
      <c r="B233" s="34">
        <v>5207</v>
      </c>
      <c r="C233" s="9" t="s">
        <v>240</v>
      </c>
      <c r="D233" s="10">
        <v>1148563</v>
      </c>
      <c r="E233" s="10">
        <v>1148563</v>
      </c>
      <c r="F233" s="11">
        <f>VLOOKUP(B233,'2015'!$B$2:$G$338,6,FALSE)</f>
        <v>0</v>
      </c>
      <c r="G233" s="19">
        <f t="shared" si="6"/>
        <v>0</v>
      </c>
      <c r="H233" s="18">
        <f t="shared" si="7"/>
        <v>1148563</v>
      </c>
    </row>
    <row r="234" spans="1:8" x14ac:dyDescent="0.2">
      <c r="A234">
        <v>2023</v>
      </c>
      <c r="B234" s="34">
        <v>5208</v>
      </c>
      <c r="C234" s="9" t="s">
        <v>241</v>
      </c>
      <c r="D234" s="10">
        <v>372717</v>
      </c>
      <c r="E234" s="10">
        <v>372717</v>
      </c>
      <c r="F234" s="11">
        <f>VLOOKUP(B234,'2015'!$B$2:$G$338,6,FALSE)</f>
        <v>0</v>
      </c>
      <c r="G234" s="19">
        <f t="shared" si="6"/>
        <v>0</v>
      </c>
      <c r="H234" s="18">
        <f t="shared" si="7"/>
        <v>372717</v>
      </c>
    </row>
    <row r="235" spans="1:8" x14ac:dyDescent="0.2">
      <c r="A235">
        <v>2023</v>
      </c>
      <c r="B235" s="34">
        <v>5210</v>
      </c>
      <c r="C235" s="9" t="s">
        <v>242</v>
      </c>
      <c r="D235" s="10">
        <v>3718992</v>
      </c>
      <c r="E235" s="10">
        <v>3718992</v>
      </c>
      <c r="F235" s="11">
        <f>VLOOKUP(B235,'2015'!$B$2:$G$338,6,FALSE)</f>
        <v>0</v>
      </c>
      <c r="G235" s="19">
        <f t="shared" si="6"/>
        <v>0</v>
      </c>
      <c r="H235" s="18">
        <f t="shared" si="7"/>
        <v>3718992</v>
      </c>
    </row>
    <row r="236" spans="1:8" x14ac:dyDescent="0.2">
      <c r="A236">
        <v>2023</v>
      </c>
      <c r="B236" s="34">
        <v>5212</v>
      </c>
      <c r="C236" s="9" t="s">
        <v>243</v>
      </c>
      <c r="D236" s="10">
        <v>930576</v>
      </c>
      <c r="E236" s="10">
        <v>930576</v>
      </c>
      <c r="F236" s="11">
        <f>VLOOKUP(B236,'2015'!$B$2:$G$338,6,FALSE)</f>
        <v>0</v>
      </c>
      <c r="G236" s="19">
        <f t="shared" si="6"/>
        <v>0</v>
      </c>
      <c r="H236" s="18">
        <f t="shared" si="7"/>
        <v>930576</v>
      </c>
    </row>
    <row r="237" spans="1:8" x14ac:dyDescent="0.2">
      <c r="A237">
        <v>2023</v>
      </c>
      <c r="B237" s="34">
        <v>5213</v>
      </c>
      <c r="C237" s="9" t="s">
        <v>244</v>
      </c>
      <c r="D237" s="10">
        <v>735128</v>
      </c>
      <c r="E237" s="10">
        <v>735128</v>
      </c>
      <c r="F237" s="11">
        <f>VLOOKUP(B237,'2015'!$B$2:$G$338,6,FALSE)</f>
        <v>0</v>
      </c>
      <c r="G237" s="19">
        <f t="shared" si="6"/>
        <v>0</v>
      </c>
      <c r="H237" s="18">
        <f t="shared" si="7"/>
        <v>735128</v>
      </c>
    </row>
    <row r="238" spans="1:8" x14ac:dyDescent="0.2">
      <c r="A238">
        <v>2023</v>
      </c>
      <c r="B238" s="34">
        <v>5214</v>
      </c>
      <c r="C238" s="9" t="s">
        <v>245</v>
      </c>
      <c r="D238" s="10">
        <v>3612609</v>
      </c>
      <c r="E238" s="10">
        <v>3612609</v>
      </c>
      <c r="F238" s="11">
        <f>VLOOKUP(B238,'2015'!$B$2:$G$338,6,FALSE)</f>
        <v>0</v>
      </c>
      <c r="G238" s="19">
        <f t="shared" si="6"/>
        <v>0</v>
      </c>
      <c r="H238" s="18">
        <f t="shared" si="7"/>
        <v>3612609</v>
      </c>
    </row>
    <row r="239" spans="1:8" x14ac:dyDescent="0.2">
      <c r="A239">
        <v>2023</v>
      </c>
      <c r="B239" s="34">
        <v>5215</v>
      </c>
      <c r="C239" s="9" t="s">
        <v>246</v>
      </c>
      <c r="D239" s="10">
        <v>807078</v>
      </c>
      <c r="E239" s="10">
        <v>807078</v>
      </c>
      <c r="F239" s="11">
        <f>VLOOKUP(B239,'2015'!$B$2:$G$338,6,FALSE)</f>
        <v>0</v>
      </c>
      <c r="G239" s="19">
        <f t="shared" si="6"/>
        <v>0</v>
      </c>
      <c r="H239" s="18">
        <f t="shared" si="7"/>
        <v>807078</v>
      </c>
    </row>
    <row r="240" spans="1:8" x14ac:dyDescent="0.2">
      <c r="A240">
        <v>2023</v>
      </c>
      <c r="B240" s="34">
        <v>5150</v>
      </c>
      <c r="C240" s="3" t="s">
        <v>247</v>
      </c>
      <c r="D240" s="12">
        <v>1047376</v>
      </c>
      <c r="E240" s="12">
        <v>1047376</v>
      </c>
      <c r="F240" s="11">
        <f>VLOOKUP(B240,'2015'!$B$2:$G$338,6,FALSE)</f>
        <v>0</v>
      </c>
      <c r="G240" s="19">
        <f t="shared" si="6"/>
        <v>0</v>
      </c>
      <c r="H240" s="18">
        <f t="shared" si="7"/>
        <v>1047376</v>
      </c>
    </row>
    <row r="241" spans="1:8" x14ac:dyDescent="0.2">
      <c r="A241">
        <v>2023</v>
      </c>
      <c r="B241" s="34">
        <v>5217</v>
      </c>
      <c r="C241" s="9" t="s">
        <v>248</v>
      </c>
      <c r="D241" s="10">
        <v>125073</v>
      </c>
      <c r="E241" s="10">
        <v>125073</v>
      </c>
      <c r="F241" s="11">
        <f>VLOOKUP(B241,'2015'!$B$2:$G$338,6,FALSE)</f>
        <v>0</v>
      </c>
      <c r="G241" s="19">
        <f t="shared" si="6"/>
        <v>0</v>
      </c>
      <c r="H241" s="18">
        <f t="shared" si="7"/>
        <v>125073</v>
      </c>
    </row>
    <row r="242" spans="1:8" x14ac:dyDescent="0.2">
      <c r="A242">
        <v>2023</v>
      </c>
      <c r="B242" s="34">
        <v>5218</v>
      </c>
      <c r="C242" s="9" t="s">
        <v>249</v>
      </c>
      <c r="D242" s="10">
        <v>318260</v>
      </c>
      <c r="E242" s="10">
        <v>318260</v>
      </c>
      <c r="F242" s="11">
        <f>VLOOKUP(B242,'2015'!$B$2:$G$338,6,FALSE)</f>
        <v>0</v>
      </c>
      <c r="G242" s="19">
        <f t="shared" si="6"/>
        <v>0</v>
      </c>
      <c r="H242" s="18">
        <f t="shared" si="7"/>
        <v>318260</v>
      </c>
    </row>
    <row r="243" spans="1:8" x14ac:dyDescent="0.2">
      <c r="A243">
        <v>2023</v>
      </c>
      <c r="B243" s="34">
        <v>5219</v>
      </c>
      <c r="C243" s="9" t="s">
        <v>250</v>
      </c>
      <c r="D243" s="10">
        <v>219322</v>
      </c>
      <c r="E243" s="10">
        <v>219322</v>
      </c>
      <c r="F243" s="11">
        <f>VLOOKUP(B243,'2015'!$B$2:$G$338,6,FALSE)</f>
        <v>0</v>
      </c>
      <c r="G243" s="19">
        <f t="shared" si="6"/>
        <v>0</v>
      </c>
      <c r="H243" s="18">
        <f t="shared" si="7"/>
        <v>219322</v>
      </c>
    </row>
    <row r="244" spans="1:8" x14ac:dyDescent="0.2">
      <c r="A244">
        <v>2023</v>
      </c>
      <c r="B244" s="34">
        <v>5220</v>
      </c>
      <c r="C244" s="9" t="s">
        <v>251</v>
      </c>
      <c r="D244" s="10">
        <v>442383</v>
      </c>
      <c r="E244" s="10">
        <v>442383</v>
      </c>
      <c r="F244" s="11">
        <f>VLOOKUP(B244,'2015'!$B$2:$G$338,6,FALSE)</f>
        <v>0</v>
      </c>
      <c r="G244" s="19">
        <f t="shared" si="6"/>
        <v>0</v>
      </c>
      <c r="H244" s="18">
        <f t="shared" si="7"/>
        <v>442383</v>
      </c>
    </row>
    <row r="245" spans="1:8" x14ac:dyDescent="0.2">
      <c r="A245">
        <v>2023</v>
      </c>
      <c r="B245" s="34">
        <v>5222</v>
      </c>
      <c r="C245" s="9" t="s">
        <v>252</v>
      </c>
      <c r="D245" s="10">
        <v>381216</v>
      </c>
      <c r="E245" s="10">
        <v>381216</v>
      </c>
      <c r="F245" s="11">
        <f>VLOOKUP(B245,'2015'!$B$2:$G$338,6,FALSE)</f>
        <v>0</v>
      </c>
      <c r="G245" s="19">
        <f t="shared" si="6"/>
        <v>0</v>
      </c>
      <c r="H245" s="18">
        <f t="shared" si="7"/>
        <v>381216</v>
      </c>
    </row>
    <row r="246" spans="1:8" x14ac:dyDescent="0.2">
      <c r="A246">
        <v>2023</v>
      </c>
      <c r="B246" s="34">
        <v>5223</v>
      </c>
      <c r="C246" s="9" t="s">
        <v>253</v>
      </c>
      <c r="D246" s="10">
        <v>428911</v>
      </c>
      <c r="E246" s="10">
        <v>428911</v>
      </c>
      <c r="F246" s="11">
        <f>VLOOKUP(B246,'2015'!$B$2:$G$338,6,FALSE)</f>
        <v>0</v>
      </c>
      <c r="G246" s="19">
        <f t="shared" si="6"/>
        <v>0</v>
      </c>
      <c r="H246" s="18">
        <f t="shared" si="7"/>
        <v>428911</v>
      </c>
    </row>
    <row r="247" spans="1:8" x14ac:dyDescent="0.2">
      <c r="A247">
        <v>2023</v>
      </c>
      <c r="B247" s="34">
        <v>5226</v>
      </c>
      <c r="C247" s="9" t="s">
        <v>254</v>
      </c>
      <c r="D247" s="10">
        <v>275717</v>
      </c>
      <c r="E247" s="10">
        <v>275717</v>
      </c>
      <c r="F247" s="11">
        <f>VLOOKUP(B247,'2015'!$B$2:$G$338,6,FALSE)</f>
        <v>0</v>
      </c>
      <c r="G247" s="19">
        <f t="shared" si="6"/>
        <v>0</v>
      </c>
      <c r="H247" s="18">
        <f t="shared" si="7"/>
        <v>275717</v>
      </c>
    </row>
    <row r="248" spans="1:8" x14ac:dyDescent="0.2">
      <c r="A248">
        <v>2023</v>
      </c>
      <c r="B248" s="34">
        <v>5227</v>
      </c>
      <c r="C248" s="9" t="s">
        <v>255</v>
      </c>
      <c r="D248" s="10">
        <v>100358</v>
      </c>
      <c r="E248" s="10">
        <v>100358</v>
      </c>
      <c r="F248" s="11">
        <f>VLOOKUP(B248,'2015'!$B$2:$G$338,6,FALSE)</f>
        <v>0</v>
      </c>
      <c r="G248" s="19">
        <f t="shared" si="6"/>
        <v>0</v>
      </c>
      <c r="H248" s="18">
        <f t="shared" si="7"/>
        <v>100358</v>
      </c>
    </row>
    <row r="249" spans="1:8" x14ac:dyDescent="0.2">
      <c r="A249">
        <v>2023</v>
      </c>
      <c r="B249" s="34">
        <v>5228</v>
      </c>
      <c r="C249" s="9" t="s">
        <v>256</v>
      </c>
      <c r="D249" s="10">
        <v>203936</v>
      </c>
      <c r="E249" s="10">
        <v>203936</v>
      </c>
      <c r="F249" s="11">
        <f>VLOOKUP(B249,'2015'!$B$2:$G$338,6,FALSE)</f>
        <v>0</v>
      </c>
      <c r="G249" s="19">
        <f t="shared" si="6"/>
        <v>0</v>
      </c>
      <c r="H249" s="18">
        <f t="shared" si="7"/>
        <v>203936</v>
      </c>
    </row>
    <row r="250" spans="1:8" x14ac:dyDescent="0.2">
      <c r="A250">
        <v>2023</v>
      </c>
      <c r="B250" s="34">
        <v>5229</v>
      </c>
      <c r="C250" s="9" t="s">
        <v>257</v>
      </c>
      <c r="D250" s="10">
        <v>358267</v>
      </c>
      <c r="E250" s="10">
        <v>358267</v>
      </c>
      <c r="F250" s="11">
        <f>VLOOKUP(B250,'2015'!$B$2:$G$338,6,FALSE)</f>
        <v>0</v>
      </c>
      <c r="G250" s="19">
        <f t="shared" si="6"/>
        <v>0</v>
      </c>
      <c r="H250" s="18">
        <f t="shared" si="7"/>
        <v>358267</v>
      </c>
    </row>
    <row r="251" spans="1:8" x14ac:dyDescent="0.2">
      <c r="A251">
        <v>2023</v>
      </c>
      <c r="B251" s="34">
        <v>5230</v>
      </c>
      <c r="C251" s="9" t="s">
        <v>258</v>
      </c>
      <c r="D251" s="10">
        <v>735897</v>
      </c>
      <c r="E251" s="10">
        <v>735897</v>
      </c>
      <c r="F251" s="11">
        <f>VLOOKUP(B251,'2015'!$B$2:$G$338,6,FALSE)</f>
        <v>0</v>
      </c>
      <c r="G251" s="19">
        <f t="shared" si="6"/>
        <v>0</v>
      </c>
      <c r="H251" s="18">
        <f t="shared" si="7"/>
        <v>735897</v>
      </c>
    </row>
    <row r="252" spans="1:8" x14ac:dyDescent="0.2">
      <c r="A252">
        <v>2023</v>
      </c>
      <c r="B252" s="34">
        <v>5231</v>
      </c>
      <c r="C252" s="9" t="s">
        <v>259</v>
      </c>
      <c r="D252" s="10">
        <v>1456788</v>
      </c>
      <c r="E252" s="10">
        <v>1456788</v>
      </c>
      <c r="F252" s="11">
        <f>VLOOKUP(B252,'2015'!$B$2:$G$338,6,FALSE)</f>
        <v>0</v>
      </c>
      <c r="G252" s="19">
        <f t="shared" si="6"/>
        <v>0</v>
      </c>
      <c r="H252" s="18">
        <f t="shared" si="7"/>
        <v>1456788</v>
      </c>
    </row>
    <row r="253" spans="1:8" x14ac:dyDescent="0.2">
      <c r="A253">
        <v>2023</v>
      </c>
      <c r="B253" s="34">
        <v>5233</v>
      </c>
      <c r="C253" s="9" t="s">
        <v>260</v>
      </c>
      <c r="D253" s="10">
        <v>6286205</v>
      </c>
      <c r="E253" s="10">
        <v>6286205</v>
      </c>
      <c r="F253" s="11">
        <f>VLOOKUP(B253,'2015'!$B$2:$G$338,6,FALSE)</f>
        <v>0</v>
      </c>
      <c r="G253" s="19">
        <f t="shared" si="6"/>
        <v>0</v>
      </c>
      <c r="H253" s="18">
        <f t="shared" si="7"/>
        <v>6286205</v>
      </c>
    </row>
    <row r="254" spans="1:8" x14ac:dyDescent="0.2">
      <c r="A254">
        <v>2023</v>
      </c>
      <c r="B254" s="34">
        <v>5235</v>
      </c>
      <c r="C254" s="9" t="s">
        <v>261</v>
      </c>
      <c r="D254" s="10">
        <v>238518</v>
      </c>
      <c r="E254" s="10">
        <v>238518</v>
      </c>
      <c r="F254" s="11">
        <f>VLOOKUP(B254,'2015'!$B$2:$G$338,6,FALSE)</f>
        <v>0</v>
      </c>
      <c r="G254" s="19">
        <f t="shared" si="6"/>
        <v>0</v>
      </c>
      <c r="H254" s="18">
        <f t="shared" si="7"/>
        <v>238518</v>
      </c>
    </row>
    <row r="255" spans="1:8" x14ac:dyDescent="0.2">
      <c r="A255">
        <v>2023</v>
      </c>
      <c r="B255" s="34">
        <v>5236</v>
      </c>
      <c r="C255" s="9" t="s">
        <v>262</v>
      </c>
      <c r="D255" s="10">
        <v>578698</v>
      </c>
      <c r="E255" s="10">
        <v>578698</v>
      </c>
      <c r="F255" s="11">
        <f>VLOOKUP(B255,'2015'!$B$2:$G$338,6,FALSE)</f>
        <v>0</v>
      </c>
      <c r="G255" s="19">
        <f t="shared" si="6"/>
        <v>0</v>
      </c>
      <c r="H255" s="18">
        <f t="shared" si="7"/>
        <v>578698</v>
      </c>
    </row>
    <row r="256" spans="1:8" x14ac:dyDescent="0.2">
      <c r="A256">
        <v>2023</v>
      </c>
      <c r="B256" s="34">
        <v>5237</v>
      </c>
      <c r="C256" s="9" t="s">
        <v>263</v>
      </c>
      <c r="D256" s="10">
        <v>244672</v>
      </c>
      <c r="E256" s="10">
        <v>244672</v>
      </c>
      <c r="F256" s="11">
        <f>VLOOKUP(B256,'2015'!$B$2:$G$338,6,FALSE)</f>
        <v>0</v>
      </c>
      <c r="G256" s="19">
        <f t="shared" si="6"/>
        <v>0</v>
      </c>
      <c r="H256" s="18">
        <f t="shared" si="7"/>
        <v>244672</v>
      </c>
    </row>
    <row r="257" spans="1:8" x14ac:dyDescent="0.2">
      <c r="A257">
        <v>2023</v>
      </c>
      <c r="B257" s="34">
        <v>5238</v>
      </c>
      <c r="C257" s="9" t="s">
        <v>264</v>
      </c>
      <c r="D257" s="10">
        <v>201371</v>
      </c>
      <c r="E257" s="10">
        <v>201371</v>
      </c>
      <c r="F257" s="11">
        <f>VLOOKUP(B257,'2015'!$B$2:$G$338,6,FALSE)</f>
        <v>0</v>
      </c>
      <c r="G257" s="19">
        <f t="shared" si="6"/>
        <v>0</v>
      </c>
      <c r="H257" s="18">
        <f t="shared" si="7"/>
        <v>201371</v>
      </c>
    </row>
    <row r="258" spans="1:8" x14ac:dyDescent="0.2">
      <c r="A258">
        <v>2023</v>
      </c>
      <c r="B258" s="34">
        <v>5239</v>
      </c>
      <c r="C258" s="9" t="s">
        <v>265</v>
      </c>
      <c r="D258" s="10">
        <v>171148</v>
      </c>
      <c r="E258" s="10">
        <v>171148</v>
      </c>
      <c r="F258" s="11">
        <f>VLOOKUP(B258,'2015'!$B$2:$G$338,6,FALSE)</f>
        <v>0</v>
      </c>
      <c r="G258" s="19">
        <f t="shared" si="6"/>
        <v>0</v>
      </c>
      <c r="H258" s="18">
        <f t="shared" si="7"/>
        <v>171148</v>
      </c>
    </row>
    <row r="259" spans="1:8" x14ac:dyDescent="0.2">
      <c r="A259">
        <v>2023</v>
      </c>
      <c r="B259" s="34">
        <v>5240</v>
      </c>
      <c r="C259" s="9" t="s">
        <v>266</v>
      </c>
      <c r="D259" s="10">
        <v>480937</v>
      </c>
      <c r="E259" s="10">
        <v>480937</v>
      </c>
      <c r="F259" s="11">
        <f>VLOOKUP(B259,'2015'!$B$2:$G$338,6,FALSE)</f>
        <v>0</v>
      </c>
      <c r="G259" s="19">
        <f t="shared" ref="G259:G322" si="8">F259*$D$341</f>
        <v>0</v>
      </c>
      <c r="H259" s="18">
        <f t="shared" ref="H259:H322" si="9">SUM(G259,D259)</f>
        <v>480937</v>
      </c>
    </row>
    <row r="260" spans="1:8" x14ac:dyDescent="0.2">
      <c r="A260">
        <v>2023</v>
      </c>
      <c r="B260" s="34">
        <v>5241</v>
      </c>
      <c r="C260" s="9" t="s">
        <v>267</v>
      </c>
      <c r="D260" s="10">
        <v>270315</v>
      </c>
      <c r="E260" s="10">
        <v>270315</v>
      </c>
      <c r="F260" s="11">
        <f>VLOOKUP(B260,'2015'!$B$2:$G$338,6,FALSE)</f>
        <v>0</v>
      </c>
      <c r="G260" s="19">
        <f t="shared" si="8"/>
        <v>0</v>
      </c>
      <c r="H260" s="18">
        <f t="shared" si="9"/>
        <v>270315</v>
      </c>
    </row>
    <row r="261" spans="1:8" x14ac:dyDescent="0.2">
      <c r="A261">
        <v>2023</v>
      </c>
      <c r="B261" s="34">
        <v>5250</v>
      </c>
      <c r="C261" s="9" t="s">
        <v>268</v>
      </c>
      <c r="D261" s="10">
        <v>625922</v>
      </c>
      <c r="E261" s="10">
        <v>625922</v>
      </c>
      <c r="F261" s="11">
        <f>VLOOKUP(B261,'2015'!$B$2:$G$338,6,FALSE)</f>
        <v>0</v>
      </c>
      <c r="G261" s="19">
        <f t="shared" si="8"/>
        <v>0</v>
      </c>
      <c r="H261" s="18">
        <f t="shared" si="9"/>
        <v>625922</v>
      </c>
    </row>
    <row r="262" spans="1:8" x14ac:dyDescent="0.2">
      <c r="A262">
        <v>2023</v>
      </c>
      <c r="B262" s="34">
        <v>5251</v>
      </c>
      <c r="C262" s="9" t="s">
        <v>269</v>
      </c>
      <c r="D262" s="10">
        <v>229155</v>
      </c>
      <c r="E262" s="10">
        <v>229155</v>
      </c>
      <c r="F262" s="11">
        <f>VLOOKUP(B262,'2015'!$B$2:$G$338,6,FALSE)</f>
        <v>0</v>
      </c>
      <c r="G262" s="19">
        <f t="shared" si="8"/>
        <v>0</v>
      </c>
      <c r="H262" s="18">
        <f t="shared" si="9"/>
        <v>229155</v>
      </c>
    </row>
    <row r="263" spans="1:8" x14ac:dyDescent="0.2">
      <c r="A263">
        <v>2023</v>
      </c>
      <c r="B263" s="34">
        <v>5267</v>
      </c>
      <c r="C263" s="9" t="s">
        <v>270</v>
      </c>
      <c r="D263" s="10">
        <v>283774</v>
      </c>
      <c r="E263" s="10">
        <v>283774</v>
      </c>
      <c r="F263" s="11">
        <f>VLOOKUP(B263,'2015'!$B$2:$G$338,6,FALSE)</f>
        <v>0</v>
      </c>
      <c r="G263" s="19">
        <f t="shared" si="8"/>
        <v>0</v>
      </c>
      <c r="H263" s="18">
        <f t="shared" si="9"/>
        <v>283774</v>
      </c>
    </row>
    <row r="264" spans="1:8" x14ac:dyDescent="0.2">
      <c r="A264">
        <v>2023</v>
      </c>
      <c r="B264" s="34">
        <v>5268</v>
      </c>
      <c r="C264" s="9" t="s">
        <v>271</v>
      </c>
      <c r="D264" s="10">
        <v>213451</v>
      </c>
      <c r="E264" s="10">
        <v>213451</v>
      </c>
      <c r="F264" s="11">
        <f>VLOOKUP(B264,'2015'!$B$2:$G$338,6,FALSE)</f>
        <v>0</v>
      </c>
      <c r="G264" s="19">
        <f t="shared" si="8"/>
        <v>0</v>
      </c>
      <c r="H264" s="18">
        <f t="shared" si="9"/>
        <v>213451</v>
      </c>
    </row>
    <row r="265" spans="1:8" x14ac:dyDescent="0.2">
      <c r="A265">
        <v>2023</v>
      </c>
      <c r="B265" s="34">
        <v>5270</v>
      </c>
      <c r="C265" s="9" t="s">
        <v>272</v>
      </c>
      <c r="D265" s="10">
        <v>357922</v>
      </c>
      <c r="E265" s="10">
        <v>357922</v>
      </c>
      <c r="F265" s="11">
        <f>VLOOKUP(B265,'2015'!$B$2:$G$338,6,FALSE)</f>
        <v>0</v>
      </c>
      <c r="G265" s="19">
        <f t="shared" si="8"/>
        <v>0</v>
      </c>
      <c r="H265" s="18">
        <f t="shared" si="9"/>
        <v>357922</v>
      </c>
    </row>
    <row r="266" spans="1:8" x14ac:dyDescent="0.2">
      <c r="A266">
        <v>2023</v>
      </c>
      <c r="B266" s="34">
        <v>5271</v>
      </c>
      <c r="C266" s="9" t="s">
        <v>273</v>
      </c>
      <c r="D266" s="10">
        <v>83317</v>
      </c>
      <c r="E266" s="10">
        <v>83317</v>
      </c>
      <c r="F266" s="11">
        <f>VLOOKUP(B266,'2015'!$B$2:$G$338,6,FALSE)</f>
        <v>0</v>
      </c>
      <c r="G266" s="19">
        <f t="shared" si="8"/>
        <v>0</v>
      </c>
      <c r="H266" s="18">
        <f t="shared" si="9"/>
        <v>83317</v>
      </c>
    </row>
    <row r="267" spans="1:8" x14ac:dyDescent="0.2">
      <c r="A267">
        <v>2023</v>
      </c>
      <c r="B267" s="34">
        <v>5272</v>
      </c>
      <c r="C267" s="9" t="s">
        <v>274</v>
      </c>
      <c r="D267" s="10">
        <v>4010562</v>
      </c>
      <c r="E267" s="10">
        <v>4010562</v>
      </c>
      <c r="F267" s="11">
        <f>VLOOKUP(B267,'2015'!$B$2:$G$338,6,FALSE)</f>
        <v>0</v>
      </c>
      <c r="G267" s="19">
        <f t="shared" si="8"/>
        <v>0</v>
      </c>
      <c r="H267" s="18">
        <f t="shared" si="9"/>
        <v>4010562</v>
      </c>
    </row>
    <row r="268" spans="1:8" x14ac:dyDescent="0.2">
      <c r="A268">
        <v>2023</v>
      </c>
      <c r="B268" s="34">
        <v>5274</v>
      </c>
      <c r="C268" s="9" t="s">
        <v>275</v>
      </c>
      <c r="D268" s="10">
        <v>840186</v>
      </c>
      <c r="E268" s="10">
        <v>840186</v>
      </c>
      <c r="F268" s="11">
        <f>VLOOKUP(B268,'2015'!$B$2:$G$338,6,FALSE)</f>
        <v>0</v>
      </c>
      <c r="G268" s="19">
        <f t="shared" si="8"/>
        <v>0</v>
      </c>
      <c r="H268" s="18">
        <f t="shared" si="9"/>
        <v>840186</v>
      </c>
    </row>
    <row r="269" spans="1:8" x14ac:dyDescent="0.2">
      <c r="A269">
        <v>2023</v>
      </c>
      <c r="B269" s="34">
        <v>5275</v>
      </c>
      <c r="C269" s="9" t="s">
        <v>276</v>
      </c>
      <c r="D269" s="10">
        <v>1971399</v>
      </c>
      <c r="E269" s="10">
        <v>1971399</v>
      </c>
      <c r="F269" s="11">
        <f>VLOOKUP(B269,'2015'!$B$2:$G$338,6,FALSE)</f>
        <v>0</v>
      </c>
      <c r="G269" s="19">
        <f t="shared" si="8"/>
        <v>0</v>
      </c>
      <c r="H269" s="18">
        <f t="shared" si="9"/>
        <v>1971399</v>
      </c>
    </row>
    <row r="270" spans="1:8" x14ac:dyDescent="0.2">
      <c r="A270">
        <v>2023</v>
      </c>
      <c r="B270" s="34">
        <v>5276</v>
      </c>
      <c r="C270" s="9" t="s">
        <v>277</v>
      </c>
      <c r="D270" s="10">
        <v>903209</v>
      </c>
      <c r="E270" s="10">
        <v>903209</v>
      </c>
      <c r="F270" s="11">
        <f>VLOOKUP(B270,'2015'!$B$2:$G$338,6,FALSE)</f>
        <v>0</v>
      </c>
      <c r="G270" s="19">
        <f t="shared" si="8"/>
        <v>0</v>
      </c>
      <c r="H270" s="18">
        <f t="shared" si="9"/>
        <v>903209</v>
      </c>
    </row>
    <row r="271" spans="1:8" x14ac:dyDescent="0.2">
      <c r="A271">
        <v>2023</v>
      </c>
      <c r="B271" s="34">
        <v>5278</v>
      </c>
      <c r="C271" s="9" t="s">
        <v>278</v>
      </c>
      <c r="D271" s="10">
        <v>318691</v>
      </c>
      <c r="E271" s="10">
        <v>318691</v>
      </c>
      <c r="F271" s="11">
        <f>VLOOKUP(B271,'2015'!$B$2:$G$338,6,FALSE)</f>
        <v>0</v>
      </c>
      <c r="G271" s="19">
        <f t="shared" si="8"/>
        <v>0</v>
      </c>
      <c r="H271" s="18">
        <f t="shared" si="9"/>
        <v>318691</v>
      </c>
    </row>
    <row r="272" spans="1:8" x14ac:dyDescent="0.2">
      <c r="A272">
        <v>2023</v>
      </c>
      <c r="B272" s="34">
        <v>5280</v>
      </c>
      <c r="C272" s="9" t="s">
        <v>279</v>
      </c>
      <c r="D272" s="10">
        <v>4995571</v>
      </c>
      <c r="E272" s="10">
        <v>4995571</v>
      </c>
      <c r="F272" s="11">
        <f>VLOOKUP(B272,'2015'!$B$2:$G$338,6,FALSE)</f>
        <v>0</v>
      </c>
      <c r="G272" s="19">
        <f t="shared" si="8"/>
        <v>0</v>
      </c>
      <c r="H272" s="18">
        <f t="shared" si="9"/>
        <v>4995571</v>
      </c>
    </row>
    <row r="273" spans="1:8" x14ac:dyDescent="0.2">
      <c r="A273">
        <v>2023</v>
      </c>
      <c r="B273" s="34">
        <v>5281</v>
      </c>
      <c r="C273" s="9" t="s">
        <v>280</v>
      </c>
      <c r="D273" s="10">
        <v>253057</v>
      </c>
      <c r="E273" s="10">
        <v>253057</v>
      </c>
      <c r="F273" s="11">
        <f>VLOOKUP(B273,'2015'!$B$2:$G$338,6,FALSE)</f>
        <v>0</v>
      </c>
      <c r="G273" s="19">
        <f t="shared" si="8"/>
        <v>0</v>
      </c>
      <c r="H273" s="18">
        <f t="shared" si="9"/>
        <v>253057</v>
      </c>
    </row>
    <row r="274" spans="1:8" x14ac:dyDescent="0.2">
      <c r="A274">
        <v>2023</v>
      </c>
      <c r="B274" s="34">
        <v>5283</v>
      </c>
      <c r="C274" s="9" t="s">
        <v>281</v>
      </c>
      <c r="D274" s="10">
        <v>490444</v>
      </c>
      <c r="E274" s="10">
        <v>490444</v>
      </c>
      <c r="F274" s="11">
        <f>VLOOKUP(B274,'2015'!$B$2:$G$338,6,FALSE)</f>
        <v>0</v>
      </c>
      <c r="G274" s="19">
        <f t="shared" si="8"/>
        <v>0</v>
      </c>
      <c r="H274" s="18">
        <f t="shared" si="9"/>
        <v>490444</v>
      </c>
    </row>
    <row r="275" spans="1:8" x14ac:dyDescent="0.2">
      <c r="A275">
        <v>2023</v>
      </c>
      <c r="B275" s="34">
        <v>5284</v>
      </c>
      <c r="C275" s="9" t="s">
        <v>282</v>
      </c>
      <c r="D275" s="10">
        <v>746680</v>
      </c>
      <c r="E275" s="10">
        <v>746680</v>
      </c>
      <c r="F275" s="11">
        <f>VLOOKUP(B275,'2015'!$B$2:$G$338,6,FALSE)</f>
        <v>0</v>
      </c>
      <c r="G275" s="19">
        <f t="shared" si="8"/>
        <v>0</v>
      </c>
      <c r="H275" s="18">
        <f t="shared" si="9"/>
        <v>746680</v>
      </c>
    </row>
    <row r="276" spans="1:8" x14ac:dyDescent="0.2">
      <c r="A276">
        <v>2023</v>
      </c>
      <c r="B276" s="34">
        <v>5285</v>
      </c>
      <c r="C276" s="9" t="s">
        <v>283</v>
      </c>
      <c r="D276" s="10">
        <v>378553</v>
      </c>
      <c r="E276" s="10">
        <v>378553</v>
      </c>
      <c r="F276" s="11">
        <f>VLOOKUP(B276,'2015'!$B$2:$G$338,6,FALSE)</f>
        <v>0</v>
      </c>
      <c r="G276" s="19">
        <f t="shared" si="8"/>
        <v>0</v>
      </c>
      <c r="H276" s="18">
        <f t="shared" si="9"/>
        <v>378553</v>
      </c>
    </row>
    <row r="277" spans="1:8" x14ac:dyDescent="0.2">
      <c r="A277">
        <v>2023</v>
      </c>
      <c r="B277" s="34">
        <v>5286</v>
      </c>
      <c r="C277" s="9" t="s">
        <v>284</v>
      </c>
      <c r="D277" s="10">
        <v>344662</v>
      </c>
      <c r="E277" s="10">
        <v>344662</v>
      </c>
      <c r="F277" s="11">
        <f>VLOOKUP(B277,'2015'!$B$2:$G$338,6,FALSE)</f>
        <v>0</v>
      </c>
      <c r="G277" s="19">
        <f t="shared" si="8"/>
        <v>0</v>
      </c>
      <c r="H277" s="18">
        <f t="shared" si="9"/>
        <v>344662</v>
      </c>
    </row>
    <row r="278" spans="1:8" x14ac:dyDescent="0.2">
      <c r="A278">
        <v>2023</v>
      </c>
      <c r="B278" s="34">
        <v>5287</v>
      </c>
      <c r="C278" s="9" t="s">
        <v>285</v>
      </c>
      <c r="D278" s="10">
        <v>573622</v>
      </c>
      <c r="E278" s="10">
        <v>573622</v>
      </c>
      <c r="F278" s="11">
        <f>VLOOKUP(B278,'2015'!$B$2:$G$338,6,FALSE)</f>
        <v>0</v>
      </c>
      <c r="G278" s="19">
        <f t="shared" si="8"/>
        <v>0</v>
      </c>
      <c r="H278" s="18">
        <f t="shared" si="9"/>
        <v>573622</v>
      </c>
    </row>
    <row r="279" spans="1:8" x14ac:dyDescent="0.2">
      <c r="A279">
        <v>2023</v>
      </c>
      <c r="B279" s="34">
        <v>5288</v>
      </c>
      <c r="C279" s="9" t="s">
        <v>286</v>
      </c>
      <c r="D279" s="10">
        <v>360610</v>
      </c>
      <c r="E279" s="10">
        <v>360610</v>
      </c>
      <c r="F279" s="11">
        <f>VLOOKUP(B279,'2015'!$B$2:$G$338,6,FALSE)</f>
        <v>0</v>
      </c>
      <c r="G279" s="19">
        <f t="shared" si="8"/>
        <v>0</v>
      </c>
      <c r="H279" s="18">
        <f t="shared" si="9"/>
        <v>360610</v>
      </c>
    </row>
    <row r="280" spans="1:8" x14ac:dyDescent="0.2">
      <c r="A280">
        <v>2023</v>
      </c>
      <c r="B280" s="34">
        <v>5289</v>
      </c>
      <c r="C280" s="9" t="s">
        <v>287</v>
      </c>
      <c r="D280" s="10">
        <v>411172</v>
      </c>
      <c r="E280" s="10">
        <v>411172</v>
      </c>
      <c r="F280" s="11">
        <f>VLOOKUP(B280,'2015'!$B$2:$G$338,6,FALSE)</f>
        <v>0</v>
      </c>
      <c r="G280" s="19">
        <f t="shared" si="8"/>
        <v>0</v>
      </c>
      <c r="H280" s="18">
        <f t="shared" si="9"/>
        <v>411172</v>
      </c>
    </row>
    <row r="281" spans="1:8" x14ac:dyDescent="0.2">
      <c r="A281">
        <v>2023</v>
      </c>
      <c r="B281" s="34">
        <v>5291</v>
      </c>
      <c r="C281" s="9" t="s">
        <v>288</v>
      </c>
      <c r="D281" s="10">
        <v>537443</v>
      </c>
      <c r="E281" s="10">
        <v>537443</v>
      </c>
      <c r="F281" s="11">
        <f>VLOOKUP(B281,'2015'!$B$2:$G$338,6,FALSE)</f>
        <v>0</v>
      </c>
      <c r="G281" s="19">
        <f t="shared" si="8"/>
        <v>0</v>
      </c>
      <c r="H281" s="18">
        <f t="shared" si="9"/>
        <v>537443</v>
      </c>
    </row>
    <row r="282" spans="1:8" x14ac:dyDescent="0.2">
      <c r="A282">
        <v>2023</v>
      </c>
      <c r="B282" s="34">
        <v>5292</v>
      </c>
      <c r="C282" s="9" t="s">
        <v>289</v>
      </c>
      <c r="D282" s="10">
        <v>1614378</v>
      </c>
      <c r="E282" s="10">
        <v>1614378</v>
      </c>
      <c r="F282" s="11">
        <f>VLOOKUP(B282,'2015'!$B$2:$G$338,6,FALSE)</f>
        <v>0</v>
      </c>
      <c r="G282" s="19">
        <f t="shared" si="8"/>
        <v>0</v>
      </c>
      <c r="H282" s="18">
        <f t="shared" si="9"/>
        <v>1614378</v>
      </c>
    </row>
    <row r="283" spans="1:8" x14ac:dyDescent="0.2">
      <c r="A283">
        <v>2023</v>
      </c>
      <c r="B283" s="34">
        <v>5293</v>
      </c>
      <c r="C283" s="9" t="s">
        <v>290</v>
      </c>
      <c r="D283" s="10">
        <v>364736</v>
      </c>
      <c r="E283" s="10">
        <v>364736</v>
      </c>
      <c r="F283" s="11">
        <f>VLOOKUP(B283,'2015'!$B$2:$G$338,6,FALSE)</f>
        <v>0</v>
      </c>
      <c r="G283" s="19">
        <f t="shared" si="8"/>
        <v>0</v>
      </c>
      <c r="H283" s="18">
        <f t="shared" si="9"/>
        <v>364736</v>
      </c>
    </row>
    <row r="284" spans="1:8" x14ac:dyDescent="0.2">
      <c r="A284">
        <v>2023</v>
      </c>
      <c r="B284" s="34">
        <v>5294</v>
      </c>
      <c r="C284" s="9" t="s">
        <v>291</v>
      </c>
      <c r="D284" s="10">
        <v>885250</v>
      </c>
      <c r="E284" s="10">
        <v>885250</v>
      </c>
      <c r="F284" s="11">
        <f>VLOOKUP(B284,'2015'!$B$2:$G$338,6,FALSE)</f>
        <v>0</v>
      </c>
      <c r="G284" s="19">
        <f t="shared" si="8"/>
        <v>0</v>
      </c>
      <c r="H284" s="18">
        <f t="shared" si="9"/>
        <v>885250</v>
      </c>
    </row>
    <row r="285" spans="1:8" x14ac:dyDescent="0.2">
      <c r="A285">
        <v>2023</v>
      </c>
      <c r="B285" s="34">
        <v>5295</v>
      </c>
      <c r="C285" s="9" t="s">
        <v>292</v>
      </c>
      <c r="D285" s="10">
        <v>290227</v>
      </c>
      <c r="E285" s="10">
        <v>290227</v>
      </c>
      <c r="F285" s="11">
        <f>VLOOKUP(B285,'2015'!$B$2:$G$338,6,FALSE)</f>
        <v>0</v>
      </c>
      <c r="G285" s="19">
        <f t="shared" si="8"/>
        <v>0</v>
      </c>
      <c r="H285" s="18">
        <f t="shared" si="9"/>
        <v>290227</v>
      </c>
    </row>
    <row r="286" spans="1:8" x14ac:dyDescent="0.2">
      <c r="A286">
        <v>2023</v>
      </c>
      <c r="B286" s="34">
        <v>5296</v>
      </c>
      <c r="C286" s="9" t="s">
        <v>293</v>
      </c>
      <c r="D286" s="10">
        <v>1155508</v>
      </c>
      <c r="E286" s="10">
        <v>1155508</v>
      </c>
      <c r="F286" s="11">
        <f>VLOOKUP(B286,'2015'!$B$2:$G$338,6,FALSE)</f>
        <v>0</v>
      </c>
      <c r="G286" s="19">
        <f t="shared" si="8"/>
        <v>0</v>
      </c>
      <c r="H286" s="18">
        <f t="shared" si="9"/>
        <v>1155508</v>
      </c>
    </row>
    <row r="287" spans="1:8" x14ac:dyDescent="0.2">
      <c r="A287">
        <v>2023</v>
      </c>
      <c r="B287" s="34">
        <v>5297</v>
      </c>
      <c r="C287" s="9" t="s">
        <v>294</v>
      </c>
      <c r="D287" s="10">
        <v>731587</v>
      </c>
      <c r="E287" s="10">
        <v>731587</v>
      </c>
      <c r="F287" s="11">
        <f>VLOOKUP(B287,'2015'!$B$2:$G$338,6,FALSE)</f>
        <v>0</v>
      </c>
      <c r="G287" s="19">
        <f t="shared" si="8"/>
        <v>0</v>
      </c>
      <c r="H287" s="18">
        <f t="shared" si="9"/>
        <v>731587</v>
      </c>
    </row>
    <row r="288" spans="1:8" x14ac:dyDescent="0.2">
      <c r="A288">
        <v>2023</v>
      </c>
      <c r="B288" s="34">
        <v>5298</v>
      </c>
      <c r="C288" s="9" t="s">
        <v>295</v>
      </c>
      <c r="D288" s="10">
        <v>72192</v>
      </c>
      <c r="E288" s="10">
        <v>72192</v>
      </c>
      <c r="F288" s="11">
        <f>VLOOKUP(B288,'2015'!$B$2:$G$338,6,FALSE)</f>
        <v>0</v>
      </c>
      <c r="G288" s="19">
        <f t="shared" si="8"/>
        <v>0</v>
      </c>
      <c r="H288" s="18">
        <f t="shared" si="9"/>
        <v>72192</v>
      </c>
    </row>
    <row r="289" spans="1:8" x14ac:dyDescent="0.2">
      <c r="A289">
        <v>2023</v>
      </c>
      <c r="B289" s="34">
        <v>5299</v>
      </c>
      <c r="C289" s="9" t="s">
        <v>296</v>
      </c>
      <c r="D289" s="10">
        <v>241736</v>
      </c>
      <c r="E289" s="10">
        <v>241736</v>
      </c>
      <c r="F289" s="11">
        <f>VLOOKUP(B289,'2015'!$B$2:$G$338,6,FALSE)</f>
        <v>0</v>
      </c>
      <c r="G289" s="19">
        <f t="shared" si="8"/>
        <v>0</v>
      </c>
      <c r="H289" s="18">
        <f t="shared" si="9"/>
        <v>241736</v>
      </c>
    </row>
    <row r="290" spans="1:8" x14ac:dyDescent="0.2">
      <c r="A290">
        <v>2023</v>
      </c>
      <c r="B290" s="34">
        <v>5300</v>
      </c>
      <c r="C290" s="9" t="s">
        <v>297</v>
      </c>
      <c r="D290" s="10">
        <v>622764</v>
      </c>
      <c r="E290" s="10">
        <v>622764</v>
      </c>
      <c r="F290" s="11">
        <f>VLOOKUP(B290,'2015'!$B$2:$G$338,6,FALSE)</f>
        <v>0</v>
      </c>
      <c r="G290" s="19">
        <f t="shared" si="8"/>
        <v>0</v>
      </c>
      <c r="H290" s="18">
        <f t="shared" si="9"/>
        <v>622764</v>
      </c>
    </row>
    <row r="291" spans="1:8" x14ac:dyDescent="0.2">
      <c r="A291">
        <v>2023</v>
      </c>
      <c r="B291" s="34">
        <v>5302</v>
      </c>
      <c r="C291" s="9" t="s">
        <v>298</v>
      </c>
      <c r="D291" s="10">
        <v>4005799</v>
      </c>
      <c r="E291" s="10">
        <v>4005799</v>
      </c>
      <c r="F291" s="11">
        <f>VLOOKUP(B291,'2015'!$B$2:$G$338,6,FALSE)</f>
        <v>0</v>
      </c>
      <c r="G291" s="19">
        <f t="shared" si="8"/>
        <v>0</v>
      </c>
      <c r="H291" s="18">
        <f t="shared" si="9"/>
        <v>4005799</v>
      </c>
    </row>
    <row r="292" spans="1:8" x14ac:dyDescent="0.2">
      <c r="A292">
        <v>2023</v>
      </c>
      <c r="B292" s="34">
        <v>5216</v>
      </c>
      <c r="C292" s="9" t="s">
        <v>299</v>
      </c>
      <c r="D292" s="12">
        <v>984386</v>
      </c>
      <c r="E292" s="12">
        <v>984386</v>
      </c>
      <c r="F292" s="11">
        <f>VLOOKUP(B292,'2015'!$B$2:$G$338,6,FALSE)</f>
        <v>0</v>
      </c>
      <c r="G292" s="19">
        <f t="shared" si="8"/>
        <v>0</v>
      </c>
      <c r="H292" s="18">
        <f t="shared" si="9"/>
        <v>984386</v>
      </c>
    </row>
    <row r="293" spans="1:8" x14ac:dyDescent="0.2">
      <c r="A293">
        <v>2023</v>
      </c>
      <c r="B293" s="34">
        <v>5304</v>
      </c>
      <c r="C293" s="9" t="s">
        <v>300</v>
      </c>
      <c r="D293" s="10">
        <v>1426641</v>
      </c>
      <c r="E293" s="10">
        <v>1426641</v>
      </c>
      <c r="F293" s="11">
        <f>VLOOKUP(B293,'2015'!$B$2:$G$338,6,FALSE)</f>
        <v>0</v>
      </c>
      <c r="G293" s="19">
        <f t="shared" si="8"/>
        <v>0</v>
      </c>
      <c r="H293" s="18">
        <f t="shared" si="9"/>
        <v>1426641</v>
      </c>
    </row>
    <row r="294" spans="1:8" x14ac:dyDescent="0.2">
      <c r="A294">
        <v>2023</v>
      </c>
      <c r="B294" s="34">
        <v>5305</v>
      </c>
      <c r="C294" s="9" t="s">
        <v>301</v>
      </c>
      <c r="D294" s="10">
        <v>303771</v>
      </c>
      <c r="E294" s="10">
        <v>303771</v>
      </c>
      <c r="F294" s="11">
        <f>VLOOKUP(B294,'2015'!$B$2:$G$338,6,FALSE)</f>
        <v>0</v>
      </c>
      <c r="G294" s="19">
        <f t="shared" si="8"/>
        <v>0</v>
      </c>
      <c r="H294" s="18">
        <f t="shared" si="9"/>
        <v>303771</v>
      </c>
    </row>
    <row r="295" spans="1:8" x14ac:dyDescent="0.2">
      <c r="A295">
        <v>2023</v>
      </c>
      <c r="B295" s="34">
        <v>5306</v>
      </c>
      <c r="C295" s="9" t="s">
        <v>302</v>
      </c>
      <c r="D295" s="10">
        <v>1125387</v>
      </c>
      <c r="E295" s="10">
        <v>1125387</v>
      </c>
      <c r="F295" s="11">
        <f>VLOOKUP(B295,'2015'!$B$2:$G$338,6,FALSE)</f>
        <v>0</v>
      </c>
      <c r="G295" s="19">
        <f t="shared" si="8"/>
        <v>0</v>
      </c>
      <c r="H295" s="18">
        <f t="shared" si="9"/>
        <v>1125387</v>
      </c>
    </row>
    <row r="296" spans="1:8" x14ac:dyDescent="0.2">
      <c r="A296">
        <v>2023</v>
      </c>
      <c r="B296" s="34">
        <v>5307</v>
      </c>
      <c r="C296" s="9" t="s">
        <v>303</v>
      </c>
      <c r="D296" s="10">
        <v>186955</v>
      </c>
      <c r="E296" s="10">
        <v>186955</v>
      </c>
      <c r="F296" s="11">
        <f>VLOOKUP(B296,'2015'!$B$2:$G$338,6,FALSE)</f>
        <v>0</v>
      </c>
      <c r="G296" s="19">
        <f t="shared" si="8"/>
        <v>0</v>
      </c>
      <c r="H296" s="18">
        <f t="shared" si="9"/>
        <v>186955</v>
      </c>
    </row>
    <row r="297" spans="1:8" x14ac:dyDescent="0.2">
      <c r="A297">
        <v>2023</v>
      </c>
      <c r="B297" s="34">
        <v>5308</v>
      </c>
      <c r="C297" s="9" t="s">
        <v>304</v>
      </c>
      <c r="D297" s="10">
        <v>9769389</v>
      </c>
      <c r="E297" s="10">
        <v>9769389</v>
      </c>
      <c r="F297" s="11">
        <f>VLOOKUP(B297,'2015'!$B$2:$G$338,6,FALSE)</f>
        <v>0</v>
      </c>
      <c r="G297" s="19">
        <f t="shared" si="8"/>
        <v>0</v>
      </c>
      <c r="H297" s="18">
        <f t="shared" si="9"/>
        <v>9769389</v>
      </c>
    </row>
    <row r="298" spans="1:8" x14ac:dyDescent="0.2">
      <c r="A298">
        <v>2023</v>
      </c>
      <c r="B298" s="34">
        <v>5309</v>
      </c>
      <c r="C298" s="9" t="s">
        <v>305</v>
      </c>
      <c r="D298" s="10">
        <v>767962</v>
      </c>
      <c r="E298" s="10">
        <v>767962</v>
      </c>
      <c r="F298" s="11">
        <f>VLOOKUP(B298,'2015'!$B$2:$G$338,6,FALSE)</f>
        <v>0</v>
      </c>
      <c r="G298" s="19">
        <f t="shared" si="8"/>
        <v>0</v>
      </c>
      <c r="H298" s="18">
        <f t="shared" si="9"/>
        <v>767962</v>
      </c>
    </row>
    <row r="299" spans="1:8" x14ac:dyDescent="0.2">
      <c r="A299">
        <v>2023</v>
      </c>
      <c r="B299" s="34">
        <v>5310</v>
      </c>
      <c r="C299" s="9" t="s">
        <v>306</v>
      </c>
      <c r="D299" s="10">
        <v>122791</v>
      </c>
      <c r="E299" s="10">
        <v>122791</v>
      </c>
      <c r="F299" s="11">
        <f>VLOOKUP(B299,'2015'!$B$2:$G$338,6,FALSE)</f>
        <v>0</v>
      </c>
      <c r="G299" s="19">
        <f t="shared" si="8"/>
        <v>0</v>
      </c>
      <c r="H299" s="18">
        <f t="shared" si="9"/>
        <v>122791</v>
      </c>
    </row>
    <row r="300" spans="1:8" x14ac:dyDescent="0.2">
      <c r="A300">
        <v>2023</v>
      </c>
      <c r="B300" s="34">
        <v>5312</v>
      </c>
      <c r="C300" s="9" t="s">
        <v>307</v>
      </c>
      <c r="D300" s="10">
        <v>3961176</v>
      </c>
      <c r="E300" s="10">
        <v>3961176</v>
      </c>
      <c r="F300" s="11">
        <f>VLOOKUP(B300,'2015'!$B$2:$G$338,6,FALSE)</f>
        <v>0</v>
      </c>
      <c r="G300" s="19">
        <f t="shared" si="8"/>
        <v>0</v>
      </c>
      <c r="H300" s="18">
        <f t="shared" si="9"/>
        <v>3961176</v>
      </c>
    </row>
    <row r="301" spans="1:8" x14ac:dyDescent="0.2">
      <c r="A301">
        <v>2023</v>
      </c>
      <c r="B301" s="34">
        <v>5313</v>
      </c>
      <c r="C301" s="9" t="s">
        <v>308</v>
      </c>
      <c r="D301" s="10">
        <v>340849</v>
      </c>
      <c r="E301" s="10">
        <v>340849</v>
      </c>
      <c r="F301" s="11">
        <f>VLOOKUP(B301,'2015'!$B$2:$G$338,6,FALSE)</f>
        <v>0</v>
      </c>
      <c r="G301" s="19">
        <f t="shared" si="8"/>
        <v>0</v>
      </c>
      <c r="H301" s="18">
        <f t="shared" si="9"/>
        <v>340849</v>
      </c>
    </row>
    <row r="302" spans="1:8" x14ac:dyDescent="0.2">
      <c r="A302">
        <v>2023</v>
      </c>
      <c r="B302" s="34">
        <v>5314</v>
      </c>
      <c r="C302" s="9" t="s">
        <v>309</v>
      </c>
      <c r="D302" s="10">
        <v>16990727</v>
      </c>
      <c r="E302" s="10">
        <v>16990727</v>
      </c>
      <c r="F302" s="11">
        <f>VLOOKUP(B302,'2015'!$B$2:$G$338,6,FALSE)</f>
        <v>0</v>
      </c>
      <c r="G302" s="19">
        <f t="shared" si="8"/>
        <v>0</v>
      </c>
      <c r="H302" s="18">
        <f t="shared" si="9"/>
        <v>16990727</v>
      </c>
    </row>
    <row r="303" spans="1:8" x14ac:dyDescent="0.2">
      <c r="A303">
        <v>2023</v>
      </c>
      <c r="B303" s="34">
        <v>5316</v>
      </c>
      <c r="C303" s="9" t="s">
        <v>310</v>
      </c>
      <c r="D303" s="10">
        <v>403657</v>
      </c>
      <c r="E303" s="10">
        <v>403657</v>
      </c>
      <c r="F303" s="11">
        <f>VLOOKUP(B303,'2015'!$B$2:$G$338,6,FALSE)</f>
        <v>0</v>
      </c>
      <c r="G303" s="19">
        <f t="shared" si="8"/>
        <v>0</v>
      </c>
      <c r="H303" s="18">
        <f t="shared" si="9"/>
        <v>403657</v>
      </c>
    </row>
    <row r="304" spans="1:8" x14ac:dyDescent="0.2">
      <c r="A304">
        <v>2023</v>
      </c>
      <c r="B304" s="34">
        <v>5317</v>
      </c>
      <c r="C304" s="9" t="s">
        <v>311</v>
      </c>
      <c r="D304" s="10">
        <v>510322</v>
      </c>
      <c r="E304" s="10">
        <v>510322</v>
      </c>
      <c r="F304" s="11">
        <f>VLOOKUP(B304,'2015'!$B$2:$G$338,6,FALSE)</f>
        <v>0</v>
      </c>
      <c r="G304" s="19">
        <f t="shared" si="8"/>
        <v>0</v>
      </c>
      <c r="H304" s="18">
        <f t="shared" si="9"/>
        <v>510322</v>
      </c>
    </row>
    <row r="305" spans="1:8" x14ac:dyDescent="0.2">
      <c r="A305">
        <v>2023</v>
      </c>
      <c r="B305" s="34">
        <v>5318</v>
      </c>
      <c r="C305" s="9" t="s">
        <v>312</v>
      </c>
      <c r="D305" s="10">
        <v>537199</v>
      </c>
      <c r="E305" s="10">
        <v>537199</v>
      </c>
      <c r="F305" s="11">
        <f>VLOOKUP(B305,'2015'!$B$2:$G$338,6,FALSE)</f>
        <v>0</v>
      </c>
      <c r="G305" s="19">
        <f t="shared" si="8"/>
        <v>0</v>
      </c>
      <c r="H305" s="18">
        <f t="shared" si="9"/>
        <v>537199</v>
      </c>
    </row>
    <row r="306" spans="1:8" x14ac:dyDescent="0.2">
      <c r="A306">
        <v>2023</v>
      </c>
      <c r="B306" s="34">
        <v>5319</v>
      </c>
      <c r="C306" s="9" t="s">
        <v>313</v>
      </c>
      <c r="D306" s="10">
        <v>833706</v>
      </c>
      <c r="E306" s="10">
        <v>833706</v>
      </c>
      <c r="F306" s="11">
        <f>VLOOKUP(B306,'2015'!$B$2:$G$338,6,FALSE)</f>
        <v>0</v>
      </c>
      <c r="G306" s="19">
        <f t="shared" si="8"/>
        <v>0</v>
      </c>
      <c r="H306" s="18">
        <f t="shared" si="9"/>
        <v>833706</v>
      </c>
    </row>
    <row r="307" spans="1:8" x14ac:dyDescent="0.2">
      <c r="A307">
        <v>2023</v>
      </c>
      <c r="B307" s="34">
        <v>5320</v>
      </c>
      <c r="C307" s="9" t="s">
        <v>314</v>
      </c>
      <c r="D307" s="10">
        <v>224938</v>
      </c>
      <c r="E307" s="10">
        <v>224938</v>
      </c>
      <c r="F307" s="11">
        <f>VLOOKUP(B307,'2015'!$B$2:$G$338,6,FALSE)</f>
        <v>0</v>
      </c>
      <c r="G307" s="19">
        <f t="shared" si="8"/>
        <v>0</v>
      </c>
      <c r="H307" s="18">
        <f t="shared" si="9"/>
        <v>224938</v>
      </c>
    </row>
    <row r="308" spans="1:8" x14ac:dyDescent="0.2">
      <c r="A308">
        <v>2023</v>
      </c>
      <c r="B308" s="34">
        <v>5321</v>
      </c>
      <c r="C308" s="9" t="s">
        <v>315</v>
      </c>
      <c r="D308" s="10">
        <v>405652</v>
      </c>
      <c r="E308" s="10">
        <v>405652</v>
      </c>
      <c r="F308" s="11">
        <f>VLOOKUP(B308,'2015'!$B$2:$G$338,6,FALSE)</f>
        <v>0</v>
      </c>
      <c r="G308" s="19">
        <f t="shared" si="8"/>
        <v>0</v>
      </c>
      <c r="H308" s="18">
        <f t="shared" si="9"/>
        <v>405652</v>
      </c>
    </row>
    <row r="309" spans="1:8" x14ac:dyDescent="0.2">
      <c r="A309">
        <v>2023</v>
      </c>
      <c r="B309" s="34">
        <v>5322</v>
      </c>
      <c r="C309" s="9" t="s">
        <v>316</v>
      </c>
      <c r="D309" s="10">
        <v>462658</v>
      </c>
      <c r="E309" s="10">
        <v>462658</v>
      </c>
      <c r="F309" s="11">
        <f>VLOOKUP(B309,'2015'!$B$2:$G$338,6,FALSE)</f>
        <v>0</v>
      </c>
      <c r="G309" s="19">
        <f t="shared" si="8"/>
        <v>0</v>
      </c>
      <c r="H309" s="18">
        <f t="shared" si="9"/>
        <v>462658</v>
      </c>
    </row>
    <row r="310" spans="1:8" x14ac:dyDescent="0.2">
      <c r="A310">
        <v>2023</v>
      </c>
      <c r="B310" s="34">
        <v>5324</v>
      </c>
      <c r="C310" s="9" t="s">
        <v>317</v>
      </c>
      <c r="D310" s="10">
        <v>27775027</v>
      </c>
      <c r="E310" s="10">
        <v>27775027</v>
      </c>
      <c r="F310" s="11">
        <f>VLOOKUP(B310,'2015'!$B$2:$G$338,6,FALSE)</f>
        <v>0</v>
      </c>
      <c r="G310" s="19">
        <f t="shared" si="8"/>
        <v>0</v>
      </c>
      <c r="H310" s="18">
        <f t="shared" si="9"/>
        <v>27775027</v>
      </c>
    </row>
    <row r="311" spans="1:8" x14ac:dyDescent="0.2">
      <c r="A311">
        <v>2023</v>
      </c>
      <c r="B311" s="34">
        <v>5329</v>
      </c>
      <c r="C311" s="9" t="s">
        <v>318</v>
      </c>
      <c r="D311" s="10">
        <v>198207</v>
      </c>
      <c r="E311" s="10">
        <v>198207</v>
      </c>
      <c r="F311" s="11">
        <f>VLOOKUP(B311,'2015'!$B$2:$G$338,6,FALSE)</f>
        <v>0</v>
      </c>
      <c r="G311" s="19">
        <f t="shared" si="8"/>
        <v>0</v>
      </c>
      <c r="H311" s="18">
        <f t="shared" si="9"/>
        <v>198207</v>
      </c>
    </row>
    <row r="312" spans="1:8" x14ac:dyDescent="0.2">
      <c r="A312">
        <v>2023</v>
      </c>
      <c r="B312" s="34">
        <v>5330</v>
      </c>
      <c r="C312" s="9" t="s">
        <v>319</v>
      </c>
      <c r="D312" s="10">
        <v>885350</v>
      </c>
      <c r="E312" s="10">
        <v>885350</v>
      </c>
      <c r="F312" s="11">
        <f>VLOOKUP(B312,'2015'!$B$2:$G$338,6,FALSE)</f>
        <v>0</v>
      </c>
      <c r="G312" s="19">
        <f t="shared" si="8"/>
        <v>0</v>
      </c>
      <c r="H312" s="18">
        <f t="shared" si="9"/>
        <v>885350</v>
      </c>
    </row>
    <row r="313" spans="1:8" x14ac:dyDescent="0.2">
      <c r="A313">
        <v>2023</v>
      </c>
      <c r="B313" s="34">
        <v>5331</v>
      </c>
      <c r="C313" s="9" t="s">
        <v>320</v>
      </c>
      <c r="D313" s="10">
        <v>1259989</v>
      </c>
      <c r="E313" s="10">
        <v>1259989</v>
      </c>
      <c r="F313" s="11">
        <f>VLOOKUP(B313,'2015'!$B$2:$G$338,6,FALSE)</f>
        <v>0</v>
      </c>
      <c r="G313" s="19">
        <f t="shared" si="8"/>
        <v>0</v>
      </c>
      <c r="H313" s="18">
        <f t="shared" si="9"/>
        <v>1259989</v>
      </c>
    </row>
    <row r="314" spans="1:8" x14ac:dyDescent="0.2">
      <c r="A314">
        <v>2023</v>
      </c>
      <c r="B314" s="34">
        <v>5332</v>
      </c>
      <c r="C314" s="9" t="s">
        <v>321</v>
      </c>
      <c r="D314" s="10">
        <v>1262902</v>
      </c>
      <c r="E314" s="10">
        <v>1262902</v>
      </c>
      <c r="F314" s="11">
        <f>VLOOKUP(B314,'2015'!$B$2:$G$338,6,FALSE)</f>
        <v>0</v>
      </c>
      <c r="G314" s="19">
        <f t="shared" si="8"/>
        <v>0</v>
      </c>
      <c r="H314" s="18">
        <f t="shared" si="9"/>
        <v>1262902</v>
      </c>
    </row>
    <row r="315" spans="1:8" x14ac:dyDescent="0.2">
      <c r="A315">
        <v>2023</v>
      </c>
      <c r="B315" s="34">
        <v>5333</v>
      </c>
      <c r="C315" s="9" t="s">
        <v>322</v>
      </c>
      <c r="D315" s="10">
        <v>405802</v>
      </c>
      <c r="E315" s="10">
        <v>405802</v>
      </c>
      <c r="F315" s="11">
        <f>VLOOKUP(B315,'2015'!$B$2:$G$338,6,FALSE)</f>
        <v>0</v>
      </c>
      <c r="G315" s="19">
        <f t="shared" si="8"/>
        <v>0</v>
      </c>
      <c r="H315" s="18">
        <f t="shared" si="9"/>
        <v>405802</v>
      </c>
    </row>
    <row r="316" spans="1:8" x14ac:dyDescent="0.2">
      <c r="A316">
        <v>2023</v>
      </c>
      <c r="B316" s="34">
        <v>5337</v>
      </c>
      <c r="C316" s="9" t="s">
        <v>323</v>
      </c>
      <c r="D316" s="10">
        <v>1706850</v>
      </c>
      <c r="E316" s="10">
        <v>1706850</v>
      </c>
      <c r="F316" s="11">
        <f>VLOOKUP(B316,'2015'!$B$2:$G$338,6,FALSE)</f>
        <v>0</v>
      </c>
      <c r="G316" s="19">
        <f t="shared" si="8"/>
        <v>0</v>
      </c>
      <c r="H316" s="18">
        <f t="shared" si="9"/>
        <v>1706850</v>
      </c>
    </row>
    <row r="317" spans="1:8" x14ac:dyDescent="0.2">
      <c r="A317">
        <v>2023</v>
      </c>
      <c r="B317" s="34">
        <v>5366</v>
      </c>
      <c r="C317" s="9" t="s">
        <v>324</v>
      </c>
      <c r="D317" s="10">
        <v>888419</v>
      </c>
      <c r="E317" s="10">
        <v>888419</v>
      </c>
      <c r="F317" s="11">
        <f>VLOOKUP(B317,'2015'!$B$2:$G$338,6,FALSE)</f>
        <v>0</v>
      </c>
      <c r="G317" s="19">
        <f t="shared" si="8"/>
        <v>0</v>
      </c>
      <c r="H317" s="18">
        <f t="shared" si="9"/>
        <v>888419</v>
      </c>
    </row>
    <row r="318" spans="1:8" x14ac:dyDescent="0.2">
      <c r="A318">
        <v>2023</v>
      </c>
      <c r="B318" s="34">
        <v>5367</v>
      </c>
      <c r="C318" s="9" t="s">
        <v>325</v>
      </c>
      <c r="D318" s="10">
        <v>337214</v>
      </c>
      <c r="E318" s="10">
        <v>337214</v>
      </c>
      <c r="F318" s="11">
        <f>VLOOKUP(B318,'2015'!$B$2:$G$338,6,FALSE)</f>
        <v>0</v>
      </c>
      <c r="G318" s="19">
        <f t="shared" si="8"/>
        <v>0</v>
      </c>
      <c r="H318" s="18">
        <f t="shared" si="9"/>
        <v>337214</v>
      </c>
    </row>
    <row r="319" spans="1:8" x14ac:dyDescent="0.2">
      <c r="A319">
        <v>2023</v>
      </c>
      <c r="B319" s="34">
        <v>5368</v>
      </c>
      <c r="C319" s="9" t="s">
        <v>326</v>
      </c>
      <c r="D319" s="10">
        <v>451191</v>
      </c>
      <c r="E319" s="10">
        <v>451191</v>
      </c>
      <c r="F319" s="11">
        <f>VLOOKUP(B319,'2015'!$B$2:$G$338,6,FALSE)</f>
        <v>0</v>
      </c>
      <c r="G319" s="19">
        <f t="shared" si="8"/>
        <v>0</v>
      </c>
      <c r="H319" s="18">
        <f t="shared" si="9"/>
        <v>451191</v>
      </c>
    </row>
    <row r="320" spans="1:8" x14ac:dyDescent="0.2">
      <c r="A320">
        <v>2023</v>
      </c>
      <c r="B320" s="34">
        <v>5405</v>
      </c>
      <c r="C320" s="9" t="s">
        <v>327</v>
      </c>
      <c r="D320" s="10">
        <v>168789</v>
      </c>
      <c r="E320" s="10">
        <v>168789</v>
      </c>
      <c r="F320" s="11">
        <f>VLOOKUP(B320,'2015'!$B$2:$G$338,6,FALSE)</f>
        <v>0</v>
      </c>
      <c r="G320" s="19">
        <f t="shared" si="8"/>
        <v>0</v>
      </c>
      <c r="H320" s="18">
        <f t="shared" si="9"/>
        <v>168789</v>
      </c>
    </row>
    <row r="321" spans="1:8" x14ac:dyDescent="0.2">
      <c r="A321">
        <v>2023</v>
      </c>
      <c r="B321" s="34">
        <v>5409</v>
      </c>
      <c r="C321" s="9" t="s">
        <v>328</v>
      </c>
      <c r="D321" s="10">
        <v>241509</v>
      </c>
      <c r="E321" s="10">
        <v>241509</v>
      </c>
      <c r="F321" s="11">
        <f>VLOOKUP(B321,'2015'!$B$2:$G$338,6,FALSE)</f>
        <v>0</v>
      </c>
      <c r="G321" s="19">
        <f t="shared" si="8"/>
        <v>0</v>
      </c>
      <c r="H321" s="18">
        <f t="shared" si="9"/>
        <v>241509</v>
      </c>
    </row>
    <row r="322" spans="1:8" x14ac:dyDescent="0.2">
      <c r="A322">
        <v>2023</v>
      </c>
      <c r="B322" s="34">
        <v>5410</v>
      </c>
      <c r="C322" s="9" t="s">
        <v>329</v>
      </c>
      <c r="D322" s="10">
        <v>222970</v>
      </c>
      <c r="E322" s="10">
        <v>222970</v>
      </c>
      <c r="F322" s="11">
        <f>VLOOKUP(B322,'2015'!$B$2:$G$338,6,FALSE)</f>
        <v>0</v>
      </c>
      <c r="G322" s="19">
        <f t="shared" si="8"/>
        <v>0</v>
      </c>
      <c r="H322" s="18">
        <f t="shared" si="9"/>
        <v>222970</v>
      </c>
    </row>
    <row r="323" spans="1:8" x14ac:dyDescent="0.2">
      <c r="A323">
        <v>2023</v>
      </c>
      <c r="B323" s="34">
        <v>5430</v>
      </c>
      <c r="C323" s="9" t="s">
        <v>330</v>
      </c>
      <c r="D323" s="10">
        <v>22233131</v>
      </c>
      <c r="E323" s="10">
        <v>22233131</v>
      </c>
      <c r="F323" s="11">
        <f>VLOOKUP(B323,'2015'!$B$2:$G$338,6,FALSE)</f>
        <v>0</v>
      </c>
      <c r="G323" s="19">
        <f t="shared" ref="G323:G338" si="10">F323*$D$341</f>
        <v>0</v>
      </c>
      <c r="H323" s="18">
        <f t="shared" ref="H323:H338" si="11">SUM(G323,D323)</f>
        <v>22233131</v>
      </c>
    </row>
    <row r="324" spans="1:8" x14ac:dyDescent="0.2">
      <c r="A324">
        <v>2023</v>
      </c>
      <c r="B324" s="34">
        <v>5436</v>
      </c>
      <c r="C324" s="9" t="s">
        <v>331</v>
      </c>
      <c r="D324" s="10">
        <v>623132</v>
      </c>
      <c r="E324" s="10">
        <v>623132</v>
      </c>
      <c r="F324" s="11">
        <f>VLOOKUP(B324,'2015'!$B$2:$G$338,6,FALSE)</f>
        <v>0</v>
      </c>
      <c r="G324" s="19">
        <f t="shared" si="10"/>
        <v>0</v>
      </c>
      <c r="H324" s="18">
        <f t="shared" si="11"/>
        <v>623132</v>
      </c>
    </row>
    <row r="325" spans="1:8" x14ac:dyDescent="0.2">
      <c r="A325">
        <v>2023</v>
      </c>
      <c r="B325" s="34">
        <v>5590</v>
      </c>
      <c r="C325" s="9" t="s">
        <v>332</v>
      </c>
      <c r="D325" s="10">
        <v>160624</v>
      </c>
      <c r="E325" s="10">
        <v>160624</v>
      </c>
      <c r="F325" s="11">
        <f>VLOOKUP(B325,'2015'!$B$2:$G$338,6,FALSE)</f>
        <v>0</v>
      </c>
      <c r="G325" s="19">
        <f t="shared" si="10"/>
        <v>0</v>
      </c>
      <c r="H325" s="18">
        <f t="shared" si="11"/>
        <v>160624</v>
      </c>
    </row>
    <row r="326" spans="1:8" x14ac:dyDescent="0.2">
      <c r="A326">
        <v>2023</v>
      </c>
      <c r="B326" s="34">
        <v>5696</v>
      </c>
      <c r="C326" s="9" t="s">
        <v>333</v>
      </c>
      <c r="D326" s="10">
        <v>273619</v>
      </c>
      <c r="E326" s="10">
        <v>273619</v>
      </c>
      <c r="F326" s="11">
        <f>VLOOKUP(B326,'2015'!$B$2:$G$338,6,FALSE)</f>
        <v>0</v>
      </c>
      <c r="G326" s="19">
        <f t="shared" si="10"/>
        <v>0</v>
      </c>
      <c r="H326" s="18">
        <f t="shared" si="11"/>
        <v>273619</v>
      </c>
    </row>
    <row r="327" spans="1:8" x14ac:dyDescent="0.2">
      <c r="A327">
        <v>2023</v>
      </c>
      <c r="B327" s="34">
        <v>9291</v>
      </c>
      <c r="C327" s="9" t="s">
        <v>334</v>
      </c>
      <c r="D327" s="10">
        <v>381597</v>
      </c>
      <c r="E327" s="10">
        <v>381597</v>
      </c>
      <c r="F327" s="11">
        <f>VLOOKUP(B327,'2015'!$B$2:$G$338,6,FALSE)</f>
        <v>0</v>
      </c>
      <c r="G327" s="19">
        <f t="shared" si="10"/>
        <v>0</v>
      </c>
      <c r="H327" s="18">
        <f t="shared" si="11"/>
        <v>381597</v>
      </c>
    </row>
    <row r="328" spans="1:8" x14ac:dyDescent="0.2">
      <c r="A328">
        <v>2023</v>
      </c>
      <c r="B328" s="34">
        <v>9302</v>
      </c>
      <c r="C328" s="9" t="s">
        <v>335</v>
      </c>
      <c r="D328" s="10">
        <v>200374</v>
      </c>
      <c r="E328" s="10">
        <v>200374</v>
      </c>
      <c r="F328" s="11">
        <f>VLOOKUP(B328,'2015'!$B$2:$G$338,6,FALSE)</f>
        <v>0</v>
      </c>
      <c r="G328" s="19">
        <f t="shared" si="10"/>
        <v>0</v>
      </c>
      <c r="H328" s="18">
        <f t="shared" si="11"/>
        <v>200374</v>
      </c>
    </row>
    <row r="329" spans="1:8" x14ac:dyDescent="0.2">
      <c r="A329">
        <v>2023</v>
      </c>
      <c r="B329" s="34">
        <v>9332</v>
      </c>
      <c r="C329" s="9" t="s">
        <v>336</v>
      </c>
      <c r="D329" s="10">
        <v>325524</v>
      </c>
      <c r="E329" s="10">
        <v>325524</v>
      </c>
      <c r="F329" s="11">
        <f>VLOOKUP(B329,'2015'!$B$2:$G$338,6,FALSE)</f>
        <v>0</v>
      </c>
      <c r="G329" s="19">
        <f t="shared" si="10"/>
        <v>0</v>
      </c>
      <c r="H329" s="18">
        <f t="shared" si="11"/>
        <v>325524</v>
      </c>
    </row>
    <row r="330" spans="1:8" x14ac:dyDescent="0.2">
      <c r="A330">
        <v>2023</v>
      </c>
      <c r="B330" s="34">
        <v>9333</v>
      </c>
      <c r="C330" s="9" t="s">
        <v>337</v>
      </c>
      <c r="D330" s="10">
        <v>385882</v>
      </c>
      <c r="E330" s="10">
        <v>385882</v>
      </c>
      <c r="F330" s="11">
        <f>VLOOKUP(B330,'2015'!$B$2:$G$338,6,FALSE)</f>
        <v>0</v>
      </c>
      <c r="G330" s="19">
        <f t="shared" si="10"/>
        <v>0</v>
      </c>
      <c r="H330" s="18">
        <f t="shared" si="11"/>
        <v>385882</v>
      </c>
    </row>
    <row r="331" spans="1:8" x14ac:dyDescent="0.2">
      <c r="A331">
        <v>2023</v>
      </c>
      <c r="B331" s="34">
        <v>9335</v>
      </c>
      <c r="C331" s="9" t="s">
        <v>338</v>
      </c>
      <c r="D331" s="10">
        <v>488734</v>
      </c>
      <c r="E331" s="10">
        <v>488734</v>
      </c>
      <c r="F331" s="11">
        <f>VLOOKUP(B331,'2015'!$B$2:$G$338,6,FALSE)</f>
        <v>0</v>
      </c>
      <c r="G331" s="19">
        <f t="shared" si="10"/>
        <v>0</v>
      </c>
      <c r="H331" s="18">
        <f t="shared" si="11"/>
        <v>488734</v>
      </c>
    </row>
    <row r="332" spans="1:8" x14ac:dyDescent="0.2">
      <c r="A332">
        <v>2023</v>
      </c>
      <c r="B332" s="34">
        <v>9389</v>
      </c>
      <c r="C332" s="9" t="s">
        <v>339</v>
      </c>
      <c r="D332" s="10">
        <v>241074</v>
      </c>
      <c r="E332" s="10">
        <v>241074</v>
      </c>
      <c r="F332" s="11">
        <f>VLOOKUP(B332,'2015'!$B$2:$G$338,6,FALSE)</f>
        <v>0</v>
      </c>
      <c r="G332" s="19">
        <f t="shared" si="10"/>
        <v>0</v>
      </c>
      <c r="H332" s="18">
        <f t="shared" si="11"/>
        <v>241074</v>
      </c>
    </row>
    <row r="333" spans="1:8" x14ac:dyDescent="0.2">
      <c r="A333">
        <v>2023</v>
      </c>
      <c r="B333" s="34">
        <v>9410</v>
      </c>
      <c r="C333" s="9" t="s">
        <v>340</v>
      </c>
      <c r="D333" s="10">
        <v>372370</v>
      </c>
      <c r="E333" s="10">
        <v>372370</v>
      </c>
      <c r="F333" s="11">
        <f>VLOOKUP(B333,'2015'!$B$2:$G$338,6,FALSE)</f>
        <v>0</v>
      </c>
      <c r="G333" s="19">
        <f t="shared" si="10"/>
        <v>0</v>
      </c>
      <c r="H333" s="18">
        <f t="shared" si="11"/>
        <v>372370</v>
      </c>
    </row>
    <row r="334" spans="1:8" x14ac:dyDescent="0.2">
      <c r="A334">
        <v>2023</v>
      </c>
      <c r="B334" s="34">
        <v>9444</v>
      </c>
      <c r="C334" s="9" t="s">
        <v>341</v>
      </c>
      <c r="D334" s="10">
        <v>561904</v>
      </c>
      <c r="E334" s="10">
        <v>561904</v>
      </c>
      <c r="F334" s="11">
        <f>VLOOKUP(B334,'2015'!$B$2:$G$338,6,FALSE)</f>
        <v>0</v>
      </c>
      <c r="G334" s="19">
        <f t="shared" si="10"/>
        <v>0</v>
      </c>
      <c r="H334" s="18">
        <f t="shared" si="11"/>
        <v>561904</v>
      </c>
    </row>
    <row r="335" spans="1:8" x14ac:dyDescent="0.2">
      <c r="A335">
        <v>2023</v>
      </c>
      <c r="B335" s="34">
        <v>9445</v>
      </c>
      <c r="C335" s="9" t="s">
        <v>342</v>
      </c>
      <c r="D335" s="10">
        <v>506782</v>
      </c>
      <c r="E335" s="10">
        <v>506782</v>
      </c>
      <c r="F335" s="11">
        <f>VLOOKUP(B335,'2015'!$B$2:$G$338,6,FALSE)</f>
        <v>0</v>
      </c>
      <c r="G335" s="19">
        <f t="shared" si="10"/>
        <v>0</v>
      </c>
      <c r="H335" s="18">
        <f t="shared" si="11"/>
        <v>506782</v>
      </c>
    </row>
    <row r="336" spans="1:8" x14ac:dyDescent="0.2">
      <c r="A336">
        <v>2023</v>
      </c>
      <c r="B336" s="34">
        <v>9446</v>
      </c>
      <c r="C336" s="9" t="s">
        <v>343</v>
      </c>
      <c r="D336" s="10">
        <v>948107</v>
      </c>
      <c r="E336" s="10">
        <v>948107</v>
      </c>
      <c r="F336" s="11">
        <f>VLOOKUP(B336,'2015'!$B$2:$G$338,6,FALSE)</f>
        <v>0</v>
      </c>
      <c r="G336" s="19">
        <f t="shared" si="10"/>
        <v>0</v>
      </c>
      <c r="H336" s="18">
        <f t="shared" si="11"/>
        <v>948107</v>
      </c>
    </row>
    <row r="337" spans="1:8" x14ac:dyDescent="0.2">
      <c r="A337">
        <v>2023</v>
      </c>
      <c r="B337" s="34">
        <v>9461</v>
      </c>
      <c r="C337" s="9" t="s">
        <v>344</v>
      </c>
      <c r="D337" s="10">
        <v>767118</v>
      </c>
      <c r="E337" s="10">
        <v>767118</v>
      </c>
      <c r="F337" s="11">
        <f>VLOOKUP(B337,'2015'!$B$2:$G$338,6,FALSE)</f>
        <v>0</v>
      </c>
      <c r="G337" s="19">
        <f t="shared" si="10"/>
        <v>0</v>
      </c>
      <c r="H337" s="18">
        <f t="shared" si="11"/>
        <v>767118</v>
      </c>
    </row>
    <row r="338" spans="1:8" x14ac:dyDescent="0.2">
      <c r="A338">
        <v>2023</v>
      </c>
      <c r="B338" s="34">
        <v>5303</v>
      </c>
      <c r="C338" s="9" t="s">
        <v>345</v>
      </c>
      <c r="D338" s="10">
        <v>1570580</v>
      </c>
      <c r="E338" s="10">
        <v>1570580</v>
      </c>
      <c r="F338" s="11">
        <f>VLOOKUP(B338,'2015'!$B$2:$G$338,6,FALSE)</f>
        <v>0</v>
      </c>
      <c r="G338" s="19">
        <f t="shared" si="10"/>
        <v>0</v>
      </c>
      <c r="H338" s="18">
        <f t="shared" si="11"/>
        <v>1570580</v>
      </c>
    </row>
    <row r="340" spans="1:8" x14ac:dyDescent="0.2">
      <c r="C340" s="2" t="s">
        <v>346</v>
      </c>
      <c r="D340" s="7">
        <f>SUM(D2:D338)</f>
        <v>496034169</v>
      </c>
      <c r="F340" s="26">
        <f>SUM(F2:F338)</f>
        <v>0.99999999999999978</v>
      </c>
    </row>
    <row r="341" spans="1:8" x14ac:dyDescent="0.2">
      <c r="C341" s="2" t="s">
        <v>347</v>
      </c>
      <c r="D341" s="7">
        <v>69446260</v>
      </c>
    </row>
    <row r="342" spans="1:8" x14ac:dyDescent="0.2">
      <c r="D342" s="7"/>
    </row>
    <row r="343" spans="1:8" x14ac:dyDescent="0.2">
      <c r="C343" t="s">
        <v>348</v>
      </c>
      <c r="D343" s="7">
        <v>496034079</v>
      </c>
    </row>
    <row r="344" spans="1:8" x14ac:dyDescent="0.2">
      <c r="C344" t="s">
        <v>347</v>
      </c>
      <c r="D344" s="7">
        <v>69446260</v>
      </c>
    </row>
    <row r="345" spans="1:8" x14ac:dyDescent="0.2">
      <c r="D345" s="7"/>
    </row>
    <row r="346" spans="1:8" x14ac:dyDescent="0.2">
      <c r="C346" s="5" t="s">
        <v>349</v>
      </c>
      <c r="D346" s="8">
        <f>D340-D343</f>
        <v>90</v>
      </c>
    </row>
    <row r="347" spans="1:8" x14ac:dyDescent="0.2">
      <c r="D347" s="8">
        <f>D341-D344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063CB-F96B-0846-B1B0-9F38956217B8}">
  <sheetPr>
    <tabColor rgb="FFFFFF00"/>
  </sheetPr>
  <dimension ref="A1:G347"/>
  <sheetViews>
    <sheetView workbookViewId="0">
      <selection activeCell="E1" sqref="E1"/>
    </sheetView>
  </sheetViews>
  <sheetFormatPr baseColWidth="10" defaultRowHeight="16" x14ac:dyDescent="0.2"/>
  <cols>
    <col min="3" max="3" width="48" bestFit="1" customWidth="1"/>
    <col min="4" max="4" width="18.83203125" bestFit="1" customWidth="1"/>
    <col min="5" max="5" width="25.83203125" bestFit="1" customWidth="1"/>
    <col min="6" max="6" width="17.1640625" bestFit="1" customWidth="1"/>
    <col min="7" max="7" width="16.83203125" bestFit="1" customWidth="1"/>
  </cols>
  <sheetData>
    <row r="1" spans="1:7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374</v>
      </c>
      <c r="F1" s="3" t="s">
        <v>368</v>
      </c>
      <c r="G1" t="s">
        <v>351</v>
      </c>
    </row>
    <row r="2" spans="1:7" x14ac:dyDescent="0.2">
      <c r="A2">
        <v>2022</v>
      </c>
      <c r="B2" s="34">
        <v>4931</v>
      </c>
      <c r="C2" s="9" t="s">
        <v>10</v>
      </c>
      <c r="D2" s="10">
        <v>3600</v>
      </c>
      <c r="E2" s="9">
        <f>VLOOKUP(B2,'2015'!$B$2:$G$338,6,FALSE)</f>
        <v>6.4531547540516718E-3</v>
      </c>
      <c r="F2">
        <f>E2*$D$341</f>
        <v>434602.14261879463</v>
      </c>
      <c r="G2" s="2">
        <f>SUM(F2,D2)</f>
        <v>438202.14261879463</v>
      </c>
    </row>
    <row r="3" spans="1:7" x14ac:dyDescent="0.2">
      <c r="A3">
        <v>2022</v>
      </c>
      <c r="B3" s="34">
        <v>5045</v>
      </c>
      <c r="C3" s="9" t="s">
        <v>11</v>
      </c>
      <c r="D3" s="9"/>
      <c r="E3" s="9">
        <f>VLOOKUP(B3,'2015'!$B$2:$G$338,6,FALSE)</f>
        <v>1.0105484222096495E-2</v>
      </c>
      <c r="F3">
        <f t="shared" ref="F3:F66" si="0">E3*$D$341</f>
        <v>680576.44090529333</v>
      </c>
      <c r="G3" s="2">
        <f>SUM(F3,D3)</f>
        <v>680576.44090529333</v>
      </c>
    </row>
    <row r="4" spans="1:7" x14ac:dyDescent="0.2">
      <c r="A4">
        <v>2022</v>
      </c>
      <c r="B4" s="34">
        <v>5046</v>
      </c>
      <c r="C4" s="9" t="s">
        <v>12</v>
      </c>
      <c r="D4" s="10">
        <v>16820</v>
      </c>
      <c r="E4" s="9">
        <f>VLOOKUP(B4,'2015'!$B$2:$G$338,6,FALSE)</f>
        <v>1.3630219751289424E-2</v>
      </c>
      <c r="F4">
        <f t="shared" si="0"/>
        <v>917957.63995216985</v>
      </c>
      <c r="G4" s="2">
        <f>SUM(F4,D4)</f>
        <v>934777.63995216985</v>
      </c>
    </row>
    <row r="5" spans="1:7" x14ac:dyDescent="0.2">
      <c r="A5">
        <v>2022</v>
      </c>
      <c r="B5" s="34">
        <v>5047</v>
      </c>
      <c r="C5" s="9" t="s">
        <v>13</v>
      </c>
      <c r="D5" s="10">
        <v>10020</v>
      </c>
      <c r="E5" s="9">
        <f>VLOOKUP(B5,'2015'!$B$2:$G$338,6,FALSE)</f>
        <v>2.189607160505451E-2</v>
      </c>
      <c r="F5">
        <f t="shared" si="0"/>
        <v>1474639.9237545764</v>
      </c>
      <c r="G5" s="2">
        <f>SUM(F5,D5)</f>
        <v>1484659.9237545764</v>
      </c>
    </row>
    <row r="6" spans="1:7" x14ac:dyDescent="0.2">
      <c r="A6">
        <v>2022</v>
      </c>
      <c r="B6" s="34">
        <v>5048</v>
      </c>
      <c r="C6" s="9" t="s">
        <v>14</v>
      </c>
      <c r="D6" s="10">
        <v>58388</v>
      </c>
      <c r="E6" s="9">
        <f>VLOOKUP(B6,'2015'!$B$2:$G$338,6,FALSE)</f>
        <v>4.4505872497202836E-2</v>
      </c>
      <c r="F6">
        <f t="shared" si="0"/>
        <v>2997347.5429609013</v>
      </c>
      <c r="G6" s="2">
        <f>SUM(F6,D6)</f>
        <v>3055735.5429609013</v>
      </c>
    </row>
    <row r="7" spans="1:7" x14ac:dyDescent="0.2">
      <c r="A7">
        <v>2022</v>
      </c>
      <c r="B7" s="34">
        <v>5049</v>
      </c>
      <c r="C7" s="9" t="s">
        <v>15</v>
      </c>
      <c r="D7" s="10">
        <v>103306</v>
      </c>
      <c r="E7" s="9">
        <f>VLOOKUP(B7,'2015'!$B$2:$G$338,6,FALSE)</f>
        <v>6.3574471270304675E-2</v>
      </c>
      <c r="F7">
        <f t="shared" si="0"/>
        <v>4281564.9837908996</v>
      </c>
      <c r="G7" s="2">
        <f>SUM(F7,D7)</f>
        <v>4384870.9837908996</v>
      </c>
    </row>
    <row r="8" spans="1:7" x14ac:dyDescent="0.2">
      <c r="A8">
        <v>2022</v>
      </c>
      <c r="B8" s="34">
        <v>5050</v>
      </c>
      <c r="C8" s="9" t="s">
        <v>16</v>
      </c>
      <c r="D8" s="10">
        <v>10261</v>
      </c>
      <c r="E8" s="9">
        <f>VLOOKUP(B8,'2015'!$B$2:$G$338,6,FALSE)</f>
        <v>1.5153357180231053E-2</v>
      </c>
      <c r="F8">
        <f t="shared" si="0"/>
        <v>1020536.7373626725</v>
      </c>
      <c r="G8" s="2">
        <f>SUM(F8,D8)</f>
        <v>1030797.7373626725</v>
      </c>
    </row>
    <row r="9" spans="1:7" x14ac:dyDescent="0.2">
      <c r="A9">
        <v>2022</v>
      </c>
      <c r="B9" s="34">
        <v>5107</v>
      </c>
      <c r="C9" s="9" t="s">
        <v>17</v>
      </c>
      <c r="D9" s="10">
        <v>30052</v>
      </c>
      <c r="E9" s="9">
        <f>VLOOKUP(B9,'2015'!$B$2:$G$338,6,FALSE)</f>
        <v>2.4280916304639615E-2</v>
      </c>
      <c r="F9">
        <f t="shared" si="0"/>
        <v>1635252.6249457283</v>
      </c>
      <c r="G9" s="2">
        <f>SUM(F9,D9)</f>
        <v>1665304.6249457283</v>
      </c>
    </row>
    <row r="10" spans="1:7" x14ac:dyDescent="0.2">
      <c r="A10">
        <v>2022</v>
      </c>
      <c r="B10" s="34">
        <v>5108</v>
      </c>
      <c r="C10" s="9" t="s">
        <v>18</v>
      </c>
      <c r="D10" s="10">
        <v>26854</v>
      </c>
      <c r="E10" s="9">
        <f>VLOOKUP(B10,'2015'!$B$2:$G$338,6,FALSE)</f>
        <v>3.1695507434012407E-2</v>
      </c>
      <c r="F10">
        <f t="shared" si="0"/>
        <v>2134604.8509936957</v>
      </c>
      <c r="G10" s="2">
        <f>SUM(F10,D10)</f>
        <v>2161458.8509936957</v>
      </c>
    </row>
    <row r="11" spans="1:7" x14ac:dyDescent="0.2">
      <c r="A11">
        <v>2022</v>
      </c>
      <c r="B11" s="34">
        <v>5109</v>
      </c>
      <c r="C11" s="9" t="s">
        <v>19</v>
      </c>
      <c r="D11" s="10">
        <v>30835</v>
      </c>
      <c r="E11" s="9">
        <f>VLOOKUP(B11,'2015'!$B$2:$G$338,6,FALSE)</f>
        <v>5.1177098904248042E-2</v>
      </c>
      <c r="F11">
        <f t="shared" si="0"/>
        <v>3446636.2088768333</v>
      </c>
      <c r="G11" s="2">
        <f>SUM(F11,D11)</f>
        <v>3477471.2088768333</v>
      </c>
    </row>
    <row r="12" spans="1:7" x14ac:dyDescent="0.2">
      <c r="A12">
        <v>2022</v>
      </c>
      <c r="B12" s="34">
        <v>5110</v>
      </c>
      <c r="C12" s="9" t="s">
        <v>20</v>
      </c>
      <c r="D12" s="10">
        <v>26235</v>
      </c>
      <c r="E12" s="9">
        <f>VLOOKUP(B12,'2015'!$B$2:$G$338,6,FALSE)</f>
        <v>1.0333360578457136E-2</v>
      </c>
      <c r="F12">
        <f t="shared" si="0"/>
        <v>695923.28388380981</v>
      </c>
      <c r="G12" s="2">
        <f>SUM(F12,D12)</f>
        <v>722158.28388380981</v>
      </c>
    </row>
    <row r="13" spans="1:7" x14ac:dyDescent="0.2">
      <c r="A13">
        <v>2022</v>
      </c>
      <c r="B13" s="34">
        <v>5111</v>
      </c>
      <c r="C13" s="9" t="s">
        <v>21</v>
      </c>
      <c r="D13" s="10">
        <v>10748</v>
      </c>
      <c r="E13" s="9">
        <f>VLOOKUP(B13,'2015'!$B$2:$G$338,6,FALSE)</f>
        <v>1.0645672472843794E-2</v>
      </c>
      <c r="F13">
        <f t="shared" si="0"/>
        <v>716956.62705298699</v>
      </c>
      <c r="G13" s="2">
        <f>SUM(F13,D13)</f>
        <v>727704.62705298699</v>
      </c>
    </row>
    <row r="14" spans="1:7" x14ac:dyDescent="0.2">
      <c r="A14">
        <v>2022</v>
      </c>
      <c r="B14" s="34">
        <v>5112</v>
      </c>
      <c r="C14" s="9" t="s">
        <v>22</v>
      </c>
      <c r="D14" s="10">
        <v>1516</v>
      </c>
      <c r="E14" s="9">
        <f>VLOOKUP(B14,'2015'!$B$2:$G$338,6,FALSE)</f>
        <v>1.26711958199119E-2</v>
      </c>
      <c r="F14">
        <f t="shared" si="0"/>
        <v>853370.02795701602</v>
      </c>
      <c r="G14" s="2">
        <f>SUM(F14,D14)</f>
        <v>854886.02795701602</v>
      </c>
    </row>
    <row r="15" spans="1:7" x14ac:dyDescent="0.2">
      <c r="A15">
        <v>2022</v>
      </c>
      <c r="B15" s="34">
        <v>5113</v>
      </c>
      <c r="C15" s="9" t="s">
        <v>23</v>
      </c>
      <c r="D15" s="10">
        <v>26475</v>
      </c>
      <c r="E15" s="9">
        <f>VLOOKUP(B15,'2015'!$B$2:$G$338,6,FALSE)</f>
        <v>1.1491975514269418E-2</v>
      </c>
      <c r="F15">
        <f t="shared" si="0"/>
        <v>773952.79855769943</v>
      </c>
      <c r="G15" s="2">
        <f>SUM(F15,D15)</f>
        <v>800427.79855769943</v>
      </c>
    </row>
    <row r="16" spans="1:7" x14ac:dyDescent="0.2">
      <c r="A16">
        <v>2022</v>
      </c>
      <c r="B16" s="34">
        <v>5177</v>
      </c>
      <c r="C16" s="9" t="s">
        <v>24</v>
      </c>
      <c r="D16" s="10">
        <v>33874</v>
      </c>
      <c r="E16" s="9">
        <f>VLOOKUP(B16,'2015'!$B$2:$G$338,6,FALSE)</f>
        <v>1.3302968410463039E-2</v>
      </c>
      <c r="F16">
        <f t="shared" si="0"/>
        <v>895918.16634296754</v>
      </c>
      <c r="G16" s="2">
        <f>SUM(F16,D16)</f>
        <v>929792.16634296754</v>
      </c>
    </row>
    <row r="17" spans="1:7" x14ac:dyDescent="0.2">
      <c r="A17">
        <v>2022</v>
      </c>
      <c r="B17" s="34">
        <v>5178</v>
      </c>
      <c r="C17" s="9" t="s">
        <v>25</v>
      </c>
      <c r="D17" s="10">
        <v>89550</v>
      </c>
      <c r="E17" s="9">
        <f>VLOOKUP(B17,'2015'!$B$2:$G$338,6,FALSE)</f>
        <v>2.1732025416889681E-2</v>
      </c>
      <c r="F17">
        <f t="shared" si="0"/>
        <v>1463591.8662412933</v>
      </c>
      <c r="G17" s="2">
        <f>SUM(F17,D17)</f>
        <v>1553141.8662412933</v>
      </c>
    </row>
    <row r="18" spans="1:7" x14ac:dyDescent="0.2">
      <c r="A18">
        <v>2022</v>
      </c>
      <c r="B18" s="34">
        <v>5179</v>
      </c>
      <c r="C18" s="9" t="s">
        <v>26</v>
      </c>
      <c r="D18" s="10">
        <v>72087</v>
      </c>
      <c r="E18" s="9">
        <f>VLOOKUP(B18,'2015'!$B$2:$G$338,6,FALSE)</f>
        <v>1.1857958753272873E-2</v>
      </c>
      <c r="F18">
        <f t="shared" si="0"/>
        <v>798600.75849289272</v>
      </c>
      <c r="G18" s="2">
        <f>SUM(F18,D18)</f>
        <v>870687.75849289272</v>
      </c>
    </row>
    <row r="19" spans="1:7" x14ac:dyDescent="0.2">
      <c r="A19">
        <v>2022</v>
      </c>
      <c r="B19" s="34">
        <v>5180</v>
      </c>
      <c r="C19" s="9" t="s">
        <v>27</v>
      </c>
      <c r="D19" s="10">
        <v>3265</v>
      </c>
      <c r="E19" s="9">
        <f>VLOOKUP(B19,'2015'!$B$2:$G$338,6,FALSE)</f>
        <v>1.6155185392222552E-2</v>
      </c>
      <c r="F19">
        <f t="shared" si="0"/>
        <v>1088007.0993889503</v>
      </c>
      <c r="G19" s="2">
        <f>SUM(F19,D19)</f>
        <v>1091272.0993889503</v>
      </c>
    </row>
    <row r="20" spans="1:7" x14ac:dyDescent="0.2">
      <c r="A20">
        <v>2022</v>
      </c>
      <c r="B20" s="34">
        <v>5404</v>
      </c>
      <c r="C20" s="9" t="s">
        <v>28</v>
      </c>
      <c r="D20" s="10">
        <v>12875</v>
      </c>
      <c r="E20" s="9">
        <f>VLOOKUP(B20,'2015'!$B$2:$G$338,6,FALSE)</f>
        <v>1.896247337209666E-2</v>
      </c>
      <c r="F20">
        <f t="shared" si="0"/>
        <v>1277070.188296783</v>
      </c>
      <c r="G20" s="2">
        <f>SUM(F20,D20)</f>
        <v>1289945.188296783</v>
      </c>
    </row>
    <row r="21" spans="1:7" x14ac:dyDescent="0.2">
      <c r="A21">
        <v>2022</v>
      </c>
      <c r="B21" s="34">
        <v>5406</v>
      </c>
      <c r="C21" s="9" t="s">
        <v>29</v>
      </c>
      <c r="D21" s="10">
        <v>34520</v>
      </c>
      <c r="E21" s="9">
        <f>VLOOKUP(B21,'2015'!$B$2:$G$338,6,FALSE)</f>
        <v>0.18385655811930474</v>
      </c>
      <c r="F21">
        <f t="shared" si="0"/>
        <v>12382231.193665091</v>
      </c>
      <c r="G21" s="2">
        <f>SUM(F21,D21)</f>
        <v>12416751.193665091</v>
      </c>
    </row>
    <row r="22" spans="1:7" x14ac:dyDescent="0.2">
      <c r="A22">
        <v>2022</v>
      </c>
      <c r="B22" s="34">
        <v>5596</v>
      </c>
      <c r="C22" s="9" t="s">
        <v>30</v>
      </c>
      <c r="D22" s="10">
        <v>60066</v>
      </c>
      <c r="E22" s="9">
        <f>VLOOKUP(B22,'2015'!$B$2:$G$338,6,FALSE)</f>
        <v>1.6026551225248188E-2</v>
      </c>
      <c r="F22">
        <f t="shared" si="0"/>
        <v>1079343.9436594301</v>
      </c>
      <c r="G22" s="2">
        <f>SUM(F22,D22)</f>
        <v>1139409.9436594301</v>
      </c>
    </row>
    <row r="23" spans="1:7" x14ac:dyDescent="0.2">
      <c r="A23">
        <v>2022</v>
      </c>
      <c r="B23" s="34">
        <v>5600</v>
      </c>
      <c r="C23" s="9" t="s">
        <v>31</v>
      </c>
      <c r="D23" s="10">
        <v>51549</v>
      </c>
      <c r="E23" s="9">
        <f>VLOOKUP(B23,'2015'!$B$2:$G$338,6,FALSE)</f>
        <v>1.8681545381490052E-2</v>
      </c>
      <c r="F23">
        <f t="shared" si="0"/>
        <v>1258150.464333466</v>
      </c>
      <c r="G23" s="2">
        <f>SUM(F23,D23)</f>
        <v>1309699.464333466</v>
      </c>
    </row>
    <row r="24" spans="1:7" x14ac:dyDescent="0.2">
      <c r="A24">
        <v>2022</v>
      </c>
      <c r="B24" s="34">
        <v>5604</v>
      </c>
      <c r="C24" s="9" t="s">
        <v>32</v>
      </c>
      <c r="D24" s="10">
        <v>24000</v>
      </c>
      <c r="E24" s="9">
        <f>VLOOKUP(B24,'2015'!$B$2:$G$338,6,FALSE)</f>
        <v>1.7146633455502592E-2</v>
      </c>
      <c r="F24">
        <f t="shared" si="0"/>
        <v>1154778.3870798619</v>
      </c>
      <c r="G24" s="2">
        <f>SUM(F24,D24)</f>
        <v>1178778.3870798619</v>
      </c>
    </row>
    <row r="25" spans="1:7" x14ac:dyDescent="0.2">
      <c r="A25">
        <v>2022</v>
      </c>
      <c r="B25" s="34">
        <v>5608</v>
      </c>
      <c r="C25" s="9" t="s">
        <v>33</v>
      </c>
      <c r="D25" s="9"/>
      <c r="E25" s="9">
        <f>VLOOKUP(B25,'2015'!$B$2:$G$338,6,FALSE)</f>
        <v>1.6119618443439378E-2</v>
      </c>
      <c r="F25">
        <f t="shared" si="0"/>
        <v>1085611.7636598828</v>
      </c>
      <c r="G25" s="2">
        <f>SUM(F25,D25)</f>
        <v>1085611.7636598828</v>
      </c>
    </row>
    <row r="26" spans="1:7" x14ac:dyDescent="0.2">
      <c r="A26">
        <v>2022</v>
      </c>
      <c r="B26" s="34">
        <v>5609</v>
      </c>
      <c r="C26" s="9" t="s">
        <v>34</v>
      </c>
      <c r="D26" s="10">
        <v>18642</v>
      </c>
      <c r="E26" s="9">
        <f>VLOOKUP(B26,'2015'!$B$2:$G$338,6,FALSE)</f>
        <v>1.7566288039122847E-2</v>
      </c>
      <c r="F26">
        <f t="shared" si="0"/>
        <v>1183040.9637810716</v>
      </c>
      <c r="G26" s="2">
        <f>SUM(F26,D26)</f>
        <v>1201682.9637810716</v>
      </c>
    </row>
    <row r="27" spans="1:7" x14ac:dyDescent="0.2">
      <c r="A27">
        <v>2022</v>
      </c>
      <c r="B27" s="34">
        <v>5612</v>
      </c>
      <c r="C27" s="9" t="s">
        <v>35</v>
      </c>
      <c r="D27" s="10">
        <v>71437</v>
      </c>
      <c r="E27" s="9">
        <f>VLOOKUP(B27,'2015'!$B$2:$G$338,6,FALSE)</f>
        <v>3.6267907610125244E-2</v>
      </c>
      <c r="F27">
        <f t="shared" si="0"/>
        <v>2442543.3693132084</v>
      </c>
      <c r="G27" s="2">
        <f>SUM(F27,D27)</f>
        <v>2513980.3693132084</v>
      </c>
    </row>
    <row r="28" spans="1:7" x14ac:dyDescent="0.2">
      <c r="A28">
        <v>2022</v>
      </c>
      <c r="B28" s="34">
        <v>5624</v>
      </c>
      <c r="C28" s="9" t="s">
        <v>36</v>
      </c>
      <c r="D28" s="10">
        <v>20016</v>
      </c>
      <c r="E28" s="9">
        <f>VLOOKUP(B28,'2015'!$B$2:$G$338,6,FALSE)</f>
        <v>1.2935059642807353E-2</v>
      </c>
      <c r="F28">
        <f t="shared" si="0"/>
        <v>871140.52737328212</v>
      </c>
      <c r="G28" s="2">
        <f>SUM(F28,D28)</f>
        <v>891156.52737328212</v>
      </c>
    </row>
    <row r="29" spans="1:7" x14ac:dyDescent="0.2">
      <c r="A29">
        <v>2022</v>
      </c>
      <c r="B29" s="34">
        <v>5626</v>
      </c>
      <c r="C29" s="9" t="s">
        <v>37</v>
      </c>
      <c r="D29" s="10">
        <v>17263</v>
      </c>
      <c r="E29" s="9">
        <f>VLOOKUP(B29,'2015'!$B$2:$G$338,6,FALSE)</f>
        <v>1.5028308480402224E-2</v>
      </c>
      <c r="F29">
        <f t="shared" si="0"/>
        <v>1012115.0529387584</v>
      </c>
      <c r="G29" s="2">
        <f>SUM(F29,D29)</f>
        <v>1029378.0529387584</v>
      </c>
    </row>
    <row r="30" spans="1:7" x14ac:dyDescent="0.2">
      <c r="A30">
        <v>2022</v>
      </c>
      <c r="B30" s="34">
        <v>5634</v>
      </c>
      <c r="C30" s="9" t="s">
        <v>38</v>
      </c>
      <c r="D30" s="10">
        <v>82454</v>
      </c>
      <c r="E30" s="9">
        <f>VLOOKUP(B30,'2015'!$B$2:$G$338,6,FALSE)</f>
        <v>2.1955563800654488E-2</v>
      </c>
      <c r="F30">
        <f t="shared" si="0"/>
        <v>1478646.5587512986</v>
      </c>
      <c r="G30" s="2">
        <f>SUM(F30,D30)</f>
        <v>1561100.5587512986</v>
      </c>
    </row>
    <row r="31" spans="1:7" x14ac:dyDescent="0.2">
      <c r="A31">
        <v>2022</v>
      </c>
      <c r="B31" s="34">
        <v>5638</v>
      </c>
      <c r="C31" s="9" t="s">
        <v>39</v>
      </c>
      <c r="D31" s="10">
        <v>14466</v>
      </c>
      <c r="E31" s="9">
        <f>VLOOKUP(B31,'2015'!$B$2:$G$338,6,FALSE)</f>
        <v>1.1550715204419101E-2</v>
      </c>
      <c r="F31">
        <f t="shared" si="0"/>
        <v>777908.75439151668</v>
      </c>
      <c r="G31" s="2">
        <f>SUM(F31,D31)</f>
        <v>792374.75439151668</v>
      </c>
    </row>
    <row r="32" spans="1:7" x14ac:dyDescent="0.2">
      <c r="A32">
        <v>2022</v>
      </c>
      <c r="B32" s="34">
        <v>4930</v>
      </c>
      <c r="C32" s="9" t="s">
        <v>9</v>
      </c>
      <c r="D32" s="10">
        <v>11291</v>
      </c>
      <c r="E32" s="9">
        <f>VLOOKUP(B32,'2015'!$B$2:$G$338,6,FALSE)</f>
        <v>8.169597553666752E-3</v>
      </c>
      <c r="F32">
        <f t="shared" si="0"/>
        <v>550199.82264141494</v>
      </c>
      <c r="G32" s="2">
        <f>SUM(F32,D32)</f>
        <v>561490.82264141494</v>
      </c>
    </row>
    <row r="33" spans="1:7" x14ac:dyDescent="0.2">
      <c r="A33">
        <v>2022</v>
      </c>
      <c r="B33" s="34">
        <v>5657</v>
      </c>
      <c r="C33" s="9" t="s">
        <v>41</v>
      </c>
      <c r="D33" s="10">
        <v>3596</v>
      </c>
      <c r="E33" s="9">
        <f>VLOOKUP(B33,'2015'!$B$2:$G$338,6,FALSE)</f>
        <v>2.8683294514011727E-3</v>
      </c>
      <c r="F33">
        <f t="shared" si="0"/>
        <v>193174.06335759477</v>
      </c>
      <c r="G33" s="2">
        <f>SUM(F33,D33)</f>
        <v>196770.06335759477</v>
      </c>
    </row>
    <row r="34" spans="1:7" x14ac:dyDescent="0.2">
      <c r="A34">
        <v>2022</v>
      </c>
      <c r="B34" s="34">
        <v>5671</v>
      </c>
      <c r="C34" s="9" t="s">
        <v>42</v>
      </c>
      <c r="D34" s="10">
        <v>23486</v>
      </c>
      <c r="E34" s="9">
        <f>VLOOKUP(B34,'2015'!$B$2:$G$338,6,FALSE)</f>
        <v>6.9584842964396064E-3</v>
      </c>
      <c r="F34">
        <f t="shared" si="0"/>
        <v>468634.69107309642</v>
      </c>
      <c r="G34" s="2">
        <f>SUM(F34,D34)</f>
        <v>492120.69107309642</v>
      </c>
    </row>
    <row r="35" spans="1:7" x14ac:dyDescent="0.2">
      <c r="A35">
        <v>2022</v>
      </c>
      <c r="B35" s="34">
        <v>5682</v>
      </c>
      <c r="C35" s="9" t="s">
        <v>43</v>
      </c>
      <c r="D35" s="9"/>
      <c r="E35" s="9">
        <f>VLOOKUP(B35,'2015'!$B$2:$G$338,6,FALSE)</f>
        <v>4.9492217068518966E-2</v>
      </c>
      <c r="F35">
        <f t="shared" si="0"/>
        <v>3333164.0725689922</v>
      </c>
      <c r="G35" s="2">
        <f>SUM(F35,D35)</f>
        <v>3333164.0725689922</v>
      </c>
    </row>
    <row r="36" spans="1:7" x14ac:dyDescent="0.2">
      <c r="A36">
        <v>2022</v>
      </c>
      <c r="B36" s="34">
        <v>5688</v>
      </c>
      <c r="C36" s="9" t="s">
        <v>44</v>
      </c>
      <c r="D36" s="10">
        <v>10259</v>
      </c>
      <c r="E36" s="9">
        <f>VLOOKUP(B36,'2015'!$B$2:$G$338,6,FALSE)</f>
        <v>5.5749366285281409E-3</v>
      </c>
      <c r="F36">
        <f t="shared" si="0"/>
        <v>375456.57838146569</v>
      </c>
      <c r="G36" s="2">
        <f>SUM(F36,D36)</f>
        <v>385715.57838146569</v>
      </c>
    </row>
    <row r="37" spans="1:7" x14ac:dyDescent="0.2">
      <c r="A37">
        <v>2022</v>
      </c>
      <c r="B37" s="34">
        <v>9034</v>
      </c>
      <c r="C37" s="9" t="s">
        <v>45</v>
      </c>
      <c r="D37" s="10">
        <v>94205</v>
      </c>
      <c r="E37" s="9">
        <f>VLOOKUP(B37,'2015'!$B$2:$G$338,6,FALSE)</f>
        <v>1.0344603895185109E-2</v>
      </c>
      <c r="F37">
        <f t="shared" si="0"/>
        <v>696680.49020015472</v>
      </c>
      <c r="G37" s="2">
        <f>SUM(F37,D37)</f>
        <v>790885.49020015472</v>
      </c>
    </row>
    <row r="38" spans="1:7" x14ac:dyDescent="0.2">
      <c r="A38">
        <v>2022</v>
      </c>
      <c r="B38" s="34">
        <v>9042</v>
      </c>
      <c r="C38" s="9" t="s">
        <v>46</v>
      </c>
      <c r="D38" s="10">
        <v>5377</v>
      </c>
      <c r="E38" s="9">
        <f>VLOOKUP(B38,'2015'!$B$2:$G$338,6,FALSE)</f>
        <v>6.7431128100618474E-3</v>
      </c>
      <c r="F38">
        <f t="shared" si="0"/>
        <v>454130.0165369712</v>
      </c>
      <c r="G38" s="2">
        <f>SUM(F38,D38)</f>
        <v>459507.0165369712</v>
      </c>
    </row>
    <row r="39" spans="1:7" x14ac:dyDescent="0.2">
      <c r="A39">
        <v>2022</v>
      </c>
      <c r="B39" s="34">
        <v>9047</v>
      </c>
      <c r="C39" s="9" t="s">
        <v>47</v>
      </c>
      <c r="D39" s="10">
        <v>9242</v>
      </c>
      <c r="E39" s="9">
        <f>VLOOKUP(B39,'2015'!$B$2:$G$338,6,FALSE)</f>
        <v>5.8226437167554438E-3</v>
      </c>
      <c r="F39">
        <f t="shared" si="0"/>
        <v>392138.96635888977</v>
      </c>
      <c r="G39" s="2">
        <f>SUM(F39,D39)</f>
        <v>401380.96635888977</v>
      </c>
    </row>
    <row r="40" spans="1:7" x14ac:dyDescent="0.2">
      <c r="A40">
        <v>2022</v>
      </c>
      <c r="B40" s="34">
        <v>9053</v>
      </c>
      <c r="C40" s="9" t="s">
        <v>48</v>
      </c>
      <c r="D40" s="9"/>
      <c r="E40" s="9">
        <f>VLOOKUP(B40,'2015'!$B$2:$G$338,6,FALSE)</f>
        <v>3.2831370146209815E-4</v>
      </c>
      <c r="F40">
        <f t="shared" si="0"/>
        <v>22111.020662715171</v>
      </c>
      <c r="G40" s="2">
        <f>SUM(F40,D40)</f>
        <v>22111.020662715171</v>
      </c>
    </row>
    <row r="41" spans="1:7" x14ac:dyDescent="0.2">
      <c r="A41">
        <v>2022</v>
      </c>
      <c r="B41" s="34">
        <v>9055</v>
      </c>
      <c r="C41" s="9" t="s">
        <v>49</v>
      </c>
      <c r="D41" s="10">
        <v>76976</v>
      </c>
      <c r="E41" s="9">
        <f>VLOOKUP(B41,'2015'!$B$2:$G$338,6,FALSE)</f>
        <v>6.5073794114995712E-3</v>
      </c>
      <c r="F41">
        <f t="shared" si="0"/>
        <v>438254.02347518213</v>
      </c>
      <c r="G41" s="2">
        <f>SUM(F41,D41)</f>
        <v>515230.02347518213</v>
      </c>
    </row>
    <row r="42" spans="1:7" x14ac:dyDescent="0.2">
      <c r="A42">
        <v>2022</v>
      </c>
      <c r="B42" s="34">
        <v>9056</v>
      </c>
      <c r="C42" s="9" t="s">
        <v>50</v>
      </c>
      <c r="D42" s="10">
        <v>12847</v>
      </c>
      <c r="E42" s="9">
        <f>VLOOKUP(B42,'2015'!$B$2:$G$338,6,FALSE)</f>
        <v>5.467107024003175E-3</v>
      </c>
      <c r="F42">
        <f t="shared" si="0"/>
        <v>368194.55244990654</v>
      </c>
      <c r="G42" s="2">
        <f>SUM(F42,D42)</f>
        <v>381041.55244990654</v>
      </c>
    </row>
    <row r="43" spans="1:7" x14ac:dyDescent="0.2">
      <c r="A43">
        <v>2022</v>
      </c>
      <c r="B43" s="34">
        <v>9273</v>
      </c>
      <c r="C43" s="9" t="s">
        <v>51</v>
      </c>
      <c r="D43" s="10">
        <v>3590</v>
      </c>
      <c r="E43" s="9">
        <f>VLOOKUP(B43,'2015'!$B$2:$G$338,6,FALSE)</f>
        <v>1.0952362708866464E-2</v>
      </c>
      <c r="F43">
        <f t="shared" si="0"/>
        <v>737611.36706399173</v>
      </c>
      <c r="G43" s="2">
        <f>SUM(F43,D43)</f>
        <v>741201.36706399173</v>
      </c>
    </row>
    <row r="44" spans="1:7" x14ac:dyDescent="0.2">
      <c r="A44">
        <v>2022</v>
      </c>
      <c r="B44" s="34">
        <v>9274</v>
      </c>
      <c r="C44" s="9" t="s">
        <v>52</v>
      </c>
      <c r="D44" s="10">
        <v>35526</v>
      </c>
      <c r="E44" s="9">
        <f>VLOOKUP(B44,'2015'!$B$2:$G$338,6,FALSE)</f>
        <v>2.9805855585749469E-2</v>
      </c>
      <c r="F44">
        <f t="shared" si="0"/>
        <v>2007342.0201212433</v>
      </c>
      <c r="G44" s="2">
        <f>SUM(F44,D44)</f>
        <v>2042868.0201212433</v>
      </c>
    </row>
    <row r="45" spans="1:7" x14ac:dyDescent="0.2">
      <c r="A45">
        <v>2022</v>
      </c>
      <c r="B45" s="34">
        <v>9303</v>
      </c>
      <c r="C45" s="9" t="s">
        <v>53</v>
      </c>
      <c r="D45" s="10">
        <v>11924</v>
      </c>
      <c r="E45" s="9">
        <f>VLOOKUP(B45,'2015'!$B$2:$G$338,6,FALSE)</f>
        <v>2.0704036574243728E-2</v>
      </c>
      <c r="F45">
        <f t="shared" si="0"/>
        <v>1394359.6580222605</v>
      </c>
      <c r="G45" s="2">
        <f>SUM(F45,D45)</f>
        <v>1406283.6580222605</v>
      </c>
    </row>
    <row r="46" spans="1:7" x14ac:dyDescent="0.2">
      <c r="A46">
        <v>2022</v>
      </c>
      <c r="B46" s="34">
        <v>9304</v>
      </c>
      <c r="C46" s="9" t="s">
        <v>54</v>
      </c>
      <c r="D46" s="9"/>
      <c r="E46" s="9">
        <f>VLOOKUP(B46,'2015'!$B$2:$G$338,6,FALSE)</f>
        <v>6.982210350637218E-3</v>
      </c>
      <c r="F46">
        <f t="shared" si="0"/>
        <v>470232.57526821783</v>
      </c>
      <c r="G46" s="2">
        <f>SUM(F46,D46)</f>
        <v>470232.57526821783</v>
      </c>
    </row>
    <row r="47" spans="1:7" x14ac:dyDescent="0.2">
      <c r="A47">
        <v>2022</v>
      </c>
      <c r="B47" s="34">
        <v>9305</v>
      </c>
      <c r="C47" s="9" t="s">
        <v>55</v>
      </c>
      <c r="D47" s="10">
        <v>26559</v>
      </c>
      <c r="E47" s="9">
        <f>VLOOKUP(B47,'2015'!$B$2:$G$338,6,FALSE)</f>
        <v>8.0967373200673699E-3</v>
      </c>
      <c r="F47">
        <f t="shared" si="0"/>
        <v>545292.88722132205</v>
      </c>
      <c r="G47" s="2">
        <f>SUM(F47,D47)</f>
        <v>571851.88722132205</v>
      </c>
    </row>
    <row r="48" spans="1:7" x14ac:dyDescent="0.2">
      <c r="A48">
        <v>2022</v>
      </c>
      <c r="B48" s="34">
        <v>9395</v>
      </c>
      <c r="C48" s="9" t="s">
        <v>56</v>
      </c>
      <c r="D48" s="9"/>
      <c r="E48" s="9">
        <f>VLOOKUP(B48,'2015'!$B$2:$G$338,6,FALSE)</f>
        <v>5.0036743291862092E-3</v>
      </c>
      <c r="F48">
        <f t="shared" si="0"/>
        <v>336983.64091851964</v>
      </c>
      <c r="G48" s="2">
        <f>SUM(F48,D48)</f>
        <v>336983.64091851964</v>
      </c>
    </row>
    <row r="49" spans="1:7" x14ac:dyDescent="0.2">
      <c r="A49">
        <v>2022</v>
      </c>
      <c r="B49" s="34">
        <v>9487</v>
      </c>
      <c r="C49" s="9" t="s">
        <v>57</v>
      </c>
      <c r="D49" s="9"/>
      <c r="E49" s="9">
        <f>VLOOKUP(B49,'2015'!$B$2:$G$338,6,FALSE)</f>
        <v>5.106634780797486E-4</v>
      </c>
      <c r="F49">
        <f t="shared" si="0"/>
        <v>34391.774285481137</v>
      </c>
      <c r="G49" s="2">
        <f>SUM(F49,D49)</f>
        <v>34391.774285481137</v>
      </c>
    </row>
    <row r="50" spans="1:7" x14ac:dyDescent="0.2">
      <c r="A50">
        <v>2022</v>
      </c>
      <c r="B50" s="34">
        <v>9507</v>
      </c>
      <c r="C50" s="9" t="s">
        <v>58</v>
      </c>
      <c r="D50" s="10">
        <v>86722</v>
      </c>
      <c r="E50" s="9">
        <f>VLOOKUP(B50,'2015'!$B$2:$G$338,6,FALSE)</f>
        <v>2.7714554409320073E-2</v>
      </c>
      <c r="F50">
        <f t="shared" si="0"/>
        <v>1866498.6641538739</v>
      </c>
      <c r="G50" s="2">
        <f>SUM(F50,D50)</f>
        <v>1953220.6641538739</v>
      </c>
    </row>
    <row r="51" spans="1:7" x14ac:dyDescent="0.2">
      <c r="A51">
        <v>2022</v>
      </c>
      <c r="B51" s="34">
        <v>4828</v>
      </c>
      <c r="C51" s="9" t="s">
        <v>59</v>
      </c>
      <c r="D51" s="10">
        <v>3959848</v>
      </c>
      <c r="E51" s="9">
        <f>VLOOKUP(B51,'2015'!$B$2:$G$338,6,FALSE)</f>
        <v>0</v>
      </c>
      <c r="F51">
        <f t="shared" si="0"/>
        <v>0</v>
      </c>
      <c r="G51" s="2">
        <f>SUM(F51,D51)</f>
        <v>3959848</v>
      </c>
    </row>
    <row r="52" spans="1:7" x14ac:dyDescent="0.2">
      <c r="A52">
        <v>2022</v>
      </c>
      <c r="B52" s="34">
        <v>4829</v>
      </c>
      <c r="C52" s="9" t="s">
        <v>60</v>
      </c>
      <c r="D52" s="10">
        <v>2151162</v>
      </c>
      <c r="E52" s="9">
        <f>VLOOKUP(B52,'2015'!$B$2:$G$338,6,FALSE)</f>
        <v>0</v>
      </c>
      <c r="F52">
        <f t="shared" si="0"/>
        <v>0</v>
      </c>
      <c r="G52" s="2">
        <f>SUM(F52,D52)</f>
        <v>2151162</v>
      </c>
    </row>
    <row r="53" spans="1:7" x14ac:dyDescent="0.2">
      <c r="A53">
        <v>2022</v>
      </c>
      <c r="B53" s="34">
        <v>4871</v>
      </c>
      <c r="C53" s="9" t="s">
        <v>61</v>
      </c>
      <c r="D53" s="10">
        <v>491417</v>
      </c>
      <c r="E53" s="9">
        <f>VLOOKUP(B53,'2015'!$B$2:$G$338,6,FALSE)</f>
        <v>0</v>
      </c>
      <c r="F53">
        <f t="shared" si="0"/>
        <v>0</v>
      </c>
      <c r="G53" s="2">
        <f>SUM(F53,D53)</f>
        <v>491417</v>
      </c>
    </row>
    <row r="54" spans="1:7" x14ac:dyDescent="0.2">
      <c r="A54">
        <v>2022</v>
      </c>
      <c r="B54" s="34">
        <v>4882</v>
      </c>
      <c r="C54" s="9" t="s">
        <v>62</v>
      </c>
      <c r="D54" s="10">
        <v>2810886</v>
      </c>
      <c r="E54" s="9">
        <f>VLOOKUP(B54,'2015'!$B$2:$G$338,6,FALSE)</f>
        <v>0</v>
      </c>
      <c r="F54">
        <f t="shared" si="0"/>
        <v>0</v>
      </c>
      <c r="G54" s="2">
        <f>SUM(F54,D54)</f>
        <v>2810886</v>
      </c>
    </row>
    <row r="55" spans="1:7" x14ac:dyDescent="0.2">
      <c r="A55">
        <v>2022</v>
      </c>
      <c r="B55" s="34">
        <v>4912</v>
      </c>
      <c r="C55" s="9" t="s">
        <v>63</v>
      </c>
      <c r="D55" s="10">
        <v>504295</v>
      </c>
      <c r="E55" s="9">
        <f>VLOOKUP(B55,'2015'!$B$2:$G$338,6,FALSE)</f>
        <v>0</v>
      </c>
      <c r="F55">
        <f t="shared" si="0"/>
        <v>0</v>
      </c>
      <c r="G55" s="2">
        <f>SUM(F55,D55)</f>
        <v>504295</v>
      </c>
    </row>
    <row r="56" spans="1:7" x14ac:dyDescent="0.2">
      <c r="A56">
        <v>2022</v>
      </c>
      <c r="B56" s="34">
        <v>4977</v>
      </c>
      <c r="C56" s="9" t="s">
        <v>64</v>
      </c>
      <c r="D56" s="10">
        <v>213896</v>
      </c>
      <c r="E56" s="9">
        <f>VLOOKUP(B56,'2015'!$B$2:$G$338,6,FALSE)</f>
        <v>0</v>
      </c>
      <c r="F56">
        <f t="shared" si="0"/>
        <v>0</v>
      </c>
      <c r="G56" s="2">
        <f>SUM(F56,D56)</f>
        <v>213896</v>
      </c>
    </row>
    <row r="57" spans="1:7" x14ac:dyDescent="0.2">
      <c r="A57">
        <v>2022</v>
      </c>
      <c r="B57" s="34">
        <v>4978</v>
      </c>
      <c r="C57" s="9" t="s">
        <v>65</v>
      </c>
      <c r="D57" s="10">
        <v>33634972</v>
      </c>
      <c r="E57" s="9">
        <f>VLOOKUP(B57,'2015'!$B$2:$G$338,6,FALSE)</f>
        <v>0</v>
      </c>
      <c r="F57">
        <f t="shared" si="0"/>
        <v>0</v>
      </c>
      <c r="G57" s="2">
        <f>SUM(F57,D57)</f>
        <v>33634972</v>
      </c>
    </row>
    <row r="58" spans="1:7" x14ac:dyDescent="0.2">
      <c r="A58">
        <v>2022</v>
      </c>
      <c r="B58" s="34">
        <v>4979</v>
      </c>
      <c r="C58" s="9" t="s">
        <v>66</v>
      </c>
      <c r="D58" s="10">
        <v>109825</v>
      </c>
      <c r="E58" s="9">
        <f>VLOOKUP(B58,'2015'!$B$2:$G$338,6,FALSE)</f>
        <v>0</v>
      </c>
      <c r="F58">
        <f t="shared" si="0"/>
        <v>0</v>
      </c>
      <c r="G58" s="2">
        <f>SUM(F58,D58)</f>
        <v>109825</v>
      </c>
    </row>
    <row r="59" spans="1:7" x14ac:dyDescent="0.2">
      <c r="A59">
        <v>2022</v>
      </c>
      <c r="B59" s="34">
        <v>4980</v>
      </c>
      <c r="C59" s="9" t="s">
        <v>67</v>
      </c>
      <c r="D59" s="10">
        <v>2636611</v>
      </c>
      <c r="E59" s="9">
        <f>VLOOKUP(B59,'2015'!$B$2:$G$338,6,FALSE)</f>
        <v>0</v>
      </c>
      <c r="F59">
        <f t="shared" si="0"/>
        <v>0</v>
      </c>
      <c r="G59" s="2">
        <f>SUM(F59,D59)</f>
        <v>2636611</v>
      </c>
    </row>
    <row r="60" spans="1:7" x14ac:dyDescent="0.2">
      <c r="A60">
        <v>2022</v>
      </c>
      <c r="B60" s="34">
        <v>4981</v>
      </c>
      <c r="C60" s="9" t="s">
        <v>68</v>
      </c>
      <c r="D60" s="10">
        <v>5097590</v>
      </c>
      <c r="E60" s="9">
        <f>VLOOKUP(B60,'2015'!$B$2:$G$338,6,FALSE)</f>
        <v>0</v>
      </c>
      <c r="F60">
        <f t="shared" si="0"/>
        <v>0</v>
      </c>
      <c r="G60" s="2">
        <f>SUM(F60,D60)</f>
        <v>5097590</v>
      </c>
    </row>
    <row r="61" spans="1:7" x14ac:dyDescent="0.2">
      <c r="A61">
        <v>2022</v>
      </c>
      <c r="B61" s="34">
        <v>4982</v>
      </c>
      <c r="C61" s="9" t="s">
        <v>69</v>
      </c>
      <c r="D61" s="10">
        <v>54772824</v>
      </c>
      <c r="E61" s="9">
        <f>VLOOKUP(B61,'2015'!$B$2:$G$338,6,FALSE)</f>
        <v>0</v>
      </c>
      <c r="F61">
        <f t="shared" si="0"/>
        <v>0</v>
      </c>
      <c r="G61" s="2">
        <f>SUM(F61,D61)</f>
        <v>54772824</v>
      </c>
    </row>
    <row r="62" spans="1:7" x14ac:dyDescent="0.2">
      <c r="A62">
        <v>2022</v>
      </c>
      <c r="B62" s="34">
        <v>4983</v>
      </c>
      <c r="C62" s="9" t="s">
        <v>70</v>
      </c>
      <c r="D62" s="10">
        <v>6816890</v>
      </c>
      <c r="E62" s="9">
        <f>VLOOKUP(B62,'2015'!$B$2:$G$338,6,FALSE)</f>
        <v>0</v>
      </c>
      <c r="F62">
        <f t="shared" si="0"/>
        <v>0</v>
      </c>
      <c r="G62" s="2">
        <f>SUM(F62,D62)</f>
        <v>6816890</v>
      </c>
    </row>
    <row r="63" spans="1:7" x14ac:dyDescent="0.2">
      <c r="A63">
        <v>2022</v>
      </c>
      <c r="B63" s="34">
        <v>4984</v>
      </c>
      <c r="C63" s="9" t="s">
        <v>71</v>
      </c>
      <c r="D63" s="10">
        <v>3117021</v>
      </c>
      <c r="E63" s="9">
        <f>VLOOKUP(B63,'2015'!$B$2:$G$338,6,FALSE)</f>
        <v>0</v>
      </c>
      <c r="F63">
        <f t="shared" si="0"/>
        <v>0</v>
      </c>
      <c r="G63" s="2">
        <f>SUM(F63,D63)</f>
        <v>3117021</v>
      </c>
    </row>
    <row r="64" spans="1:7" x14ac:dyDescent="0.2">
      <c r="A64">
        <v>2022</v>
      </c>
      <c r="B64" s="34">
        <v>4985</v>
      </c>
      <c r="C64" s="9" t="s">
        <v>72</v>
      </c>
      <c r="D64" s="10">
        <v>6163797</v>
      </c>
      <c r="E64" s="9">
        <f>VLOOKUP(B64,'2015'!$B$2:$G$338,6,FALSE)</f>
        <v>0</v>
      </c>
      <c r="F64">
        <f t="shared" si="0"/>
        <v>0</v>
      </c>
      <c r="G64" s="2">
        <f>SUM(F64,D64)</f>
        <v>6163797</v>
      </c>
    </row>
    <row r="65" spans="1:7" x14ac:dyDescent="0.2">
      <c r="A65">
        <v>2022</v>
      </c>
      <c r="B65" s="34">
        <v>4986</v>
      </c>
      <c r="C65" s="9" t="s">
        <v>73</v>
      </c>
      <c r="D65" s="10">
        <v>7701589</v>
      </c>
      <c r="E65" s="9">
        <f>VLOOKUP(B65,'2015'!$B$2:$G$338,6,FALSE)</f>
        <v>0</v>
      </c>
      <c r="F65">
        <f t="shared" si="0"/>
        <v>0</v>
      </c>
      <c r="G65" s="2">
        <f>SUM(F65,D65)</f>
        <v>7701589</v>
      </c>
    </row>
    <row r="66" spans="1:7" x14ac:dyDescent="0.2">
      <c r="A66">
        <v>2022</v>
      </c>
      <c r="B66" s="34">
        <v>4987</v>
      </c>
      <c r="C66" s="9" t="s">
        <v>74</v>
      </c>
      <c r="D66" s="10">
        <v>711950</v>
      </c>
      <c r="E66" s="9">
        <f>VLOOKUP(B66,'2015'!$B$2:$G$338,6,FALSE)</f>
        <v>0</v>
      </c>
      <c r="F66">
        <f t="shared" si="0"/>
        <v>0</v>
      </c>
      <c r="G66" s="2">
        <f>SUM(F66,D66)</f>
        <v>711950</v>
      </c>
    </row>
    <row r="67" spans="1:7" x14ac:dyDescent="0.2">
      <c r="A67">
        <v>2022</v>
      </c>
      <c r="B67" s="34">
        <v>4988</v>
      </c>
      <c r="C67" s="9" t="s">
        <v>75</v>
      </c>
      <c r="D67" s="10">
        <v>2515379</v>
      </c>
      <c r="E67" s="9">
        <f>VLOOKUP(B67,'2015'!$B$2:$G$338,6,FALSE)</f>
        <v>0</v>
      </c>
      <c r="F67">
        <f t="shared" ref="F67:F130" si="1">E67*$D$341</f>
        <v>0</v>
      </c>
      <c r="G67" s="2">
        <f>SUM(F67,D67)</f>
        <v>2515379</v>
      </c>
    </row>
    <row r="68" spans="1:7" x14ac:dyDescent="0.2">
      <c r="A68">
        <v>2022</v>
      </c>
      <c r="B68" s="34">
        <v>4990</v>
      </c>
      <c r="C68" s="9" t="s">
        <v>76</v>
      </c>
      <c r="D68" s="10">
        <v>164417</v>
      </c>
      <c r="E68" s="9">
        <f>VLOOKUP(B68,'2015'!$B$2:$G$338,6,FALSE)</f>
        <v>0</v>
      </c>
      <c r="F68">
        <f t="shared" si="1"/>
        <v>0</v>
      </c>
      <c r="G68" s="2">
        <f>SUM(F68,D68)</f>
        <v>164417</v>
      </c>
    </row>
    <row r="69" spans="1:7" x14ac:dyDescent="0.2">
      <c r="A69">
        <v>2022</v>
      </c>
      <c r="B69" s="34">
        <v>4991</v>
      </c>
      <c r="C69" s="9" t="s">
        <v>77</v>
      </c>
      <c r="D69" s="10">
        <v>1066828</v>
      </c>
      <c r="E69" s="9">
        <f>VLOOKUP(B69,'2015'!$B$2:$G$338,6,FALSE)</f>
        <v>0</v>
      </c>
      <c r="F69">
        <f t="shared" si="1"/>
        <v>0</v>
      </c>
      <c r="G69" s="2">
        <f>SUM(F69,D69)</f>
        <v>1066828</v>
      </c>
    </row>
    <row r="70" spans="1:7" x14ac:dyDescent="0.2">
      <c r="A70">
        <v>2022</v>
      </c>
      <c r="B70" s="34">
        <v>4992</v>
      </c>
      <c r="C70" s="9" t="s">
        <v>78</v>
      </c>
      <c r="D70" s="10">
        <v>328097</v>
      </c>
      <c r="E70" s="9">
        <f>VLOOKUP(B70,'2015'!$B$2:$G$338,6,FALSE)</f>
        <v>0</v>
      </c>
      <c r="F70">
        <f t="shared" si="1"/>
        <v>0</v>
      </c>
      <c r="G70" s="2">
        <f>SUM(F70,D70)</f>
        <v>328097</v>
      </c>
    </row>
    <row r="71" spans="1:7" x14ac:dyDescent="0.2">
      <c r="A71">
        <v>2022</v>
      </c>
      <c r="B71" s="34">
        <v>4993</v>
      </c>
      <c r="C71" s="9" t="s">
        <v>79</v>
      </c>
      <c r="D71" s="10">
        <v>842163</v>
      </c>
      <c r="E71" s="9">
        <f>VLOOKUP(B71,'2015'!$B$2:$G$338,6,FALSE)</f>
        <v>0</v>
      </c>
      <c r="F71">
        <f t="shared" si="1"/>
        <v>0</v>
      </c>
      <c r="G71" s="2">
        <f>SUM(F71,D71)</f>
        <v>842163</v>
      </c>
    </row>
    <row r="72" spans="1:7" x14ac:dyDescent="0.2">
      <c r="A72">
        <v>2022</v>
      </c>
      <c r="B72" s="34">
        <v>4994</v>
      </c>
      <c r="C72" s="9" t="s">
        <v>80</v>
      </c>
      <c r="D72" s="10">
        <v>199865</v>
      </c>
      <c r="E72" s="9">
        <f>VLOOKUP(B72,'2015'!$B$2:$G$338,6,FALSE)</f>
        <v>0</v>
      </c>
      <c r="F72">
        <f t="shared" si="1"/>
        <v>0</v>
      </c>
      <c r="G72" s="2">
        <f>SUM(F72,D72)</f>
        <v>199865</v>
      </c>
    </row>
    <row r="73" spans="1:7" x14ac:dyDescent="0.2">
      <c r="A73">
        <v>2022</v>
      </c>
      <c r="B73" s="34">
        <v>4995</v>
      </c>
      <c r="C73" s="9" t="s">
        <v>81</v>
      </c>
      <c r="D73" s="10">
        <v>887660</v>
      </c>
      <c r="E73" s="9">
        <f>VLOOKUP(B73,'2015'!$B$2:$G$338,6,FALSE)</f>
        <v>0</v>
      </c>
      <c r="F73">
        <f t="shared" si="1"/>
        <v>0</v>
      </c>
      <c r="G73" s="2">
        <f>SUM(F73,D73)</f>
        <v>887660</v>
      </c>
    </row>
    <row r="74" spans="1:7" x14ac:dyDescent="0.2">
      <c r="A74">
        <v>2022</v>
      </c>
      <c r="B74" s="34">
        <v>4996</v>
      </c>
      <c r="C74" s="9" t="s">
        <v>82</v>
      </c>
      <c r="D74" s="10">
        <v>241732</v>
      </c>
      <c r="E74" s="9">
        <f>VLOOKUP(B74,'2015'!$B$2:$G$338,6,FALSE)</f>
        <v>0</v>
      </c>
      <c r="F74">
        <f t="shared" si="1"/>
        <v>0</v>
      </c>
      <c r="G74" s="2">
        <f>SUM(F74,D74)</f>
        <v>241732</v>
      </c>
    </row>
    <row r="75" spans="1:7" x14ac:dyDescent="0.2">
      <c r="A75">
        <v>2022</v>
      </c>
      <c r="B75" s="34">
        <v>4997</v>
      </c>
      <c r="C75" s="9" t="s">
        <v>83</v>
      </c>
      <c r="D75" s="10">
        <v>3697285</v>
      </c>
      <c r="E75" s="9">
        <f>VLOOKUP(B75,'2015'!$B$2:$G$338,6,FALSE)</f>
        <v>0</v>
      </c>
      <c r="F75">
        <f t="shared" si="1"/>
        <v>0</v>
      </c>
      <c r="G75" s="2">
        <f>SUM(F75,D75)</f>
        <v>3697285</v>
      </c>
    </row>
    <row r="76" spans="1:7" x14ac:dyDescent="0.2">
      <c r="A76">
        <v>2022</v>
      </c>
      <c r="B76" s="34">
        <v>4998</v>
      </c>
      <c r="C76" s="9" t="s">
        <v>84</v>
      </c>
      <c r="D76" s="10">
        <v>458546</v>
      </c>
      <c r="E76" s="9">
        <f>VLOOKUP(B76,'2015'!$B$2:$G$338,6,FALSE)</f>
        <v>0</v>
      </c>
      <c r="F76">
        <f t="shared" si="1"/>
        <v>0</v>
      </c>
      <c r="G76" s="2">
        <f>SUM(F76,D76)</f>
        <v>458546</v>
      </c>
    </row>
    <row r="77" spans="1:7" x14ac:dyDescent="0.2">
      <c r="A77">
        <v>2022</v>
      </c>
      <c r="B77" s="34">
        <v>4999</v>
      </c>
      <c r="C77" s="9" t="s">
        <v>352</v>
      </c>
      <c r="D77" s="10">
        <v>7648620</v>
      </c>
      <c r="E77" s="9">
        <f>VLOOKUP(B77,'2015'!$B$2:$G$338,6,FALSE)</f>
        <v>0</v>
      </c>
      <c r="F77">
        <f t="shared" si="1"/>
        <v>0</v>
      </c>
      <c r="G77" s="2">
        <f>SUM(F77,D77)</f>
        <v>7648620</v>
      </c>
    </row>
    <row r="78" spans="1:7" x14ac:dyDescent="0.2">
      <c r="A78">
        <v>2022</v>
      </c>
      <c r="B78" s="34">
        <v>5000</v>
      </c>
      <c r="C78" s="9" t="s">
        <v>86</v>
      </c>
      <c r="D78" s="10">
        <v>4443809</v>
      </c>
      <c r="E78" s="9">
        <f>VLOOKUP(B78,'2015'!$B$2:$G$338,6,FALSE)</f>
        <v>0</v>
      </c>
      <c r="F78">
        <f t="shared" si="1"/>
        <v>0</v>
      </c>
      <c r="G78" s="2">
        <f>SUM(F78,D78)</f>
        <v>4443809</v>
      </c>
    </row>
    <row r="79" spans="1:7" x14ac:dyDescent="0.2">
      <c r="A79">
        <v>2022</v>
      </c>
      <c r="B79" s="34">
        <v>5001</v>
      </c>
      <c r="C79" s="9" t="s">
        <v>87</v>
      </c>
      <c r="D79" s="10">
        <v>263209</v>
      </c>
      <c r="E79" s="9">
        <f>VLOOKUP(B79,'2015'!$B$2:$G$338,6,FALSE)</f>
        <v>0</v>
      </c>
      <c r="F79">
        <f t="shared" si="1"/>
        <v>0</v>
      </c>
      <c r="G79" s="2">
        <f>SUM(F79,D79)</f>
        <v>263209</v>
      </c>
    </row>
    <row r="80" spans="1:7" x14ac:dyDescent="0.2">
      <c r="A80">
        <v>2022</v>
      </c>
      <c r="B80" s="34">
        <v>5002</v>
      </c>
      <c r="C80" s="9" t="s">
        <v>88</v>
      </c>
      <c r="D80" s="10">
        <v>92823</v>
      </c>
      <c r="E80" s="9">
        <f>VLOOKUP(B80,'2015'!$B$2:$G$338,6,FALSE)</f>
        <v>0</v>
      </c>
      <c r="F80">
        <f t="shared" si="1"/>
        <v>0</v>
      </c>
      <c r="G80" s="2">
        <f>SUM(F80,D80)</f>
        <v>92823</v>
      </c>
    </row>
    <row r="81" spans="1:7" x14ac:dyDescent="0.2">
      <c r="A81">
        <v>2022</v>
      </c>
      <c r="B81" s="34">
        <v>5004</v>
      </c>
      <c r="C81" s="9" t="s">
        <v>89</v>
      </c>
      <c r="D81" s="10">
        <v>1343332</v>
      </c>
      <c r="E81" s="9">
        <f>VLOOKUP(B81,'2015'!$B$2:$G$338,6,FALSE)</f>
        <v>0</v>
      </c>
      <c r="F81">
        <f t="shared" si="1"/>
        <v>0</v>
      </c>
      <c r="G81" s="2">
        <f>SUM(F81,D81)</f>
        <v>1343332</v>
      </c>
    </row>
    <row r="82" spans="1:7" x14ac:dyDescent="0.2">
      <c r="A82">
        <v>2022</v>
      </c>
      <c r="B82" s="34">
        <v>5005</v>
      </c>
      <c r="C82" s="9" t="s">
        <v>90</v>
      </c>
      <c r="D82" s="10">
        <v>602133</v>
      </c>
      <c r="E82" s="9">
        <f>VLOOKUP(B82,'2015'!$B$2:$G$338,6,FALSE)</f>
        <v>0</v>
      </c>
      <c r="F82">
        <f t="shared" si="1"/>
        <v>0</v>
      </c>
      <c r="G82" s="2">
        <f>SUM(F82,D82)</f>
        <v>602133</v>
      </c>
    </row>
    <row r="83" spans="1:7" x14ac:dyDescent="0.2">
      <c r="A83">
        <v>2022</v>
      </c>
      <c r="B83" s="34">
        <v>5006</v>
      </c>
      <c r="C83" s="9" t="s">
        <v>91</v>
      </c>
      <c r="D83" s="10">
        <v>267684</v>
      </c>
      <c r="E83" s="9">
        <f>VLOOKUP(B83,'2015'!$B$2:$G$338,6,FALSE)</f>
        <v>0</v>
      </c>
      <c r="F83">
        <f t="shared" si="1"/>
        <v>0</v>
      </c>
      <c r="G83" s="2">
        <f>SUM(F83,D83)</f>
        <v>267684</v>
      </c>
    </row>
    <row r="84" spans="1:7" x14ac:dyDescent="0.2">
      <c r="A84">
        <v>2022</v>
      </c>
      <c r="B84" s="34">
        <v>5655</v>
      </c>
      <c r="C84" s="3" t="s">
        <v>40</v>
      </c>
      <c r="D84" s="3"/>
      <c r="E84" s="9">
        <f>VLOOKUP(B84,'2015'!$B$2:$G$338,6,FALSE)</f>
        <v>5.1934606302538574E-3</v>
      </c>
      <c r="F84">
        <f t="shared" si="1"/>
        <v>349765.22391587589</v>
      </c>
      <c r="G84" s="2">
        <f>SUM(F84,D84)</f>
        <v>349765.22391587589</v>
      </c>
    </row>
    <row r="85" spans="1:7" x14ac:dyDescent="0.2">
      <c r="A85">
        <v>2022</v>
      </c>
      <c r="B85" s="34">
        <v>5008</v>
      </c>
      <c r="C85" s="9" t="s">
        <v>92</v>
      </c>
      <c r="D85" s="10">
        <v>661756</v>
      </c>
      <c r="E85" s="9">
        <f>VLOOKUP(B85,'2015'!$B$2:$G$338,6,FALSE)</f>
        <v>0</v>
      </c>
      <c r="F85">
        <f t="shared" si="1"/>
        <v>0</v>
      </c>
      <c r="G85" s="2">
        <f>SUM(F85,D85)</f>
        <v>661756</v>
      </c>
    </row>
    <row r="86" spans="1:7" x14ac:dyDescent="0.2">
      <c r="A86">
        <v>2022</v>
      </c>
      <c r="B86" s="34">
        <v>5010</v>
      </c>
      <c r="C86" s="9" t="s">
        <v>93</v>
      </c>
      <c r="D86" s="10">
        <v>1497968</v>
      </c>
      <c r="E86" s="9">
        <f>VLOOKUP(B86,'2015'!$B$2:$G$338,6,FALSE)</f>
        <v>0</v>
      </c>
      <c r="F86">
        <f t="shared" si="1"/>
        <v>0</v>
      </c>
      <c r="G86" s="2">
        <f>SUM(F86,D86)</f>
        <v>1497968</v>
      </c>
    </row>
    <row r="87" spans="1:7" x14ac:dyDescent="0.2">
      <c r="A87">
        <v>2022</v>
      </c>
      <c r="B87" s="34">
        <v>5011</v>
      </c>
      <c r="C87" s="9" t="s">
        <v>94</v>
      </c>
      <c r="D87" s="10">
        <v>606812</v>
      </c>
      <c r="E87" s="9">
        <f>VLOOKUP(B87,'2015'!$B$2:$G$338,6,FALSE)</f>
        <v>0</v>
      </c>
      <c r="F87">
        <f t="shared" si="1"/>
        <v>0</v>
      </c>
      <c r="G87" s="2">
        <f>SUM(F87,D87)</f>
        <v>606812</v>
      </c>
    </row>
    <row r="88" spans="1:7" x14ac:dyDescent="0.2">
      <c r="A88">
        <v>2022</v>
      </c>
      <c r="B88" s="34">
        <v>5012</v>
      </c>
      <c r="C88" s="9" t="s">
        <v>95</v>
      </c>
      <c r="D88" s="10">
        <v>394071</v>
      </c>
      <c r="E88" s="9">
        <f>VLOOKUP(B88,'2015'!$B$2:$G$338,6,FALSE)</f>
        <v>0</v>
      </c>
      <c r="F88">
        <f t="shared" si="1"/>
        <v>0</v>
      </c>
      <c r="G88" s="2">
        <f>SUM(F88,D88)</f>
        <v>394071</v>
      </c>
    </row>
    <row r="89" spans="1:7" x14ac:dyDescent="0.2">
      <c r="A89">
        <v>2022</v>
      </c>
      <c r="B89" s="34">
        <v>5013</v>
      </c>
      <c r="C89" s="9" t="s">
        <v>96</v>
      </c>
      <c r="D89" s="10">
        <v>7152808</v>
      </c>
      <c r="E89" s="9">
        <f>VLOOKUP(B89,'2015'!$B$2:$G$338,6,FALSE)</f>
        <v>0</v>
      </c>
      <c r="F89">
        <f t="shared" si="1"/>
        <v>0</v>
      </c>
      <c r="G89" s="2">
        <f>SUM(F89,D89)</f>
        <v>7152808</v>
      </c>
    </row>
    <row r="90" spans="1:7" x14ac:dyDescent="0.2">
      <c r="A90">
        <v>2022</v>
      </c>
      <c r="B90" s="34">
        <v>5014</v>
      </c>
      <c r="C90" s="9" t="s">
        <v>97</v>
      </c>
      <c r="D90" s="10">
        <v>1617165</v>
      </c>
      <c r="E90" s="9">
        <f>VLOOKUP(B90,'2015'!$B$2:$G$338,6,FALSE)</f>
        <v>0</v>
      </c>
      <c r="F90">
        <f t="shared" si="1"/>
        <v>0</v>
      </c>
      <c r="G90" s="2">
        <f>SUM(F90,D90)</f>
        <v>1617165</v>
      </c>
    </row>
    <row r="91" spans="1:7" x14ac:dyDescent="0.2">
      <c r="A91">
        <v>2022</v>
      </c>
      <c r="B91" s="34">
        <v>5015</v>
      </c>
      <c r="C91" s="9" t="s">
        <v>98</v>
      </c>
      <c r="D91" s="10">
        <v>421652</v>
      </c>
      <c r="E91" s="9">
        <f>VLOOKUP(B91,'2015'!$B$2:$G$338,6,FALSE)</f>
        <v>0</v>
      </c>
      <c r="F91">
        <f t="shared" si="1"/>
        <v>0</v>
      </c>
      <c r="G91" s="2">
        <f>SUM(F91,D91)</f>
        <v>421652</v>
      </c>
    </row>
    <row r="92" spans="1:7" x14ac:dyDescent="0.2">
      <c r="A92">
        <v>2022</v>
      </c>
      <c r="B92" s="34">
        <v>5016</v>
      </c>
      <c r="C92" s="9" t="s">
        <v>99</v>
      </c>
      <c r="D92" s="10">
        <v>581189</v>
      </c>
      <c r="E92" s="9">
        <f>VLOOKUP(B92,'2015'!$B$2:$G$338,6,FALSE)</f>
        <v>0</v>
      </c>
      <c r="F92">
        <f t="shared" si="1"/>
        <v>0</v>
      </c>
      <c r="G92" s="2">
        <f>SUM(F92,D92)</f>
        <v>581189</v>
      </c>
    </row>
    <row r="93" spans="1:7" x14ac:dyDescent="0.2">
      <c r="A93">
        <v>2022</v>
      </c>
      <c r="B93" s="34">
        <v>5017</v>
      </c>
      <c r="C93" s="9" t="s">
        <v>100</v>
      </c>
      <c r="D93" s="10">
        <v>3766952</v>
      </c>
      <c r="E93" s="9">
        <f>VLOOKUP(B93,'2015'!$B$2:$G$338,6,FALSE)</f>
        <v>0</v>
      </c>
      <c r="F93">
        <f t="shared" si="1"/>
        <v>0</v>
      </c>
      <c r="G93" s="2">
        <f>SUM(F93,D93)</f>
        <v>3766952</v>
      </c>
    </row>
    <row r="94" spans="1:7" x14ac:dyDescent="0.2">
      <c r="A94">
        <v>2022</v>
      </c>
      <c r="B94" s="34">
        <v>5018</v>
      </c>
      <c r="C94" s="9" t="s">
        <v>101</v>
      </c>
      <c r="D94" s="10">
        <v>267061</v>
      </c>
      <c r="E94" s="9">
        <f>VLOOKUP(B94,'2015'!$B$2:$G$338,6,FALSE)</f>
        <v>0</v>
      </c>
      <c r="F94">
        <f t="shared" si="1"/>
        <v>0</v>
      </c>
      <c r="G94" s="2">
        <f>SUM(F94,D94)</f>
        <v>267061</v>
      </c>
    </row>
    <row r="95" spans="1:7" x14ac:dyDescent="0.2">
      <c r="A95">
        <v>2022</v>
      </c>
      <c r="B95" s="34">
        <v>5019</v>
      </c>
      <c r="C95" s="9" t="s">
        <v>102</v>
      </c>
      <c r="D95" s="10">
        <v>2748353</v>
      </c>
      <c r="E95" s="9">
        <f>VLOOKUP(B95,'2015'!$B$2:$G$338,6,FALSE)</f>
        <v>0</v>
      </c>
      <c r="F95">
        <f t="shared" si="1"/>
        <v>0</v>
      </c>
      <c r="G95" s="2">
        <f>SUM(F95,D95)</f>
        <v>2748353</v>
      </c>
    </row>
    <row r="96" spans="1:7" x14ac:dyDescent="0.2">
      <c r="A96">
        <v>2022</v>
      </c>
      <c r="B96" s="34">
        <v>5020</v>
      </c>
      <c r="C96" s="9" t="s">
        <v>103</v>
      </c>
      <c r="D96" s="10">
        <v>7897844</v>
      </c>
      <c r="E96" s="9">
        <f>VLOOKUP(B96,'2015'!$B$2:$G$338,6,FALSE)</f>
        <v>0</v>
      </c>
      <c r="F96">
        <f t="shared" si="1"/>
        <v>0</v>
      </c>
      <c r="G96" s="2">
        <f>SUM(F96,D96)</f>
        <v>7897844</v>
      </c>
    </row>
    <row r="97" spans="1:7" x14ac:dyDescent="0.2">
      <c r="A97">
        <v>2022</v>
      </c>
      <c r="B97" s="34">
        <v>5021</v>
      </c>
      <c r="C97" s="9" t="s">
        <v>104</v>
      </c>
      <c r="D97" s="10">
        <v>287163</v>
      </c>
      <c r="E97" s="9">
        <f>VLOOKUP(B97,'2015'!$B$2:$G$338,6,FALSE)</f>
        <v>0</v>
      </c>
      <c r="F97">
        <f t="shared" si="1"/>
        <v>0</v>
      </c>
      <c r="G97" s="2">
        <f>SUM(F97,D97)</f>
        <v>287163</v>
      </c>
    </row>
    <row r="98" spans="1:7" x14ac:dyDescent="0.2">
      <c r="A98">
        <v>2022</v>
      </c>
      <c r="B98" s="34">
        <v>5022</v>
      </c>
      <c r="C98" s="9" t="s">
        <v>105</v>
      </c>
      <c r="D98" s="10">
        <v>4333600</v>
      </c>
      <c r="E98" s="9">
        <f>VLOOKUP(B98,'2015'!$B$2:$G$338,6,FALSE)</f>
        <v>0</v>
      </c>
      <c r="F98">
        <f t="shared" si="1"/>
        <v>0</v>
      </c>
      <c r="G98" s="2">
        <f>SUM(F98,D98)</f>
        <v>4333600</v>
      </c>
    </row>
    <row r="99" spans="1:7" x14ac:dyDescent="0.2">
      <c r="A99">
        <v>2022</v>
      </c>
      <c r="B99" s="34">
        <v>5024</v>
      </c>
      <c r="C99" s="9" t="s">
        <v>106</v>
      </c>
      <c r="D99" s="10">
        <v>637187</v>
      </c>
      <c r="E99" s="9">
        <f>VLOOKUP(B99,'2015'!$B$2:$G$338,6,FALSE)</f>
        <v>0</v>
      </c>
      <c r="F99">
        <f t="shared" si="1"/>
        <v>0</v>
      </c>
      <c r="G99" s="2">
        <f>SUM(F99,D99)</f>
        <v>637187</v>
      </c>
    </row>
    <row r="100" spans="1:7" x14ac:dyDescent="0.2">
      <c r="A100">
        <v>2022</v>
      </c>
      <c r="B100" s="34">
        <v>5025</v>
      </c>
      <c r="C100" s="9" t="s">
        <v>107</v>
      </c>
      <c r="D100" s="10">
        <v>1847442</v>
      </c>
      <c r="E100" s="9">
        <f>VLOOKUP(B100,'2015'!$B$2:$G$338,6,FALSE)</f>
        <v>0</v>
      </c>
      <c r="F100">
        <f t="shared" si="1"/>
        <v>0</v>
      </c>
      <c r="G100" s="2">
        <f>SUM(F100,D100)</f>
        <v>1847442</v>
      </c>
    </row>
    <row r="101" spans="1:7" x14ac:dyDescent="0.2">
      <c r="A101">
        <v>2022</v>
      </c>
      <c r="B101" s="34">
        <v>5026</v>
      </c>
      <c r="C101" s="9" t="s">
        <v>108</v>
      </c>
      <c r="D101" s="10">
        <v>386757</v>
      </c>
      <c r="E101" s="9">
        <f>VLOOKUP(B101,'2015'!$B$2:$G$338,6,FALSE)</f>
        <v>0</v>
      </c>
      <c r="F101">
        <f t="shared" si="1"/>
        <v>0</v>
      </c>
      <c r="G101" s="2">
        <f>SUM(F101,D101)</f>
        <v>386757</v>
      </c>
    </row>
    <row r="102" spans="1:7" x14ac:dyDescent="0.2">
      <c r="A102">
        <v>2022</v>
      </c>
      <c r="B102" s="34">
        <v>5027</v>
      </c>
      <c r="C102" s="9" t="s">
        <v>109</v>
      </c>
      <c r="D102" s="10">
        <v>6113073</v>
      </c>
      <c r="E102" s="9">
        <f>VLOOKUP(B102,'2015'!$B$2:$G$338,6,FALSE)</f>
        <v>0</v>
      </c>
      <c r="F102">
        <f t="shared" si="1"/>
        <v>0</v>
      </c>
      <c r="G102" s="2">
        <f>SUM(F102,D102)</f>
        <v>6113073</v>
      </c>
    </row>
    <row r="103" spans="1:7" x14ac:dyDescent="0.2">
      <c r="A103">
        <v>2022</v>
      </c>
      <c r="B103" s="34">
        <v>5028</v>
      </c>
      <c r="C103" s="9" t="s">
        <v>110</v>
      </c>
      <c r="D103" s="10">
        <v>1399992</v>
      </c>
      <c r="E103" s="9">
        <f>VLOOKUP(B103,'2015'!$B$2:$G$338,6,FALSE)</f>
        <v>0</v>
      </c>
      <c r="F103">
        <f t="shared" si="1"/>
        <v>0</v>
      </c>
      <c r="G103" s="2">
        <f>SUM(F103,D103)</f>
        <v>1399992</v>
      </c>
    </row>
    <row r="104" spans="1:7" x14ac:dyDescent="0.2">
      <c r="A104">
        <v>2022</v>
      </c>
      <c r="B104" s="34">
        <v>5029</v>
      </c>
      <c r="C104" s="9" t="s">
        <v>111</v>
      </c>
      <c r="D104" s="10">
        <v>493869</v>
      </c>
      <c r="E104" s="9">
        <f>VLOOKUP(B104,'2015'!$B$2:$G$338,6,FALSE)</f>
        <v>0</v>
      </c>
      <c r="F104">
        <f t="shared" si="1"/>
        <v>0</v>
      </c>
      <c r="G104" s="2">
        <f>SUM(F104,D104)</f>
        <v>493869</v>
      </c>
    </row>
    <row r="105" spans="1:7" x14ac:dyDescent="0.2">
      <c r="A105">
        <v>2022</v>
      </c>
      <c r="B105" s="34">
        <v>5031</v>
      </c>
      <c r="C105" s="9" t="s">
        <v>112</v>
      </c>
      <c r="D105" s="10">
        <v>9696223</v>
      </c>
      <c r="E105" s="9">
        <f>VLOOKUP(B105,'2015'!$B$2:$G$338,6,FALSE)</f>
        <v>0</v>
      </c>
      <c r="F105">
        <f t="shared" si="1"/>
        <v>0</v>
      </c>
      <c r="G105" s="2">
        <f>SUM(F105,D105)</f>
        <v>9696223</v>
      </c>
    </row>
    <row r="106" spans="1:7" x14ac:dyDescent="0.2">
      <c r="A106">
        <v>2022</v>
      </c>
      <c r="B106" s="34">
        <v>5032</v>
      </c>
      <c r="C106" s="9" t="s">
        <v>113</v>
      </c>
      <c r="D106" s="10">
        <v>854686</v>
      </c>
      <c r="E106" s="9">
        <f>VLOOKUP(B106,'2015'!$B$2:$G$338,6,FALSE)</f>
        <v>0</v>
      </c>
      <c r="F106">
        <f t="shared" si="1"/>
        <v>0</v>
      </c>
      <c r="G106" s="2">
        <f>SUM(F106,D106)</f>
        <v>854686</v>
      </c>
    </row>
    <row r="107" spans="1:7" x14ac:dyDescent="0.2">
      <c r="A107">
        <v>2022</v>
      </c>
      <c r="B107" s="34">
        <v>5033</v>
      </c>
      <c r="C107" s="9" t="s">
        <v>114</v>
      </c>
      <c r="D107" s="10">
        <v>559676</v>
      </c>
      <c r="E107" s="9">
        <f>VLOOKUP(B107,'2015'!$B$2:$G$338,6,FALSE)</f>
        <v>0</v>
      </c>
      <c r="F107">
        <f t="shared" si="1"/>
        <v>0</v>
      </c>
      <c r="G107" s="2">
        <f>SUM(F107,D107)</f>
        <v>559676</v>
      </c>
    </row>
    <row r="108" spans="1:7" x14ac:dyDescent="0.2">
      <c r="A108">
        <v>2022</v>
      </c>
      <c r="B108" s="34">
        <v>5034</v>
      </c>
      <c r="C108" s="9" t="s">
        <v>115</v>
      </c>
      <c r="D108" s="10">
        <v>248245</v>
      </c>
      <c r="E108" s="9">
        <f>VLOOKUP(B108,'2015'!$B$2:$G$338,6,FALSE)</f>
        <v>0</v>
      </c>
      <c r="F108">
        <f t="shared" si="1"/>
        <v>0</v>
      </c>
      <c r="G108" s="2">
        <f>SUM(F108,D108)</f>
        <v>248245</v>
      </c>
    </row>
    <row r="109" spans="1:7" x14ac:dyDescent="0.2">
      <c r="A109">
        <v>2022</v>
      </c>
      <c r="B109" s="34">
        <v>5035</v>
      </c>
      <c r="C109" s="9" t="s">
        <v>116</v>
      </c>
      <c r="D109" s="10">
        <v>1584817</v>
      </c>
      <c r="E109" s="9">
        <f>VLOOKUP(B109,'2015'!$B$2:$G$338,6,FALSE)</f>
        <v>0</v>
      </c>
      <c r="F109">
        <f t="shared" si="1"/>
        <v>0</v>
      </c>
      <c r="G109" s="2">
        <f>SUM(F109,D109)</f>
        <v>1584817</v>
      </c>
    </row>
    <row r="110" spans="1:7" x14ac:dyDescent="0.2">
      <c r="A110">
        <v>2022</v>
      </c>
      <c r="B110" s="34">
        <v>5036</v>
      </c>
      <c r="C110" s="9" t="s">
        <v>117</v>
      </c>
      <c r="D110" s="10">
        <v>847286</v>
      </c>
      <c r="E110" s="9">
        <f>VLOOKUP(B110,'2015'!$B$2:$G$338,6,FALSE)</f>
        <v>0</v>
      </c>
      <c r="F110">
        <f t="shared" si="1"/>
        <v>0</v>
      </c>
      <c r="G110" s="2">
        <f>SUM(F110,D110)</f>
        <v>847286</v>
      </c>
    </row>
    <row r="111" spans="1:7" x14ac:dyDescent="0.2">
      <c r="A111">
        <v>2022</v>
      </c>
      <c r="B111" s="34">
        <v>5037</v>
      </c>
      <c r="C111" s="9" t="s">
        <v>118</v>
      </c>
      <c r="D111" s="10">
        <v>2863924</v>
      </c>
      <c r="E111" s="9">
        <f>VLOOKUP(B111,'2015'!$B$2:$G$338,6,FALSE)</f>
        <v>0</v>
      </c>
      <c r="F111">
        <f t="shared" si="1"/>
        <v>0</v>
      </c>
      <c r="G111" s="2">
        <f>SUM(F111,D111)</f>
        <v>2863924</v>
      </c>
    </row>
    <row r="112" spans="1:7" x14ac:dyDescent="0.2">
      <c r="A112">
        <v>2022</v>
      </c>
      <c r="B112" s="34">
        <v>5038</v>
      </c>
      <c r="C112" s="9" t="s">
        <v>119</v>
      </c>
      <c r="D112" s="10">
        <v>379378</v>
      </c>
      <c r="E112" s="9">
        <f>VLOOKUP(B112,'2015'!$B$2:$G$338,6,FALSE)</f>
        <v>0</v>
      </c>
      <c r="F112">
        <f t="shared" si="1"/>
        <v>0</v>
      </c>
      <c r="G112" s="2">
        <f>SUM(F112,D112)</f>
        <v>379378</v>
      </c>
    </row>
    <row r="113" spans="1:7" x14ac:dyDescent="0.2">
      <c r="A113">
        <v>2022</v>
      </c>
      <c r="B113" s="34">
        <v>5039</v>
      </c>
      <c r="C113" s="9" t="s">
        <v>120</v>
      </c>
      <c r="D113" s="10">
        <v>471512</v>
      </c>
      <c r="E113" s="9">
        <f>VLOOKUP(B113,'2015'!$B$2:$G$338,6,FALSE)</f>
        <v>0</v>
      </c>
      <c r="F113">
        <f t="shared" si="1"/>
        <v>0</v>
      </c>
      <c r="G113" s="2">
        <f>SUM(F113,D113)</f>
        <v>471512</v>
      </c>
    </row>
    <row r="114" spans="1:7" x14ac:dyDescent="0.2">
      <c r="A114">
        <v>2022</v>
      </c>
      <c r="B114" s="34">
        <v>5040</v>
      </c>
      <c r="C114" s="9" t="s">
        <v>121</v>
      </c>
      <c r="D114" s="10">
        <v>1482181</v>
      </c>
      <c r="E114" s="9">
        <f>VLOOKUP(B114,'2015'!$B$2:$G$338,6,FALSE)</f>
        <v>0</v>
      </c>
      <c r="F114">
        <f t="shared" si="1"/>
        <v>0</v>
      </c>
      <c r="G114" s="2">
        <f>SUM(F114,D114)</f>
        <v>1482181</v>
      </c>
    </row>
    <row r="115" spans="1:7" x14ac:dyDescent="0.2">
      <c r="A115">
        <v>2022</v>
      </c>
      <c r="B115" s="34">
        <v>5041</v>
      </c>
      <c r="C115" s="9" t="s">
        <v>122</v>
      </c>
      <c r="D115" s="10">
        <v>7217682</v>
      </c>
      <c r="E115" s="9">
        <f>VLOOKUP(B115,'2015'!$B$2:$G$338,6,FALSE)</f>
        <v>0</v>
      </c>
      <c r="F115">
        <f t="shared" si="1"/>
        <v>0</v>
      </c>
      <c r="G115" s="2">
        <f>SUM(F115,D115)</f>
        <v>7217682</v>
      </c>
    </row>
    <row r="116" spans="1:7" x14ac:dyDescent="0.2">
      <c r="A116">
        <v>2022</v>
      </c>
      <c r="B116" s="34">
        <v>5042</v>
      </c>
      <c r="C116" s="9" t="s">
        <v>123</v>
      </c>
      <c r="D116" s="10">
        <v>2536196</v>
      </c>
      <c r="E116" s="9">
        <f>VLOOKUP(B116,'2015'!$B$2:$G$338,6,FALSE)</f>
        <v>0</v>
      </c>
      <c r="F116">
        <f t="shared" si="1"/>
        <v>0</v>
      </c>
      <c r="G116" s="2">
        <f>SUM(F116,D116)</f>
        <v>2536196</v>
      </c>
    </row>
    <row r="117" spans="1:7" x14ac:dyDescent="0.2">
      <c r="A117">
        <v>2022</v>
      </c>
      <c r="B117" s="34">
        <v>5043</v>
      </c>
      <c r="C117" s="9" t="s">
        <v>124</v>
      </c>
      <c r="D117" s="10">
        <v>3402427</v>
      </c>
      <c r="E117" s="9">
        <f>VLOOKUP(B117,'2015'!$B$2:$G$338,6,FALSE)</f>
        <v>0</v>
      </c>
      <c r="F117">
        <f t="shared" si="1"/>
        <v>0</v>
      </c>
      <c r="G117" s="2">
        <f>SUM(F117,D117)</f>
        <v>3402427</v>
      </c>
    </row>
    <row r="118" spans="1:7" x14ac:dyDescent="0.2">
      <c r="A118">
        <v>2022</v>
      </c>
      <c r="B118" s="34">
        <v>5056</v>
      </c>
      <c r="C118" s="9" t="s">
        <v>125</v>
      </c>
      <c r="D118" s="10">
        <v>361672</v>
      </c>
      <c r="E118" s="9">
        <f>VLOOKUP(B118,'2015'!$B$2:$G$338,6,FALSE)</f>
        <v>0</v>
      </c>
      <c r="F118">
        <f t="shared" si="1"/>
        <v>0</v>
      </c>
      <c r="G118" s="2">
        <f>SUM(F118,D118)</f>
        <v>361672</v>
      </c>
    </row>
    <row r="119" spans="1:7" x14ac:dyDescent="0.2">
      <c r="A119">
        <v>2022</v>
      </c>
      <c r="B119" s="34">
        <v>5057</v>
      </c>
      <c r="C119" s="9" t="s">
        <v>126</v>
      </c>
      <c r="D119" s="10">
        <v>652976</v>
      </c>
      <c r="E119" s="9">
        <f>VLOOKUP(B119,'2015'!$B$2:$G$338,6,FALSE)</f>
        <v>0</v>
      </c>
      <c r="F119">
        <f t="shared" si="1"/>
        <v>0</v>
      </c>
      <c r="G119" s="2">
        <f>SUM(F119,D119)</f>
        <v>652976</v>
      </c>
    </row>
    <row r="120" spans="1:7" x14ac:dyDescent="0.2">
      <c r="A120">
        <v>2022</v>
      </c>
      <c r="B120" s="34">
        <v>5058</v>
      </c>
      <c r="C120" s="9" t="s">
        <v>127</v>
      </c>
      <c r="D120" s="10">
        <v>1276599</v>
      </c>
      <c r="E120" s="9">
        <f>VLOOKUP(B120,'2015'!$B$2:$G$338,6,FALSE)</f>
        <v>0</v>
      </c>
      <c r="F120">
        <f t="shared" si="1"/>
        <v>0</v>
      </c>
      <c r="G120" s="2">
        <f>SUM(F120,D120)</f>
        <v>1276599</v>
      </c>
    </row>
    <row r="121" spans="1:7" x14ac:dyDescent="0.2">
      <c r="A121">
        <v>2022</v>
      </c>
      <c r="B121" s="34">
        <v>5059</v>
      </c>
      <c r="C121" s="9" t="s">
        <v>128</v>
      </c>
      <c r="D121" s="10">
        <v>378466</v>
      </c>
      <c r="E121" s="9">
        <f>VLOOKUP(B121,'2015'!$B$2:$G$338,6,FALSE)</f>
        <v>0</v>
      </c>
      <c r="F121">
        <f t="shared" si="1"/>
        <v>0</v>
      </c>
      <c r="G121" s="2">
        <f>SUM(F121,D121)</f>
        <v>378466</v>
      </c>
    </row>
    <row r="122" spans="1:7" x14ac:dyDescent="0.2">
      <c r="A122">
        <v>2022</v>
      </c>
      <c r="B122" s="34">
        <v>5060</v>
      </c>
      <c r="C122" s="9" t="s">
        <v>129</v>
      </c>
      <c r="D122" s="10">
        <v>182602</v>
      </c>
      <c r="E122" s="9">
        <f>VLOOKUP(B122,'2015'!$B$2:$G$338,6,FALSE)</f>
        <v>0</v>
      </c>
      <c r="F122">
        <f t="shared" si="1"/>
        <v>0</v>
      </c>
      <c r="G122" s="2">
        <f>SUM(F122,D122)</f>
        <v>182602</v>
      </c>
    </row>
    <row r="123" spans="1:7" x14ac:dyDescent="0.2">
      <c r="A123">
        <v>2022</v>
      </c>
      <c r="B123" s="34">
        <v>5061</v>
      </c>
      <c r="C123" s="9" t="s">
        <v>130</v>
      </c>
      <c r="D123" s="10">
        <v>378119</v>
      </c>
      <c r="E123" s="9">
        <f>VLOOKUP(B123,'2015'!$B$2:$G$338,6,FALSE)</f>
        <v>0</v>
      </c>
      <c r="F123">
        <f t="shared" si="1"/>
        <v>0</v>
      </c>
      <c r="G123" s="2">
        <f>SUM(F123,D123)</f>
        <v>378119</v>
      </c>
    </row>
    <row r="124" spans="1:7" x14ac:dyDescent="0.2">
      <c r="A124">
        <v>2022</v>
      </c>
      <c r="B124" s="34">
        <v>5062</v>
      </c>
      <c r="C124" s="9" t="s">
        <v>131</v>
      </c>
      <c r="D124" s="10">
        <v>629330</v>
      </c>
      <c r="E124" s="9">
        <f>VLOOKUP(B124,'2015'!$B$2:$G$338,6,FALSE)</f>
        <v>0</v>
      </c>
      <c r="F124">
        <f t="shared" si="1"/>
        <v>0</v>
      </c>
      <c r="G124" s="2">
        <f>SUM(F124,D124)</f>
        <v>629330</v>
      </c>
    </row>
    <row r="125" spans="1:7" x14ac:dyDescent="0.2">
      <c r="A125">
        <v>2022</v>
      </c>
      <c r="B125" s="34">
        <v>5063</v>
      </c>
      <c r="C125" s="9" t="s">
        <v>132</v>
      </c>
      <c r="D125" s="10">
        <v>527972</v>
      </c>
      <c r="E125" s="9">
        <f>VLOOKUP(B125,'2015'!$B$2:$G$338,6,FALSE)</f>
        <v>0</v>
      </c>
      <c r="F125">
        <f t="shared" si="1"/>
        <v>0</v>
      </c>
      <c r="G125" s="2">
        <f>SUM(F125,D125)</f>
        <v>527972</v>
      </c>
    </row>
    <row r="126" spans="1:7" x14ac:dyDescent="0.2">
      <c r="A126">
        <v>2022</v>
      </c>
      <c r="B126" s="34">
        <v>5064</v>
      </c>
      <c r="C126" s="9" t="s">
        <v>133</v>
      </c>
      <c r="D126" s="10">
        <v>363560</v>
      </c>
      <c r="E126" s="9">
        <f>VLOOKUP(B126,'2015'!$B$2:$G$338,6,FALSE)</f>
        <v>0</v>
      </c>
      <c r="F126">
        <f t="shared" si="1"/>
        <v>0</v>
      </c>
      <c r="G126" s="2">
        <f>SUM(F126,D126)</f>
        <v>363560</v>
      </c>
    </row>
    <row r="127" spans="1:7" x14ac:dyDescent="0.2">
      <c r="A127">
        <v>2022</v>
      </c>
      <c r="B127" s="34">
        <v>5065</v>
      </c>
      <c r="C127" s="9" t="s">
        <v>134</v>
      </c>
      <c r="D127" s="10">
        <v>437287</v>
      </c>
      <c r="E127" s="9">
        <f>VLOOKUP(B127,'2015'!$B$2:$G$338,6,FALSE)</f>
        <v>0</v>
      </c>
      <c r="F127">
        <f t="shared" si="1"/>
        <v>0</v>
      </c>
      <c r="G127" s="2">
        <f>SUM(F127,D127)</f>
        <v>437287</v>
      </c>
    </row>
    <row r="128" spans="1:7" x14ac:dyDescent="0.2">
      <c r="A128">
        <v>2022</v>
      </c>
      <c r="B128" s="34">
        <v>5066</v>
      </c>
      <c r="C128" s="9" t="s">
        <v>135</v>
      </c>
      <c r="D128" s="10">
        <v>490227</v>
      </c>
      <c r="E128" s="9">
        <f>VLOOKUP(B128,'2015'!$B$2:$G$338,6,FALSE)</f>
        <v>0</v>
      </c>
      <c r="F128">
        <f t="shared" si="1"/>
        <v>0</v>
      </c>
      <c r="G128" s="2">
        <f>SUM(F128,D128)</f>
        <v>490227</v>
      </c>
    </row>
    <row r="129" spans="1:7" x14ac:dyDescent="0.2">
      <c r="A129">
        <v>2022</v>
      </c>
      <c r="B129" s="34">
        <v>5067</v>
      </c>
      <c r="C129" s="9" t="s">
        <v>136</v>
      </c>
      <c r="D129" s="10">
        <v>767254</v>
      </c>
      <c r="E129" s="9">
        <f>VLOOKUP(B129,'2015'!$B$2:$G$338,6,FALSE)</f>
        <v>0</v>
      </c>
      <c r="F129">
        <f t="shared" si="1"/>
        <v>0</v>
      </c>
      <c r="G129" s="2">
        <f>SUM(F129,D129)</f>
        <v>767254</v>
      </c>
    </row>
    <row r="130" spans="1:7" x14ac:dyDescent="0.2">
      <c r="A130">
        <v>2022</v>
      </c>
      <c r="B130" s="34">
        <v>5068</v>
      </c>
      <c r="C130" s="9" t="s">
        <v>137</v>
      </c>
      <c r="D130" s="10">
        <v>737573</v>
      </c>
      <c r="E130" s="9">
        <f>VLOOKUP(B130,'2015'!$B$2:$G$338,6,FALSE)</f>
        <v>0</v>
      </c>
      <c r="F130">
        <f t="shared" si="1"/>
        <v>0</v>
      </c>
      <c r="G130" s="2">
        <f>SUM(F130,D130)</f>
        <v>737573</v>
      </c>
    </row>
    <row r="131" spans="1:7" x14ac:dyDescent="0.2">
      <c r="A131">
        <v>2022</v>
      </c>
      <c r="B131" s="34">
        <v>5069</v>
      </c>
      <c r="C131" s="9" t="s">
        <v>138</v>
      </c>
      <c r="D131" s="10">
        <v>653714</v>
      </c>
      <c r="E131" s="9">
        <f>VLOOKUP(B131,'2015'!$B$2:$G$338,6,FALSE)</f>
        <v>0</v>
      </c>
      <c r="F131">
        <f t="shared" ref="F131:F194" si="2">E131*$D$341</f>
        <v>0</v>
      </c>
      <c r="G131" s="2">
        <f>SUM(F131,D131)</f>
        <v>653714</v>
      </c>
    </row>
    <row r="132" spans="1:7" x14ac:dyDescent="0.2">
      <c r="A132">
        <v>2022</v>
      </c>
      <c r="B132" s="34">
        <v>5070</v>
      </c>
      <c r="C132" s="9" t="s">
        <v>139</v>
      </c>
      <c r="D132" s="10">
        <v>1651071</v>
      </c>
      <c r="E132" s="9">
        <f>VLOOKUP(B132,'2015'!$B$2:$G$338,6,FALSE)</f>
        <v>0</v>
      </c>
      <c r="F132">
        <f t="shared" si="2"/>
        <v>0</v>
      </c>
      <c r="G132" s="2">
        <f>SUM(F132,D132)</f>
        <v>1651071</v>
      </c>
    </row>
    <row r="133" spans="1:7" x14ac:dyDescent="0.2">
      <c r="A133">
        <v>2022</v>
      </c>
      <c r="B133" s="34">
        <v>5072</v>
      </c>
      <c r="C133" s="9" t="s">
        <v>140</v>
      </c>
      <c r="D133" s="10">
        <v>218435</v>
      </c>
      <c r="E133" s="9">
        <f>VLOOKUP(B133,'2015'!$B$2:$G$338,6,FALSE)</f>
        <v>0</v>
      </c>
      <c r="F133">
        <f t="shared" si="2"/>
        <v>0</v>
      </c>
      <c r="G133" s="2">
        <f>SUM(F133,D133)</f>
        <v>218435</v>
      </c>
    </row>
    <row r="134" spans="1:7" x14ac:dyDescent="0.2">
      <c r="A134">
        <v>2022</v>
      </c>
      <c r="B134" s="34">
        <v>5073</v>
      </c>
      <c r="C134" s="9" t="s">
        <v>141</v>
      </c>
      <c r="D134" s="10">
        <v>411197</v>
      </c>
      <c r="E134" s="9">
        <f>VLOOKUP(B134,'2015'!$B$2:$G$338,6,FALSE)</f>
        <v>0</v>
      </c>
      <c r="F134">
        <f t="shared" si="2"/>
        <v>0</v>
      </c>
      <c r="G134" s="2">
        <f>SUM(F134,D134)</f>
        <v>411197</v>
      </c>
    </row>
    <row r="135" spans="1:7" x14ac:dyDescent="0.2">
      <c r="A135">
        <v>2022</v>
      </c>
      <c r="B135" s="34">
        <v>5076</v>
      </c>
      <c r="C135" s="9" t="s">
        <v>142</v>
      </c>
      <c r="D135" s="10">
        <v>168780</v>
      </c>
      <c r="E135" s="9">
        <f>VLOOKUP(B135,'2015'!$B$2:$G$338,6,FALSE)</f>
        <v>0</v>
      </c>
      <c r="F135">
        <f t="shared" si="2"/>
        <v>0</v>
      </c>
      <c r="G135" s="2">
        <f>SUM(F135,D135)</f>
        <v>168780</v>
      </c>
    </row>
    <row r="136" spans="1:7" x14ac:dyDescent="0.2">
      <c r="A136">
        <v>2022</v>
      </c>
      <c r="B136" s="34">
        <v>5007</v>
      </c>
      <c r="C136" s="3" t="s">
        <v>143</v>
      </c>
      <c r="D136" s="10">
        <v>140898</v>
      </c>
      <c r="E136" s="9">
        <f>VLOOKUP(B136,'2015'!$B$2:$G$338,6,FALSE)</f>
        <v>0</v>
      </c>
      <c r="F136">
        <f t="shared" si="2"/>
        <v>0</v>
      </c>
      <c r="G136" s="2">
        <f>SUM(F136,D136)</f>
        <v>140898</v>
      </c>
    </row>
    <row r="137" spans="1:7" x14ac:dyDescent="0.2">
      <c r="A137">
        <v>2022</v>
      </c>
      <c r="B137" s="34">
        <v>5078</v>
      </c>
      <c r="C137" s="9" t="s">
        <v>144</v>
      </c>
      <c r="D137" s="10">
        <v>346818</v>
      </c>
      <c r="E137" s="9">
        <f>VLOOKUP(B137,'2015'!$B$2:$G$338,6,FALSE)</f>
        <v>0</v>
      </c>
      <c r="F137">
        <f t="shared" si="2"/>
        <v>0</v>
      </c>
      <c r="G137" s="2">
        <f>SUM(F137,D137)</f>
        <v>346818</v>
      </c>
    </row>
    <row r="138" spans="1:7" x14ac:dyDescent="0.2">
      <c r="A138">
        <v>2022</v>
      </c>
      <c r="B138" s="34">
        <v>5079</v>
      </c>
      <c r="C138" s="9" t="s">
        <v>145</v>
      </c>
      <c r="D138" s="10">
        <v>461533</v>
      </c>
      <c r="E138" s="9">
        <f>VLOOKUP(B138,'2015'!$B$2:$G$338,6,FALSE)</f>
        <v>0</v>
      </c>
      <c r="F138">
        <f t="shared" si="2"/>
        <v>0</v>
      </c>
      <c r="G138" s="2">
        <f>SUM(F138,D138)</f>
        <v>461533</v>
      </c>
    </row>
    <row r="139" spans="1:7" x14ac:dyDescent="0.2">
      <c r="A139">
        <v>2022</v>
      </c>
      <c r="B139" s="34">
        <v>5080</v>
      </c>
      <c r="C139" s="9" t="s">
        <v>146</v>
      </c>
      <c r="D139" s="10">
        <v>587561</v>
      </c>
      <c r="E139" s="9">
        <f>VLOOKUP(B139,'2015'!$B$2:$G$338,6,FALSE)</f>
        <v>0</v>
      </c>
      <c r="F139">
        <f t="shared" si="2"/>
        <v>0</v>
      </c>
      <c r="G139" s="2">
        <f>SUM(F139,D139)</f>
        <v>587561</v>
      </c>
    </row>
    <row r="140" spans="1:7" x14ac:dyDescent="0.2">
      <c r="A140">
        <v>2022</v>
      </c>
      <c r="B140" s="34">
        <v>5081</v>
      </c>
      <c r="C140" s="9" t="s">
        <v>147</v>
      </c>
      <c r="D140" s="10">
        <v>504930</v>
      </c>
      <c r="E140" s="9">
        <f>VLOOKUP(B140,'2015'!$B$2:$G$338,6,FALSE)</f>
        <v>0</v>
      </c>
      <c r="F140">
        <f t="shared" si="2"/>
        <v>0</v>
      </c>
      <c r="G140" s="2">
        <f>SUM(F140,D140)</f>
        <v>504930</v>
      </c>
    </row>
    <row r="141" spans="1:7" x14ac:dyDescent="0.2">
      <c r="A141">
        <v>2022</v>
      </c>
      <c r="B141" s="34">
        <v>5082</v>
      </c>
      <c r="C141" s="9" t="s">
        <v>148</v>
      </c>
      <c r="D141" s="10">
        <v>118744</v>
      </c>
      <c r="E141" s="9">
        <f>VLOOKUP(B141,'2015'!$B$2:$G$338,6,FALSE)</f>
        <v>0</v>
      </c>
      <c r="F141">
        <f t="shared" si="2"/>
        <v>0</v>
      </c>
      <c r="G141" s="2">
        <f>SUM(F141,D141)</f>
        <v>118744</v>
      </c>
    </row>
    <row r="142" spans="1:7" x14ac:dyDescent="0.2">
      <c r="A142">
        <v>2022</v>
      </c>
      <c r="B142" s="34">
        <v>5083</v>
      </c>
      <c r="C142" s="9" t="s">
        <v>149</v>
      </c>
      <c r="D142" s="10">
        <v>340722</v>
      </c>
      <c r="E142" s="9">
        <f>VLOOKUP(B142,'2015'!$B$2:$G$338,6,FALSE)</f>
        <v>0</v>
      </c>
      <c r="F142">
        <f t="shared" si="2"/>
        <v>0</v>
      </c>
      <c r="G142" s="2">
        <f>SUM(F142,D142)</f>
        <v>340722</v>
      </c>
    </row>
    <row r="143" spans="1:7" x14ac:dyDescent="0.2">
      <c r="A143">
        <v>2022</v>
      </c>
      <c r="B143" s="34">
        <v>5087</v>
      </c>
      <c r="C143" s="9" t="s">
        <v>150</v>
      </c>
      <c r="D143" s="10">
        <v>356716</v>
      </c>
      <c r="E143" s="9">
        <f>VLOOKUP(B143,'2015'!$B$2:$G$338,6,FALSE)</f>
        <v>0</v>
      </c>
      <c r="F143">
        <f t="shared" si="2"/>
        <v>0</v>
      </c>
      <c r="G143" s="2">
        <f>SUM(F143,D143)</f>
        <v>356716</v>
      </c>
    </row>
    <row r="144" spans="1:7" x14ac:dyDescent="0.2">
      <c r="A144">
        <v>2022</v>
      </c>
      <c r="B144" s="34">
        <v>5088</v>
      </c>
      <c r="C144" s="9" t="s">
        <v>151</v>
      </c>
      <c r="D144" s="10">
        <v>661413</v>
      </c>
      <c r="E144" s="9">
        <f>VLOOKUP(B144,'2015'!$B$2:$G$338,6,FALSE)</f>
        <v>0</v>
      </c>
      <c r="F144">
        <f t="shared" si="2"/>
        <v>0</v>
      </c>
      <c r="G144" s="2">
        <f>SUM(F144,D144)</f>
        <v>661413</v>
      </c>
    </row>
    <row r="145" spans="1:7" x14ac:dyDescent="0.2">
      <c r="A145">
        <v>2022</v>
      </c>
      <c r="B145" s="34">
        <v>5089</v>
      </c>
      <c r="C145" s="9" t="s">
        <v>152</v>
      </c>
      <c r="D145" s="10">
        <v>300584</v>
      </c>
      <c r="E145" s="9">
        <f>VLOOKUP(B145,'2015'!$B$2:$G$338,6,FALSE)</f>
        <v>0</v>
      </c>
      <c r="F145">
        <f t="shared" si="2"/>
        <v>0</v>
      </c>
      <c r="G145" s="2">
        <f>SUM(F145,D145)</f>
        <v>300584</v>
      </c>
    </row>
    <row r="146" spans="1:7" x14ac:dyDescent="0.2">
      <c r="A146">
        <v>2022</v>
      </c>
      <c r="B146" s="34">
        <v>5090</v>
      </c>
      <c r="C146" s="9" t="s">
        <v>153</v>
      </c>
      <c r="D146" s="10">
        <v>278161</v>
      </c>
      <c r="E146" s="9">
        <f>VLOOKUP(B146,'2015'!$B$2:$G$338,6,FALSE)</f>
        <v>0</v>
      </c>
      <c r="F146">
        <f t="shared" si="2"/>
        <v>0</v>
      </c>
      <c r="G146" s="2">
        <f>SUM(F146,D146)</f>
        <v>278161</v>
      </c>
    </row>
    <row r="147" spans="1:7" x14ac:dyDescent="0.2">
      <c r="A147">
        <v>2022</v>
      </c>
      <c r="B147" s="34">
        <v>5092</v>
      </c>
      <c r="C147" s="9" t="s">
        <v>154</v>
      </c>
      <c r="D147" s="10">
        <v>1296711</v>
      </c>
      <c r="E147" s="9">
        <f>VLOOKUP(B147,'2015'!$B$2:$G$338,6,FALSE)</f>
        <v>0</v>
      </c>
      <c r="F147">
        <f t="shared" si="2"/>
        <v>0</v>
      </c>
      <c r="G147" s="2">
        <f>SUM(F147,D147)</f>
        <v>1296711</v>
      </c>
    </row>
    <row r="148" spans="1:7" x14ac:dyDescent="0.2">
      <c r="A148">
        <v>2022</v>
      </c>
      <c r="B148" s="34">
        <v>5093</v>
      </c>
      <c r="C148" s="9" t="s">
        <v>155</v>
      </c>
      <c r="D148" s="10">
        <v>296369</v>
      </c>
      <c r="E148" s="9">
        <f>VLOOKUP(B148,'2015'!$B$2:$G$338,6,FALSE)</f>
        <v>0</v>
      </c>
      <c r="F148">
        <f t="shared" si="2"/>
        <v>0</v>
      </c>
      <c r="G148" s="2">
        <f>SUM(F148,D148)</f>
        <v>296369</v>
      </c>
    </row>
    <row r="149" spans="1:7" x14ac:dyDescent="0.2">
      <c r="A149">
        <v>2022</v>
      </c>
      <c r="B149" s="34">
        <v>5095</v>
      </c>
      <c r="C149" s="9" t="s">
        <v>156</v>
      </c>
      <c r="D149" s="10">
        <v>459751</v>
      </c>
      <c r="E149" s="9">
        <f>VLOOKUP(B149,'2015'!$B$2:$G$338,6,FALSE)</f>
        <v>0</v>
      </c>
      <c r="F149">
        <f t="shared" si="2"/>
        <v>0</v>
      </c>
      <c r="G149" s="2">
        <f>SUM(F149,D149)</f>
        <v>459751</v>
      </c>
    </row>
    <row r="150" spans="1:7" x14ac:dyDescent="0.2">
      <c r="A150">
        <v>2022</v>
      </c>
      <c r="B150" s="34">
        <v>5096</v>
      </c>
      <c r="C150" s="9" t="s">
        <v>157</v>
      </c>
      <c r="D150" s="10">
        <v>569469</v>
      </c>
      <c r="E150" s="9">
        <f>VLOOKUP(B150,'2015'!$B$2:$G$338,6,FALSE)</f>
        <v>0</v>
      </c>
      <c r="F150">
        <f t="shared" si="2"/>
        <v>0</v>
      </c>
      <c r="G150" s="2">
        <f>SUM(F150,D150)</f>
        <v>569469</v>
      </c>
    </row>
    <row r="151" spans="1:7" x14ac:dyDescent="0.2">
      <c r="A151">
        <v>2022</v>
      </c>
      <c r="B151" s="34">
        <v>5098</v>
      </c>
      <c r="C151" s="9" t="s">
        <v>158</v>
      </c>
      <c r="D151" s="10">
        <v>287518</v>
      </c>
      <c r="E151" s="9">
        <f>VLOOKUP(B151,'2015'!$B$2:$G$338,6,FALSE)</f>
        <v>0</v>
      </c>
      <c r="F151">
        <f t="shared" si="2"/>
        <v>0</v>
      </c>
      <c r="G151" s="2">
        <f>SUM(F151,D151)</f>
        <v>287518</v>
      </c>
    </row>
    <row r="152" spans="1:7" x14ac:dyDescent="0.2">
      <c r="A152">
        <v>2022</v>
      </c>
      <c r="B152" s="34">
        <v>5099</v>
      </c>
      <c r="C152" s="9" t="s">
        <v>159</v>
      </c>
      <c r="D152" s="10">
        <v>927066</v>
      </c>
      <c r="E152" s="9">
        <f>VLOOKUP(B152,'2015'!$B$2:$G$338,6,FALSE)</f>
        <v>0</v>
      </c>
      <c r="F152">
        <f t="shared" si="2"/>
        <v>0</v>
      </c>
      <c r="G152" s="2">
        <f>SUM(F152,D152)</f>
        <v>927066</v>
      </c>
    </row>
    <row r="153" spans="1:7" x14ac:dyDescent="0.2">
      <c r="A153">
        <v>2022</v>
      </c>
      <c r="B153" s="34">
        <v>5100</v>
      </c>
      <c r="C153" s="9" t="s">
        <v>160</v>
      </c>
      <c r="D153" s="10">
        <v>978809</v>
      </c>
      <c r="E153" s="9">
        <f>VLOOKUP(B153,'2015'!$B$2:$G$338,6,FALSE)</f>
        <v>0</v>
      </c>
      <c r="F153">
        <f t="shared" si="2"/>
        <v>0</v>
      </c>
      <c r="G153" s="2">
        <f>SUM(F153,D153)</f>
        <v>978809</v>
      </c>
    </row>
    <row r="154" spans="1:7" x14ac:dyDescent="0.2">
      <c r="A154">
        <v>2022</v>
      </c>
      <c r="B154" s="34">
        <v>5101</v>
      </c>
      <c r="C154" s="9" t="s">
        <v>161</v>
      </c>
      <c r="D154" s="10">
        <v>716212</v>
      </c>
      <c r="E154" s="9">
        <f>VLOOKUP(B154,'2015'!$B$2:$G$338,6,FALSE)</f>
        <v>0</v>
      </c>
      <c r="F154">
        <f t="shared" si="2"/>
        <v>0</v>
      </c>
      <c r="G154" s="2">
        <f>SUM(F154,D154)</f>
        <v>716212</v>
      </c>
    </row>
    <row r="155" spans="1:7" x14ac:dyDescent="0.2">
      <c r="A155">
        <v>2022</v>
      </c>
      <c r="B155" s="34">
        <v>5102</v>
      </c>
      <c r="C155" s="9" t="s">
        <v>162</v>
      </c>
      <c r="D155" s="10">
        <v>1498707</v>
      </c>
      <c r="E155" s="9">
        <f>VLOOKUP(B155,'2015'!$B$2:$G$338,6,FALSE)</f>
        <v>0</v>
      </c>
      <c r="F155">
        <f t="shared" si="2"/>
        <v>0</v>
      </c>
      <c r="G155" s="2">
        <f>SUM(F155,D155)</f>
        <v>1498707</v>
      </c>
    </row>
    <row r="156" spans="1:7" x14ac:dyDescent="0.2">
      <c r="A156">
        <v>2022</v>
      </c>
      <c r="B156" s="34">
        <v>5103</v>
      </c>
      <c r="C156" s="9" t="s">
        <v>163</v>
      </c>
      <c r="D156" s="10">
        <v>949781</v>
      </c>
      <c r="E156" s="9">
        <f>VLOOKUP(B156,'2015'!$B$2:$G$338,6,FALSE)</f>
        <v>0</v>
      </c>
      <c r="F156">
        <f t="shared" si="2"/>
        <v>0</v>
      </c>
      <c r="G156" s="2">
        <f>SUM(F156,D156)</f>
        <v>949781</v>
      </c>
    </row>
    <row r="157" spans="1:7" x14ac:dyDescent="0.2">
      <c r="A157">
        <v>2022</v>
      </c>
      <c r="B157" s="34">
        <v>5104</v>
      </c>
      <c r="C157" s="9" t="s">
        <v>164</v>
      </c>
      <c r="D157" s="10">
        <v>297696</v>
      </c>
      <c r="E157" s="9">
        <f>VLOOKUP(B157,'2015'!$B$2:$G$338,6,FALSE)</f>
        <v>0</v>
      </c>
      <c r="F157">
        <f t="shared" si="2"/>
        <v>0</v>
      </c>
      <c r="G157" s="2">
        <f>SUM(F157,D157)</f>
        <v>297696</v>
      </c>
    </row>
    <row r="158" spans="1:7" x14ac:dyDescent="0.2">
      <c r="A158">
        <v>2022</v>
      </c>
      <c r="B158" s="34">
        <v>5105</v>
      </c>
      <c r="C158" s="9" t="s">
        <v>165</v>
      </c>
      <c r="D158" s="10">
        <v>247240</v>
      </c>
      <c r="E158" s="9">
        <f>VLOOKUP(B158,'2015'!$B$2:$G$338,6,FALSE)</f>
        <v>0</v>
      </c>
      <c r="F158">
        <f t="shared" si="2"/>
        <v>0</v>
      </c>
      <c r="G158" s="2">
        <f>SUM(F158,D158)</f>
        <v>247240</v>
      </c>
    </row>
    <row r="159" spans="1:7" x14ac:dyDescent="0.2">
      <c r="A159">
        <v>2022</v>
      </c>
      <c r="B159" s="34">
        <v>5106</v>
      </c>
      <c r="C159" s="9" t="s">
        <v>166</v>
      </c>
      <c r="D159" s="10">
        <v>732047</v>
      </c>
      <c r="E159" s="9">
        <f>VLOOKUP(B159,'2015'!$B$2:$G$338,6,FALSE)</f>
        <v>0</v>
      </c>
      <c r="F159">
        <f t="shared" si="2"/>
        <v>0</v>
      </c>
      <c r="G159" s="2">
        <f>SUM(F159,D159)</f>
        <v>732047</v>
      </c>
    </row>
    <row r="160" spans="1:7" x14ac:dyDescent="0.2">
      <c r="A160">
        <v>2022</v>
      </c>
      <c r="B160" s="34">
        <v>5116</v>
      </c>
      <c r="C160" s="9" t="s">
        <v>167</v>
      </c>
      <c r="D160" s="10">
        <v>889371</v>
      </c>
      <c r="E160" s="9">
        <f>VLOOKUP(B160,'2015'!$B$2:$G$338,6,FALSE)</f>
        <v>0</v>
      </c>
      <c r="F160">
        <f t="shared" si="2"/>
        <v>0</v>
      </c>
      <c r="G160" s="2">
        <f>SUM(F160,D160)</f>
        <v>889371</v>
      </c>
    </row>
    <row r="161" spans="1:7" x14ac:dyDescent="0.2">
      <c r="A161">
        <v>2022</v>
      </c>
      <c r="B161" s="34">
        <v>5117</v>
      </c>
      <c r="C161" s="9" t="s">
        <v>168</v>
      </c>
      <c r="D161" s="10">
        <v>169527</v>
      </c>
      <c r="E161" s="9">
        <f>VLOOKUP(B161,'2015'!$B$2:$G$338,6,FALSE)</f>
        <v>0</v>
      </c>
      <c r="F161">
        <f t="shared" si="2"/>
        <v>0</v>
      </c>
      <c r="G161" s="2">
        <f>SUM(F161,D161)</f>
        <v>169527</v>
      </c>
    </row>
    <row r="162" spans="1:7" x14ac:dyDescent="0.2">
      <c r="A162">
        <v>2022</v>
      </c>
      <c r="B162" s="34">
        <v>5118</v>
      </c>
      <c r="C162" s="9" t="s">
        <v>169</v>
      </c>
      <c r="D162" s="10">
        <v>1278093</v>
      </c>
      <c r="E162" s="9">
        <f>VLOOKUP(B162,'2015'!$B$2:$G$338,6,FALSE)</f>
        <v>0</v>
      </c>
      <c r="F162">
        <f t="shared" si="2"/>
        <v>0</v>
      </c>
      <c r="G162" s="2">
        <f>SUM(F162,D162)</f>
        <v>1278093</v>
      </c>
    </row>
    <row r="163" spans="1:7" x14ac:dyDescent="0.2">
      <c r="A163">
        <v>2022</v>
      </c>
      <c r="B163" s="34">
        <v>5119</v>
      </c>
      <c r="C163" s="9" t="s">
        <v>170</v>
      </c>
      <c r="D163" s="10">
        <v>293599</v>
      </c>
      <c r="E163" s="9">
        <f>VLOOKUP(B163,'2015'!$B$2:$G$338,6,FALSE)</f>
        <v>0</v>
      </c>
      <c r="F163">
        <f t="shared" si="2"/>
        <v>0</v>
      </c>
      <c r="G163" s="2">
        <f>SUM(F163,D163)</f>
        <v>293599</v>
      </c>
    </row>
    <row r="164" spans="1:7" x14ac:dyDescent="0.2">
      <c r="A164">
        <v>2022</v>
      </c>
      <c r="B164" s="34">
        <v>5120</v>
      </c>
      <c r="C164" s="9" t="s">
        <v>171</v>
      </c>
      <c r="D164" s="10">
        <v>6555839</v>
      </c>
      <c r="E164" s="9">
        <f>VLOOKUP(B164,'2015'!$B$2:$G$338,6,FALSE)</f>
        <v>0</v>
      </c>
      <c r="F164">
        <f t="shared" si="2"/>
        <v>0</v>
      </c>
      <c r="G164" s="2">
        <f>SUM(F164,D164)</f>
        <v>6555839</v>
      </c>
    </row>
    <row r="165" spans="1:7" x14ac:dyDescent="0.2">
      <c r="A165">
        <v>2022</v>
      </c>
      <c r="B165" s="34">
        <v>5122</v>
      </c>
      <c r="C165" s="9" t="s">
        <v>172</v>
      </c>
      <c r="D165" s="10">
        <v>258245</v>
      </c>
      <c r="E165" s="9">
        <f>VLOOKUP(B165,'2015'!$B$2:$G$338,6,FALSE)</f>
        <v>0</v>
      </c>
      <c r="F165">
        <f t="shared" si="2"/>
        <v>0</v>
      </c>
      <c r="G165" s="2">
        <f>SUM(F165,D165)</f>
        <v>258245</v>
      </c>
    </row>
    <row r="166" spans="1:7" x14ac:dyDescent="0.2">
      <c r="A166">
        <v>2022</v>
      </c>
      <c r="B166" s="34">
        <v>5123</v>
      </c>
      <c r="C166" s="9" t="s">
        <v>173</v>
      </c>
      <c r="D166" s="10">
        <v>255679</v>
      </c>
      <c r="E166" s="9">
        <f>VLOOKUP(B166,'2015'!$B$2:$G$338,6,FALSE)</f>
        <v>0</v>
      </c>
      <c r="F166">
        <f t="shared" si="2"/>
        <v>0</v>
      </c>
      <c r="G166" s="2">
        <f>SUM(F166,D166)</f>
        <v>255679</v>
      </c>
    </row>
    <row r="167" spans="1:7" x14ac:dyDescent="0.2">
      <c r="A167">
        <v>2022</v>
      </c>
      <c r="B167" s="34">
        <v>5125</v>
      </c>
      <c r="C167" s="9" t="s">
        <v>174</v>
      </c>
      <c r="D167" s="10">
        <v>1785522</v>
      </c>
      <c r="E167" s="9">
        <f>VLOOKUP(B167,'2015'!$B$2:$G$338,6,FALSE)</f>
        <v>0</v>
      </c>
      <c r="F167">
        <f t="shared" si="2"/>
        <v>0</v>
      </c>
      <c r="G167" s="2">
        <f>SUM(F167,D167)</f>
        <v>1785522</v>
      </c>
    </row>
    <row r="168" spans="1:7" x14ac:dyDescent="0.2">
      <c r="A168">
        <v>2022</v>
      </c>
      <c r="B168" s="34">
        <v>5127</v>
      </c>
      <c r="C168" s="9" t="s">
        <v>175</v>
      </c>
      <c r="D168" s="10">
        <v>216214</v>
      </c>
      <c r="E168" s="9">
        <f>VLOOKUP(B168,'2015'!$B$2:$G$338,6,FALSE)</f>
        <v>0</v>
      </c>
      <c r="F168">
        <f t="shared" si="2"/>
        <v>0</v>
      </c>
      <c r="G168" s="2">
        <f>SUM(F168,D168)</f>
        <v>216214</v>
      </c>
    </row>
    <row r="169" spans="1:7" x14ac:dyDescent="0.2">
      <c r="A169">
        <v>2022</v>
      </c>
      <c r="B169" s="34">
        <v>5128</v>
      </c>
      <c r="C169" s="9" t="s">
        <v>176</v>
      </c>
      <c r="D169" s="10">
        <v>349319</v>
      </c>
      <c r="E169" s="9">
        <f>VLOOKUP(B169,'2015'!$B$2:$G$338,6,FALSE)</f>
        <v>0</v>
      </c>
      <c r="F169">
        <f t="shared" si="2"/>
        <v>0</v>
      </c>
      <c r="G169" s="2">
        <f>SUM(F169,D169)</f>
        <v>349319</v>
      </c>
    </row>
    <row r="170" spans="1:7" x14ac:dyDescent="0.2">
      <c r="A170">
        <v>2022</v>
      </c>
      <c r="B170" s="34">
        <v>5129</v>
      </c>
      <c r="C170" s="9" t="s">
        <v>177</v>
      </c>
      <c r="D170" s="10">
        <v>843034</v>
      </c>
      <c r="E170" s="9">
        <f>VLOOKUP(B170,'2015'!$B$2:$G$338,6,FALSE)</f>
        <v>0</v>
      </c>
      <c r="F170">
        <f t="shared" si="2"/>
        <v>0</v>
      </c>
      <c r="G170" s="2">
        <f>SUM(F170,D170)</f>
        <v>843034</v>
      </c>
    </row>
    <row r="171" spans="1:7" x14ac:dyDescent="0.2">
      <c r="A171">
        <v>2022</v>
      </c>
      <c r="B171" s="34">
        <v>5130</v>
      </c>
      <c r="C171" s="9" t="s">
        <v>178</v>
      </c>
      <c r="D171" s="10">
        <v>672393</v>
      </c>
      <c r="E171" s="9">
        <f>VLOOKUP(B171,'2015'!$B$2:$G$338,6,FALSE)</f>
        <v>0</v>
      </c>
      <c r="F171">
        <f t="shared" si="2"/>
        <v>0</v>
      </c>
      <c r="G171" s="2">
        <f>SUM(F171,D171)</f>
        <v>672393</v>
      </c>
    </row>
    <row r="172" spans="1:7" x14ac:dyDescent="0.2">
      <c r="A172">
        <v>2022</v>
      </c>
      <c r="B172" s="34">
        <v>5131</v>
      </c>
      <c r="C172" s="9" t="s">
        <v>179</v>
      </c>
      <c r="D172" s="10">
        <v>866018</v>
      </c>
      <c r="E172" s="9">
        <f>VLOOKUP(B172,'2015'!$B$2:$G$338,6,FALSE)</f>
        <v>0</v>
      </c>
      <c r="F172">
        <f t="shared" si="2"/>
        <v>0</v>
      </c>
      <c r="G172" s="2">
        <f>SUM(F172,D172)</f>
        <v>866018</v>
      </c>
    </row>
    <row r="173" spans="1:7" x14ac:dyDescent="0.2">
      <c r="A173">
        <v>2022</v>
      </c>
      <c r="B173" s="34">
        <v>5132</v>
      </c>
      <c r="C173" s="9" t="s">
        <v>180</v>
      </c>
      <c r="D173" s="10">
        <v>3221205</v>
      </c>
      <c r="E173" s="9">
        <f>VLOOKUP(B173,'2015'!$B$2:$G$338,6,FALSE)</f>
        <v>0</v>
      </c>
      <c r="F173">
        <f t="shared" si="2"/>
        <v>0</v>
      </c>
      <c r="G173" s="2">
        <f>SUM(F173,D173)</f>
        <v>3221205</v>
      </c>
    </row>
    <row r="174" spans="1:7" x14ac:dyDescent="0.2">
      <c r="A174">
        <v>2022</v>
      </c>
      <c r="B174" s="34">
        <v>5133</v>
      </c>
      <c r="C174" s="9" t="s">
        <v>181</v>
      </c>
      <c r="D174" s="10">
        <v>300345</v>
      </c>
      <c r="E174" s="9">
        <f>VLOOKUP(B174,'2015'!$B$2:$G$338,6,FALSE)</f>
        <v>0</v>
      </c>
      <c r="F174">
        <f t="shared" si="2"/>
        <v>0</v>
      </c>
      <c r="G174" s="2">
        <f>SUM(F174,D174)</f>
        <v>300345</v>
      </c>
    </row>
    <row r="175" spans="1:7" x14ac:dyDescent="0.2">
      <c r="A175">
        <v>2022</v>
      </c>
      <c r="B175" s="34">
        <v>5134</v>
      </c>
      <c r="C175" s="9" t="s">
        <v>182</v>
      </c>
      <c r="D175" s="10">
        <v>326130</v>
      </c>
      <c r="E175" s="9">
        <f>VLOOKUP(B175,'2015'!$B$2:$G$338,6,FALSE)</f>
        <v>0</v>
      </c>
      <c r="F175">
        <f t="shared" si="2"/>
        <v>0</v>
      </c>
      <c r="G175" s="2">
        <f>SUM(F175,D175)</f>
        <v>326130</v>
      </c>
    </row>
    <row r="176" spans="1:7" x14ac:dyDescent="0.2">
      <c r="A176">
        <v>2022</v>
      </c>
      <c r="B176" s="34">
        <v>5135</v>
      </c>
      <c r="C176" s="9" t="s">
        <v>183</v>
      </c>
      <c r="D176" s="10">
        <v>1558997</v>
      </c>
      <c r="E176" s="9">
        <f>VLOOKUP(B176,'2015'!$B$2:$G$338,6,FALSE)</f>
        <v>0</v>
      </c>
      <c r="F176">
        <f t="shared" si="2"/>
        <v>0</v>
      </c>
      <c r="G176" s="2">
        <f>SUM(F176,D176)</f>
        <v>1558997</v>
      </c>
    </row>
    <row r="177" spans="1:7" x14ac:dyDescent="0.2">
      <c r="A177">
        <v>2022</v>
      </c>
      <c r="B177" s="34">
        <v>5137</v>
      </c>
      <c r="C177" s="9" t="s">
        <v>184</v>
      </c>
      <c r="D177" s="10">
        <v>251377</v>
      </c>
      <c r="E177" s="9">
        <f>VLOOKUP(B177,'2015'!$B$2:$G$338,6,FALSE)</f>
        <v>0</v>
      </c>
      <c r="F177">
        <f t="shared" si="2"/>
        <v>0</v>
      </c>
      <c r="G177" s="2">
        <f>SUM(F177,D177)</f>
        <v>251377</v>
      </c>
    </row>
    <row r="178" spans="1:7" x14ac:dyDescent="0.2">
      <c r="A178">
        <v>2022</v>
      </c>
      <c r="B178" s="34">
        <v>5138</v>
      </c>
      <c r="C178" s="9" t="s">
        <v>185</v>
      </c>
      <c r="D178" s="10">
        <v>263387</v>
      </c>
      <c r="E178" s="9">
        <f>VLOOKUP(B178,'2015'!$B$2:$G$338,6,FALSE)</f>
        <v>0</v>
      </c>
      <c r="F178">
        <f t="shared" si="2"/>
        <v>0</v>
      </c>
      <c r="G178" s="2">
        <f>SUM(F178,D178)</f>
        <v>263387</v>
      </c>
    </row>
    <row r="179" spans="1:7" x14ac:dyDescent="0.2">
      <c r="A179">
        <v>2022</v>
      </c>
      <c r="B179" s="34">
        <v>5140</v>
      </c>
      <c r="C179" s="9" t="s">
        <v>186</v>
      </c>
      <c r="D179" s="10">
        <v>343825</v>
      </c>
      <c r="E179" s="9">
        <f>VLOOKUP(B179,'2015'!$B$2:$G$338,6,FALSE)</f>
        <v>0</v>
      </c>
      <c r="F179">
        <f t="shared" si="2"/>
        <v>0</v>
      </c>
      <c r="G179" s="2">
        <f>SUM(F179,D179)</f>
        <v>343825</v>
      </c>
    </row>
    <row r="180" spans="1:7" x14ac:dyDescent="0.2">
      <c r="A180">
        <v>2022</v>
      </c>
      <c r="B180" s="34">
        <v>5141</v>
      </c>
      <c r="C180" s="9" t="s">
        <v>187</v>
      </c>
      <c r="D180" s="10">
        <v>408892</v>
      </c>
      <c r="E180" s="9">
        <f>VLOOKUP(B180,'2015'!$B$2:$G$338,6,FALSE)</f>
        <v>0</v>
      </c>
      <c r="F180">
        <f t="shared" si="2"/>
        <v>0</v>
      </c>
      <c r="G180" s="2">
        <f>SUM(F180,D180)</f>
        <v>408892</v>
      </c>
    </row>
    <row r="181" spans="1:7" x14ac:dyDescent="0.2">
      <c r="A181">
        <v>2022</v>
      </c>
      <c r="B181" s="34">
        <v>5142</v>
      </c>
      <c r="C181" s="9" t="s">
        <v>188</v>
      </c>
      <c r="D181" s="10">
        <v>108604</v>
      </c>
      <c r="E181" s="9">
        <f>VLOOKUP(B181,'2015'!$B$2:$G$338,6,FALSE)</f>
        <v>0</v>
      </c>
      <c r="F181">
        <f t="shared" si="2"/>
        <v>0</v>
      </c>
      <c r="G181" s="2">
        <f>SUM(F181,D181)</f>
        <v>108604</v>
      </c>
    </row>
    <row r="182" spans="1:7" x14ac:dyDescent="0.2">
      <c r="A182">
        <v>2022</v>
      </c>
      <c r="B182" s="34">
        <v>5143</v>
      </c>
      <c r="C182" s="9" t="s">
        <v>189</v>
      </c>
      <c r="D182" s="10">
        <v>581407</v>
      </c>
      <c r="E182" s="9">
        <f>VLOOKUP(B182,'2015'!$B$2:$G$338,6,FALSE)</f>
        <v>0</v>
      </c>
      <c r="F182">
        <f t="shared" si="2"/>
        <v>0</v>
      </c>
      <c r="G182" s="2">
        <f>SUM(F182,D182)</f>
        <v>581407</v>
      </c>
    </row>
    <row r="183" spans="1:7" x14ac:dyDescent="0.2">
      <c r="A183">
        <v>2022</v>
      </c>
      <c r="B183" s="34">
        <v>5144</v>
      </c>
      <c r="C183" s="9" t="s">
        <v>190</v>
      </c>
      <c r="D183" s="10">
        <v>264135</v>
      </c>
      <c r="E183" s="9">
        <f>VLOOKUP(B183,'2015'!$B$2:$G$338,6,FALSE)</f>
        <v>0</v>
      </c>
      <c r="F183">
        <f t="shared" si="2"/>
        <v>0</v>
      </c>
      <c r="G183" s="2">
        <f>SUM(F183,D183)</f>
        <v>264135</v>
      </c>
    </row>
    <row r="184" spans="1:7" x14ac:dyDescent="0.2">
      <c r="A184">
        <v>2022</v>
      </c>
      <c r="B184" s="34">
        <v>5145</v>
      </c>
      <c r="C184" s="9" t="s">
        <v>191</v>
      </c>
      <c r="D184" s="10">
        <v>288620</v>
      </c>
      <c r="E184" s="9">
        <f>VLOOKUP(B184,'2015'!$B$2:$G$338,6,FALSE)</f>
        <v>0</v>
      </c>
      <c r="F184">
        <f t="shared" si="2"/>
        <v>0</v>
      </c>
      <c r="G184" s="2">
        <f>SUM(F184,D184)</f>
        <v>288620</v>
      </c>
    </row>
    <row r="185" spans="1:7" x14ac:dyDescent="0.2">
      <c r="A185">
        <v>2022</v>
      </c>
      <c r="B185" s="34">
        <v>5147</v>
      </c>
      <c r="C185" s="9" t="s">
        <v>192</v>
      </c>
      <c r="D185" s="10">
        <v>6119698</v>
      </c>
      <c r="E185" s="9">
        <f>VLOOKUP(B185,'2015'!$B$2:$G$338,6,FALSE)</f>
        <v>0</v>
      </c>
      <c r="F185">
        <f t="shared" si="2"/>
        <v>0</v>
      </c>
      <c r="G185" s="2">
        <f>SUM(F185,D185)</f>
        <v>6119698</v>
      </c>
    </row>
    <row r="186" spans="1:7" x14ac:dyDescent="0.2">
      <c r="A186">
        <v>2022</v>
      </c>
      <c r="B186" s="34">
        <v>5148</v>
      </c>
      <c r="C186" s="9" t="s">
        <v>193</v>
      </c>
      <c r="D186" s="10">
        <v>608206</v>
      </c>
      <c r="E186" s="9">
        <f>VLOOKUP(B186,'2015'!$B$2:$G$338,6,FALSE)</f>
        <v>0</v>
      </c>
      <c r="F186">
        <f t="shared" si="2"/>
        <v>0</v>
      </c>
      <c r="G186" s="2">
        <f>SUM(F186,D186)</f>
        <v>608206</v>
      </c>
    </row>
    <row r="187" spans="1:7" x14ac:dyDescent="0.2">
      <c r="A187">
        <v>2022</v>
      </c>
      <c r="B187" s="34">
        <v>5149</v>
      </c>
      <c r="C187" s="9" t="s">
        <v>194</v>
      </c>
      <c r="D187" s="10">
        <v>1283692</v>
      </c>
      <c r="E187" s="9">
        <f>VLOOKUP(B187,'2015'!$B$2:$G$338,6,FALSE)</f>
        <v>0</v>
      </c>
      <c r="F187">
        <f t="shared" si="2"/>
        <v>0</v>
      </c>
      <c r="G187" s="2">
        <f>SUM(F187,D187)</f>
        <v>1283692</v>
      </c>
    </row>
    <row r="188" spans="1:7" x14ac:dyDescent="0.2">
      <c r="A188">
        <v>2022</v>
      </c>
      <c r="B188" s="34">
        <v>5077</v>
      </c>
      <c r="C188" s="3" t="s">
        <v>195</v>
      </c>
      <c r="D188" s="10">
        <v>464633</v>
      </c>
      <c r="E188" s="9">
        <f>VLOOKUP(B188,'2015'!$B$2:$G$338,6,FALSE)</f>
        <v>0</v>
      </c>
      <c r="F188">
        <f t="shared" si="2"/>
        <v>0</v>
      </c>
      <c r="G188" s="2">
        <f>SUM(F188,D188)</f>
        <v>464633</v>
      </c>
    </row>
    <row r="189" spans="1:7" x14ac:dyDescent="0.2">
      <c r="A189">
        <v>2022</v>
      </c>
      <c r="B189" s="34">
        <v>5151</v>
      </c>
      <c r="C189" s="9" t="s">
        <v>196</v>
      </c>
      <c r="D189" s="10">
        <v>388329</v>
      </c>
      <c r="E189" s="9">
        <f>VLOOKUP(B189,'2015'!$B$2:$G$338,6,FALSE)</f>
        <v>0</v>
      </c>
      <c r="F189">
        <f t="shared" si="2"/>
        <v>0</v>
      </c>
      <c r="G189" s="2">
        <f>SUM(F189,D189)</f>
        <v>388329</v>
      </c>
    </row>
    <row r="190" spans="1:7" x14ac:dyDescent="0.2">
      <c r="A190">
        <v>2022</v>
      </c>
      <c r="B190" s="34">
        <v>5152</v>
      </c>
      <c r="C190" s="9" t="s">
        <v>197</v>
      </c>
      <c r="D190" s="10">
        <v>680467</v>
      </c>
      <c r="E190" s="9">
        <f>VLOOKUP(B190,'2015'!$B$2:$G$338,6,FALSE)</f>
        <v>0</v>
      </c>
      <c r="F190">
        <f t="shared" si="2"/>
        <v>0</v>
      </c>
      <c r="G190" s="2">
        <f>SUM(F190,D190)</f>
        <v>680467</v>
      </c>
    </row>
    <row r="191" spans="1:7" x14ac:dyDescent="0.2">
      <c r="A191">
        <v>2022</v>
      </c>
      <c r="B191" s="34">
        <v>5153</v>
      </c>
      <c r="C191" s="9" t="s">
        <v>198</v>
      </c>
      <c r="D191" s="10">
        <v>149517</v>
      </c>
      <c r="E191" s="9">
        <f>VLOOKUP(B191,'2015'!$B$2:$G$338,6,FALSE)</f>
        <v>0</v>
      </c>
      <c r="F191">
        <f t="shared" si="2"/>
        <v>0</v>
      </c>
      <c r="G191" s="2">
        <f>SUM(F191,D191)</f>
        <v>149517</v>
      </c>
    </row>
    <row r="192" spans="1:7" x14ac:dyDescent="0.2">
      <c r="A192">
        <v>2022</v>
      </c>
      <c r="B192" s="34">
        <v>5154</v>
      </c>
      <c r="C192" s="9" t="s">
        <v>199</v>
      </c>
      <c r="D192" s="10">
        <v>225743</v>
      </c>
      <c r="E192" s="9">
        <f>VLOOKUP(B192,'2015'!$B$2:$G$338,6,FALSE)</f>
        <v>0</v>
      </c>
      <c r="F192">
        <f t="shared" si="2"/>
        <v>0</v>
      </c>
      <c r="G192" s="2">
        <f>SUM(F192,D192)</f>
        <v>225743</v>
      </c>
    </row>
    <row r="193" spans="1:7" x14ac:dyDescent="0.2">
      <c r="A193">
        <v>2022</v>
      </c>
      <c r="B193" s="34">
        <v>5155</v>
      </c>
      <c r="C193" s="9" t="s">
        <v>200</v>
      </c>
      <c r="D193" s="10">
        <v>294915</v>
      </c>
      <c r="E193" s="9">
        <f>VLOOKUP(B193,'2015'!$B$2:$G$338,6,FALSE)</f>
        <v>0</v>
      </c>
      <c r="F193">
        <f t="shared" si="2"/>
        <v>0</v>
      </c>
      <c r="G193" s="2">
        <f>SUM(F193,D193)</f>
        <v>294915</v>
      </c>
    </row>
    <row r="194" spans="1:7" x14ac:dyDescent="0.2">
      <c r="A194">
        <v>2022</v>
      </c>
      <c r="B194" s="34">
        <v>5156</v>
      </c>
      <c r="C194" s="9" t="s">
        <v>201</v>
      </c>
      <c r="D194" s="10">
        <v>836970</v>
      </c>
      <c r="E194" s="9">
        <f>VLOOKUP(B194,'2015'!$B$2:$G$338,6,FALSE)</f>
        <v>0</v>
      </c>
      <c r="F194">
        <f t="shared" si="2"/>
        <v>0</v>
      </c>
      <c r="G194" s="2">
        <f>SUM(F194,D194)</f>
        <v>836970</v>
      </c>
    </row>
    <row r="195" spans="1:7" x14ac:dyDescent="0.2">
      <c r="A195">
        <v>2022</v>
      </c>
      <c r="B195" s="34">
        <v>5157</v>
      </c>
      <c r="C195" s="9" t="s">
        <v>202</v>
      </c>
      <c r="D195" s="10">
        <v>155543</v>
      </c>
      <c r="E195" s="9">
        <f>VLOOKUP(B195,'2015'!$B$2:$G$338,6,FALSE)</f>
        <v>0</v>
      </c>
      <c r="F195">
        <f t="shared" ref="F195:F258" si="3">E195*$D$341</f>
        <v>0</v>
      </c>
      <c r="G195" s="2">
        <f>SUM(F195,D195)</f>
        <v>155543</v>
      </c>
    </row>
    <row r="196" spans="1:7" x14ac:dyDescent="0.2">
      <c r="A196">
        <v>2022</v>
      </c>
      <c r="B196" s="34">
        <v>5158</v>
      </c>
      <c r="C196" s="9" t="s">
        <v>203</v>
      </c>
      <c r="D196" s="10">
        <v>816072</v>
      </c>
      <c r="E196" s="9">
        <f>VLOOKUP(B196,'2015'!$B$2:$G$338,6,FALSE)</f>
        <v>0</v>
      </c>
      <c r="F196">
        <f t="shared" si="3"/>
        <v>0</v>
      </c>
      <c r="G196" s="2">
        <f>SUM(F196,D196)</f>
        <v>816072</v>
      </c>
    </row>
    <row r="197" spans="1:7" x14ac:dyDescent="0.2">
      <c r="A197">
        <v>2022</v>
      </c>
      <c r="B197" s="34">
        <v>5159</v>
      </c>
      <c r="C197" s="9" t="s">
        <v>204</v>
      </c>
      <c r="D197" s="10">
        <v>1323722</v>
      </c>
      <c r="E197" s="9">
        <f>VLOOKUP(B197,'2015'!$B$2:$G$338,6,FALSE)</f>
        <v>0</v>
      </c>
      <c r="F197">
        <f t="shared" si="3"/>
        <v>0</v>
      </c>
      <c r="G197" s="2">
        <f>SUM(F197,D197)</f>
        <v>1323722</v>
      </c>
    </row>
    <row r="198" spans="1:7" x14ac:dyDescent="0.2">
      <c r="A198">
        <v>2022</v>
      </c>
      <c r="B198" s="34">
        <v>5160</v>
      </c>
      <c r="C198" s="9" t="s">
        <v>205</v>
      </c>
      <c r="D198" s="10">
        <v>332327</v>
      </c>
      <c r="E198" s="9">
        <f>VLOOKUP(B198,'2015'!$B$2:$G$338,6,FALSE)</f>
        <v>0</v>
      </c>
      <c r="F198">
        <f t="shared" si="3"/>
        <v>0</v>
      </c>
      <c r="G198" s="2">
        <f>SUM(F198,D198)</f>
        <v>332327</v>
      </c>
    </row>
    <row r="199" spans="1:7" x14ac:dyDescent="0.2">
      <c r="A199">
        <v>2022</v>
      </c>
      <c r="B199" s="34">
        <v>5161</v>
      </c>
      <c r="C199" s="9" t="s">
        <v>206</v>
      </c>
      <c r="D199" s="10">
        <v>427293</v>
      </c>
      <c r="E199" s="9">
        <f>VLOOKUP(B199,'2015'!$B$2:$G$338,6,FALSE)</f>
        <v>0</v>
      </c>
      <c r="F199">
        <f t="shared" si="3"/>
        <v>0</v>
      </c>
      <c r="G199" s="2">
        <f>SUM(F199,D199)</f>
        <v>427293</v>
      </c>
    </row>
    <row r="200" spans="1:7" x14ac:dyDescent="0.2">
      <c r="A200">
        <v>2022</v>
      </c>
      <c r="B200" s="34">
        <v>5162</v>
      </c>
      <c r="C200" s="9" t="s">
        <v>207</v>
      </c>
      <c r="D200" s="10">
        <v>454742</v>
      </c>
      <c r="E200" s="9">
        <f>VLOOKUP(B200,'2015'!$B$2:$G$338,6,FALSE)</f>
        <v>0</v>
      </c>
      <c r="F200">
        <f t="shared" si="3"/>
        <v>0</v>
      </c>
      <c r="G200" s="2">
        <f>SUM(F200,D200)</f>
        <v>454742</v>
      </c>
    </row>
    <row r="201" spans="1:7" x14ac:dyDescent="0.2">
      <c r="A201">
        <v>2022</v>
      </c>
      <c r="B201" s="34">
        <v>5163</v>
      </c>
      <c r="C201" s="9" t="s">
        <v>208</v>
      </c>
      <c r="D201" s="10">
        <v>317879</v>
      </c>
      <c r="E201" s="9">
        <f>VLOOKUP(B201,'2015'!$B$2:$G$338,6,FALSE)</f>
        <v>0</v>
      </c>
      <c r="F201">
        <f t="shared" si="3"/>
        <v>0</v>
      </c>
      <c r="G201" s="2">
        <f>SUM(F201,D201)</f>
        <v>317879</v>
      </c>
    </row>
    <row r="202" spans="1:7" x14ac:dyDescent="0.2">
      <c r="A202">
        <v>2022</v>
      </c>
      <c r="B202" s="34">
        <v>5164</v>
      </c>
      <c r="C202" s="9" t="s">
        <v>209</v>
      </c>
      <c r="D202" s="10">
        <v>380069</v>
      </c>
      <c r="E202" s="9">
        <f>VLOOKUP(B202,'2015'!$B$2:$G$338,6,FALSE)</f>
        <v>0</v>
      </c>
      <c r="F202">
        <f t="shared" si="3"/>
        <v>0</v>
      </c>
      <c r="G202" s="2">
        <f>SUM(F202,D202)</f>
        <v>380069</v>
      </c>
    </row>
    <row r="203" spans="1:7" x14ac:dyDescent="0.2">
      <c r="A203">
        <v>2022</v>
      </c>
      <c r="B203" s="34">
        <v>5166</v>
      </c>
      <c r="C203" s="9" t="s">
        <v>210</v>
      </c>
      <c r="D203" s="10">
        <v>280773</v>
      </c>
      <c r="E203" s="9">
        <f>VLOOKUP(B203,'2015'!$B$2:$G$338,6,FALSE)</f>
        <v>0</v>
      </c>
      <c r="F203">
        <f t="shared" si="3"/>
        <v>0</v>
      </c>
      <c r="G203" s="2">
        <f>SUM(F203,D203)</f>
        <v>280773</v>
      </c>
    </row>
    <row r="204" spans="1:7" x14ac:dyDescent="0.2">
      <c r="A204">
        <v>2022</v>
      </c>
      <c r="B204" s="34">
        <v>5167</v>
      </c>
      <c r="C204" s="9" t="s">
        <v>211</v>
      </c>
      <c r="D204" s="10">
        <v>619881</v>
      </c>
      <c r="E204" s="9">
        <f>VLOOKUP(B204,'2015'!$B$2:$G$338,6,FALSE)</f>
        <v>0</v>
      </c>
      <c r="F204">
        <f t="shared" si="3"/>
        <v>0</v>
      </c>
      <c r="G204" s="2">
        <f>SUM(F204,D204)</f>
        <v>619881</v>
      </c>
    </row>
    <row r="205" spans="1:7" x14ac:dyDescent="0.2">
      <c r="A205">
        <v>2022</v>
      </c>
      <c r="B205" s="34">
        <v>5168</v>
      </c>
      <c r="C205" s="9" t="s">
        <v>212</v>
      </c>
      <c r="D205" s="10">
        <v>668322</v>
      </c>
      <c r="E205" s="9">
        <f>VLOOKUP(B205,'2015'!$B$2:$G$338,6,FALSE)</f>
        <v>0</v>
      </c>
      <c r="F205">
        <f t="shared" si="3"/>
        <v>0</v>
      </c>
      <c r="G205" s="2">
        <f>SUM(F205,D205)</f>
        <v>668322</v>
      </c>
    </row>
    <row r="206" spans="1:7" x14ac:dyDescent="0.2">
      <c r="A206">
        <v>2022</v>
      </c>
      <c r="B206" s="34">
        <v>5171</v>
      </c>
      <c r="C206" s="9" t="s">
        <v>213</v>
      </c>
      <c r="D206" s="10">
        <v>271483</v>
      </c>
      <c r="E206" s="9">
        <f>VLOOKUP(B206,'2015'!$B$2:$G$338,6,FALSE)</f>
        <v>0</v>
      </c>
      <c r="F206">
        <f t="shared" si="3"/>
        <v>0</v>
      </c>
      <c r="G206" s="2">
        <f>SUM(F206,D206)</f>
        <v>271483</v>
      </c>
    </row>
    <row r="207" spans="1:7" x14ac:dyDescent="0.2">
      <c r="A207">
        <v>2022</v>
      </c>
      <c r="B207" s="34">
        <v>5172</v>
      </c>
      <c r="C207" s="9" t="s">
        <v>214</v>
      </c>
      <c r="D207" s="10">
        <v>744752</v>
      </c>
      <c r="E207" s="9">
        <f>VLOOKUP(B207,'2015'!$B$2:$G$338,6,FALSE)</f>
        <v>0</v>
      </c>
      <c r="F207">
        <f t="shared" si="3"/>
        <v>0</v>
      </c>
      <c r="G207" s="2">
        <f>SUM(F207,D207)</f>
        <v>744752</v>
      </c>
    </row>
    <row r="208" spans="1:7" x14ac:dyDescent="0.2">
      <c r="A208">
        <v>2022</v>
      </c>
      <c r="B208" s="34">
        <v>5173</v>
      </c>
      <c r="C208" s="9" t="s">
        <v>215</v>
      </c>
      <c r="D208" s="10">
        <v>381501</v>
      </c>
      <c r="E208" s="9">
        <f>VLOOKUP(B208,'2015'!$B$2:$G$338,6,FALSE)</f>
        <v>0</v>
      </c>
      <c r="F208">
        <f t="shared" si="3"/>
        <v>0</v>
      </c>
      <c r="G208" s="2">
        <f>SUM(F208,D208)</f>
        <v>381501</v>
      </c>
    </row>
    <row r="209" spans="1:7" x14ac:dyDescent="0.2">
      <c r="A209">
        <v>2022</v>
      </c>
      <c r="B209" s="34">
        <v>5174</v>
      </c>
      <c r="C209" s="9" t="s">
        <v>216</v>
      </c>
      <c r="D209" s="10">
        <v>660958</v>
      </c>
      <c r="E209" s="9">
        <f>VLOOKUP(B209,'2015'!$B$2:$G$338,6,FALSE)</f>
        <v>0</v>
      </c>
      <c r="F209">
        <f t="shared" si="3"/>
        <v>0</v>
      </c>
      <c r="G209" s="2">
        <f>SUM(F209,D209)</f>
        <v>660958</v>
      </c>
    </row>
    <row r="210" spans="1:7" x14ac:dyDescent="0.2">
      <c r="A210">
        <v>2022</v>
      </c>
      <c r="B210" s="34">
        <v>5175</v>
      </c>
      <c r="C210" s="9" t="s">
        <v>217</v>
      </c>
      <c r="D210" s="10">
        <v>308833</v>
      </c>
      <c r="E210" s="9">
        <f>VLOOKUP(B210,'2015'!$B$2:$G$338,6,FALSE)</f>
        <v>0</v>
      </c>
      <c r="F210">
        <f t="shared" si="3"/>
        <v>0</v>
      </c>
      <c r="G210" s="2">
        <f>SUM(F210,D210)</f>
        <v>308833</v>
      </c>
    </row>
    <row r="211" spans="1:7" x14ac:dyDescent="0.2">
      <c r="A211">
        <v>2022</v>
      </c>
      <c r="B211" s="34">
        <v>5176</v>
      </c>
      <c r="C211" s="9" t="s">
        <v>218</v>
      </c>
      <c r="D211" s="10">
        <v>2553269</v>
      </c>
      <c r="E211" s="9">
        <f>VLOOKUP(B211,'2015'!$B$2:$G$338,6,FALSE)</f>
        <v>0</v>
      </c>
      <c r="F211">
        <f t="shared" si="3"/>
        <v>0</v>
      </c>
      <c r="G211" s="2">
        <f>SUM(F211,D211)</f>
        <v>2553269</v>
      </c>
    </row>
    <row r="212" spans="1:7" x14ac:dyDescent="0.2">
      <c r="A212">
        <v>2022</v>
      </c>
      <c r="B212" s="34">
        <v>5185</v>
      </c>
      <c r="C212" s="9" t="s">
        <v>219</v>
      </c>
      <c r="D212" s="10">
        <v>21840362</v>
      </c>
      <c r="E212" s="9">
        <f>VLOOKUP(B212,'2015'!$B$2:$G$338,6,FALSE)</f>
        <v>0</v>
      </c>
      <c r="F212">
        <f t="shared" si="3"/>
        <v>0</v>
      </c>
      <c r="G212" s="2">
        <f>SUM(F212,D212)</f>
        <v>21840362</v>
      </c>
    </row>
    <row r="213" spans="1:7" x14ac:dyDescent="0.2">
      <c r="A213">
        <v>2022</v>
      </c>
      <c r="B213" s="34">
        <v>5186</v>
      </c>
      <c r="C213" s="9" t="s">
        <v>220</v>
      </c>
      <c r="D213" s="10">
        <v>404134</v>
      </c>
      <c r="E213" s="9">
        <f>VLOOKUP(B213,'2015'!$B$2:$G$338,6,FALSE)</f>
        <v>0</v>
      </c>
      <c r="F213">
        <f t="shared" si="3"/>
        <v>0</v>
      </c>
      <c r="G213" s="2">
        <f>SUM(F213,D213)</f>
        <v>404134</v>
      </c>
    </row>
    <row r="214" spans="1:7" x14ac:dyDescent="0.2">
      <c r="A214">
        <v>2022</v>
      </c>
      <c r="B214" s="34">
        <v>5187</v>
      </c>
      <c r="C214" s="9" t="s">
        <v>221</v>
      </c>
      <c r="D214" s="10">
        <v>527668</v>
      </c>
      <c r="E214" s="9">
        <f>VLOOKUP(B214,'2015'!$B$2:$G$338,6,FALSE)</f>
        <v>0</v>
      </c>
      <c r="F214">
        <f t="shared" si="3"/>
        <v>0</v>
      </c>
      <c r="G214" s="2">
        <f>SUM(F214,D214)</f>
        <v>527668</v>
      </c>
    </row>
    <row r="215" spans="1:7" x14ac:dyDescent="0.2">
      <c r="A215">
        <v>2022</v>
      </c>
      <c r="B215" s="34">
        <v>5188</v>
      </c>
      <c r="C215" s="9" t="s">
        <v>222</v>
      </c>
      <c r="D215" s="10">
        <v>323951</v>
      </c>
      <c r="E215" s="9">
        <f>VLOOKUP(B215,'2015'!$B$2:$G$338,6,FALSE)</f>
        <v>0</v>
      </c>
      <c r="F215">
        <f t="shared" si="3"/>
        <v>0</v>
      </c>
      <c r="G215" s="2">
        <f>SUM(F215,D215)</f>
        <v>323951</v>
      </c>
    </row>
    <row r="216" spans="1:7" x14ac:dyDescent="0.2">
      <c r="A216">
        <v>2022</v>
      </c>
      <c r="B216" s="34">
        <v>5189</v>
      </c>
      <c r="C216" s="9" t="s">
        <v>223</v>
      </c>
      <c r="D216" s="10">
        <v>114346</v>
      </c>
      <c r="E216" s="9">
        <f>VLOOKUP(B216,'2015'!$B$2:$G$338,6,FALSE)</f>
        <v>0</v>
      </c>
      <c r="F216">
        <f t="shared" si="3"/>
        <v>0</v>
      </c>
      <c r="G216" s="2">
        <f>SUM(F216,D216)</f>
        <v>114346</v>
      </c>
    </row>
    <row r="217" spans="1:7" x14ac:dyDescent="0.2">
      <c r="A217">
        <v>2022</v>
      </c>
      <c r="B217" s="34">
        <v>5190</v>
      </c>
      <c r="C217" s="9" t="s">
        <v>224</v>
      </c>
      <c r="D217" s="10">
        <v>290330</v>
      </c>
      <c r="E217" s="9">
        <f>VLOOKUP(B217,'2015'!$B$2:$G$338,6,FALSE)</f>
        <v>0</v>
      </c>
      <c r="F217">
        <f t="shared" si="3"/>
        <v>0</v>
      </c>
      <c r="G217" s="2">
        <f>SUM(F217,D217)</f>
        <v>290330</v>
      </c>
    </row>
    <row r="218" spans="1:7" x14ac:dyDescent="0.2">
      <c r="A218">
        <v>2022</v>
      </c>
      <c r="B218" s="34">
        <v>5191</v>
      </c>
      <c r="C218" s="9" t="s">
        <v>225</v>
      </c>
      <c r="D218" s="10">
        <v>1053297</v>
      </c>
      <c r="E218" s="9">
        <f>VLOOKUP(B218,'2015'!$B$2:$G$338,6,FALSE)</f>
        <v>0</v>
      </c>
      <c r="F218">
        <f t="shared" si="3"/>
        <v>0</v>
      </c>
      <c r="G218" s="2">
        <f>SUM(F218,D218)</f>
        <v>1053297</v>
      </c>
    </row>
    <row r="219" spans="1:7" x14ac:dyDescent="0.2">
      <c r="A219">
        <v>2022</v>
      </c>
      <c r="B219" s="34">
        <v>5192</v>
      </c>
      <c r="C219" s="9" t="s">
        <v>226</v>
      </c>
      <c r="D219" s="10">
        <v>331980</v>
      </c>
      <c r="E219" s="9">
        <f>VLOOKUP(B219,'2015'!$B$2:$G$338,6,FALSE)</f>
        <v>0</v>
      </c>
      <c r="F219">
        <f t="shared" si="3"/>
        <v>0</v>
      </c>
      <c r="G219" s="2">
        <f>SUM(F219,D219)</f>
        <v>331980</v>
      </c>
    </row>
    <row r="220" spans="1:7" x14ac:dyDescent="0.2">
      <c r="A220">
        <v>2022</v>
      </c>
      <c r="B220" s="34">
        <v>5193</v>
      </c>
      <c r="C220" s="9" t="s">
        <v>227</v>
      </c>
      <c r="D220" s="10">
        <v>1703944</v>
      </c>
      <c r="E220" s="9">
        <f>VLOOKUP(B220,'2015'!$B$2:$G$338,6,FALSE)</f>
        <v>0</v>
      </c>
      <c r="F220">
        <f t="shared" si="3"/>
        <v>0</v>
      </c>
      <c r="G220" s="2">
        <f>SUM(F220,D220)</f>
        <v>1703944</v>
      </c>
    </row>
    <row r="221" spans="1:7" x14ac:dyDescent="0.2">
      <c r="A221">
        <v>2022</v>
      </c>
      <c r="B221" s="34">
        <v>5195</v>
      </c>
      <c r="C221" s="9" t="s">
        <v>228</v>
      </c>
      <c r="D221" s="10">
        <v>959298</v>
      </c>
      <c r="E221" s="9">
        <f>VLOOKUP(B221,'2015'!$B$2:$G$338,6,FALSE)</f>
        <v>0</v>
      </c>
      <c r="F221">
        <f t="shared" si="3"/>
        <v>0</v>
      </c>
      <c r="G221" s="2">
        <f>SUM(F221,D221)</f>
        <v>959298</v>
      </c>
    </row>
    <row r="222" spans="1:7" x14ac:dyDescent="0.2">
      <c r="A222">
        <v>2022</v>
      </c>
      <c r="B222" s="34">
        <v>5196</v>
      </c>
      <c r="C222" s="9" t="s">
        <v>229</v>
      </c>
      <c r="D222" s="10">
        <v>577746</v>
      </c>
      <c r="E222" s="9">
        <f>VLOOKUP(B222,'2015'!$B$2:$G$338,6,FALSE)</f>
        <v>0</v>
      </c>
      <c r="F222">
        <f t="shared" si="3"/>
        <v>0</v>
      </c>
      <c r="G222" s="2">
        <f>SUM(F222,D222)</f>
        <v>577746</v>
      </c>
    </row>
    <row r="223" spans="1:7" x14ac:dyDescent="0.2">
      <c r="A223">
        <v>2022</v>
      </c>
      <c r="B223" s="34">
        <v>5197</v>
      </c>
      <c r="C223" s="9" t="s">
        <v>230</v>
      </c>
      <c r="D223" s="10">
        <v>299081</v>
      </c>
      <c r="E223" s="9">
        <f>VLOOKUP(B223,'2015'!$B$2:$G$338,6,FALSE)</f>
        <v>0</v>
      </c>
      <c r="F223">
        <f t="shared" si="3"/>
        <v>0</v>
      </c>
      <c r="G223" s="2">
        <f>SUM(F223,D223)</f>
        <v>299081</v>
      </c>
    </row>
    <row r="224" spans="1:7" x14ac:dyDescent="0.2">
      <c r="A224">
        <v>2022</v>
      </c>
      <c r="B224" s="34">
        <v>5198</v>
      </c>
      <c r="C224" s="9" t="s">
        <v>231</v>
      </c>
      <c r="D224" s="10">
        <v>1524445</v>
      </c>
      <c r="E224" s="9">
        <f>VLOOKUP(B224,'2015'!$B$2:$G$338,6,FALSE)</f>
        <v>0</v>
      </c>
      <c r="F224">
        <f t="shared" si="3"/>
        <v>0</v>
      </c>
      <c r="G224" s="2">
        <f>SUM(F224,D224)</f>
        <v>1524445</v>
      </c>
    </row>
    <row r="225" spans="1:7" x14ac:dyDescent="0.2">
      <c r="A225">
        <v>2022</v>
      </c>
      <c r="B225" s="34">
        <v>5199</v>
      </c>
      <c r="C225" s="9" t="s">
        <v>232</v>
      </c>
      <c r="D225" s="10">
        <v>471636</v>
      </c>
      <c r="E225" s="9">
        <f>VLOOKUP(B225,'2015'!$B$2:$G$338,6,FALSE)</f>
        <v>0</v>
      </c>
      <c r="F225">
        <f t="shared" si="3"/>
        <v>0</v>
      </c>
      <c r="G225" s="2">
        <f>SUM(F225,D225)</f>
        <v>471636</v>
      </c>
    </row>
    <row r="226" spans="1:7" x14ac:dyDescent="0.2">
      <c r="A226">
        <v>2022</v>
      </c>
      <c r="B226" s="34">
        <v>5200</v>
      </c>
      <c r="C226" s="9" t="s">
        <v>233</v>
      </c>
      <c r="D226" s="10">
        <v>1034821</v>
      </c>
      <c r="E226" s="9">
        <f>VLOOKUP(B226,'2015'!$B$2:$G$338,6,FALSE)</f>
        <v>0</v>
      </c>
      <c r="F226">
        <f t="shared" si="3"/>
        <v>0</v>
      </c>
      <c r="G226" s="2">
        <f>SUM(F226,D226)</f>
        <v>1034821</v>
      </c>
    </row>
    <row r="227" spans="1:7" x14ac:dyDescent="0.2">
      <c r="A227">
        <v>2022</v>
      </c>
      <c r="B227" s="34">
        <v>5201</v>
      </c>
      <c r="C227" s="9" t="s">
        <v>234</v>
      </c>
      <c r="D227" s="10">
        <v>226363</v>
      </c>
      <c r="E227" s="9">
        <f>VLOOKUP(B227,'2015'!$B$2:$G$338,6,FALSE)</f>
        <v>0</v>
      </c>
      <c r="F227">
        <f t="shared" si="3"/>
        <v>0</v>
      </c>
      <c r="G227" s="2">
        <f>SUM(F227,D227)</f>
        <v>226363</v>
      </c>
    </row>
    <row r="228" spans="1:7" x14ac:dyDescent="0.2">
      <c r="A228">
        <v>2022</v>
      </c>
      <c r="B228" s="34">
        <v>5202</v>
      </c>
      <c r="C228" s="9" t="s">
        <v>235</v>
      </c>
      <c r="D228" s="10">
        <v>292530</v>
      </c>
      <c r="E228" s="9">
        <f>VLOOKUP(B228,'2015'!$B$2:$G$338,6,FALSE)</f>
        <v>0</v>
      </c>
      <c r="F228">
        <f t="shared" si="3"/>
        <v>0</v>
      </c>
      <c r="G228" s="2">
        <f>SUM(F228,D228)</f>
        <v>292530</v>
      </c>
    </row>
    <row r="229" spans="1:7" x14ac:dyDescent="0.2">
      <c r="A229">
        <v>2022</v>
      </c>
      <c r="B229" s="34">
        <v>5203</v>
      </c>
      <c r="C229" s="9" t="s">
        <v>236</v>
      </c>
      <c r="D229" s="10">
        <v>776612</v>
      </c>
      <c r="E229" s="9">
        <f>VLOOKUP(B229,'2015'!$B$2:$G$338,6,FALSE)</f>
        <v>0</v>
      </c>
      <c r="F229">
        <f t="shared" si="3"/>
        <v>0</v>
      </c>
      <c r="G229" s="2">
        <f>SUM(F229,D229)</f>
        <v>776612</v>
      </c>
    </row>
    <row r="230" spans="1:7" x14ac:dyDescent="0.2">
      <c r="A230">
        <v>2022</v>
      </c>
      <c r="B230" s="34">
        <v>5204</v>
      </c>
      <c r="C230" s="9" t="s">
        <v>237</v>
      </c>
      <c r="D230" s="10">
        <v>1118378</v>
      </c>
      <c r="E230" s="9">
        <f>VLOOKUP(B230,'2015'!$B$2:$G$338,6,FALSE)</f>
        <v>0</v>
      </c>
      <c r="F230">
        <f t="shared" si="3"/>
        <v>0</v>
      </c>
      <c r="G230" s="2">
        <f>SUM(F230,D230)</f>
        <v>1118378</v>
      </c>
    </row>
    <row r="231" spans="1:7" x14ac:dyDescent="0.2">
      <c r="A231">
        <v>2022</v>
      </c>
      <c r="B231" s="34">
        <v>5205</v>
      </c>
      <c r="C231" s="9" t="s">
        <v>238</v>
      </c>
      <c r="D231" s="10">
        <v>554857</v>
      </c>
      <c r="E231" s="9">
        <f>VLOOKUP(B231,'2015'!$B$2:$G$338,6,FALSE)</f>
        <v>0</v>
      </c>
      <c r="F231">
        <f t="shared" si="3"/>
        <v>0</v>
      </c>
      <c r="G231" s="2">
        <f>SUM(F231,D231)</f>
        <v>554857</v>
      </c>
    </row>
    <row r="232" spans="1:7" x14ac:dyDescent="0.2">
      <c r="A232">
        <v>2022</v>
      </c>
      <c r="B232" s="34">
        <v>5206</v>
      </c>
      <c r="C232" s="9" t="s">
        <v>239</v>
      </c>
      <c r="D232" s="10">
        <v>533165</v>
      </c>
      <c r="E232" s="9">
        <f>VLOOKUP(B232,'2015'!$B$2:$G$338,6,FALSE)</f>
        <v>0</v>
      </c>
      <c r="F232">
        <f t="shared" si="3"/>
        <v>0</v>
      </c>
      <c r="G232" s="2">
        <f>SUM(F232,D232)</f>
        <v>533165</v>
      </c>
    </row>
    <row r="233" spans="1:7" x14ac:dyDescent="0.2">
      <c r="A233">
        <v>2022</v>
      </c>
      <c r="B233" s="34">
        <v>5207</v>
      </c>
      <c r="C233" s="9" t="s">
        <v>240</v>
      </c>
      <c r="D233" s="10">
        <v>1171767</v>
      </c>
      <c r="E233" s="9">
        <f>VLOOKUP(B233,'2015'!$B$2:$G$338,6,FALSE)</f>
        <v>0</v>
      </c>
      <c r="F233">
        <f t="shared" si="3"/>
        <v>0</v>
      </c>
      <c r="G233" s="2">
        <f>SUM(F233,D233)</f>
        <v>1171767</v>
      </c>
    </row>
    <row r="234" spans="1:7" x14ac:dyDescent="0.2">
      <c r="A234">
        <v>2022</v>
      </c>
      <c r="B234" s="34">
        <v>5208</v>
      </c>
      <c r="C234" s="9" t="s">
        <v>241</v>
      </c>
      <c r="D234" s="10">
        <v>360148</v>
      </c>
      <c r="E234" s="9">
        <f>VLOOKUP(B234,'2015'!$B$2:$G$338,6,FALSE)</f>
        <v>0</v>
      </c>
      <c r="F234">
        <f t="shared" si="3"/>
        <v>0</v>
      </c>
      <c r="G234" s="2">
        <f>SUM(F234,D234)</f>
        <v>360148</v>
      </c>
    </row>
    <row r="235" spans="1:7" x14ac:dyDescent="0.2">
      <c r="A235">
        <v>2022</v>
      </c>
      <c r="B235" s="34">
        <v>5210</v>
      </c>
      <c r="C235" s="9" t="s">
        <v>242</v>
      </c>
      <c r="D235" s="10">
        <v>3576933</v>
      </c>
      <c r="E235" s="9">
        <f>VLOOKUP(B235,'2015'!$B$2:$G$338,6,FALSE)</f>
        <v>0</v>
      </c>
      <c r="F235">
        <f t="shared" si="3"/>
        <v>0</v>
      </c>
      <c r="G235" s="2">
        <f>SUM(F235,D235)</f>
        <v>3576933</v>
      </c>
    </row>
    <row r="236" spans="1:7" x14ac:dyDescent="0.2">
      <c r="A236">
        <v>2022</v>
      </c>
      <c r="B236" s="34">
        <v>5212</v>
      </c>
      <c r="C236" s="9" t="s">
        <v>243</v>
      </c>
      <c r="D236" s="10">
        <v>949459</v>
      </c>
      <c r="E236" s="9">
        <f>VLOOKUP(B236,'2015'!$B$2:$G$338,6,FALSE)</f>
        <v>0</v>
      </c>
      <c r="F236">
        <f t="shared" si="3"/>
        <v>0</v>
      </c>
      <c r="G236" s="2">
        <f>SUM(F236,D236)</f>
        <v>949459</v>
      </c>
    </row>
    <row r="237" spans="1:7" x14ac:dyDescent="0.2">
      <c r="A237">
        <v>2022</v>
      </c>
      <c r="B237" s="34">
        <v>5213</v>
      </c>
      <c r="C237" s="9" t="s">
        <v>244</v>
      </c>
      <c r="D237" s="10">
        <v>698688</v>
      </c>
      <c r="E237" s="9">
        <f>VLOOKUP(B237,'2015'!$B$2:$G$338,6,FALSE)</f>
        <v>0</v>
      </c>
      <c r="F237">
        <f t="shared" si="3"/>
        <v>0</v>
      </c>
      <c r="G237" s="2">
        <f>SUM(F237,D237)</f>
        <v>698688</v>
      </c>
    </row>
    <row r="238" spans="1:7" x14ac:dyDescent="0.2">
      <c r="A238">
        <v>2022</v>
      </c>
      <c r="B238" s="34">
        <v>5214</v>
      </c>
      <c r="C238" s="9" t="s">
        <v>245</v>
      </c>
      <c r="D238" s="10">
        <v>3638204</v>
      </c>
      <c r="E238" s="9">
        <f>VLOOKUP(B238,'2015'!$B$2:$G$338,6,FALSE)</f>
        <v>0</v>
      </c>
      <c r="F238">
        <f t="shared" si="3"/>
        <v>0</v>
      </c>
      <c r="G238" s="2">
        <f>SUM(F238,D238)</f>
        <v>3638204</v>
      </c>
    </row>
    <row r="239" spans="1:7" x14ac:dyDescent="0.2">
      <c r="A239">
        <v>2022</v>
      </c>
      <c r="B239" s="34">
        <v>5215</v>
      </c>
      <c r="C239" s="9" t="s">
        <v>246</v>
      </c>
      <c r="D239" s="10">
        <v>854921</v>
      </c>
      <c r="E239" s="9">
        <f>VLOOKUP(B239,'2015'!$B$2:$G$338,6,FALSE)</f>
        <v>0</v>
      </c>
      <c r="F239">
        <f t="shared" si="3"/>
        <v>0</v>
      </c>
      <c r="G239" s="2">
        <f>SUM(F239,D239)</f>
        <v>854921</v>
      </c>
    </row>
    <row r="240" spans="1:7" x14ac:dyDescent="0.2">
      <c r="A240">
        <v>2022</v>
      </c>
      <c r="B240" s="34">
        <v>5150</v>
      </c>
      <c r="C240" s="9" t="s">
        <v>247</v>
      </c>
      <c r="D240" s="10">
        <v>989944</v>
      </c>
      <c r="E240" s="9">
        <f>VLOOKUP(B240,'2015'!$B$2:$G$338,6,FALSE)</f>
        <v>0</v>
      </c>
      <c r="F240">
        <f t="shared" si="3"/>
        <v>0</v>
      </c>
      <c r="G240" s="2">
        <f>SUM(F240,D240)</f>
        <v>989944</v>
      </c>
    </row>
    <row r="241" spans="1:7" x14ac:dyDescent="0.2">
      <c r="A241">
        <v>2022</v>
      </c>
      <c r="B241" s="34">
        <v>5217</v>
      </c>
      <c r="C241" s="9" t="s">
        <v>248</v>
      </c>
      <c r="D241" s="10">
        <v>133554</v>
      </c>
      <c r="E241" s="9">
        <f>VLOOKUP(B241,'2015'!$B$2:$G$338,6,FALSE)</f>
        <v>0</v>
      </c>
      <c r="F241">
        <f t="shared" si="3"/>
        <v>0</v>
      </c>
      <c r="G241" s="2">
        <f>SUM(F241,D241)</f>
        <v>133554</v>
      </c>
    </row>
    <row r="242" spans="1:7" x14ac:dyDescent="0.2">
      <c r="A242">
        <v>2022</v>
      </c>
      <c r="B242" s="34">
        <v>5218</v>
      </c>
      <c r="C242" s="9" t="s">
        <v>249</v>
      </c>
      <c r="D242" s="10">
        <v>310793</v>
      </c>
      <c r="E242" s="9">
        <f>VLOOKUP(B242,'2015'!$B$2:$G$338,6,FALSE)</f>
        <v>0</v>
      </c>
      <c r="F242">
        <f t="shared" si="3"/>
        <v>0</v>
      </c>
      <c r="G242" s="2">
        <f>SUM(F242,D242)</f>
        <v>310793</v>
      </c>
    </row>
    <row r="243" spans="1:7" x14ac:dyDescent="0.2">
      <c r="A243">
        <v>2022</v>
      </c>
      <c r="B243" s="34">
        <v>5219</v>
      </c>
      <c r="C243" s="9" t="s">
        <v>250</v>
      </c>
      <c r="D243" s="10">
        <v>203755</v>
      </c>
      <c r="E243" s="9">
        <f>VLOOKUP(B243,'2015'!$B$2:$G$338,6,FALSE)</f>
        <v>0</v>
      </c>
      <c r="F243">
        <f t="shared" si="3"/>
        <v>0</v>
      </c>
      <c r="G243" s="2">
        <f>SUM(F243,D243)</f>
        <v>203755</v>
      </c>
    </row>
    <row r="244" spans="1:7" x14ac:dyDescent="0.2">
      <c r="A244">
        <v>2022</v>
      </c>
      <c r="B244" s="34">
        <v>5220</v>
      </c>
      <c r="C244" s="9" t="s">
        <v>251</v>
      </c>
      <c r="D244" s="10">
        <v>423084</v>
      </c>
      <c r="E244" s="9">
        <f>VLOOKUP(B244,'2015'!$B$2:$G$338,6,FALSE)</f>
        <v>0</v>
      </c>
      <c r="F244">
        <f t="shared" si="3"/>
        <v>0</v>
      </c>
      <c r="G244" s="2">
        <f>SUM(F244,D244)</f>
        <v>423084</v>
      </c>
    </row>
    <row r="245" spans="1:7" x14ac:dyDescent="0.2">
      <c r="A245">
        <v>2022</v>
      </c>
      <c r="B245" s="34">
        <v>5222</v>
      </c>
      <c r="C245" s="9" t="s">
        <v>252</v>
      </c>
      <c r="D245" s="10">
        <v>391647</v>
      </c>
      <c r="E245" s="9">
        <f>VLOOKUP(B245,'2015'!$B$2:$G$338,6,FALSE)</f>
        <v>0</v>
      </c>
      <c r="F245">
        <f t="shared" si="3"/>
        <v>0</v>
      </c>
      <c r="G245" s="2">
        <f>SUM(F245,D245)</f>
        <v>391647</v>
      </c>
    </row>
    <row r="246" spans="1:7" x14ac:dyDescent="0.2">
      <c r="A246">
        <v>2022</v>
      </c>
      <c r="B246" s="34">
        <v>5223</v>
      </c>
      <c r="C246" s="9" t="s">
        <v>253</v>
      </c>
      <c r="D246" s="10">
        <v>445257</v>
      </c>
      <c r="E246" s="9">
        <f>VLOOKUP(B246,'2015'!$B$2:$G$338,6,FALSE)</f>
        <v>0</v>
      </c>
      <c r="F246">
        <f t="shared" si="3"/>
        <v>0</v>
      </c>
      <c r="G246" s="2">
        <f>SUM(F246,D246)</f>
        <v>445257</v>
      </c>
    </row>
    <row r="247" spans="1:7" x14ac:dyDescent="0.2">
      <c r="A247">
        <v>2022</v>
      </c>
      <c r="B247" s="34">
        <v>5226</v>
      </c>
      <c r="C247" s="9" t="s">
        <v>254</v>
      </c>
      <c r="D247" s="10">
        <v>260812</v>
      </c>
      <c r="E247" s="9">
        <f>VLOOKUP(B247,'2015'!$B$2:$G$338,6,FALSE)</f>
        <v>0</v>
      </c>
      <c r="F247">
        <f t="shared" si="3"/>
        <v>0</v>
      </c>
      <c r="G247" s="2">
        <f>SUM(F247,D247)</f>
        <v>260812</v>
      </c>
    </row>
    <row r="248" spans="1:7" x14ac:dyDescent="0.2">
      <c r="A248">
        <v>2022</v>
      </c>
      <c r="B248" s="34">
        <v>5227</v>
      </c>
      <c r="C248" s="9" t="s">
        <v>255</v>
      </c>
      <c r="D248" s="10">
        <v>101025</v>
      </c>
      <c r="E248" s="9">
        <f>VLOOKUP(B248,'2015'!$B$2:$G$338,6,FALSE)</f>
        <v>0</v>
      </c>
      <c r="F248">
        <f t="shared" si="3"/>
        <v>0</v>
      </c>
      <c r="G248" s="2">
        <f>SUM(F248,D248)</f>
        <v>101025</v>
      </c>
    </row>
    <row r="249" spans="1:7" x14ac:dyDescent="0.2">
      <c r="A249">
        <v>2022</v>
      </c>
      <c r="B249" s="34">
        <v>5228</v>
      </c>
      <c r="C249" s="9" t="s">
        <v>256</v>
      </c>
      <c r="D249" s="10">
        <v>186274</v>
      </c>
      <c r="E249" s="9">
        <f>VLOOKUP(B249,'2015'!$B$2:$G$338,6,FALSE)</f>
        <v>0</v>
      </c>
      <c r="F249">
        <f t="shared" si="3"/>
        <v>0</v>
      </c>
      <c r="G249" s="2">
        <f>SUM(F249,D249)</f>
        <v>186274</v>
      </c>
    </row>
    <row r="250" spans="1:7" x14ac:dyDescent="0.2">
      <c r="A250">
        <v>2022</v>
      </c>
      <c r="B250" s="34">
        <v>5229</v>
      </c>
      <c r="C250" s="9" t="s">
        <v>257</v>
      </c>
      <c r="D250" s="10">
        <v>363105</v>
      </c>
      <c r="E250" s="9">
        <f>VLOOKUP(B250,'2015'!$B$2:$G$338,6,FALSE)</f>
        <v>0</v>
      </c>
      <c r="F250">
        <f t="shared" si="3"/>
        <v>0</v>
      </c>
      <c r="G250" s="2">
        <f>SUM(F250,D250)</f>
        <v>363105</v>
      </c>
    </row>
    <row r="251" spans="1:7" x14ac:dyDescent="0.2">
      <c r="A251">
        <v>2022</v>
      </c>
      <c r="B251" s="34">
        <v>5230</v>
      </c>
      <c r="C251" s="9" t="s">
        <v>258</v>
      </c>
      <c r="D251" s="10">
        <v>716800</v>
      </c>
      <c r="E251" s="9">
        <f>VLOOKUP(B251,'2015'!$B$2:$G$338,6,FALSE)</f>
        <v>0</v>
      </c>
      <c r="F251">
        <f t="shared" si="3"/>
        <v>0</v>
      </c>
      <c r="G251" s="2">
        <f>SUM(F251,D251)</f>
        <v>716800</v>
      </c>
    </row>
    <row r="252" spans="1:7" x14ac:dyDescent="0.2">
      <c r="A252">
        <v>2022</v>
      </c>
      <c r="B252" s="34">
        <v>5231</v>
      </c>
      <c r="C252" s="9" t="s">
        <v>259</v>
      </c>
      <c r="D252" s="10">
        <v>1634703</v>
      </c>
      <c r="E252" s="9">
        <f>VLOOKUP(B252,'2015'!$B$2:$G$338,6,FALSE)</f>
        <v>0</v>
      </c>
      <c r="F252">
        <f t="shared" si="3"/>
        <v>0</v>
      </c>
      <c r="G252" s="2">
        <f>SUM(F252,D252)</f>
        <v>1634703</v>
      </c>
    </row>
    <row r="253" spans="1:7" x14ac:dyDescent="0.2">
      <c r="A253">
        <v>2022</v>
      </c>
      <c r="B253" s="34">
        <v>5233</v>
      </c>
      <c r="C253" s="9" t="s">
        <v>260</v>
      </c>
      <c r="D253" s="10">
        <v>6055556</v>
      </c>
      <c r="E253" s="9">
        <f>VLOOKUP(B253,'2015'!$B$2:$G$338,6,FALSE)</f>
        <v>0</v>
      </c>
      <c r="F253">
        <f t="shared" si="3"/>
        <v>0</v>
      </c>
      <c r="G253" s="2">
        <f>SUM(F253,D253)</f>
        <v>6055556</v>
      </c>
    </row>
    <row r="254" spans="1:7" x14ac:dyDescent="0.2">
      <c r="A254">
        <v>2022</v>
      </c>
      <c r="B254" s="34">
        <v>5235</v>
      </c>
      <c r="C254" s="9" t="s">
        <v>261</v>
      </c>
      <c r="D254" s="10">
        <v>234251</v>
      </c>
      <c r="E254" s="9">
        <f>VLOOKUP(B254,'2015'!$B$2:$G$338,6,FALSE)</f>
        <v>0</v>
      </c>
      <c r="F254">
        <f t="shared" si="3"/>
        <v>0</v>
      </c>
      <c r="G254" s="2">
        <f>SUM(F254,D254)</f>
        <v>234251</v>
      </c>
    </row>
    <row r="255" spans="1:7" x14ac:dyDescent="0.2">
      <c r="A255">
        <v>2022</v>
      </c>
      <c r="B255" s="34">
        <v>5236</v>
      </c>
      <c r="C255" s="9" t="s">
        <v>262</v>
      </c>
      <c r="D255" s="10">
        <v>557404</v>
      </c>
      <c r="E255" s="9">
        <f>VLOOKUP(B255,'2015'!$B$2:$G$338,6,FALSE)</f>
        <v>0</v>
      </c>
      <c r="F255">
        <f t="shared" si="3"/>
        <v>0</v>
      </c>
      <c r="G255" s="2">
        <f>SUM(F255,D255)</f>
        <v>557404</v>
      </c>
    </row>
    <row r="256" spans="1:7" x14ac:dyDescent="0.2">
      <c r="A256">
        <v>2022</v>
      </c>
      <c r="B256" s="34">
        <v>5237</v>
      </c>
      <c r="C256" s="9" t="s">
        <v>263</v>
      </c>
      <c r="D256" s="10">
        <v>252262</v>
      </c>
      <c r="E256" s="9">
        <f>VLOOKUP(B256,'2015'!$B$2:$G$338,6,FALSE)</f>
        <v>0</v>
      </c>
      <c r="F256">
        <f t="shared" si="3"/>
        <v>0</v>
      </c>
      <c r="G256" s="2">
        <f>SUM(F256,D256)</f>
        <v>252262</v>
      </c>
    </row>
    <row r="257" spans="1:7" x14ac:dyDescent="0.2">
      <c r="A257">
        <v>2022</v>
      </c>
      <c r="B257" s="34">
        <v>5238</v>
      </c>
      <c r="C257" s="9" t="s">
        <v>264</v>
      </c>
      <c r="D257" s="10">
        <v>212923</v>
      </c>
      <c r="E257" s="9">
        <f>VLOOKUP(B257,'2015'!$B$2:$G$338,6,FALSE)</f>
        <v>0</v>
      </c>
      <c r="F257">
        <f t="shared" si="3"/>
        <v>0</v>
      </c>
      <c r="G257" s="2">
        <f>SUM(F257,D257)</f>
        <v>212923</v>
      </c>
    </row>
    <row r="258" spans="1:7" x14ac:dyDescent="0.2">
      <c r="A258">
        <v>2022</v>
      </c>
      <c r="B258" s="34">
        <v>5239</v>
      </c>
      <c r="C258" s="9" t="s">
        <v>265</v>
      </c>
      <c r="D258" s="10">
        <v>182342</v>
      </c>
      <c r="E258" s="9">
        <f>VLOOKUP(B258,'2015'!$B$2:$G$338,6,FALSE)</f>
        <v>0</v>
      </c>
      <c r="F258">
        <f t="shared" si="3"/>
        <v>0</v>
      </c>
      <c r="G258" s="2">
        <f>SUM(F258,D258)</f>
        <v>182342</v>
      </c>
    </row>
    <row r="259" spans="1:7" x14ac:dyDescent="0.2">
      <c r="A259">
        <v>2022</v>
      </c>
      <c r="B259" s="34">
        <v>5240</v>
      </c>
      <c r="C259" s="9" t="s">
        <v>266</v>
      </c>
      <c r="D259" s="10">
        <v>474872</v>
      </c>
      <c r="E259" s="9">
        <f>VLOOKUP(B259,'2015'!$B$2:$G$338,6,FALSE)</f>
        <v>0</v>
      </c>
      <c r="F259">
        <f t="shared" ref="F259:F322" si="4">E259*$D$341</f>
        <v>0</v>
      </c>
      <c r="G259" s="2">
        <f>SUM(F259,D259)</f>
        <v>474872</v>
      </c>
    </row>
    <row r="260" spans="1:7" x14ac:dyDescent="0.2">
      <c r="A260">
        <v>2022</v>
      </c>
      <c r="B260" s="34">
        <v>5241</v>
      </c>
      <c r="C260" s="9" t="s">
        <v>267</v>
      </c>
      <c r="D260" s="10">
        <v>284173</v>
      </c>
      <c r="E260" s="9">
        <f>VLOOKUP(B260,'2015'!$B$2:$G$338,6,FALSE)</f>
        <v>0</v>
      </c>
      <c r="F260">
        <f t="shared" si="4"/>
        <v>0</v>
      </c>
      <c r="G260" s="2">
        <f>SUM(F260,D260)</f>
        <v>284173</v>
      </c>
    </row>
    <row r="261" spans="1:7" x14ac:dyDescent="0.2">
      <c r="A261">
        <v>2022</v>
      </c>
      <c r="B261" s="34">
        <v>5250</v>
      </c>
      <c r="C261" s="9" t="s">
        <v>268</v>
      </c>
      <c r="D261" s="10">
        <v>646959</v>
      </c>
      <c r="E261" s="9">
        <f>VLOOKUP(B261,'2015'!$B$2:$G$338,6,FALSE)</f>
        <v>0</v>
      </c>
      <c r="F261">
        <f t="shared" si="4"/>
        <v>0</v>
      </c>
      <c r="G261" s="2">
        <f>SUM(F261,D261)</f>
        <v>646959</v>
      </c>
    </row>
    <row r="262" spans="1:7" x14ac:dyDescent="0.2">
      <c r="A262">
        <v>2022</v>
      </c>
      <c r="B262" s="34">
        <v>5251</v>
      </c>
      <c r="C262" s="9" t="s">
        <v>269</v>
      </c>
      <c r="D262" s="10">
        <v>215590</v>
      </c>
      <c r="E262" s="9">
        <f>VLOOKUP(B262,'2015'!$B$2:$G$338,6,FALSE)</f>
        <v>0</v>
      </c>
      <c r="F262">
        <f t="shared" si="4"/>
        <v>0</v>
      </c>
      <c r="G262" s="2">
        <f>SUM(F262,D262)</f>
        <v>215590</v>
      </c>
    </row>
    <row r="263" spans="1:7" x14ac:dyDescent="0.2">
      <c r="A263">
        <v>2022</v>
      </c>
      <c r="B263" s="34">
        <v>5267</v>
      </c>
      <c r="C263" s="9" t="s">
        <v>270</v>
      </c>
      <c r="D263" s="10">
        <v>265874</v>
      </c>
      <c r="E263" s="9">
        <f>VLOOKUP(B263,'2015'!$B$2:$G$338,6,FALSE)</f>
        <v>0</v>
      </c>
      <c r="F263">
        <f t="shared" si="4"/>
        <v>0</v>
      </c>
      <c r="G263" s="2">
        <f>SUM(F263,D263)</f>
        <v>265874</v>
      </c>
    </row>
    <row r="264" spans="1:7" x14ac:dyDescent="0.2">
      <c r="A264">
        <v>2022</v>
      </c>
      <c r="B264" s="34">
        <v>5268</v>
      </c>
      <c r="C264" s="9" t="s">
        <v>271</v>
      </c>
      <c r="D264" s="10">
        <v>220001</v>
      </c>
      <c r="E264" s="9">
        <f>VLOOKUP(B264,'2015'!$B$2:$G$338,6,FALSE)</f>
        <v>0</v>
      </c>
      <c r="F264">
        <f t="shared" si="4"/>
        <v>0</v>
      </c>
      <c r="G264" s="2">
        <f>SUM(F264,D264)</f>
        <v>220001</v>
      </c>
    </row>
    <row r="265" spans="1:7" x14ac:dyDescent="0.2">
      <c r="A265">
        <v>2022</v>
      </c>
      <c r="B265" s="34">
        <v>5270</v>
      </c>
      <c r="C265" s="9" t="s">
        <v>272</v>
      </c>
      <c r="D265" s="10">
        <v>359336</v>
      </c>
      <c r="E265" s="9">
        <f>VLOOKUP(B265,'2015'!$B$2:$G$338,6,FALSE)</f>
        <v>0</v>
      </c>
      <c r="F265">
        <f t="shared" si="4"/>
        <v>0</v>
      </c>
      <c r="G265" s="2">
        <f>SUM(F265,D265)</f>
        <v>359336</v>
      </c>
    </row>
    <row r="266" spans="1:7" x14ac:dyDescent="0.2">
      <c r="A266">
        <v>2022</v>
      </c>
      <c r="B266" s="34">
        <v>5271</v>
      </c>
      <c r="C266" s="9" t="s">
        <v>273</v>
      </c>
      <c r="D266" s="10">
        <v>124646</v>
      </c>
      <c r="E266" s="9">
        <f>VLOOKUP(B266,'2015'!$B$2:$G$338,6,FALSE)</f>
        <v>0</v>
      </c>
      <c r="F266">
        <f t="shared" si="4"/>
        <v>0</v>
      </c>
      <c r="G266" s="2">
        <f>SUM(F266,D266)</f>
        <v>124646</v>
      </c>
    </row>
    <row r="267" spans="1:7" x14ac:dyDescent="0.2">
      <c r="A267">
        <v>2022</v>
      </c>
      <c r="B267" s="34">
        <v>5272</v>
      </c>
      <c r="C267" s="9" t="s">
        <v>274</v>
      </c>
      <c r="D267" s="10">
        <v>3828473</v>
      </c>
      <c r="E267" s="9">
        <f>VLOOKUP(B267,'2015'!$B$2:$G$338,6,FALSE)</f>
        <v>0</v>
      </c>
      <c r="F267">
        <f t="shared" si="4"/>
        <v>0</v>
      </c>
      <c r="G267" s="2">
        <f>SUM(F267,D267)</f>
        <v>3828473</v>
      </c>
    </row>
    <row r="268" spans="1:7" x14ac:dyDescent="0.2">
      <c r="A268">
        <v>2022</v>
      </c>
      <c r="B268" s="34">
        <v>5274</v>
      </c>
      <c r="C268" s="9" t="s">
        <v>275</v>
      </c>
      <c r="D268" s="10">
        <v>814602</v>
      </c>
      <c r="E268" s="9">
        <f>VLOOKUP(B268,'2015'!$B$2:$G$338,6,FALSE)</f>
        <v>0</v>
      </c>
      <c r="F268">
        <f t="shared" si="4"/>
        <v>0</v>
      </c>
      <c r="G268" s="2">
        <f>SUM(F268,D268)</f>
        <v>814602</v>
      </c>
    </row>
    <row r="269" spans="1:7" x14ac:dyDescent="0.2">
      <c r="A269">
        <v>2022</v>
      </c>
      <c r="B269" s="34">
        <v>5275</v>
      </c>
      <c r="C269" s="9" t="s">
        <v>276</v>
      </c>
      <c r="D269" s="10">
        <v>1812854</v>
      </c>
      <c r="E269" s="9">
        <f>VLOOKUP(B269,'2015'!$B$2:$G$338,6,FALSE)</f>
        <v>0</v>
      </c>
      <c r="F269">
        <f t="shared" si="4"/>
        <v>0</v>
      </c>
      <c r="G269" s="2">
        <f>SUM(F269,D269)</f>
        <v>1812854</v>
      </c>
    </row>
    <row r="270" spans="1:7" x14ac:dyDescent="0.2">
      <c r="A270">
        <v>2022</v>
      </c>
      <c r="B270" s="34">
        <v>5276</v>
      </c>
      <c r="C270" s="9" t="s">
        <v>277</v>
      </c>
      <c r="D270" s="10">
        <v>904096</v>
      </c>
      <c r="E270" s="9">
        <f>VLOOKUP(B270,'2015'!$B$2:$G$338,6,FALSE)</f>
        <v>0</v>
      </c>
      <c r="F270">
        <f t="shared" si="4"/>
        <v>0</v>
      </c>
      <c r="G270" s="2">
        <f>SUM(F270,D270)</f>
        <v>904096</v>
      </c>
    </row>
    <row r="271" spans="1:7" x14ac:dyDescent="0.2">
      <c r="A271">
        <v>2022</v>
      </c>
      <c r="B271" s="34">
        <v>5278</v>
      </c>
      <c r="C271" s="9" t="s">
        <v>278</v>
      </c>
      <c r="D271" s="10">
        <v>308165</v>
      </c>
      <c r="E271" s="9">
        <f>VLOOKUP(B271,'2015'!$B$2:$G$338,6,FALSE)</f>
        <v>0</v>
      </c>
      <c r="F271">
        <f t="shared" si="4"/>
        <v>0</v>
      </c>
      <c r="G271" s="2">
        <f>SUM(F271,D271)</f>
        <v>308165</v>
      </c>
    </row>
    <row r="272" spans="1:7" x14ac:dyDescent="0.2">
      <c r="A272">
        <v>2022</v>
      </c>
      <c r="B272" s="34">
        <v>5280</v>
      </c>
      <c r="C272" s="9" t="s">
        <v>279</v>
      </c>
      <c r="D272" s="10">
        <v>5080682</v>
      </c>
      <c r="E272" s="9">
        <f>VLOOKUP(B272,'2015'!$B$2:$G$338,6,FALSE)</f>
        <v>0</v>
      </c>
      <c r="F272">
        <f t="shared" si="4"/>
        <v>0</v>
      </c>
      <c r="G272" s="2">
        <f>SUM(F272,D272)</f>
        <v>5080682</v>
      </c>
    </row>
    <row r="273" spans="1:7" x14ac:dyDescent="0.2">
      <c r="A273">
        <v>2022</v>
      </c>
      <c r="B273" s="34">
        <v>5281</v>
      </c>
      <c r="C273" s="9" t="s">
        <v>280</v>
      </c>
      <c r="D273" s="10">
        <v>247689</v>
      </c>
      <c r="E273" s="9">
        <f>VLOOKUP(B273,'2015'!$B$2:$G$338,6,FALSE)</f>
        <v>0</v>
      </c>
      <c r="F273">
        <f t="shared" si="4"/>
        <v>0</v>
      </c>
      <c r="G273" s="2">
        <f>SUM(F273,D273)</f>
        <v>247689</v>
      </c>
    </row>
    <row r="274" spans="1:7" x14ac:dyDescent="0.2">
      <c r="A274">
        <v>2022</v>
      </c>
      <c r="B274" s="34">
        <v>5283</v>
      </c>
      <c r="C274" s="9" t="s">
        <v>281</v>
      </c>
      <c r="D274" s="10">
        <v>475623</v>
      </c>
      <c r="E274" s="9">
        <f>VLOOKUP(B274,'2015'!$B$2:$G$338,6,FALSE)</f>
        <v>0</v>
      </c>
      <c r="F274">
        <f t="shared" si="4"/>
        <v>0</v>
      </c>
      <c r="G274" s="2">
        <f>SUM(F274,D274)</f>
        <v>475623</v>
      </c>
    </row>
    <row r="275" spans="1:7" x14ac:dyDescent="0.2">
      <c r="A275">
        <v>2022</v>
      </c>
      <c r="B275" s="34">
        <v>5284</v>
      </c>
      <c r="C275" s="9" t="s">
        <v>282</v>
      </c>
      <c r="D275" s="10">
        <v>765976</v>
      </c>
      <c r="E275" s="9">
        <f>VLOOKUP(B275,'2015'!$B$2:$G$338,6,FALSE)</f>
        <v>0</v>
      </c>
      <c r="F275">
        <f t="shared" si="4"/>
        <v>0</v>
      </c>
      <c r="G275" s="2">
        <f>SUM(F275,D275)</f>
        <v>765976</v>
      </c>
    </row>
    <row r="276" spans="1:7" x14ac:dyDescent="0.2">
      <c r="A276">
        <v>2022</v>
      </c>
      <c r="B276" s="34">
        <v>5285</v>
      </c>
      <c r="C276" s="9" t="s">
        <v>283</v>
      </c>
      <c r="D276" s="10">
        <v>379269</v>
      </c>
      <c r="E276" s="9">
        <f>VLOOKUP(B276,'2015'!$B$2:$G$338,6,FALSE)</f>
        <v>0</v>
      </c>
      <c r="F276">
        <f t="shared" si="4"/>
        <v>0</v>
      </c>
      <c r="G276" s="2">
        <f>SUM(F276,D276)</f>
        <v>379269</v>
      </c>
    </row>
    <row r="277" spans="1:7" x14ac:dyDescent="0.2">
      <c r="A277">
        <v>2022</v>
      </c>
      <c r="B277" s="34">
        <v>5286</v>
      </c>
      <c r="C277" s="9" t="s">
        <v>284</v>
      </c>
      <c r="D277" s="10">
        <v>332202</v>
      </c>
      <c r="E277" s="9">
        <f>VLOOKUP(B277,'2015'!$B$2:$G$338,6,FALSE)</f>
        <v>0</v>
      </c>
      <c r="F277">
        <f t="shared" si="4"/>
        <v>0</v>
      </c>
      <c r="G277" s="2">
        <f>SUM(F277,D277)</f>
        <v>332202</v>
      </c>
    </row>
    <row r="278" spans="1:7" x14ac:dyDescent="0.2">
      <c r="A278">
        <v>2022</v>
      </c>
      <c r="B278" s="34">
        <v>5287</v>
      </c>
      <c r="C278" s="9" t="s">
        <v>285</v>
      </c>
      <c r="D278" s="10">
        <v>582299</v>
      </c>
      <c r="E278" s="9">
        <f>VLOOKUP(B278,'2015'!$B$2:$G$338,6,FALSE)</f>
        <v>0</v>
      </c>
      <c r="F278">
        <f t="shared" si="4"/>
        <v>0</v>
      </c>
      <c r="G278" s="2">
        <f>SUM(F278,D278)</f>
        <v>582299</v>
      </c>
    </row>
    <row r="279" spans="1:7" x14ac:dyDescent="0.2">
      <c r="A279">
        <v>2022</v>
      </c>
      <c r="B279" s="34">
        <v>5288</v>
      </c>
      <c r="C279" s="9" t="s">
        <v>286</v>
      </c>
      <c r="D279" s="10">
        <v>343583</v>
      </c>
      <c r="E279" s="9">
        <f>VLOOKUP(B279,'2015'!$B$2:$G$338,6,FALSE)</f>
        <v>0</v>
      </c>
      <c r="F279">
        <f t="shared" si="4"/>
        <v>0</v>
      </c>
      <c r="G279" s="2">
        <f>SUM(F279,D279)</f>
        <v>343583</v>
      </c>
    </row>
    <row r="280" spans="1:7" x14ac:dyDescent="0.2">
      <c r="A280">
        <v>2022</v>
      </c>
      <c r="B280" s="34">
        <v>5289</v>
      </c>
      <c r="C280" s="9" t="s">
        <v>287</v>
      </c>
      <c r="D280" s="10">
        <v>439619</v>
      </c>
      <c r="E280" s="9">
        <f>VLOOKUP(B280,'2015'!$B$2:$G$338,6,FALSE)</f>
        <v>0</v>
      </c>
      <c r="F280">
        <f t="shared" si="4"/>
        <v>0</v>
      </c>
      <c r="G280" s="2">
        <f>SUM(F280,D280)</f>
        <v>439619</v>
      </c>
    </row>
    <row r="281" spans="1:7" x14ac:dyDescent="0.2">
      <c r="A281">
        <v>2022</v>
      </c>
      <c r="B281" s="34">
        <v>5291</v>
      </c>
      <c r="C281" s="9" t="s">
        <v>288</v>
      </c>
      <c r="D281" s="10">
        <v>559142</v>
      </c>
      <c r="E281" s="9">
        <f>VLOOKUP(B281,'2015'!$B$2:$G$338,6,FALSE)</f>
        <v>0</v>
      </c>
      <c r="F281">
        <f t="shared" si="4"/>
        <v>0</v>
      </c>
      <c r="G281" s="2">
        <f>SUM(F281,D281)</f>
        <v>559142</v>
      </c>
    </row>
    <row r="282" spans="1:7" x14ac:dyDescent="0.2">
      <c r="A282">
        <v>2022</v>
      </c>
      <c r="B282" s="34">
        <v>5292</v>
      </c>
      <c r="C282" s="9" t="s">
        <v>289</v>
      </c>
      <c r="D282" s="10">
        <v>1604824</v>
      </c>
      <c r="E282" s="9">
        <f>VLOOKUP(B282,'2015'!$B$2:$G$338,6,FALSE)</f>
        <v>0</v>
      </c>
      <c r="F282">
        <f t="shared" si="4"/>
        <v>0</v>
      </c>
      <c r="G282" s="2">
        <f>SUM(F282,D282)</f>
        <v>1604824</v>
      </c>
    </row>
    <row r="283" spans="1:7" x14ac:dyDescent="0.2">
      <c r="A283">
        <v>2022</v>
      </c>
      <c r="B283" s="34">
        <v>5293</v>
      </c>
      <c r="C283" s="9" t="s">
        <v>290</v>
      </c>
      <c r="D283" s="10">
        <v>360759</v>
      </c>
      <c r="E283" s="9">
        <f>VLOOKUP(B283,'2015'!$B$2:$G$338,6,FALSE)</f>
        <v>0</v>
      </c>
      <c r="F283">
        <f t="shared" si="4"/>
        <v>0</v>
      </c>
      <c r="G283" s="2">
        <f>SUM(F283,D283)</f>
        <v>360759</v>
      </c>
    </row>
    <row r="284" spans="1:7" x14ac:dyDescent="0.2">
      <c r="A284">
        <v>2022</v>
      </c>
      <c r="B284" s="34">
        <v>5294</v>
      </c>
      <c r="C284" s="9" t="s">
        <v>291</v>
      </c>
      <c r="D284" s="10">
        <v>868052</v>
      </c>
      <c r="E284" s="9">
        <f>VLOOKUP(B284,'2015'!$B$2:$G$338,6,FALSE)</f>
        <v>0</v>
      </c>
      <c r="F284">
        <f t="shared" si="4"/>
        <v>0</v>
      </c>
      <c r="G284" s="2">
        <f>SUM(F284,D284)</f>
        <v>868052</v>
      </c>
    </row>
    <row r="285" spans="1:7" x14ac:dyDescent="0.2">
      <c r="A285">
        <v>2022</v>
      </c>
      <c r="B285" s="34">
        <v>5295</v>
      </c>
      <c r="C285" s="9" t="s">
        <v>292</v>
      </c>
      <c r="D285" s="10">
        <v>284926</v>
      </c>
      <c r="E285" s="9">
        <f>VLOOKUP(B285,'2015'!$B$2:$G$338,6,FALSE)</f>
        <v>0</v>
      </c>
      <c r="F285">
        <f t="shared" si="4"/>
        <v>0</v>
      </c>
      <c r="G285" s="2">
        <f>SUM(F285,D285)</f>
        <v>284926</v>
      </c>
    </row>
    <row r="286" spans="1:7" x14ac:dyDescent="0.2">
      <c r="A286">
        <v>2022</v>
      </c>
      <c r="B286" s="34">
        <v>5296</v>
      </c>
      <c r="C286" s="9" t="s">
        <v>293</v>
      </c>
      <c r="D286" s="10">
        <v>1185188</v>
      </c>
      <c r="E286" s="9">
        <f>VLOOKUP(B286,'2015'!$B$2:$G$338,6,FALSE)</f>
        <v>0</v>
      </c>
      <c r="F286">
        <f t="shared" si="4"/>
        <v>0</v>
      </c>
      <c r="G286" s="2">
        <f>SUM(F286,D286)</f>
        <v>1185188</v>
      </c>
    </row>
    <row r="287" spans="1:7" x14ac:dyDescent="0.2">
      <c r="A287">
        <v>2022</v>
      </c>
      <c r="B287" s="34">
        <v>5297</v>
      </c>
      <c r="C287" s="9" t="s">
        <v>294</v>
      </c>
      <c r="D287" s="10">
        <v>714182</v>
      </c>
      <c r="E287" s="9">
        <f>VLOOKUP(B287,'2015'!$B$2:$G$338,6,FALSE)</f>
        <v>0</v>
      </c>
      <c r="F287">
        <f t="shared" si="4"/>
        <v>0</v>
      </c>
      <c r="G287" s="2">
        <f>SUM(F287,D287)</f>
        <v>714182</v>
      </c>
    </row>
    <row r="288" spans="1:7" x14ac:dyDescent="0.2">
      <c r="A288">
        <v>2022</v>
      </c>
      <c r="B288" s="34">
        <v>5298</v>
      </c>
      <c r="C288" s="9" t="s">
        <v>295</v>
      </c>
      <c r="D288" s="10">
        <v>85968</v>
      </c>
      <c r="E288" s="9">
        <f>VLOOKUP(B288,'2015'!$B$2:$G$338,6,FALSE)</f>
        <v>0</v>
      </c>
      <c r="F288">
        <f t="shared" si="4"/>
        <v>0</v>
      </c>
      <c r="G288" s="2">
        <f>SUM(F288,D288)</f>
        <v>85968</v>
      </c>
    </row>
    <row r="289" spans="1:7" x14ac:dyDescent="0.2">
      <c r="A289">
        <v>2022</v>
      </c>
      <c r="B289" s="34">
        <v>5299</v>
      </c>
      <c r="C289" s="9" t="s">
        <v>296</v>
      </c>
      <c r="D289" s="10">
        <v>232056</v>
      </c>
      <c r="E289" s="9">
        <f>VLOOKUP(B289,'2015'!$B$2:$G$338,6,FALSE)</f>
        <v>0</v>
      </c>
      <c r="F289">
        <f t="shared" si="4"/>
        <v>0</v>
      </c>
      <c r="G289" s="2">
        <f>SUM(F289,D289)</f>
        <v>232056</v>
      </c>
    </row>
    <row r="290" spans="1:7" x14ac:dyDescent="0.2">
      <c r="A290">
        <v>2022</v>
      </c>
      <c r="B290" s="34">
        <v>5300</v>
      </c>
      <c r="C290" s="9" t="s">
        <v>297</v>
      </c>
      <c r="D290" s="10">
        <v>634025</v>
      </c>
      <c r="E290" s="9">
        <f>VLOOKUP(B290,'2015'!$B$2:$G$338,6,FALSE)</f>
        <v>0</v>
      </c>
      <c r="F290">
        <f t="shared" si="4"/>
        <v>0</v>
      </c>
      <c r="G290" s="2">
        <f>SUM(F290,D290)</f>
        <v>634025</v>
      </c>
    </row>
    <row r="291" spans="1:7" x14ac:dyDescent="0.2">
      <c r="A291">
        <v>2022</v>
      </c>
      <c r="B291" s="34">
        <v>5302</v>
      </c>
      <c r="C291" s="9" t="s">
        <v>298</v>
      </c>
      <c r="D291" s="10">
        <v>2697961</v>
      </c>
      <c r="E291" s="9">
        <f>VLOOKUP(B291,'2015'!$B$2:$G$338,6,FALSE)</f>
        <v>0</v>
      </c>
      <c r="F291">
        <f t="shared" si="4"/>
        <v>0</v>
      </c>
      <c r="G291" s="2">
        <f>SUM(F291,D291)</f>
        <v>2697961</v>
      </c>
    </row>
    <row r="292" spans="1:7" x14ac:dyDescent="0.2">
      <c r="A292">
        <v>2022</v>
      </c>
      <c r="B292" s="34">
        <v>5216</v>
      </c>
      <c r="C292" s="9" t="s">
        <v>299</v>
      </c>
      <c r="D292" s="10">
        <v>977582</v>
      </c>
      <c r="E292" s="9">
        <f>VLOOKUP(B292,'2015'!$B$2:$G$338,6,FALSE)</f>
        <v>0</v>
      </c>
      <c r="F292">
        <f t="shared" si="4"/>
        <v>0</v>
      </c>
      <c r="G292" s="2">
        <f>SUM(F292,D292)</f>
        <v>977582</v>
      </c>
    </row>
    <row r="293" spans="1:7" x14ac:dyDescent="0.2">
      <c r="A293">
        <v>2022</v>
      </c>
      <c r="B293" s="34">
        <v>5304</v>
      </c>
      <c r="C293" s="9" t="s">
        <v>300</v>
      </c>
      <c r="D293" s="10">
        <v>1426631</v>
      </c>
      <c r="E293" s="9">
        <f>VLOOKUP(B293,'2015'!$B$2:$G$338,6,FALSE)</f>
        <v>0</v>
      </c>
      <c r="F293">
        <f t="shared" si="4"/>
        <v>0</v>
      </c>
      <c r="G293" s="2">
        <f>SUM(F293,D293)</f>
        <v>1426631</v>
      </c>
    </row>
    <row r="294" spans="1:7" x14ac:dyDescent="0.2">
      <c r="A294">
        <v>2022</v>
      </c>
      <c r="B294" s="34">
        <v>5305</v>
      </c>
      <c r="C294" s="9" t="s">
        <v>301</v>
      </c>
      <c r="D294" s="10">
        <v>307012</v>
      </c>
      <c r="E294" s="9">
        <f>VLOOKUP(B294,'2015'!$B$2:$G$338,6,FALSE)</f>
        <v>0</v>
      </c>
      <c r="F294">
        <f t="shared" si="4"/>
        <v>0</v>
      </c>
      <c r="G294" s="2">
        <f>SUM(F294,D294)</f>
        <v>307012</v>
      </c>
    </row>
    <row r="295" spans="1:7" x14ac:dyDescent="0.2">
      <c r="A295">
        <v>2022</v>
      </c>
      <c r="B295" s="34">
        <v>5306</v>
      </c>
      <c r="C295" s="9" t="s">
        <v>302</v>
      </c>
      <c r="D295" s="10">
        <v>1073404</v>
      </c>
      <c r="E295" s="9">
        <f>VLOOKUP(B295,'2015'!$B$2:$G$338,6,FALSE)</f>
        <v>0</v>
      </c>
      <c r="F295">
        <f t="shared" si="4"/>
        <v>0</v>
      </c>
      <c r="G295" s="2">
        <f>SUM(F295,D295)</f>
        <v>1073404</v>
      </c>
    </row>
    <row r="296" spans="1:7" x14ac:dyDescent="0.2">
      <c r="A296">
        <v>2022</v>
      </c>
      <c r="B296" s="34">
        <v>5307</v>
      </c>
      <c r="C296" s="9" t="s">
        <v>303</v>
      </c>
      <c r="D296" s="10">
        <v>183553</v>
      </c>
      <c r="E296" s="9">
        <f>VLOOKUP(B296,'2015'!$B$2:$G$338,6,FALSE)</f>
        <v>0</v>
      </c>
      <c r="F296">
        <f t="shared" si="4"/>
        <v>0</v>
      </c>
      <c r="G296" s="2">
        <f>SUM(F296,D296)</f>
        <v>183553</v>
      </c>
    </row>
    <row r="297" spans="1:7" x14ac:dyDescent="0.2">
      <c r="A297">
        <v>2022</v>
      </c>
      <c r="B297" s="34">
        <v>5308</v>
      </c>
      <c r="C297" s="9" t="s">
        <v>304</v>
      </c>
      <c r="D297" s="10">
        <v>10375009</v>
      </c>
      <c r="E297" s="9">
        <f>VLOOKUP(B297,'2015'!$B$2:$G$338,6,FALSE)</f>
        <v>0</v>
      </c>
      <c r="F297">
        <f t="shared" si="4"/>
        <v>0</v>
      </c>
      <c r="G297" s="2">
        <f>SUM(F297,D297)</f>
        <v>10375009</v>
      </c>
    </row>
    <row r="298" spans="1:7" x14ac:dyDescent="0.2">
      <c r="A298">
        <v>2022</v>
      </c>
      <c r="B298" s="34">
        <v>5309</v>
      </c>
      <c r="C298" s="9" t="s">
        <v>305</v>
      </c>
      <c r="D298" s="10">
        <v>739628</v>
      </c>
      <c r="E298" s="9">
        <f>VLOOKUP(B298,'2015'!$B$2:$G$338,6,FALSE)</f>
        <v>0</v>
      </c>
      <c r="F298">
        <f t="shared" si="4"/>
        <v>0</v>
      </c>
      <c r="G298" s="2">
        <f>SUM(F298,D298)</f>
        <v>739628</v>
      </c>
    </row>
    <row r="299" spans="1:7" x14ac:dyDescent="0.2">
      <c r="A299">
        <v>2022</v>
      </c>
      <c r="B299" s="34">
        <v>5310</v>
      </c>
      <c r="C299" s="9" t="s">
        <v>306</v>
      </c>
      <c r="D299" s="10">
        <v>109764</v>
      </c>
      <c r="E299" s="9">
        <f>VLOOKUP(B299,'2015'!$B$2:$G$338,6,FALSE)</f>
        <v>0</v>
      </c>
      <c r="F299">
        <f t="shared" si="4"/>
        <v>0</v>
      </c>
      <c r="G299" s="2">
        <f>SUM(F299,D299)</f>
        <v>109764</v>
      </c>
    </row>
    <row r="300" spans="1:7" x14ac:dyDescent="0.2">
      <c r="A300">
        <v>2022</v>
      </c>
      <c r="B300" s="34">
        <v>5312</v>
      </c>
      <c r="C300" s="9" t="s">
        <v>307</v>
      </c>
      <c r="D300" s="10">
        <v>3904972</v>
      </c>
      <c r="E300" s="9">
        <f>VLOOKUP(B300,'2015'!$B$2:$G$338,6,FALSE)</f>
        <v>0</v>
      </c>
      <c r="F300">
        <f t="shared" si="4"/>
        <v>0</v>
      </c>
      <c r="G300" s="2">
        <f>SUM(F300,D300)</f>
        <v>3904972</v>
      </c>
    </row>
    <row r="301" spans="1:7" x14ac:dyDescent="0.2">
      <c r="A301">
        <v>2022</v>
      </c>
      <c r="B301" s="34">
        <v>5313</v>
      </c>
      <c r="C301" s="9" t="s">
        <v>308</v>
      </c>
      <c r="D301" s="10">
        <v>338429</v>
      </c>
      <c r="E301" s="9">
        <f>VLOOKUP(B301,'2015'!$B$2:$G$338,6,FALSE)</f>
        <v>0</v>
      </c>
      <c r="F301">
        <f t="shared" si="4"/>
        <v>0</v>
      </c>
      <c r="G301" s="2">
        <f>SUM(F301,D301)</f>
        <v>338429</v>
      </c>
    </row>
    <row r="302" spans="1:7" x14ac:dyDescent="0.2">
      <c r="A302">
        <v>2022</v>
      </c>
      <c r="B302" s="34">
        <v>5314</v>
      </c>
      <c r="C302" s="9" t="s">
        <v>309</v>
      </c>
      <c r="D302" s="10">
        <v>16196515</v>
      </c>
      <c r="E302" s="9">
        <f>VLOOKUP(B302,'2015'!$B$2:$G$338,6,FALSE)</f>
        <v>0</v>
      </c>
      <c r="F302">
        <f t="shared" si="4"/>
        <v>0</v>
      </c>
      <c r="G302" s="2">
        <f>SUM(F302,D302)</f>
        <v>16196515</v>
      </c>
    </row>
    <row r="303" spans="1:7" x14ac:dyDescent="0.2">
      <c r="A303">
        <v>2022</v>
      </c>
      <c r="B303" s="34">
        <v>5316</v>
      </c>
      <c r="C303" s="9" t="s">
        <v>310</v>
      </c>
      <c r="D303" s="10">
        <v>446716</v>
      </c>
      <c r="E303" s="9">
        <f>VLOOKUP(B303,'2015'!$B$2:$G$338,6,FALSE)</f>
        <v>0</v>
      </c>
      <c r="F303">
        <f t="shared" si="4"/>
        <v>0</v>
      </c>
      <c r="G303" s="2">
        <f>SUM(F303,D303)</f>
        <v>446716</v>
      </c>
    </row>
    <row r="304" spans="1:7" x14ac:dyDescent="0.2">
      <c r="A304">
        <v>2022</v>
      </c>
      <c r="B304" s="34">
        <v>5317</v>
      </c>
      <c r="C304" s="9" t="s">
        <v>311</v>
      </c>
      <c r="D304" s="10">
        <v>491743</v>
      </c>
      <c r="E304" s="9">
        <f>VLOOKUP(B304,'2015'!$B$2:$G$338,6,FALSE)</f>
        <v>0</v>
      </c>
      <c r="F304">
        <f t="shared" si="4"/>
        <v>0</v>
      </c>
      <c r="G304" s="2">
        <f>SUM(F304,D304)</f>
        <v>491743</v>
      </c>
    </row>
    <row r="305" spans="1:7" x14ac:dyDescent="0.2">
      <c r="A305">
        <v>2022</v>
      </c>
      <c r="B305" s="34">
        <v>5318</v>
      </c>
      <c r="C305" s="9" t="s">
        <v>312</v>
      </c>
      <c r="D305" s="10">
        <v>546860</v>
      </c>
      <c r="E305" s="9">
        <f>VLOOKUP(B305,'2015'!$B$2:$G$338,6,FALSE)</f>
        <v>0</v>
      </c>
      <c r="F305">
        <f t="shared" si="4"/>
        <v>0</v>
      </c>
      <c r="G305" s="2">
        <f>SUM(F305,D305)</f>
        <v>546860</v>
      </c>
    </row>
    <row r="306" spans="1:7" x14ac:dyDescent="0.2">
      <c r="A306">
        <v>2022</v>
      </c>
      <c r="B306" s="34">
        <v>5319</v>
      </c>
      <c r="C306" s="9" t="s">
        <v>313</v>
      </c>
      <c r="D306" s="10">
        <v>808786</v>
      </c>
      <c r="E306" s="9">
        <f>VLOOKUP(B306,'2015'!$B$2:$G$338,6,FALSE)</f>
        <v>0</v>
      </c>
      <c r="F306">
        <f t="shared" si="4"/>
        <v>0</v>
      </c>
      <c r="G306" s="2">
        <f>SUM(F306,D306)</f>
        <v>808786</v>
      </c>
    </row>
    <row r="307" spans="1:7" x14ac:dyDescent="0.2">
      <c r="A307">
        <v>2022</v>
      </c>
      <c r="B307" s="34">
        <v>5320</v>
      </c>
      <c r="C307" s="9" t="s">
        <v>314</v>
      </c>
      <c r="D307" s="10">
        <v>203147</v>
      </c>
      <c r="E307" s="9">
        <f>VLOOKUP(B307,'2015'!$B$2:$G$338,6,FALSE)</f>
        <v>0</v>
      </c>
      <c r="F307">
        <f t="shared" si="4"/>
        <v>0</v>
      </c>
      <c r="G307" s="2">
        <f>SUM(F307,D307)</f>
        <v>203147</v>
      </c>
    </row>
    <row r="308" spans="1:7" x14ac:dyDescent="0.2">
      <c r="A308">
        <v>2022</v>
      </c>
      <c r="B308" s="34">
        <v>5321</v>
      </c>
      <c r="C308" s="9" t="s">
        <v>315</v>
      </c>
      <c r="D308" s="10">
        <v>416357</v>
      </c>
      <c r="E308" s="9">
        <f>VLOOKUP(B308,'2015'!$B$2:$G$338,6,FALSE)</f>
        <v>0</v>
      </c>
      <c r="F308">
        <f t="shared" si="4"/>
        <v>0</v>
      </c>
      <c r="G308" s="2">
        <f>SUM(F308,D308)</f>
        <v>416357</v>
      </c>
    </row>
    <row r="309" spans="1:7" x14ac:dyDescent="0.2">
      <c r="A309">
        <v>2022</v>
      </c>
      <c r="B309" s="34">
        <v>5322</v>
      </c>
      <c r="C309" s="9" t="s">
        <v>316</v>
      </c>
      <c r="D309" s="10">
        <v>464100</v>
      </c>
      <c r="E309" s="9">
        <f>VLOOKUP(B309,'2015'!$B$2:$G$338,6,FALSE)</f>
        <v>0</v>
      </c>
      <c r="F309">
        <f t="shared" si="4"/>
        <v>0</v>
      </c>
      <c r="G309" s="2">
        <f>SUM(F309,D309)</f>
        <v>464100</v>
      </c>
    </row>
    <row r="310" spans="1:7" x14ac:dyDescent="0.2">
      <c r="A310">
        <v>2022</v>
      </c>
      <c r="B310" s="34">
        <v>5324</v>
      </c>
      <c r="C310" s="9" t="s">
        <v>317</v>
      </c>
      <c r="D310" s="10">
        <v>27335630</v>
      </c>
      <c r="E310" s="9">
        <f>VLOOKUP(B310,'2015'!$B$2:$G$338,6,FALSE)</f>
        <v>0</v>
      </c>
      <c r="F310">
        <f t="shared" si="4"/>
        <v>0</v>
      </c>
      <c r="G310" s="2">
        <f>SUM(F310,D310)</f>
        <v>27335630</v>
      </c>
    </row>
    <row r="311" spans="1:7" x14ac:dyDescent="0.2">
      <c r="A311">
        <v>2022</v>
      </c>
      <c r="B311" s="34">
        <v>5329</v>
      </c>
      <c r="C311" s="9" t="s">
        <v>318</v>
      </c>
      <c r="D311" s="10">
        <v>254956</v>
      </c>
      <c r="E311" s="9">
        <f>VLOOKUP(B311,'2015'!$B$2:$G$338,6,FALSE)</f>
        <v>0</v>
      </c>
      <c r="F311">
        <f t="shared" si="4"/>
        <v>0</v>
      </c>
      <c r="G311" s="2">
        <f>SUM(F311,D311)</f>
        <v>254956</v>
      </c>
    </row>
    <row r="312" spans="1:7" x14ac:dyDescent="0.2">
      <c r="A312">
        <v>2022</v>
      </c>
      <c r="B312" s="34">
        <v>5330</v>
      </c>
      <c r="C312" s="9" t="s">
        <v>319</v>
      </c>
      <c r="D312" s="10">
        <v>908318</v>
      </c>
      <c r="E312" s="9">
        <f>VLOOKUP(B312,'2015'!$B$2:$G$338,6,FALSE)</f>
        <v>0</v>
      </c>
      <c r="F312">
        <f t="shared" si="4"/>
        <v>0</v>
      </c>
      <c r="G312" s="2">
        <f>SUM(F312,D312)</f>
        <v>908318</v>
      </c>
    </row>
    <row r="313" spans="1:7" x14ac:dyDescent="0.2">
      <c r="A313">
        <v>2022</v>
      </c>
      <c r="B313" s="34">
        <v>5331</v>
      </c>
      <c r="C313" s="9" t="s">
        <v>320</v>
      </c>
      <c r="D313" s="10">
        <v>1211843</v>
      </c>
      <c r="E313" s="9">
        <f>VLOOKUP(B313,'2015'!$B$2:$G$338,6,FALSE)</f>
        <v>0</v>
      </c>
      <c r="F313">
        <f t="shared" si="4"/>
        <v>0</v>
      </c>
      <c r="G313" s="2">
        <f>SUM(F313,D313)</f>
        <v>1211843</v>
      </c>
    </row>
    <row r="314" spans="1:7" x14ac:dyDescent="0.2">
      <c r="A314">
        <v>2022</v>
      </c>
      <c r="B314" s="34">
        <v>5332</v>
      </c>
      <c r="C314" s="9" t="s">
        <v>321</v>
      </c>
      <c r="D314" s="10">
        <v>1271320</v>
      </c>
      <c r="E314" s="9">
        <f>VLOOKUP(B314,'2015'!$B$2:$G$338,6,FALSE)</f>
        <v>0</v>
      </c>
      <c r="F314">
        <f t="shared" si="4"/>
        <v>0</v>
      </c>
      <c r="G314" s="2">
        <f>SUM(F314,D314)</f>
        <v>1271320</v>
      </c>
    </row>
    <row r="315" spans="1:7" x14ac:dyDescent="0.2">
      <c r="A315">
        <v>2022</v>
      </c>
      <c r="B315" s="34">
        <v>5333</v>
      </c>
      <c r="C315" s="9" t="s">
        <v>322</v>
      </c>
      <c r="D315" s="10">
        <v>420378</v>
      </c>
      <c r="E315" s="9">
        <f>VLOOKUP(B315,'2015'!$B$2:$G$338,6,FALSE)</f>
        <v>0</v>
      </c>
      <c r="F315">
        <f t="shared" si="4"/>
        <v>0</v>
      </c>
      <c r="G315" s="2">
        <f>SUM(F315,D315)</f>
        <v>420378</v>
      </c>
    </row>
    <row r="316" spans="1:7" x14ac:dyDescent="0.2">
      <c r="A316">
        <v>2022</v>
      </c>
      <c r="B316" s="34">
        <v>5337</v>
      </c>
      <c r="C316" s="9" t="s">
        <v>323</v>
      </c>
      <c r="D316" s="10">
        <v>1649581</v>
      </c>
      <c r="E316" s="9">
        <f>VLOOKUP(B316,'2015'!$B$2:$G$338,6,FALSE)</f>
        <v>0</v>
      </c>
      <c r="F316">
        <f t="shared" si="4"/>
        <v>0</v>
      </c>
      <c r="G316" s="2">
        <f>SUM(F316,D316)</f>
        <v>1649581</v>
      </c>
    </row>
    <row r="317" spans="1:7" x14ac:dyDescent="0.2">
      <c r="A317">
        <v>2022</v>
      </c>
      <c r="B317" s="34">
        <v>5366</v>
      </c>
      <c r="C317" s="9" t="s">
        <v>324</v>
      </c>
      <c r="D317" s="10">
        <v>833797</v>
      </c>
      <c r="E317" s="9">
        <f>VLOOKUP(B317,'2015'!$B$2:$G$338,6,FALSE)</f>
        <v>0</v>
      </c>
      <c r="F317">
        <f t="shared" si="4"/>
        <v>0</v>
      </c>
      <c r="G317" s="2">
        <f>SUM(F317,D317)</f>
        <v>833797</v>
      </c>
    </row>
    <row r="318" spans="1:7" x14ac:dyDescent="0.2">
      <c r="A318">
        <v>2022</v>
      </c>
      <c r="B318" s="34">
        <v>5367</v>
      </c>
      <c r="C318" s="9" t="s">
        <v>325</v>
      </c>
      <c r="D318" s="10">
        <v>345051</v>
      </c>
      <c r="E318" s="9">
        <f>VLOOKUP(B318,'2015'!$B$2:$G$338,6,FALSE)</f>
        <v>0</v>
      </c>
      <c r="F318">
        <f t="shared" si="4"/>
        <v>0</v>
      </c>
      <c r="G318" s="2">
        <f>SUM(F318,D318)</f>
        <v>345051</v>
      </c>
    </row>
    <row r="319" spans="1:7" x14ac:dyDescent="0.2">
      <c r="A319">
        <v>2022</v>
      </c>
      <c r="B319" s="34">
        <v>5368</v>
      </c>
      <c r="C319" s="9" t="s">
        <v>326</v>
      </c>
      <c r="D319" s="10">
        <v>449378</v>
      </c>
      <c r="E319" s="9">
        <f>VLOOKUP(B319,'2015'!$B$2:$G$338,6,FALSE)</f>
        <v>0</v>
      </c>
      <c r="F319">
        <f t="shared" si="4"/>
        <v>0</v>
      </c>
      <c r="G319" s="2">
        <f>SUM(F319,D319)</f>
        <v>449378</v>
      </c>
    </row>
    <row r="320" spans="1:7" x14ac:dyDescent="0.2">
      <c r="A320">
        <v>2022</v>
      </c>
      <c r="B320" s="34">
        <v>5405</v>
      </c>
      <c r="C320" s="9" t="s">
        <v>327</v>
      </c>
      <c r="D320" s="10">
        <v>215677</v>
      </c>
      <c r="E320" s="9">
        <f>VLOOKUP(B320,'2015'!$B$2:$G$338,6,FALSE)</f>
        <v>0</v>
      </c>
      <c r="F320">
        <f t="shared" si="4"/>
        <v>0</v>
      </c>
      <c r="G320" s="2">
        <f>SUM(F320,D320)</f>
        <v>215677</v>
      </c>
    </row>
    <row r="321" spans="1:7" x14ac:dyDescent="0.2">
      <c r="A321">
        <v>2022</v>
      </c>
      <c r="B321" s="34">
        <v>5409</v>
      </c>
      <c r="C321" s="9" t="s">
        <v>328</v>
      </c>
      <c r="D321" s="10">
        <v>235972</v>
      </c>
      <c r="E321" s="9">
        <f>VLOOKUP(B321,'2015'!$B$2:$G$338,6,FALSE)</f>
        <v>0</v>
      </c>
      <c r="F321">
        <f t="shared" si="4"/>
        <v>0</v>
      </c>
      <c r="G321" s="2">
        <f>SUM(F321,D321)</f>
        <v>235972</v>
      </c>
    </row>
    <row r="322" spans="1:7" x14ac:dyDescent="0.2">
      <c r="A322">
        <v>2022</v>
      </c>
      <c r="B322" s="34">
        <v>5410</v>
      </c>
      <c r="C322" s="9" t="s">
        <v>329</v>
      </c>
      <c r="D322" s="10">
        <v>230472</v>
      </c>
      <c r="E322" s="9">
        <f>VLOOKUP(B322,'2015'!$B$2:$G$338,6,FALSE)</f>
        <v>0</v>
      </c>
      <c r="F322">
        <f t="shared" si="4"/>
        <v>0</v>
      </c>
      <c r="G322" s="2">
        <f>SUM(F322,D322)</f>
        <v>230472</v>
      </c>
    </row>
    <row r="323" spans="1:7" x14ac:dyDescent="0.2">
      <c r="A323">
        <v>2022</v>
      </c>
      <c r="B323" s="34">
        <v>5430</v>
      </c>
      <c r="C323" s="9" t="s">
        <v>330</v>
      </c>
      <c r="D323" s="10">
        <v>25367680</v>
      </c>
      <c r="E323" s="9">
        <f>VLOOKUP(B323,'2015'!$B$2:$G$338,6,FALSE)</f>
        <v>0</v>
      </c>
      <c r="F323">
        <f t="shared" ref="F323:F338" si="5">E323*$D$341</f>
        <v>0</v>
      </c>
      <c r="G323" s="2">
        <f>SUM(F323,D323)</f>
        <v>25367680</v>
      </c>
    </row>
    <row r="324" spans="1:7" x14ac:dyDescent="0.2">
      <c r="A324">
        <v>2022</v>
      </c>
      <c r="B324" s="34">
        <v>5436</v>
      </c>
      <c r="C324" s="9" t="s">
        <v>331</v>
      </c>
      <c r="D324" s="10">
        <v>662775</v>
      </c>
      <c r="E324" s="9">
        <f>VLOOKUP(B324,'2015'!$B$2:$G$338,6,FALSE)</f>
        <v>0</v>
      </c>
      <c r="F324">
        <f t="shared" si="5"/>
        <v>0</v>
      </c>
      <c r="G324" s="2">
        <f>SUM(F324,D324)</f>
        <v>662775</v>
      </c>
    </row>
    <row r="325" spans="1:7" x14ac:dyDescent="0.2">
      <c r="A325">
        <v>2022</v>
      </c>
      <c r="B325" s="34">
        <v>5590</v>
      </c>
      <c r="C325" s="9" t="s">
        <v>332</v>
      </c>
      <c r="D325" s="10">
        <v>159119</v>
      </c>
      <c r="E325" s="9">
        <f>VLOOKUP(B325,'2015'!$B$2:$G$338,6,FALSE)</f>
        <v>0</v>
      </c>
      <c r="F325">
        <f t="shared" si="5"/>
        <v>0</v>
      </c>
      <c r="G325" s="2">
        <f>SUM(F325,D325)</f>
        <v>159119</v>
      </c>
    </row>
    <row r="326" spans="1:7" x14ac:dyDescent="0.2">
      <c r="A326">
        <v>2022</v>
      </c>
      <c r="B326" s="34">
        <v>5696</v>
      </c>
      <c r="C326" s="9" t="s">
        <v>333</v>
      </c>
      <c r="D326" s="10">
        <v>257382</v>
      </c>
      <c r="E326" s="9">
        <f>VLOOKUP(B326,'2015'!$B$2:$G$338,6,FALSE)</f>
        <v>0</v>
      </c>
      <c r="F326">
        <f t="shared" si="5"/>
        <v>0</v>
      </c>
      <c r="G326" s="2">
        <f>SUM(F326,D326)</f>
        <v>257382</v>
      </c>
    </row>
    <row r="327" spans="1:7" x14ac:dyDescent="0.2">
      <c r="A327">
        <v>2022</v>
      </c>
      <c r="B327" s="34">
        <v>9291</v>
      </c>
      <c r="C327" s="9" t="s">
        <v>334</v>
      </c>
      <c r="D327" s="10">
        <v>362213</v>
      </c>
      <c r="E327" s="9">
        <f>VLOOKUP(B327,'2015'!$B$2:$G$338,6,FALSE)</f>
        <v>0</v>
      </c>
      <c r="F327">
        <f t="shared" si="5"/>
        <v>0</v>
      </c>
      <c r="G327" s="2">
        <f>SUM(F327,D327)</f>
        <v>362213</v>
      </c>
    </row>
    <row r="328" spans="1:7" x14ac:dyDescent="0.2">
      <c r="A328">
        <v>2022</v>
      </c>
      <c r="B328" s="34">
        <v>9302</v>
      </c>
      <c r="C328" s="9" t="s">
        <v>335</v>
      </c>
      <c r="D328" s="10">
        <v>185194</v>
      </c>
      <c r="E328" s="9">
        <f>VLOOKUP(B328,'2015'!$B$2:$G$338,6,FALSE)</f>
        <v>0</v>
      </c>
      <c r="F328">
        <f t="shared" si="5"/>
        <v>0</v>
      </c>
      <c r="G328" s="2">
        <f>SUM(F328,D328)</f>
        <v>185194</v>
      </c>
    </row>
    <row r="329" spans="1:7" x14ac:dyDescent="0.2">
      <c r="A329">
        <v>2022</v>
      </c>
      <c r="B329" s="34">
        <v>9332</v>
      </c>
      <c r="C329" s="9" t="s">
        <v>336</v>
      </c>
      <c r="D329" s="10">
        <v>332544</v>
      </c>
      <c r="E329" s="9">
        <f>VLOOKUP(B329,'2015'!$B$2:$G$338,6,FALSE)</f>
        <v>0</v>
      </c>
      <c r="F329">
        <f t="shared" si="5"/>
        <v>0</v>
      </c>
      <c r="G329" s="2">
        <f>SUM(F329,D329)</f>
        <v>332544</v>
      </c>
    </row>
    <row r="330" spans="1:7" x14ac:dyDescent="0.2">
      <c r="A330">
        <v>2022</v>
      </c>
      <c r="B330" s="34">
        <v>9333</v>
      </c>
      <c r="C330" s="9" t="s">
        <v>337</v>
      </c>
      <c r="D330" s="10">
        <v>380833</v>
      </c>
      <c r="E330" s="9">
        <f>VLOOKUP(B330,'2015'!$B$2:$G$338,6,FALSE)</f>
        <v>0</v>
      </c>
      <c r="F330">
        <f t="shared" si="5"/>
        <v>0</v>
      </c>
      <c r="G330" s="2">
        <f>SUM(F330,D330)</f>
        <v>380833</v>
      </c>
    </row>
    <row r="331" spans="1:7" x14ac:dyDescent="0.2">
      <c r="A331">
        <v>2022</v>
      </c>
      <c r="B331" s="34">
        <v>9335</v>
      </c>
      <c r="C331" s="9" t="s">
        <v>338</v>
      </c>
      <c r="D331" s="10">
        <v>467705</v>
      </c>
      <c r="E331" s="9">
        <f>VLOOKUP(B331,'2015'!$B$2:$G$338,6,FALSE)</f>
        <v>0</v>
      </c>
      <c r="F331">
        <f t="shared" si="5"/>
        <v>0</v>
      </c>
      <c r="G331" s="2">
        <f>SUM(F331,D331)</f>
        <v>467705</v>
      </c>
    </row>
    <row r="332" spans="1:7" x14ac:dyDescent="0.2">
      <c r="A332">
        <v>2022</v>
      </c>
      <c r="B332" s="34">
        <v>9389</v>
      </c>
      <c r="C332" s="9" t="s">
        <v>339</v>
      </c>
      <c r="D332" s="10">
        <v>248599</v>
      </c>
      <c r="E332" s="9">
        <f>VLOOKUP(B332,'2015'!$B$2:$G$338,6,FALSE)</f>
        <v>0</v>
      </c>
      <c r="F332">
        <f t="shared" si="5"/>
        <v>0</v>
      </c>
      <c r="G332" s="2">
        <f>SUM(F332,D332)</f>
        <v>248599</v>
      </c>
    </row>
    <row r="333" spans="1:7" x14ac:dyDescent="0.2">
      <c r="A333">
        <v>2022</v>
      </c>
      <c r="B333" s="34">
        <v>9410</v>
      </c>
      <c r="C333" s="9" t="s">
        <v>340</v>
      </c>
      <c r="D333" s="10">
        <v>348447</v>
      </c>
      <c r="E333" s="9">
        <f>VLOOKUP(B333,'2015'!$B$2:$G$338,6,FALSE)</f>
        <v>0</v>
      </c>
      <c r="F333">
        <f t="shared" si="5"/>
        <v>0</v>
      </c>
      <c r="G333" s="2">
        <f>SUM(F333,D333)</f>
        <v>348447</v>
      </c>
    </row>
    <row r="334" spans="1:7" x14ac:dyDescent="0.2">
      <c r="A334">
        <v>2022</v>
      </c>
      <c r="B334" s="34">
        <v>9444</v>
      </c>
      <c r="C334" s="9" t="s">
        <v>341</v>
      </c>
      <c r="D334" s="10">
        <v>554735</v>
      </c>
      <c r="E334" s="9">
        <f>VLOOKUP(B334,'2015'!$B$2:$G$338,6,FALSE)</f>
        <v>0</v>
      </c>
      <c r="F334">
        <f t="shared" si="5"/>
        <v>0</v>
      </c>
      <c r="G334" s="2">
        <f>SUM(F334,D334)</f>
        <v>554735</v>
      </c>
    </row>
    <row r="335" spans="1:7" x14ac:dyDescent="0.2">
      <c r="A335">
        <v>2022</v>
      </c>
      <c r="B335" s="34">
        <v>9445</v>
      </c>
      <c r="C335" s="9" t="s">
        <v>342</v>
      </c>
      <c r="D335" s="10">
        <v>533875</v>
      </c>
      <c r="E335" s="9">
        <f>VLOOKUP(B335,'2015'!$B$2:$G$338,6,FALSE)</f>
        <v>0</v>
      </c>
      <c r="F335">
        <f t="shared" si="5"/>
        <v>0</v>
      </c>
      <c r="G335" s="2">
        <f>SUM(F335,D335)</f>
        <v>533875</v>
      </c>
    </row>
    <row r="336" spans="1:7" x14ac:dyDescent="0.2">
      <c r="A336">
        <v>2022</v>
      </c>
      <c r="B336" s="34">
        <v>9446</v>
      </c>
      <c r="C336" s="9" t="s">
        <v>343</v>
      </c>
      <c r="D336" s="10">
        <v>964336</v>
      </c>
      <c r="E336" s="9">
        <f>VLOOKUP(B336,'2015'!$B$2:$G$338,6,FALSE)</f>
        <v>0</v>
      </c>
      <c r="F336">
        <f t="shared" si="5"/>
        <v>0</v>
      </c>
      <c r="G336" s="2">
        <f>SUM(F336,D336)</f>
        <v>964336</v>
      </c>
    </row>
    <row r="337" spans="1:7" x14ac:dyDescent="0.2">
      <c r="A337">
        <v>2022</v>
      </c>
      <c r="B337" s="34">
        <v>9461</v>
      </c>
      <c r="C337" s="9" t="s">
        <v>344</v>
      </c>
      <c r="D337" s="10">
        <v>750398</v>
      </c>
      <c r="E337" s="9">
        <f>VLOOKUP(B337,'2015'!$B$2:$G$338,6,FALSE)</f>
        <v>0</v>
      </c>
      <c r="F337">
        <f t="shared" si="5"/>
        <v>0</v>
      </c>
      <c r="G337" s="2">
        <f>SUM(F337,D337)</f>
        <v>750398</v>
      </c>
    </row>
    <row r="338" spans="1:7" x14ac:dyDescent="0.2">
      <c r="A338">
        <v>2022</v>
      </c>
      <c r="B338" s="34">
        <v>5303</v>
      </c>
      <c r="C338" s="3" t="s">
        <v>345</v>
      </c>
      <c r="D338" s="10">
        <v>1633129</v>
      </c>
      <c r="E338" s="9">
        <f>VLOOKUP(B338,'2015'!$B$2:$G$338,6,FALSE)</f>
        <v>0</v>
      </c>
      <c r="F338">
        <f t="shared" si="5"/>
        <v>0</v>
      </c>
      <c r="G338" s="2">
        <f>SUM(F338,D338)</f>
        <v>1633129</v>
      </c>
    </row>
    <row r="340" spans="1:7" x14ac:dyDescent="0.2">
      <c r="C340" s="2" t="s">
        <v>346</v>
      </c>
      <c r="D340" s="2">
        <f>SUM(D2:D338)</f>
        <v>495909298</v>
      </c>
      <c r="E340">
        <f>SUM(E2:E338)</f>
        <v>0.99999999999999978</v>
      </c>
    </row>
    <row r="341" spans="1:7" x14ac:dyDescent="0.2">
      <c r="C341" s="2" t="s">
        <v>347</v>
      </c>
      <c r="D341" s="2">
        <v>67347237</v>
      </c>
    </row>
    <row r="342" spans="1:7" x14ac:dyDescent="0.2">
      <c r="D342" s="2"/>
    </row>
    <row r="343" spans="1:7" x14ac:dyDescent="0.2">
      <c r="C343" t="s">
        <v>348</v>
      </c>
      <c r="D343" s="2">
        <v>495909298</v>
      </c>
    </row>
    <row r="344" spans="1:7" x14ac:dyDescent="0.2">
      <c r="C344" t="s">
        <v>347</v>
      </c>
      <c r="D344" s="2">
        <v>67347237</v>
      </c>
    </row>
    <row r="346" spans="1:7" x14ac:dyDescent="0.2">
      <c r="C346" s="5" t="s">
        <v>349</v>
      </c>
      <c r="D346" s="8">
        <f>D340-D343</f>
        <v>0</v>
      </c>
    </row>
    <row r="347" spans="1:7" x14ac:dyDescent="0.2">
      <c r="D347" s="8">
        <f>D341-D344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A52DD-DFFF-794F-B3C2-FAD4E65CC1A0}">
  <sheetPr>
    <tabColor rgb="FFFFFF00"/>
  </sheetPr>
  <dimension ref="A1:G342"/>
  <sheetViews>
    <sheetView workbookViewId="0">
      <selection activeCell="F2" sqref="F2:G333"/>
    </sheetView>
  </sheetViews>
  <sheetFormatPr baseColWidth="10" defaultRowHeight="16" x14ac:dyDescent="0.2"/>
  <cols>
    <col min="2" max="2" width="11.83203125" style="3" bestFit="1" customWidth="1"/>
    <col min="3" max="3" width="45.5" style="3" bestFit="1" customWidth="1"/>
    <col min="4" max="4" width="18.83203125" style="3" bestFit="1" customWidth="1"/>
    <col min="5" max="5" width="25.83203125" style="3" bestFit="1" customWidth="1"/>
    <col min="6" max="6" width="17.1640625" bestFit="1" customWidth="1"/>
    <col min="7" max="7" width="16.83203125" bestFit="1" customWidth="1"/>
  </cols>
  <sheetData>
    <row r="1" spans="1:7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374</v>
      </c>
      <c r="F1" s="3" t="s">
        <v>368</v>
      </c>
      <c r="G1" s="3" t="s">
        <v>351</v>
      </c>
    </row>
    <row r="2" spans="1:7" x14ac:dyDescent="0.2">
      <c r="A2">
        <v>2021</v>
      </c>
      <c r="B2" s="34">
        <v>4931</v>
      </c>
      <c r="C2" s="9" t="s">
        <v>10</v>
      </c>
      <c r="D2" s="10">
        <v>3701</v>
      </c>
      <c r="E2" s="9">
        <f>VLOOKUP(B2,'2015'!$B$2:$G$338,6,FALSE)</f>
        <v>6.4531547540516718E-3</v>
      </c>
      <c r="F2">
        <f>E2*$D$336</f>
        <v>470200.26742565254</v>
      </c>
      <c r="G2" s="2">
        <f>SUM(F2,D2)</f>
        <v>473901.26742565254</v>
      </c>
    </row>
    <row r="3" spans="1:7" x14ac:dyDescent="0.2">
      <c r="A3">
        <v>2021</v>
      </c>
      <c r="B3" s="34">
        <v>5045</v>
      </c>
      <c r="C3" s="9" t="s">
        <v>11</v>
      </c>
      <c r="D3" s="10">
        <v>3217</v>
      </c>
      <c r="E3" s="9">
        <f>VLOOKUP(B3,'2015'!$B$2:$G$338,6,FALSE)</f>
        <v>1.0105484222096495E-2</v>
      </c>
      <c r="F3">
        <f t="shared" ref="F3:F66" si="0">E3*$D$336</f>
        <v>736322.24311870837</v>
      </c>
      <c r="G3" s="2">
        <f>SUM(F3,D3)</f>
        <v>739539.24311870837</v>
      </c>
    </row>
    <row r="4" spans="1:7" x14ac:dyDescent="0.2">
      <c r="A4">
        <v>2021</v>
      </c>
      <c r="B4" s="34">
        <v>5047</v>
      </c>
      <c r="C4" s="9" t="s">
        <v>13</v>
      </c>
      <c r="D4" s="10">
        <v>5650</v>
      </c>
      <c r="E4" s="9">
        <f>VLOOKUP(B4,'2015'!$B$2:$G$338,6,FALSE)</f>
        <v>2.189607160505451E-2</v>
      </c>
      <c r="F4">
        <f t="shared" si="0"/>
        <v>1595427.2160920547</v>
      </c>
      <c r="G4" s="2">
        <f>SUM(F4,D4)</f>
        <v>1601077.2160920547</v>
      </c>
    </row>
    <row r="5" spans="1:7" x14ac:dyDescent="0.2">
      <c r="A5">
        <v>2021</v>
      </c>
      <c r="B5" s="34">
        <v>5048</v>
      </c>
      <c r="C5" s="9" t="s">
        <v>14</v>
      </c>
      <c r="D5" s="10">
        <v>66995</v>
      </c>
      <c r="E5" s="9">
        <f>VLOOKUP(B5,'2015'!$B$2:$G$338,6,FALSE)</f>
        <v>4.4505872497202836E-2</v>
      </c>
      <c r="F5">
        <f t="shared" si="0"/>
        <v>3242859.3374516186</v>
      </c>
      <c r="G5" s="2">
        <f>SUM(F5,D5)</f>
        <v>3309854.3374516186</v>
      </c>
    </row>
    <row r="6" spans="1:7" x14ac:dyDescent="0.2">
      <c r="A6">
        <v>2021</v>
      </c>
      <c r="B6" s="34">
        <v>5049</v>
      </c>
      <c r="C6" s="9" t="s">
        <v>15</v>
      </c>
      <c r="D6" s="10">
        <v>103870</v>
      </c>
      <c r="E6" s="9">
        <f>VLOOKUP(B6,'2015'!$B$2:$G$338,6,FALSE)</f>
        <v>6.3574471270304675E-2</v>
      </c>
      <c r="F6">
        <f t="shared" si="0"/>
        <v>4632266.6249361672</v>
      </c>
      <c r="G6" s="2">
        <f>SUM(F6,D6)</f>
        <v>4736136.6249361672</v>
      </c>
    </row>
    <row r="7" spans="1:7" x14ac:dyDescent="0.2">
      <c r="A7">
        <v>2021</v>
      </c>
      <c r="B7" s="34">
        <v>5050</v>
      </c>
      <c r="C7" s="9" t="s">
        <v>16</v>
      </c>
      <c r="D7" s="10">
        <v>19969</v>
      </c>
      <c r="E7" s="9">
        <f>VLOOKUP(B7,'2015'!$B$2:$G$338,6,FALSE)</f>
        <v>1.5153357180231053E-2</v>
      </c>
      <c r="F7">
        <f t="shared" si="0"/>
        <v>1104128.5805314844</v>
      </c>
      <c r="G7" s="2">
        <f>SUM(F7,D7)</f>
        <v>1124097.5805314844</v>
      </c>
    </row>
    <row r="8" spans="1:7" x14ac:dyDescent="0.2">
      <c r="A8">
        <v>2021</v>
      </c>
      <c r="B8" s="34">
        <v>5107</v>
      </c>
      <c r="C8" s="9" t="s">
        <v>17</v>
      </c>
      <c r="D8" s="10">
        <v>22863</v>
      </c>
      <c r="E8" s="9">
        <f>VLOOKUP(B8,'2015'!$B$2:$G$338,6,FALSE)</f>
        <v>2.4280916304639615E-2</v>
      </c>
      <c r="F8">
        <f t="shared" si="0"/>
        <v>1769195.6531203955</v>
      </c>
      <c r="G8" s="2">
        <f>SUM(F8,D8)</f>
        <v>1792058.6531203955</v>
      </c>
    </row>
    <row r="9" spans="1:7" x14ac:dyDescent="0.2">
      <c r="A9">
        <v>2021</v>
      </c>
      <c r="B9" s="34">
        <v>5108</v>
      </c>
      <c r="C9" s="9" t="s">
        <v>18</v>
      </c>
      <c r="D9" s="10">
        <v>23022</v>
      </c>
      <c r="E9" s="9">
        <f>VLOOKUP(B9,'2015'!$B$2:$G$338,6,FALSE)</f>
        <v>3.1695507434012407E-2</v>
      </c>
      <c r="F9">
        <f t="shared" si="0"/>
        <v>2309449.6629431145</v>
      </c>
      <c r="G9" s="2">
        <f>SUM(F9,D9)</f>
        <v>2332471.6629431145</v>
      </c>
    </row>
    <row r="10" spans="1:7" x14ac:dyDescent="0.2">
      <c r="A10">
        <v>2021</v>
      </c>
      <c r="B10" s="34">
        <v>5109</v>
      </c>
      <c r="C10" s="9" t="s">
        <v>19</v>
      </c>
      <c r="D10" s="10">
        <v>47740</v>
      </c>
      <c r="E10" s="9">
        <f>VLOOKUP(B10,'2015'!$B$2:$G$338,6,FALSE)</f>
        <v>5.1177098904248042E-2</v>
      </c>
      <c r="F10">
        <f t="shared" si="0"/>
        <v>3728949.0966783371</v>
      </c>
      <c r="G10" s="2">
        <f>SUM(F10,D10)</f>
        <v>3776689.0966783371</v>
      </c>
    </row>
    <row r="11" spans="1:7" x14ac:dyDescent="0.2">
      <c r="A11">
        <v>2021</v>
      </c>
      <c r="B11" s="34">
        <v>5110</v>
      </c>
      <c r="C11" s="9" t="s">
        <v>20</v>
      </c>
      <c r="D11" s="10">
        <v>24151</v>
      </c>
      <c r="E11" s="9">
        <f>VLOOKUP(B11,'2015'!$B$2:$G$338,6,FALSE)</f>
        <v>1.0333360578457136E-2</v>
      </c>
      <c r="F11">
        <f t="shared" si="0"/>
        <v>752926.14117856557</v>
      </c>
      <c r="G11" s="2">
        <f>SUM(F11,D11)</f>
        <v>777077.14117856557</v>
      </c>
    </row>
    <row r="12" spans="1:7" x14ac:dyDescent="0.2">
      <c r="A12">
        <v>2021</v>
      </c>
      <c r="B12" s="34">
        <v>5111</v>
      </c>
      <c r="C12" s="9" t="s">
        <v>21</v>
      </c>
      <c r="D12" s="10">
        <v>74199</v>
      </c>
      <c r="E12" s="9">
        <f>VLOOKUP(B12,'2015'!$B$2:$G$338,6,FALSE)</f>
        <v>1.0645672472843794E-2</v>
      </c>
      <c r="F12">
        <f t="shared" si="0"/>
        <v>775682.31887113024</v>
      </c>
      <c r="G12" s="2">
        <f>SUM(F12,D12)</f>
        <v>849881.31887113024</v>
      </c>
    </row>
    <row r="13" spans="1:7" x14ac:dyDescent="0.2">
      <c r="A13">
        <v>2021</v>
      </c>
      <c r="B13" s="34">
        <v>5112</v>
      </c>
      <c r="C13" s="9" t="s">
        <v>22</v>
      </c>
      <c r="D13" s="9">
        <v>217</v>
      </c>
      <c r="E13" s="9">
        <f>VLOOKUP(B13,'2015'!$B$2:$G$338,6,FALSE)</f>
        <v>1.26711958199119E-2</v>
      </c>
      <c r="F13">
        <f t="shared" si="0"/>
        <v>923269.29853721568</v>
      </c>
      <c r="G13" s="2">
        <f>SUM(F13,D13)</f>
        <v>923486.29853721568</v>
      </c>
    </row>
    <row r="14" spans="1:7" x14ac:dyDescent="0.2">
      <c r="A14">
        <v>2021</v>
      </c>
      <c r="B14" s="34">
        <v>5113</v>
      </c>
      <c r="C14" s="9" t="s">
        <v>23</v>
      </c>
      <c r="D14" s="10">
        <v>18873</v>
      </c>
      <c r="E14" s="9">
        <f>VLOOKUP(B14,'2015'!$B$2:$G$338,6,FALSE)</f>
        <v>1.1491975514269418E-2</v>
      </c>
      <c r="F14">
        <f t="shared" si="0"/>
        <v>837347.02885683556</v>
      </c>
      <c r="G14" s="2">
        <f>SUM(F14,D14)</f>
        <v>856220.02885683556</v>
      </c>
    </row>
    <row r="15" spans="1:7" x14ac:dyDescent="0.2">
      <c r="A15">
        <v>2021</v>
      </c>
      <c r="B15" s="34">
        <v>5177</v>
      </c>
      <c r="C15" s="9" t="s">
        <v>24</v>
      </c>
      <c r="D15" s="10">
        <v>31823</v>
      </c>
      <c r="E15" s="9">
        <f>VLOOKUP(B15,'2015'!$B$2:$G$338,6,FALSE)</f>
        <v>1.3302968410463039E-2</v>
      </c>
      <c r="F15">
        <f t="shared" si="0"/>
        <v>969302.54155573016</v>
      </c>
      <c r="G15" s="2">
        <f>SUM(F15,D15)</f>
        <v>1001125.5415557302</v>
      </c>
    </row>
    <row r="16" spans="1:7" x14ac:dyDescent="0.2">
      <c r="A16">
        <v>2021</v>
      </c>
      <c r="B16" s="34">
        <v>5178</v>
      </c>
      <c r="C16" s="9" t="s">
        <v>25</v>
      </c>
      <c r="D16" s="10">
        <v>24651</v>
      </c>
      <c r="E16" s="9">
        <f>VLOOKUP(B16,'2015'!$B$2:$G$338,6,FALSE)</f>
        <v>2.1732025416889681E-2</v>
      </c>
      <c r="F16">
        <f t="shared" si="0"/>
        <v>1583474.2156627947</v>
      </c>
      <c r="G16" s="2">
        <f>SUM(F16,D16)</f>
        <v>1608125.2156627947</v>
      </c>
    </row>
    <row r="17" spans="1:7" x14ac:dyDescent="0.2">
      <c r="A17">
        <v>2021</v>
      </c>
      <c r="B17" s="34">
        <v>5179</v>
      </c>
      <c r="C17" s="9" t="s">
        <v>26</v>
      </c>
      <c r="D17" s="10">
        <v>17491</v>
      </c>
      <c r="E17" s="9">
        <f>VLOOKUP(B17,'2015'!$B$2:$G$338,6,FALSE)</f>
        <v>1.1857958753272873E-2</v>
      </c>
      <c r="F17">
        <f t="shared" si="0"/>
        <v>864013.89543781837</v>
      </c>
      <c r="G17" s="2">
        <f>SUM(F17,D17)</f>
        <v>881504.89543781837</v>
      </c>
    </row>
    <row r="18" spans="1:7" x14ac:dyDescent="0.2">
      <c r="A18">
        <v>2021</v>
      </c>
      <c r="B18" s="34">
        <v>5180</v>
      </c>
      <c r="C18" s="9" t="s">
        <v>27</v>
      </c>
      <c r="D18" s="10">
        <v>3285</v>
      </c>
      <c r="E18" s="9">
        <f>VLOOKUP(B18,'2015'!$B$2:$G$338,6,FALSE)</f>
        <v>1.6155185392222552E-2</v>
      </c>
      <c r="F18">
        <f t="shared" si="0"/>
        <v>1177125.418689938</v>
      </c>
      <c r="G18" s="2">
        <f>SUM(F18,D18)</f>
        <v>1180410.418689938</v>
      </c>
    </row>
    <row r="19" spans="1:7" x14ac:dyDescent="0.2">
      <c r="A19">
        <v>2021</v>
      </c>
      <c r="B19" s="34">
        <v>5404</v>
      </c>
      <c r="C19" s="9" t="s">
        <v>28</v>
      </c>
      <c r="D19" s="10">
        <v>12183</v>
      </c>
      <c r="E19" s="9">
        <f>VLOOKUP(B19,'2015'!$B$2:$G$338,6,FALSE)</f>
        <v>1.896247337209666E-2</v>
      </c>
      <c r="F19">
        <f t="shared" si="0"/>
        <v>1381674.6057443565</v>
      </c>
      <c r="G19" s="2">
        <f>SUM(F19,D19)</f>
        <v>1393857.6057443565</v>
      </c>
    </row>
    <row r="20" spans="1:7" x14ac:dyDescent="0.2">
      <c r="A20">
        <v>2021</v>
      </c>
      <c r="B20" s="34">
        <v>5406</v>
      </c>
      <c r="C20" s="9" t="s">
        <v>29</v>
      </c>
      <c r="D20" s="10">
        <v>34467</v>
      </c>
      <c r="E20" s="9">
        <f>VLOOKUP(B20,'2015'!$B$2:$G$338,6,FALSE)</f>
        <v>0.18385655811930474</v>
      </c>
      <c r="F20">
        <f t="shared" si="0"/>
        <v>13396455.8561654</v>
      </c>
      <c r="G20" s="2">
        <f>SUM(F20,D20)</f>
        <v>13430922.8561654</v>
      </c>
    </row>
    <row r="21" spans="1:7" x14ac:dyDescent="0.2">
      <c r="A21">
        <v>2021</v>
      </c>
      <c r="B21" s="34">
        <v>5596</v>
      </c>
      <c r="C21" s="9" t="s">
        <v>30</v>
      </c>
      <c r="D21" s="10">
        <v>67185</v>
      </c>
      <c r="E21" s="9">
        <f>VLOOKUP(B21,'2015'!$B$2:$G$338,6,FALSE)</f>
        <v>1.6026551225248188E-2</v>
      </c>
      <c r="F21">
        <f t="shared" si="0"/>
        <v>1167752.6665994283</v>
      </c>
      <c r="G21" s="2">
        <f>SUM(F21,D21)</f>
        <v>1234937.6665994283</v>
      </c>
    </row>
    <row r="22" spans="1:7" x14ac:dyDescent="0.2">
      <c r="A22">
        <v>2021</v>
      </c>
      <c r="B22" s="34">
        <v>5600</v>
      </c>
      <c r="C22" s="9" t="s">
        <v>31</v>
      </c>
      <c r="D22" s="10">
        <v>60718</v>
      </c>
      <c r="E22" s="9">
        <f>VLOOKUP(B22,'2015'!$B$2:$G$338,6,FALSE)</f>
        <v>1.8681545381490052E-2</v>
      </c>
      <c r="F22">
        <f t="shared" si="0"/>
        <v>1361205.1731420092</v>
      </c>
      <c r="G22" s="2">
        <f>SUM(F22,D22)</f>
        <v>1421923.1731420092</v>
      </c>
    </row>
    <row r="23" spans="1:7" x14ac:dyDescent="0.2">
      <c r="A23">
        <v>2021</v>
      </c>
      <c r="B23" s="34">
        <v>5604</v>
      </c>
      <c r="C23" s="9" t="s">
        <v>32</v>
      </c>
      <c r="D23" s="10">
        <v>47805</v>
      </c>
      <c r="E23" s="9">
        <f>VLOOKUP(B23,'2015'!$B$2:$G$338,6,FALSE)</f>
        <v>1.7146633455502592E-2</v>
      </c>
      <c r="F23">
        <f t="shared" si="0"/>
        <v>1249365.9215540953</v>
      </c>
      <c r="G23" s="2">
        <f>SUM(F23,D23)</f>
        <v>1297170.9215540953</v>
      </c>
    </row>
    <row r="24" spans="1:7" x14ac:dyDescent="0.2">
      <c r="A24">
        <v>2021</v>
      </c>
      <c r="B24" s="34">
        <v>5608</v>
      </c>
      <c r="C24" s="9" t="s">
        <v>33</v>
      </c>
      <c r="D24" s="10">
        <v>1368</v>
      </c>
      <c r="E24" s="9">
        <f>VLOOKUP(B24,'2015'!$B$2:$G$338,6,FALSE)</f>
        <v>1.6119618443439378E-2</v>
      </c>
      <c r="F24">
        <f t="shared" si="0"/>
        <v>1174533.8817647058</v>
      </c>
      <c r="G24" s="2">
        <f>SUM(F24,D24)</f>
        <v>1175901.8817647058</v>
      </c>
    </row>
    <row r="25" spans="1:7" x14ac:dyDescent="0.2">
      <c r="A25">
        <v>2021</v>
      </c>
      <c r="B25" s="34">
        <v>5609</v>
      </c>
      <c r="C25" s="9" t="s">
        <v>34</v>
      </c>
      <c r="D25" s="10">
        <v>40798</v>
      </c>
      <c r="E25" s="9">
        <f>VLOOKUP(B25,'2015'!$B$2:$G$338,6,FALSE)</f>
        <v>1.7566288039122847E-2</v>
      </c>
      <c r="F25">
        <f t="shared" si="0"/>
        <v>1279943.4770234965</v>
      </c>
      <c r="G25" s="2">
        <f>SUM(F25,D25)</f>
        <v>1320741.4770234965</v>
      </c>
    </row>
    <row r="26" spans="1:7" x14ac:dyDescent="0.2">
      <c r="A26">
        <v>2021</v>
      </c>
      <c r="B26" s="34">
        <v>5612</v>
      </c>
      <c r="C26" s="9" t="s">
        <v>35</v>
      </c>
      <c r="D26" s="10">
        <v>81891</v>
      </c>
      <c r="E26" s="9">
        <f>VLOOKUP(B26,'2015'!$B$2:$G$338,6,FALSE)</f>
        <v>3.6267907610125244E-2</v>
      </c>
      <c r="F26">
        <f t="shared" si="0"/>
        <v>2642611.3284425349</v>
      </c>
      <c r="G26" s="2">
        <f>SUM(F26,D26)</f>
        <v>2724502.3284425349</v>
      </c>
    </row>
    <row r="27" spans="1:7" x14ac:dyDescent="0.2">
      <c r="A27">
        <v>2021</v>
      </c>
      <c r="B27" s="34">
        <v>5624</v>
      </c>
      <c r="C27" s="9" t="s">
        <v>36</v>
      </c>
      <c r="D27" s="10">
        <v>13279</v>
      </c>
      <c r="E27" s="9">
        <f>VLOOKUP(B27,'2015'!$B$2:$G$338,6,FALSE)</f>
        <v>1.2935059642807353E-2</v>
      </c>
      <c r="F27">
        <f t="shared" si="0"/>
        <v>942495.37397132779</v>
      </c>
      <c r="G27" s="2">
        <f>SUM(F27,D27)</f>
        <v>955774.37397132779</v>
      </c>
    </row>
    <row r="28" spans="1:7" x14ac:dyDescent="0.2">
      <c r="A28">
        <v>2021</v>
      </c>
      <c r="B28" s="34">
        <v>5626</v>
      </c>
      <c r="C28" s="9" t="s">
        <v>37</v>
      </c>
      <c r="D28" s="10">
        <v>13464</v>
      </c>
      <c r="E28" s="9">
        <f>VLOOKUP(B28,'2015'!$B$2:$G$338,6,FALSE)</f>
        <v>1.5028308480402224E-2</v>
      </c>
      <c r="F28">
        <f t="shared" si="0"/>
        <v>1095017.0785852729</v>
      </c>
      <c r="G28" s="2">
        <f>SUM(F28,D28)</f>
        <v>1108481.0785852729</v>
      </c>
    </row>
    <row r="29" spans="1:7" x14ac:dyDescent="0.2">
      <c r="A29">
        <v>2021</v>
      </c>
      <c r="B29" s="34">
        <v>5634</v>
      </c>
      <c r="C29" s="9" t="s">
        <v>38</v>
      </c>
      <c r="D29" s="10">
        <v>117283</v>
      </c>
      <c r="E29" s="9">
        <f>VLOOKUP(B29,'2015'!$B$2:$G$338,6,FALSE)</f>
        <v>2.1955563800654488E-2</v>
      </c>
      <c r="F29">
        <f t="shared" si="0"/>
        <v>1599762.0333011549</v>
      </c>
      <c r="G29" s="2">
        <f>SUM(F29,D29)</f>
        <v>1717045.0333011549</v>
      </c>
    </row>
    <row r="30" spans="1:7" x14ac:dyDescent="0.2">
      <c r="A30">
        <v>2021</v>
      </c>
      <c r="B30" s="34">
        <v>5638</v>
      </c>
      <c r="C30" s="9" t="s">
        <v>39</v>
      </c>
      <c r="D30" s="10">
        <v>22344</v>
      </c>
      <c r="E30" s="9">
        <f>VLOOKUP(B30,'2015'!$B$2:$G$338,6,FALSE)</f>
        <v>1.1550715204419101E-2</v>
      </c>
      <c r="F30">
        <f t="shared" si="0"/>
        <v>841627.01578873734</v>
      </c>
      <c r="G30" s="2">
        <f>SUM(F30,D30)</f>
        <v>863971.01578873734</v>
      </c>
    </row>
    <row r="31" spans="1:7" x14ac:dyDescent="0.2">
      <c r="A31">
        <v>2021</v>
      </c>
      <c r="B31" s="34">
        <v>5655</v>
      </c>
      <c r="C31" s="9" t="s">
        <v>40</v>
      </c>
      <c r="D31" s="10">
        <v>2248</v>
      </c>
      <c r="E31" s="9">
        <f>VLOOKUP(B31,'2015'!$B$2:$G$338,6,FALSE)</f>
        <v>5.1934606302538574E-3</v>
      </c>
      <c r="F31">
        <f t="shared" si="0"/>
        <v>378414.38339546259</v>
      </c>
      <c r="G31" s="2">
        <f>SUM(F31,D31)</f>
        <v>380662.38339546259</v>
      </c>
    </row>
    <row r="32" spans="1:7" x14ac:dyDescent="0.2">
      <c r="A32">
        <v>2021</v>
      </c>
      <c r="B32" s="34">
        <v>4930</v>
      </c>
      <c r="C32" s="15" t="s">
        <v>353</v>
      </c>
      <c r="D32" s="10">
        <v>8437</v>
      </c>
      <c r="E32" s="9">
        <f>VLOOKUP(B32,'2015'!$B$2:$G$338,6,FALSE)</f>
        <v>8.169597553666752E-3</v>
      </c>
      <c r="F32">
        <f t="shared" si="0"/>
        <v>595266.51706008427</v>
      </c>
      <c r="G32" s="2">
        <f>SUM(F32,D32)</f>
        <v>603703.51706008427</v>
      </c>
    </row>
    <row r="33" spans="1:7" x14ac:dyDescent="0.2">
      <c r="A33">
        <v>2021</v>
      </c>
      <c r="B33" s="34">
        <v>5671</v>
      </c>
      <c r="C33" s="9" t="s">
        <v>42</v>
      </c>
      <c r="D33" s="10">
        <v>24522</v>
      </c>
      <c r="E33" s="9">
        <f>VLOOKUP(B33,'2015'!$B$2:$G$338,6,FALSE)</f>
        <v>6.9584842964396064E-3</v>
      </c>
      <c r="F33">
        <f t="shared" si="0"/>
        <v>507020.41121961718</v>
      </c>
      <c r="G33" s="2">
        <f>SUM(F33,D33)</f>
        <v>531542.41121961712</v>
      </c>
    </row>
    <row r="34" spans="1:7" x14ac:dyDescent="0.2">
      <c r="A34">
        <v>2021</v>
      </c>
      <c r="B34" s="34">
        <v>5682</v>
      </c>
      <c r="C34" s="9" t="s">
        <v>43</v>
      </c>
      <c r="D34" s="10">
        <v>157257</v>
      </c>
      <c r="E34" s="9">
        <f>VLOOKUP(B34,'2015'!$B$2:$G$338,6,FALSE)</f>
        <v>4.9492217068518966E-2</v>
      </c>
      <c r="F34">
        <f t="shared" si="0"/>
        <v>3606182.4933758164</v>
      </c>
      <c r="G34" s="2">
        <f>SUM(F34,D34)</f>
        <v>3763439.4933758164</v>
      </c>
    </row>
    <row r="35" spans="1:7" x14ac:dyDescent="0.2">
      <c r="A35">
        <v>2021</v>
      </c>
      <c r="B35" s="34">
        <v>5688</v>
      </c>
      <c r="C35" s="9" t="s">
        <v>44</v>
      </c>
      <c r="D35" s="10">
        <v>7476</v>
      </c>
      <c r="E35" s="9">
        <f>VLOOKUP(B35,'2015'!$B$2:$G$338,6,FALSE)</f>
        <v>5.5749366285281409E-3</v>
      </c>
      <c r="F35">
        <f t="shared" si="0"/>
        <v>406210.10862464865</v>
      </c>
      <c r="G35" s="2">
        <f>SUM(F35,D35)</f>
        <v>413686.10862464865</v>
      </c>
    </row>
    <row r="36" spans="1:7" x14ac:dyDescent="0.2">
      <c r="A36">
        <v>2021</v>
      </c>
      <c r="B36" s="34">
        <v>9034</v>
      </c>
      <c r="C36" s="9" t="s">
        <v>45</v>
      </c>
      <c r="D36" s="10">
        <v>92874</v>
      </c>
      <c r="E36" s="9">
        <f>VLOOKUP(B36,'2015'!$B$2:$G$338,6,FALSE)</f>
        <v>1.0344603895185109E-2</v>
      </c>
      <c r="F36">
        <f t="shared" si="0"/>
        <v>753745.37002611882</v>
      </c>
      <c r="G36" s="2">
        <f>SUM(F36,D36)</f>
        <v>846619.37002611882</v>
      </c>
    </row>
    <row r="37" spans="1:7" x14ac:dyDescent="0.2">
      <c r="A37">
        <v>2021</v>
      </c>
      <c r="B37" s="34">
        <v>9042</v>
      </c>
      <c r="C37" s="9" t="s">
        <v>46</v>
      </c>
      <c r="D37" s="10">
        <v>6244</v>
      </c>
      <c r="E37" s="9">
        <f>VLOOKUP(B37,'2015'!$B$2:$G$338,6,FALSE)</f>
        <v>6.7431128100618474E-3</v>
      </c>
      <c r="F37">
        <f t="shared" si="0"/>
        <v>491327.6633543811</v>
      </c>
      <c r="G37" s="2">
        <f>SUM(F37,D37)</f>
        <v>497571.6633543811</v>
      </c>
    </row>
    <row r="38" spans="1:7" x14ac:dyDescent="0.2">
      <c r="A38">
        <v>2021</v>
      </c>
      <c r="B38" s="34">
        <v>9047</v>
      </c>
      <c r="C38" s="9" t="s">
        <v>47</v>
      </c>
      <c r="D38" s="10">
        <v>16296</v>
      </c>
      <c r="E38" s="9">
        <f>VLOOKUP(B38,'2015'!$B$2:$G$338,6,FALSE)</f>
        <v>5.8226437167554438E-3</v>
      </c>
      <c r="F38">
        <f t="shared" si="0"/>
        <v>424258.94575420604</v>
      </c>
      <c r="G38" s="2">
        <f>SUM(F38,D38)</f>
        <v>440554.94575420604</v>
      </c>
    </row>
    <row r="39" spans="1:7" x14ac:dyDescent="0.2">
      <c r="A39">
        <v>2021</v>
      </c>
      <c r="B39" s="34">
        <v>9055</v>
      </c>
      <c r="C39" s="9" t="s">
        <v>49</v>
      </c>
      <c r="D39" s="10">
        <v>78581</v>
      </c>
      <c r="E39" s="9">
        <f>VLOOKUP(B39,'2015'!$B$2:$G$338,6,FALSE)</f>
        <v>6.5073794114995712E-3</v>
      </c>
      <c r="F39">
        <f t="shared" si="0"/>
        <v>474151.27269436367</v>
      </c>
      <c r="G39" s="2">
        <f>SUM(F39,D39)</f>
        <v>552732.27269436372</v>
      </c>
    </row>
    <row r="40" spans="1:7" x14ac:dyDescent="0.2">
      <c r="A40">
        <v>2021</v>
      </c>
      <c r="B40" s="34">
        <v>9056</v>
      </c>
      <c r="C40" s="9" t="s">
        <v>50</v>
      </c>
      <c r="D40" s="10">
        <v>27704</v>
      </c>
      <c r="E40" s="9">
        <f>VLOOKUP(B40,'2015'!$B$2:$G$338,6,FALSE)</f>
        <v>5.467107024003175E-3</v>
      </c>
      <c r="F40">
        <f t="shared" si="0"/>
        <v>398353.25243315444</v>
      </c>
      <c r="G40" s="2">
        <f>SUM(F40,D40)</f>
        <v>426057.25243315444</v>
      </c>
    </row>
    <row r="41" spans="1:7" x14ac:dyDescent="0.2">
      <c r="A41">
        <v>2021</v>
      </c>
      <c r="B41" s="34">
        <v>9273</v>
      </c>
      <c r="C41" s="9" t="s">
        <v>51</v>
      </c>
      <c r="D41" s="10">
        <v>2866</v>
      </c>
      <c r="E41" s="9">
        <f>VLOOKUP(B41,'2015'!$B$2:$G$338,6,FALSE)</f>
        <v>1.0952362708866464E-2</v>
      </c>
      <c r="F41">
        <f t="shared" si="0"/>
        <v>798028.88213991828</v>
      </c>
      <c r="G41" s="2">
        <f>SUM(F41,D41)</f>
        <v>800894.88213991828</v>
      </c>
    </row>
    <row r="42" spans="1:7" x14ac:dyDescent="0.2">
      <c r="A42">
        <v>2021</v>
      </c>
      <c r="B42" s="34">
        <v>9274</v>
      </c>
      <c r="C42" s="9" t="s">
        <v>52</v>
      </c>
      <c r="D42" s="10">
        <v>36147</v>
      </c>
      <c r="E42" s="9">
        <f>VLOOKUP(B42,'2015'!$B$2:$G$338,6,FALSE)</f>
        <v>2.9805855585749469E-2</v>
      </c>
      <c r="F42">
        <f t="shared" si="0"/>
        <v>2171762.7736217715</v>
      </c>
      <c r="G42" s="2">
        <f>SUM(F42,D42)</f>
        <v>2207909.7736217715</v>
      </c>
    </row>
    <row r="43" spans="1:7" x14ac:dyDescent="0.2">
      <c r="A43">
        <v>2021</v>
      </c>
      <c r="B43" s="34">
        <v>9303</v>
      </c>
      <c r="C43" s="9" t="s">
        <v>53</v>
      </c>
      <c r="D43" s="10">
        <v>11160</v>
      </c>
      <c r="E43" s="9">
        <f>VLOOKUP(B43,'2015'!$B$2:$G$338,6,FALSE)</f>
        <v>2.0704036574243728E-2</v>
      </c>
      <c r="F43">
        <f t="shared" si="0"/>
        <v>1508571.2190440893</v>
      </c>
      <c r="G43" s="2">
        <f>SUM(F43,D43)</f>
        <v>1519731.2190440893</v>
      </c>
    </row>
    <row r="44" spans="1:7" x14ac:dyDescent="0.2">
      <c r="A44">
        <v>2021</v>
      </c>
      <c r="B44" s="34">
        <v>9305</v>
      </c>
      <c r="C44" s="9" t="s">
        <v>55</v>
      </c>
      <c r="D44" s="10">
        <v>23162</v>
      </c>
      <c r="E44" s="9">
        <f>VLOOKUP(B44,'2015'!$B$2:$G$338,6,FALSE)</f>
        <v>8.0967373200673699E-3</v>
      </c>
      <c r="F44">
        <f t="shared" si="0"/>
        <v>589957.65610310575</v>
      </c>
      <c r="G44" s="2">
        <f>SUM(F44,D44)</f>
        <v>613119.65610310575</v>
      </c>
    </row>
    <row r="45" spans="1:7" x14ac:dyDescent="0.2">
      <c r="A45">
        <v>2021</v>
      </c>
      <c r="B45" s="34">
        <v>9507</v>
      </c>
      <c r="C45" s="9" t="s">
        <v>58</v>
      </c>
      <c r="D45" s="10">
        <v>85542</v>
      </c>
      <c r="E45" s="9">
        <f>VLOOKUP(B45,'2015'!$B$2:$G$338,6,FALSE)</f>
        <v>2.7714554409320073E-2</v>
      </c>
      <c r="F45">
        <f t="shared" si="0"/>
        <v>2019382.9826664575</v>
      </c>
      <c r="G45" s="2">
        <f>SUM(F45,D45)</f>
        <v>2104924.9826664575</v>
      </c>
    </row>
    <row r="46" spans="1:7" x14ac:dyDescent="0.2">
      <c r="A46">
        <v>2021</v>
      </c>
      <c r="B46" s="34">
        <v>4828</v>
      </c>
      <c r="C46" s="9" t="s">
        <v>59</v>
      </c>
      <c r="D46" s="10">
        <v>4192926</v>
      </c>
      <c r="E46" s="9">
        <f>VLOOKUP(B46,'2015'!$B$2:$G$338,6,FALSE)</f>
        <v>0</v>
      </c>
      <c r="F46">
        <f t="shared" si="0"/>
        <v>0</v>
      </c>
      <c r="G46" s="2">
        <f>SUM(F46,D46)</f>
        <v>4192926</v>
      </c>
    </row>
    <row r="47" spans="1:7" x14ac:dyDescent="0.2">
      <c r="A47">
        <v>2021</v>
      </c>
      <c r="B47" s="34">
        <v>4829</v>
      </c>
      <c r="C47" s="9" t="s">
        <v>60</v>
      </c>
      <c r="D47" s="10">
        <v>1982353</v>
      </c>
      <c r="E47" s="9">
        <f>VLOOKUP(B47,'2015'!$B$2:$G$338,6,FALSE)</f>
        <v>0</v>
      </c>
      <c r="F47">
        <f t="shared" si="0"/>
        <v>0</v>
      </c>
      <c r="G47" s="2">
        <f>SUM(F47,D47)</f>
        <v>1982353</v>
      </c>
    </row>
    <row r="48" spans="1:7" x14ac:dyDescent="0.2">
      <c r="A48">
        <v>2021</v>
      </c>
      <c r="B48" s="34">
        <v>4871</v>
      </c>
      <c r="C48" s="9" t="s">
        <v>61</v>
      </c>
      <c r="D48" s="10">
        <v>510604</v>
      </c>
      <c r="E48" s="9">
        <f>VLOOKUP(B48,'2015'!$B$2:$G$338,6,FALSE)</f>
        <v>0</v>
      </c>
      <c r="F48">
        <f t="shared" si="0"/>
        <v>0</v>
      </c>
      <c r="G48" s="2">
        <f>SUM(F48,D48)</f>
        <v>510604</v>
      </c>
    </row>
    <row r="49" spans="1:7" x14ac:dyDescent="0.2">
      <c r="A49">
        <v>2021</v>
      </c>
      <c r="B49" s="34">
        <v>4882</v>
      </c>
      <c r="C49" s="9" t="s">
        <v>62</v>
      </c>
      <c r="D49" s="10">
        <v>2883682</v>
      </c>
      <c r="E49" s="9">
        <f>VLOOKUP(B49,'2015'!$B$2:$G$338,6,FALSE)</f>
        <v>0</v>
      </c>
      <c r="F49">
        <f t="shared" si="0"/>
        <v>0</v>
      </c>
      <c r="G49" s="2">
        <f>SUM(F49,D49)</f>
        <v>2883682</v>
      </c>
    </row>
    <row r="50" spans="1:7" x14ac:dyDescent="0.2">
      <c r="A50">
        <v>2021</v>
      </c>
      <c r="B50" s="34">
        <v>4912</v>
      </c>
      <c r="C50" s="9" t="s">
        <v>63</v>
      </c>
      <c r="D50" s="10">
        <v>521436</v>
      </c>
      <c r="E50" s="9">
        <f>VLOOKUP(B50,'2015'!$B$2:$G$338,6,FALSE)</f>
        <v>0</v>
      </c>
      <c r="F50">
        <f t="shared" si="0"/>
        <v>0</v>
      </c>
      <c r="G50" s="2">
        <f>SUM(F50,D50)</f>
        <v>521436</v>
      </c>
    </row>
    <row r="51" spans="1:7" x14ac:dyDescent="0.2">
      <c r="A51">
        <v>2021</v>
      </c>
      <c r="B51" s="34">
        <v>4977</v>
      </c>
      <c r="C51" s="9" t="s">
        <v>64</v>
      </c>
      <c r="D51" s="10">
        <v>218376</v>
      </c>
      <c r="E51" s="9">
        <f>VLOOKUP(B51,'2015'!$B$2:$G$338,6,FALSE)</f>
        <v>0</v>
      </c>
      <c r="F51">
        <f t="shared" si="0"/>
        <v>0</v>
      </c>
      <c r="G51" s="2">
        <f>SUM(F51,D51)</f>
        <v>218376</v>
      </c>
    </row>
    <row r="52" spans="1:7" x14ac:dyDescent="0.2">
      <c r="A52">
        <v>2021</v>
      </c>
      <c r="B52" s="34">
        <v>4978</v>
      </c>
      <c r="C52" s="9" t="s">
        <v>65</v>
      </c>
      <c r="D52" s="10">
        <v>33315370</v>
      </c>
      <c r="E52" s="9">
        <f>VLOOKUP(B52,'2015'!$B$2:$G$338,6,FALSE)</f>
        <v>0</v>
      </c>
      <c r="F52">
        <f t="shared" si="0"/>
        <v>0</v>
      </c>
      <c r="G52" s="2">
        <f>SUM(F52,D52)</f>
        <v>33315370</v>
      </c>
    </row>
    <row r="53" spans="1:7" x14ac:dyDescent="0.2">
      <c r="A53">
        <v>2021</v>
      </c>
      <c r="B53" s="34">
        <v>4979</v>
      </c>
      <c r="C53" s="9" t="s">
        <v>66</v>
      </c>
      <c r="D53" s="10">
        <v>110096</v>
      </c>
      <c r="E53" s="9">
        <f>VLOOKUP(B53,'2015'!$B$2:$G$338,6,FALSE)</f>
        <v>0</v>
      </c>
      <c r="F53">
        <f t="shared" si="0"/>
        <v>0</v>
      </c>
      <c r="G53" s="2">
        <f>SUM(F53,D53)</f>
        <v>110096</v>
      </c>
    </row>
    <row r="54" spans="1:7" x14ac:dyDescent="0.2">
      <c r="A54">
        <v>2021</v>
      </c>
      <c r="B54" s="34">
        <v>4980</v>
      </c>
      <c r="C54" s="9" t="s">
        <v>67</v>
      </c>
      <c r="D54" s="10">
        <v>2583635</v>
      </c>
      <c r="E54" s="9">
        <f>VLOOKUP(B54,'2015'!$B$2:$G$338,6,FALSE)</f>
        <v>0</v>
      </c>
      <c r="F54">
        <f t="shared" si="0"/>
        <v>0</v>
      </c>
      <c r="G54" s="2">
        <f>SUM(F54,D54)</f>
        <v>2583635</v>
      </c>
    </row>
    <row r="55" spans="1:7" x14ac:dyDescent="0.2">
      <c r="A55">
        <v>2021</v>
      </c>
      <c r="B55" s="34">
        <v>4981</v>
      </c>
      <c r="C55" s="9" t="s">
        <v>68</v>
      </c>
      <c r="D55" s="10">
        <v>5390604</v>
      </c>
      <c r="E55" s="9">
        <f>VLOOKUP(B55,'2015'!$B$2:$G$338,6,FALSE)</f>
        <v>0</v>
      </c>
      <c r="F55">
        <f t="shared" si="0"/>
        <v>0</v>
      </c>
      <c r="G55" s="2">
        <f>SUM(F55,D55)</f>
        <v>5390604</v>
      </c>
    </row>
    <row r="56" spans="1:7" x14ac:dyDescent="0.2">
      <c r="A56">
        <v>2021</v>
      </c>
      <c r="B56" s="34">
        <v>4982</v>
      </c>
      <c r="C56" s="9" t="s">
        <v>69</v>
      </c>
      <c r="D56" s="10">
        <v>51045464</v>
      </c>
      <c r="E56" s="9">
        <f>VLOOKUP(B56,'2015'!$B$2:$G$338,6,FALSE)</f>
        <v>0</v>
      </c>
      <c r="F56">
        <f t="shared" si="0"/>
        <v>0</v>
      </c>
      <c r="G56" s="2">
        <f>SUM(F56,D56)</f>
        <v>51045464</v>
      </c>
    </row>
    <row r="57" spans="1:7" x14ac:dyDescent="0.2">
      <c r="A57">
        <v>2021</v>
      </c>
      <c r="B57" s="34">
        <v>4983</v>
      </c>
      <c r="C57" s="9" t="s">
        <v>70</v>
      </c>
      <c r="D57" s="10">
        <v>6679425</v>
      </c>
      <c r="E57" s="9">
        <f>VLOOKUP(B57,'2015'!$B$2:$G$338,6,FALSE)</f>
        <v>0</v>
      </c>
      <c r="F57">
        <f t="shared" si="0"/>
        <v>0</v>
      </c>
      <c r="G57" s="2">
        <f>SUM(F57,D57)</f>
        <v>6679425</v>
      </c>
    </row>
    <row r="58" spans="1:7" x14ac:dyDescent="0.2">
      <c r="A58">
        <v>2021</v>
      </c>
      <c r="B58" s="34">
        <v>4984</v>
      </c>
      <c r="C58" s="9" t="s">
        <v>71</v>
      </c>
      <c r="D58" s="10">
        <v>2408288</v>
      </c>
      <c r="E58" s="9">
        <f>VLOOKUP(B58,'2015'!$B$2:$G$338,6,FALSE)</f>
        <v>0</v>
      </c>
      <c r="F58">
        <f t="shared" si="0"/>
        <v>0</v>
      </c>
      <c r="G58" s="2">
        <f>SUM(F58,D58)</f>
        <v>2408288</v>
      </c>
    </row>
    <row r="59" spans="1:7" x14ac:dyDescent="0.2">
      <c r="A59">
        <v>2021</v>
      </c>
      <c r="B59" s="34">
        <v>4985</v>
      </c>
      <c r="C59" s="9" t="s">
        <v>72</v>
      </c>
      <c r="D59" s="10">
        <v>4876374</v>
      </c>
      <c r="E59" s="9">
        <f>VLOOKUP(B59,'2015'!$B$2:$G$338,6,FALSE)</f>
        <v>0</v>
      </c>
      <c r="F59">
        <f t="shared" si="0"/>
        <v>0</v>
      </c>
      <c r="G59" s="2">
        <f>SUM(F59,D59)</f>
        <v>4876374</v>
      </c>
    </row>
    <row r="60" spans="1:7" x14ac:dyDescent="0.2">
      <c r="A60">
        <v>2021</v>
      </c>
      <c r="B60" s="34">
        <v>4986</v>
      </c>
      <c r="C60" s="9" t="s">
        <v>73</v>
      </c>
      <c r="D60" s="10">
        <v>5592545</v>
      </c>
      <c r="E60" s="9">
        <f>VLOOKUP(B60,'2015'!$B$2:$G$338,6,FALSE)</f>
        <v>0</v>
      </c>
      <c r="F60">
        <f t="shared" si="0"/>
        <v>0</v>
      </c>
      <c r="G60" s="2">
        <f>SUM(F60,D60)</f>
        <v>5592545</v>
      </c>
    </row>
    <row r="61" spans="1:7" x14ac:dyDescent="0.2">
      <c r="A61">
        <v>2021</v>
      </c>
      <c r="B61" s="34">
        <v>4987</v>
      </c>
      <c r="C61" s="9" t="s">
        <v>74</v>
      </c>
      <c r="D61" s="10">
        <v>696995</v>
      </c>
      <c r="E61" s="9">
        <f>VLOOKUP(B61,'2015'!$B$2:$G$338,6,FALSE)</f>
        <v>0</v>
      </c>
      <c r="F61">
        <f t="shared" si="0"/>
        <v>0</v>
      </c>
      <c r="G61" s="2">
        <f>SUM(F61,D61)</f>
        <v>696995</v>
      </c>
    </row>
    <row r="62" spans="1:7" x14ac:dyDescent="0.2">
      <c r="A62">
        <v>2021</v>
      </c>
      <c r="B62" s="34">
        <v>4988</v>
      </c>
      <c r="C62" s="9" t="s">
        <v>75</v>
      </c>
      <c r="D62" s="10">
        <v>2555920</v>
      </c>
      <c r="E62" s="9">
        <f>VLOOKUP(B62,'2015'!$B$2:$G$338,6,FALSE)</f>
        <v>0</v>
      </c>
      <c r="F62">
        <f t="shared" si="0"/>
        <v>0</v>
      </c>
      <c r="G62" s="2">
        <f>SUM(F62,D62)</f>
        <v>2555920</v>
      </c>
    </row>
    <row r="63" spans="1:7" x14ac:dyDescent="0.2">
      <c r="A63">
        <v>2021</v>
      </c>
      <c r="B63" s="34">
        <v>4990</v>
      </c>
      <c r="C63" s="9" t="s">
        <v>76</v>
      </c>
      <c r="D63" s="10">
        <v>160178</v>
      </c>
      <c r="E63" s="9">
        <f>VLOOKUP(B63,'2015'!$B$2:$G$338,6,FALSE)</f>
        <v>0</v>
      </c>
      <c r="F63">
        <f t="shared" si="0"/>
        <v>0</v>
      </c>
      <c r="G63" s="2">
        <f>SUM(F63,D63)</f>
        <v>160178</v>
      </c>
    </row>
    <row r="64" spans="1:7" x14ac:dyDescent="0.2">
      <c r="A64">
        <v>2021</v>
      </c>
      <c r="B64" s="34">
        <v>4991</v>
      </c>
      <c r="C64" s="9" t="s">
        <v>77</v>
      </c>
      <c r="D64" s="10">
        <v>1101088</v>
      </c>
      <c r="E64" s="9">
        <f>VLOOKUP(B64,'2015'!$B$2:$G$338,6,FALSE)</f>
        <v>0</v>
      </c>
      <c r="F64">
        <f t="shared" si="0"/>
        <v>0</v>
      </c>
      <c r="G64" s="2">
        <f>SUM(F64,D64)</f>
        <v>1101088</v>
      </c>
    </row>
    <row r="65" spans="1:7" x14ac:dyDescent="0.2">
      <c r="A65">
        <v>2021</v>
      </c>
      <c r="B65" s="34">
        <v>4992</v>
      </c>
      <c r="C65" s="9" t="s">
        <v>78</v>
      </c>
      <c r="D65" s="10">
        <v>288095</v>
      </c>
      <c r="E65" s="9">
        <f>VLOOKUP(B65,'2015'!$B$2:$G$338,6,FALSE)</f>
        <v>0</v>
      </c>
      <c r="F65">
        <f t="shared" si="0"/>
        <v>0</v>
      </c>
      <c r="G65" s="2">
        <f>SUM(F65,D65)</f>
        <v>288095</v>
      </c>
    </row>
    <row r="66" spans="1:7" x14ac:dyDescent="0.2">
      <c r="A66">
        <v>2021</v>
      </c>
      <c r="B66" s="34">
        <v>4993</v>
      </c>
      <c r="C66" s="9" t="s">
        <v>79</v>
      </c>
      <c r="D66" s="10">
        <v>836222</v>
      </c>
      <c r="E66" s="9">
        <f>VLOOKUP(B66,'2015'!$B$2:$G$338,6,FALSE)</f>
        <v>0</v>
      </c>
      <c r="F66">
        <f t="shared" si="0"/>
        <v>0</v>
      </c>
      <c r="G66" s="2">
        <f>SUM(F66,D66)</f>
        <v>836222</v>
      </c>
    </row>
    <row r="67" spans="1:7" x14ac:dyDescent="0.2">
      <c r="A67">
        <v>2021</v>
      </c>
      <c r="B67" s="34">
        <v>4994</v>
      </c>
      <c r="C67" s="9" t="s">
        <v>80</v>
      </c>
      <c r="D67" s="10">
        <v>197504</v>
      </c>
      <c r="E67" s="9">
        <f>VLOOKUP(B67,'2015'!$B$2:$G$338,6,FALSE)</f>
        <v>0</v>
      </c>
      <c r="F67">
        <f t="shared" ref="F67:F130" si="1">E67*$D$336</f>
        <v>0</v>
      </c>
      <c r="G67" s="2">
        <f>SUM(F67,D67)</f>
        <v>197504</v>
      </c>
    </row>
    <row r="68" spans="1:7" x14ac:dyDescent="0.2">
      <c r="A68">
        <v>2021</v>
      </c>
      <c r="B68" s="34">
        <v>4995</v>
      </c>
      <c r="C68" s="9" t="s">
        <v>81</v>
      </c>
      <c r="D68" s="10">
        <v>862081</v>
      </c>
      <c r="E68" s="9">
        <f>VLOOKUP(B68,'2015'!$B$2:$G$338,6,FALSE)</f>
        <v>0</v>
      </c>
      <c r="F68">
        <f t="shared" si="1"/>
        <v>0</v>
      </c>
      <c r="G68" s="2">
        <f>SUM(F68,D68)</f>
        <v>862081</v>
      </c>
    </row>
    <row r="69" spans="1:7" x14ac:dyDescent="0.2">
      <c r="A69">
        <v>2021</v>
      </c>
      <c r="B69" s="34">
        <v>4996</v>
      </c>
      <c r="C69" s="9" t="s">
        <v>82</v>
      </c>
      <c r="D69" s="10">
        <v>261574</v>
      </c>
      <c r="E69" s="9">
        <f>VLOOKUP(B69,'2015'!$B$2:$G$338,6,FALSE)</f>
        <v>0</v>
      </c>
      <c r="F69">
        <f t="shared" si="1"/>
        <v>0</v>
      </c>
      <c r="G69" s="2">
        <f>SUM(F69,D69)</f>
        <v>261574</v>
      </c>
    </row>
    <row r="70" spans="1:7" x14ac:dyDescent="0.2">
      <c r="A70">
        <v>2021</v>
      </c>
      <c r="B70" s="34">
        <v>4997</v>
      </c>
      <c r="C70" s="9" t="s">
        <v>83</v>
      </c>
      <c r="D70" s="10">
        <v>3793574</v>
      </c>
      <c r="E70" s="9">
        <f>VLOOKUP(B70,'2015'!$B$2:$G$338,6,FALSE)</f>
        <v>0</v>
      </c>
      <c r="F70">
        <f t="shared" si="1"/>
        <v>0</v>
      </c>
      <c r="G70" s="2">
        <f>SUM(F70,D70)</f>
        <v>3793574</v>
      </c>
    </row>
    <row r="71" spans="1:7" x14ac:dyDescent="0.2">
      <c r="A71">
        <v>2021</v>
      </c>
      <c r="B71" s="34">
        <v>4998</v>
      </c>
      <c r="C71" s="9" t="s">
        <v>84</v>
      </c>
      <c r="D71" s="10">
        <v>463150</v>
      </c>
      <c r="E71" s="9">
        <f>VLOOKUP(B71,'2015'!$B$2:$G$338,6,FALSE)</f>
        <v>0</v>
      </c>
      <c r="F71">
        <f t="shared" si="1"/>
        <v>0</v>
      </c>
      <c r="G71" s="2">
        <f>SUM(F71,D71)</f>
        <v>463150</v>
      </c>
    </row>
    <row r="72" spans="1:7" x14ac:dyDescent="0.2">
      <c r="A72">
        <v>2021</v>
      </c>
      <c r="B72" s="34">
        <v>4999</v>
      </c>
      <c r="C72" s="9" t="s">
        <v>352</v>
      </c>
      <c r="D72" s="10">
        <v>7084430</v>
      </c>
      <c r="E72" s="9">
        <f>VLOOKUP(B72,'2015'!$B$2:$G$338,6,FALSE)</f>
        <v>0</v>
      </c>
      <c r="F72">
        <f t="shared" si="1"/>
        <v>0</v>
      </c>
      <c r="G72" s="2">
        <f>SUM(F72,D72)</f>
        <v>7084430</v>
      </c>
    </row>
    <row r="73" spans="1:7" x14ac:dyDescent="0.2">
      <c r="A73">
        <v>2021</v>
      </c>
      <c r="B73" s="34">
        <v>5000</v>
      </c>
      <c r="C73" s="9" t="s">
        <v>86</v>
      </c>
      <c r="D73" s="10">
        <v>4345118</v>
      </c>
      <c r="E73" s="9">
        <f>VLOOKUP(B73,'2015'!$B$2:$G$338,6,FALSE)</f>
        <v>0</v>
      </c>
      <c r="F73">
        <f t="shared" si="1"/>
        <v>0</v>
      </c>
      <c r="G73" s="2">
        <f>SUM(F73,D73)</f>
        <v>4345118</v>
      </c>
    </row>
    <row r="74" spans="1:7" x14ac:dyDescent="0.2">
      <c r="A74">
        <v>2021</v>
      </c>
      <c r="B74" s="34">
        <v>5001</v>
      </c>
      <c r="C74" s="9" t="s">
        <v>87</v>
      </c>
      <c r="D74" s="10">
        <v>270026</v>
      </c>
      <c r="E74" s="9">
        <f>VLOOKUP(B74,'2015'!$B$2:$G$338,6,FALSE)</f>
        <v>0</v>
      </c>
      <c r="F74">
        <f t="shared" si="1"/>
        <v>0</v>
      </c>
      <c r="G74" s="2">
        <f>SUM(F74,D74)</f>
        <v>270026</v>
      </c>
    </row>
    <row r="75" spans="1:7" x14ac:dyDescent="0.2">
      <c r="A75">
        <v>2021</v>
      </c>
      <c r="B75" s="34">
        <v>5002</v>
      </c>
      <c r="C75" s="9" t="s">
        <v>88</v>
      </c>
      <c r="D75" s="10">
        <v>108349</v>
      </c>
      <c r="E75" s="9">
        <f>VLOOKUP(B75,'2015'!$B$2:$G$338,6,FALSE)</f>
        <v>0</v>
      </c>
      <c r="F75">
        <f t="shared" si="1"/>
        <v>0</v>
      </c>
      <c r="G75" s="2">
        <f>SUM(F75,D75)</f>
        <v>108349</v>
      </c>
    </row>
    <row r="76" spans="1:7" x14ac:dyDescent="0.2">
      <c r="A76">
        <v>2021</v>
      </c>
      <c r="B76" s="34">
        <v>5004</v>
      </c>
      <c r="C76" s="9" t="s">
        <v>89</v>
      </c>
      <c r="D76" s="10">
        <v>1308556</v>
      </c>
      <c r="E76" s="9">
        <f>VLOOKUP(B76,'2015'!$B$2:$G$338,6,FALSE)</f>
        <v>0</v>
      </c>
      <c r="F76">
        <f t="shared" si="1"/>
        <v>0</v>
      </c>
      <c r="G76" s="2">
        <f>SUM(F76,D76)</f>
        <v>1308556</v>
      </c>
    </row>
    <row r="77" spans="1:7" x14ac:dyDescent="0.2">
      <c r="A77">
        <v>2021</v>
      </c>
      <c r="B77" s="34">
        <v>5005</v>
      </c>
      <c r="C77" s="9" t="s">
        <v>90</v>
      </c>
      <c r="D77" s="10">
        <v>641408</v>
      </c>
      <c r="E77" s="9">
        <f>VLOOKUP(B77,'2015'!$B$2:$G$338,6,FALSE)</f>
        <v>0</v>
      </c>
      <c r="F77">
        <f t="shared" si="1"/>
        <v>0</v>
      </c>
      <c r="G77" s="2">
        <f>SUM(F77,D77)</f>
        <v>641408</v>
      </c>
    </row>
    <row r="78" spans="1:7" x14ac:dyDescent="0.2">
      <c r="A78">
        <v>2021</v>
      </c>
      <c r="B78" s="34">
        <v>5006</v>
      </c>
      <c r="C78" s="9" t="s">
        <v>91</v>
      </c>
      <c r="D78" s="10">
        <v>274114</v>
      </c>
      <c r="E78" s="9">
        <f>VLOOKUP(B78,'2015'!$B$2:$G$338,6,FALSE)</f>
        <v>0</v>
      </c>
      <c r="F78">
        <f t="shared" si="1"/>
        <v>0</v>
      </c>
      <c r="G78" s="2">
        <f>SUM(F78,D78)</f>
        <v>274114</v>
      </c>
    </row>
    <row r="79" spans="1:7" x14ac:dyDescent="0.2">
      <c r="A79">
        <v>2021</v>
      </c>
      <c r="B79" s="34">
        <v>5007</v>
      </c>
      <c r="C79" s="9" t="s">
        <v>143</v>
      </c>
      <c r="D79" s="10">
        <v>154343</v>
      </c>
      <c r="E79" s="9">
        <f>VLOOKUP(B79,'2015'!$B$2:$G$338,6,FALSE)</f>
        <v>0</v>
      </c>
      <c r="F79">
        <f t="shared" si="1"/>
        <v>0</v>
      </c>
      <c r="G79" s="2">
        <f>SUM(F79,D79)</f>
        <v>154343</v>
      </c>
    </row>
    <row r="80" spans="1:7" x14ac:dyDescent="0.2">
      <c r="A80">
        <v>2021</v>
      </c>
      <c r="B80" s="34">
        <v>5008</v>
      </c>
      <c r="C80" s="9" t="s">
        <v>92</v>
      </c>
      <c r="D80" s="10">
        <v>703381</v>
      </c>
      <c r="E80" s="9">
        <f>VLOOKUP(B80,'2015'!$B$2:$G$338,6,FALSE)</f>
        <v>0</v>
      </c>
      <c r="F80">
        <f t="shared" si="1"/>
        <v>0</v>
      </c>
      <c r="G80" s="2">
        <f>SUM(F80,D80)</f>
        <v>703381</v>
      </c>
    </row>
    <row r="81" spans="1:7" x14ac:dyDescent="0.2">
      <c r="A81">
        <v>2021</v>
      </c>
      <c r="B81" s="34">
        <v>5010</v>
      </c>
      <c r="C81" s="9" t="s">
        <v>93</v>
      </c>
      <c r="D81" s="10">
        <v>1692803</v>
      </c>
      <c r="E81" s="9">
        <f>VLOOKUP(B81,'2015'!$B$2:$G$338,6,FALSE)</f>
        <v>0</v>
      </c>
      <c r="F81">
        <f t="shared" si="1"/>
        <v>0</v>
      </c>
      <c r="G81" s="2">
        <f>SUM(F81,D81)</f>
        <v>1692803</v>
      </c>
    </row>
    <row r="82" spans="1:7" x14ac:dyDescent="0.2">
      <c r="A82">
        <v>2021</v>
      </c>
      <c r="B82" s="34">
        <v>5011</v>
      </c>
      <c r="C82" s="9" t="s">
        <v>94</v>
      </c>
      <c r="D82" s="10">
        <v>587086</v>
      </c>
      <c r="E82" s="9">
        <f>VLOOKUP(B82,'2015'!$B$2:$G$338,6,FALSE)</f>
        <v>0</v>
      </c>
      <c r="F82">
        <f t="shared" si="1"/>
        <v>0</v>
      </c>
      <c r="G82" s="2">
        <f>SUM(F82,D82)</f>
        <v>587086</v>
      </c>
    </row>
    <row r="83" spans="1:7" x14ac:dyDescent="0.2">
      <c r="A83">
        <v>2021</v>
      </c>
      <c r="B83" s="34">
        <v>5012</v>
      </c>
      <c r="C83" s="9" t="s">
        <v>95</v>
      </c>
      <c r="D83" s="10">
        <v>386506</v>
      </c>
      <c r="E83" s="9">
        <f>VLOOKUP(B83,'2015'!$B$2:$G$338,6,FALSE)</f>
        <v>0</v>
      </c>
      <c r="F83">
        <f t="shared" si="1"/>
        <v>0</v>
      </c>
      <c r="G83" s="2">
        <f>SUM(F83,D83)</f>
        <v>386506</v>
      </c>
    </row>
    <row r="84" spans="1:7" x14ac:dyDescent="0.2">
      <c r="A84">
        <v>2021</v>
      </c>
      <c r="B84" s="34">
        <v>5657</v>
      </c>
      <c r="C84" s="15" t="s">
        <v>354</v>
      </c>
      <c r="D84" s="10">
        <v>1789</v>
      </c>
      <c r="E84" s="9">
        <f>VLOOKUP(B84,'2015'!$B$2:$G$338,6,FALSE)</f>
        <v>2.8683294514011727E-3</v>
      </c>
      <c r="F84">
        <f t="shared" si="1"/>
        <v>208996.89012833912</v>
      </c>
      <c r="G84" s="2">
        <f>SUM(F84,D84)</f>
        <v>210785.89012833912</v>
      </c>
    </row>
    <row r="85" spans="1:7" x14ac:dyDescent="0.2">
      <c r="A85">
        <v>2021</v>
      </c>
      <c r="B85" s="34">
        <v>5014</v>
      </c>
      <c r="C85" s="9" t="s">
        <v>97</v>
      </c>
      <c r="D85" s="10">
        <v>1530355</v>
      </c>
      <c r="E85" s="9">
        <f>VLOOKUP(B85,'2015'!$B$2:$G$338,6,FALSE)</f>
        <v>0</v>
      </c>
      <c r="F85">
        <f t="shared" si="1"/>
        <v>0</v>
      </c>
      <c r="G85" s="2">
        <f>SUM(F85,D85)</f>
        <v>1530355</v>
      </c>
    </row>
    <row r="86" spans="1:7" x14ac:dyDescent="0.2">
      <c r="A86">
        <v>2021</v>
      </c>
      <c r="B86" s="34">
        <v>5015</v>
      </c>
      <c r="C86" s="9" t="s">
        <v>98</v>
      </c>
      <c r="D86" s="10">
        <v>428165</v>
      </c>
      <c r="E86" s="9">
        <f>VLOOKUP(B86,'2015'!$B$2:$G$338,6,FALSE)</f>
        <v>0</v>
      </c>
      <c r="F86">
        <f t="shared" si="1"/>
        <v>0</v>
      </c>
      <c r="G86" s="2">
        <f>SUM(F86,D86)</f>
        <v>428165</v>
      </c>
    </row>
    <row r="87" spans="1:7" x14ac:dyDescent="0.2">
      <c r="A87">
        <v>2021</v>
      </c>
      <c r="B87" s="34">
        <v>5016</v>
      </c>
      <c r="C87" s="9" t="s">
        <v>99</v>
      </c>
      <c r="D87" s="10">
        <v>586407</v>
      </c>
      <c r="E87" s="9">
        <f>VLOOKUP(B87,'2015'!$B$2:$G$338,6,FALSE)</f>
        <v>0</v>
      </c>
      <c r="F87">
        <f t="shared" si="1"/>
        <v>0</v>
      </c>
      <c r="G87" s="2">
        <f>SUM(F87,D87)</f>
        <v>586407</v>
      </c>
    </row>
    <row r="88" spans="1:7" x14ac:dyDescent="0.2">
      <c r="A88">
        <v>2021</v>
      </c>
      <c r="B88" s="34">
        <v>5017</v>
      </c>
      <c r="C88" s="9" t="s">
        <v>100</v>
      </c>
      <c r="D88" s="10">
        <v>3789590</v>
      </c>
      <c r="E88" s="9">
        <f>VLOOKUP(B88,'2015'!$B$2:$G$338,6,FALSE)</f>
        <v>0</v>
      </c>
      <c r="F88">
        <f t="shared" si="1"/>
        <v>0</v>
      </c>
      <c r="G88" s="2">
        <f>SUM(F88,D88)</f>
        <v>3789590</v>
      </c>
    </row>
    <row r="89" spans="1:7" x14ac:dyDescent="0.2">
      <c r="A89">
        <v>2021</v>
      </c>
      <c r="B89" s="34">
        <v>5018</v>
      </c>
      <c r="C89" s="9" t="s">
        <v>101</v>
      </c>
      <c r="D89" s="10">
        <v>255474</v>
      </c>
      <c r="E89" s="9">
        <f>VLOOKUP(B89,'2015'!$B$2:$G$338,6,FALSE)</f>
        <v>0</v>
      </c>
      <c r="F89">
        <f t="shared" si="1"/>
        <v>0</v>
      </c>
      <c r="G89" s="2">
        <f>SUM(F89,D89)</f>
        <v>255474</v>
      </c>
    </row>
    <row r="90" spans="1:7" x14ac:dyDescent="0.2">
      <c r="A90">
        <v>2021</v>
      </c>
      <c r="B90" s="34">
        <v>5019</v>
      </c>
      <c r="C90" s="9" t="s">
        <v>102</v>
      </c>
      <c r="D90" s="10">
        <v>2678494</v>
      </c>
      <c r="E90" s="9">
        <f>VLOOKUP(B90,'2015'!$B$2:$G$338,6,FALSE)</f>
        <v>0</v>
      </c>
      <c r="F90">
        <f t="shared" si="1"/>
        <v>0</v>
      </c>
      <c r="G90" s="2">
        <f>SUM(F90,D90)</f>
        <v>2678494</v>
      </c>
    </row>
    <row r="91" spans="1:7" x14ac:dyDescent="0.2">
      <c r="A91">
        <v>2021</v>
      </c>
      <c r="B91" s="34">
        <v>5020</v>
      </c>
      <c r="C91" s="9" t="s">
        <v>103</v>
      </c>
      <c r="D91" s="10">
        <v>7635691</v>
      </c>
      <c r="E91" s="9">
        <f>VLOOKUP(B91,'2015'!$B$2:$G$338,6,FALSE)</f>
        <v>0</v>
      </c>
      <c r="F91">
        <f t="shared" si="1"/>
        <v>0</v>
      </c>
      <c r="G91" s="2">
        <f>SUM(F91,D91)</f>
        <v>7635691</v>
      </c>
    </row>
    <row r="92" spans="1:7" x14ac:dyDescent="0.2">
      <c r="A92">
        <v>2021</v>
      </c>
      <c r="B92" s="34">
        <v>5021</v>
      </c>
      <c r="C92" s="9" t="s">
        <v>104</v>
      </c>
      <c r="D92" s="10">
        <v>275004</v>
      </c>
      <c r="E92" s="9">
        <f>VLOOKUP(B92,'2015'!$B$2:$G$338,6,FALSE)</f>
        <v>0</v>
      </c>
      <c r="F92">
        <f t="shared" si="1"/>
        <v>0</v>
      </c>
      <c r="G92" s="2">
        <f>SUM(F92,D92)</f>
        <v>275004</v>
      </c>
    </row>
    <row r="93" spans="1:7" x14ac:dyDescent="0.2">
      <c r="A93">
        <v>2021</v>
      </c>
      <c r="B93" s="34">
        <v>5022</v>
      </c>
      <c r="C93" s="9" t="s">
        <v>105</v>
      </c>
      <c r="D93" s="10">
        <v>4757528</v>
      </c>
      <c r="E93" s="9">
        <f>VLOOKUP(B93,'2015'!$B$2:$G$338,6,FALSE)</f>
        <v>0</v>
      </c>
      <c r="F93">
        <f t="shared" si="1"/>
        <v>0</v>
      </c>
      <c r="G93" s="2">
        <f>SUM(F93,D93)</f>
        <v>4757528</v>
      </c>
    </row>
    <row r="94" spans="1:7" x14ac:dyDescent="0.2">
      <c r="A94">
        <v>2021</v>
      </c>
      <c r="B94" s="34">
        <v>5024</v>
      </c>
      <c r="C94" s="9" t="s">
        <v>106</v>
      </c>
      <c r="D94" s="10">
        <v>694693</v>
      </c>
      <c r="E94" s="9">
        <f>VLOOKUP(B94,'2015'!$B$2:$G$338,6,FALSE)</f>
        <v>0</v>
      </c>
      <c r="F94">
        <f t="shared" si="1"/>
        <v>0</v>
      </c>
      <c r="G94" s="2">
        <f>SUM(F94,D94)</f>
        <v>694693</v>
      </c>
    </row>
    <row r="95" spans="1:7" x14ac:dyDescent="0.2">
      <c r="A95">
        <v>2021</v>
      </c>
      <c r="B95" s="34">
        <v>5025</v>
      </c>
      <c r="C95" s="9" t="s">
        <v>107</v>
      </c>
      <c r="D95" s="10">
        <v>1942652</v>
      </c>
      <c r="E95" s="9">
        <f>VLOOKUP(B95,'2015'!$B$2:$G$338,6,FALSE)</f>
        <v>0</v>
      </c>
      <c r="F95">
        <f t="shared" si="1"/>
        <v>0</v>
      </c>
      <c r="G95" s="2">
        <f>SUM(F95,D95)</f>
        <v>1942652</v>
      </c>
    </row>
    <row r="96" spans="1:7" x14ac:dyDescent="0.2">
      <c r="A96">
        <v>2021</v>
      </c>
      <c r="B96" s="34">
        <v>5026</v>
      </c>
      <c r="C96" s="9" t="s">
        <v>108</v>
      </c>
      <c r="D96" s="10">
        <v>407049</v>
      </c>
      <c r="E96" s="9">
        <f>VLOOKUP(B96,'2015'!$B$2:$G$338,6,FALSE)</f>
        <v>0</v>
      </c>
      <c r="F96">
        <f t="shared" si="1"/>
        <v>0</v>
      </c>
      <c r="G96" s="2">
        <f>SUM(F96,D96)</f>
        <v>407049</v>
      </c>
    </row>
    <row r="97" spans="1:7" x14ac:dyDescent="0.2">
      <c r="A97">
        <v>2021</v>
      </c>
      <c r="B97" s="34">
        <v>5027</v>
      </c>
      <c r="C97" s="9" t="s">
        <v>109</v>
      </c>
      <c r="D97" s="10">
        <v>6070902</v>
      </c>
      <c r="E97" s="9">
        <f>VLOOKUP(B97,'2015'!$B$2:$G$338,6,FALSE)</f>
        <v>0</v>
      </c>
      <c r="F97">
        <f t="shared" si="1"/>
        <v>0</v>
      </c>
      <c r="G97" s="2">
        <f>SUM(F97,D97)</f>
        <v>6070902</v>
      </c>
    </row>
    <row r="98" spans="1:7" x14ac:dyDescent="0.2">
      <c r="A98">
        <v>2021</v>
      </c>
      <c r="B98" s="34">
        <v>5028</v>
      </c>
      <c r="C98" s="9" t="s">
        <v>110</v>
      </c>
      <c r="D98" s="10">
        <v>1450227</v>
      </c>
      <c r="E98" s="9">
        <f>VLOOKUP(B98,'2015'!$B$2:$G$338,6,FALSE)</f>
        <v>0</v>
      </c>
      <c r="F98">
        <f t="shared" si="1"/>
        <v>0</v>
      </c>
      <c r="G98" s="2">
        <f>SUM(F98,D98)</f>
        <v>1450227</v>
      </c>
    </row>
    <row r="99" spans="1:7" x14ac:dyDescent="0.2">
      <c r="A99">
        <v>2021</v>
      </c>
      <c r="B99" s="34">
        <v>5029</v>
      </c>
      <c r="C99" s="9" t="s">
        <v>111</v>
      </c>
      <c r="D99" s="10">
        <v>504729</v>
      </c>
      <c r="E99" s="9">
        <f>VLOOKUP(B99,'2015'!$B$2:$G$338,6,FALSE)</f>
        <v>0</v>
      </c>
      <c r="F99">
        <f t="shared" si="1"/>
        <v>0</v>
      </c>
      <c r="G99" s="2">
        <f>SUM(F99,D99)</f>
        <v>504729</v>
      </c>
    </row>
    <row r="100" spans="1:7" x14ac:dyDescent="0.2">
      <c r="A100">
        <v>2021</v>
      </c>
      <c r="B100" s="34">
        <v>5031</v>
      </c>
      <c r="C100" s="9" t="s">
        <v>112</v>
      </c>
      <c r="D100" s="10">
        <v>9468666</v>
      </c>
      <c r="E100" s="9">
        <f>VLOOKUP(B100,'2015'!$B$2:$G$338,6,FALSE)</f>
        <v>0</v>
      </c>
      <c r="F100">
        <f t="shared" si="1"/>
        <v>0</v>
      </c>
      <c r="G100" s="2">
        <f>SUM(F100,D100)</f>
        <v>9468666</v>
      </c>
    </row>
    <row r="101" spans="1:7" x14ac:dyDescent="0.2">
      <c r="A101">
        <v>2021</v>
      </c>
      <c r="B101" s="34">
        <v>5032</v>
      </c>
      <c r="C101" s="9" t="s">
        <v>113</v>
      </c>
      <c r="D101" s="10">
        <v>840263</v>
      </c>
      <c r="E101" s="9">
        <f>VLOOKUP(B101,'2015'!$B$2:$G$338,6,FALSE)</f>
        <v>0</v>
      </c>
      <c r="F101">
        <f t="shared" si="1"/>
        <v>0</v>
      </c>
      <c r="G101" s="2">
        <f>SUM(F101,D101)</f>
        <v>840263</v>
      </c>
    </row>
    <row r="102" spans="1:7" x14ac:dyDescent="0.2">
      <c r="A102">
        <v>2021</v>
      </c>
      <c r="B102" s="34">
        <v>5033</v>
      </c>
      <c r="C102" s="9" t="s">
        <v>114</v>
      </c>
      <c r="D102" s="10">
        <v>578725</v>
      </c>
      <c r="E102" s="9">
        <f>VLOOKUP(B102,'2015'!$B$2:$G$338,6,FALSE)</f>
        <v>0</v>
      </c>
      <c r="F102">
        <f t="shared" si="1"/>
        <v>0</v>
      </c>
      <c r="G102" s="2">
        <f>SUM(F102,D102)</f>
        <v>578725</v>
      </c>
    </row>
    <row r="103" spans="1:7" x14ac:dyDescent="0.2">
      <c r="A103">
        <v>2021</v>
      </c>
      <c r="B103" s="34">
        <v>5034</v>
      </c>
      <c r="C103" s="9" t="s">
        <v>115</v>
      </c>
      <c r="D103" s="10">
        <v>266378</v>
      </c>
      <c r="E103" s="9">
        <f>VLOOKUP(B103,'2015'!$B$2:$G$338,6,FALSE)</f>
        <v>0</v>
      </c>
      <c r="F103">
        <f t="shared" si="1"/>
        <v>0</v>
      </c>
      <c r="G103" s="2">
        <f>SUM(F103,D103)</f>
        <v>266378</v>
      </c>
    </row>
    <row r="104" spans="1:7" x14ac:dyDescent="0.2">
      <c r="A104">
        <v>2021</v>
      </c>
      <c r="B104" s="34">
        <v>5035</v>
      </c>
      <c r="C104" s="9" t="s">
        <v>116</v>
      </c>
      <c r="D104" s="10">
        <v>1536527</v>
      </c>
      <c r="E104" s="9">
        <f>VLOOKUP(B104,'2015'!$B$2:$G$338,6,FALSE)</f>
        <v>0</v>
      </c>
      <c r="F104">
        <f t="shared" si="1"/>
        <v>0</v>
      </c>
      <c r="G104" s="2">
        <f>SUM(F104,D104)</f>
        <v>1536527</v>
      </c>
    </row>
    <row r="105" spans="1:7" x14ac:dyDescent="0.2">
      <c r="A105">
        <v>2021</v>
      </c>
      <c r="B105" s="34">
        <v>5036</v>
      </c>
      <c r="C105" s="9" t="s">
        <v>117</v>
      </c>
      <c r="D105" s="10">
        <v>840788</v>
      </c>
      <c r="E105" s="9">
        <f>VLOOKUP(B105,'2015'!$B$2:$G$338,6,FALSE)</f>
        <v>0</v>
      </c>
      <c r="F105">
        <f t="shared" si="1"/>
        <v>0</v>
      </c>
      <c r="G105" s="2">
        <f>SUM(F105,D105)</f>
        <v>840788</v>
      </c>
    </row>
    <row r="106" spans="1:7" x14ac:dyDescent="0.2">
      <c r="A106">
        <v>2021</v>
      </c>
      <c r="B106" s="34">
        <v>5037</v>
      </c>
      <c r="C106" s="9" t="s">
        <v>118</v>
      </c>
      <c r="D106" s="10">
        <v>2976881</v>
      </c>
      <c r="E106" s="9">
        <f>VLOOKUP(B106,'2015'!$B$2:$G$338,6,FALSE)</f>
        <v>0</v>
      </c>
      <c r="F106">
        <f t="shared" si="1"/>
        <v>0</v>
      </c>
      <c r="G106" s="2">
        <f>SUM(F106,D106)</f>
        <v>2976881</v>
      </c>
    </row>
    <row r="107" spans="1:7" x14ac:dyDescent="0.2">
      <c r="A107">
        <v>2021</v>
      </c>
      <c r="B107" s="34">
        <v>5038</v>
      </c>
      <c r="C107" s="9" t="s">
        <v>119</v>
      </c>
      <c r="D107" s="10">
        <v>383685</v>
      </c>
      <c r="E107" s="9">
        <f>VLOOKUP(B107,'2015'!$B$2:$G$338,6,FALSE)</f>
        <v>0</v>
      </c>
      <c r="F107">
        <f t="shared" si="1"/>
        <v>0</v>
      </c>
      <c r="G107" s="2">
        <f>SUM(F107,D107)</f>
        <v>383685</v>
      </c>
    </row>
    <row r="108" spans="1:7" x14ac:dyDescent="0.2">
      <c r="A108">
        <v>2021</v>
      </c>
      <c r="B108" s="34">
        <v>5039</v>
      </c>
      <c r="C108" s="9" t="s">
        <v>120</v>
      </c>
      <c r="D108" s="10">
        <v>465291</v>
      </c>
      <c r="E108" s="9">
        <f>VLOOKUP(B108,'2015'!$B$2:$G$338,6,FALSE)</f>
        <v>0</v>
      </c>
      <c r="F108">
        <f t="shared" si="1"/>
        <v>0</v>
      </c>
      <c r="G108" s="2">
        <f>SUM(F108,D108)</f>
        <v>465291</v>
      </c>
    </row>
    <row r="109" spans="1:7" x14ac:dyDescent="0.2">
      <c r="A109">
        <v>2021</v>
      </c>
      <c r="B109" s="34">
        <v>5040</v>
      </c>
      <c r="C109" s="9" t="s">
        <v>121</v>
      </c>
      <c r="D109" s="10">
        <v>1556567</v>
      </c>
      <c r="E109" s="9">
        <f>VLOOKUP(B109,'2015'!$B$2:$G$338,6,FALSE)</f>
        <v>0</v>
      </c>
      <c r="F109">
        <f t="shared" si="1"/>
        <v>0</v>
      </c>
      <c r="G109" s="2">
        <f>SUM(F109,D109)</f>
        <v>1556567</v>
      </c>
    </row>
    <row r="110" spans="1:7" x14ac:dyDescent="0.2">
      <c r="A110">
        <v>2021</v>
      </c>
      <c r="B110" s="34">
        <v>5041</v>
      </c>
      <c r="C110" s="9" t="s">
        <v>122</v>
      </c>
      <c r="D110" s="10">
        <v>7501749</v>
      </c>
      <c r="E110" s="9">
        <f>VLOOKUP(B110,'2015'!$B$2:$G$338,6,FALSE)</f>
        <v>0</v>
      </c>
      <c r="F110">
        <f t="shared" si="1"/>
        <v>0</v>
      </c>
      <c r="G110" s="2">
        <f>SUM(F110,D110)</f>
        <v>7501749</v>
      </c>
    </row>
    <row r="111" spans="1:7" x14ac:dyDescent="0.2">
      <c r="A111">
        <v>2021</v>
      </c>
      <c r="B111" s="34">
        <v>5042</v>
      </c>
      <c r="C111" s="9" t="s">
        <v>123</v>
      </c>
      <c r="D111" s="10">
        <v>2462467</v>
      </c>
      <c r="E111" s="9">
        <f>VLOOKUP(B111,'2015'!$B$2:$G$338,6,FALSE)</f>
        <v>0</v>
      </c>
      <c r="F111">
        <f t="shared" si="1"/>
        <v>0</v>
      </c>
      <c r="G111" s="2">
        <f>SUM(F111,D111)</f>
        <v>2462467</v>
      </c>
    </row>
    <row r="112" spans="1:7" x14ac:dyDescent="0.2">
      <c r="A112">
        <v>2021</v>
      </c>
      <c r="B112" s="34">
        <v>5043</v>
      </c>
      <c r="C112" s="9" t="s">
        <v>124</v>
      </c>
      <c r="D112" s="10">
        <v>3255808</v>
      </c>
      <c r="E112" s="9">
        <f>VLOOKUP(B112,'2015'!$B$2:$G$338,6,FALSE)</f>
        <v>0</v>
      </c>
      <c r="F112">
        <f t="shared" si="1"/>
        <v>0</v>
      </c>
      <c r="G112" s="2">
        <f>SUM(F112,D112)</f>
        <v>3255808</v>
      </c>
    </row>
    <row r="113" spans="1:7" x14ac:dyDescent="0.2">
      <c r="A113">
        <v>2021</v>
      </c>
      <c r="B113" s="34">
        <v>5056</v>
      </c>
      <c r="C113" s="9" t="s">
        <v>125</v>
      </c>
      <c r="D113" s="10">
        <v>349966</v>
      </c>
      <c r="E113" s="9">
        <f>VLOOKUP(B113,'2015'!$B$2:$G$338,6,FALSE)</f>
        <v>0</v>
      </c>
      <c r="F113">
        <f t="shared" si="1"/>
        <v>0</v>
      </c>
      <c r="G113" s="2">
        <f>SUM(F113,D113)</f>
        <v>349966</v>
      </c>
    </row>
    <row r="114" spans="1:7" x14ac:dyDescent="0.2">
      <c r="A114">
        <v>2021</v>
      </c>
      <c r="B114" s="34">
        <v>5057</v>
      </c>
      <c r="C114" s="9" t="s">
        <v>126</v>
      </c>
      <c r="D114" s="10">
        <v>649989</v>
      </c>
      <c r="E114" s="9">
        <f>VLOOKUP(B114,'2015'!$B$2:$G$338,6,FALSE)</f>
        <v>0</v>
      </c>
      <c r="F114">
        <f t="shared" si="1"/>
        <v>0</v>
      </c>
      <c r="G114" s="2">
        <f>SUM(F114,D114)</f>
        <v>649989</v>
      </c>
    </row>
    <row r="115" spans="1:7" x14ac:dyDescent="0.2">
      <c r="A115">
        <v>2021</v>
      </c>
      <c r="B115" s="34">
        <v>5058</v>
      </c>
      <c r="C115" s="9" t="s">
        <v>127</v>
      </c>
      <c r="D115" s="10">
        <v>1332116</v>
      </c>
      <c r="E115" s="9">
        <f>VLOOKUP(B115,'2015'!$B$2:$G$338,6,FALSE)</f>
        <v>0</v>
      </c>
      <c r="F115">
        <f t="shared" si="1"/>
        <v>0</v>
      </c>
      <c r="G115" s="2">
        <f>SUM(F115,D115)</f>
        <v>1332116</v>
      </c>
    </row>
    <row r="116" spans="1:7" x14ac:dyDescent="0.2">
      <c r="A116">
        <v>2021</v>
      </c>
      <c r="B116" s="34">
        <v>5059</v>
      </c>
      <c r="C116" s="9" t="s">
        <v>128</v>
      </c>
      <c r="D116" s="10">
        <v>401032</v>
      </c>
      <c r="E116" s="9">
        <f>VLOOKUP(B116,'2015'!$B$2:$G$338,6,FALSE)</f>
        <v>0</v>
      </c>
      <c r="F116">
        <f t="shared" si="1"/>
        <v>0</v>
      </c>
      <c r="G116" s="2">
        <f>SUM(F116,D116)</f>
        <v>401032</v>
      </c>
    </row>
    <row r="117" spans="1:7" x14ac:dyDescent="0.2">
      <c r="A117">
        <v>2021</v>
      </c>
      <c r="B117" s="34">
        <v>5060</v>
      </c>
      <c r="C117" s="9" t="s">
        <v>129</v>
      </c>
      <c r="D117" s="10">
        <v>175191</v>
      </c>
      <c r="E117" s="9">
        <f>VLOOKUP(B117,'2015'!$B$2:$G$338,6,FALSE)</f>
        <v>0</v>
      </c>
      <c r="F117">
        <f t="shared" si="1"/>
        <v>0</v>
      </c>
      <c r="G117" s="2">
        <f>SUM(F117,D117)</f>
        <v>175191</v>
      </c>
    </row>
    <row r="118" spans="1:7" x14ac:dyDescent="0.2">
      <c r="A118">
        <v>2021</v>
      </c>
      <c r="B118" s="34">
        <v>5061</v>
      </c>
      <c r="C118" s="9" t="s">
        <v>130</v>
      </c>
      <c r="D118" s="10">
        <v>369534</v>
      </c>
      <c r="E118" s="9">
        <f>VLOOKUP(B118,'2015'!$B$2:$G$338,6,FALSE)</f>
        <v>0</v>
      </c>
      <c r="F118">
        <f t="shared" si="1"/>
        <v>0</v>
      </c>
      <c r="G118" s="2">
        <f>SUM(F118,D118)</f>
        <v>369534</v>
      </c>
    </row>
    <row r="119" spans="1:7" x14ac:dyDescent="0.2">
      <c r="A119">
        <v>2021</v>
      </c>
      <c r="B119" s="34">
        <v>5062</v>
      </c>
      <c r="C119" s="9" t="s">
        <v>131</v>
      </c>
      <c r="D119" s="10">
        <v>631755</v>
      </c>
      <c r="E119" s="9">
        <f>VLOOKUP(B119,'2015'!$B$2:$G$338,6,FALSE)</f>
        <v>0</v>
      </c>
      <c r="F119">
        <f t="shared" si="1"/>
        <v>0</v>
      </c>
      <c r="G119" s="2">
        <f>SUM(F119,D119)</f>
        <v>631755</v>
      </c>
    </row>
    <row r="120" spans="1:7" x14ac:dyDescent="0.2">
      <c r="A120">
        <v>2021</v>
      </c>
      <c r="B120" s="34">
        <v>5063</v>
      </c>
      <c r="C120" s="9" t="s">
        <v>132</v>
      </c>
      <c r="D120" s="10">
        <v>557665</v>
      </c>
      <c r="E120" s="9">
        <f>VLOOKUP(B120,'2015'!$B$2:$G$338,6,FALSE)</f>
        <v>0</v>
      </c>
      <c r="F120">
        <f t="shared" si="1"/>
        <v>0</v>
      </c>
      <c r="G120" s="2">
        <f>SUM(F120,D120)</f>
        <v>557665</v>
      </c>
    </row>
    <row r="121" spans="1:7" x14ac:dyDescent="0.2">
      <c r="A121">
        <v>2021</v>
      </c>
      <c r="B121" s="34">
        <v>5064</v>
      </c>
      <c r="C121" s="9" t="s">
        <v>133</v>
      </c>
      <c r="D121" s="10">
        <v>351864</v>
      </c>
      <c r="E121" s="9">
        <f>VLOOKUP(B121,'2015'!$B$2:$G$338,6,FALSE)</f>
        <v>0</v>
      </c>
      <c r="F121">
        <f t="shared" si="1"/>
        <v>0</v>
      </c>
      <c r="G121" s="2">
        <f>SUM(F121,D121)</f>
        <v>351864</v>
      </c>
    </row>
    <row r="122" spans="1:7" x14ac:dyDescent="0.2">
      <c r="A122">
        <v>2021</v>
      </c>
      <c r="B122" s="34">
        <v>5065</v>
      </c>
      <c r="C122" s="9" t="s">
        <v>134</v>
      </c>
      <c r="D122" s="10">
        <v>422238</v>
      </c>
      <c r="E122" s="9">
        <f>VLOOKUP(B122,'2015'!$B$2:$G$338,6,FALSE)</f>
        <v>0</v>
      </c>
      <c r="F122">
        <f t="shared" si="1"/>
        <v>0</v>
      </c>
      <c r="G122" s="2">
        <f>SUM(F122,D122)</f>
        <v>422238</v>
      </c>
    </row>
    <row r="123" spans="1:7" x14ac:dyDescent="0.2">
      <c r="A123">
        <v>2021</v>
      </c>
      <c r="B123" s="34">
        <v>5066</v>
      </c>
      <c r="C123" s="9" t="s">
        <v>135</v>
      </c>
      <c r="D123" s="10">
        <v>495273</v>
      </c>
      <c r="E123" s="9">
        <f>VLOOKUP(B123,'2015'!$B$2:$G$338,6,FALSE)</f>
        <v>0</v>
      </c>
      <c r="F123">
        <f t="shared" si="1"/>
        <v>0</v>
      </c>
      <c r="G123" s="2">
        <f>SUM(F123,D123)</f>
        <v>495273</v>
      </c>
    </row>
    <row r="124" spans="1:7" x14ac:dyDescent="0.2">
      <c r="A124">
        <v>2021</v>
      </c>
      <c r="B124" s="34">
        <v>5067</v>
      </c>
      <c r="C124" s="9" t="s">
        <v>136</v>
      </c>
      <c r="D124" s="10">
        <v>766042</v>
      </c>
      <c r="E124" s="9">
        <f>VLOOKUP(B124,'2015'!$B$2:$G$338,6,FALSE)</f>
        <v>0</v>
      </c>
      <c r="F124">
        <f t="shared" si="1"/>
        <v>0</v>
      </c>
      <c r="G124" s="2">
        <f>SUM(F124,D124)</f>
        <v>766042</v>
      </c>
    </row>
    <row r="125" spans="1:7" x14ac:dyDescent="0.2">
      <c r="A125">
        <v>2021</v>
      </c>
      <c r="B125" s="34">
        <v>5068</v>
      </c>
      <c r="C125" s="9" t="s">
        <v>137</v>
      </c>
      <c r="D125" s="10">
        <v>733490</v>
      </c>
      <c r="E125" s="9">
        <f>VLOOKUP(B125,'2015'!$B$2:$G$338,6,FALSE)</f>
        <v>0</v>
      </c>
      <c r="F125">
        <f t="shared" si="1"/>
        <v>0</v>
      </c>
      <c r="G125" s="2">
        <f>SUM(F125,D125)</f>
        <v>733490</v>
      </c>
    </row>
    <row r="126" spans="1:7" x14ac:dyDescent="0.2">
      <c r="A126">
        <v>2021</v>
      </c>
      <c r="B126" s="34">
        <v>5069</v>
      </c>
      <c r="C126" s="9" t="s">
        <v>138</v>
      </c>
      <c r="D126" s="10">
        <v>674977</v>
      </c>
      <c r="E126" s="9">
        <f>VLOOKUP(B126,'2015'!$B$2:$G$338,6,FALSE)</f>
        <v>0</v>
      </c>
      <c r="F126">
        <f t="shared" si="1"/>
        <v>0</v>
      </c>
      <c r="G126" s="2">
        <f>SUM(F126,D126)</f>
        <v>674977</v>
      </c>
    </row>
    <row r="127" spans="1:7" x14ac:dyDescent="0.2">
      <c r="A127">
        <v>2021</v>
      </c>
      <c r="B127" s="34">
        <v>5070</v>
      </c>
      <c r="C127" s="9" t="s">
        <v>139</v>
      </c>
      <c r="D127" s="10">
        <v>1652586</v>
      </c>
      <c r="E127" s="9">
        <f>VLOOKUP(B127,'2015'!$B$2:$G$338,6,FALSE)</f>
        <v>0</v>
      </c>
      <c r="F127">
        <f t="shared" si="1"/>
        <v>0</v>
      </c>
      <c r="G127" s="2">
        <f>SUM(F127,D127)</f>
        <v>1652586</v>
      </c>
    </row>
    <row r="128" spans="1:7" x14ac:dyDescent="0.2">
      <c r="A128">
        <v>2021</v>
      </c>
      <c r="B128" s="34">
        <v>5072</v>
      </c>
      <c r="C128" s="9" t="s">
        <v>140</v>
      </c>
      <c r="D128" s="10">
        <v>230609</v>
      </c>
      <c r="E128" s="9">
        <f>VLOOKUP(B128,'2015'!$B$2:$G$338,6,FALSE)</f>
        <v>0</v>
      </c>
      <c r="F128">
        <f t="shared" si="1"/>
        <v>0</v>
      </c>
      <c r="G128" s="2">
        <f>SUM(F128,D128)</f>
        <v>230609</v>
      </c>
    </row>
    <row r="129" spans="1:7" x14ac:dyDescent="0.2">
      <c r="A129">
        <v>2021</v>
      </c>
      <c r="B129" s="34">
        <v>5073</v>
      </c>
      <c r="C129" s="9" t="s">
        <v>141</v>
      </c>
      <c r="D129" s="10">
        <v>422830</v>
      </c>
      <c r="E129" s="9">
        <f>VLOOKUP(B129,'2015'!$B$2:$G$338,6,FALSE)</f>
        <v>0</v>
      </c>
      <c r="F129">
        <f t="shared" si="1"/>
        <v>0</v>
      </c>
      <c r="G129" s="2">
        <f>SUM(F129,D129)</f>
        <v>422830</v>
      </c>
    </row>
    <row r="130" spans="1:7" x14ac:dyDescent="0.2">
      <c r="A130">
        <v>2021</v>
      </c>
      <c r="B130" s="34">
        <v>5076</v>
      </c>
      <c r="C130" s="9" t="s">
        <v>142</v>
      </c>
      <c r="D130" s="10">
        <v>169661</v>
      </c>
      <c r="E130" s="9">
        <f>VLOOKUP(B130,'2015'!$B$2:$G$338,6,FALSE)</f>
        <v>0</v>
      </c>
      <c r="F130">
        <f t="shared" si="1"/>
        <v>0</v>
      </c>
      <c r="G130" s="2">
        <f>SUM(F130,D130)</f>
        <v>169661</v>
      </c>
    </row>
    <row r="131" spans="1:7" x14ac:dyDescent="0.2">
      <c r="A131">
        <v>2021</v>
      </c>
      <c r="B131" s="34">
        <v>5077</v>
      </c>
      <c r="C131" s="9" t="s">
        <v>195</v>
      </c>
      <c r="D131" s="10">
        <v>465615</v>
      </c>
      <c r="E131" s="9">
        <f>VLOOKUP(B131,'2015'!$B$2:$G$338,6,FALSE)</f>
        <v>0</v>
      </c>
      <c r="F131">
        <f t="shared" ref="F131:F194" si="2">E131*$D$336</f>
        <v>0</v>
      </c>
      <c r="G131" s="2">
        <f>SUM(F131,D131)</f>
        <v>465615</v>
      </c>
    </row>
    <row r="132" spans="1:7" x14ac:dyDescent="0.2">
      <c r="A132">
        <v>2021</v>
      </c>
      <c r="B132" s="34">
        <v>5078</v>
      </c>
      <c r="C132" s="9" t="s">
        <v>144</v>
      </c>
      <c r="D132" s="10">
        <v>397532</v>
      </c>
      <c r="E132" s="9">
        <f>VLOOKUP(B132,'2015'!$B$2:$G$338,6,FALSE)</f>
        <v>0</v>
      </c>
      <c r="F132">
        <f t="shared" si="2"/>
        <v>0</v>
      </c>
      <c r="G132" s="2">
        <f>SUM(F132,D132)</f>
        <v>397532</v>
      </c>
    </row>
    <row r="133" spans="1:7" x14ac:dyDescent="0.2">
      <c r="A133">
        <v>2021</v>
      </c>
      <c r="B133" s="34">
        <v>5079</v>
      </c>
      <c r="C133" s="9" t="s">
        <v>145</v>
      </c>
      <c r="D133" s="10">
        <v>466175</v>
      </c>
      <c r="E133" s="9">
        <f>VLOOKUP(B133,'2015'!$B$2:$G$338,6,FALSE)</f>
        <v>0</v>
      </c>
      <c r="F133">
        <f t="shared" si="2"/>
        <v>0</v>
      </c>
      <c r="G133" s="2">
        <f>SUM(F133,D133)</f>
        <v>466175</v>
      </c>
    </row>
    <row r="134" spans="1:7" x14ac:dyDescent="0.2">
      <c r="A134">
        <v>2021</v>
      </c>
      <c r="B134" s="34">
        <v>5080</v>
      </c>
      <c r="C134" s="9" t="s">
        <v>146</v>
      </c>
      <c r="D134" s="10">
        <v>557778</v>
      </c>
      <c r="E134" s="9">
        <f>VLOOKUP(B134,'2015'!$B$2:$G$338,6,FALSE)</f>
        <v>0</v>
      </c>
      <c r="F134">
        <f t="shared" si="2"/>
        <v>0</v>
      </c>
      <c r="G134" s="2">
        <f>SUM(F134,D134)</f>
        <v>557778</v>
      </c>
    </row>
    <row r="135" spans="1:7" x14ac:dyDescent="0.2">
      <c r="A135">
        <v>2021</v>
      </c>
      <c r="B135" s="34">
        <v>5081</v>
      </c>
      <c r="C135" s="9" t="s">
        <v>147</v>
      </c>
      <c r="D135" s="10">
        <v>478503</v>
      </c>
      <c r="E135" s="9">
        <f>VLOOKUP(B135,'2015'!$B$2:$G$338,6,FALSE)</f>
        <v>0</v>
      </c>
      <c r="F135">
        <f t="shared" si="2"/>
        <v>0</v>
      </c>
      <c r="G135" s="2">
        <f>SUM(F135,D135)</f>
        <v>478503</v>
      </c>
    </row>
    <row r="136" spans="1:7" x14ac:dyDescent="0.2">
      <c r="A136">
        <v>2021</v>
      </c>
      <c r="B136" s="34">
        <v>5013</v>
      </c>
      <c r="C136" s="15" t="s">
        <v>355</v>
      </c>
      <c r="D136" s="10">
        <v>7482992</v>
      </c>
      <c r="E136" s="9">
        <f>VLOOKUP(B136,'2015'!$B$2:$G$338,6,FALSE)</f>
        <v>0</v>
      </c>
      <c r="F136">
        <f t="shared" si="2"/>
        <v>0</v>
      </c>
      <c r="G136" s="2">
        <f>SUM(F136,D136)</f>
        <v>7482992</v>
      </c>
    </row>
    <row r="137" spans="1:7" x14ac:dyDescent="0.2">
      <c r="A137">
        <v>2021</v>
      </c>
      <c r="B137" s="34">
        <v>5083</v>
      </c>
      <c r="C137" s="9" t="s">
        <v>149</v>
      </c>
      <c r="D137" s="10">
        <v>351244</v>
      </c>
      <c r="E137" s="9">
        <f>VLOOKUP(B137,'2015'!$B$2:$G$338,6,FALSE)</f>
        <v>0</v>
      </c>
      <c r="F137">
        <f t="shared" si="2"/>
        <v>0</v>
      </c>
      <c r="G137" s="2">
        <f>SUM(F137,D137)</f>
        <v>351244</v>
      </c>
    </row>
    <row r="138" spans="1:7" x14ac:dyDescent="0.2">
      <c r="A138">
        <v>2021</v>
      </c>
      <c r="B138" s="34">
        <v>5087</v>
      </c>
      <c r="C138" s="9" t="s">
        <v>150</v>
      </c>
      <c r="D138" s="10">
        <v>358500</v>
      </c>
      <c r="E138" s="9">
        <f>VLOOKUP(B138,'2015'!$B$2:$G$338,6,FALSE)</f>
        <v>0</v>
      </c>
      <c r="F138">
        <f t="shared" si="2"/>
        <v>0</v>
      </c>
      <c r="G138" s="2">
        <f>SUM(F138,D138)</f>
        <v>358500</v>
      </c>
    </row>
    <row r="139" spans="1:7" x14ac:dyDescent="0.2">
      <c r="A139">
        <v>2021</v>
      </c>
      <c r="B139" s="34">
        <v>5088</v>
      </c>
      <c r="C139" s="9" t="s">
        <v>151</v>
      </c>
      <c r="D139" s="10">
        <v>682053</v>
      </c>
      <c r="E139" s="9">
        <f>VLOOKUP(B139,'2015'!$B$2:$G$338,6,FALSE)</f>
        <v>0</v>
      </c>
      <c r="F139">
        <f t="shared" si="2"/>
        <v>0</v>
      </c>
      <c r="G139" s="2">
        <f>SUM(F139,D139)</f>
        <v>682053</v>
      </c>
    </row>
    <row r="140" spans="1:7" x14ac:dyDescent="0.2">
      <c r="A140">
        <v>2021</v>
      </c>
      <c r="B140" s="34">
        <v>5089</v>
      </c>
      <c r="C140" s="9" t="s">
        <v>152</v>
      </c>
      <c r="D140" s="10">
        <v>323435</v>
      </c>
      <c r="E140" s="9">
        <f>VLOOKUP(B140,'2015'!$B$2:$G$338,6,FALSE)</f>
        <v>0</v>
      </c>
      <c r="F140">
        <f t="shared" si="2"/>
        <v>0</v>
      </c>
      <c r="G140" s="2">
        <f>SUM(F140,D140)</f>
        <v>323435</v>
      </c>
    </row>
    <row r="141" spans="1:7" x14ac:dyDescent="0.2">
      <c r="A141">
        <v>2021</v>
      </c>
      <c r="B141" s="34">
        <v>5090</v>
      </c>
      <c r="C141" s="9" t="s">
        <v>153</v>
      </c>
      <c r="D141" s="10">
        <v>269666</v>
      </c>
      <c r="E141" s="9">
        <f>VLOOKUP(B141,'2015'!$B$2:$G$338,6,FALSE)</f>
        <v>0</v>
      </c>
      <c r="F141">
        <f t="shared" si="2"/>
        <v>0</v>
      </c>
      <c r="G141" s="2">
        <f>SUM(F141,D141)</f>
        <v>269666</v>
      </c>
    </row>
    <row r="142" spans="1:7" x14ac:dyDescent="0.2">
      <c r="A142">
        <v>2021</v>
      </c>
      <c r="B142" s="34">
        <v>5092</v>
      </c>
      <c r="C142" s="9" t="s">
        <v>154</v>
      </c>
      <c r="D142" s="10">
        <v>1334491</v>
      </c>
      <c r="E142" s="9">
        <f>VLOOKUP(B142,'2015'!$B$2:$G$338,6,FALSE)</f>
        <v>0</v>
      </c>
      <c r="F142">
        <f t="shared" si="2"/>
        <v>0</v>
      </c>
      <c r="G142" s="2">
        <f>SUM(F142,D142)</f>
        <v>1334491</v>
      </c>
    </row>
    <row r="143" spans="1:7" x14ac:dyDescent="0.2">
      <c r="A143">
        <v>2021</v>
      </c>
      <c r="B143" s="34">
        <v>5093</v>
      </c>
      <c r="C143" s="9" t="s">
        <v>155</v>
      </c>
      <c r="D143" s="10">
        <v>302917</v>
      </c>
      <c r="E143" s="9">
        <f>VLOOKUP(B143,'2015'!$B$2:$G$338,6,FALSE)</f>
        <v>0</v>
      </c>
      <c r="F143">
        <f t="shared" si="2"/>
        <v>0</v>
      </c>
      <c r="G143" s="2">
        <f>SUM(F143,D143)</f>
        <v>302917</v>
      </c>
    </row>
    <row r="144" spans="1:7" x14ac:dyDescent="0.2">
      <c r="A144">
        <v>2021</v>
      </c>
      <c r="B144" s="34">
        <v>5095</v>
      </c>
      <c r="C144" s="9" t="s">
        <v>156</v>
      </c>
      <c r="D144" s="10">
        <v>482251</v>
      </c>
      <c r="E144" s="9">
        <f>VLOOKUP(B144,'2015'!$B$2:$G$338,6,FALSE)</f>
        <v>0</v>
      </c>
      <c r="F144">
        <f t="shared" si="2"/>
        <v>0</v>
      </c>
      <c r="G144" s="2">
        <f>SUM(F144,D144)</f>
        <v>482251</v>
      </c>
    </row>
    <row r="145" spans="1:7" x14ac:dyDescent="0.2">
      <c r="A145">
        <v>2021</v>
      </c>
      <c r="B145" s="34">
        <v>5096</v>
      </c>
      <c r="C145" s="9" t="s">
        <v>157</v>
      </c>
      <c r="D145" s="10">
        <v>582866</v>
      </c>
      <c r="E145" s="9">
        <f>VLOOKUP(B145,'2015'!$B$2:$G$338,6,FALSE)</f>
        <v>0</v>
      </c>
      <c r="F145">
        <f t="shared" si="2"/>
        <v>0</v>
      </c>
      <c r="G145" s="2">
        <f>SUM(F145,D145)</f>
        <v>582866</v>
      </c>
    </row>
    <row r="146" spans="1:7" x14ac:dyDescent="0.2">
      <c r="A146">
        <v>2021</v>
      </c>
      <c r="B146" s="34">
        <v>5098</v>
      </c>
      <c r="C146" s="9" t="s">
        <v>158</v>
      </c>
      <c r="D146" s="10">
        <v>289806</v>
      </c>
      <c r="E146" s="9">
        <f>VLOOKUP(B146,'2015'!$B$2:$G$338,6,FALSE)</f>
        <v>0</v>
      </c>
      <c r="F146">
        <f t="shared" si="2"/>
        <v>0</v>
      </c>
      <c r="G146" s="2">
        <f>SUM(F146,D146)</f>
        <v>289806</v>
      </c>
    </row>
    <row r="147" spans="1:7" x14ac:dyDescent="0.2">
      <c r="A147">
        <v>2021</v>
      </c>
      <c r="B147" s="34">
        <v>5099</v>
      </c>
      <c r="C147" s="9" t="s">
        <v>159</v>
      </c>
      <c r="D147" s="10">
        <v>960766</v>
      </c>
      <c r="E147" s="9">
        <f>VLOOKUP(B147,'2015'!$B$2:$G$338,6,FALSE)</f>
        <v>0</v>
      </c>
      <c r="F147">
        <f t="shared" si="2"/>
        <v>0</v>
      </c>
      <c r="G147" s="2">
        <f>SUM(F147,D147)</f>
        <v>960766</v>
      </c>
    </row>
    <row r="148" spans="1:7" x14ac:dyDescent="0.2">
      <c r="A148">
        <v>2021</v>
      </c>
      <c r="B148" s="34">
        <v>5100</v>
      </c>
      <c r="C148" s="9" t="s">
        <v>160</v>
      </c>
      <c r="D148" s="10">
        <v>1105023</v>
      </c>
      <c r="E148" s="9">
        <f>VLOOKUP(B148,'2015'!$B$2:$G$338,6,FALSE)</f>
        <v>0</v>
      </c>
      <c r="F148">
        <f t="shared" si="2"/>
        <v>0</v>
      </c>
      <c r="G148" s="2">
        <f>SUM(F148,D148)</f>
        <v>1105023</v>
      </c>
    </row>
    <row r="149" spans="1:7" x14ac:dyDescent="0.2">
      <c r="A149">
        <v>2021</v>
      </c>
      <c r="B149" s="34">
        <v>5101</v>
      </c>
      <c r="C149" s="9" t="s">
        <v>161</v>
      </c>
      <c r="D149" s="10">
        <v>716374</v>
      </c>
      <c r="E149" s="9">
        <f>VLOOKUP(B149,'2015'!$B$2:$G$338,6,FALSE)</f>
        <v>0</v>
      </c>
      <c r="F149">
        <f t="shared" si="2"/>
        <v>0</v>
      </c>
      <c r="G149" s="2">
        <f>SUM(F149,D149)</f>
        <v>716374</v>
      </c>
    </row>
    <row r="150" spans="1:7" x14ac:dyDescent="0.2">
      <c r="A150">
        <v>2021</v>
      </c>
      <c r="B150" s="34">
        <v>5102</v>
      </c>
      <c r="C150" s="9" t="s">
        <v>162</v>
      </c>
      <c r="D150" s="10">
        <v>1546809</v>
      </c>
      <c r="E150" s="9">
        <f>VLOOKUP(B150,'2015'!$B$2:$G$338,6,FALSE)</f>
        <v>0</v>
      </c>
      <c r="F150">
        <f t="shared" si="2"/>
        <v>0</v>
      </c>
      <c r="G150" s="2">
        <f>SUM(F150,D150)</f>
        <v>1546809</v>
      </c>
    </row>
    <row r="151" spans="1:7" x14ac:dyDescent="0.2">
      <c r="A151">
        <v>2021</v>
      </c>
      <c r="B151" s="34">
        <v>5103</v>
      </c>
      <c r="C151" s="9" t="s">
        <v>163</v>
      </c>
      <c r="D151" s="10">
        <v>934908</v>
      </c>
      <c r="E151" s="9">
        <f>VLOOKUP(B151,'2015'!$B$2:$G$338,6,FALSE)</f>
        <v>0</v>
      </c>
      <c r="F151">
        <f t="shared" si="2"/>
        <v>0</v>
      </c>
      <c r="G151" s="2">
        <f>SUM(F151,D151)</f>
        <v>934908</v>
      </c>
    </row>
    <row r="152" spans="1:7" x14ac:dyDescent="0.2">
      <c r="A152">
        <v>2021</v>
      </c>
      <c r="B152" s="34">
        <v>5104</v>
      </c>
      <c r="C152" s="9" t="s">
        <v>164</v>
      </c>
      <c r="D152" s="10">
        <v>306657</v>
      </c>
      <c r="E152" s="9">
        <f>VLOOKUP(B152,'2015'!$B$2:$G$338,6,FALSE)</f>
        <v>0</v>
      </c>
      <c r="F152">
        <f t="shared" si="2"/>
        <v>0</v>
      </c>
      <c r="G152" s="2">
        <f>SUM(F152,D152)</f>
        <v>306657</v>
      </c>
    </row>
    <row r="153" spans="1:7" x14ac:dyDescent="0.2">
      <c r="A153">
        <v>2021</v>
      </c>
      <c r="B153" s="34">
        <v>5105</v>
      </c>
      <c r="C153" s="9" t="s">
        <v>165</v>
      </c>
      <c r="D153" s="10">
        <v>261285</v>
      </c>
      <c r="E153" s="9">
        <f>VLOOKUP(B153,'2015'!$B$2:$G$338,6,FALSE)</f>
        <v>0</v>
      </c>
      <c r="F153">
        <f t="shared" si="2"/>
        <v>0</v>
      </c>
      <c r="G153" s="2">
        <f>SUM(F153,D153)</f>
        <v>261285</v>
      </c>
    </row>
    <row r="154" spans="1:7" x14ac:dyDescent="0.2">
      <c r="A154">
        <v>2021</v>
      </c>
      <c r="B154" s="34">
        <v>5106</v>
      </c>
      <c r="C154" s="9" t="s">
        <v>166</v>
      </c>
      <c r="D154" s="10">
        <v>738943</v>
      </c>
      <c r="E154" s="9">
        <f>VLOOKUP(B154,'2015'!$B$2:$G$338,6,FALSE)</f>
        <v>0</v>
      </c>
      <c r="F154">
        <f t="shared" si="2"/>
        <v>0</v>
      </c>
      <c r="G154" s="2">
        <f>SUM(F154,D154)</f>
        <v>738943</v>
      </c>
    </row>
    <row r="155" spans="1:7" x14ac:dyDescent="0.2">
      <c r="A155">
        <v>2021</v>
      </c>
      <c r="B155" s="34">
        <v>5116</v>
      </c>
      <c r="C155" s="9" t="s">
        <v>167</v>
      </c>
      <c r="D155" s="10">
        <v>945734</v>
      </c>
      <c r="E155" s="9">
        <f>VLOOKUP(B155,'2015'!$B$2:$G$338,6,FALSE)</f>
        <v>0</v>
      </c>
      <c r="F155">
        <f t="shared" si="2"/>
        <v>0</v>
      </c>
      <c r="G155" s="2">
        <f>SUM(F155,D155)</f>
        <v>945734</v>
      </c>
    </row>
    <row r="156" spans="1:7" x14ac:dyDescent="0.2">
      <c r="A156">
        <v>2021</v>
      </c>
      <c r="B156" s="34">
        <v>5117</v>
      </c>
      <c r="C156" s="9" t="s">
        <v>168</v>
      </c>
      <c r="D156" s="10">
        <v>181713</v>
      </c>
      <c r="E156" s="9">
        <f>VLOOKUP(B156,'2015'!$B$2:$G$338,6,FALSE)</f>
        <v>0</v>
      </c>
      <c r="F156">
        <f t="shared" si="2"/>
        <v>0</v>
      </c>
      <c r="G156" s="2">
        <f>SUM(F156,D156)</f>
        <v>181713</v>
      </c>
    </row>
    <row r="157" spans="1:7" x14ac:dyDescent="0.2">
      <c r="A157">
        <v>2021</v>
      </c>
      <c r="B157" s="34">
        <v>5118</v>
      </c>
      <c r="C157" s="9" t="s">
        <v>169</v>
      </c>
      <c r="D157" s="10">
        <v>1367103</v>
      </c>
      <c r="E157" s="9">
        <f>VLOOKUP(B157,'2015'!$B$2:$G$338,6,FALSE)</f>
        <v>0</v>
      </c>
      <c r="F157">
        <f t="shared" si="2"/>
        <v>0</v>
      </c>
      <c r="G157" s="2">
        <f>SUM(F157,D157)</f>
        <v>1367103</v>
      </c>
    </row>
    <row r="158" spans="1:7" x14ac:dyDescent="0.2">
      <c r="A158">
        <v>2021</v>
      </c>
      <c r="B158" s="34">
        <v>5119</v>
      </c>
      <c r="C158" s="9" t="s">
        <v>170</v>
      </c>
      <c r="D158" s="10">
        <v>300556</v>
      </c>
      <c r="E158" s="9">
        <f>VLOOKUP(B158,'2015'!$B$2:$G$338,6,FALSE)</f>
        <v>0</v>
      </c>
      <c r="F158">
        <f t="shared" si="2"/>
        <v>0</v>
      </c>
      <c r="G158" s="2">
        <f>SUM(F158,D158)</f>
        <v>300556</v>
      </c>
    </row>
    <row r="159" spans="1:7" x14ac:dyDescent="0.2">
      <c r="A159">
        <v>2021</v>
      </c>
      <c r="B159" s="34">
        <v>5120</v>
      </c>
      <c r="C159" s="9" t="s">
        <v>171</v>
      </c>
      <c r="D159" s="10">
        <v>6508326</v>
      </c>
      <c r="E159" s="9">
        <f>VLOOKUP(B159,'2015'!$B$2:$G$338,6,FALSE)</f>
        <v>0</v>
      </c>
      <c r="F159">
        <f t="shared" si="2"/>
        <v>0</v>
      </c>
      <c r="G159" s="2">
        <f>SUM(F159,D159)</f>
        <v>6508326</v>
      </c>
    </row>
    <row r="160" spans="1:7" x14ac:dyDescent="0.2">
      <c r="A160">
        <v>2021</v>
      </c>
      <c r="B160" s="34">
        <v>5122</v>
      </c>
      <c r="C160" s="9" t="s">
        <v>172</v>
      </c>
      <c r="D160" s="10">
        <v>258637</v>
      </c>
      <c r="E160" s="9">
        <f>VLOOKUP(B160,'2015'!$B$2:$G$338,6,FALSE)</f>
        <v>0</v>
      </c>
      <c r="F160">
        <f t="shared" si="2"/>
        <v>0</v>
      </c>
      <c r="G160" s="2">
        <f>SUM(F160,D160)</f>
        <v>258637</v>
      </c>
    </row>
    <row r="161" spans="1:7" x14ac:dyDescent="0.2">
      <c r="A161">
        <v>2021</v>
      </c>
      <c r="B161" s="34">
        <v>5123</v>
      </c>
      <c r="C161" s="9" t="s">
        <v>173</v>
      </c>
      <c r="D161" s="10">
        <v>254418</v>
      </c>
      <c r="E161" s="9">
        <f>VLOOKUP(B161,'2015'!$B$2:$G$338,6,FALSE)</f>
        <v>0</v>
      </c>
      <c r="F161">
        <f t="shared" si="2"/>
        <v>0</v>
      </c>
      <c r="G161" s="2">
        <f>SUM(F161,D161)</f>
        <v>254418</v>
      </c>
    </row>
    <row r="162" spans="1:7" x14ac:dyDescent="0.2">
      <c r="A162">
        <v>2021</v>
      </c>
      <c r="B162" s="34">
        <v>5125</v>
      </c>
      <c r="C162" s="9" t="s">
        <v>174</v>
      </c>
      <c r="D162" s="10">
        <v>1776270</v>
      </c>
      <c r="E162" s="9">
        <f>VLOOKUP(B162,'2015'!$B$2:$G$338,6,FALSE)</f>
        <v>0</v>
      </c>
      <c r="F162">
        <f t="shared" si="2"/>
        <v>0</v>
      </c>
      <c r="G162" s="2">
        <f>SUM(F162,D162)</f>
        <v>1776270</v>
      </c>
    </row>
    <row r="163" spans="1:7" x14ac:dyDescent="0.2">
      <c r="A163">
        <v>2021</v>
      </c>
      <c r="B163" s="34">
        <v>5127</v>
      </c>
      <c r="C163" s="9" t="s">
        <v>175</v>
      </c>
      <c r="D163" s="10">
        <v>219185</v>
      </c>
      <c r="E163" s="9">
        <f>VLOOKUP(B163,'2015'!$B$2:$G$338,6,FALSE)</f>
        <v>0</v>
      </c>
      <c r="F163">
        <f t="shared" si="2"/>
        <v>0</v>
      </c>
      <c r="G163" s="2">
        <f>SUM(F163,D163)</f>
        <v>219185</v>
      </c>
    </row>
    <row r="164" spans="1:7" x14ac:dyDescent="0.2">
      <c r="A164">
        <v>2021</v>
      </c>
      <c r="B164" s="34">
        <v>5128</v>
      </c>
      <c r="C164" s="9" t="s">
        <v>176</v>
      </c>
      <c r="D164" s="10">
        <v>360155</v>
      </c>
      <c r="E164" s="9">
        <f>VLOOKUP(B164,'2015'!$B$2:$G$338,6,FALSE)</f>
        <v>0</v>
      </c>
      <c r="F164">
        <f t="shared" si="2"/>
        <v>0</v>
      </c>
      <c r="G164" s="2">
        <f>SUM(F164,D164)</f>
        <v>360155</v>
      </c>
    </row>
    <row r="165" spans="1:7" x14ac:dyDescent="0.2">
      <c r="A165">
        <v>2021</v>
      </c>
      <c r="B165" s="34">
        <v>5129</v>
      </c>
      <c r="C165" s="9" t="s">
        <v>177</v>
      </c>
      <c r="D165" s="10">
        <v>834901</v>
      </c>
      <c r="E165" s="9">
        <f>VLOOKUP(B165,'2015'!$B$2:$G$338,6,FALSE)</f>
        <v>0</v>
      </c>
      <c r="F165">
        <f t="shared" si="2"/>
        <v>0</v>
      </c>
      <c r="G165" s="2">
        <f>SUM(F165,D165)</f>
        <v>834901</v>
      </c>
    </row>
    <row r="166" spans="1:7" x14ac:dyDescent="0.2">
      <c r="A166">
        <v>2021</v>
      </c>
      <c r="B166" s="34">
        <v>5130</v>
      </c>
      <c r="C166" s="9" t="s">
        <v>178</v>
      </c>
      <c r="D166" s="10">
        <v>676882</v>
      </c>
      <c r="E166" s="9">
        <f>VLOOKUP(B166,'2015'!$B$2:$G$338,6,FALSE)</f>
        <v>0</v>
      </c>
      <c r="F166">
        <f t="shared" si="2"/>
        <v>0</v>
      </c>
      <c r="G166" s="2">
        <f>SUM(F166,D166)</f>
        <v>676882</v>
      </c>
    </row>
    <row r="167" spans="1:7" x14ac:dyDescent="0.2">
      <c r="A167">
        <v>2021</v>
      </c>
      <c r="B167" s="34">
        <v>5131</v>
      </c>
      <c r="C167" s="9" t="s">
        <v>179</v>
      </c>
      <c r="D167" s="10">
        <v>897365</v>
      </c>
      <c r="E167" s="9">
        <f>VLOOKUP(B167,'2015'!$B$2:$G$338,6,FALSE)</f>
        <v>0</v>
      </c>
      <c r="F167">
        <f t="shared" si="2"/>
        <v>0</v>
      </c>
      <c r="G167" s="2">
        <f>SUM(F167,D167)</f>
        <v>897365</v>
      </c>
    </row>
    <row r="168" spans="1:7" x14ac:dyDescent="0.2">
      <c r="A168">
        <v>2021</v>
      </c>
      <c r="B168" s="34">
        <v>5132</v>
      </c>
      <c r="C168" s="9" t="s">
        <v>180</v>
      </c>
      <c r="D168" s="10">
        <v>3410077</v>
      </c>
      <c r="E168" s="9">
        <f>VLOOKUP(B168,'2015'!$B$2:$G$338,6,FALSE)</f>
        <v>0</v>
      </c>
      <c r="F168">
        <f t="shared" si="2"/>
        <v>0</v>
      </c>
      <c r="G168" s="2">
        <f>SUM(F168,D168)</f>
        <v>3410077</v>
      </c>
    </row>
    <row r="169" spans="1:7" x14ac:dyDescent="0.2">
      <c r="A169">
        <v>2021</v>
      </c>
      <c r="B169" s="34">
        <v>5133</v>
      </c>
      <c r="C169" s="9" t="s">
        <v>181</v>
      </c>
      <c r="D169" s="10">
        <v>334231</v>
      </c>
      <c r="E169" s="9">
        <f>VLOOKUP(B169,'2015'!$B$2:$G$338,6,FALSE)</f>
        <v>0</v>
      </c>
      <c r="F169">
        <f t="shared" si="2"/>
        <v>0</v>
      </c>
      <c r="G169" s="2">
        <f>SUM(F169,D169)</f>
        <v>334231</v>
      </c>
    </row>
    <row r="170" spans="1:7" x14ac:dyDescent="0.2">
      <c r="A170">
        <v>2021</v>
      </c>
      <c r="B170" s="34">
        <v>5134</v>
      </c>
      <c r="C170" s="9" t="s">
        <v>182</v>
      </c>
      <c r="D170" s="10">
        <v>340771</v>
      </c>
      <c r="E170" s="9">
        <f>VLOOKUP(B170,'2015'!$B$2:$G$338,6,FALSE)</f>
        <v>0</v>
      </c>
      <c r="F170">
        <f t="shared" si="2"/>
        <v>0</v>
      </c>
      <c r="G170" s="2">
        <f>SUM(F170,D170)</f>
        <v>340771</v>
      </c>
    </row>
    <row r="171" spans="1:7" x14ac:dyDescent="0.2">
      <c r="A171">
        <v>2021</v>
      </c>
      <c r="B171" s="34">
        <v>5135</v>
      </c>
      <c r="C171" s="9" t="s">
        <v>183</v>
      </c>
      <c r="D171" s="10">
        <v>1612879</v>
      </c>
      <c r="E171" s="9">
        <f>VLOOKUP(B171,'2015'!$B$2:$G$338,6,FALSE)</f>
        <v>0</v>
      </c>
      <c r="F171">
        <f t="shared" si="2"/>
        <v>0</v>
      </c>
      <c r="G171" s="2">
        <f>SUM(F171,D171)</f>
        <v>1612879</v>
      </c>
    </row>
    <row r="172" spans="1:7" x14ac:dyDescent="0.2">
      <c r="A172">
        <v>2021</v>
      </c>
      <c r="B172" s="34">
        <v>5137</v>
      </c>
      <c r="C172" s="9" t="s">
        <v>184</v>
      </c>
      <c r="D172" s="10">
        <v>246277</v>
      </c>
      <c r="E172" s="9">
        <f>VLOOKUP(B172,'2015'!$B$2:$G$338,6,FALSE)</f>
        <v>0</v>
      </c>
      <c r="F172">
        <f t="shared" si="2"/>
        <v>0</v>
      </c>
      <c r="G172" s="2">
        <f>SUM(F172,D172)</f>
        <v>246277</v>
      </c>
    </row>
    <row r="173" spans="1:7" x14ac:dyDescent="0.2">
      <c r="A173">
        <v>2021</v>
      </c>
      <c r="B173" s="34">
        <v>5138</v>
      </c>
      <c r="C173" s="9" t="s">
        <v>185</v>
      </c>
      <c r="D173" s="10">
        <v>258189</v>
      </c>
      <c r="E173" s="9">
        <f>VLOOKUP(B173,'2015'!$B$2:$G$338,6,FALSE)</f>
        <v>0</v>
      </c>
      <c r="F173">
        <f t="shared" si="2"/>
        <v>0</v>
      </c>
      <c r="G173" s="2">
        <f>SUM(F173,D173)</f>
        <v>258189</v>
      </c>
    </row>
    <row r="174" spans="1:7" x14ac:dyDescent="0.2">
      <c r="A174">
        <v>2021</v>
      </c>
      <c r="B174" s="34">
        <v>5140</v>
      </c>
      <c r="C174" s="9" t="s">
        <v>186</v>
      </c>
      <c r="D174" s="10">
        <v>351088</v>
      </c>
      <c r="E174" s="9">
        <f>VLOOKUP(B174,'2015'!$B$2:$G$338,6,FALSE)</f>
        <v>0</v>
      </c>
      <c r="F174">
        <f t="shared" si="2"/>
        <v>0</v>
      </c>
      <c r="G174" s="2">
        <f>SUM(F174,D174)</f>
        <v>351088</v>
      </c>
    </row>
    <row r="175" spans="1:7" x14ac:dyDescent="0.2">
      <c r="A175">
        <v>2021</v>
      </c>
      <c r="B175" s="34">
        <v>5141</v>
      </c>
      <c r="C175" s="9" t="s">
        <v>187</v>
      </c>
      <c r="D175" s="10">
        <v>410185</v>
      </c>
      <c r="E175" s="9">
        <f>VLOOKUP(B175,'2015'!$B$2:$G$338,6,FALSE)</f>
        <v>0</v>
      </c>
      <c r="F175">
        <f t="shared" si="2"/>
        <v>0</v>
      </c>
      <c r="G175" s="2">
        <f>SUM(F175,D175)</f>
        <v>410185</v>
      </c>
    </row>
    <row r="176" spans="1:7" x14ac:dyDescent="0.2">
      <c r="A176">
        <v>2021</v>
      </c>
      <c r="B176" s="34">
        <v>5142</v>
      </c>
      <c r="C176" s="9" t="s">
        <v>188</v>
      </c>
      <c r="D176" s="10">
        <v>101570</v>
      </c>
      <c r="E176" s="9">
        <f>VLOOKUP(B176,'2015'!$B$2:$G$338,6,FALSE)</f>
        <v>0</v>
      </c>
      <c r="F176">
        <f t="shared" si="2"/>
        <v>0</v>
      </c>
      <c r="G176" s="2">
        <f>SUM(F176,D176)</f>
        <v>101570</v>
      </c>
    </row>
    <row r="177" spans="1:7" x14ac:dyDescent="0.2">
      <c r="A177">
        <v>2021</v>
      </c>
      <c r="B177" s="34">
        <v>5143</v>
      </c>
      <c r="C177" s="9" t="s">
        <v>189</v>
      </c>
      <c r="D177" s="10">
        <v>625913</v>
      </c>
      <c r="E177" s="9">
        <f>VLOOKUP(B177,'2015'!$B$2:$G$338,6,FALSE)</f>
        <v>0</v>
      </c>
      <c r="F177">
        <f t="shared" si="2"/>
        <v>0</v>
      </c>
      <c r="G177" s="2">
        <f>SUM(F177,D177)</f>
        <v>625913</v>
      </c>
    </row>
    <row r="178" spans="1:7" x14ac:dyDescent="0.2">
      <c r="A178">
        <v>2021</v>
      </c>
      <c r="B178" s="34">
        <v>5144</v>
      </c>
      <c r="C178" s="9" t="s">
        <v>190</v>
      </c>
      <c r="D178" s="10">
        <v>288665</v>
      </c>
      <c r="E178" s="9">
        <f>VLOOKUP(B178,'2015'!$B$2:$G$338,6,FALSE)</f>
        <v>0</v>
      </c>
      <c r="F178">
        <f t="shared" si="2"/>
        <v>0</v>
      </c>
      <c r="G178" s="2">
        <f>SUM(F178,D178)</f>
        <v>288665</v>
      </c>
    </row>
    <row r="179" spans="1:7" x14ac:dyDescent="0.2">
      <c r="A179">
        <v>2021</v>
      </c>
      <c r="B179" s="34">
        <v>5145</v>
      </c>
      <c r="C179" s="9" t="s">
        <v>191</v>
      </c>
      <c r="D179" s="10">
        <v>295268</v>
      </c>
      <c r="E179" s="9">
        <f>VLOOKUP(B179,'2015'!$B$2:$G$338,6,FALSE)</f>
        <v>0</v>
      </c>
      <c r="F179">
        <f t="shared" si="2"/>
        <v>0</v>
      </c>
      <c r="G179" s="2">
        <f>SUM(F179,D179)</f>
        <v>295268</v>
      </c>
    </row>
    <row r="180" spans="1:7" x14ac:dyDescent="0.2">
      <c r="A180">
        <v>2021</v>
      </c>
      <c r="B180" s="34">
        <v>5147</v>
      </c>
      <c r="C180" s="9" t="s">
        <v>192</v>
      </c>
      <c r="D180" s="10">
        <v>6353804</v>
      </c>
      <c r="E180" s="9">
        <f>VLOOKUP(B180,'2015'!$B$2:$G$338,6,FALSE)</f>
        <v>0</v>
      </c>
      <c r="F180">
        <f t="shared" si="2"/>
        <v>0</v>
      </c>
      <c r="G180" s="2">
        <f>SUM(F180,D180)</f>
        <v>6353804</v>
      </c>
    </row>
    <row r="181" spans="1:7" x14ac:dyDescent="0.2">
      <c r="A181">
        <v>2021</v>
      </c>
      <c r="B181" s="34">
        <v>5148</v>
      </c>
      <c r="C181" s="9" t="s">
        <v>193</v>
      </c>
      <c r="D181" s="10">
        <v>625166</v>
      </c>
      <c r="E181" s="9">
        <f>VLOOKUP(B181,'2015'!$B$2:$G$338,6,FALSE)</f>
        <v>0</v>
      </c>
      <c r="F181">
        <f t="shared" si="2"/>
        <v>0</v>
      </c>
      <c r="G181" s="2">
        <f>SUM(F181,D181)</f>
        <v>625166</v>
      </c>
    </row>
    <row r="182" spans="1:7" x14ac:dyDescent="0.2">
      <c r="A182">
        <v>2021</v>
      </c>
      <c r="B182" s="34">
        <v>5149</v>
      </c>
      <c r="C182" s="9" t="s">
        <v>194</v>
      </c>
      <c r="D182" s="10">
        <v>1275428</v>
      </c>
      <c r="E182" s="9">
        <f>VLOOKUP(B182,'2015'!$B$2:$G$338,6,FALSE)</f>
        <v>0</v>
      </c>
      <c r="F182">
        <f t="shared" si="2"/>
        <v>0</v>
      </c>
      <c r="G182" s="2">
        <f>SUM(F182,D182)</f>
        <v>1275428</v>
      </c>
    </row>
    <row r="183" spans="1:7" x14ac:dyDescent="0.2">
      <c r="A183">
        <v>2021</v>
      </c>
      <c r="B183" s="34">
        <v>5150</v>
      </c>
      <c r="C183" s="9" t="s">
        <v>247</v>
      </c>
      <c r="D183" s="10">
        <v>1041474</v>
      </c>
      <c r="E183" s="9">
        <f>VLOOKUP(B183,'2015'!$B$2:$G$338,6,FALSE)</f>
        <v>0</v>
      </c>
      <c r="F183">
        <f t="shared" si="2"/>
        <v>0</v>
      </c>
      <c r="G183" s="2">
        <f>SUM(F183,D183)</f>
        <v>1041474</v>
      </c>
    </row>
    <row r="184" spans="1:7" x14ac:dyDescent="0.2">
      <c r="A184">
        <v>2021</v>
      </c>
      <c r="B184" s="34">
        <v>5151</v>
      </c>
      <c r="C184" s="9" t="s">
        <v>196</v>
      </c>
      <c r="D184" s="10">
        <v>391094</v>
      </c>
      <c r="E184" s="9">
        <f>VLOOKUP(B184,'2015'!$B$2:$G$338,6,FALSE)</f>
        <v>0</v>
      </c>
      <c r="F184">
        <f t="shared" si="2"/>
        <v>0</v>
      </c>
      <c r="G184" s="2">
        <f>SUM(F184,D184)</f>
        <v>391094</v>
      </c>
    </row>
    <row r="185" spans="1:7" x14ac:dyDescent="0.2">
      <c r="A185">
        <v>2021</v>
      </c>
      <c r="B185" s="34">
        <v>5152</v>
      </c>
      <c r="C185" s="9" t="s">
        <v>197</v>
      </c>
      <c r="D185" s="10">
        <v>591780</v>
      </c>
      <c r="E185" s="9">
        <f>VLOOKUP(B185,'2015'!$B$2:$G$338,6,FALSE)</f>
        <v>0</v>
      </c>
      <c r="F185">
        <f t="shared" si="2"/>
        <v>0</v>
      </c>
      <c r="G185" s="2">
        <f>SUM(F185,D185)</f>
        <v>591780</v>
      </c>
    </row>
    <row r="186" spans="1:7" x14ac:dyDescent="0.2">
      <c r="A186">
        <v>2021</v>
      </c>
      <c r="B186" s="34">
        <v>5153</v>
      </c>
      <c r="C186" s="9" t="s">
        <v>198</v>
      </c>
      <c r="D186" s="10">
        <v>141959</v>
      </c>
      <c r="E186" s="9">
        <f>VLOOKUP(B186,'2015'!$B$2:$G$338,6,FALSE)</f>
        <v>0</v>
      </c>
      <c r="F186">
        <f t="shared" si="2"/>
        <v>0</v>
      </c>
      <c r="G186" s="2">
        <f>SUM(F186,D186)</f>
        <v>141959</v>
      </c>
    </row>
    <row r="187" spans="1:7" x14ac:dyDescent="0.2">
      <c r="A187">
        <v>2021</v>
      </c>
      <c r="B187" s="34">
        <v>5154</v>
      </c>
      <c r="C187" s="9" t="s">
        <v>199</v>
      </c>
      <c r="D187" s="10">
        <v>229541</v>
      </c>
      <c r="E187" s="9">
        <f>VLOOKUP(B187,'2015'!$B$2:$G$338,6,FALSE)</f>
        <v>0</v>
      </c>
      <c r="F187">
        <f t="shared" si="2"/>
        <v>0</v>
      </c>
      <c r="G187" s="2">
        <f>SUM(F187,D187)</f>
        <v>229541</v>
      </c>
    </row>
    <row r="188" spans="1:7" x14ac:dyDescent="0.2">
      <c r="A188">
        <v>2021</v>
      </c>
      <c r="B188" s="34">
        <v>5082</v>
      </c>
      <c r="C188" s="15" t="s">
        <v>356</v>
      </c>
      <c r="D188" s="10">
        <v>115838</v>
      </c>
      <c r="E188" s="9">
        <f>VLOOKUP(B188,'2015'!$B$2:$G$338,6,FALSE)</f>
        <v>0</v>
      </c>
      <c r="F188">
        <f t="shared" si="2"/>
        <v>0</v>
      </c>
      <c r="G188" s="2">
        <f>SUM(F188,D188)</f>
        <v>115838</v>
      </c>
    </row>
    <row r="189" spans="1:7" x14ac:dyDescent="0.2">
      <c r="A189">
        <v>2021</v>
      </c>
      <c r="B189" s="34">
        <v>5156</v>
      </c>
      <c r="C189" s="9" t="s">
        <v>201</v>
      </c>
      <c r="D189" s="10">
        <v>820842</v>
      </c>
      <c r="E189" s="9">
        <f>VLOOKUP(B189,'2015'!$B$2:$G$338,6,FALSE)</f>
        <v>0</v>
      </c>
      <c r="F189">
        <f t="shared" si="2"/>
        <v>0</v>
      </c>
      <c r="G189" s="2">
        <f>SUM(F189,D189)</f>
        <v>820842</v>
      </c>
    </row>
    <row r="190" spans="1:7" x14ac:dyDescent="0.2">
      <c r="A190">
        <v>2021</v>
      </c>
      <c r="B190" s="34">
        <v>5157</v>
      </c>
      <c r="C190" s="9" t="s">
        <v>202</v>
      </c>
      <c r="D190" s="10">
        <v>165339</v>
      </c>
      <c r="E190" s="9">
        <f>VLOOKUP(B190,'2015'!$B$2:$G$338,6,FALSE)</f>
        <v>0</v>
      </c>
      <c r="F190">
        <f t="shared" si="2"/>
        <v>0</v>
      </c>
      <c r="G190" s="2">
        <f>SUM(F190,D190)</f>
        <v>165339</v>
      </c>
    </row>
    <row r="191" spans="1:7" x14ac:dyDescent="0.2">
      <c r="A191">
        <v>2021</v>
      </c>
      <c r="B191" s="34">
        <v>5158</v>
      </c>
      <c r="C191" s="9" t="s">
        <v>203</v>
      </c>
      <c r="D191" s="10">
        <v>826896</v>
      </c>
      <c r="E191" s="9">
        <f>VLOOKUP(B191,'2015'!$B$2:$G$338,6,FALSE)</f>
        <v>0</v>
      </c>
      <c r="F191">
        <f t="shared" si="2"/>
        <v>0</v>
      </c>
      <c r="G191" s="2">
        <f>SUM(F191,D191)</f>
        <v>826896</v>
      </c>
    </row>
    <row r="192" spans="1:7" x14ac:dyDescent="0.2">
      <c r="A192">
        <v>2021</v>
      </c>
      <c r="B192" s="34">
        <v>5159</v>
      </c>
      <c r="C192" s="9" t="s">
        <v>204</v>
      </c>
      <c r="D192" s="10">
        <v>1348231</v>
      </c>
      <c r="E192" s="9">
        <f>VLOOKUP(B192,'2015'!$B$2:$G$338,6,FALSE)</f>
        <v>0</v>
      </c>
      <c r="F192">
        <f t="shared" si="2"/>
        <v>0</v>
      </c>
      <c r="G192" s="2">
        <f>SUM(F192,D192)</f>
        <v>1348231</v>
      </c>
    </row>
    <row r="193" spans="1:7" x14ac:dyDescent="0.2">
      <c r="A193">
        <v>2021</v>
      </c>
      <c r="B193" s="34">
        <v>5160</v>
      </c>
      <c r="C193" s="9" t="s">
        <v>205</v>
      </c>
      <c r="D193" s="10">
        <v>318935</v>
      </c>
      <c r="E193" s="9">
        <f>VLOOKUP(B193,'2015'!$B$2:$G$338,6,FALSE)</f>
        <v>0</v>
      </c>
      <c r="F193">
        <f t="shared" si="2"/>
        <v>0</v>
      </c>
      <c r="G193" s="2">
        <f>SUM(F193,D193)</f>
        <v>318935</v>
      </c>
    </row>
    <row r="194" spans="1:7" x14ac:dyDescent="0.2">
      <c r="A194">
        <v>2021</v>
      </c>
      <c r="B194" s="34">
        <v>5161</v>
      </c>
      <c r="C194" s="9" t="s">
        <v>206</v>
      </c>
      <c r="D194" s="10">
        <v>442239</v>
      </c>
      <c r="E194" s="9">
        <f>VLOOKUP(B194,'2015'!$B$2:$G$338,6,FALSE)</f>
        <v>0</v>
      </c>
      <c r="F194">
        <f t="shared" si="2"/>
        <v>0</v>
      </c>
      <c r="G194" s="2">
        <f>SUM(F194,D194)</f>
        <v>442239</v>
      </c>
    </row>
    <row r="195" spans="1:7" x14ac:dyDescent="0.2">
      <c r="A195">
        <v>2021</v>
      </c>
      <c r="B195" s="34">
        <v>5162</v>
      </c>
      <c r="C195" s="9" t="s">
        <v>207</v>
      </c>
      <c r="D195" s="10">
        <v>478332</v>
      </c>
      <c r="E195" s="9">
        <f>VLOOKUP(B195,'2015'!$B$2:$G$338,6,FALSE)</f>
        <v>0</v>
      </c>
      <c r="F195">
        <f t="shared" ref="F195:F258" si="3">E195*$D$336</f>
        <v>0</v>
      </c>
      <c r="G195" s="2">
        <f>SUM(F195,D195)</f>
        <v>478332</v>
      </c>
    </row>
    <row r="196" spans="1:7" x14ac:dyDescent="0.2">
      <c r="A196">
        <v>2021</v>
      </c>
      <c r="B196" s="34">
        <v>5163</v>
      </c>
      <c r="C196" s="9" t="s">
        <v>208</v>
      </c>
      <c r="D196" s="10">
        <v>328150</v>
      </c>
      <c r="E196" s="9">
        <f>VLOOKUP(B196,'2015'!$B$2:$G$338,6,FALSE)</f>
        <v>0</v>
      </c>
      <c r="F196">
        <f t="shared" si="3"/>
        <v>0</v>
      </c>
      <c r="G196" s="2">
        <f>SUM(F196,D196)</f>
        <v>328150</v>
      </c>
    </row>
    <row r="197" spans="1:7" x14ac:dyDescent="0.2">
      <c r="A197">
        <v>2021</v>
      </c>
      <c r="B197" s="34">
        <v>5164</v>
      </c>
      <c r="C197" s="9" t="s">
        <v>209</v>
      </c>
      <c r="D197" s="10">
        <v>370357</v>
      </c>
      <c r="E197" s="9">
        <f>VLOOKUP(B197,'2015'!$B$2:$G$338,6,FALSE)</f>
        <v>0</v>
      </c>
      <c r="F197">
        <f t="shared" si="3"/>
        <v>0</v>
      </c>
      <c r="G197" s="2">
        <f>SUM(F197,D197)</f>
        <v>370357</v>
      </c>
    </row>
    <row r="198" spans="1:7" x14ac:dyDescent="0.2">
      <c r="A198">
        <v>2021</v>
      </c>
      <c r="B198" s="34">
        <v>5166</v>
      </c>
      <c r="C198" s="9" t="s">
        <v>210</v>
      </c>
      <c r="D198" s="10">
        <v>248623</v>
      </c>
      <c r="E198" s="9">
        <f>VLOOKUP(B198,'2015'!$B$2:$G$338,6,FALSE)</f>
        <v>0</v>
      </c>
      <c r="F198">
        <f t="shared" si="3"/>
        <v>0</v>
      </c>
      <c r="G198" s="2">
        <f>SUM(F198,D198)</f>
        <v>248623</v>
      </c>
    </row>
    <row r="199" spans="1:7" x14ac:dyDescent="0.2">
      <c r="A199">
        <v>2021</v>
      </c>
      <c r="B199" s="34">
        <v>5167</v>
      </c>
      <c r="C199" s="9" t="s">
        <v>211</v>
      </c>
      <c r="D199" s="10">
        <v>630457</v>
      </c>
      <c r="E199" s="9">
        <f>VLOOKUP(B199,'2015'!$B$2:$G$338,6,FALSE)</f>
        <v>0</v>
      </c>
      <c r="F199">
        <f t="shared" si="3"/>
        <v>0</v>
      </c>
      <c r="G199" s="2">
        <f>SUM(F199,D199)</f>
        <v>630457</v>
      </c>
    </row>
    <row r="200" spans="1:7" x14ac:dyDescent="0.2">
      <c r="A200">
        <v>2021</v>
      </c>
      <c r="B200" s="34">
        <v>5168</v>
      </c>
      <c r="C200" s="9" t="s">
        <v>212</v>
      </c>
      <c r="D200" s="10">
        <v>685661</v>
      </c>
      <c r="E200" s="9">
        <f>VLOOKUP(B200,'2015'!$B$2:$G$338,6,FALSE)</f>
        <v>0</v>
      </c>
      <c r="F200">
        <f t="shared" si="3"/>
        <v>0</v>
      </c>
      <c r="G200" s="2">
        <f>SUM(F200,D200)</f>
        <v>685661</v>
      </c>
    </row>
    <row r="201" spans="1:7" x14ac:dyDescent="0.2">
      <c r="A201">
        <v>2021</v>
      </c>
      <c r="B201" s="34">
        <v>5171</v>
      </c>
      <c r="C201" s="9" t="s">
        <v>213</v>
      </c>
      <c r="D201" s="10">
        <v>284894</v>
      </c>
      <c r="E201" s="9">
        <f>VLOOKUP(B201,'2015'!$B$2:$G$338,6,FALSE)</f>
        <v>0</v>
      </c>
      <c r="F201">
        <f t="shared" si="3"/>
        <v>0</v>
      </c>
      <c r="G201" s="2">
        <f>SUM(F201,D201)</f>
        <v>284894</v>
      </c>
    </row>
    <row r="202" spans="1:7" x14ac:dyDescent="0.2">
      <c r="A202">
        <v>2021</v>
      </c>
      <c r="B202" s="34">
        <v>5172</v>
      </c>
      <c r="C202" s="9" t="s">
        <v>214</v>
      </c>
      <c r="D202" s="10">
        <v>764287</v>
      </c>
      <c r="E202" s="9">
        <f>VLOOKUP(B202,'2015'!$B$2:$G$338,6,FALSE)</f>
        <v>0</v>
      </c>
      <c r="F202">
        <f t="shared" si="3"/>
        <v>0</v>
      </c>
      <c r="G202" s="2">
        <f>SUM(F202,D202)</f>
        <v>764287</v>
      </c>
    </row>
    <row r="203" spans="1:7" x14ac:dyDescent="0.2">
      <c r="A203">
        <v>2021</v>
      </c>
      <c r="B203" s="34">
        <v>5173</v>
      </c>
      <c r="C203" s="9" t="s">
        <v>215</v>
      </c>
      <c r="D203" s="10">
        <v>390129</v>
      </c>
      <c r="E203" s="9">
        <f>VLOOKUP(B203,'2015'!$B$2:$G$338,6,FALSE)</f>
        <v>0</v>
      </c>
      <c r="F203">
        <f t="shared" si="3"/>
        <v>0</v>
      </c>
      <c r="G203" s="2">
        <f>SUM(F203,D203)</f>
        <v>390129</v>
      </c>
    </row>
    <row r="204" spans="1:7" x14ac:dyDescent="0.2">
      <c r="A204">
        <v>2021</v>
      </c>
      <c r="B204" s="34">
        <v>5174</v>
      </c>
      <c r="C204" s="9" t="s">
        <v>216</v>
      </c>
      <c r="D204" s="10">
        <v>677708</v>
      </c>
      <c r="E204" s="9">
        <f>VLOOKUP(B204,'2015'!$B$2:$G$338,6,FALSE)</f>
        <v>0</v>
      </c>
      <c r="F204">
        <f t="shared" si="3"/>
        <v>0</v>
      </c>
      <c r="G204" s="2">
        <f>SUM(F204,D204)</f>
        <v>677708</v>
      </c>
    </row>
    <row r="205" spans="1:7" x14ac:dyDescent="0.2">
      <c r="A205">
        <v>2021</v>
      </c>
      <c r="B205" s="34">
        <v>5175</v>
      </c>
      <c r="C205" s="9" t="s">
        <v>217</v>
      </c>
      <c r="D205" s="10">
        <v>321034</v>
      </c>
      <c r="E205" s="9">
        <f>VLOOKUP(B205,'2015'!$B$2:$G$338,6,FALSE)</f>
        <v>0</v>
      </c>
      <c r="F205">
        <f t="shared" si="3"/>
        <v>0</v>
      </c>
      <c r="G205" s="2">
        <f>SUM(F205,D205)</f>
        <v>321034</v>
      </c>
    </row>
    <row r="206" spans="1:7" x14ac:dyDescent="0.2">
      <c r="A206">
        <v>2021</v>
      </c>
      <c r="B206" s="34">
        <v>5176</v>
      </c>
      <c r="C206" s="9" t="s">
        <v>218</v>
      </c>
      <c r="D206" s="10">
        <v>2598179</v>
      </c>
      <c r="E206" s="9">
        <f>VLOOKUP(B206,'2015'!$B$2:$G$338,6,FALSE)</f>
        <v>0</v>
      </c>
      <c r="F206">
        <f t="shared" si="3"/>
        <v>0</v>
      </c>
      <c r="G206" s="2">
        <f>SUM(F206,D206)</f>
        <v>2598179</v>
      </c>
    </row>
    <row r="207" spans="1:7" x14ac:dyDescent="0.2">
      <c r="A207">
        <v>2021</v>
      </c>
      <c r="B207" s="34">
        <v>5185</v>
      </c>
      <c r="C207" s="9" t="s">
        <v>219</v>
      </c>
      <c r="D207" s="10">
        <v>22341062</v>
      </c>
      <c r="E207" s="9">
        <f>VLOOKUP(B207,'2015'!$B$2:$G$338,6,FALSE)</f>
        <v>0</v>
      </c>
      <c r="F207">
        <f t="shared" si="3"/>
        <v>0</v>
      </c>
      <c r="G207" s="2">
        <f>SUM(F207,D207)</f>
        <v>22341062</v>
      </c>
    </row>
    <row r="208" spans="1:7" x14ac:dyDescent="0.2">
      <c r="A208">
        <v>2021</v>
      </c>
      <c r="B208" s="34">
        <v>5186</v>
      </c>
      <c r="C208" s="9" t="s">
        <v>220</v>
      </c>
      <c r="D208" s="10">
        <v>426817</v>
      </c>
      <c r="E208" s="9">
        <f>VLOOKUP(B208,'2015'!$B$2:$G$338,6,FALSE)</f>
        <v>0</v>
      </c>
      <c r="F208">
        <f t="shared" si="3"/>
        <v>0</v>
      </c>
      <c r="G208" s="2">
        <f>SUM(F208,D208)</f>
        <v>426817</v>
      </c>
    </row>
    <row r="209" spans="1:7" x14ac:dyDescent="0.2">
      <c r="A209">
        <v>2021</v>
      </c>
      <c r="B209" s="34">
        <v>5187</v>
      </c>
      <c r="C209" s="9" t="s">
        <v>221</v>
      </c>
      <c r="D209" s="10">
        <v>553940</v>
      </c>
      <c r="E209" s="9">
        <f>VLOOKUP(B209,'2015'!$B$2:$G$338,6,FALSE)</f>
        <v>0</v>
      </c>
      <c r="F209">
        <f t="shared" si="3"/>
        <v>0</v>
      </c>
      <c r="G209" s="2">
        <f>SUM(F209,D209)</f>
        <v>553940</v>
      </c>
    </row>
    <row r="210" spans="1:7" x14ac:dyDescent="0.2">
      <c r="A210">
        <v>2021</v>
      </c>
      <c r="B210" s="34">
        <v>5188</v>
      </c>
      <c r="C210" s="9" t="s">
        <v>222</v>
      </c>
      <c r="D210" s="10">
        <v>319681</v>
      </c>
      <c r="E210" s="9">
        <f>VLOOKUP(B210,'2015'!$B$2:$G$338,6,FALSE)</f>
        <v>0</v>
      </c>
      <c r="F210">
        <f t="shared" si="3"/>
        <v>0</v>
      </c>
      <c r="G210" s="2">
        <f>SUM(F210,D210)</f>
        <v>319681</v>
      </c>
    </row>
    <row r="211" spans="1:7" x14ac:dyDescent="0.2">
      <c r="A211">
        <v>2021</v>
      </c>
      <c r="B211" s="34">
        <v>5189</v>
      </c>
      <c r="C211" s="9" t="s">
        <v>223</v>
      </c>
      <c r="D211" s="10">
        <v>107499</v>
      </c>
      <c r="E211" s="9">
        <f>VLOOKUP(B211,'2015'!$B$2:$G$338,6,FALSE)</f>
        <v>0</v>
      </c>
      <c r="F211">
        <f t="shared" si="3"/>
        <v>0</v>
      </c>
      <c r="G211" s="2">
        <f>SUM(F211,D211)</f>
        <v>107499</v>
      </c>
    </row>
    <row r="212" spans="1:7" x14ac:dyDescent="0.2">
      <c r="A212">
        <v>2021</v>
      </c>
      <c r="B212" s="34">
        <v>5190</v>
      </c>
      <c r="C212" s="9" t="s">
        <v>224</v>
      </c>
      <c r="D212" s="10">
        <v>296872</v>
      </c>
      <c r="E212" s="9">
        <f>VLOOKUP(B212,'2015'!$B$2:$G$338,6,FALSE)</f>
        <v>0</v>
      </c>
      <c r="F212">
        <f t="shared" si="3"/>
        <v>0</v>
      </c>
      <c r="G212" s="2">
        <f>SUM(F212,D212)</f>
        <v>296872</v>
      </c>
    </row>
    <row r="213" spans="1:7" x14ac:dyDescent="0.2">
      <c r="A213">
        <v>2021</v>
      </c>
      <c r="B213" s="34">
        <v>5191</v>
      </c>
      <c r="C213" s="9" t="s">
        <v>225</v>
      </c>
      <c r="D213" s="10">
        <v>1088125</v>
      </c>
      <c r="E213" s="9">
        <f>VLOOKUP(B213,'2015'!$B$2:$G$338,6,FALSE)</f>
        <v>0</v>
      </c>
      <c r="F213">
        <f t="shared" si="3"/>
        <v>0</v>
      </c>
      <c r="G213" s="2">
        <f>SUM(F213,D213)</f>
        <v>1088125</v>
      </c>
    </row>
    <row r="214" spans="1:7" x14ac:dyDescent="0.2">
      <c r="A214">
        <v>2021</v>
      </c>
      <c r="B214" s="34">
        <v>5192</v>
      </c>
      <c r="C214" s="9" t="s">
        <v>226</v>
      </c>
      <c r="D214" s="10">
        <v>365576</v>
      </c>
      <c r="E214" s="9">
        <f>VLOOKUP(B214,'2015'!$B$2:$G$338,6,FALSE)</f>
        <v>0</v>
      </c>
      <c r="F214">
        <f t="shared" si="3"/>
        <v>0</v>
      </c>
      <c r="G214" s="2">
        <f>SUM(F214,D214)</f>
        <v>365576</v>
      </c>
    </row>
    <row r="215" spans="1:7" x14ac:dyDescent="0.2">
      <c r="A215">
        <v>2021</v>
      </c>
      <c r="B215" s="34">
        <v>5193</v>
      </c>
      <c r="C215" s="9" t="s">
        <v>227</v>
      </c>
      <c r="D215" s="10">
        <v>1675086</v>
      </c>
      <c r="E215" s="9">
        <f>VLOOKUP(B215,'2015'!$B$2:$G$338,6,FALSE)</f>
        <v>0</v>
      </c>
      <c r="F215">
        <f t="shared" si="3"/>
        <v>0</v>
      </c>
      <c r="G215" s="2">
        <f>SUM(F215,D215)</f>
        <v>1675086</v>
      </c>
    </row>
    <row r="216" spans="1:7" x14ac:dyDescent="0.2">
      <c r="A216">
        <v>2021</v>
      </c>
      <c r="B216" s="34">
        <v>5195</v>
      </c>
      <c r="C216" s="9" t="s">
        <v>228</v>
      </c>
      <c r="D216" s="10">
        <v>898190</v>
      </c>
      <c r="E216" s="9">
        <f>VLOOKUP(B216,'2015'!$B$2:$G$338,6,FALSE)</f>
        <v>0</v>
      </c>
      <c r="F216">
        <f t="shared" si="3"/>
        <v>0</v>
      </c>
      <c r="G216" s="2">
        <f>SUM(F216,D216)</f>
        <v>898190</v>
      </c>
    </row>
    <row r="217" spans="1:7" x14ac:dyDescent="0.2">
      <c r="A217">
        <v>2021</v>
      </c>
      <c r="B217" s="34">
        <v>5196</v>
      </c>
      <c r="C217" s="9" t="s">
        <v>229</v>
      </c>
      <c r="D217" s="10">
        <v>597520</v>
      </c>
      <c r="E217" s="9">
        <f>VLOOKUP(B217,'2015'!$B$2:$G$338,6,FALSE)</f>
        <v>0</v>
      </c>
      <c r="F217">
        <f t="shared" si="3"/>
        <v>0</v>
      </c>
      <c r="G217" s="2">
        <f>SUM(F217,D217)</f>
        <v>597520</v>
      </c>
    </row>
    <row r="218" spans="1:7" x14ac:dyDescent="0.2">
      <c r="A218">
        <v>2021</v>
      </c>
      <c r="B218" s="34">
        <v>5197</v>
      </c>
      <c r="C218" s="9" t="s">
        <v>230</v>
      </c>
      <c r="D218" s="10">
        <v>307537</v>
      </c>
      <c r="E218" s="9">
        <f>VLOOKUP(B218,'2015'!$B$2:$G$338,6,FALSE)</f>
        <v>0</v>
      </c>
      <c r="F218">
        <f t="shared" si="3"/>
        <v>0</v>
      </c>
      <c r="G218" s="2">
        <f>SUM(F218,D218)</f>
        <v>307537</v>
      </c>
    </row>
    <row r="219" spans="1:7" x14ac:dyDescent="0.2">
      <c r="A219">
        <v>2021</v>
      </c>
      <c r="B219" s="34">
        <v>5198</v>
      </c>
      <c r="C219" s="9" t="s">
        <v>231</v>
      </c>
      <c r="D219" s="10">
        <v>1458926</v>
      </c>
      <c r="E219" s="9">
        <f>VLOOKUP(B219,'2015'!$B$2:$G$338,6,FALSE)</f>
        <v>0</v>
      </c>
      <c r="F219">
        <f t="shared" si="3"/>
        <v>0</v>
      </c>
      <c r="G219" s="2">
        <f>SUM(F219,D219)</f>
        <v>1458926</v>
      </c>
    </row>
    <row r="220" spans="1:7" x14ac:dyDescent="0.2">
      <c r="A220">
        <v>2021</v>
      </c>
      <c r="B220" s="34">
        <v>5199</v>
      </c>
      <c r="C220" s="9" t="s">
        <v>232</v>
      </c>
      <c r="D220" s="10">
        <v>465997</v>
      </c>
      <c r="E220" s="9">
        <f>VLOOKUP(B220,'2015'!$B$2:$G$338,6,FALSE)</f>
        <v>0</v>
      </c>
      <c r="F220">
        <f t="shared" si="3"/>
        <v>0</v>
      </c>
      <c r="G220" s="2">
        <f>SUM(F220,D220)</f>
        <v>465997</v>
      </c>
    </row>
    <row r="221" spans="1:7" x14ac:dyDescent="0.2">
      <c r="A221">
        <v>2021</v>
      </c>
      <c r="B221" s="34">
        <v>5200</v>
      </c>
      <c r="C221" s="9" t="s">
        <v>233</v>
      </c>
      <c r="D221" s="10">
        <v>1034894</v>
      </c>
      <c r="E221" s="9">
        <f>VLOOKUP(B221,'2015'!$B$2:$G$338,6,FALSE)</f>
        <v>0</v>
      </c>
      <c r="F221">
        <f t="shared" si="3"/>
        <v>0</v>
      </c>
      <c r="G221" s="2">
        <f>SUM(F221,D221)</f>
        <v>1034894</v>
      </c>
    </row>
    <row r="222" spans="1:7" x14ac:dyDescent="0.2">
      <c r="A222">
        <v>2021</v>
      </c>
      <c r="B222" s="34">
        <v>5201</v>
      </c>
      <c r="C222" s="9" t="s">
        <v>234</v>
      </c>
      <c r="D222" s="10">
        <v>240930</v>
      </c>
      <c r="E222" s="9">
        <f>VLOOKUP(B222,'2015'!$B$2:$G$338,6,FALSE)</f>
        <v>0</v>
      </c>
      <c r="F222">
        <f t="shared" si="3"/>
        <v>0</v>
      </c>
      <c r="G222" s="2">
        <f>SUM(F222,D222)</f>
        <v>240930</v>
      </c>
    </row>
    <row r="223" spans="1:7" x14ac:dyDescent="0.2">
      <c r="A223">
        <v>2021</v>
      </c>
      <c r="B223" s="34">
        <v>5202</v>
      </c>
      <c r="C223" s="9" t="s">
        <v>235</v>
      </c>
      <c r="D223" s="10">
        <v>283902</v>
      </c>
      <c r="E223" s="9">
        <f>VLOOKUP(B223,'2015'!$B$2:$G$338,6,FALSE)</f>
        <v>0</v>
      </c>
      <c r="F223">
        <f t="shared" si="3"/>
        <v>0</v>
      </c>
      <c r="G223" s="2">
        <f>SUM(F223,D223)</f>
        <v>283902</v>
      </c>
    </row>
    <row r="224" spans="1:7" x14ac:dyDescent="0.2">
      <c r="A224">
        <v>2021</v>
      </c>
      <c r="B224" s="34">
        <v>5203</v>
      </c>
      <c r="C224" s="9" t="s">
        <v>236</v>
      </c>
      <c r="D224" s="10">
        <v>805490</v>
      </c>
      <c r="E224" s="9">
        <f>VLOOKUP(B224,'2015'!$B$2:$G$338,6,FALSE)</f>
        <v>0</v>
      </c>
      <c r="F224">
        <f t="shared" si="3"/>
        <v>0</v>
      </c>
      <c r="G224" s="2">
        <f>SUM(F224,D224)</f>
        <v>805490</v>
      </c>
    </row>
    <row r="225" spans="1:7" x14ac:dyDescent="0.2">
      <c r="A225">
        <v>2021</v>
      </c>
      <c r="B225" s="34">
        <v>5204</v>
      </c>
      <c r="C225" s="9" t="s">
        <v>237</v>
      </c>
      <c r="D225" s="10">
        <v>1145891</v>
      </c>
      <c r="E225" s="9">
        <f>VLOOKUP(B225,'2015'!$B$2:$G$338,6,FALSE)</f>
        <v>0</v>
      </c>
      <c r="F225">
        <f t="shared" si="3"/>
        <v>0</v>
      </c>
      <c r="G225" s="2">
        <f>SUM(F225,D225)</f>
        <v>1145891</v>
      </c>
    </row>
    <row r="226" spans="1:7" x14ac:dyDescent="0.2">
      <c r="A226">
        <v>2021</v>
      </c>
      <c r="B226" s="34">
        <v>5205</v>
      </c>
      <c r="C226" s="9" t="s">
        <v>238</v>
      </c>
      <c r="D226" s="10">
        <v>493989</v>
      </c>
      <c r="E226" s="9">
        <f>VLOOKUP(B226,'2015'!$B$2:$G$338,6,FALSE)</f>
        <v>0</v>
      </c>
      <c r="F226">
        <f t="shared" si="3"/>
        <v>0</v>
      </c>
      <c r="G226" s="2">
        <f>SUM(F226,D226)</f>
        <v>493989</v>
      </c>
    </row>
    <row r="227" spans="1:7" x14ac:dyDescent="0.2">
      <c r="A227">
        <v>2021</v>
      </c>
      <c r="B227" s="34">
        <v>5206</v>
      </c>
      <c r="C227" s="9" t="s">
        <v>239</v>
      </c>
      <c r="D227" s="10">
        <v>535774</v>
      </c>
      <c r="E227" s="9">
        <f>VLOOKUP(B227,'2015'!$B$2:$G$338,6,FALSE)</f>
        <v>0</v>
      </c>
      <c r="F227">
        <f t="shared" si="3"/>
        <v>0</v>
      </c>
      <c r="G227" s="2">
        <f>SUM(F227,D227)</f>
        <v>535774</v>
      </c>
    </row>
    <row r="228" spans="1:7" x14ac:dyDescent="0.2">
      <c r="A228">
        <v>2021</v>
      </c>
      <c r="B228" s="34">
        <v>5207</v>
      </c>
      <c r="C228" s="9" t="s">
        <v>240</v>
      </c>
      <c r="D228" s="10">
        <v>1165177</v>
      </c>
      <c r="E228" s="9">
        <f>VLOOKUP(B228,'2015'!$B$2:$G$338,6,FALSE)</f>
        <v>0</v>
      </c>
      <c r="F228">
        <f t="shared" si="3"/>
        <v>0</v>
      </c>
      <c r="G228" s="2">
        <f>SUM(F228,D228)</f>
        <v>1165177</v>
      </c>
    </row>
    <row r="229" spans="1:7" x14ac:dyDescent="0.2">
      <c r="A229">
        <v>2021</v>
      </c>
      <c r="B229" s="34">
        <v>5208</v>
      </c>
      <c r="C229" s="9" t="s">
        <v>241</v>
      </c>
      <c r="D229" s="10">
        <v>295040</v>
      </c>
      <c r="E229" s="9">
        <f>VLOOKUP(B229,'2015'!$B$2:$G$338,6,FALSE)</f>
        <v>0</v>
      </c>
      <c r="F229">
        <f t="shared" si="3"/>
        <v>0</v>
      </c>
      <c r="G229" s="2">
        <f>SUM(F229,D229)</f>
        <v>295040</v>
      </c>
    </row>
    <row r="230" spans="1:7" x14ac:dyDescent="0.2">
      <c r="A230">
        <v>2021</v>
      </c>
      <c r="B230" s="34">
        <v>5210</v>
      </c>
      <c r="C230" s="9" t="s">
        <v>242</v>
      </c>
      <c r="D230" s="10">
        <v>3739395</v>
      </c>
      <c r="E230" s="9">
        <f>VLOOKUP(B230,'2015'!$B$2:$G$338,6,FALSE)</f>
        <v>0</v>
      </c>
      <c r="F230">
        <f t="shared" si="3"/>
        <v>0</v>
      </c>
      <c r="G230" s="2">
        <f>SUM(F230,D230)</f>
        <v>3739395</v>
      </c>
    </row>
    <row r="231" spans="1:7" x14ac:dyDescent="0.2">
      <c r="A231">
        <v>2021</v>
      </c>
      <c r="B231" s="34">
        <v>5212</v>
      </c>
      <c r="C231" s="9" t="s">
        <v>243</v>
      </c>
      <c r="D231" s="10">
        <v>894061</v>
      </c>
      <c r="E231" s="9">
        <f>VLOOKUP(B231,'2015'!$B$2:$G$338,6,FALSE)</f>
        <v>0</v>
      </c>
      <c r="F231">
        <f t="shared" si="3"/>
        <v>0</v>
      </c>
      <c r="G231" s="2">
        <f>SUM(F231,D231)</f>
        <v>894061</v>
      </c>
    </row>
    <row r="232" spans="1:7" x14ac:dyDescent="0.2">
      <c r="A232">
        <v>2021</v>
      </c>
      <c r="B232" s="34">
        <v>5213</v>
      </c>
      <c r="C232" s="9" t="s">
        <v>244</v>
      </c>
      <c r="D232" s="10">
        <v>717464</v>
      </c>
      <c r="E232" s="9">
        <f>VLOOKUP(B232,'2015'!$B$2:$G$338,6,FALSE)</f>
        <v>0</v>
      </c>
      <c r="F232">
        <f t="shared" si="3"/>
        <v>0</v>
      </c>
      <c r="G232" s="2">
        <f>SUM(F232,D232)</f>
        <v>717464</v>
      </c>
    </row>
    <row r="233" spans="1:7" x14ac:dyDescent="0.2">
      <c r="A233">
        <v>2021</v>
      </c>
      <c r="B233" s="34">
        <v>5214</v>
      </c>
      <c r="C233" s="9" t="s">
        <v>245</v>
      </c>
      <c r="D233" s="10">
        <v>3526204</v>
      </c>
      <c r="E233" s="9">
        <f>VLOOKUP(B233,'2015'!$B$2:$G$338,6,FALSE)</f>
        <v>0</v>
      </c>
      <c r="F233">
        <f t="shared" si="3"/>
        <v>0</v>
      </c>
      <c r="G233" s="2">
        <f>SUM(F233,D233)</f>
        <v>3526204</v>
      </c>
    </row>
    <row r="234" spans="1:7" x14ac:dyDescent="0.2">
      <c r="A234">
        <v>2021</v>
      </c>
      <c r="B234" s="34">
        <v>5215</v>
      </c>
      <c r="C234" s="9" t="s">
        <v>246</v>
      </c>
      <c r="D234" s="10">
        <v>845219</v>
      </c>
      <c r="E234" s="9">
        <f>VLOOKUP(B234,'2015'!$B$2:$G$338,6,FALSE)</f>
        <v>0</v>
      </c>
      <c r="F234">
        <f t="shared" si="3"/>
        <v>0</v>
      </c>
      <c r="G234" s="2">
        <f>SUM(F234,D234)</f>
        <v>845219</v>
      </c>
    </row>
    <row r="235" spans="1:7" x14ac:dyDescent="0.2">
      <c r="A235">
        <v>2021</v>
      </c>
      <c r="B235" s="34">
        <v>5216</v>
      </c>
      <c r="C235" s="9" t="s">
        <v>299</v>
      </c>
      <c r="D235" s="10">
        <v>989660</v>
      </c>
      <c r="E235" s="9">
        <f>VLOOKUP(B235,'2015'!$B$2:$G$338,6,FALSE)</f>
        <v>0</v>
      </c>
      <c r="F235">
        <f t="shared" si="3"/>
        <v>0</v>
      </c>
      <c r="G235" s="2">
        <f>SUM(F235,D235)</f>
        <v>989660</v>
      </c>
    </row>
    <row r="236" spans="1:7" x14ac:dyDescent="0.2">
      <c r="A236">
        <v>2021</v>
      </c>
      <c r="B236" s="34">
        <v>5217</v>
      </c>
      <c r="C236" s="9" t="s">
        <v>248</v>
      </c>
      <c r="D236" s="10">
        <v>128355</v>
      </c>
      <c r="E236" s="9">
        <f>VLOOKUP(B236,'2015'!$B$2:$G$338,6,FALSE)</f>
        <v>0</v>
      </c>
      <c r="F236">
        <f t="shared" si="3"/>
        <v>0</v>
      </c>
      <c r="G236" s="2">
        <f>SUM(F236,D236)</f>
        <v>128355</v>
      </c>
    </row>
    <row r="237" spans="1:7" x14ac:dyDescent="0.2">
      <c r="A237">
        <v>2021</v>
      </c>
      <c r="B237" s="34">
        <v>5218</v>
      </c>
      <c r="C237" s="9" t="s">
        <v>249</v>
      </c>
      <c r="D237" s="10">
        <v>322906</v>
      </c>
      <c r="E237" s="9">
        <f>VLOOKUP(B237,'2015'!$B$2:$G$338,6,FALSE)</f>
        <v>0</v>
      </c>
      <c r="F237">
        <f t="shared" si="3"/>
        <v>0</v>
      </c>
      <c r="G237" s="2">
        <f>SUM(F237,D237)</f>
        <v>322906</v>
      </c>
    </row>
    <row r="238" spans="1:7" x14ac:dyDescent="0.2">
      <c r="A238">
        <v>2021</v>
      </c>
      <c r="B238" s="34">
        <v>5219</v>
      </c>
      <c r="C238" s="9" t="s">
        <v>250</v>
      </c>
      <c r="D238" s="10">
        <v>217999</v>
      </c>
      <c r="E238" s="9">
        <f>VLOOKUP(B238,'2015'!$B$2:$G$338,6,FALSE)</f>
        <v>0</v>
      </c>
      <c r="F238">
        <f t="shared" si="3"/>
        <v>0</v>
      </c>
      <c r="G238" s="2">
        <f>SUM(F238,D238)</f>
        <v>217999</v>
      </c>
    </row>
    <row r="239" spans="1:7" x14ac:dyDescent="0.2">
      <c r="A239">
        <v>2021</v>
      </c>
      <c r="B239" s="34">
        <v>5220</v>
      </c>
      <c r="C239" s="9" t="s">
        <v>251</v>
      </c>
      <c r="D239" s="10">
        <v>462841</v>
      </c>
      <c r="E239" s="9">
        <f>VLOOKUP(B239,'2015'!$B$2:$G$338,6,FALSE)</f>
        <v>0</v>
      </c>
      <c r="F239">
        <f t="shared" si="3"/>
        <v>0</v>
      </c>
      <c r="G239" s="2">
        <f>SUM(F239,D239)</f>
        <v>462841</v>
      </c>
    </row>
    <row r="240" spans="1:7" x14ac:dyDescent="0.2">
      <c r="A240">
        <v>2021</v>
      </c>
      <c r="B240" s="34">
        <v>5155</v>
      </c>
      <c r="C240" s="15" t="s">
        <v>357</v>
      </c>
      <c r="D240" s="10">
        <v>308215</v>
      </c>
      <c r="E240" s="9">
        <f>VLOOKUP(B240,'2015'!$B$2:$G$338,6,FALSE)</f>
        <v>0</v>
      </c>
      <c r="F240">
        <f t="shared" si="3"/>
        <v>0</v>
      </c>
      <c r="G240" s="2">
        <f>SUM(F240,D240)</f>
        <v>308215</v>
      </c>
    </row>
    <row r="241" spans="1:7" x14ac:dyDescent="0.2">
      <c r="A241">
        <v>2021</v>
      </c>
      <c r="B241" s="34">
        <v>5223</v>
      </c>
      <c r="C241" s="9" t="s">
        <v>253</v>
      </c>
      <c r="D241" s="10">
        <v>456272</v>
      </c>
      <c r="E241" s="9">
        <f>VLOOKUP(B241,'2015'!$B$2:$G$338,6,FALSE)</f>
        <v>0</v>
      </c>
      <c r="F241">
        <f t="shared" si="3"/>
        <v>0</v>
      </c>
      <c r="G241" s="2">
        <f>SUM(F241,D241)</f>
        <v>456272</v>
      </c>
    </row>
    <row r="242" spans="1:7" x14ac:dyDescent="0.2">
      <c r="A242">
        <v>2021</v>
      </c>
      <c r="B242" s="34">
        <v>5226</v>
      </c>
      <c r="C242" s="9" t="s">
        <v>254</v>
      </c>
      <c r="D242" s="10">
        <v>267137</v>
      </c>
      <c r="E242" s="9">
        <f>VLOOKUP(B242,'2015'!$B$2:$G$338,6,FALSE)</f>
        <v>0</v>
      </c>
      <c r="F242">
        <f t="shared" si="3"/>
        <v>0</v>
      </c>
      <c r="G242" s="2">
        <f>SUM(F242,D242)</f>
        <v>267137</v>
      </c>
    </row>
    <row r="243" spans="1:7" x14ac:dyDescent="0.2">
      <c r="A243">
        <v>2021</v>
      </c>
      <c r="B243" s="34">
        <v>5227</v>
      </c>
      <c r="C243" s="9" t="s">
        <v>255</v>
      </c>
      <c r="D243" s="10">
        <v>92319</v>
      </c>
      <c r="E243" s="9">
        <f>VLOOKUP(B243,'2015'!$B$2:$G$338,6,FALSE)</f>
        <v>0</v>
      </c>
      <c r="F243">
        <f t="shared" si="3"/>
        <v>0</v>
      </c>
      <c r="G243" s="2">
        <f>SUM(F243,D243)</f>
        <v>92319</v>
      </c>
    </row>
    <row r="244" spans="1:7" x14ac:dyDescent="0.2">
      <c r="A244">
        <v>2021</v>
      </c>
      <c r="B244" s="34">
        <v>5228</v>
      </c>
      <c r="C244" s="9" t="s">
        <v>256</v>
      </c>
      <c r="D244" s="10">
        <v>165013</v>
      </c>
      <c r="E244" s="9">
        <f>VLOOKUP(B244,'2015'!$B$2:$G$338,6,FALSE)</f>
        <v>0</v>
      </c>
      <c r="F244">
        <f t="shared" si="3"/>
        <v>0</v>
      </c>
      <c r="G244" s="2">
        <f>SUM(F244,D244)</f>
        <v>165013</v>
      </c>
    </row>
    <row r="245" spans="1:7" x14ac:dyDescent="0.2">
      <c r="A245">
        <v>2021</v>
      </c>
      <c r="B245" s="34">
        <v>5229</v>
      </c>
      <c r="C245" s="9" t="s">
        <v>257</v>
      </c>
      <c r="D245" s="10">
        <v>356536</v>
      </c>
      <c r="E245" s="9">
        <f>VLOOKUP(B245,'2015'!$B$2:$G$338,6,FALSE)</f>
        <v>0</v>
      </c>
      <c r="F245">
        <f t="shared" si="3"/>
        <v>0</v>
      </c>
      <c r="G245" s="2">
        <f>SUM(F245,D245)</f>
        <v>356536</v>
      </c>
    </row>
    <row r="246" spans="1:7" x14ac:dyDescent="0.2">
      <c r="A246">
        <v>2021</v>
      </c>
      <c r="B246" s="34">
        <v>5230</v>
      </c>
      <c r="C246" s="9" t="s">
        <v>258</v>
      </c>
      <c r="D246" s="10">
        <v>746895</v>
      </c>
      <c r="E246" s="9">
        <f>VLOOKUP(B246,'2015'!$B$2:$G$338,6,FALSE)</f>
        <v>0</v>
      </c>
      <c r="F246">
        <f t="shared" si="3"/>
        <v>0</v>
      </c>
      <c r="G246" s="2">
        <f>SUM(F246,D246)</f>
        <v>746895</v>
      </c>
    </row>
    <row r="247" spans="1:7" x14ac:dyDescent="0.2">
      <c r="A247">
        <v>2021</v>
      </c>
      <c r="B247" s="34">
        <v>5231</v>
      </c>
      <c r="C247" s="9" t="s">
        <v>259</v>
      </c>
      <c r="D247" s="10">
        <v>1394856</v>
      </c>
      <c r="E247" s="9">
        <f>VLOOKUP(B247,'2015'!$B$2:$G$338,6,FALSE)</f>
        <v>0</v>
      </c>
      <c r="F247">
        <f t="shared" si="3"/>
        <v>0</v>
      </c>
      <c r="G247" s="2">
        <f>SUM(F247,D247)</f>
        <v>1394856</v>
      </c>
    </row>
    <row r="248" spans="1:7" x14ac:dyDescent="0.2">
      <c r="A248">
        <v>2021</v>
      </c>
      <c r="B248" s="34">
        <v>5233</v>
      </c>
      <c r="C248" s="9" t="s">
        <v>260</v>
      </c>
      <c r="D248" s="10">
        <v>6142665</v>
      </c>
      <c r="E248" s="9">
        <f>VLOOKUP(B248,'2015'!$B$2:$G$338,6,FALSE)</f>
        <v>0</v>
      </c>
      <c r="F248">
        <f t="shared" si="3"/>
        <v>0</v>
      </c>
      <c r="G248" s="2">
        <f>SUM(F248,D248)</f>
        <v>6142665</v>
      </c>
    </row>
    <row r="249" spans="1:7" x14ac:dyDescent="0.2">
      <c r="A249">
        <v>2021</v>
      </c>
      <c r="B249" s="34">
        <v>5235</v>
      </c>
      <c r="C249" s="9" t="s">
        <v>261</v>
      </c>
      <c r="D249" s="10">
        <v>253390</v>
      </c>
      <c r="E249" s="9">
        <f>VLOOKUP(B249,'2015'!$B$2:$G$338,6,FALSE)</f>
        <v>0</v>
      </c>
      <c r="F249">
        <f t="shared" si="3"/>
        <v>0</v>
      </c>
      <c r="G249" s="2">
        <f>SUM(F249,D249)</f>
        <v>253390</v>
      </c>
    </row>
    <row r="250" spans="1:7" x14ac:dyDescent="0.2">
      <c r="A250">
        <v>2021</v>
      </c>
      <c r="B250" s="34">
        <v>5236</v>
      </c>
      <c r="C250" s="9" t="s">
        <v>262</v>
      </c>
      <c r="D250" s="10">
        <v>559337</v>
      </c>
      <c r="E250" s="9">
        <f>VLOOKUP(B250,'2015'!$B$2:$G$338,6,FALSE)</f>
        <v>0</v>
      </c>
      <c r="F250">
        <f t="shared" si="3"/>
        <v>0</v>
      </c>
      <c r="G250" s="2">
        <f>SUM(F250,D250)</f>
        <v>559337</v>
      </c>
    </row>
    <row r="251" spans="1:7" x14ac:dyDescent="0.2">
      <c r="A251">
        <v>2021</v>
      </c>
      <c r="B251" s="34">
        <v>5237</v>
      </c>
      <c r="C251" s="9" t="s">
        <v>263</v>
      </c>
      <c r="D251" s="10">
        <v>265780</v>
      </c>
      <c r="E251" s="9">
        <f>VLOOKUP(B251,'2015'!$B$2:$G$338,6,FALSE)</f>
        <v>0</v>
      </c>
      <c r="F251">
        <f t="shared" si="3"/>
        <v>0</v>
      </c>
      <c r="G251" s="2">
        <f>SUM(F251,D251)</f>
        <v>265780</v>
      </c>
    </row>
    <row r="252" spans="1:7" x14ac:dyDescent="0.2">
      <c r="A252">
        <v>2021</v>
      </c>
      <c r="B252" s="34">
        <v>5238</v>
      </c>
      <c r="C252" s="9" t="s">
        <v>264</v>
      </c>
      <c r="D252" s="10">
        <v>237804</v>
      </c>
      <c r="E252" s="9">
        <f>VLOOKUP(B252,'2015'!$B$2:$G$338,6,FALSE)</f>
        <v>0</v>
      </c>
      <c r="F252">
        <f t="shared" si="3"/>
        <v>0</v>
      </c>
      <c r="G252" s="2">
        <f>SUM(F252,D252)</f>
        <v>237804</v>
      </c>
    </row>
    <row r="253" spans="1:7" x14ac:dyDescent="0.2">
      <c r="A253">
        <v>2021</v>
      </c>
      <c r="B253" s="34">
        <v>5239</v>
      </c>
      <c r="C253" s="9" t="s">
        <v>265</v>
      </c>
      <c r="D253" s="10">
        <v>190101</v>
      </c>
      <c r="E253" s="9">
        <f>VLOOKUP(B253,'2015'!$B$2:$G$338,6,FALSE)</f>
        <v>0</v>
      </c>
      <c r="F253">
        <f t="shared" si="3"/>
        <v>0</v>
      </c>
      <c r="G253" s="2">
        <f>SUM(F253,D253)</f>
        <v>190101</v>
      </c>
    </row>
    <row r="254" spans="1:7" x14ac:dyDescent="0.2">
      <c r="A254">
        <v>2021</v>
      </c>
      <c r="B254" s="34">
        <v>5240</v>
      </c>
      <c r="C254" s="9" t="s">
        <v>266</v>
      </c>
      <c r="D254" s="10">
        <v>479368</v>
      </c>
      <c r="E254" s="9">
        <f>VLOOKUP(B254,'2015'!$B$2:$G$338,6,FALSE)</f>
        <v>0</v>
      </c>
      <c r="F254">
        <f t="shared" si="3"/>
        <v>0</v>
      </c>
      <c r="G254" s="2">
        <f>SUM(F254,D254)</f>
        <v>479368</v>
      </c>
    </row>
    <row r="255" spans="1:7" x14ac:dyDescent="0.2">
      <c r="A255">
        <v>2021</v>
      </c>
      <c r="B255" s="34">
        <v>5241</v>
      </c>
      <c r="C255" s="9" t="s">
        <v>267</v>
      </c>
      <c r="D255" s="10">
        <v>262602</v>
      </c>
      <c r="E255" s="9">
        <f>VLOOKUP(B255,'2015'!$B$2:$G$338,6,FALSE)</f>
        <v>0</v>
      </c>
      <c r="F255">
        <f t="shared" si="3"/>
        <v>0</v>
      </c>
      <c r="G255" s="2">
        <f>SUM(F255,D255)</f>
        <v>262602</v>
      </c>
    </row>
    <row r="256" spans="1:7" x14ac:dyDescent="0.2">
      <c r="A256">
        <v>2021</v>
      </c>
      <c r="B256" s="34">
        <v>5250</v>
      </c>
      <c r="C256" s="9" t="s">
        <v>268</v>
      </c>
      <c r="D256" s="10">
        <v>641919</v>
      </c>
      <c r="E256" s="9">
        <f>VLOOKUP(B256,'2015'!$B$2:$G$338,6,FALSE)</f>
        <v>0</v>
      </c>
      <c r="F256">
        <f t="shared" si="3"/>
        <v>0</v>
      </c>
      <c r="G256" s="2">
        <f>SUM(F256,D256)</f>
        <v>641919</v>
      </c>
    </row>
    <row r="257" spans="1:7" x14ac:dyDescent="0.2">
      <c r="A257">
        <v>2021</v>
      </c>
      <c r="B257" s="34">
        <v>5251</v>
      </c>
      <c r="C257" s="9" t="s">
        <v>269</v>
      </c>
      <c r="D257" s="10">
        <v>215439</v>
      </c>
      <c r="E257" s="9">
        <f>VLOOKUP(B257,'2015'!$B$2:$G$338,6,FALSE)</f>
        <v>0</v>
      </c>
      <c r="F257">
        <f t="shared" si="3"/>
        <v>0</v>
      </c>
      <c r="G257" s="2">
        <f>SUM(F257,D257)</f>
        <v>215439</v>
      </c>
    </row>
    <row r="258" spans="1:7" x14ac:dyDescent="0.2">
      <c r="A258">
        <v>2021</v>
      </c>
      <c r="B258" s="34">
        <v>5267</v>
      </c>
      <c r="C258" s="9" t="s">
        <v>270</v>
      </c>
      <c r="D258" s="10">
        <v>279110</v>
      </c>
      <c r="E258" s="9">
        <f>VLOOKUP(B258,'2015'!$B$2:$G$338,6,FALSE)</f>
        <v>0</v>
      </c>
      <c r="F258">
        <f t="shared" si="3"/>
        <v>0</v>
      </c>
      <c r="G258" s="2">
        <f>SUM(F258,D258)</f>
        <v>279110</v>
      </c>
    </row>
    <row r="259" spans="1:7" x14ac:dyDescent="0.2">
      <c r="A259">
        <v>2021</v>
      </c>
      <c r="B259" s="34">
        <v>5268</v>
      </c>
      <c r="C259" s="9" t="s">
        <v>271</v>
      </c>
      <c r="D259" s="10">
        <v>254172</v>
      </c>
      <c r="E259" s="9">
        <f>VLOOKUP(B259,'2015'!$B$2:$G$338,6,FALSE)</f>
        <v>0</v>
      </c>
      <c r="F259">
        <f t="shared" ref="F259:F322" si="4">E259*$D$336</f>
        <v>0</v>
      </c>
      <c r="G259" s="2">
        <f>SUM(F259,D259)</f>
        <v>254172</v>
      </c>
    </row>
    <row r="260" spans="1:7" x14ac:dyDescent="0.2">
      <c r="A260">
        <v>2021</v>
      </c>
      <c r="B260" s="34">
        <v>5270</v>
      </c>
      <c r="C260" s="9" t="s">
        <v>272</v>
      </c>
      <c r="D260" s="10">
        <v>359159</v>
      </c>
      <c r="E260" s="9">
        <f>VLOOKUP(B260,'2015'!$B$2:$G$338,6,FALSE)</f>
        <v>0</v>
      </c>
      <c r="F260">
        <f t="shared" si="4"/>
        <v>0</v>
      </c>
      <c r="G260" s="2">
        <f>SUM(F260,D260)</f>
        <v>359159</v>
      </c>
    </row>
    <row r="261" spans="1:7" x14ac:dyDescent="0.2">
      <c r="A261">
        <v>2021</v>
      </c>
      <c r="B261" s="34">
        <v>5271</v>
      </c>
      <c r="C261" s="9" t="s">
        <v>273</v>
      </c>
      <c r="D261" s="10">
        <v>155750</v>
      </c>
      <c r="E261" s="9">
        <f>VLOOKUP(B261,'2015'!$B$2:$G$338,6,FALSE)</f>
        <v>0</v>
      </c>
      <c r="F261">
        <f t="shared" si="4"/>
        <v>0</v>
      </c>
      <c r="G261" s="2">
        <f>SUM(F261,D261)</f>
        <v>155750</v>
      </c>
    </row>
    <row r="262" spans="1:7" x14ac:dyDescent="0.2">
      <c r="A262">
        <v>2021</v>
      </c>
      <c r="B262" s="34">
        <v>5272</v>
      </c>
      <c r="C262" s="9" t="s">
        <v>274</v>
      </c>
      <c r="D262" s="10">
        <v>3729155</v>
      </c>
      <c r="E262" s="9">
        <f>VLOOKUP(B262,'2015'!$B$2:$G$338,6,FALSE)</f>
        <v>0</v>
      </c>
      <c r="F262">
        <f t="shared" si="4"/>
        <v>0</v>
      </c>
      <c r="G262" s="2">
        <f>SUM(F262,D262)</f>
        <v>3729155</v>
      </c>
    </row>
    <row r="263" spans="1:7" x14ac:dyDescent="0.2">
      <c r="A263">
        <v>2021</v>
      </c>
      <c r="B263" s="34">
        <v>5274</v>
      </c>
      <c r="C263" s="9" t="s">
        <v>275</v>
      </c>
      <c r="D263" s="10">
        <v>806142</v>
      </c>
      <c r="E263" s="9">
        <f>VLOOKUP(B263,'2015'!$B$2:$G$338,6,FALSE)</f>
        <v>0</v>
      </c>
      <c r="F263">
        <f t="shared" si="4"/>
        <v>0</v>
      </c>
      <c r="G263" s="2">
        <f>SUM(F263,D263)</f>
        <v>806142</v>
      </c>
    </row>
    <row r="264" spans="1:7" x14ac:dyDescent="0.2">
      <c r="A264">
        <v>2021</v>
      </c>
      <c r="B264" s="34">
        <v>5275</v>
      </c>
      <c r="C264" s="9" t="s">
        <v>276</v>
      </c>
      <c r="D264" s="10">
        <v>1828556</v>
      </c>
      <c r="E264" s="9">
        <f>VLOOKUP(B264,'2015'!$B$2:$G$338,6,FALSE)</f>
        <v>0</v>
      </c>
      <c r="F264">
        <f t="shared" si="4"/>
        <v>0</v>
      </c>
      <c r="G264" s="2">
        <f>SUM(F264,D264)</f>
        <v>1828556</v>
      </c>
    </row>
    <row r="265" spans="1:7" x14ac:dyDescent="0.2">
      <c r="A265">
        <v>2021</v>
      </c>
      <c r="B265" s="34">
        <v>5276</v>
      </c>
      <c r="C265" s="9" t="s">
        <v>277</v>
      </c>
      <c r="D265" s="10">
        <v>899516</v>
      </c>
      <c r="E265" s="9">
        <f>VLOOKUP(B265,'2015'!$B$2:$G$338,6,FALSE)</f>
        <v>0</v>
      </c>
      <c r="F265">
        <f t="shared" si="4"/>
        <v>0</v>
      </c>
      <c r="G265" s="2">
        <f>SUM(F265,D265)</f>
        <v>899516</v>
      </c>
    </row>
    <row r="266" spans="1:7" x14ac:dyDescent="0.2">
      <c r="A266">
        <v>2021</v>
      </c>
      <c r="B266" s="34">
        <v>5278</v>
      </c>
      <c r="C266" s="9" t="s">
        <v>278</v>
      </c>
      <c r="D266" s="10">
        <v>321369</v>
      </c>
      <c r="E266" s="9">
        <f>VLOOKUP(B266,'2015'!$B$2:$G$338,6,FALSE)</f>
        <v>0</v>
      </c>
      <c r="F266">
        <f t="shared" si="4"/>
        <v>0</v>
      </c>
      <c r="G266" s="2">
        <f>SUM(F266,D266)</f>
        <v>321369</v>
      </c>
    </row>
    <row r="267" spans="1:7" x14ac:dyDescent="0.2">
      <c r="A267">
        <v>2021</v>
      </c>
      <c r="B267" s="34">
        <v>5280</v>
      </c>
      <c r="C267" s="9" t="s">
        <v>279</v>
      </c>
      <c r="D267" s="10">
        <v>5074284</v>
      </c>
      <c r="E267" s="9">
        <f>VLOOKUP(B267,'2015'!$B$2:$G$338,6,FALSE)</f>
        <v>0</v>
      </c>
      <c r="F267">
        <f t="shared" si="4"/>
        <v>0</v>
      </c>
      <c r="G267" s="2">
        <f>SUM(F267,D267)</f>
        <v>5074284</v>
      </c>
    </row>
    <row r="268" spans="1:7" x14ac:dyDescent="0.2">
      <c r="A268">
        <v>2021</v>
      </c>
      <c r="B268" s="34">
        <v>5281</v>
      </c>
      <c r="C268" s="9" t="s">
        <v>280</v>
      </c>
      <c r="D268" s="10">
        <v>240158</v>
      </c>
      <c r="E268" s="9">
        <f>VLOOKUP(B268,'2015'!$B$2:$G$338,6,FALSE)</f>
        <v>0</v>
      </c>
      <c r="F268">
        <f t="shared" si="4"/>
        <v>0</v>
      </c>
      <c r="G268" s="2">
        <f>SUM(F268,D268)</f>
        <v>240158</v>
      </c>
    </row>
    <row r="269" spans="1:7" x14ac:dyDescent="0.2">
      <c r="A269">
        <v>2021</v>
      </c>
      <c r="B269" s="34">
        <v>5283</v>
      </c>
      <c r="C269" s="9" t="s">
        <v>281</v>
      </c>
      <c r="D269" s="10">
        <v>526984</v>
      </c>
      <c r="E269" s="9">
        <f>VLOOKUP(B269,'2015'!$B$2:$G$338,6,FALSE)</f>
        <v>0</v>
      </c>
      <c r="F269">
        <f t="shared" si="4"/>
        <v>0</v>
      </c>
      <c r="G269" s="2">
        <f>SUM(F269,D269)</f>
        <v>526984</v>
      </c>
    </row>
    <row r="270" spans="1:7" x14ac:dyDescent="0.2">
      <c r="A270">
        <v>2021</v>
      </c>
      <c r="B270" s="34">
        <v>5284</v>
      </c>
      <c r="C270" s="9" t="s">
        <v>282</v>
      </c>
      <c r="D270" s="10">
        <v>742263</v>
      </c>
      <c r="E270" s="9">
        <f>VLOOKUP(B270,'2015'!$B$2:$G$338,6,FALSE)</f>
        <v>0</v>
      </c>
      <c r="F270">
        <f t="shared" si="4"/>
        <v>0</v>
      </c>
      <c r="G270" s="2">
        <f>SUM(F270,D270)</f>
        <v>742263</v>
      </c>
    </row>
    <row r="271" spans="1:7" x14ac:dyDescent="0.2">
      <c r="A271">
        <v>2021</v>
      </c>
      <c r="B271" s="34">
        <v>5285</v>
      </c>
      <c r="C271" s="9" t="s">
        <v>283</v>
      </c>
      <c r="D271" s="10">
        <v>379932</v>
      </c>
      <c r="E271" s="9">
        <f>VLOOKUP(B271,'2015'!$B$2:$G$338,6,FALSE)</f>
        <v>0</v>
      </c>
      <c r="F271">
        <f t="shared" si="4"/>
        <v>0</v>
      </c>
      <c r="G271" s="2">
        <f>SUM(F271,D271)</f>
        <v>379932</v>
      </c>
    </row>
    <row r="272" spans="1:7" x14ac:dyDescent="0.2">
      <c r="A272">
        <v>2021</v>
      </c>
      <c r="B272" s="34">
        <v>5286</v>
      </c>
      <c r="C272" s="9" t="s">
        <v>284</v>
      </c>
      <c r="D272" s="10">
        <v>344509</v>
      </c>
      <c r="E272" s="9">
        <f>VLOOKUP(B272,'2015'!$B$2:$G$338,6,FALSE)</f>
        <v>0</v>
      </c>
      <c r="F272">
        <f t="shared" si="4"/>
        <v>0</v>
      </c>
      <c r="G272" s="2">
        <f>SUM(F272,D272)</f>
        <v>344509</v>
      </c>
    </row>
    <row r="273" spans="1:7" x14ac:dyDescent="0.2">
      <c r="A273">
        <v>2021</v>
      </c>
      <c r="B273" s="34">
        <v>5287</v>
      </c>
      <c r="C273" s="9" t="s">
        <v>285</v>
      </c>
      <c r="D273" s="10">
        <v>573193</v>
      </c>
      <c r="E273" s="9">
        <f>VLOOKUP(B273,'2015'!$B$2:$G$338,6,FALSE)</f>
        <v>0</v>
      </c>
      <c r="F273">
        <f t="shared" si="4"/>
        <v>0</v>
      </c>
      <c r="G273" s="2">
        <f>SUM(F273,D273)</f>
        <v>573193</v>
      </c>
    </row>
    <row r="274" spans="1:7" x14ac:dyDescent="0.2">
      <c r="A274">
        <v>2021</v>
      </c>
      <c r="B274" s="34">
        <v>5288</v>
      </c>
      <c r="C274" s="9" t="s">
        <v>286</v>
      </c>
      <c r="D274" s="10">
        <v>347641</v>
      </c>
      <c r="E274" s="9">
        <f>VLOOKUP(B274,'2015'!$B$2:$G$338,6,FALSE)</f>
        <v>0</v>
      </c>
      <c r="F274">
        <f t="shared" si="4"/>
        <v>0</v>
      </c>
      <c r="G274" s="2">
        <f>SUM(F274,D274)</f>
        <v>347641</v>
      </c>
    </row>
    <row r="275" spans="1:7" x14ac:dyDescent="0.2">
      <c r="A275">
        <v>2021</v>
      </c>
      <c r="B275" s="34">
        <v>5289</v>
      </c>
      <c r="C275" s="9" t="s">
        <v>287</v>
      </c>
      <c r="D275" s="10">
        <v>394668</v>
      </c>
      <c r="E275" s="9">
        <f>VLOOKUP(B275,'2015'!$B$2:$G$338,6,FALSE)</f>
        <v>0</v>
      </c>
      <c r="F275">
        <f t="shared" si="4"/>
        <v>0</v>
      </c>
      <c r="G275" s="2">
        <f>SUM(F275,D275)</f>
        <v>394668</v>
      </c>
    </row>
    <row r="276" spans="1:7" x14ac:dyDescent="0.2">
      <c r="A276">
        <v>2021</v>
      </c>
      <c r="B276" s="34">
        <v>5291</v>
      </c>
      <c r="C276" s="9" t="s">
        <v>288</v>
      </c>
      <c r="D276" s="10">
        <v>586632</v>
      </c>
      <c r="E276" s="9">
        <f>VLOOKUP(B276,'2015'!$B$2:$G$338,6,FALSE)</f>
        <v>0</v>
      </c>
      <c r="F276">
        <f t="shared" si="4"/>
        <v>0</v>
      </c>
      <c r="G276" s="2">
        <f>SUM(F276,D276)</f>
        <v>586632</v>
      </c>
    </row>
    <row r="277" spans="1:7" x14ac:dyDescent="0.2">
      <c r="A277">
        <v>2021</v>
      </c>
      <c r="B277" s="34">
        <v>5292</v>
      </c>
      <c r="C277" s="9" t="s">
        <v>289</v>
      </c>
      <c r="D277" s="10">
        <v>1587913</v>
      </c>
      <c r="E277" s="9">
        <f>VLOOKUP(B277,'2015'!$B$2:$G$338,6,FALSE)</f>
        <v>0</v>
      </c>
      <c r="F277">
        <f t="shared" si="4"/>
        <v>0</v>
      </c>
      <c r="G277" s="2">
        <f>SUM(F277,D277)</f>
        <v>1587913</v>
      </c>
    </row>
    <row r="278" spans="1:7" x14ac:dyDescent="0.2">
      <c r="A278">
        <v>2021</v>
      </c>
      <c r="B278" s="34">
        <v>5293</v>
      </c>
      <c r="C278" s="9" t="s">
        <v>290</v>
      </c>
      <c r="D278" s="10">
        <v>378701</v>
      </c>
      <c r="E278" s="9">
        <f>VLOOKUP(B278,'2015'!$B$2:$G$338,6,FALSE)</f>
        <v>0</v>
      </c>
      <c r="F278">
        <f t="shared" si="4"/>
        <v>0</v>
      </c>
      <c r="G278" s="2">
        <f>SUM(F278,D278)</f>
        <v>378701</v>
      </c>
    </row>
    <row r="279" spans="1:7" x14ac:dyDescent="0.2">
      <c r="A279">
        <v>2021</v>
      </c>
      <c r="B279" s="34">
        <v>5294</v>
      </c>
      <c r="C279" s="9" t="s">
        <v>291</v>
      </c>
      <c r="D279" s="10">
        <v>912493</v>
      </c>
      <c r="E279" s="9">
        <f>VLOOKUP(B279,'2015'!$B$2:$G$338,6,FALSE)</f>
        <v>0</v>
      </c>
      <c r="F279">
        <f t="shared" si="4"/>
        <v>0</v>
      </c>
      <c r="G279" s="2">
        <f>SUM(F279,D279)</f>
        <v>912493</v>
      </c>
    </row>
    <row r="280" spans="1:7" x14ac:dyDescent="0.2">
      <c r="A280">
        <v>2021</v>
      </c>
      <c r="B280" s="34">
        <v>5295</v>
      </c>
      <c r="C280" s="9" t="s">
        <v>292</v>
      </c>
      <c r="D280" s="10">
        <v>281114</v>
      </c>
      <c r="E280" s="9">
        <f>VLOOKUP(B280,'2015'!$B$2:$G$338,6,FALSE)</f>
        <v>0</v>
      </c>
      <c r="F280">
        <f t="shared" si="4"/>
        <v>0</v>
      </c>
      <c r="G280" s="2">
        <f>SUM(F280,D280)</f>
        <v>281114</v>
      </c>
    </row>
    <row r="281" spans="1:7" x14ac:dyDescent="0.2">
      <c r="A281">
        <v>2021</v>
      </c>
      <c r="B281" s="34">
        <v>5296</v>
      </c>
      <c r="C281" s="9" t="s">
        <v>293</v>
      </c>
      <c r="D281" s="10">
        <v>1198611</v>
      </c>
      <c r="E281" s="9">
        <f>VLOOKUP(B281,'2015'!$B$2:$G$338,6,FALSE)</f>
        <v>0</v>
      </c>
      <c r="F281">
        <f t="shared" si="4"/>
        <v>0</v>
      </c>
      <c r="G281" s="2">
        <f>SUM(F281,D281)</f>
        <v>1198611</v>
      </c>
    </row>
    <row r="282" spans="1:7" x14ac:dyDescent="0.2">
      <c r="A282">
        <v>2021</v>
      </c>
      <c r="B282" s="34">
        <v>5297</v>
      </c>
      <c r="C282" s="9" t="s">
        <v>294</v>
      </c>
      <c r="D282" s="10">
        <v>698105</v>
      </c>
      <c r="E282" s="9">
        <f>VLOOKUP(B282,'2015'!$B$2:$G$338,6,FALSE)</f>
        <v>0</v>
      </c>
      <c r="F282">
        <f t="shared" si="4"/>
        <v>0</v>
      </c>
      <c r="G282" s="2">
        <f>SUM(F282,D282)</f>
        <v>698105</v>
      </c>
    </row>
    <row r="283" spans="1:7" x14ac:dyDescent="0.2">
      <c r="A283">
        <v>2021</v>
      </c>
      <c r="B283" s="34">
        <v>5298</v>
      </c>
      <c r="C283" s="9" t="s">
        <v>295</v>
      </c>
      <c r="D283" s="10">
        <v>63692</v>
      </c>
      <c r="E283" s="9">
        <f>VLOOKUP(B283,'2015'!$B$2:$G$338,6,FALSE)</f>
        <v>0</v>
      </c>
      <c r="F283">
        <f t="shared" si="4"/>
        <v>0</v>
      </c>
      <c r="G283" s="2">
        <f>SUM(F283,D283)</f>
        <v>63692</v>
      </c>
    </row>
    <row r="284" spans="1:7" x14ac:dyDescent="0.2">
      <c r="A284">
        <v>2021</v>
      </c>
      <c r="B284" s="34">
        <v>5299</v>
      </c>
      <c r="C284" s="9" t="s">
        <v>296</v>
      </c>
      <c r="D284" s="10">
        <v>221028</v>
      </c>
      <c r="E284" s="9">
        <f>VLOOKUP(B284,'2015'!$B$2:$G$338,6,FALSE)</f>
        <v>0</v>
      </c>
      <c r="F284">
        <f t="shared" si="4"/>
        <v>0</v>
      </c>
      <c r="G284" s="2">
        <f>SUM(F284,D284)</f>
        <v>221028</v>
      </c>
    </row>
    <row r="285" spans="1:7" x14ac:dyDescent="0.2">
      <c r="A285">
        <v>2021</v>
      </c>
      <c r="B285" s="34">
        <v>5300</v>
      </c>
      <c r="C285" s="9" t="s">
        <v>297</v>
      </c>
      <c r="D285" s="10">
        <v>630212</v>
      </c>
      <c r="E285" s="9">
        <f>VLOOKUP(B285,'2015'!$B$2:$G$338,6,FALSE)</f>
        <v>0</v>
      </c>
      <c r="F285">
        <f t="shared" si="4"/>
        <v>0</v>
      </c>
      <c r="G285" s="2">
        <f>SUM(F285,D285)</f>
        <v>630212</v>
      </c>
    </row>
    <row r="286" spans="1:7" x14ac:dyDescent="0.2">
      <c r="A286">
        <v>2021</v>
      </c>
      <c r="B286" s="34">
        <v>5302</v>
      </c>
      <c r="C286" s="9" t="s">
        <v>298</v>
      </c>
      <c r="D286" s="10">
        <v>3328551</v>
      </c>
      <c r="E286" s="9">
        <f>VLOOKUP(B286,'2015'!$B$2:$G$338,6,FALSE)</f>
        <v>0</v>
      </c>
      <c r="F286">
        <f t="shared" si="4"/>
        <v>0</v>
      </c>
      <c r="G286" s="2">
        <f>SUM(F286,D286)</f>
        <v>3328551</v>
      </c>
    </row>
    <row r="287" spans="1:7" x14ac:dyDescent="0.2">
      <c r="A287">
        <v>2021</v>
      </c>
      <c r="B287" s="34">
        <v>5303</v>
      </c>
      <c r="C287" s="9" t="s">
        <v>345</v>
      </c>
      <c r="D287" s="10">
        <v>1655803</v>
      </c>
      <c r="E287" s="9">
        <f>VLOOKUP(B287,'2015'!$B$2:$G$338,6,FALSE)</f>
        <v>0</v>
      </c>
      <c r="F287">
        <f t="shared" si="4"/>
        <v>0</v>
      </c>
      <c r="G287" s="2">
        <f>SUM(F287,D287)</f>
        <v>1655803</v>
      </c>
    </row>
    <row r="288" spans="1:7" x14ac:dyDescent="0.2">
      <c r="A288">
        <v>2021</v>
      </c>
      <c r="B288" s="34">
        <v>5304</v>
      </c>
      <c r="C288" s="9" t="s">
        <v>300</v>
      </c>
      <c r="D288" s="10">
        <v>1406118</v>
      </c>
      <c r="E288" s="9">
        <f>VLOOKUP(B288,'2015'!$B$2:$G$338,6,FALSE)</f>
        <v>0</v>
      </c>
      <c r="F288">
        <f t="shared" si="4"/>
        <v>0</v>
      </c>
      <c r="G288" s="2">
        <f>SUM(F288,D288)</f>
        <v>1406118</v>
      </c>
    </row>
    <row r="289" spans="1:7" x14ac:dyDescent="0.2">
      <c r="A289">
        <v>2021</v>
      </c>
      <c r="B289" s="34">
        <v>5305</v>
      </c>
      <c r="C289" s="9" t="s">
        <v>301</v>
      </c>
      <c r="D289" s="10">
        <v>310313</v>
      </c>
      <c r="E289" s="9">
        <f>VLOOKUP(B289,'2015'!$B$2:$G$338,6,FALSE)</f>
        <v>0</v>
      </c>
      <c r="F289">
        <f t="shared" si="4"/>
        <v>0</v>
      </c>
      <c r="G289" s="2">
        <f>SUM(F289,D289)</f>
        <v>310313</v>
      </c>
    </row>
    <row r="290" spans="1:7" x14ac:dyDescent="0.2">
      <c r="A290">
        <v>2021</v>
      </c>
      <c r="B290" s="34">
        <v>5306</v>
      </c>
      <c r="C290" s="9" t="s">
        <v>302</v>
      </c>
      <c r="D290" s="10">
        <v>1115486</v>
      </c>
      <c r="E290" s="9">
        <f>VLOOKUP(B290,'2015'!$B$2:$G$338,6,FALSE)</f>
        <v>0</v>
      </c>
      <c r="F290">
        <f t="shared" si="4"/>
        <v>0</v>
      </c>
      <c r="G290" s="2">
        <f>SUM(F290,D290)</f>
        <v>1115486</v>
      </c>
    </row>
    <row r="291" spans="1:7" x14ac:dyDescent="0.2">
      <c r="A291">
        <v>2021</v>
      </c>
      <c r="B291" s="34">
        <v>5307</v>
      </c>
      <c r="C291" s="9" t="s">
        <v>303</v>
      </c>
      <c r="D291" s="10">
        <v>188926</v>
      </c>
      <c r="E291" s="9">
        <f>VLOOKUP(B291,'2015'!$B$2:$G$338,6,FALSE)</f>
        <v>0</v>
      </c>
      <c r="F291">
        <f t="shared" si="4"/>
        <v>0</v>
      </c>
      <c r="G291" s="2">
        <f>SUM(F291,D291)</f>
        <v>188926</v>
      </c>
    </row>
    <row r="292" spans="1:7" x14ac:dyDescent="0.2">
      <c r="A292">
        <v>2021</v>
      </c>
      <c r="B292" s="34">
        <v>5222</v>
      </c>
      <c r="C292" s="15" t="s">
        <v>358</v>
      </c>
      <c r="D292" s="10">
        <v>390770</v>
      </c>
      <c r="E292" s="9">
        <f>VLOOKUP(B292,'2015'!$B$2:$G$338,6,FALSE)</f>
        <v>0</v>
      </c>
      <c r="F292">
        <f t="shared" si="4"/>
        <v>0</v>
      </c>
      <c r="G292" s="2">
        <f>SUM(F292,D292)</f>
        <v>390770</v>
      </c>
    </row>
    <row r="293" spans="1:7" x14ac:dyDescent="0.2">
      <c r="A293">
        <v>2021</v>
      </c>
      <c r="B293" s="34">
        <v>5309</v>
      </c>
      <c r="C293" s="9" t="s">
        <v>305</v>
      </c>
      <c r="D293" s="10">
        <v>751823</v>
      </c>
      <c r="E293" s="9">
        <f>VLOOKUP(B293,'2015'!$B$2:$G$338,6,FALSE)</f>
        <v>0</v>
      </c>
      <c r="F293">
        <f t="shared" si="4"/>
        <v>0</v>
      </c>
      <c r="G293" s="2">
        <f>SUM(F293,D293)</f>
        <v>751823</v>
      </c>
    </row>
    <row r="294" spans="1:7" x14ac:dyDescent="0.2">
      <c r="A294">
        <v>2021</v>
      </c>
      <c r="B294" s="34">
        <v>5310</v>
      </c>
      <c r="C294" s="9" t="s">
        <v>306</v>
      </c>
      <c r="D294" s="10">
        <v>109396</v>
      </c>
      <c r="E294" s="9">
        <f>VLOOKUP(B294,'2015'!$B$2:$G$338,6,FALSE)</f>
        <v>0</v>
      </c>
      <c r="F294">
        <f t="shared" si="4"/>
        <v>0</v>
      </c>
      <c r="G294" s="2">
        <f>SUM(F294,D294)</f>
        <v>109396</v>
      </c>
    </row>
    <row r="295" spans="1:7" x14ac:dyDescent="0.2">
      <c r="A295">
        <v>2021</v>
      </c>
      <c r="B295" s="34">
        <v>5312</v>
      </c>
      <c r="C295" s="9" t="s">
        <v>307</v>
      </c>
      <c r="D295" s="10">
        <v>3971583</v>
      </c>
      <c r="E295" s="9">
        <f>VLOOKUP(B295,'2015'!$B$2:$G$338,6,FALSE)</f>
        <v>0</v>
      </c>
      <c r="F295">
        <f t="shared" si="4"/>
        <v>0</v>
      </c>
      <c r="G295" s="2">
        <f>SUM(F295,D295)</f>
        <v>3971583</v>
      </c>
    </row>
    <row r="296" spans="1:7" x14ac:dyDescent="0.2">
      <c r="A296">
        <v>2021</v>
      </c>
      <c r="B296" s="34">
        <v>5313</v>
      </c>
      <c r="C296" s="9" t="s">
        <v>308</v>
      </c>
      <c r="D296" s="10">
        <v>350052</v>
      </c>
      <c r="E296" s="9">
        <f>VLOOKUP(B296,'2015'!$B$2:$G$338,6,FALSE)</f>
        <v>0</v>
      </c>
      <c r="F296">
        <f t="shared" si="4"/>
        <v>0</v>
      </c>
      <c r="G296" s="2">
        <f>SUM(F296,D296)</f>
        <v>350052</v>
      </c>
    </row>
    <row r="297" spans="1:7" x14ac:dyDescent="0.2">
      <c r="A297">
        <v>2021</v>
      </c>
      <c r="B297" s="34">
        <v>5314</v>
      </c>
      <c r="C297" s="9" t="s">
        <v>309</v>
      </c>
      <c r="D297" s="10">
        <v>15787891</v>
      </c>
      <c r="E297" s="9">
        <f>VLOOKUP(B297,'2015'!$B$2:$G$338,6,FALSE)</f>
        <v>0</v>
      </c>
      <c r="F297">
        <f t="shared" si="4"/>
        <v>0</v>
      </c>
      <c r="G297" s="2">
        <f>SUM(F297,D297)</f>
        <v>15787891</v>
      </c>
    </row>
    <row r="298" spans="1:7" x14ac:dyDescent="0.2">
      <c r="A298">
        <v>2021</v>
      </c>
      <c r="B298" s="34">
        <v>5316</v>
      </c>
      <c r="C298" s="9" t="s">
        <v>310</v>
      </c>
      <c r="D298" s="10">
        <v>368197</v>
      </c>
      <c r="E298" s="9">
        <f>VLOOKUP(B298,'2015'!$B$2:$G$338,6,FALSE)</f>
        <v>0</v>
      </c>
      <c r="F298">
        <f t="shared" si="4"/>
        <v>0</v>
      </c>
      <c r="G298" s="2">
        <f>SUM(F298,D298)</f>
        <v>368197</v>
      </c>
    </row>
    <row r="299" spans="1:7" x14ac:dyDescent="0.2">
      <c r="A299">
        <v>2021</v>
      </c>
      <c r="B299" s="34">
        <v>5317</v>
      </c>
      <c r="C299" s="9" t="s">
        <v>311</v>
      </c>
      <c r="D299" s="10">
        <v>510568</v>
      </c>
      <c r="E299" s="9">
        <f>VLOOKUP(B299,'2015'!$B$2:$G$338,6,FALSE)</f>
        <v>0</v>
      </c>
      <c r="F299">
        <f t="shared" si="4"/>
        <v>0</v>
      </c>
      <c r="G299" s="2">
        <f>SUM(F299,D299)</f>
        <v>510568</v>
      </c>
    </row>
    <row r="300" spans="1:7" x14ac:dyDescent="0.2">
      <c r="A300">
        <v>2021</v>
      </c>
      <c r="B300" s="34">
        <v>5318</v>
      </c>
      <c r="C300" s="9" t="s">
        <v>312</v>
      </c>
      <c r="D300" s="10">
        <v>566899</v>
      </c>
      <c r="E300" s="9">
        <f>VLOOKUP(B300,'2015'!$B$2:$G$338,6,FALSE)</f>
        <v>0</v>
      </c>
      <c r="F300">
        <f t="shared" si="4"/>
        <v>0</v>
      </c>
      <c r="G300" s="2">
        <f>SUM(F300,D300)</f>
        <v>566899</v>
      </c>
    </row>
    <row r="301" spans="1:7" x14ac:dyDescent="0.2">
      <c r="A301">
        <v>2021</v>
      </c>
      <c r="B301" s="34">
        <v>5319</v>
      </c>
      <c r="C301" s="9" t="s">
        <v>313</v>
      </c>
      <c r="D301" s="10">
        <v>809599</v>
      </c>
      <c r="E301" s="9">
        <f>VLOOKUP(B301,'2015'!$B$2:$G$338,6,FALSE)</f>
        <v>0</v>
      </c>
      <c r="F301">
        <f t="shared" si="4"/>
        <v>0</v>
      </c>
      <c r="G301" s="2">
        <f>SUM(F301,D301)</f>
        <v>809599</v>
      </c>
    </row>
    <row r="302" spans="1:7" x14ac:dyDescent="0.2">
      <c r="A302">
        <v>2021</v>
      </c>
      <c r="B302" s="34">
        <v>5320</v>
      </c>
      <c r="C302" s="9" t="s">
        <v>314</v>
      </c>
      <c r="D302" s="10">
        <v>213062</v>
      </c>
      <c r="E302" s="9">
        <f>VLOOKUP(B302,'2015'!$B$2:$G$338,6,FALSE)</f>
        <v>0</v>
      </c>
      <c r="F302">
        <f t="shared" si="4"/>
        <v>0</v>
      </c>
      <c r="G302" s="2">
        <f>SUM(F302,D302)</f>
        <v>213062</v>
      </c>
    </row>
    <row r="303" spans="1:7" x14ac:dyDescent="0.2">
      <c r="A303">
        <v>2021</v>
      </c>
      <c r="B303" s="34">
        <v>5321</v>
      </c>
      <c r="C303" s="9" t="s">
        <v>315</v>
      </c>
      <c r="D303" s="10">
        <v>426728</v>
      </c>
      <c r="E303" s="9">
        <f>VLOOKUP(B303,'2015'!$B$2:$G$338,6,FALSE)</f>
        <v>0</v>
      </c>
      <c r="F303">
        <f t="shared" si="4"/>
        <v>0</v>
      </c>
      <c r="G303" s="2">
        <f>SUM(F303,D303)</f>
        <v>426728</v>
      </c>
    </row>
    <row r="304" spans="1:7" x14ac:dyDescent="0.2">
      <c r="A304">
        <v>2021</v>
      </c>
      <c r="B304" s="34">
        <v>5322</v>
      </c>
      <c r="C304" s="9" t="s">
        <v>316</v>
      </c>
      <c r="D304" s="10">
        <v>496691</v>
      </c>
      <c r="E304" s="9">
        <f>VLOOKUP(B304,'2015'!$B$2:$G$338,6,FALSE)</f>
        <v>0</v>
      </c>
      <c r="F304">
        <f t="shared" si="4"/>
        <v>0</v>
      </c>
      <c r="G304" s="2">
        <f>SUM(F304,D304)</f>
        <v>496691</v>
      </c>
    </row>
    <row r="305" spans="1:7" x14ac:dyDescent="0.2">
      <c r="A305">
        <v>2021</v>
      </c>
      <c r="B305" s="34">
        <v>5324</v>
      </c>
      <c r="C305" s="9" t="s">
        <v>317</v>
      </c>
      <c r="D305" s="10">
        <v>24369652</v>
      </c>
      <c r="E305" s="9">
        <f>VLOOKUP(B305,'2015'!$B$2:$G$338,6,FALSE)</f>
        <v>0</v>
      </c>
      <c r="F305">
        <f t="shared" si="4"/>
        <v>0</v>
      </c>
      <c r="G305" s="2">
        <f>SUM(F305,D305)</f>
        <v>24369652</v>
      </c>
    </row>
    <row r="306" spans="1:7" x14ac:dyDescent="0.2">
      <c r="A306">
        <v>2021</v>
      </c>
      <c r="B306" s="34">
        <v>5329</v>
      </c>
      <c r="C306" s="9" t="s">
        <v>318</v>
      </c>
      <c r="D306" s="10">
        <v>235105</v>
      </c>
      <c r="E306" s="9">
        <f>VLOOKUP(B306,'2015'!$B$2:$G$338,6,FALSE)</f>
        <v>0</v>
      </c>
      <c r="F306">
        <f t="shared" si="4"/>
        <v>0</v>
      </c>
      <c r="G306" s="2">
        <f>SUM(F306,D306)</f>
        <v>235105</v>
      </c>
    </row>
    <row r="307" spans="1:7" x14ac:dyDescent="0.2">
      <c r="A307">
        <v>2021</v>
      </c>
      <c r="B307" s="34">
        <v>5330</v>
      </c>
      <c r="C307" s="9" t="s">
        <v>319</v>
      </c>
      <c r="D307" s="10">
        <v>918694</v>
      </c>
      <c r="E307" s="9">
        <f>VLOOKUP(B307,'2015'!$B$2:$G$338,6,FALSE)</f>
        <v>0</v>
      </c>
      <c r="F307">
        <f t="shared" si="4"/>
        <v>0</v>
      </c>
      <c r="G307" s="2">
        <f>SUM(F307,D307)</f>
        <v>918694</v>
      </c>
    </row>
    <row r="308" spans="1:7" x14ac:dyDescent="0.2">
      <c r="A308">
        <v>2021</v>
      </c>
      <c r="B308" s="34">
        <v>5331</v>
      </c>
      <c r="C308" s="9" t="s">
        <v>320</v>
      </c>
      <c r="D308" s="10">
        <v>1140522</v>
      </c>
      <c r="E308" s="9">
        <f>VLOOKUP(B308,'2015'!$B$2:$G$338,6,FALSE)</f>
        <v>0</v>
      </c>
      <c r="F308">
        <f t="shared" si="4"/>
        <v>0</v>
      </c>
      <c r="G308" s="2">
        <f>SUM(F308,D308)</f>
        <v>1140522</v>
      </c>
    </row>
    <row r="309" spans="1:7" x14ac:dyDescent="0.2">
      <c r="A309">
        <v>2021</v>
      </c>
      <c r="B309" s="34">
        <v>5332</v>
      </c>
      <c r="C309" s="9" t="s">
        <v>321</v>
      </c>
      <c r="D309" s="10">
        <v>1306174</v>
      </c>
      <c r="E309" s="9">
        <f>VLOOKUP(B309,'2015'!$B$2:$G$338,6,FALSE)</f>
        <v>0</v>
      </c>
      <c r="F309">
        <f t="shared" si="4"/>
        <v>0</v>
      </c>
      <c r="G309" s="2">
        <f>SUM(F309,D309)</f>
        <v>1306174</v>
      </c>
    </row>
    <row r="310" spans="1:7" x14ac:dyDescent="0.2">
      <c r="A310">
        <v>2021</v>
      </c>
      <c r="B310" s="34">
        <v>5333</v>
      </c>
      <c r="C310" s="9" t="s">
        <v>322</v>
      </c>
      <c r="D310" s="10">
        <v>428614</v>
      </c>
      <c r="E310" s="9">
        <f>VLOOKUP(B310,'2015'!$B$2:$G$338,6,FALSE)</f>
        <v>0</v>
      </c>
      <c r="F310">
        <f t="shared" si="4"/>
        <v>0</v>
      </c>
      <c r="G310" s="2">
        <f>SUM(F310,D310)</f>
        <v>428614</v>
      </c>
    </row>
    <row r="311" spans="1:7" x14ac:dyDescent="0.2">
      <c r="A311">
        <v>2021</v>
      </c>
      <c r="B311" s="34">
        <v>5337</v>
      </c>
      <c r="C311" s="9" t="s">
        <v>323</v>
      </c>
      <c r="D311" s="10">
        <v>1839985</v>
      </c>
      <c r="E311" s="9">
        <f>VLOOKUP(B311,'2015'!$B$2:$G$338,6,FALSE)</f>
        <v>0</v>
      </c>
      <c r="F311">
        <f t="shared" si="4"/>
        <v>0</v>
      </c>
      <c r="G311" s="2">
        <f>SUM(F311,D311)</f>
        <v>1839985</v>
      </c>
    </row>
    <row r="312" spans="1:7" x14ac:dyDescent="0.2">
      <c r="A312">
        <v>2021</v>
      </c>
      <c r="B312" s="34">
        <v>5366</v>
      </c>
      <c r="C312" s="9" t="s">
        <v>324</v>
      </c>
      <c r="D312" s="10">
        <v>857271</v>
      </c>
      <c r="E312" s="9">
        <f>VLOOKUP(B312,'2015'!$B$2:$G$338,6,FALSE)</f>
        <v>0</v>
      </c>
      <c r="F312">
        <f t="shared" si="4"/>
        <v>0</v>
      </c>
      <c r="G312" s="2">
        <f>SUM(F312,D312)</f>
        <v>857271</v>
      </c>
    </row>
    <row r="313" spans="1:7" x14ac:dyDescent="0.2">
      <c r="A313">
        <v>2021</v>
      </c>
      <c r="B313" s="34">
        <v>5367</v>
      </c>
      <c r="C313" s="9" t="s">
        <v>325</v>
      </c>
      <c r="D313" s="10">
        <v>329408</v>
      </c>
      <c r="E313" s="9">
        <f>VLOOKUP(B313,'2015'!$B$2:$G$338,6,FALSE)</f>
        <v>0</v>
      </c>
      <c r="F313">
        <f t="shared" si="4"/>
        <v>0</v>
      </c>
      <c r="G313" s="2">
        <f>SUM(F313,D313)</f>
        <v>329408</v>
      </c>
    </row>
    <row r="314" spans="1:7" x14ac:dyDescent="0.2">
      <c r="A314">
        <v>2021</v>
      </c>
      <c r="B314" s="34">
        <v>5368</v>
      </c>
      <c r="C314" s="9" t="s">
        <v>326</v>
      </c>
      <c r="D314" s="10">
        <v>453955</v>
      </c>
      <c r="E314" s="9">
        <f>VLOOKUP(B314,'2015'!$B$2:$G$338,6,FALSE)</f>
        <v>0</v>
      </c>
      <c r="F314">
        <f t="shared" si="4"/>
        <v>0</v>
      </c>
      <c r="G314" s="2">
        <f>SUM(F314,D314)</f>
        <v>453955</v>
      </c>
    </row>
    <row r="315" spans="1:7" x14ac:dyDescent="0.2">
      <c r="A315">
        <v>2021</v>
      </c>
      <c r="B315" s="34">
        <v>5405</v>
      </c>
      <c r="C315" s="9" t="s">
        <v>327</v>
      </c>
      <c r="D315" s="10">
        <v>207375</v>
      </c>
      <c r="E315" s="9">
        <f>VLOOKUP(B315,'2015'!$B$2:$G$338,6,FALSE)</f>
        <v>0</v>
      </c>
      <c r="F315">
        <f t="shared" si="4"/>
        <v>0</v>
      </c>
      <c r="G315" s="2">
        <f>SUM(F315,D315)</f>
        <v>207375</v>
      </c>
    </row>
    <row r="316" spans="1:7" x14ac:dyDescent="0.2">
      <c r="A316">
        <v>2021</v>
      </c>
      <c r="B316" s="34">
        <v>5409</v>
      </c>
      <c r="C316" s="9" t="s">
        <v>328</v>
      </c>
      <c r="D316" s="10">
        <v>230212</v>
      </c>
      <c r="E316" s="9">
        <f>VLOOKUP(B316,'2015'!$B$2:$G$338,6,FALSE)</f>
        <v>0</v>
      </c>
      <c r="F316">
        <f t="shared" si="4"/>
        <v>0</v>
      </c>
      <c r="G316" s="2">
        <f>SUM(F316,D316)</f>
        <v>230212</v>
      </c>
    </row>
    <row r="317" spans="1:7" x14ac:dyDescent="0.2">
      <c r="A317">
        <v>2021</v>
      </c>
      <c r="B317" s="34">
        <v>5410</v>
      </c>
      <c r="C317" s="9" t="s">
        <v>329</v>
      </c>
      <c r="D317" s="10">
        <v>223525</v>
      </c>
      <c r="E317" s="9">
        <f>VLOOKUP(B317,'2015'!$B$2:$G$338,6,FALSE)</f>
        <v>0</v>
      </c>
      <c r="F317">
        <f t="shared" si="4"/>
        <v>0</v>
      </c>
      <c r="G317" s="2">
        <f>SUM(F317,D317)</f>
        <v>223525</v>
      </c>
    </row>
    <row r="318" spans="1:7" x14ac:dyDescent="0.2">
      <c r="A318">
        <v>2021</v>
      </c>
      <c r="B318" s="34">
        <v>5430</v>
      </c>
      <c r="C318" s="9" t="s">
        <v>330</v>
      </c>
      <c r="D318" s="10">
        <v>25273479</v>
      </c>
      <c r="E318" s="9">
        <f>VLOOKUP(B318,'2015'!$B$2:$G$338,6,FALSE)</f>
        <v>0</v>
      </c>
      <c r="F318">
        <f t="shared" si="4"/>
        <v>0</v>
      </c>
      <c r="G318" s="2">
        <f>SUM(F318,D318)</f>
        <v>25273479</v>
      </c>
    </row>
    <row r="319" spans="1:7" x14ac:dyDescent="0.2">
      <c r="A319">
        <v>2021</v>
      </c>
      <c r="B319" s="34">
        <v>5436</v>
      </c>
      <c r="C319" s="9" t="s">
        <v>331</v>
      </c>
      <c r="D319" s="10">
        <v>705575</v>
      </c>
      <c r="E319" s="9">
        <f>VLOOKUP(B319,'2015'!$B$2:$G$338,6,FALSE)</f>
        <v>0</v>
      </c>
      <c r="F319">
        <f t="shared" si="4"/>
        <v>0</v>
      </c>
      <c r="G319" s="2">
        <f>SUM(F319,D319)</f>
        <v>705575</v>
      </c>
    </row>
    <row r="320" spans="1:7" x14ac:dyDescent="0.2">
      <c r="A320">
        <v>2021</v>
      </c>
      <c r="B320" s="34">
        <v>5590</v>
      </c>
      <c r="C320" s="9" t="s">
        <v>332</v>
      </c>
      <c r="D320" s="10">
        <v>140842</v>
      </c>
      <c r="E320" s="9">
        <f>VLOOKUP(B320,'2015'!$B$2:$G$338,6,FALSE)</f>
        <v>0</v>
      </c>
      <c r="F320">
        <f t="shared" si="4"/>
        <v>0</v>
      </c>
      <c r="G320" s="2">
        <f>SUM(F320,D320)</f>
        <v>140842</v>
      </c>
    </row>
    <row r="321" spans="1:7" x14ac:dyDescent="0.2">
      <c r="A321">
        <v>2021</v>
      </c>
      <c r="B321" s="34">
        <v>5696</v>
      </c>
      <c r="C321" s="9" t="s">
        <v>333</v>
      </c>
      <c r="D321" s="10">
        <v>247170</v>
      </c>
      <c r="E321" s="9">
        <f>VLOOKUP(B321,'2015'!$B$2:$G$338,6,FALSE)</f>
        <v>0</v>
      </c>
      <c r="F321">
        <f t="shared" si="4"/>
        <v>0</v>
      </c>
      <c r="G321" s="2">
        <f>SUM(F321,D321)</f>
        <v>247170</v>
      </c>
    </row>
    <row r="322" spans="1:7" x14ac:dyDescent="0.2">
      <c r="A322">
        <v>2021</v>
      </c>
      <c r="B322" s="34">
        <v>9291</v>
      </c>
      <c r="C322" s="9" t="s">
        <v>334</v>
      </c>
      <c r="D322" s="10">
        <v>371583</v>
      </c>
      <c r="E322" s="9">
        <f>VLOOKUP(B322,'2015'!$B$2:$G$338,6,FALSE)</f>
        <v>0</v>
      </c>
      <c r="F322">
        <f t="shared" si="4"/>
        <v>0</v>
      </c>
      <c r="G322" s="2">
        <f>SUM(F322,D322)</f>
        <v>371583</v>
      </c>
    </row>
    <row r="323" spans="1:7" x14ac:dyDescent="0.2">
      <c r="A323">
        <v>2021</v>
      </c>
      <c r="B323" s="34">
        <v>9302</v>
      </c>
      <c r="C323" s="9" t="s">
        <v>335</v>
      </c>
      <c r="D323" s="10">
        <v>162930</v>
      </c>
      <c r="E323" s="9">
        <f>VLOOKUP(B323,'2015'!$B$2:$G$338,6,FALSE)</f>
        <v>0</v>
      </c>
      <c r="F323">
        <f t="shared" ref="F323:F333" si="5">E323*$D$336</f>
        <v>0</v>
      </c>
      <c r="G323" s="2">
        <f>SUM(F323,D323)</f>
        <v>162930</v>
      </c>
    </row>
    <row r="324" spans="1:7" x14ac:dyDescent="0.2">
      <c r="A324">
        <v>2021</v>
      </c>
      <c r="B324" s="34">
        <v>9332</v>
      </c>
      <c r="C324" s="9" t="s">
        <v>336</v>
      </c>
      <c r="D324" s="10">
        <v>315344</v>
      </c>
      <c r="E324" s="9">
        <f>VLOOKUP(B324,'2015'!$B$2:$G$338,6,FALSE)</f>
        <v>0</v>
      </c>
      <c r="F324">
        <f t="shared" si="5"/>
        <v>0</v>
      </c>
      <c r="G324" s="2">
        <f>SUM(F324,D324)</f>
        <v>315344</v>
      </c>
    </row>
    <row r="325" spans="1:7" x14ac:dyDescent="0.2">
      <c r="A325">
        <v>2021</v>
      </c>
      <c r="B325" s="34">
        <v>9333</v>
      </c>
      <c r="C325" s="9" t="s">
        <v>337</v>
      </c>
      <c r="D325" s="10">
        <v>357036</v>
      </c>
      <c r="E325" s="9">
        <f>VLOOKUP(B325,'2015'!$B$2:$G$338,6,FALSE)</f>
        <v>0</v>
      </c>
      <c r="F325">
        <f t="shared" si="5"/>
        <v>0</v>
      </c>
      <c r="G325" s="2">
        <f>SUM(F325,D325)</f>
        <v>357036</v>
      </c>
    </row>
    <row r="326" spans="1:7" x14ac:dyDescent="0.2">
      <c r="A326">
        <v>2021</v>
      </c>
      <c r="B326" s="34">
        <v>9335</v>
      </c>
      <c r="C326" s="9" t="s">
        <v>338</v>
      </c>
      <c r="D326" s="10">
        <v>461961</v>
      </c>
      <c r="E326" s="9">
        <f>VLOOKUP(B326,'2015'!$B$2:$G$338,6,FALSE)</f>
        <v>0</v>
      </c>
      <c r="F326">
        <f t="shared" si="5"/>
        <v>0</v>
      </c>
      <c r="G326" s="2">
        <f>SUM(F326,D326)</f>
        <v>461961</v>
      </c>
    </row>
    <row r="327" spans="1:7" x14ac:dyDescent="0.2">
      <c r="A327">
        <v>2021</v>
      </c>
      <c r="B327" s="34">
        <v>9389</v>
      </c>
      <c r="C327" s="9" t="s">
        <v>339</v>
      </c>
      <c r="D327" s="10">
        <v>256776</v>
      </c>
      <c r="E327" s="9">
        <f>VLOOKUP(B327,'2015'!$B$2:$G$338,6,FALSE)</f>
        <v>0</v>
      </c>
      <c r="F327">
        <f t="shared" si="5"/>
        <v>0</v>
      </c>
      <c r="G327" s="2">
        <f>SUM(F327,D327)</f>
        <v>256776</v>
      </c>
    </row>
    <row r="328" spans="1:7" x14ac:dyDescent="0.2">
      <c r="A328">
        <v>2021</v>
      </c>
      <c r="B328" s="34">
        <v>9410</v>
      </c>
      <c r="C328" s="9" t="s">
        <v>340</v>
      </c>
      <c r="D328" s="10">
        <v>370091</v>
      </c>
      <c r="E328" s="9">
        <f>VLOOKUP(B328,'2015'!$B$2:$G$338,6,FALSE)</f>
        <v>0</v>
      </c>
      <c r="F328">
        <f t="shared" si="5"/>
        <v>0</v>
      </c>
      <c r="G328" s="2">
        <f>SUM(F328,D328)</f>
        <v>370091</v>
      </c>
    </row>
    <row r="329" spans="1:7" x14ac:dyDescent="0.2">
      <c r="A329">
        <v>2021</v>
      </c>
      <c r="B329" s="34">
        <v>9444</v>
      </c>
      <c r="C329" s="9" t="s">
        <v>341</v>
      </c>
      <c r="D329" s="10">
        <v>552283</v>
      </c>
      <c r="E329" s="9">
        <f>VLOOKUP(B329,'2015'!$B$2:$G$338,6,FALSE)</f>
        <v>0</v>
      </c>
      <c r="F329">
        <f t="shared" si="5"/>
        <v>0</v>
      </c>
      <c r="G329" s="2">
        <f>SUM(F329,D329)</f>
        <v>552283</v>
      </c>
    </row>
    <row r="330" spans="1:7" x14ac:dyDescent="0.2">
      <c r="A330">
        <v>2021</v>
      </c>
      <c r="B330" s="34">
        <v>9445</v>
      </c>
      <c r="C330" s="9" t="s">
        <v>342</v>
      </c>
      <c r="D330" s="10">
        <v>534773</v>
      </c>
      <c r="E330" s="9">
        <f>VLOOKUP(B330,'2015'!$B$2:$G$338,6,FALSE)</f>
        <v>0</v>
      </c>
      <c r="F330">
        <f t="shared" si="5"/>
        <v>0</v>
      </c>
      <c r="G330" s="2">
        <f>SUM(F330,D330)</f>
        <v>534773</v>
      </c>
    </row>
    <row r="331" spans="1:7" x14ac:dyDescent="0.2">
      <c r="A331">
        <v>2021</v>
      </c>
      <c r="B331" s="34">
        <v>9446</v>
      </c>
      <c r="C331" s="9" t="s">
        <v>343</v>
      </c>
      <c r="D331" s="10">
        <v>1000795</v>
      </c>
      <c r="E331" s="9">
        <f>VLOOKUP(B331,'2015'!$B$2:$G$338,6,FALSE)</f>
        <v>0</v>
      </c>
      <c r="F331">
        <f t="shared" si="5"/>
        <v>0</v>
      </c>
      <c r="G331" s="2">
        <f>SUM(F331,D331)</f>
        <v>1000795</v>
      </c>
    </row>
    <row r="332" spans="1:7" x14ac:dyDescent="0.2">
      <c r="A332">
        <v>2021</v>
      </c>
      <c r="B332" s="34">
        <v>9461</v>
      </c>
      <c r="C332" s="9" t="s">
        <v>344</v>
      </c>
      <c r="D332" s="10">
        <v>723689</v>
      </c>
      <c r="E332" s="9">
        <f>VLOOKUP(B332,'2015'!$B$2:$G$338,6,FALSE)</f>
        <v>0</v>
      </c>
      <c r="F332">
        <f t="shared" si="5"/>
        <v>0</v>
      </c>
      <c r="G332" s="2">
        <f>SUM(F332,D332)</f>
        <v>723689</v>
      </c>
    </row>
    <row r="333" spans="1:7" x14ac:dyDescent="0.2">
      <c r="A333">
        <v>2021</v>
      </c>
      <c r="B333" s="34">
        <v>5308</v>
      </c>
      <c r="C333" s="9" t="s">
        <v>304</v>
      </c>
      <c r="D333" s="10">
        <v>10768118</v>
      </c>
      <c r="E333" s="9">
        <f>VLOOKUP(B333,'2015'!$B$2:$G$338,6,FALSE)</f>
        <v>0</v>
      </c>
      <c r="F333">
        <f t="shared" si="5"/>
        <v>0</v>
      </c>
      <c r="G333" s="2">
        <f>SUM(F333,D333)</f>
        <v>10768118</v>
      </c>
    </row>
    <row r="335" spans="1:7" x14ac:dyDescent="0.2">
      <c r="C335" s="12" t="s">
        <v>346</v>
      </c>
      <c r="D335" s="12">
        <f>SUM(D2:D333)</f>
        <v>488057505</v>
      </c>
      <c r="E335" s="3">
        <f>SUM(E2:E333)</f>
        <v>0.97354491838934509</v>
      </c>
    </row>
    <row r="336" spans="1:7" x14ac:dyDescent="0.2">
      <c r="C336" s="12" t="s">
        <v>347</v>
      </c>
      <c r="D336" s="12">
        <v>72863628</v>
      </c>
    </row>
    <row r="337" spans="3:4" x14ac:dyDescent="0.2">
      <c r="D337" s="12"/>
    </row>
    <row r="338" spans="3:4" x14ac:dyDescent="0.2">
      <c r="C338" s="3" t="s">
        <v>348</v>
      </c>
      <c r="D338" s="12">
        <v>488057505</v>
      </c>
    </row>
    <row r="339" spans="3:4" x14ac:dyDescent="0.2">
      <c r="C339" s="3" t="s">
        <v>347</v>
      </c>
      <c r="D339" s="12">
        <v>72863628</v>
      </c>
    </row>
    <row r="341" spans="3:4" x14ac:dyDescent="0.2">
      <c r="C341" s="13" t="s">
        <v>349</v>
      </c>
      <c r="D341" s="14">
        <f>D335-D338</f>
        <v>0</v>
      </c>
    </row>
    <row r="342" spans="3:4" x14ac:dyDescent="0.2">
      <c r="D342" s="14">
        <f>D336-D339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F5728-29C1-0A48-A332-5DCEEADCF3A2}">
  <sheetPr>
    <tabColor rgb="FFFFFF00"/>
  </sheetPr>
  <dimension ref="A1:G347"/>
  <sheetViews>
    <sheetView workbookViewId="0">
      <selection activeCell="F2" sqref="F2:G338"/>
    </sheetView>
  </sheetViews>
  <sheetFormatPr baseColWidth="10" defaultRowHeight="16" x14ac:dyDescent="0.2"/>
  <cols>
    <col min="2" max="2" width="11.83203125" bestFit="1" customWidth="1"/>
    <col min="3" max="3" width="41.5" bestFit="1" customWidth="1"/>
    <col min="4" max="4" width="18.83203125" bestFit="1" customWidth="1"/>
    <col min="5" max="5" width="25.83203125" bestFit="1" customWidth="1"/>
    <col min="6" max="6" width="17.1640625" bestFit="1" customWidth="1"/>
    <col min="7" max="7" width="16.83203125" bestFit="1" customWidth="1"/>
  </cols>
  <sheetData>
    <row r="1" spans="1:7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374</v>
      </c>
      <c r="F1" t="s">
        <v>368</v>
      </c>
      <c r="G1" t="s">
        <v>351</v>
      </c>
    </row>
    <row r="2" spans="1:7" x14ac:dyDescent="0.2">
      <c r="A2">
        <v>2020</v>
      </c>
      <c r="B2" s="34">
        <v>4931</v>
      </c>
      <c r="C2" s="9" t="s">
        <v>10</v>
      </c>
      <c r="D2" s="10">
        <v>4923</v>
      </c>
      <c r="E2" s="9">
        <f>VLOOKUP(B2,'2015'!$B$2:$G$338,6,FALSE)</f>
        <v>6.4531547540516718E-3</v>
      </c>
      <c r="F2">
        <f>E2*$D$341</f>
        <v>480323.23449101206</v>
      </c>
      <c r="G2" s="2">
        <f>SUM(F2,D2)</f>
        <v>485246.23449101206</v>
      </c>
    </row>
    <row r="3" spans="1:7" x14ac:dyDescent="0.2">
      <c r="A3">
        <v>2020</v>
      </c>
      <c r="B3" s="34">
        <v>5045</v>
      </c>
      <c r="C3" s="9" t="s">
        <v>11</v>
      </c>
      <c r="D3" s="10">
        <v>5507</v>
      </c>
      <c r="E3" s="9">
        <f>VLOOKUP(B3,'2015'!$B$2:$G$338,6,FALSE)</f>
        <v>1.0105484222096495E-2</v>
      </c>
      <c r="F3">
        <f t="shared" ref="F3:F66" si="0">E3*$D$341</f>
        <v>752174.56463564781</v>
      </c>
      <c r="G3" s="2">
        <f>SUM(F3,D3)</f>
        <v>757681.56463564781</v>
      </c>
    </row>
    <row r="4" spans="1:7" x14ac:dyDescent="0.2">
      <c r="A4">
        <v>2020</v>
      </c>
      <c r="B4" s="34">
        <v>5046</v>
      </c>
      <c r="C4" s="9" t="s">
        <v>12</v>
      </c>
      <c r="D4" s="9">
        <v>142</v>
      </c>
      <c r="E4" s="9">
        <f>VLOOKUP(B4,'2015'!$B$2:$G$338,6,FALSE)</f>
        <v>1.3630219751289424E-2</v>
      </c>
      <c r="F4">
        <f t="shared" si="0"/>
        <v>1014528.7827867565</v>
      </c>
      <c r="G4" s="2">
        <f>SUM(F4,D4)</f>
        <v>1014670.7827867565</v>
      </c>
    </row>
    <row r="5" spans="1:7" x14ac:dyDescent="0.2">
      <c r="A5">
        <v>2020</v>
      </c>
      <c r="B5" s="34">
        <v>5047</v>
      </c>
      <c r="C5" s="9" t="s">
        <v>13</v>
      </c>
      <c r="D5" s="10">
        <v>10534</v>
      </c>
      <c r="E5" s="9">
        <f>VLOOKUP(B5,'2015'!$B$2:$G$338,6,FALSE)</f>
        <v>2.189607160505451E-2</v>
      </c>
      <c r="F5">
        <f t="shared" si="0"/>
        <v>1629775.2551778296</v>
      </c>
      <c r="G5" s="2">
        <f>SUM(F5,D5)</f>
        <v>1640309.2551778296</v>
      </c>
    </row>
    <row r="6" spans="1:7" x14ac:dyDescent="0.2">
      <c r="A6">
        <v>2020</v>
      </c>
      <c r="B6" s="34">
        <v>5048</v>
      </c>
      <c r="C6" s="9" t="s">
        <v>14</v>
      </c>
      <c r="D6" s="10">
        <v>68518</v>
      </c>
      <c r="E6" s="9">
        <f>VLOOKUP(B6,'2015'!$B$2:$G$338,6,FALSE)</f>
        <v>4.4505872497202836E-2</v>
      </c>
      <c r="F6">
        <f t="shared" si="0"/>
        <v>3312675.0320498929</v>
      </c>
      <c r="G6" s="2">
        <f>SUM(F6,D6)</f>
        <v>3381193.0320498929</v>
      </c>
    </row>
    <row r="7" spans="1:7" x14ac:dyDescent="0.2">
      <c r="A7">
        <v>2020</v>
      </c>
      <c r="B7" s="34">
        <v>5049</v>
      </c>
      <c r="C7" s="9" t="s">
        <v>15</v>
      </c>
      <c r="D7" s="10">
        <v>157689</v>
      </c>
      <c r="E7" s="9">
        <f>VLOOKUP(B7,'2015'!$B$2:$G$338,6,FALSE)</f>
        <v>6.3574471270304675E-2</v>
      </c>
      <c r="F7">
        <f t="shared" si="0"/>
        <v>4731994.9444008255</v>
      </c>
      <c r="G7" s="2">
        <f>SUM(F7,D7)</f>
        <v>4889683.9444008255</v>
      </c>
    </row>
    <row r="8" spans="1:7" x14ac:dyDescent="0.2">
      <c r="A8">
        <v>2020</v>
      </c>
      <c r="B8" s="34">
        <v>5050</v>
      </c>
      <c r="C8" s="9" t="s">
        <v>16</v>
      </c>
      <c r="D8" s="10">
        <v>13988</v>
      </c>
      <c r="E8" s="9">
        <f>VLOOKUP(B8,'2015'!$B$2:$G$338,6,FALSE)</f>
        <v>1.5153357180231053E-2</v>
      </c>
      <c r="F8">
        <f t="shared" si="0"/>
        <v>1127899.4246397552</v>
      </c>
      <c r="G8" s="2">
        <f>SUM(F8,D8)</f>
        <v>1141887.4246397552</v>
      </c>
    </row>
    <row r="9" spans="1:7" x14ac:dyDescent="0.2">
      <c r="A9">
        <v>2020</v>
      </c>
      <c r="B9" s="34">
        <v>5107</v>
      </c>
      <c r="C9" s="9" t="s">
        <v>17</v>
      </c>
      <c r="D9" s="10">
        <v>22648</v>
      </c>
      <c r="E9" s="9">
        <f>VLOOKUP(B9,'2015'!$B$2:$G$338,6,FALSE)</f>
        <v>2.4280916304639615E-2</v>
      </c>
      <c r="F9">
        <f t="shared" si="0"/>
        <v>1807284.7623137392</v>
      </c>
      <c r="G9" s="2">
        <f>SUM(F9,D9)</f>
        <v>1829932.7623137392</v>
      </c>
    </row>
    <row r="10" spans="1:7" x14ac:dyDescent="0.2">
      <c r="A10">
        <v>2020</v>
      </c>
      <c r="B10" s="34">
        <v>5108</v>
      </c>
      <c r="C10" s="9" t="s">
        <v>18</v>
      </c>
      <c r="D10" s="10">
        <v>21644</v>
      </c>
      <c r="E10" s="9">
        <f>VLOOKUP(B10,'2015'!$B$2:$G$338,6,FALSE)</f>
        <v>3.1695507434012407E-2</v>
      </c>
      <c r="F10">
        <f t="shared" si="0"/>
        <v>2359169.9300222383</v>
      </c>
      <c r="G10" s="2">
        <f>SUM(F10,D10)</f>
        <v>2380813.9300222383</v>
      </c>
    </row>
    <row r="11" spans="1:7" x14ac:dyDescent="0.2">
      <c r="A11">
        <v>2020</v>
      </c>
      <c r="B11" s="34">
        <v>5109</v>
      </c>
      <c r="C11" s="9" t="s">
        <v>19</v>
      </c>
      <c r="D11" s="10">
        <v>42479</v>
      </c>
      <c r="E11" s="9">
        <f>VLOOKUP(B11,'2015'!$B$2:$G$338,6,FALSE)</f>
        <v>5.1177098904248042E-2</v>
      </c>
      <c r="F11">
        <f t="shared" si="0"/>
        <v>3809229.8440729473</v>
      </c>
      <c r="G11" s="2">
        <f>SUM(F11,D11)</f>
        <v>3851708.8440729473</v>
      </c>
    </row>
    <row r="12" spans="1:7" x14ac:dyDescent="0.2">
      <c r="A12">
        <v>2020</v>
      </c>
      <c r="B12" s="34">
        <v>5110</v>
      </c>
      <c r="C12" s="9" t="s">
        <v>20</v>
      </c>
      <c r="D12" s="10">
        <v>15539</v>
      </c>
      <c r="E12" s="9">
        <f>VLOOKUP(B12,'2015'!$B$2:$G$338,6,FALSE)</f>
        <v>1.0333360578457136E-2</v>
      </c>
      <c r="F12">
        <f t="shared" si="0"/>
        <v>769135.92891758261</v>
      </c>
      <c r="G12" s="2">
        <f>SUM(F12,D12)</f>
        <v>784674.92891758261</v>
      </c>
    </row>
    <row r="13" spans="1:7" x14ac:dyDescent="0.2">
      <c r="A13">
        <v>2020</v>
      </c>
      <c r="B13" s="34">
        <v>5111</v>
      </c>
      <c r="C13" s="9" t="s">
        <v>21</v>
      </c>
      <c r="D13" s="10">
        <v>33455</v>
      </c>
      <c r="E13" s="9">
        <f>VLOOKUP(B13,'2015'!$B$2:$G$338,6,FALSE)</f>
        <v>1.0645672472843794E-2</v>
      </c>
      <c r="F13">
        <f t="shared" si="0"/>
        <v>792382.02559419326</v>
      </c>
      <c r="G13" s="2">
        <f>SUM(F13,D13)</f>
        <v>825837.02559419326</v>
      </c>
    </row>
    <row r="14" spans="1:7" x14ac:dyDescent="0.2">
      <c r="A14">
        <v>2020</v>
      </c>
      <c r="B14" s="34">
        <v>5112</v>
      </c>
      <c r="C14" s="9" t="s">
        <v>22</v>
      </c>
      <c r="D14" s="10">
        <v>5318</v>
      </c>
      <c r="E14" s="9">
        <f>VLOOKUP(B14,'2015'!$B$2:$G$338,6,FALSE)</f>
        <v>1.26711958199119E-2</v>
      </c>
      <c r="F14">
        <f t="shared" si="0"/>
        <v>943146.41335197422</v>
      </c>
      <c r="G14" s="2">
        <f>SUM(F14,D14)</f>
        <v>948464.41335197422</v>
      </c>
    </row>
    <row r="15" spans="1:7" x14ac:dyDescent="0.2">
      <c r="A15">
        <v>2020</v>
      </c>
      <c r="B15" s="34">
        <v>5113</v>
      </c>
      <c r="C15" s="9" t="s">
        <v>23</v>
      </c>
      <c r="D15" s="10">
        <v>12882</v>
      </c>
      <c r="E15" s="9">
        <f>VLOOKUP(B15,'2015'!$B$2:$G$338,6,FALSE)</f>
        <v>1.1491975514269418E-2</v>
      </c>
      <c r="F15">
        <f t="shared" si="0"/>
        <v>855374.31846643728</v>
      </c>
      <c r="G15" s="2">
        <f>SUM(F15,D15)</f>
        <v>868256.31846643728</v>
      </c>
    </row>
    <row r="16" spans="1:7" x14ac:dyDescent="0.2">
      <c r="A16">
        <v>2020</v>
      </c>
      <c r="B16" s="34">
        <v>5177</v>
      </c>
      <c r="C16" s="9" t="s">
        <v>24</v>
      </c>
      <c r="D16" s="10">
        <v>32074</v>
      </c>
      <c r="E16" s="9">
        <f>VLOOKUP(B16,'2015'!$B$2:$G$338,6,FALSE)</f>
        <v>1.3302968410463039E-2</v>
      </c>
      <c r="F16">
        <f t="shared" si="0"/>
        <v>990170.70855669735</v>
      </c>
      <c r="G16" s="2">
        <f>SUM(F16,D16)</f>
        <v>1022244.7085566974</v>
      </c>
    </row>
    <row r="17" spans="1:7" x14ac:dyDescent="0.2">
      <c r="A17">
        <v>2020</v>
      </c>
      <c r="B17" s="34">
        <v>5178</v>
      </c>
      <c r="C17" s="9" t="s">
        <v>25</v>
      </c>
      <c r="D17" s="10">
        <v>36626</v>
      </c>
      <c r="E17" s="9">
        <f>VLOOKUP(B17,'2015'!$B$2:$G$338,6,FALSE)</f>
        <v>2.1732025416889681E-2</v>
      </c>
      <c r="F17">
        <f t="shared" si="0"/>
        <v>1617564.9179538882</v>
      </c>
      <c r="G17" s="2">
        <f>SUM(F17,D17)</f>
        <v>1654190.9179538882</v>
      </c>
    </row>
    <row r="18" spans="1:7" x14ac:dyDescent="0.2">
      <c r="A18">
        <v>2020</v>
      </c>
      <c r="B18" s="34">
        <v>5179</v>
      </c>
      <c r="C18" s="9" t="s">
        <v>26</v>
      </c>
      <c r="D18" s="10">
        <v>23173</v>
      </c>
      <c r="E18" s="9">
        <f>VLOOKUP(B18,'2015'!$B$2:$G$338,6,FALSE)</f>
        <v>1.1857958753272873E-2</v>
      </c>
      <c r="F18">
        <f t="shared" si="0"/>
        <v>882615.29746469622</v>
      </c>
      <c r="G18" s="2">
        <f>SUM(F18,D18)</f>
        <v>905788.29746469622</v>
      </c>
    </row>
    <row r="19" spans="1:7" x14ac:dyDescent="0.2">
      <c r="A19">
        <v>2020</v>
      </c>
      <c r="B19" s="34">
        <v>5180</v>
      </c>
      <c r="C19" s="9" t="s">
        <v>27</v>
      </c>
      <c r="D19" s="10">
        <v>3329</v>
      </c>
      <c r="E19" s="9">
        <f>VLOOKUP(B19,'2015'!$B$2:$G$338,6,FALSE)</f>
        <v>1.6155185392222552E-2</v>
      </c>
      <c r="F19">
        <f t="shared" si="0"/>
        <v>1202467.8156869367</v>
      </c>
      <c r="G19" s="2">
        <f>SUM(F19,D19)</f>
        <v>1205796.8156869367</v>
      </c>
    </row>
    <row r="20" spans="1:7" x14ac:dyDescent="0.2">
      <c r="A20">
        <v>2020</v>
      </c>
      <c r="B20" s="34">
        <v>5404</v>
      </c>
      <c r="C20" s="9" t="s">
        <v>28</v>
      </c>
      <c r="D20" s="10">
        <v>6714</v>
      </c>
      <c r="E20" s="9">
        <f>VLOOKUP(B20,'2015'!$B$2:$G$338,6,FALSE)</f>
        <v>1.896247337209666E-2</v>
      </c>
      <c r="F20">
        <f t="shared" si="0"/>
        <v>1411420.7532860641</v>
      </c>
      <c r="G20" s="2">
        <f>SUM(F20,D20)</f>
        <v>1418134.7532860641</v>
      </c>
    </row>
    <row r="21" spans="1:7" x14ac:dyDescent="0.2">
      <c r="A21">
        <v>2020</v>
      </c>
      <c r="B21" s="34">
        <v>5406</v>
      </c>
      <c r="C21" s="9" t="s">
        <v>29</v>
      </c>
      <c r="D21" s="10">
        <v>30335</v>
      </c>
      <c r="E21" s="9">
        <f>VLOOKUP(B21,'2015'!$B$2:$G$338,6,FALSE)</f>
        <v>0.18385655811930474</v>
      </c>
      <c r="F21">
        <f t="shared" si="0"/>
        <v>13684868.881038781</v>
      </c>
      <c r="G21" s="2">
        <f>SUM(F21,D21)</f>
        <v>13715203.881038781</v>
      </c>
    </row>
    <row r="22" spans="1:7" x14ac:dyDescent="0.2">
      <c r="A22">
        <v>2020</v>
      </c>
      <c r="B22" s="34">
        <v>5596</v>
      </c>
      <c r="C22" s="9" t="s">
        <v>30</v>
      </c>
      <c r="D22" s="10">
        <v>85198</v>
      </c>
      <c r="E22" s="9">
        <f>VLOOKUP(B22,'2015'!$B$2:$G$338,6,FALSE)</f>
        <v>1.6026551225248188E-2</v>
      </c>
      <c r="F22">
        <f t="shared" si="0"/>
        <v>1192893.2771082066</v>
      </c>
      <c r="G22" s="2">
        <f>SUM(F22,D22)</f>
        <v>1278091.2771082066</v>
      </c>
    </row>
    <row r="23" spans="1:7" x14ac:dyDescent="0.2">
      <c r="A23">
        <v>2020</v>
      </c>
      <c r="B23" s="34">
        <v>5600</v>
      </c>
      <c r="C23" s="9" t="s">
        <v>31</v>
      </c>
      <c r="D23" s="10">
        <v>67133</v>
      </c>
      <c r="E23" s="9">
        <f>VLOOKUP(B23,'2015'!$B$2:$G$338,6,FALSE)</f>
        <v>1.8681545381490052E-2</v>
      </c>
      <c r="F23">
        <f t="shared" si="0"/>
        <v>1390510.633158772</v>
      </c>
      <c r="G23" s="2">
        <f>SUM(F23,D23)</f>
        <v>1457643.633158772</v>
      </c>
    </row>
    <row r="24" spans="1:7" x14ac:dyDescent="0.2">
      <c r="A24">
        <v>2020</v>
      </c>
      <c r="B24" s="34">
        <v>5604</v>
      </c>
      <c r="C24" s="9" t="s">
        <v>32</v>
      </c>
      <c r="D24" s="10">
        <v>51019</v>
      </c>
      <c r="E24" s="9">
        <f>VLOOKUP(B24,'2015'!$B$2:$G$338,6,FALSE)</f>
        <v>1.7146633455502592E-2</v>
      </c>
      <c r="F24">
        <f t="shared" si="0"/>
        <v>1276263.5882562406</v>
      </c>
      <c r="G24" s="2">
        <f>SUM(F24,D24)</f>
        <v>1327282.5882562406</v>
      </c>
    </row>
    <row r="25" spans="1:7" x14ac:dyDescent="0.2">
      <c r="A25">
        <v>2020</v>
      </c>
      <c r="B25" s="34">
        <v>5608</v>
      </c>
      <c r="C25" s="9" t="s">
        <v>33</v>
      </c>
      <c r="D25" s="10">
        <v>29130</v>
      </c>
      <c r="E25" s="9">
        <f>VLOOKUP(B25,'2015'!$B$2:$G$338,6,FALSE)</f>
        <v>1.6119618443439378E-2</v>
      </c>
      <c r="F25">
        <f t="shared" si="0"/>
        <v>1199820.4854226524</v>
      </c>
      <c r="G25" s="2">
        <f>SUM(F25,D25)</f>
        <v>1228950.4854226524</v>
      </c>
    </row>
    <row r="26" spans="1:7" x14ac:dyDescent="0.2">
      <c r="A26">
        <v>2020</v>
      </c>
      <c r="B26" s="34">
        <v>5609</v>
      </c>
      <c r="C26" s="9" t="s">
        <v>34</v>
      </c>
      <c r="D26" s="10">
        <v>71823</v>
      </c>
      <c r="E26" s="9">
        <f>VLOOKUP(B26,'2015'!$B$2:$G$338,6,FALSE)</f>
        <v>1.7566288039122847E-2</v>
      </c>
      <c r="F26">
        <f t="shared" si="0"/>
        <v>1307499.4495761481</v>
      </c>
      <c r="G26" s="2">
        <f>SUM(F26,D26)</f>
        <v>1379322.4495761481</v>
      </c>
    </row>
    <row r="27" spans="1:7" x14ac:dyDescent="0.2">
      <c r="A27">
        <v>2020</v>
      </c>
      <c r="B27" s="34">
        <v>5612</v>
      </c>
      <c r="C27" s="9" t="s">
        <v>35</v>
      </c>
      <c r="D27" s="10">
        <v>98227</v>
      </c>
      <c r="E27" s="9">
        <f>VLOOKUP(B27,'2015'!$B$2:$G$338,6,FALSE)</f>
        <v>3.6267907610125244E-2</v>
      </c>
      <c r="F27">
        <f t="shared" si="0"/>
        <v>2699504.251091924</v>
      </c>
      <c r="G27" s="2">
        <f>SUM(F27,D27)</f>
        <v>2797731.251091924</v>
      </c>
    </row>
    <row r="28" spans="1:7" x14ac:dyDescent="0.2">
      <c r="A28">
        <v>2020</v>
      </c>
      <c r="B28" s="34">
        <v>5624</v>
      </c>
      <c r="C28" s="9" t="s">
        <v>36</v>
      </c>
      <c r="D28" s="10">
        <v>30939</v>
      </c>
      <c r="E28" s="9">
        <f>VLOOKUP(B28,'2015'!$B$2:$G$338,6,FALSE)</f>
        <v>1.2935059642807353E-2</v>
      </c>
      <c r="F28">
        <f t="shared" si="0"/>
        <v>962786.40800710511</v>
      </c>
      <c r="G28" s="2">
        <f>SUM(F28,D28)</f>
        <v>993725.40800710511</v>
      </c>
    </row>
    <row r="29" spans="1:7" x14ac:dyDescent="0.2">
      <c r="A29">
        <v>2020</v>
      </c>
      <c r="B29" s="34">
        <v>5626</v>
      </c>
      <c r="C29" s="9" t="s">
        <v>37</v>
      </c>
      <c r="D29" s="10">
        <v>29592</v>
      </c>
      <c r="E29" s="9">
        <f>VLOOKUP(B29,'2015'!$B$2:$G$338,6,FALSE)</f>
        <v>1.5028308480402224E-2</v>
      </c>
      <c r="F29">
        <f t="shared" si="0"/>
        <v>1118591.7606738526</v>
      </c>
      <c r="G29" s="2">
        <f>SUM(F29,D29)</f>
        <v>1148183.7606738526</v>
      </c>
    </row>
    <row r="30" spans="1:7" x14ac:dyDescent="0.2">
      <c r="A30">
        <v>2020</v>
      </c>
      <c r="B30" s="34">
        <v>5634</v>
      </c>
      <c r="C30" s="9" t="s">
        <v>38</v>
      </c>
      <c r="D30" s="10">
        <v>110824</v>
      </c>
      <c r="E30" s="9">
        <f>VLOOKUP(B30,'2015'!$B$2:$G$338,6,FALSE)</f>
        <v>2.1955563800654488E-2</v>
      </c>
      <c r="F30">
        <f t="shared" si="0"/>
        <v>1634203.3969017845</v>
      </c>
      <c r="G30" s="2">
        <f>SUM(F30,D30)</f>
        <v>1745027.3969017845</v>
      </c>
    </row>
    <row r="31" spans="1:7" x14ac:dyDescent="0.2">
      <c r="A31">
        <v>2020</v>
      </c>
      <c r="B31" s="34">
        <v>5638</v>
      </c>
      <c r="C31" s="9" t="s">
        <v>39</v>
      </c>
      <c r="D31" s="10">
        <v>31662</v>
      </c>
      <c r="E31" s="9">
        <f>VLOOKUP(B31,'2015'!$B$2:$G$338,6,FALSE)</f>
        <v>1.1550715204419101E-2</v>
      </c>
      <c r="F31">
        <f t="shared" si="0"/>
        <v>859746.44946918148</v>
      </c>
      <c r="G31" s="2">
        <f>SUM(F31,D31)</f>
        <v>891408.44946918148</v>
      </c>
    </row>
    <row r="32" spans="1:7" x14ac:dyDescent="0.2">
      <c r="A32">
        <v>2020</v>
      </c>
      <c r="B32" s="34">
        <v>5655</v>
      </c>
      <c r="C32" s="9" t="s">
        <v>40</v>
      </c>
      <c r="D32" s="9"/>
      <c r="E32" s="9">
        <f>VLOOKUP(B32,'2015'!$B$2:$G$338,6,FALSE)</f>
        <v>5.1934606302538574E-3</v>
      </c>
      <c r="F32">
        <f t="shared" si="0"/>
        <v>386561.28718423238</v>
      </c>
      <c r="G32" s="2">
        <f>SUM(F32,D32)</f>
        <v>386561.28718423238</v>
      </c>
    </row>
    <row r="33" spans="1:7" x14ac:dyDescent="0.2">
      <c r="A33">
        <v>2020</v>
      </c>
      <c r="B33" s="34">
        <v>5657</v>
      </c>
      <c r="C33" s="9" t="s">
        <v>41</v>
      </c>
      <c r="D33" s="10">
        <v>1316</v>
      </c>
      <c r="E33" s="9">
        <f>VLOOKUP(B33,'2015'!$B$2:$G$338,6,FALSE)</f>
        <v>2.8683294514011727E-3</v>
      </c>
      <c r="F33">
        <f t="shared" si="0"/>
        <v>213496.39551381036</v>
      </c>
      <c r="G33" s="2">
        <f>SUM(F33,D33)</f>
        <v>214812.39551381036</v>
      </c>
    </row>
    <row r="34" spans="1:7" x14ac:dyDescent="0.2">
      <c r="A34">
        <v>2020</v>
      </c>
      <c r="B34" s="34">
        <v>4930</v>
      </c>
      <c r="C34" s="15" t="s">
        <v>353</v>
      </c>
      <c r="D34" s="10">
        <v>8590</v>
      </c>
      <c r="E34" s="9">
        <f>VLOOKUP(B34,'2015'!$B$2:$G$338,6,FALSE)</f>
        <v>8.169597553666752E-3</v>
      </c>
      <c r="F34">
        <f t="shared" si="0"/>
        <v>608082.04219855799</v>
      </c>
      <c r="G34" s="2">
        <f>SUM(F34,D34)</f>
        <v>616672.04219855799</v>
      </c>
    </row>
    <row r="35" spans="1:7" x14ac:dyDescent="0.2">
      <c r="A35">
        <v>2020</v>
      </c>
      <c r="B35" s="34">
        <v>5682</v>
      </c>
      <c r="C35" s="9" t="s">
        <v>43</v>
      </c>
      <c r="D35" s="10">
        <v>134352</v>
      </c>
      <c r="E35" s="9">
        <f>VLOOKUP(B35,'2015'!$B$2:$G$338,6,FALSE)</f>
        <v>4.9492217068518966E-2</v>
      </c>
      <c r="F35">
        <f t="shared" si="0"/>
        <v>3683820.191907946</v>
      </c>
      <c r="G35" s="2">
        <f>SUM(F35,D35)</f>
        <v>3818172.191907946</v>
      </c>
    </row>
    <row r="36" spans="1:7" x14ac:dyDescent="0.2">
      <c r="A36">
        <v>2020</v>
      </c>
      <c r="B36" s="34">
        <v>5688</v>
      </c>
      <c r="C36" s="9" t="s">
        <v>44</v>
      </c>
      <c r="D36" s="10">
        <v>4914</v>
      </c>
      <c r="E36" s="9">
        <f>VLOOKUP(B36,'2015'!$B$2:$G$338,6,FALSE)</f>
        <v>5.5749366285281409E-3</v>
      </c>
      <c r="F36">
        <f t="shared" si="0"/>
        <v>414955.4280897713</v>
      </c>
      <c r="G36" s="2">
        <f>SUM(F36,D36)</f>
        <v>419869.4280897713</v>
      </c>
    </row>
    <row r="37" spans="1:7" x14ac:dyDescent="0.2">
      <c r="A37">
        <v>2020</v>
      </c>
      <c r="B37" s="34">
        <v>9034</v>
      </c>
      <c r="C37" s="9" t="s">
        <v>45</v>
      </c>
      <c r="D37" s="10">
        <v>74640</v>
      </c>
      <c r="E37" s="9">
        <f>VLOOKUP(B37,'2015'!$B$2:$G$338,6,FALSE)</f>
        <v>1.0344603895185109E-2</v>
      </c>
      <c r="F37">
        <f t="shared" si="0"/>
        <v>769972.7949874372</v>
      </c>
      <c r="G37" s="2">
        <f>SUM(F37,D37)</f>
        <v>844612.7949874372</v>
      </c>
    </row>
    <row r="38" spans="1:7" x14ac:dyDescent="0.2">
      <c r="A38">
        <v>2020</v>
      </c>
      <c r="B38" s="34">
        <v>9042</v>
      </c>
      <c r="C38" s="9" t="s">
        <v>46</v>
      </c>
      <c r="D38" s="10">
        <v>11788</v>
      </c>
      <c r="E38" s="9">
        <f>VLOOKUP(B38,'2015'!$B$2:$G$338,6,FALSE)</f>
        <v>6.7431128100618474E-3</v>
      </c>
      <c r="F38">
        <f t="shared" si="0"/>
        <v>501905.48327283299</v>
      </c>
      <c r="G38" s="2">
        <f>SUM(F38,D38)</f>
        <v>513693.48327283299</v>
      </c>
    </row>
    <row r="39" spans="1:7" x14ac:dyDescent="0.2">
      <c r="A39">
        <v>2020</v>
      </c>
      <c r="B39" s="34">
        <v>9047</v>
      </c>
      <c r="C39" s="9" t="s">
        <v>47</v>
      </c>
      <c r="D39" s="10">
        <v>20067</v>
      </c>
      <c r="E39" s="9">
        <f>VLOOKUP(B39,'2015'!$B$2:$G$338,6,FALSE)</f>
        <v>5.8226437167554438E-3</v>
      </c>
      <c r="F39">
        <f t="shared" si="0"/>
        <v>433392.83961302455</v>
      </c>
      <c r="G39" s="2">
        <f>SUM(F39,D39)</f>
        <v>453459.83961302455</v>
      </c>
    </row>
    <row r="40" spans="1:7" x14ac:dyDescent="0.2">
      <c r="A40">
        <v>2020</v>
      </c>
      <c r="B40" s="34">
        <v>9053</v>
      </c>
      <c r="C40" s="9" t="s">
        <v>48</v>
      </c>
      <c r="D40" s="9"/>
      <c r="E40" s="9">
        <f>VLOOKUP(B40,'2015'!$B$2:$G$338,6,FALSE)</f>
        <v>3.2831370146209815E-4</v>
      </c>
      <c r="F40">
        <f t="shared" si="0"/>
        <v>24437.148189415446</v>
      </c>
      <c r="G40" s="2">
        <f>SUM(F40,D40)</f>
        <v>24437.148189415446</v>
      </c>
    </row>
    <row r="41" spans="1:7" x14ac:dyDescent="0.2">
      <c r="A41">
        <v>2020</v>
      </c>
      <c r="B41" s="34">
        <v>9055</v>
      </c>
      <c r="C41" s="9" t="s">
        <v>49</v>
      </c>
      <c r="D41" s="10">
        <v>67277</v>
      </c>
      <c r="E41" s="9">
        <f>VLOOKUP(B41,'2015'!$B$2:$G$338,6,FALSE)</f>
        <v>6.5073794114995712E-3</v>
      </c>
      <c r="F41">
        <f t="shared" si="0"/>
        <v>484359.30116649187</v>
      </c>
      <c r="G41" s="2">
        <f>SUM(F41,D41)</f>
        <v>551636.30116649182</v>
      </c>
    </row>
    <row r="42" spans="1:7" x14ac:dyDescent="0.2">
      <c r="A42">
        <v>2020</v>
      </c>
      <c r="B42" s="34">
        <v>9056</v>
      </c>
      <c r="C42" s="9" t="s">
        <v>50</v>
      </c>
      <c r="D42" s="10">
        <v>7254</v>
      </c>
      <c r="E42" s="9">
        <f>VLOOKUP(B42,'2015'!$B$2:$G$338,6,FALSE)</f>
        <v>5.467107024003175E-3</v>
      </c>
      <c r="F42">
        <f t="shared" si="0"/>
        <v>406929.42121510283</v>
      </c>
      <c r="G42" s="2">
        <f>SUM(F42,D42)</f>
        <v>414183.42121510283</v>
      </c>
    </row>
    <row r="43" spans="1:7" x14ac:dyDescent="0.2">
      <c r="A43">
        <v>2020</v>
      </c>
      <c r="B43" s="34">
        <v>9273</v>
      </c>
      <c r="C43" s="9" t="s">
        <v>51</v>
      </c>
      <c r="D43" s="10">
        <v>2208</v>
      </c>
      <c r="E43" s="9">
        <f>VLOOKUP(B43,'2015'!$B$2:$G$338,6,FALSE)</f>
        <v>1.0952362708866464E-2</v>
      </c>
      <c r="F43">
        <f t="shared" si="0"/>
        <v>815209.68923587655</v>
      </c>
      <c r="G43" s="2">
        <f>SUM(F43,D43)</f>
        <v>817417.68923587655</v>
      </c>
    </row>
    <row r="44" spans="1:7" x14ac:dyDescent="0.2">
      <c r="A44">
        <v>2020</v>
      </c>
      <c r="B44" s="34">
        <v>9274</v>
      </c>
      <c r="C44" s="9" t="s">
        <v>52</v>
      </c>
      <c r="D44" s="10">
        <v>38459</v>
      </c>
      <c r="E44" s="9">
        <f>VLOOKUP(B44,'2015'!$B$2:$G$338,6,FALSE)</f>
        <v>2.9805855585749469E-2</v>
      </c>
      <c r="F44">
        <f t="shared" si="0"/>
        <v>2218518.7721913029</v>
      </c>
      <c r="G44" s="2">
        <f>SUM(F44,D44)</f>
        <v>2256977.7721913029</v>
      </c>
    </row>
    <row r="45" spans="1:7" x14ac:dyDescent="0.2">
      <c r="A45">
        <v>2020</v>
      </c>
      <c r="B45" s="34">
        <v>9303</v>
      </c>
      <c r="C45" s="9" t="s">
        <v>53</v>
      </c>
      <c r="D45" s="10">
        <v>3683</v>
      </c>
      <c r="E45" s="9">
        <f>VLOOKUP(B45,'2015'!$B$2:$G$338,6,FALSE)</f>
        <v>2.0704036574243728E-2</v>
      </c>
      <c r="F45">
        <f t="shared" si="0"/>
        <v>1541049.3306575569</v>
      </c>
      <c r="G45" s="2">
        <f>SUM(F45,D45)</f>
        <v>1544732.3306575569</v>
      </c>
    </row>
    <row r="46" spans="1:7" x14ac:dyDescent="0.2">
      <c r="A46">
        <v>2020</v>
      </c>
      <c r="B46" s="34">
        <v>9304</v>
      </c>
      <c r="C46" s="9" t="s">
        <v>54</v>
      </c>
      <c r="D46" s="9"/>
      <c r="E46" s="9">
        <f>VLOOKUP(B46,'2015'!$B$2:$G$338,6,FALSE)</f>
        <v>6.982210350637218E-3</v>
      </c>
      <c r="F46">
        <f t="shared" si="0"/>
        <v>519702.06625046919</v>
      </c>
      <c r="G46" s="2">
        <f>SUM(F46,D46)</f>
        <v>519702.06625046919</v>
      </c>
    </row>
    <row r="47" spans="1:7" x14ac:dyDescent="0.2">
      <c r="A47">
        <v>2020</v>
      </c>
      <c r="B47" s="34">
        <v>9305</v>
      </c>
      <c r="C47" s="9" t="s">
        <v>55</v>
      </c>
      <c r="D47" s="10">
        <v>26980</v>
      </c>
      <c r="E47" s="9">
        <f>VLOOKUP(B47,'2015'!$B$2:$G$338,6,FALSE)</f>
        <v>8.0967373200673699E-3</v>
      </c>
      <c r="F47">
        <f t="shared" si="0"/>
        <v>602658.88648603566</v>
      </c>
      <c r="G47" s="2">
        <f>SUM(F47,D47)</f>
        <v>629638.88648603566</v>
      </c>
    </row>
    <row r="48" spans="1:7" x14ac:dyDescent="0.2">
      <c r="A48">
        <v>2020</v>
      </c>
      <c r="B48" s="34">
        <v>9395</v>
      </c>
      <c r="C48" s="9" t="s">
        <v>56</v>
      </c>
      <c r="D48" s="9"/>
      <c r="E48" s="9">
        <f>VLOOKUP(B48,'2015'!$B$2:$G$338,6,FALSE)</f>
        <v>5.0036743291862092E-3</v>
      </c>
      <c r="F48">
        <f t="shared" si="0"/>
        <v>372435.05382005294</v>
      </c>
      <c r="G48" s="2">
        <f>SUM(F48,D48)</f>
        <v>372435.05382005294</v>
      </c>
    </row>
    <row r="49" spans="1:7" x14ac:dyDescent="0.2">
      <c r="A49">
        <v>2020</v>
      </c>
      <c r="B49" s="34">
        <v>9487</v>
      </c>
      <c r="C49" s="9" t="s">
        <v>57</v>
      </c>
      <c r="D49" s="10">
        <v>11436</v>
      </c>
      <c r="E49" s="9">
        <f>VLOOKUP(B49,'2015'!$B$2:$G$338,6,FALSE)</f>
        <v>5.106634780797486E-4</v>
      </c>
      <c r="F49">
        <f t="shared" si="0"/>
        <v>38009.863838100486</v>
      </c>
      <c r="G49" s="2">
        <f>SUM(F49,D49)</f>
        <v>49445.863838100486</v>
      </c>
    </row>
    <row r="50" spans="1:7" x14ac:dyDescent="0.2">
      <c r="A50">
        <v>2020</v>
      </c>
      <c r="B50" s="34">
        <v>9507</v>
      </c>
      <c r="C50" s="9" t="s">
        <v>58</v>
      </c>
      <c r="D50" s="10">
        <v>64967</v>
      </c>
      <c r="E50" s="9">
        <f>VLOOKUP(B50,'2015'!$B$2:$G$338,6,FALSE)</f>
        <v>2.7714554409320073E-2</v>
      </c>
      <c r="F50">
        <f t="shared" si="0"/>
        <v>2062858.3884500419</v>
      </c>
      <c r="G50" s="2">
        <f>SUM(F50,D50)</f>
        <v>2127825.3884500419</v>
      </c>
    </row>
    <row r="51" spans="1:7" x14ac:dyDescent="0.2">
      <c r="A51">
        <v>2020</v>
      </c>
      <c r="B51" s="34">
        <v>4828</v>
      </c>
      <c r="C51" s="9" t="s">
        <v>59</v>
      </c>
      <c r="D51" s="10">
        <v>4228066</v>
      </c>
      <c r="E51" s="9">
        <f>VLOOKUP(B51,'2015'!$B$2:$G$338,6,FALSE)</f>
        <v>0</v>
      </c>
      <c r="F51">
        <f t="shared" si="0"/>
        <v>0</v>
      </c>
      <c r="G51" s="2">
        <f>SUM(F51,D51)</f>
        <v>4228066</v>
      </c>
    </row>
    <row r="52" spans="1:7" x14ac:dyDescent="0.2">
      <c r="A52">
        <v>2020</v>
      </c>
      <c r="B52" s="34">
        <v>4829</v>
      </c>
      <c r="C52" s="9" t="s">
        <v>60</v>
      </c>
      <c r="D52" s="10">
        <v>1915578</v>
      </c>
      <c r="E52" s="9">
        <f>VLOOKUP(B52,'2015'!$B$2:$G$338,6,FALSE)</f>
        <v>0</v>
      </c>
      <c r="F52">
        <f t="shared" si="0"/>
        <v>0</v>
      </c>
      <c r="G52" s="2">
        <f>SUM(F52,D52)</f>
        <v>1915578</v>
      </c>
    </row>
    <row r="53" spans="1:7" x14ac:dyDescent="0.2">
      <c r="A53">
        <v>2020</v>
      </c>
      <c r="B53" s="34">
        <v>4871</v>
      </c>
      <c r="C53" s="9" t="s">
        <v>61</v>
      </c>
      <c r="D53" s="10">
        <v>501651</v>
      </c>
      <c r="E53" s="9">
        <f>VLOOKUP(B53,'2015'!$B$2:$G$338,6,FALSE)</f>
        <v>0</v>
      </c>
      <c r="F53">
        <f t="shared" si="0"/>
        <v>0</v>
      </c>
      <c r="G53" s="2">
        <f>SUM(F53,D53)</f>
        <v>501651</v>
      </c>
    </row>
    <row r="54" spans="1:7" x14ac:dyDescent="0.2">
      <c r="A54">
        <v>2020</v>
      </c>
      <c r="B54" s="34">
        <v>4882</v>
      </c>
      <c r="C54" s="9" t="s">
        <v>62</v>
      </c>
      <c r="D54" s="10">
        <v>2810002</v>
      </c>
      <c r="E54" s="9">
        <f>VLOOKUP(B54,'2015'!$B$2:$G$338,6,FALSE)</f>
        <v>0</v>
      </c>
      <c r="F54">
        <f t="shared" si="0"/>
        <v>0</v>
      </c>
      <c r="G54" s="2">
        <f>SUM(F54,D54)</f>
        <v>2810002</v>
      </c>
    </row>
    <row r="55" spans="1:7" x14ac:dyDescent="0.2">
      <c r="A55">
        <v>2020</v>
      </c>
      <c r="B55" s="34">
        <v>4912</v>
      </c>
      <c r="C55" s="9" t="s">
        <v>63</v>
      </c>
      <c r="D55" s="10">
        <v>525084</v>
      </c>
      <c r="E55" s="9">
        <f>VLOOKUP(B55,'2015'!$B$2:$G$338,6,FALSE)</f>
        <v>0</v>
      </c>
      <c r="F55">
        <f t="shared" si="0"/>
        <v>0</v>
      </c>
      <c r="G55" s="2">
        <f>SUM(F55,D55)</f>
        <v>525084</v>
      </c>
    </row>
    <row r="56" spans="1:7" x14ac:dyDescent="0.2">
      <c r="A56">
        <v>2020</v>
      </c>
      <c r="B56" s="34">
        <v>4977</v>
      </c>
      <c r="C56" s="9" t="s">
        <v>64</v>
      </c>
      <c r="D56" s="10">
        <v>225733</v>
      </c>
      <c r="E56" s="9">
        <f>VLOOKUP(B56,'2015'!$B$2:$G$338,6,FALSE)</f>
        <v>0</v>
      </c>
      <c r="F56">
        <f t="shared" si="0"/>
        <v>0</v>
      </c>
      <c r="G56" s="2">
        <f>SUM(F56,D56)</f>
        <v>225733</v>
      </c>
    </row>
    <row r="57" spans="1:7" x14ac:dyDescent="0.2">
      <c r="A57">
        <v>2020</v>
      </c>
      <c r="B57" s="34">
        <v>4978</v>
      </c>
      <c r="C57" s="9" t="s">
        <v>65</v>
      </c>
      <c r="D57" s="10">
        <v>32673010</v>
      </c>
      <c r="E57" s="9">
        <f>VLOOKUP(B57,'2015'!$B$2:$G$338,6,FALSE)</f>
        <v>0</v>
      </c>
      <c r="F57">
        <f t="shared" si="0"/>
        <v>0</v>
      </c>
      <c r="G57" s="2">
        <f>SUM(F57,D57)</f>
        <v>32673010</v>
      </c>
    </row>
    <row r="58" spans="1:7" x14ac:dyDescent="0.2">
      <c r="A58">
        <v>2020</v>
      </c>
      <c r="B58" s="34">
        <v>4979</v>
      </c>
      <c r="C58" s="9" t="s">
        <v>66</v>
      </c>
      <c r="D58" s="10">
        <v>120180</v>
      </c>
      <c r="E58" s="9">
        <f>VLOOKUP(B58,'2015'!$B$2:$G$338,6,FALSE)</f>
        <v>0</v>
      </c>
      <c r="F58">
        <f t="shared" si="0"/>
        <v>0</v>
      </c>
      <c r="G58" s="2">
        <f>SUM(F58,D58)</f>
        <v>120180</v>
      </c>
    </row>
    <row r="59" spans="1:7" x14ac:dyDescent="0.2">
      <c r="A59">
        <v>2020</v>
      </c>
      <c r="B59" s="34">
        <v>4980</v>
      </c>
      <c r="C59" s="9" t="s">
        <v>67</v>
      </c>
      <c r="D59" s="10">
        <v>2563397</v>
      </c>
      <c r="E59" s="9">
        <f>VLOOKUP(B59,'2015'!$B$2:$G$338,6,FALSE)</f>
        <v>0</v>
      </c>
      <c r="F59">
        <f t="shared" si="0"/>
        <v>0</v>
      </c>
      <c r="G59" s="2">
        <f>SUM(F59,D59)</f>
        <v>2563397</v>
      </c>
    </row>
    <row r="60" spans="1:7" x14ac:dyDescent="0.2">
      <c r="A60">
        <v>2020</v>
      </c>
      <c r="B60" s="34">
        <v>4981</v>
      </c>
      <c r="C60" s="9" t="s">
        <v>68</v>
      </c>
      <c r="D60" s="10">
        <v>5466743</v>
      </c>
      <c r="E60" s="9">
        <f>VLOOKUP(B60,'2015'!$B$2:$G$338,6,FALSE)</f>
        <v>0</v>
      </c>
      <c r="F60">
        <f t="shared" si="0"/>
        <v>0</v>
      </c>
      <c r="G60" s="2">
        <f>SUM(F60,D60)</f>
        <v>5466743</v>
      </c>
    </row>
    <row r="61" spans="1:7" x14ac:dyDescent="0.2">
      <c r="A61">
        <v>2020</v>
      </c>
      <c r="B61" s="34">
        <v>4982</v>
      </c>
      <c r="C61" s="9" t="s">
        <v>69</v>
      </c>
      <c r="D61" s="10">
        <v>53292998</v>
      </c>
      <c r="E61" s="9">
        <f>VLOOKUP(B61,'2015'!$B$2:$G$338,6,FALSE)</f>
        <v>0</v>
      </c>
      <c r="F61">
        <f t="shared" si="0"/>
        <v>0</v>
      </c>
      <c r="G61" s="2">
        <f>SUM(F61,D61)</f>
        <v>53292998</v>
      </c>
    </row>
    <row r="62" spans="1:7" x14ac:dyDescent="0.2">
      <c r="A62">
        <v>2020</v>
      </c>
      <c r="B62" s="34">
        <v>4983</v>
      </c>
      <c r="C62" s="9" t="s">
        <v>70</v>
      </c>
      <c r="D62" s="10">
        <v>6692117</v>
      </c>
      <c r="E62" s="9">
        <f>VLOOKUP(B62,'2015'!$B$2:$G$338,6,FALSE)</f>
        <v>0</v>
      </c>
      <c r="F62">
        <f t="shared" si="0"/>
        <v>0</v>
      </c>
      <c r="G62" s="2">
        <f>SUM(F62,D62)</f>
        <v>6692117</v>
      </c>
    </row>
    <row r="63" spans="1:7" x14ac:dyDescent="0.2">
      <c r="A63">
        <v>2020</v>
      </c>
      <c r="B63" s="34">
        <v>4984</v>
      </c>
      <c r="C63" s="9" t="s">
        <v>71</v>
      </c>
      <c r="D63" s="10">
        <v>2293823</v>
      </c>
      <c r="E63" s="9">
        <f>VLOOKUP(B63,'2015'!$B$2:$G$338,6,FALSE)</f>
        <v>0</v>
      </c>
      <c r="F63">
        <f t="shared" si="0"/>
        <v>0</v>
      </c>
      <c r="G63" s="2">
        <f>SUM(F63,D63)</f>
        <v>2293823</v>
      </c>
    </row>
    <row r="64" spans="1:7" x14ac:dyDescent="0.2">
      <c r="A64">
        <v>2020</v>
      </c>
      <c r="B64" s="34">
        <v>4985</v>
      </c>
      <c r="C64" s="9" t="s">
        <v>72</v>
      </c>
      <c r="D64" s="10">
        <v>4632329</v>
      </c>
      <c r="E64" s="9">
        <f>VLOOKUP(B64,'2015'!$B$2:$G$338,6,FALSE)</f>
        <v>0</v>
      </c>
      <c r="F64">
        <f t="shared" si="0"/>
        <v>0</v>
      </c>
      <c r="G64" s="2">
        <f>SUM(F64,D64)</f>
        <v>4632329</v>
      </c>
    </row>
    <row r="65" spans="1:7" x14ac:dyDescent="0.2">
      <c r="A65">
        <v>2020</v>
      </c>
      <c r="B65" s="34">
        <v>4986</v>
      </c>
      <c r="C65" s="9" t="s">
        <v>73</v>
      </c>
      <c r="D65" s="10">
        <v>5178339</v>
      </c>
      <c r="E65" s="9">
        <f>VLOOKUP(B65,'2015'!$B$2:$G$338,6,FALSE)</f>
        <v>0</v>
      </c>
      <c r="F65">
        <f t="shared" si="0"/>
        <v>0</v>
      </c>
      <c r="G65" s="2">
        <f>SUM(F65,D65)</f>
        <v>5178339</v>
      </c>
    </row>
    <row r="66" spans="1:7" x14ac:dyDescent="0.2">
      <c r="A66">
        <v>2020</v>
      </c>
      <c r="B66" s="34">
        <v>4987</v>
      </c>
      <c r="C66" s="9" t="s">
        <v>74</v>
      </c>
      <c r="D66" s="10">
        <v>692004</v>
      </c>
      <c r="E66" s="9">
        <f>VLOOKUP(B66,'2015'!$B$2:$G$338,6,FALSE)</f>
        <v>0</v>
      </c>
      <c r="F66">
        <f t="shared" si="0"/>
        <v>0</v>
      </c>
      <c r="G66" s="2">
        <f>SUM(F66,D66)</f>
        <v>692004</v>
      </c>
    </row>
    <row r="67" spans="1:7" x14ac:dyDescent="0.2">
      <c r="A67">
        <v>2020</v>
      </c>
      <c r="B67" s="34">
        <v>4988</v>
      </c>
      <c r="C67" s="9" t="s">
        <v>75</v>
      </c>
      <c r="D67" s="10">
        <v>2567941</v>
      </c>
      <c r="E67" s="9">
        <f>VLOOKUP(B67,'2015'!$B$2:$G$338,6,FALSE)</f>
        <v>0</v>
      </c>
      <c r="F67">
        <f t="shared" ref="F67:F130" si="1">E67*$D$341</f>
        <v>0</v>
      </c>
      <c r="G67" s="2">
        <f>SUM(F67,D67)</f>
        <v>2567941</v>
      </c>
    </row>
    <row r="68" spans="1:7" x14ac:dyDescent="0.2">
      <c r="A68">
        <v>2020</v>
      </c>
      <c r="B68" s="34">
        <v>4990</v>
      </c>
      <c r="C68" s="9" t="s">
        <v>76</v>
      </c>
      <c r="D68" s="10">
        <v>162177</v>
      </c>
      <c r="E68" s="9">
        <f>VLOOKUP(B68,'2015'!$B$2:$G$338,6,FALSE)</f>
        <v>0</v>
      </c>
      <c r="F68">
        <f t="shared" si="1"/>
        <v>0</v>
      </c>
      <c r="G68" s="2">
        <f>SUM(F68,D68)</f>
        <v>162177</v>
      </c>
    </row>
    <row r="69" spans="1:7" x14ac:dyDescent="0.2">
      <c r="A69">
        <v>2020</v>
      </c>
      <c r="B69" s="34">
        <v>4991</v>
      </c>
      <c r="C69" s="9" t="s">
        <v>77</v>
      </c>
      <c r="D69" s="10">
        <v>1126555</v>
      </c>
      <c r="E69" s="9">
        <f>VLOOKUP(B69,'2015'!$B$2:$G$338,6,FALSE)</f>
        <v>0</v>
      </c>
      <c r="F69">
        <f t="shared" si="1"/>
        <v>0</v>
      </c>
      <c r="G69" s="2">
        <f>SUM(F69,D69)</f>
        <v>1126555</v>
      </c>
    </row>
    <row r="70" spans="1:7" x14ac:dyDescent="0.2">
      <c r="A70">
        <v>2020</v>
      </c>
      <c r="B70" s="34">
        <v>4992</v>
      </c>
      <c r="C70" s="9" t="s">
        <v>78</v>
      </c>
      <c r="D70" s="10">
        <v>276444</v>
      </c>
      <c r="E70" s="9">
        <f>VLOOKUP(B70,'2015'!$B$2:$G$338,6,FALSE)</f>
        <v>0</v>
      </c>
      <c r="F70">
        <f t="shared" si="1"/>
        <v>0</v>
      </c>
      <c r="G70" s="2">
        <f>SUM(F70,D70)</f>
        <v>276444</v>
      </c>
    </row>
    <row r="71" spans="1:7" x14ac:dyDescent="0.2">
      <c r="A71">
        <v>2020</v>
      </c>
      <c r="B71" s="34">
        <v>4993</v>
      </c>
      <c r="C71" s="9" t="s">
        <v>79</v>
      </c>
      <c r="D71" s="10">
        <v>870239</v>
      </c>
      <c r="E71" s="9">
        <f>VLOOKUP(B71,'2015'!$B$2:$G$338,6,FALSE)</f>
        <v>0</v>
      </c>
      <c r="F71">
        <f t="shared" si="1"/>
        <v>0</v>
      </c>
      <c r="G71" s="2">
        <f>SUM(F71,D71)</f>
        <v>870239</v>
      </c>
    </row>
    <row r="72" spans="1:7" x14ac:dyDescent="0.2">
      <c r="A72">
        <v>2020</v>
      </c>
      <c r="B72" s="34">
        <v>4994</v>
      </c>
      <c r="C72" s="9" t="s">
        <v>80</v>
      </c>
      <c r="D72" s="10">
        <v>204167</v>
      </c>
      <c r="E72" s="9">
        <f>VLOOKUP(B72,'2015'!$B$2:$G$338,6,FALSE)</f>
        <v>0</v>
      </c>
      <c r="F72">
        <f t="shared" si="1"/>
        <v>0</v>
      </c>
      <c r="G72" s="2">
        <f>SUM(F72,D72)</f>
        <v>204167</v>
      </c>
    </row>
    <row r="73" spans="1:7" x14ac:dyDescent="0.2">
      <c r="A73">
        <v>2020</v>
      </c>
      <c r="B73" s="34">
        <v>4995</v>
      </c>
      <c r="C73" s="9" t="s">
        <v>81</v>
      </c>
      <c r="D73" s="10">
        <v>840544</v>
      </c>
      <c r="E73" s="9">
        <f>VLOOKUP(B73,'2015'!$B$2:$G$338,6,FALSE)</f>
        <v>0</v>
      </c>
      <c r="F73">
        <f t="shared" si="1"/>
        <v>0</v>
      </c>
      <c r="G73" s="2">
        <f>SUM(F73,D73)</f>
        <v>840544</v>
      </c>
    </row>
    <row r="74" spans="1:7" x14ac:dyDescent="0.2">
      <c r="A74">
        <v>2020</v>
      </c>
      <c r="B74" s="34">
        <v>4996</v>
      </c>
      <c r="C74" s="9" t="s">
        <v>82</v>
      </c>
      <c r="D74" s="10">
        <v>267922</v>
      </c>
      <c r="E74" s="9">
        <f>VLOOKUP(B74,'2015'!$B$2:$G$338,6,FALSE)</f>
        <v>0</v>
      </c>
      <c r="F74">
        <f t="shared" si="1"/>
        <v>0</v>
      </c>
      <c r="G74" s="2">
        <f>SUM(F74,D74)</f>
        <v>267922</v>
      </c>
    </row>
    <row r="75" spans="1:7" x14ac:dyDescent="0.2">
      <c r="A75">
        <v>2020</v>
      </c>
      <c r="B75" s="34">
        <v>4997</v>
      </c>
      <c r="C75" s="9" t="s">
        <v>83</v>
      </c>
      <c r="D75" s="10">
        <v>3901254</v>
      </c>
      <c r="E75" s="9">
        <f>VLOOKUP(B75,'2015'!$B$2:$G$338,6,FALSE)</f>
        <v>0</v>
      </c>
      <c r="F75">
        <f t="shared" si="1"/>
        <v>0</v>
      </c>
      <c r="G75" s="2">
        <f>SUM(F75,D75)</f>
        <v>3901254</v>
      </c>
    </row>
    <row r="76" spans="1:7" x14ac:dyDescent="0.2">
      <c r="A76">
        <v>2020</v>
      </c>
      <c r="B76" s="34">
        <v>4998</v>
      </c>
      <c r="C76" s="9" t="s">
        <v>84</v>
      </c>
      <c r="D76" s="10">
        <v>471554</v>
      </c>
      <c r="E76" s="9">
        <f>VLOOKUP(B76,'2015'!$B$2:$G$338,6,FALSE)</f>
        <v>0</v>
      </c>
      <c r="F76">
        <f t="shared" si="1"/>
        <v>0</v>
      </c>
      <c r="G76" s="2">
        <f>SUM(F76,D76)</f>
        <v>471554</v>
      </c>
    </row>
    <row r="77" spans="1:7" x14ac:dyDescent="0.2">
      <c r="A77">
        <v>2020</v>
      </c>
      <c r="B77" s="34">
        <v>4999</v>
      </c>
      <c r="C77" s="9" t="s">
        <v>352</v>
      </c>
      <c r="D77" s="10">
        <v>7341180</v>
      </c>
      <c r="E77" s="9">
        <f>VLOOKUP(B77,'2015'!$B$2:$G$338,6,FALSE)</f>
        <v>0</v>
      </c>
      <c r="F77">
        <f t="shared" si="1"/>
        <v>0</v>
      </c>
      <c r="G77" s="2">
        <f>SUM(F77,D77)</f>
        <v>7341180</v>
      </c>
    </row>
    <row r="78" spans="1:7" x14ac:dyDescent="0.2">
      <c r="A78">
        <v>2020</v>
      </c>
      <c r="B78" s="34">
        <v>5000</v>
      </c>
      <c r="C78" s="9" t="s">
        <v>86</v>
      </c>
      <c r="D78" s="10">
        <v>4132138</v>
      </c>
      <c r="E78" s="9">
        <f>VLOOKUP(B78,'2015'!$B$2:$G$338,6,FALSE)</f>
        <v>0</v>
      </c>
      <c r="F78">
        <f t="shared" si="1"/>
        <v>0</v>
      </c>
      <c r="G78" s="2">
        <f>SUM(F78,D78)</f>
        <v>4132138</v>
      </c>
    </row>
    <row r="79" spans="1:7" x14ac:dyDescent="0.2">
      <c r="A79">
        <v>2020</v>
      </c>
      <c r="B79" s="34">
        <v>5001</v>
      </c>
      <c r="C79" s="9" t="s">
        <v>87</v>
      </c>
      <c r="D79" s="10">
        <v>271606</v>
      </c>
      <c r="E79" s="9">
        <f>VLOOKUP(B79,'2015'!$B$2:$G$338,6,FALSE)</f>
        <v>0</v>
      </c>
      <c r="F79">
        <f t="shared" si="1"/>
        <v>0</v>
      </c>
      <c r="G79" s="2">
        <f>SUM(F79,D79)</f>
        <v>271606</v>
      </c>
    </row>
    <row r="80" spans="1:7" x14ac:dyDescent="0.2">
      <c r="A80">
        <v>2020</v>
      </c>
      <c r="B80" s="34">
        <v>5002</v>
      </c>
      <c r="C80" s="9" t="s">
        <v>88</v>
      </c>
      <c r="D80" s="10">
        <v>103877</v>
      </c>
      <c r="E80" s="9">
        <f>VLOOKUP(B80,'2015'!$B$2:$G$338,6,FALSE)</f>
        <v>0</v>
      </c>
      <c r="F80">
        <f t="shared" si="1"/>
        <v>0</v>
      </c>
      <c r="G80" s="2">
        <f>SUM(F80,D80)</f>
        <v>103877</v>
      </c>
    </row>
    <row r="81" spans="1:7" x14ac:dyDescent="0.2">
      <c r="A81">
        <v>2020</v>
      </c>
      <c r="B81" s="34">
        <v>5004</v>
      </c>
      <c r="C81" s="9" t="s">
        <v>89</v>
      </c>
      <c r="D81" s="10">
        <v>1320526</v>
      </c>
      <c r="E81" s="9">
        <f>VLOOKUP(B81,'2015'!$B$2:$G$338,6,FALSE)</f>
        <v>0</v>
      </c>
      <c r="F81">
        <f t="shared" si="1"/>
        <v>0</v>
      </c>
      <c r="G81" s="2">
        <f>SUM(F81,D81)</f>
        <v>1320526</v>
      </c>
    </row>
    <row r="82" spans="1:7" x14ac:dyDescent="0.2">
      <c r="A82">
        <v>2020</v>
      </c>
      <c r="B82" s="34">
        <v>5005</v>
      </c>
      <c r="C82" s="9" t="s">
        <v>90</v>
      </c>
      <c r="D82" s="10">
        <v>652275</v>
      </c>
      <c r="E82" s="9">
        <f>VLOOKUP(B82,'2015'!$B$2:$G$338,6,FALSE)</f>
        <v>0</v>
      </c>
      <c r="F82">
        <f t="shared" si="1"/>
        <v>0</v>
      </c>
      <c r="G82" s="2">
        <f>SUM(F82,D82)</f>
        <v>652275</v>
      </c>
    </row>
    <row r="83" spans="1:7" x14ac:dyDescent="0.2">
      <c r="A83">
        <v>2020</v>
      </c>
      <c r="B83" s="34">
        <v>5006</v>
      </c>
      <c r="C83" s="9" t="s">
        <v>91</v>
      </c>
      <c r="D83" s="10">
        <v>256126</v>
      </c>
      <c r="E83" s="9">
        <f>VLOOKUP(B83,'2015'!$B$2:$G$338,6,FALSE)</f>
        <v>0</v>
      </c>
      <c r="F83">
        <f t="shared" si="1"/>
        <v>0</v>
      </c>
      <c r="G83" s="2">
        <f>SUM(F83,D83)</f>
        <v>256126</v>
      </c>
    </row>
    <row r="84" spans="1:7" x14ac:dyDescent="0.2">
      <c r="A84">
        <v>2020</v>
      </c>
      <c r="B84" s="34">
        <v>5007</v>
      </c>
      <c r="C84" s="9" t="s">
        <v>143</v>
      </c>
      <c r="D84" s="10">
        <v>156494</v>
      </c>
      <c r="E84" s="9">
        <f>VLOOKUP(B84,'2015'!$B$2:$G$338,6,FALSE)</f>
        <v>0</v>
      </c>
      <c r="F84">
        <f t="shared" si="1"/>
        <v>0</v>
      </c>
      <c r="G84" s="2">
        <f>SUM(F84,D84)</f>
        <v>156494</v>
      </c>
    </row>
    <row r="85" spans="1:7" x14ac:dyDescent="0.2">
      <c r="A85">
        <v>2020</v>
      </c>
      <c r="B85" s="34">
        <v>5008</v>
      </c>
      <c r="C85" s="9" t="s">
        <v>92</v>
      </c>
      <c r="D85" s="10">
        <v>731038</v>
      </c>
      <c r="E85" s="9">
        <f>VLOOKUP(B85,'2015'!$B$2:$G$338,6,FALSE)</f>
        <v>0</v>
      </c>
      <c r="F85">
        <f t="shared" si="1"/>
        <v>0</v>
      </c>
      <c r="G85" s="2">
        <f>SUM(F85,D85)</f>
        <v>731038</v>
      </c>
    </row>
    <row r="86" spans="1:7" x14ac:dyDescent="0.2">
      <c r="A86">
        <v>2020</v>
      </c>
      <c r="B86" s="34">
        <v>5010</v>
      </c>
      <c r="C86" s="9" t="s">
        <v>93</v>
      </c>
      <c r="D86" s="10">
        <v>1876557</v>
      </c>
      <c r="E86" s="9">
        <f>VLOOKUP(B86,'2015'!$B$2:$G$338,6,FALSE)</f>
        <v>0</v>
      </c>
      <c r="F86">
        <f t="shared" si="1"/>
        <v>0</v>
      </c>
      <c r="G86" s="2">
        <f>SUM(F86,D86)</f>
        <v>1876557</v>
      </c>
    </row>
    <row r="87" spans="1:7" x14ac:dyDescent="0.2">
      <c r="A87">
        <v>2020</v>
      </c>
      <c r="B87" s="34">
        <v>5011</v>
      </c>
      <c r="C87" s="9" t="s">
        <v>94</v>
      </c>
      <c r="D87" s="10">
        <v>595267</v>
      </c>
      <c r="E87" s="9">
        <f>VLOOKUP(B87,'2015'!$B$2:$G$338,6,FALSE)</f>
        <v>0</v>
      </c>
      <c r="F87">
        <f t="shared" si="1"/>
        <v>0</v>
      </c>
      <c r="G87" s="2">
        <f>SUM(F87,D87)</f>
        <v>595267</v>
      </c>
    </row>
    <row r="88" spans="1:7" x14ac:dyDescent="0.2">
      <c r="A88">
        <v>2020</v>
      </c>
      <c r="B88" s="34">
        <v>5012</v>
      </c>
      <c r="C88" s="9" t="s">
        <v>95</v>
      </c>
      <c r="D88" s="10">
        <v>377694</v>
      </c>
      <c r="E88" s="9">
        <f>VLOOKUP(B88,'2015'!$B$2:$G$338,6,FALSE)</f>
        <v>0</v>
      </c>
      <c r="F88">
        <f t="shared" si="1"/>
        <v>0</v>
      </c>
      <c r="G88" s="2">
        <f>SUM(F88,D88)</f>
        <v>377694</v>
      </c>
    </row>
    <row r="89" spans="1:7" x14ac:dyDescent="0.2">
      <c r="A89">
        <v>2020</v>
      </c>
      <c r="B89" s="34">
        <v>5671</v>
      </c>
      <c r="C89" s="9" t="s">
        <v>42</v>
      </c>
      <c r="D89" s="10">
        <v>23557</v>
      </c>
      <c r="E89" s="9">
        <f>VLOOKUP(B89,'2015'!$B$2:$G$338,6,FALSE)</f>
        <v>6.9584842964396064E-3</v>
      </c>
      <c r="F89">
        <f t="shared" si="1"/>
        <v>517936.08115817758</v>
      </c>
      <c r="G89" s="2">
        <f>SUM(F89,D89)</f>
        <v>541493.08115817758</v>
      </c>
    </row>
    <row r="90" spans="1:7" x14ac:dyDescent="0.2">
      <c r="A90">
        <v>2020</v>
      </c>
      <c r="B90" s="34">
        <v>5014</v>
      </c>
      <c r="C90" s="9" t="s">
        <v>97</v>
      </c>
      <c r="D90" s="10">
        <v>1684928</v>
      </c>
      <c r="E90" s="9">
        <f>VLOOKUP(B90,'2015'!$B$2:$G$338,6,FALSE)</f>
        <v>0</v>
      </c>
      <c r="F90">
        <f t="shared" si="1"/>
        <v>0</v>
      </c>
      <c r="G90" s="2">
        <f>SUM(F90,D90)</f>
        <v>1684928</v>
      </c>
    </row>
    <row r="91" spans="1:7" x14ac:dyDescent="0.2">
      <c r="A91">
        <v>2020</v>
      </c>
      <c r="B91" s="34">
        <v>5015</v>
      </c>
      <c r="C91" s="9" t="s">
        <v>98</v>
      </c>
      <c r="D91" s="10">
        <v>426909</v>
      </c>
      <c r="E91" s="9">
        <f>VLOOKUP(B91,'2015'!$B$2:$G$338,6,FALSE)</f>
        <v>0</v>
      </c>
      <c r="F91">
        <f t="shared" si="1"/>
        <v>0</v>
      </c>
      <c r="G91" s="2">
        <f>SUM(F91,D91)</f>
        <v>426909</v>
      </c>
    </row>
    <row r="92" spans="1:7" x14ac:dyDescent="0.2">
      <c r="A92">
        <v>2020</v>
      </c>
      <c r="B92" s="34">
        <v>5016</v>
      </c>
      <c r="C92" s="9" t="s">
        <v>99</v>
      </c>
      <c r="D92" s="10">
        <v>578462</v>
      </c>
      <c r="E92" s="9">
        <f>VLOOKUP(B92,'2015'!$B$2:$G$338,6,FALSE)</f>
        <v>0</v>
      </c>
      <c r="F92">
        <f t="shared" si="1"/>
        <v>0</v>
      </c>
      <c r="G92" s="2">
        <f>SUM(F92,D92)</f>
        <v>578462</v>
      </c>
    </row>
    <row r="93" spans="1:7" x14ac:dyDescent="0.2">
      <c r="A93">
        <v>2020</v>
      </c>
      <c r="B93" s="34">
        <v>5017</v>
      </c>
      <c r="C93" s="9" t="s">
        <v>100</v>
      </c>
      <c r="D93" s="10">
        <v>3775591</v>
      </c>
      <c r="E93" s="9">
        <f>VLOOKUP(B93,'2015'!$B$2:$G$338,6,FALSE)</f>
        <v>0</v>
      </c>
      <c r="F93">
        <f t="shared" si="1"/>
        <v>0</v>
      </c>
      <c r="G93" s="2">
        <f>SUM(F93,D93)</f>
        <v>3775591</v>
      </c>
    </row>
    <row r="94" spans="1:7" x14ac:dyDescent="0.2">
      <c r="A94">
        <v>2020</v>
      </c>
      <c r="B94" s="34">
        <v>5018</v>
      </c>
      <c r="C94" s="9" t="s">
        <v>101</v>
      </c>
      <c r="D94" s="10">
        <v>273572</v>
      </c>
      <c r="E94" s="9">
        <f>VLOOKUP(B94,'2015'!$B$2:$G$338,6,FALSE)</f>
        <v>0</v>
      </c>
      <c r="F94">
        <f t="shared" si="1"/>
        <v>0</v>
      </c>
      <c r="G94" s="2">
        <f>SUM(F94,D94)</f>
        <v>273572</v>
      </c>
    </row>
    <row r="95" spans="1:7" x14ac:dyDescent="0.2">
      <c r="A95">
        <v>2020</v>
      </c>
      <c r="B95" s="34">
        <v>5019</v>
      </c>
      <c r="C95" s="9" t="s">
        <v>102</v>
      </c>
      <c r="D95" s="10">
        <v>2762146</v>
      </c>
      <c r="E95" s="9">
        <f>VLOOKUP(B95,'2015'!$B$2:$G$338,6,FALSE)</f>
        <v>0</v>
      </c>
      <c r="F95">
        <f t="shared" si="1"/>
        <v>0</v>
      </c>
      <c r="G95" s="2">
        <f>SUM(F95,D95)</f>
        <v>2762146</v>
      </c>
    </row>
    <row r="96" spans="1:7" x14ac:dyDescent="0.2">
      <c r="A96">
        <v>2020</v>
      </c>
      <c r="B96" s="34">
        <v>5020</v>
      </c>
      <c r="C96" s="9" t="s">
        <v>103</v>
      </c>
      <c r="D96" s="10">
        <v>7907556</v>
      </c>
      <c r="E96" s="9">
        <f>VLOOKUP(B96,'2015'!$B$2:$G$338,6,FALSE)</f>
        <v>0</v>
      </c>
      <c r="F96">
        <f t="shared" si="1"/>
        <v>0</v>
      </c>
      <c r="G96" s="2">
        <f>SUM(F96,D96)</f>
        <v>7907556</v>
      </c>
    </row>
    <row r="97" spans="1:7" x14ac:dyDescent="0.2">
      <c r="A97">
        <v>2020</v>
      </c>
      <c r="B97" s="34">
        <v>5021</v>
      </c>
      <c r="C97" s="9" t="s">
        <v>104</v>
      </c>
      <c r="D97" s="10">
        <v>267159</v>
      </c>
      <c r="E97" s="9">
        <f>VLOOKUP(B97,'2015'!$B$2:$G$338,6,FALSE)</f>
        <v>0</v>
      </c>
      <c r="F97">
        <f t="shared" si="1"/>
        <v>0</v>
      </c>
      <c r="G97" s="2">
        <f>SUM(F97,D97)</f>
        <v>267159</v>
      </c>
    </row>
    <row r="98" spans="1:7" x14ac:dyDescent="0.2">
      <c r="A98">
        <v>2020</v>
      </c>
      <c r="B98" s="34">
        <v>5022</v>
      </c>
      <c r="C98" s="9" t="s">
        <v>105</v>
      </c>
      <c r="D98" s="10">
        <v>4941168</v>
      </c>
      <c r="E98" s="9">
        <f>VLOOKUP(B98,'2015'!$B$2:$G$338,6,FALSE)</f>
        <v>0</v>
      </c>
      <c r="F98">
        <f t="shared" si="1"/>
        <v>0</v>
      </c>
      <c r="G98" s="2">
        <f>SUM(F98,D98)</f>
        <v>4941168</v>
      </c>
    </row>
    <row r="99" spans="1:7" x14ac:dyDescent="0.2">
      <c r="A99">
        <v>2020</v>
      </c>
      <c r="B99" s="34">
        <v>5024</v>
      </c>
      <c r="C99" s="9" t="s">
        <v>106</v>
      </c>
      <c r="D99" s="10">
        <v>668358</v>
      </c>
      <c r="E99" s="9">
        <f>VLOOKUP(B99,'2015'!$B$2:$G$338,6,FALSE)</f>
        <v>0</v>
      </c>
      <c r="F99">
        <f t="shared" si="1"/>
        <v>0</v>
      </c>
      <c r="G99" s="2">
        <f>SUM(F99,D99)</f>
        <v>668358</v>
      </c>
    </row>
    <row r="100" spans="1:7" x14ac:dyDescent="0.2">
      <c r="A100">
        <v>2020</v>
      </c>
      <c r="B100" s="34">
        <v>5025</v>
      </c>
      <c r="C100" s="9" t="s">
        <v>107</v>
      </c>
      <c r="D100" s="10">
        <v>1864244</v>
      </c>
      <c r="E100" s="9">
        <f>VLOOKUP(B100,'2015'!$B$2:$G$338,6,FALSE)</f>
        <v>0</v>
      </c>
      <c r="F100">
        <f t="shared" si="1"/>
        <v>0</v>
      </c>
      <c r="G100" s="2">
        <f>SUM(F100,D100)</f>
        <v>1864244</v>
      </c>
    </row>
    <row r="101" spans="1:7" x14ac:dyDescent="0.2">
      <c r="A101">
        <v>2020</v>
      </c>
      <c r="B101" s="34">
        <v>5026</v>
      </c>
      <c r="C101" s="9" t="s">
        <v>108</v>
      </c>
      <c r="D101" s="10">
        <v>408455</v>
      </c>
      <c r="E101" s="9">
        <f>VLOOKUP(B101,'2015'!$B$2:$G$338,6,FALSE)</f>
        <v>0</v>
      </c>
      <c r="F101">
        <f t="shared" si="1"/>
        <v>0</v>
      </c>
      <c r="G101" s="2">
        <f>SUM(F101,D101)</f>
        <v>408455</v>
      </c>
    </row>
    <row r="102" spans="1:7" x14ac:dyDescent="0.2">
      <c r="A102">
        <v>2020</v>
      </c>
      <c r="B102" s="34">
        <v>5027</v>
      </c>
      <c r="C102" s="9" t="s">
        <v>109</v>
      </c>
      <c r="D102" s="10">
        <v>6181190</v>
      </c>
      <c r="E102" s="9">
        <f>VLOOKUP(B102,'2015'!$B$2:$G$338,6,FALSE)</f>
        <v>0</v>
      </c>
      <c r="F102">
        <f t="shared" si="1"/>
        <v>0</v>
      </c>
      <c r="G102" s="2">
        <f>SUM(F102,D102)</f>
        <v>6181190</v>
      </c>
    </row>
    <row r="103" spans="1:7" x14ac:dyDescent="0.2">
      <c r="A103">
        <v>2020</v>
      </c>
      <c r="B103" s="34">
        <v>5028</v>
      </c>
      <c r="C103" s="9" t="s">
        <v>110</v>
      </c>
      <c r="D103" s="10">
        <v>1398579</v>
      </c>
      <c r="E103" s="9">
        <f>VLOOKUP(B103,'2015'!$B$2:$G$338,6,FALSE)</f>
        <v>0</v>
      </c>
      <c r="F103">
        <f t="shared" si="1"/>
        <v>0</v>
      </c>
      <c r="G103" s="2">
        <f>SUM(F103,D103)</f>
        <v>1398579</v>
      </c>
    </row>
    <row r="104" spans="1:7" x14ac:dyDescent="0.2">
      <c r="A104">
        <v>2020</v>
      </c>
      <c r="B104" s="34">
        <v>5029</v>
      </c>
      <c r="C104" s="9" t="s">
        <v>111</v>
      </c>
      <c r="D104" s="10">
        <v>545588</v>
      </c>
      <c r="E104" s="9">
        <f>VLOOKUP(B104,'2015'!$B$2:$G$338,6,FALSE)</f>
        <v>0</v>
      </c>
      <c r="F104">
        <f t="shared" si="1"/>
        <v>0</v>
      </c>
      <c r="G104" s="2">
        <f>SUM(F104,D104)</f>
        <v>545588</v>
      </c>
    </row>
    <row r="105" spans="1:7" x14ac:dyDescent="0.2">
      <c r="A105">
        <v>2020</v>
      </c>
      <c r="B105" s="34">
        <v>5031</v>
      </c>
      <c r="C105" s="9" t="s">
        <v>112</v>
      </c>
      <c r="D105" s="10">
        <v>9613989</v>
      </c>
      <c r="E105" s="9">
        <f>VLOOKUP(B105,'2015'!$B$2:$G$338,6,FALSE)</f>
        <v>0</v>
      </c>
      <c r="F105">
        <f t="shared" si="1"/>
        <v>0</v>
      </c>
      <c r="G105" s="2">
        <f>SUM(F105,D105)</f>
        <v>9613989</v>
      </c>
    </row>
    <row r="106" spans="1:7" x14ac:dyDescent="0.2">
      <c r="A106">
        <v>2020</v>
      </c>
      <c r="B106" s="34">
        <v>5032</v>
      </c>
      <c r="C106" s="9" t="s">
        <v>359</v>
      </c>
      <c r="D106" s="10">
        <v>809978</v>
      </c>
      <c r="E106" s="9">
        <f>VLOOKUP(B106,'2015'!$B$2:$G$338,6,FALSE)</f>
        <v>0</v>
      </c>
      <c r="F106">
        <f t="shared" si="1"/>
        <v>0</v>
      </c>
      <c r="G106" s="2">
        <f>SUM(F106,D106)</f>
        <v>809978</v>
      </c>
    </row>
    <row r="107" spans="1:7" x14ac:dyDescent="0.2">
      <c r="A107">
        <v>2020</v>
      </c>
      <c r="B107" s="34">
        <v>5033</v>
      </c>
      <c r="C107" s="9" t="s">
        <v>114</v>
      </c>
      <c r="D107" s="10">
        <v>613380</v>
      </c>
      <c r="E107" s="9">
        <f>VLOOKUP(B107,'2015'!$B$2:$G$338,6,FALSE)</f>
        <v>0</v>
      </c>
      <c r="F107">
        <f t="shared" si="1"/>
        <v>0</v>
      </c>
      <c r="G107" s="2">
        <f>SUM(F107,D107)</f>
        <v>613380</v>
      </c>
    </row>
    <row r="108" spans="1:7" x14ac:dyDescent="0.2">
      <c r="A108">
        <v>2020</v>
      </c>
      <c r="B108" s="34">
        <v>5034</v>
      </c>
      <c r="C108" s="9" t="s">
        <v>115</v>
      </c>
      <c r="D108" s="10">
        <v>266622</v>
      </c>
      <c r="E108" s="9">
        <f>VLOOKUP(B108,'2015'!$B$2:$G$338,6,FALSE)</f>
        <v>0</v>
      </c>
      <c r="F108">
        <f t="shared" si="1"/>
        <v>0</v>
      </c>
      <c r="G108" s="2">
        <f>SUM(F108,D108)</f>
        <v>266622</v>
      </c>
    </row>
    <row r="109" spans="1:7" x14ac:dyDescent="0.2">
      <c r="A109">
        <v>2020</v>
      </c>
      <c r="B109" s="34">
        <v>5035</v>
      </c>
      <c r="C109" s="9" t="s">
        <v>116</v>
      </c>
      <c r="D109" s="10">
        <v>1449925</v>
      </c>
      <c r="E109" s="9">
        <f>VLOOKUP(B109,'2015'!$B$2:$G$338,6,FALSE)</f>
        <v>0</v>
      </c>
      <c r="F109">
        <f t="shared" si="1"/>
        <v>0</v>
      </c>
      <c r="G109" s="2">
        <f>SUM(F109,D109)</f>
        <v>1449925</v>
      </c>
    </row>
    <row r="110" spans="1:7" x14ac:dyDescent="0.2">
      <c r="A110">
        <v>2020</v>
      </c>
      <c r="B110" s="34">
        <v>5036</v>
      </c>
      <c r="C110" s="9" t="s">
        <v>117</v>
      </c>
      <c r="D110" s="10">
        <v>841586</v>
      </c>
      <c r="E110" s="9">
        <f>VLOOKUP(B110,'2015'!$B$2:$G$338,6,FALSE)</f>
        <v>0</v>
      </c>
      <c r="F110">
        <f t="shared" si="1"/>
        <v>0</v>
      </c>
      <c r="G110" s="2">
        <f>SUM(F110,D110)</f>
        <v>841586</v>
      </c>
    </row>
    <row r="111" spans="1:7" x14ac:dyDescent="0.2">
      <c r="A111">
        <v>2020</v>
      </c>
      <c r="B111" s="34">
        <v>5037</v>
      </c>
      <c r="C111" s="9" t="s">
        <v>118</v>
      </c>
      <c r="D111" s="10">
        <v>3059453</v>
      </c>
      <c r="E111" s="9">
        <f>VLOOKUP(B111,'2015'!$B$2:$G$338,6,FALSE)</f>
        <v>0</v>
      </c>
      <c r="F111">
        <f t="shared" si="1"/>
        <v>0</v>
      </c>
      <c r="G111" s="2">
        <f>SUM(F111,D111)</f>
        <v>3059453</v>
      </c>
    </row>
    <row r="112" spans="1:7" x14ac:dyDescent="0.2">
      <c r="A112">
        <v>2020</v>
      </c>
      <c r="B112" s="34">
        <v>5038</v>
      </c>
      <c r="C112" s="9" t="s">
        <v>119</v>
      </c>
      <c r="D112" s="10">
        <v>358644</v>
      </c>
      <c r="E112" s="9">
        <f>VLOOKUP(B112,'2015'!$B$2:$G$338,6,FALSE)</f>
        <v>0</v>
      </c>
      <c r="F112">
        <f t="shared" si="1"/>
        <v>0</v>
      </c>
      <c r="G112" s="2">
        <f>SUM(F112,D112)</f>
        <v>358644</v>
      </c>
    </row>
    <row r="113" spans="1:7" x14ac:dyDescent="0.2">
      <c r="A113">
        <v>2020</v>
      </c>
      <c r="B113" s="34">
        <v>5039</v>
      </c>
      <c r="C113" s="9" t="s">
        <v>120</v>
      </c>
      <c r="D113" s="10">
        <v>463970</v>
      </c>
      <c r="E113" s="9">
        <f>VLOOKUP(B113,'2015'!$B$2:$G$338,6,FALSE)</f>
        <v>0</v>
      </c>
      <c r="F113">
        <f t="shared" si="1"/>
        <v>0</v>
      </c>
      <c r="G113" s="2">
        <f>SUM(F113,D113)</f>
        <v>463970</v>
      </c>
    </row>
    <row r="114" spans="1:7" x14ac:dyDescent="0.2">
      <c r="A114">
        <v>2020</v>
      </c>
      <c r="B114" s="34">
        <v>5040</v>
      </c>
      <c r="C114" s="9" t="s">
        <v>121</v>
      </c>
      <c r="D114" s="10">
        <v>1459665</v>
      </c>
      <c r="E114" s="9">
        <f>VLOOKUP(B114,'2015'!$B$2:$G$338,6,FALSE)</f>
        <v>0</v>
      </c>
      <c r="F114">
        <f t="shared" si="1"/>
        <v>0</v>
      </c>
      <c r="G114" s="2">
        <f>SUM(F114,D114)</f>
        <v>1459665</v>
      </c>
    </row>
    <row r="115" spans="1:7" x14ac:dyDescent="0.2">
      <c r="A115">
        <v>2020</v>
      </c>
      <c r="B115" s="34">
        <v>5041</v>
      </c>
      <c r="C115" s="9" t="s">
        <v>122</v>
      </c>
      <c r="D115" s="10">
        <v>7458817</v>
      </c>
      <c r="E115" s="9">
        <f>VLOOKUP(B115,'2015'!$B$2:$G$338,6,FALSE)</f>
        <v>0</v>
      </c>
      <c r="F115">
        <f t="shared" si="1"/>
        <v>0</v>
      </c>
      <c r="G115" s="2">
        <f>SUM(F115,D115)</f>
        <v>7458817</v>
      </c>
    </row>
    <row r="116" spans="1:7" x14ac:dyDescent="0.2">
      <c r="A116">
        <v>2020</v>
      </c>
      <c r="B116" s="34">
        <v>5042</v>
      </c>
      <c r="C116" s="9" t="s">
        <v>123</v>
      </c>
      <c r="D116" s="10">
        <v>2345628</v>
      </c>
      <c r="E116" s="9">
        <f>VLOOKUP(B116,'2015'!$B$2:$G$338,6,FALSE)</f>
        <v>0</v>
      </c>
      <c r="F116">
        <f t="shared" si="1"/>
        <v>0</v>
      </c>
      <c r="G116" s="2">
        <f>SUM(F116,D116)</f>
        <v>2345628</v>
      </c>
    </row>
    <row r="117" spans="1:7" x14ac:dyDescent="0.2">
      <c r="A117">
        <v>2020</v>
      </c>
      <c r="B117" s="34">
        <v>5043</v>
      </c>
      <c r="C117" s="9" t="s">
        <v>124</v>
      </c>
      <c r="D117" s="10">
        <v>3300215</v>
      </c>
      <c r="E117" s="9">
        <f>VLOOKUP(B117,'2015'!$B$2:$G$338,6,FALSE)</f>
        <v>0</v>
      </c>
      <c r="F117">
        <f t="shared" si="1"/>
        <v>0</v>
      </c>
      <c r="G117" s="2">
        <f>SUM(F117,D117)</f>
        <v>3300215</v>
      </c>
    </row>
    <row r="118" spans="1:7" x14ac:dyDescent="0.2">
      <c r="A118">
        <v>2020</v>
      </c>
      <c r="B118" s="34">
        <v>5056</v>
      </c>
      <c r="C118" s="9" t="s">
        <v>125</v>
      </c>
      <c r="D118" s="10">
        <v>353065</v>
      </c>
      <c r="E118" s="9">
        <f>VLOOKUP(B118,'2015'!$B$2:$G$338,6,FALSE)</f>
        <v>0</v>
      </c>
      <c r="F118">
        <f t="shared" si="1"/>
        <v>0</v>
      </c>
      <c r="G118" s="2">
        <f>SUM(F118,D118)</f>
        <v>353065</v>
      </c>
    </row>
    <row r="119" spans="1:7" x14ac:dyDescent="0.2">
      <c r="A119">
        <v>2020</v>
      </c>
      <c r="B119" s="34">
        <v>5057</v>
      </c>
      <c r="C119" s="9" t="s">
        <v>126</v>
      </c>
      <c r="D119" s="10">
        <v>618530</v>
      </c>
      <c r="E119" s="9">
        <f>VLOOKUP(B119,'2015'!$B$2:$G$338,6,FALSE)</f>
        <v>0</v>
      </c>
      <c r="F119">
        <f t="shared" si="1"/>
        <v>0</v>
      </c>
      <c r="G119" s="2">
        <f>SUM(F119,D119)</f>
        <v>618530</v>
      </c>
    </row>
    <row r="120" spans="1:7" x14ac:dyDescent="0.2">
      <c r="A120">
        <v>2020</v>
      </c>
      <c r="B120" s="34">
        <v>5058</v>
      </c>
      <c r="C120" s="9" t="s">
        <v>127</v>
      </c>
      <c r="D120" s="10">
        <v>1368489</v>
      </c>
      <c r="E120" s="9">
        <f>VLOOKUP(B120,'2015'!$B$2:$G$338,6,FALSE)</f>
        <v>0</v>
      </c>
      <c r="F120">
        <f t="shared" si="1"/>
        <v>0</v>
      </c>
      <c r="G120" s="2">
        <f>SUM(F120,D120)</f>
        <v>1368489</v>
      </c>
    </row>
    <row r="121" spans="1:7" x14ac:dyDescent="0.2">
      <c r="A121">
        <v>2020</v>
      </c>
      <c r="B121" s="34">
        <v>5059</v>
      </c>
      <c r="C121" s="9" t="s">
        <v>128</v>
      </c>
      <c r="D121" s="10">
        <v>368818</v>
      </c>
      <c r="E121" s="9">
        <f>VLOOKUP(B121,'2015'!$B$2:$G$338,6,FALSE)</f>
        <v>0</v>
      </c>
      <c r="F121">
        <f t="shared" si="1"/>
        <v>0</v>
      </c>
      <c r="G121" s="2">
        <f>SUM(F121,D121)</f>
        <v>368818</v>
      </c>
    </row>
    <row r="122" spans="1:7" x14ac:dyDescent="0.2">
      <c r="A122">
        <v>2020</v>
      </c>
      <c r="B122" s="34">
        <v>5060</v>
      </c>
      <c r="C122" s="9" t="s">
        <v>129</v>
      </c>
      <c r="D122" s="10">
        <v>181830</v>
      </c>
      <c r="E122" s="9">
        <f>VLOOKUP(B122,'2015'!$B$2:$G$338,6,FALSE)</f>
        <v>0</v>
      </c>
      <c r="F122">
        <f t="shared" si="1"/>
        <v>0</v>
      </c>
      <c r="G122" s="2">
        <f>SUM(F122,D122)</f>
        <v>181830</v>
      </c>
    </row>
    <row r="123" spans="1:7" x14ac:dyDescent="0.2">
      <c r="A123">
        <v>2020</v>
      </c>
      <c r="B123" s="34">
        <v>5061</v>
      </c>
      <c r="C123" s="9" t="s">
        <v>130</v>
      </c>
      <c r="D123" s="10">
        <v>345620</v>
      </c>
      <c r="E123" s="9">
        <f>VLOOKUP(B123,'2015'!$B$2:$G$338,6,FALSE)</f>
        <v>0</v>
      </c>
      <c r="F123">
        <f t="shared" si="1"/>
        <v>0</v>
      </c>
      <c r="G123" s="2">
        <f>SUM(F123,D123)</f>
        <v>345620</v>
      </c>
    </row>
    <row r="124" spans="1:7" x14ac:dyDescent="0.2">
      <c r="A124">
        <v>2020</v>
      </c>
      <c r="B124" s="34">
        <v>5062</v>
      </c>
      <c r="C124" s="9" t="s">
        <v>131</v>
      </c>
      <c r="D124" s="10">
        <v>653961</v>
      </c>
      <c r="E124" s="9">
        <f>VLOOKUP(B124,'2015'!$B$2:$G$338,6,FALSE)</f>
        <v>0</v>
      </c>
      <c r="F124">
        <f t="shared" si="1"/>
        <v>0</v>
      </c>
      <c r="G124" s="2">
        <f>SUM(F124,D124)</f>
        <v>653961</v>
      </c>
    </row>
    <row r="125" spans="1:7" x14ac:dyDescent="0.2">
      <c r="A125">
        <v>2020</v>
      </c>
      <c r="B125" s="34">
        <v>5063</v>
      </c>
      <c r="C125" s="9" t="s">
        <v>132</v>
      </c>
      <c r="D125" s="10">
        <v>556593</v>
      </c>
      <c r="E125" s="9">
        <f>VLOOKUP(B125,'2015'!$B$2:$G$338,6,FALSE)</f>
        <v>0</v>
      </c>
      <c r="F125">
        <f t="shared" si="1"/>
        <v>0</v>
      </c>
      <c r="G125" s="2">
        <f>SUM(F125,D125)</f>
        <v>556593</v>
      </c>
    </row>
    <row r="126" spans="1:7" x14ac:dyDescent="0.2">
      <c r="A126">
        <v>2020</v>
      </c>
      <c r="B126" s="34">
        <v>5064</v>
      </c>
      <c r="C126" s="9" t="s">
        <v>133</v>
      </c>
      <c r="D126" s="10">
        <v>342099</v>
      </c>
      <c r="E126" s="9">
        <f>VLOOKUP(B126,'2015'!$B$2:$G$338,6,FALSE)</f>
        <v>0</v>
      </c>
      <c r="F126">
        <f t="shared" si="1"/>
        <v>0</v>
      </c>
      <c r="G126" s="2">
        <f>SUM(F126,D126)</f>
        <v>342099</v>
      </c>
    </row>
    <row r="127" spans="1:7" x14ac:dyDescent="0.2">
      <c r="A127">
        <v>2020</v>
      </c>
      <c r="B127" s="34">
        <v>5065</v>
      </c>
      <c r="C127" s="9" t="s">
        <v>134</v>
      </c>
      <c r="D127" s="10">
        <v>413063</v>
      </c>
      <c r="E127" s="9">
        <f>VLOOKUP(B127,'2015'!$B$2:$G$338,6,FALSE)</f>
        <v>0</v>
      </c>
      <c r="F127">
        <f t="shared" si="1"/>
        <v>0</v>
      </c>
      <c r="G127" s="2">
        <f>SUM(F127,D127)</f>
        <v>413063</v>
      </c>
    </row>
    <row r="128" spans="1:7" x14ac:dyDescent="0.2">
      <c r="A128">
        <v>2020</v>
      </c>
      <c r="B128" s="34">
        <v>5066</v>
      </c>
      <c r="C128" s="9" t="s">
        <v>135</v>
      </c>
      <c r="D128" s="10">
        <v>502721</v>
      </c>
      <c r="E128" s="9">
        <f>VLOOKUP(B128,'2015'!$B$2:$G$338,6,FALSE)</f>
        <v>0</v>
      </c>
      <c r="F128">
        <f t="shared" si="1"/>
        <v>0</v>
      </c>
      <c r="G128" s="2">
        <f>SUM(F128,D128)</f>
        <v>502721</v>
      </c>
    </row>
    <row r="129" spans="1:7" x14ac:dyDescent="0.2">
      <c r="A129">
        <v>2020</v>
      </c>
      <c r="B129" s="34">
        <v>5067</v>
      </c>
      <c r="C129" s="9" t="s">
        <v>136</v>
      </c>
      <c r="D129" s="10">
        <v>752012</v>
      </c>
      <c r="E129" s="9">
        <f>VLOOKUP(B129,'2015'!$B$2:$G$338,6,FALSE)</f>
        <v>0</v>
      </c>
      <c r="F129">
        <f t="shared" si="1"/>
        <v>0</v>
      </c>
      <c r="G129" s="2">
        <f>SUM(F129,D129)</f>
        <v>752012</v>
      </c>
    </row>
    <row r="130" spans="1:7" x14ac:dyDescent="0.2">
      <c r="A130">
        <v>2020</v>
      </c>
      <c r="B130" s="34">
        <v>5068</v>
      </c>
      <c r="C130" s="9" t="s">
        <v>137</v>
      </c>
      <c r="D130" s="10">
        <v>682206</v>
      </c>
      <c r="E130" s="9">
        <f>VLOOKUP(B130,'2015'!$B$2:$G$338,6,FALSE)</f>
        <v>0</v>
      </c>
      <c r="F130">
        <f t="shared" si="1"/>
        <v>0</v>
      </c>
      <c r="G130" s="2">
        <f>SUM(F130,D130)</f>
        <v>682206</v>
      </c>
    </row>
    <row r="131" spans="1:7" x14ac:dyDescent="0.2">
      <c r="A131">
        <v>2020</v>
      </c>
      <c r="B131" s="34">
        <v>5069</v>
      </c>
      <c r="C131" s="9" t="s">
        <v>138</v>
      </c>
      <c r="D131" s="10">
        <v>676732</v>
      </c>
      <c r="E131" s="9">
        <f>VLOOKUP(B131,'2015'!$B$2:$G$338,6,FALSE)</f>
        <v>0</v>
      </c>
      <c r="F131">
        <f t="shared" ref="F131:F194" si="2">E131*$D$341</f>
        <v>0</v>
      </c>
      <c r="G131" s="2">
        <f>SUM(F131,D131)</f>
        <v>676732</v>
      </c>
    </row>
    <row r="132" spans="1:7" x14ac:dyDescent="0.2">
      <c r="A132">
        <v>2020</v>
      </c>
      <c r="B132" s="34">
        <v>5070</v>
      </c>
      <c r="C132" s="9" t="s">
        <v>139</v>
      </c>
      <c r="D132" s="10">
        <v>1686386</v>
      </c>
      <c r="E132" s="9">
        <f>VLOOKUP(B132,'2015'!$B$2:$G$338,6,FALSE)</f>
        <v>0</v>
      </c>
      <c r="F132">
        <f t="shared" si="2"/>
        <v>0</v>
      </c>
      <c r="G132" s="2">
        <f>SUM(F132,D132)</f>
        <v>1686386</v>
      </c>
    </row>
    <row r="133" spans="1:7" x14ac:dyDescent="0.2">
      <c r="A133">
        <v>2020</v>
      </c>
      <c r="B133" s="34">
        <v>5072</v>
      </c>
      <c r="C133" s="9" t="s">
        <v>140</v>
      </c>
      <c r="D133" s="10">
        <v>229954</v>
      </c>
      <c r="E133" s="9">
        <f>VLOOKUP(B133,'2015'!$B$2:$G$338,6,FALSE)</f>
        <v>0</v>
      </c>
      <c r="F133">
        <f t="shared" si="2"/>
        <v>0</v>
      </c>
      <c r="G133" s="2">
        <f>SUM(F133,D133)</f>
        <v>229954</v>
      </c>
    </row>
    <row r="134" spans="1:7" x14ac:dyDescent="0.2">
      <c r="A134">
        <v>2020</v>
      </c>
      <c r="B134" s="34">
        <v>5073</v>
      </c>
      <c r="C134" s="9" t="s">
        <v>141</v>
      </c>
      <c r="D134" s="10">
        <v>420301</v>
      </c>
      <c r="E134" s="9">
        <f>VLOOKUP(B134,'2015'!$B$2:$G$338,6,FALSE)</f>
        <v>0</v>
      </c>
      <c r="F134">
        <f t="shared" si="2"/>
        <v>0</v>
      </c>
      <c r="G134" s="2">
        <f>SUM(F134,D134)</f>
        <v>420301</v>
      </c>
    </row>
    <row r="135" spans="1:7" x14ac:dyDescent="0.2">
      <c r="A135">
        <v>2020</v>
      </c>
      <c r="B135" s="34">
        <v>5076</v>
      </c>
      <c r="C135" s="9" t="s">
        <v>142</v>
      </c>
      <c r="D135" s="10">
        <v>178690</v>
      </c>
      <c r="E135" s="9">
        <f>VLOOKUP(B135,'2015'!$B$2:$G$338,6,FALSE)</f>
        <v>0</v>
      </c>
      <c r="F135">
        <f t="shared" si="2"/>
        <v>0</v>
      </c>
      <c r="G135" s="2">
        <f>SUM(F135,D135)</f>
        <v>178690</v>
      </c>
    </row>
    <row r="136" spans="1:7" x14ac:dyDescent="0.2">
      <c r="A136">
        <v>2020</v>
      </c>
      <c r="B136" s="34">
        <v>5077</v>
      </c>
      <c r="C136" s="9" t="s">
        <v>195</v>
      </c>
      <c r="D136" s="10">
        <v>476915</v>
      </c>
      <c r="E136" s="9">
        <f>VLOOKUP(B136,'2015'!$B$2:$G$338,6,FALSE)</f>
        <v>0</v>
      </c>
      <c r="F136">
        <f t="shared" si="2"/>
        <v>0</v>
      </c>
      <c r="G136" s="2">
        <f>SUM(F136,D136)</f>
        <v>476915</v>
      </c>
    </row>
    <row r="137" spans="1:7" x14ac:dyDescent="0.2">
      <c r="A137">
        <v>2020</v>
      </c>
      <c r="B137" s="34">
        <v>5078</v>
      </c>
      <c r="C137" s="9" t="s">
        <v>144</v>
      </c>
      <c r="D137" s="10">
        <v>417404</v>
      </c>
      <c r="E137" s="9">
        <f>VLOOKUP(B137,'2015'!$B$2:$G$338,6,FALSE)</f>
        <v>0</v>
      </c>
      <c r="F137">
        <f t="shared" si="2"/>
        <v>0</v>
      </c>
      <c r="G137" s="2">
        <f>SUM(F137,D137)</f>
        <v>417404</v>
      </c>
    </row>
    <row r="138" spans="1:7" x14ac:dyDescent="0.2">
      <c r="A138">
        <v>2020</v>
      </c>
      <c r="B138" s="34">
        <v>5079</v>
      </c>
      <c r="C138" s="9" t="s">
        <v>145</v>
      </c>
      <c r="D138" s="10">
        <v>449882</v>
      </c>
      <c r="E138" s="9">
        <f>VLOOKUP(B138,'2015'!$B$2:$G$338,6,FALSE)</f>
        <v>0</v>
      </c>
      <c r="F138">
        <f t="shared" si="2"/>
        <v>0</v>
      </c>
      <c r="G138" s="2">
        <f>SUM(F138,D138)</f>
        <v>449882</v>
      </c>
    </row>
    <row r="139" spans="1:7" x14ac:dyDescent="0.2">
      <c r="A139">
        <v>2020</v>
      </c>
      <c r="B139" s="34">
        <v>5080</v>
      </c>
      <c r="C139" s="9" t="s">
        <v>146</v>
      </c>
      <c r="D139" s="10">
        <v>549527</v>
      </c>
      <c r="E139" s="9">
        <f>VLOOKUP(B139,'2015'!$B$2:$G$338,6,FALSE)</f>
        <v>0</v>
      </c>
      <c r="F139">
        <f t="shared" si="2"/>
        <v>0</v>
      </c>
      <c r="G139" s="2">
        <f>SUM(F139,D139)</f>
        <v>549527</v>
      </c>
    </row>
    <row r="140" spans="1:7" x14ac:dyDescent="0.2">
      <c r="A140">
        <v>2020</v>
      </c>
      <c r="B140" s="34">
        <v>5081</v>
      </c>
      <c r="C140" s="9" t="s">
        <v>147</v>
      </c>
      <c r="D140" s="10">
        <v>470000</v>
      </c>
      <c r="E140" s="9">
        <f>VLOOKUP(B140,'2015'!$B$2:$G$338,6,FALSE)</f>
        <v>0</v>
      </c>
      <c r="F140">
        <f t="shared" si="2"/>
        <v>0</v>
      </c>
      <c r="G140" s="2">
        <f>SUM(F140,D140)</f>
        <v>470000</v>
      </c>
    </row>
    <row r="141" spans="1:7" x14ac:dyDescent="0.2">
      <c r="A141">
        <v>2020</v>
      </c>
      <c r="B141" s="34">
        <v>5082</v>
      </c>
      <c r="C141" s="9" t="s">
        <v>148</v>
      </c>
      <c r="D141" s="10">
        <v>120396</v>
      </c>
      <c r="E141" s="9">
        <f>VLOOKUP(B141,'2015'!$B$2:$G$338,6,FALSE)</f>
        <v>0</v>
      </c>
      <c r="F141">
        <f t="shared" si="2"/>
        <v>0</v>
      </c>
      <c r="G141" s="2">
        <f>SUM(F141,D141)</f>
        <v>120396</v>
      </c>
    </row>
    <row r="142" spans="1:7" x14ac:dyDescent="0.2">
      <c r="A142">
        <v>2020</v>
      </c>
      <c r="B142" s="34">
        <v>5013</v>
      </c>
      <c r="C142" s="9" t="s">
        <v>355</v>
      </c>
      <c r="D142" s="10">
        <v>7273752</v>
      </c>
      <c r="E142" s="9">
        <f>VLOOKUP(B142,'2015'!$B$2:$G$338,6,FALSE)</f>
        <v>0</v>
      </c>
      <c r="F142">
        <f t="shared" si="2"/>
        <v>0</v>
      </c>
      <c r="G142" s="2">
        <f>SUM(F142,D142)</f>
        <v>7273752</v>
      </c>
    </row>
    <row r="143" spans="1:7" x14ac:dyDescent="0.2">
      <c r="A143">
        <v>2020</v>
      </c>
      <c r="B143" s="34">
        <v>5087</v>
      </c>
      <c r="C143" s="9" t="s">
        <v>360</v>
      </c>
      <c r="D143" s="10">
        <v>368175</v>
      </c>
      <c r="E143" s="9">
        <f>VLOOKUP(B143,'2015'!$B$2:$G$338,6,FALSE)</f>
        <v>0</v>
      </c>
      <c r="F143">
        <f t="shared" si="2"/>
        <v>0</v>
      </c>
      <c r="G143" s="2">
        <f>SUM(F143,D143)</f>
        <v>368175</v>
      </c>
    </row>
    <row r="144" spans="1:7" x14ac:dyDescent="0.2">
      <c r="A144">
        <v>2020</v>
      </c>
      <c r="B144" s="34">
        <v>5088</v>
      </c>
      <c r="C144" s="9" t="s">
        <v>151</v>
      </c>
      <c r="D144" s="10">
        <v>687758</v>
      </c>
      <c r="E144" s="9">
        <f>VLOOKUP(B144,'2015'!$B$2:$G$338,6,FALSE)</f>
        <v>0</v>
      </c>
      <c r="F144">
        <f t="shared" si="2"/>
        <v>0</v>
      </c>
      <c r="G144" s="2">
        <f>SUM(F144,D144)</f>
        <v>687758</v>
      </c>
    </row>
    <row r="145" spans="1:7" x14ac:dyDescent="0.2">
      <c r="A145">
        <v>2020</v>
      </c>
      <c r="B145" s="34">
        <v>5089</v>
      </c>
      <c r="C145" s="9" t="s">
        <v>152</v>
      </c>
      <c r="D145" s="10">
        <v>347125</v>
      </c>
      <c r="E145" s="9">
        <f>VLOOKUP(B145,'2015'!$B$2:$G$338,6,FALSE)</f>
        <v>0</v>
      </c>
      <c r="F145">
        <f t="shared" si="2"/>
        <v>0</v>
      </c>
      <c r="G145" s="2">
        <f>SUM(F145,D145)</f>
        <v>347125</v>
      </c>
    </row>
    <row r="146" spans="1:7" x14ac:dyDescent="0.2">
      <c r="A146">
        <v>2020</v>
      </c>
      <c r="B146" s="34">
        <v>5090</v>
      </c>
      <c r="C146" s="9" t="s">
        <v>153</v>
      </c>
      <c r="D146" s="10">
        <v>274002</v>
      </c>
      <c r="E146" s="9">
        <f>VLOOKUP(B146,'2015'!$B$2:$G$338,6,FALSE)</f>
        <v>0</v>
      </c>
      <c r="F146">
        <f t="shared" si="2"/>
        <v>0</v>
      </c>
      <c r="G146" s="2">
        <f>SUM(F146,D146)</f>
        <v>274002</v>
      </c>
    </row>
    <row r="147" spans="1:7" x14ac:dyDescent="0.2">
      <c r="A147">
        <v>2020</v>
      </c>
      <c r="B147" s="34">
        <v>5092</v>
      </c>
      <c r="C147" s="9" t="s">
        <v>154</v>
      </c>
      <c r="D147" s="10">
        <v>1363396</v>
      </c>
      <c r="E147" s="9">
        <f>VLOOKUP(B147,'2015'!$B$2:$G$338,6,FALSE)</f>
        <v>0</v>
      </c>
      <c r="F147">
        <f t="shared" si="2"/>
        <v>0</v>
      </c>
      <c r="G147" s="2">
        <f>SUM(F147,D147)</f>
        <v>1363396</v>
      </c>
    </row>
    <row r="148" spans="1:7" x14ac:dyDescent="0.2">
      <c r="A148">
        <v>2020</v>
      </c>
      <c r="B148" s="34">
        <v>5093</v>
      </c>
      <c r="C148" s="9" t="s">
        <v>155</v>
      </c>
      <c r="D148" s="10">
        <v>314613</v>
      </c>
      <c r="E148" s="9">
        <f>VLOOKUP(B148,'2015'!$B$2:$G$338,6,FALSE)</f>
        <v>0</v>
      </c>
      <c r="F148">
        <f t="shared" si="2"/>
        <v>0</v>
      </c>
      <c r="G148" s="2">
        <f>SUM(F148,D148)</f>
        <v>314613</v>
      </c>
    </row>
    <row r="149" spans="1:7" x14ac:dyDescent="0.2">
      <c r="A149">
        <v>2020</v>
      </c>
      <c r="B149" s="34">
        <v>5095</v>
      </c>
      <c r="C149" s="9" t="s">
        <v>156</v>
      </c>
      <c r="D149" s="10">
        <v>472774</v>
      </c>
      <c r="E149" s="9">
        <f>VLOOKUP(B149,'2015'!$B$2:$G$338,6,FALSE)</f>
        <v>0</v>
      </c>
      <c r="F149">
        <f t="shared" si="2"/>
        <v>0</v>
      </c>
      <c r="G149" s="2">
        <f>SUM(F149,D149)</f>
        <v>472774</v>
      </c>
    </row>
    <row r="150" spans="1:7" x14ac:dyDescent="0.2">
      <c r="A150">
        <v>2020</v>
      </c>
      <c r="B150" s="34">
        <v>5096</v>
      </c>
      <c r="C150" s="9" t="s">
        <v>157</v>
      </c>
      <c r="D150" s="10">
        <v>567842</v>
      </c>
      <c r="E150" s="9">
        <f>VLOOKUP(B150,'2015'!$B$2:$G$338,6,FALSE)</f>
        <v>0</v>
      </c>
      <c r="F150">
        <f t="shared" si="2"/>
        <v>0</v>
      </c>
      <c r="G150" s="2">
        <f>SUM(F150,D150)</f>
        <v>567842</v>
      </c>
    </row>
    <row r="151" spans="1:7" x14ac:dyDescent="0.2">
      <c r="A151">
        <v>2020</v>
      </c>
      <c r="B151" s="34">
        <v>5098</v>
      </c>
      <c r="C151" s="9" t="s">
        <v>158</v>
      </c>
      <c r="D151" s="10">
        <v>297510</v>
      </c>
      <c r="E151" s="9">
        <f>VLOOKUP(B151,'2015'!$B$2:$G$338,6,FALSE)</f>
        <v>0</v>
      </c>
      <c r="F151">
        <f t="shared" si="2"/>
        <v>0</v>
      </c>
      <c r="G151" s="2">
        <f>SUM(F151,D151)</f>
        <v>297510</v>
      </c>
    </row>
    <row r="152" spans="1:7" x14ac:dyDescent="0.2">
      <c r="A152">
        <v>2020</v>
      </c>
      <c r="B152" s="34">
        <v>5099</v>
      </c>
      <c r="C152" s="9" t="s">
        <v>159</v>
      </c>
      <c r="D152" s="10">
        <v>968160</v>
      </c>
      <c r="E152" s="9">
        <f>VLOOKUP(B152,'2015'!$B$2:$G$338,6,FALSE)</f>
        <v>0</v>
      </c>
      <c r="F152">
        <f t="shared" si="2"/>
        <v>0</v>
      </c>
      <c r="G152" s="2">
        <f>SUM(F152,D152)</f>
        <v>968160</v>
      </c>
    </row>
    <row r="153" spans="1:7" x14ac:dyDescent="0.2">
      <c r="A153">
        <v>2020</v>
      </c>
      <c r="B153" s="34">
        <v>5100</v>
      </c>
      <c r="C153" s="9" t="s">
        <v>160</v>
      </c>
      <c r="D153" s="10">
        <v>1117367</v>
      </c>
      <c r="E153" s="9">
        <f>VLOOKUP(B153,'2015'!$B$2:$G$338,6,FALSE)</f>
        <v>0</v>
      </c>
      <c r="F153">
        <f t="shared" si="2"/>
        <v>0</v>
      </c>
      <c r="G153" s="2">
        <f>SUM(F153,D153)</f>
        <v>1117367</v>
      </c>
    </row>
    <row r="154" spans="1:7" x14ac:dyDescent="0.2">
      <c r="A154">
        <v>2020</v>
      </c>
      <c r="B154" s="34">
        <v>5101</v>
      </c>
      <c r="C154" s="9" t="s">
        <v>161</v>
      </c>
      <c r="D154" s="10">
        <v>740059</v>
      </c>
      <c r="E154" s="9">
        <f>VLOOKUP(B154,'2015'!$B$2:$G$338,6,FALSE)</f>
        <v>0</v>
      </c>
      <c r="F154">
        <f t="shared" si="2"/>
        <v>0</v>
      </c>
      <c r="G154" s="2">
        <f>SUM(F154,D154)</f>
        <v>740059</v>
      </c>
    </row>
    <row r="155" spans="1:7" x14ac:dyDescent="0.2">
      <c r="A155">
        <v>2020</v>
      </c>
      <c r="B155" s="34">
        <v>5102</v>
      </c>
      <c r="C155" s="9" t="s">
        <v>162</v>
      </c>
      <c r="D155" s="10">
        <v>1545690</v>
      </c>
      <c r="E155" s="9">
        <f>VLOOKUP(B155,'2015'!$B$2:$G$338,6,FALSE)</f>
        <v>0</v>
      </c>
      <c r="F155">
        <f t="shared" si="2"/>
        <v>0</v>
      </c>
      <c r="G155" s="2">
        <f>SUM(F155,D155)</f>
        <v>1545690</v>
      </c>
    </row>
    <row r="156" spans="1:7" x14ac:dyDescent="0.2">
      <c r="A156">
        <v>2020</v>
      </c>
      <c r="B156" s="34">
        <v>5103</v>
      </c>
      <c r="C156" s="9" t="s">
        <v>163</v>
      </c>
      <c r="D156" s="10">
        <v>921835</v>
      </c>
      <c r="E156" s="9">
        <f>VLOOKUP(B156,'2015'!$B$2:$G$338,6,FALSE)</f>
        <v>0</v>
      </c>
      <c r="F156">
        <f t="shared" si="2"/>
        <v>0</v>
      </c>
      <c r="G156" s="2">
        <f>SUM(F156,D156)</f>
        <v>921835</v>
      </c>
    </row>
    <row r="157" spans="1:7" x14ac:dyDescent="0.2">
      <c r="A157">
        <v>2020</v>
      </c>
      <c r="B157" s="34">
        <v>5104</v>
      </c>
      <c r="C157" s="9" t="s">
        <v>164</v>
      </c>
      <c r="D157" s="10">
        <v>300857</v>
      </c>
      <c r="E157" s="9">
        <f>VLOOKUP(B157,'2015'!$B$2:$G$338,6,FALSE)</f>
        <v>0</v>
      </c>
      <c r="F157">
        <f t="shared" si="2"/>
        <v>0</v>
      </c>
      <c r="G157" s="2">
        <f>SUM(F157,D157)</f>
        <v>300857</v>
      </c>
    </row>
    <row r="158" spans="1:7" x14ac:dyDescent="0.2">
      <c r="A158">
        <v>2020</v>
      </c>
      <c r="B158" s="34">
        <v>5105</v>
      </c>
      <c r="C158" s="9" t="s">
        <v>165</v>
      </c>
      <c r="D158" s="10">
        <v>239615</v>
      </c>
      <c r="E158" s="9">
        <f>VLOOKUP(B158,'2015'!$B$2:$G$338,6,FALSE)</f>
        <v>0</v>
      </c>
      <c r="F158">
        <f t="shared" si="2"/>
        <v>0</v>
      </c>
      <c r="G158" s="2">
        <f>SUM(F158,D158)</f>
        <v>239615</v>
      </c>
    </row>
    <row r="159" spans="1:7" x14ac:dyDescent="0.2">
      <c r="A159">
        <v>2020</v>
      </c>
      <c r="B159" s="34">
        <v>5106</v>
      </c>
      <c r="C159" s="9" t="s">
        <v>166</v>
      </c>
      <c r="D159" s="10">
        <v>765511</v>
      </c>
      <c r="E159" s="9">
        <f>VLOOKUP(B159,'2015'!$B$2:$G$338,6,FALSE)</f>
        <v>0</v>
      </c>
      <c r="F159">
        <f t="shared" si="2"/>
        <v>0</v>
      </c>
      <c r="G159" s="2">
        <f>SUM(F159,D159)</f>
        <v>765511</v>
      </c>
    </row>
    <row r="160" spans="1:7" x14ac:dyDescent="0.2">
      <c r="A160">
        <v>2020</v>
      </c>
      <c r="B160" s="34">
        <v>5116</v>
      </c>
      <c r="C160" s="9" t="s">
        <v>167</v>
      </c>
      <c r="D160" s="10">
        <v>877855</v>
      </c>
      <c r="E160" s="9">
        <f>VLOOKUP(B160,'2015'!$B$2:$G$338,6,FALSE)</f>
        <v>0</v>
      </c>
      <c r="F160">
        <f t="shared" si="2"/>
        <v>0</v>
      </c>
      <c r="G160" s="2">
        <f>SUM(F160,D160)</f>
        <v>877855</v>
      </c>
    </row>
    <row r="161" spans="1:7" x14ac:dyDescent="0.2">
      <c r="A161">
        <v>2020</v>
      </c>
      <c r="B161" s="34">
        <v>5117</v>
      </c>
      <c r="C161" s="9" t="s">
        <v>168</v>
      </c>
      <c r="D161" s="10">
        <v>179567</v>
      </c>
      <c r="E161" s="9">
        <f>VLOOKUP(B161,'2015'!$B$2:$G$338,6,FALSE)</f>
        <v>0</v>
      </c>
      <c r="F161">
        <f t="shared" si="2"/>
        <v>0</v>
      </c>
      <c r="G161" s="2">
        <f>SUM(F161,D161)</f>
        <v>179567</v>
      </c>
    </row>
    <row r="162" spans="1:7" x14ac:dyDescent="0.2">
      <c r="A162">
        <v>2020</v>
      </c>
      <c r="B162" s="34">
        <v>5118</v>
      </c>
      <c r="C162" s="9" t="s">
        <v>169</v>
      </c>
      <c r="D162" s="10">
        <v>1356978</v>
      </c>
      <c r="E162" s="9">
        <f>VLOOKUP(B162,'2015'!$B$2:$G$338,6,FALSE)</f>
        <v>0</v>
      </c>
      <c r="F162">
        <f t="shared" si="2"/>
        <v>0</v>
      </c>
      <c r="G162" s="2">
        <f>SUM(F162,D162)</f>
        <v>1356978</v>
      </c>
    </row>
    <row r="163" spans="1:7" x14ac:dyDescent="0.2">
      <c r="A163">
        <v>2020</v>
      </c>
      <c r="B163" s="34">
        <v>5119</v>
      </c>
      <c r="C163" s="9" t="s">
        <v>170</v>
      </c>
      <c r="D163" s="10">
        <v>293165</v>
      </c>
      <c r="E163" s="9">
        <f>VLOOKUP(B163,'2015'!$B$2:$G$338,6,FALSE)</f>
        <v>0</v>
      </c>
      <c r="F163">
        <f t="shared" si="2"/>
        <v>0</v>
      </c>
      <c r="G163" s="2">
        <f>SUM(F163,D163)</f>
        <v>293165</v>
      </c>
    </row>
    <row r="164" spans="1:7" x14ac:dyDescent="0.2">
      <c r="A164">
        <v>2020</v>
      </c>
      <c r="B164" s="34">
        <v>5120</v>
      </c>
      <c r="C164" s="9" t="s">
        <v>171</v>
      </c>
      <c r="D164" s="10">
        <v>6640817</v>
      </c>
      <c r="E164" s="9">
        <f>VLOOKUP(B164,'2015'!$B$2:$G$338,6,FALSE)</f>
        <v>0</v>
      </c>
      <c r="F164">
        <f t="shared" si="2"/>
        <v>0</v>
      </c>
      <c r="G164" s="2">
        <f>SUM(F164,D164)</f>
        <v>6640817</v>
      </c>
    </row>
    <row r="165" spans="1:7" x14ac:dyDescent="0.2">
      <c r="A165">
        <v>2020</v>
      </c>
      <c r="B165" s="34">
        <v>5122</v>
      </c>
      <c r="C165" s="9" t="s">
        <v>172</v>
      </c>
      <c r="D165" s="10">
        <v>256651</v>
      </c>
      <c r="E165" s="9">
        <f>VLOOKUP(B165,'2015'!$B$2:$G$338,6,FALSE)</f>
        <v>0</v>
      </c>
      <c r="F165">
        <f t="shared" si="2"/>
        <v>0</v>
      </c>
      <c r="G165" s="2">
        <f>SUM(F165,D165)</f>
        <v>256651</v>
      </c>
    </row>
    <row r="166" spans="1:7" x14ac:dyDescent="0.2">
      <c r="A166">
        <v>2020</v>
      </c>
      <c r="B166" s="34">
        <v>5123</v>
      </c>
      <c r="C166" s="9" t="s">
        <v>173</v>
      </c>
      <c r="D166" s="10">
        <v>257283</v>
      </c>
      <c r="E166" s="9">
        <f>VLOOKUP(B166,'2015'!$B$2:$G$338,6,FALSE)</f>
        <v>0</v>
      </c>
      <c r="F166">
        <f t="shared" si="2"/>
        <v>0</v>
      </c>
      <c r="G166" s="2">
        <f>SUM(F166,D166)</f>
        <v>257283</v>
      </c>
    </row>
    <row r="167" spans="1:7" x14ac:dyDescent="0.2">
      <c r="A167">
        <v>2020</v>
      </c>
      <c r="B167" s="34">
        <v>5125</v>
      </c>
      <c r="C167" s="9" t="s">
        <v>174</v>
      </c>
      <c r="D167" s="10">
        <v>1787227</v>
      </c>
      <c r="E167" s="9">
        <f>VLOOKUP(B167,'2015'!$B$2:$G$338,6,FALSE)</f>
        <v>0</v>
      </c>
      <c r="F167">
        <f t="shared" si="2"/>
        <v>0</v>
      </c>
      <c r="G167" s="2">
        <f>SUM(F167,D167)</f>
        <v>1787227</v>
      </c>
    </row>
    <row r="168" spans="1:7" x14ac:dyDescent="0.2">
      <c r="A168">
        <v>2020</v>
      </c>
      <c r="B168" s="34">
        <v>5127</v>
      </c>
      <c r="C168" s="9" t="s">
        <v>175</v>
      </c>
      <c r="D168" s="10">
        <v>208099</v>
      </c>
      <c r="E168" s="9">
        <f>VLOOKUP(B168,'2015'!$B$2:$G$338,6,FALSE)</f>
        <v>0</v>
      </c>
      <c r="F168">
        <f t="shared" si="2"/>
        <v>0</v>
      </c>
      <c r="G168" s="2">
        <f>SUM(F168,D168)</f>
        <v>208099</v>
      </c>
    </row>
    <row r="169" spans="1:7" x14ac:dyDescent="0.2">
      <c r="A169">
        <v>2020</v>
      </c>
      <c r="B169" s="34">
        <v>5128</v>
      </c>
      <c r="C169" s="9" t="s">
        <v>176</v>
      </c>
      <c r="D169" s="10">
        <v>352642</v>
      </c>
      <c r="E169" s="9">
        <f>VLOOKUP(B169,'2015'!$B$2:$G$338,6,FALSE)</f>
        <v>0</v>
      </c>
      <c r="F169">
        <f t="shared" si="2"/>
        <v>0</v>
      </c>
      <c r="G169" s="2">
        <f>SUM(F169,D169)</f>
        <v>352642</v>
      </c>
    </row>
    <row r="170" spans="1:7" x14ac:dyDescent="0.2">
      <c r="A170">
        <v>2020</v>
      </c>
      <c r="B170" s="34">
        <v>5129</v>
      </c>
      <c r="C170" s="9" t="s">
        <v>177</v>
      </c>
      <c r="D170" s="10">
        <v>836842</v>
      </c>
      <c r="E170" s="9">
        <f>VLOOKUP(B170,'2015'!$B$2:$G$338,6,FALSE)</f>
        <v>0</v>
      </c>
      <c r="F170">
        <f t="shared" si="2"/>
        <v>0</v>
      </c>
      <c r="G170" s="2">
        <f>SUM(F170,D170)</f>
        <v>836842</v>
      </c>
    </row>
    <row r="171" spans="1:7" x14ac:dyDescent="0.2">
      <c r="A171">
        <v>2020</v>
      </c>
      <c r="B171" s="34">
        <v>5130</v>
      </c>
      <c r="C171" s="9" t="s">
        <v>178</v>
      </c>
      <c r="D171" s="10">
        <v>673996</v>
      </c>
      <c r="E171" s="9">
        <f>VLOOKUP(B171,'2015'!$B$2:$G$338,6,FALSE)</f>
        <v>0</v>
      </c>
      <c r="F171">
        <f t="shared" si="2"/>
        <v>0</v>
      </c>
      <c r="G171" s="2">
        <f>SUM(F171,D171)</f>
        <v>673996</v>
      </c>
    </row>
    <row r="172" spans="1:7" x14ac:dyDescent="0.2">
      <c r="A172">
        <v>2020</v>
      </c>
      <c r="B172" s="34">
        <v>5131</v>
      </c>
      <c r="C172" s="9" t="s">
        <v>179</v>
      </c>
      <c r="D172" s="10">
        <v>916673</v>
      </c>
      <c r="E172" s="9">
        <f>VLOOKUP(B172,'2015'!$B$2:$G$338,6,FALSE)</f>
        <v>0</v>
      </c>
      <c r="F172">
        <f t="shared" si="2"/>
        <v>0</v>
      </c>
      <c r="G172" s="2">
        <f>SUM(F172,D172)</f>
        <v>916673</v>
      </c>
    </row>
    <row r="173" spans="1:7" x14ac:dyDescent="0.2">
      <c r="A173">
        <v>2020</v>
      </c>
      <c r="B173" s="34">
        <v>5132</v>
      </c>
      <c r="C173" s="9" t="s">
        <v>180</v>
      </c>
      <c r="D173" s="10">
        <v>3470609</v>
      </c>
      <c r="E173" s="9">
        <f>VLOOKUP(B173,'2015'!$B$2:$G$338,6,FALSE)</f>
        <v>0</v>
      </c>
      <c r="F173">
        <f t="shared" si="2"/>
        <v>0</v>
      </c>
      <c r="G173" s="2">
        <f>SUM(F173,D173)</f>
        <v>3470609</v>
      </c>
    </row>
    <row r="174" spans="1:7" x14ac:dyDescent="0.2">
      <c r="A174">
        <v>2020</v>
      </c>
      <c r="B174" s="34">
        <v>5133</v>
      </c>
      <c r="C174" s="9" t="s">
        <v>361</v>
      </c>
      <c r="D174" s="10">
        <v>300645</v>
      </c>
      <c r="E174" s="9">
        <f>VLOOKUP(B174,'2015'!$B$2:$G$338,6,FALSE)</f>
        <v>0</v>
      </c>
      <c r="F174">
        <f t="shared" si="2"/>
        <v>0</v>
      </c>
      <c r="G174" s="2">
        <f>SUM(F174,D174)</f>
        <v>300645</v>
      </c>
    </row>
    <row r="175" spans="1:7" x14ac:dyDescent="0.2">
      <c r="A175">
        <v>2020</v>
      </c>
      <c r="B175" s="34">
        <v>5134</v>
      </c>
      <c r="C175" s="9" t="s">
        <v>182</v>
      </c>
      <c r="D175" s="10">
        <v>309596</v>
      </c>
      <c r="E175" s="9">
        <f>VLOOKUP(B175,'2015'!$B$2:$G$338,6,FALSE)</f>
        <v>0</v>
      </c>
      <c r="F175">
        <f t="shared" si="2"/>
        <v>0</v>
      </c>
      <c r="G175" s="2">
        <f>SUM(F175,D175)</f>
        <v>309596</v>
      </c>
    </row>
    <row r="176" spans="1:7" x14ac:dyDescent="0.2">
      <c r="A176">
        <v>2020</v>
      </c>
      <c r="B176" s="34">
        <v>5135</v>
      </c>
      <c r="C176" s="9" t="s">
        <v>183</v>
      </c>
      <c r="D176" s="10">
        <v>1647199</v>
      </c>
      <c r="E176" s="9">
        <f>VLOOKUP(B176,'2015'!$B$2:$G$338,6,FALSE)</f>
        <v>0</v>
      </c>
      <c r="F176">
        <f t="shared" si="2"/>
        <v>0</v>
      </c>
      <c r="G176" s="2">
        <f>SUM(F176,D176)</f>
        <v>1647199</v>
      </c>
    </row>
    <row r="177" spans="1:7" x14ac:dyDescent="0.2">
      <c r="A177">
        <v>2020</v>
      </c>
      <c r="B177" s="34">
        <v>5137</v>
      </c>
      <c r="C177" s="9" t="s">
        <v>184</v>
      </c>
      <c r="D177" s="10">
        <v>251537</v>
      </c>
      <c r="E177" s="9">
        <f>VLOOKUP(B177,'2015'!$B$2:$G$338,6,FALSE)</f>
        <v>0</v>
      </c>
      <c r="F177">
        <f t="shared" si="2"/>
        <v>0</v>
      </c>
      <c r="G177" s="2">
        <f>SUM(F177,D177)</f>
        <v>251537</v>
      </c>
    </row>
    <row r="178" spans="1:7" x14ac:dyDescent="0.2">
      <c r="A178">
        <v>2020</v>
      </c>
      <c r="B178" s="34">
        <v>5138</v>
      </c>
      <c r="C178" s="9" t="s">
        <v>185</v>
      </c>
      <c r="D178" s="10">
        <v>260640</v>
      </c>
      <c r="E178" s="9">
        <f>VLOOKUP(B178,'2015'!$B$2:$G$338,6,FALSE)</f>
        <v>0</v>
      </c>
      <c r="F178">
        <f t="shared" si="2"/>
        <v>0</v>
      </c>
      <c r="G178" s="2">
        <f>SUM(F178,D178)</f>
        <v>260640</v>
      </c>
    </row>
    <row r="179" spans="1:7" x14ac:dyDescent="0.2">
      <c r="A179">
        <v>2020</v>
      </c>
      <c r="B179" s="34">
        <v>5140</v>
      </c>
      <c r="C179" s="9" t="s">
        <v>186</v>
      </c>
      <c r="D179" s="10">
        <v>326218</v>
      </c>
      <c r="E179" s="9">
        <f>VLOOKUP(B179,'2015'!$B$2:$G$338,6,FALSE)</f>
        <v>0</v>
      </c>
      <c r="F179">
        <f t="shared" si="2"/>
        <v>0</v>
      </c>
      <c r="G179" s="2">
        <f>SUM(F179,D179)</f>
        <v>326218</v>
      </c>
    </row>
    <row r="180" spans="1:7" x14ac:dyDescent="0.2">
      <c r="A180">
        <v>2020</v>
      </c>
      <c r="B180" s="34">
        <v>5141</v>
      </c>
      <c r="C180" s="9" t="s">
        <v>187</v>
      </c>
      <c r="D180" s="10">
        <v>412710</v>
      </c>
      <c r="E180" s="9">
        <f>VLOOKUP(B180,'2015'!$B$2:$G$338,6,FALSE)</f>
        <v>0</v>
      </c>
      <c r="F180">
        <f t="shared" si="2"/>
        <v>0</v>
      </c>
      <c r="G180" s="2">
        <f>SUM(F180,D180)</f>
        <v>412710</v>
      </c>
    </row>
    <row r="181" spans="1:7" x14ac:dyDescent="0.2">
      <c r="A181">
        <v>2020</v>
      </c>
      <c r="B181" s="34">
        <v>5142</v>
      </c>
      <c r="C181" s="9" t="s">
        <v>188</v>
      </c>
      <c r="D181" s="10">
        <v>103293</v>
      </c>
      <c r="E181" s="9">
        <f>VLOOKUP(B181,'2015'!$B$2:$G$338,6,FALSE)</f>
        <v>0</v>
      </c>
      <c r="F181">
        <f t="shared" si="2"/>
        <v>0</v>
      </c>
      <c r="G181" s="2">
        <f>SUM(F181,D181)</f>
        <v>103293</v>
      </c>
    </row>
    <row r="182" spans="1:7" x14ac:dyDescent="0.2">
      <c r="A182">
        <v>2020</v>
      </c>
      <c r="B182" s="34">
        <v>5143</v>
      </c>
      <c r="C182" s="9" t="s">
        <v>189</v>
      </c>
      <c r="D182" s="10">
        <v>661303</v>
      </c>
      <c r="E182" s="9">
        <f>VLOOKUP(B182,'2015'!$B$2:$G$338,6,FALSE)</f>
        <v>0</v>
      </c>
      <c r="F182">
        <f t="shared" si="2"/>
        <v>0</v>
      </c>
      <c r="G182" s="2">
        <f>SUM(F182,D182)</f>
        <v>661303</v>
      </c>
    </row>
    <row r="183" spans="1:7" x14ac:dyDescent="0.2">
      <c r="A183">
        <v>2020</v>
      </c>
      <c r="B183" s="34">
        <v>5144</v>
      </c>
      <c r="C183" s="9" t="s">
        <v>190</v>
      </c>
      <c r="D183" s="10">
        <v>272348</v>
      </c>
      <c r="E183" s="9">
        <f>VLOOKUP(B183,'2015'!$B$2:$G$338,6,FALSE)</f>
        <v>0</v>
      </c>
      <c r="F183">
        <f t="shared" si="2"/>
        <v>0</v>
      </c>
      <c r="G183" s="2">
        <f>SUM(F183,D183)</f>
        <v>272348</v>
      </c>
    </row>
    <row r="184" spans="1:7" x14ac:dyDescent="0.2">
      <c r="A184">
        <v>2020</v>
      </c>
      <c r="B184" s="34">
        <v>5145</v>
      </c>
      <c r="C184" s="9" t="s">
        <v>191</v>
      </c>
      <c r="D184" s="10">
        <v>282822</v>
      </c>
      <c r="E184" s="9">
        <f>VLOOKUP(B184,'2015'!$B$2:$G$338,6,FALSE)</f>
        <v>0</v>
      </c>
      <c r="F184">
        <f t="shared" si="2"/>
        <v>0</v>
      </c>
      <c r="G184" s="2">
        <f>SUM(F184,D184)</f>
        <v>282822</v>
      </c>
    </row>
    <row r="185" spans="1:7" x14ac:dyDescent="0.2">
      <c r="A185">
        <v>2020</v>
      </c>
      <c r="B185" s="34">
        <v>5147</v>
      </c>
      <c r="C185" s="9" t="s">
        <v>192</v>
      </c>
      <c r="D185" s="10">
        <v>6347531</v>
      </c>
      <c r="E185" s="9">
        <f>VLOOKUP(B185,'2015'!$B$2:$G$338,6,FALSE)</f>
        <v>0</v>
      </c>
      <c r="F185">
        <f t="shared" si="2"/>
        <v>0</v>
      </c>
      <c r="G185" s="2">
        <f>SUM(F185,D185)</f>
        <v>6347531</v>
      </c>
    </row>
    <row r="186" spans="1:7" x14ac:dyDescent="0.2">
      <c r="A186">
        <v>2020</v>
      </c>
      <c r="B186" s="34">
        <v>5148</v>
      </c>
      <c r="C186" s="9" t="s">
        <v>193</v>
      </c>
      <c r="D186" s="10">
        <v>622428</v>
      </c>
      <c r="E186" s="9">
        <f>VLOOKUP(B186,'2015'!$B$2:$G$338,6,FALSE)</f>
        <v>0</v>
      </c>
      <c r="F186">
        <f t="shared" si="2"/>
        <v>0</v>
      </c>
      <c r="G186" s="2">
        <f>SUM(F186,D186)</f>
        <v>622428</v>
      </c>
    </row>
    <row r="187" spans="1:7" x14ac:dyDescent="0.2">
      <c r="A187">
        <v>2020</v>
      </c>
      <c r="B187" s="34">
        <v>5149</v>
      </c>
      <c r="C187" s="9" t="s">
        <v>194</v>
      </c>
      <c r="D187" s="10">
        <v>1291447</v>
      </c>
      <c r="E187" s="9">
        <f>VLOOKUP(B187,'2015'!$B$2:$G$338,6,FALSE)</f>
        <v>0</v>
      </c>
      <c r="F187">
        <f t="shared" si="2"/>
        <v>0</v>
      </c>
      <c r="G187" s="2">
        <f>SUM(F187,D187)</f>
        <v>1291447</v>
      </c>
    </row>
    <row r="188" spans="1:7" x14ac:dyDescent="0.2">
      <c r="A188">
        <v>2020</v>
      </c>
      <c r="B188" s="34">
        <v>5150</v>
      </c>
      <c r="C188" s="9" t="s">
        <v>247</v>
      </c>
      <c r="D188" s="10">
        <v>1077531</v>
      </c>
      <c r="E188" s="9">
        <f>VLOOKUP(B188,'2015'!$B$2:$G$338,6,FALSE)</f>
        <v>0</v>
      </c>
      <c r="F188">
        <f t="shared" si="2"/>
        <v>0</v>
      </c>
      <c r="G188" s="2">
        <f>SUM(F188,D188)</f>
        <v>1077531</v>
      </c>
    </row>
    <row r="189" spans="1:7" x14ac:dyDescent="0.2">
      <c r="A189">
        <v>2020</v>
      </c>
      <c r="B189" s="34">
        <v>5151</v>
      </c>
      <c r="C189" s="9" t="s">
        <v>196</v>
      </c>
      <c r="D189" s="10">
        <v>376257</v>
      </c>
      <c r="E189" s="9">
        <f>VLOOKUP(B189,'2015'!$B$2:$G$338,6,FALSE)</f>
        <v>0</v>
      </c>
      <c r="F189">
        <f t="shared" si="2"/>
        <v>0</v>
      </c>
      <c r="G189" s="2">
        <f>SUM(F189,D189)</f>
        <v>376257</v>
      </c>
    </row>
    <row r="190" spans="1:7" x14ac:dyDescent="0.2">
      <c r="A190">
        <v>2020</v>
      </c>
      <c r="B190" s="34">
        <v>5152</v>
      </c>
      <c r="C190" s="9" t="s">
        <v>197</v>
      </c>
      <c r="D190" s="10">
        <v>674901</v>
      </c>
      <c r="E190" s="9">
        <f>VLOOKUP(B190,'2015'!$B$2:$G$338,6,FALSE)</f>
        <v>0</v>
      </c>
      <c r="F190">
        <f t="shared" si="2"/>
        <v>0</v>
      </c>
      <c r="G190" s="2">
        <f>SUM(F190,D190)</f>
        <v>674901</v>
      </c>
    </row>
    <row r="191" spans="1:7" x14ac:dyDescent="0.2">
      <c r="A191">
        <v>2020</v>
      </c>
      <c r="B191" s="34">
        <v>5153</v>
      </c>
      <c r="C191" s="9" t="s">
        <v>198</v>
      </c>
      <c r="D191" s="10">
        <v>146116</v>
      </c>
      <c r="E191" s="9">
        <f>VLOOKUP(B191,'2015'!$B$2:$G$338,6,FALSE)</f>
        <v>0</v>
      </c>
      <c r="F191">
        <f t="shared" si="2"/>
        <v>0</v>
      </c>
      <c r="G191" s="2">
        <f>SUM(F191,D191)</f>
        <v>146116</v>
      </c>
    </row>
    <row r="192" spans="1:7" x14ac:dyDescent="0.2">
      <c r="A192">
        <v>2020</v>
      </c>
      <c r="B192" s="34">
        <v>5154</v>
      </c>
      <c r="C192" s="9" t="s">
        <v>199</v>
      </c>
      <c r="D192" s="10">
        <v>234556</v>
      </c>
      <c r="E192" s="9">
        <f>VLOOKUP(B192,'2015'!$B$2:$G$338,6,FALSE)</f>
        <v>0</v>
      </c>
      <c r="F192">
        <f t="shared" si="2"/>
        <v>0</v>
      </c>
      <c r="G192" s="2">
        <f>SUM(F192,D192)</f>
        <v>234556</v>
      </c>
    </row>
    <row r="193" spans="1:7" x14ac:dyDescent="0.2">
      <c r="A193">
        <v>2020</v>
      </c>
      <c r="B193" s="34">
        <v>5155</v>
      </c>
      <c r="C193" s="9" t="s">
        <v>200</v>
      </c>
      <c r="D193" s="10">
        <v>286194</v>
      </c>
      <c r="E193" s="9">
        <f>VLOOKUP(B193,'2015'!$B$2:$G$338,6,FALSE)</f>
        <v>0</v>
      </c>
      <c r="F193">
        <f t="shared" si="2"/>
        <v>0</v>
      </c>
      <c r="G193" s="2">
        <f>SUM(F193,D193)</f>
        <v>286194</v>
      </c>
    </row>
    <row r="194" spans="1:7" x14ac:dyDescent="0.2">
      <c r="A194">
        <v>2020</v>
      </c>
      <c r="B194" s="34">
        <v>5156</v>
      </c>
      <c r="C194" s="9" t="s">
        <v>201</v>
      </c>
      <c r="D194" s="10">
        <v>769631</v>
      </c>
      <c r="E194" s="9">
        <f>VLOOKUP(B194,'2015'!$B$2:$G$338,6,FALSE)</f>
        <v>0</v>
      </c>
      <c r="F194">
        <f t="shared" si="2"/>
        <v>0</v>
      </c>
      <c r="G194" s="2">
        <f>SUM(F194,D194)</f>
        <v>769631</v>
      </c>
    </row>
    <row r="195" spans="1:7" x14ac:dyDescent="0.2">
      <c r="A195">
        <v>2020</v>
      </c>
      <c r="B195" s="34">
        <v>5157</v>
      </c>
      <c r="C195" s="9" t="s">
        <v>202</v>
      </c>
      <c r="D195" s="10">
        <v>164566</v>
      </c>
      <c r="E195" s="9">
        <f>VLOOKUP(B195,'2015'!$B$2:$G$338,6,FALSE)</f>
        <v>0</v>
      </c>
      <c r="F195">
        <f t="shared" ref="F195:F258" si="3">E195*$D$341</f>
        <v>0</v>
      </c>
      <c r="G195" s="2">
        <f>SUM(F195,D195)</f>
        <v>164566</v>
      </c>
    </row>
    <row r="196" spans="1:7" x14ac:dyDescent="0.2">
      <c r="A196">
        <v>2020</v>
      </c>
      <c r="B196" s="34">
        <v>5083</v>
      </c>
      <c r="C196" s="9" t="s">
        <v>149</v>
      </c>
      <c r="D196" s="10">
        <v>339735</v>
      </c>
      <c r="E196" s="9">
        <f>VLOOKUP(B196,'2015'!$B$2:$G$338,6,FALSE)</f>
        <v>0</v>
      </c>
      <c r="F196">
        <f t="shared" si="3"/>
        <v>0</v>
      </c>
      <c r="G196" s="2">
        <f>SUM(F196,D196)</f>
        <v>339735</v>
      </c>
    </row>
    <row r="197" spans="1:7" x14ac:dyDescent="0.2">
      <c r="A197">
        <v>2020</v>
      </c>
      <c r="B197" s="34">
        <v>5159</v>
      </c>
      <c r="C197" s="9" t="s">
        <v>204</v>
      </c>
      <c r="D197" s="10">
        <v>1436203</v>
      </c>
      <c r="E197" s="9">
        <f>VLOOKUP(B197,'2015'!$B$2:$G$338,6,FALSE)</f>
        <v>0</v>
      </c>
      <c r="F197">
        <f t="shared" si="3"/>
        <v>0</v>
      </c>
      <c r="G197" s="2">
        <f>SUM(F197,D197)</f>
        <v>1436203</v>
      </c>
    </row>
    <row r="198" spans="1:7" x14ac:dyDescent="0.2">
      <c r="A198">
        <v>2020</v>
      </c>
      <c r="B198" s="34">
        <v>5160</v>
      </c>
      <c r="C198" s="9" t="s">
        <v>205</v>
      </c>
      <c r="D198" s="10">
        <v>307954</v>
      </c>
      <c r="E198" s="9">
        <f>VLOOKUP(B198,'2015'!$B$2:$G$338,6,FALSE)</f>
        <v>0</v>
      </c>
      <c r="F198">
        <f t="shared" si="3"/>
        <v>0</v>
      </c>
      <c r="G198" s="2">
        <f>SUM(F198,D198)</f>
        <v>307954</v>
      </c>
    </row>
    <row r="199" spans="1:7" x14ac:dyDescent="0.2">
      <c r="A199">
        <v>2020</v>
      </c>
      <c r="B199" s="34">
        <v>5161</v>
      </c>
      <c r="C199" s="9" t="s">
        <v>206</v>
      </c>
      <c r="D199" s="10">
        <v>446975</v>
      </c>
      <c r="E199" s="9">
        <f>VLOOKUP(B199,'2015'!$B$2:$G$338,6,FALSE)</f>
        <v>0</v>
      </c>
      <c r="F199">
        <f t="shared" si="3"/>
        <v>0</v>
      </c>
      <c r="G199" s="2">
        <f>SUM(F199,D199)</f>
        <v>446975</v>
      </c>
    </row>
    <row r="200" spans="1:7" x14ac:dyDescent="0.2">
      <c r="A200">
        <v>2020</v>
      </c>
      <c r="B200" s="34">
        <v>5162</v>
      </c>
      <c r="C200" s="9" t="s">
        <v>207</v>
      </c>
      <c r="D200" s="10">
        <v>449012</v>
      </c>
      <c r="E200" s="9">
        <f>VLOOKUP(B200,'2015'!$B$2:$G$338,6,FALSE)</f>
        <v>0</v>
      </c>
      <c r="F200">
        <f t="shared" si="3"/>
        <v>0</v>
      </c>
      <c r="G200" s="2">
        <f>SUM(F200,D200)</f>
        <v>449012</v>
      </c>
    </row>
    <row r="201" spans="1:7" x14ac:dyDescent="0.2">
      <c r="A201">
        <v>2020</v>
      </c>
      <c r="B201" s="34">
        <v>5163</v>
      </c>
      <c r="C201" s="9" t="s">
        <v>208</v>
      </c>
      <c r="D201" s="10">
        <v>314074</v>
      </c>
      <c r="E201" s="9">
        <f>VLOOKUP(B201,'2015'!$B$2:$G$338,6,FALSE)</f>
        <v>0</v>
      </c>
      <c r="F201">
        <f t="shared" si="3"/>
        <v>0</v>
      </c>
      <c r="G201" s="2">
        <f>SUM(F201,D201)</f>
        <v>314074</v>
      </c>
    </row>
    <row r="202" spans="1:7" x14ac:dyDescent="0.2">
      <c r="A202">
        <v>2020</v>
      </c>
      <c r="B202" s="34">
        <v>5164</v>
      </c>
      <c r="C202" s="9" t="s">
        <v>209</v>
      </c>
      <c r="D202" s="10">
        <v>378574</v>
      </c>
      <c r="E202" s="9">
        <f>VLOOKUP(B202,'2015'!$B$2:$G$338,6,FALSE)</f>
        <v>0</v>
      </c>
      <c r="F202">
        <f t="shared" si="3"/>
        <v>0</v>
      </c>
      <c r="G202" s="2">
        <f>SUM(F202,D202)</f>
        <v>378574</v>
      </c>
    </row>
    <row r="203" spans="1:7" x14ac:dyDescent="0.2">
      <c r="A203">
        <v>2020</v>
      </c>
      <c r="B203" s="34">
        <v>5166</v>
      </c>
      <c r="C203" s="9" t="s">
        <v>210</v>
      </c>
      <c r="D203" s="10">
        <v>264567</v>
      </c>
      <c r="E203" s="9">
        <f>VLOOKUP(B203,'2015'!$B$2:$G$338,6,FALSE)</f>
        <v>0</v>
      </c>
      <c r="F203">
        <f t="shared" si="3"/>
        <v>0</v>
      </c>
      <c r="G203" s="2">
        <f>SUM(F203,D203)</f>
        <v>264567</v>
      </c>
    </row>
    <row r="204" spans="1:7" x14ac:dyDescent="0.2">
      <c r="A204">
        <v>2020</v>
      </c>
      <c r="B204" s="34">
        <v>5167</v>
      </c>
      <c r="C204" s="9" t="s">
        <v>211</v>
      </c>
      <c r="D204" s="10">
        <v>633937</v>
      </c>
      <c r="E204" s="9">
        <f>VLOOKUP(B204,'2015'!$B$2:$G$338,6,FALSE)</f>
        <v>0</v>
      </c>
      <c r="F204">
        <f t="shared" si="3"/>
        <v>0</v>
      </c>
      <c r="G204" s="2">
        <f>SUM(F204,D204)</f>
        <v>633937</v>
      </c>
    </row>
    <row r="205" spans="1:7" x14ac:dyDescent="0.2">
      <c r="A205">
        <v>2020</v>
      </c>
      <c r="B205" s="34">
        <v>5168</v>
      </c>
      <c r="C205" s="9" t="s">
        <v>212</v>
      </c>
      <c r="D205" s="10">
        <v>673880</v>
      </c>
      <c r="E205" s="9">
        <f>VLOOKUP(B205,'2015'!$B$2:$G$338,6,FALSE)</f>
        <v>0</v>
      </c>
      <c r="F205">
        <f t="shared" si="3"/>
        <v>0</v>
      </c>
      <c r="G205" s="2">
        <f>SUM(F205,D205)</f>
        <v>673880</v>
      </c>
    </row>
    <row r="206" spans="1:7" x14ac:dyDescent="0.2">
      <c r="A206">
        <v>2020</v>
      </c>
      <c r="B206" s="34">
        <v>5171</v>
      </c>
      <c r="C206" s="9" t="s">
        <v>213</v>
      </c>
      <c r="D206" s="10">
        <v>290349</v>
      </c>
      <c r="E206" s="9">
        <f>VLOOKUP(B206,'2015'!$B$2:$G$338,6,FALSE)</f>
        <v>0</v>
      </c>
      <c r="F206">
        <f t="shared" si="3"/>
        <v>0</v>
      </c>
      <c r="G206" s="2">
        <f>SUM(F206,D206)</f>
        <v>290349</v>
      </c>
    </row>
    <row r="207" spans="1:7" x14ac:dyDescent="0.2">
      <c r="A207">
        <v>2020</v>
      </c>
      <c r="B207" s="34">
        <v>5172</v>
      </c>
      <c r="C207" s="9" t="s">
        <v>214</v>
      </c>
      <c r="D207" s="10">
        <v>780787</v>
      </c>
      <c r="E207" s="9">
        <f>VLOOKUP(B207,'2015'!$B$2:$G$338,6,FALSE)</f>
        <v>0</v>
      </c>
      <c r="F207">
        <f t="shared" si="3"/>
        <v>0</v>
      </c>
      <c r="G207" s="2">
        <f>SUM(F207,D207)</f>
        <v>780787</v>
      </c>
    </row>
    <row r="208" spans="1:7" x14ac:dyDescent="0.2">
      <c r="A208">
        <v>2020</v>
      </c>
      <c r="B208" s="34">
        <v>5173</v>
      </c>
      <c r="C208" s="9" t="s">
        <v>215</v>
      </c>
      <c r="D208" s="10">
        <v>437077</v>
      </c>
      <c r="E208" s="9">
        <f>VLOOKUP(B208,'2015'!$B$2:$G$338,6,FALSE)</f>
        <v>0</v>
      </c>
      <c r="F208">
        <f t="shared" si="3"/>
        <v>0</v>
      </c>
      <c r="G208" s="2">
        <f>SUM(F208,D208)</f>
        <v>437077</v>
      </c>
    </row>
    <row r="209" spans="1:7" x14ac:dyDescent="0.2">
      <c r="A209">
        <v>2020</v>
      </c>
      <c r="B209" s="34">
        <v>5174</v>
      </c>
      <c r="C209" s="9" t="s">
        <v>216</v>
      </c>
      <c r="D209" s="10">
        <v>666460</v>
      </c>
      <c r="E209" s="9">
        <f>VLOOKUP(B209,'2015'!$B$2:$G$338,6,FALSE)</f>
        <v>0</v>
      </c>
      <c r="F209">
        <f t="shared" si="3"/>
        <v>0</v>
      </c>
      <c r="G209" s="2">
        <f>SUM(F209,D209)</f>
        <v>666460</v>
      </c>
    </row>
    <row r="210" spans="1:7" x14ac:dyDescent="0.2">
      <c r="A210">
        <v>2020</v>
      </c>
      <c r="B210" s="34">
        <v>5175</v>
      </c>
      <c r="C210" s="9" t="s">
        <v>217</v>
      </c>
      <c r="D210" s="10">
        <v>321737</v>
      </c>
      <c r="E210" s="9">
        <f>VLOOKUP(B210,'2015'!$B$2:$G$338,6,FALSE)</f>
        <v>0</v>
      </c>
      <c r="F210">
        <f t="shared" si="3"/>
        <v>0</v>
      </c>
      <c r="G210" s="2">
        <f>SUM(F210,D210)</f>
        <v>321737</v>
      </c>
    </row>
    <row r="211" spans="1:7" x14ac:dyDescent="0.2">
      <c r="A211">
        <v>2020</v>
      </c>
      <c r="B211" s="34">
        <v>5176</v>
      </c>
      <c r="C211" s="9" t="s">
        <v>218</v>
      </c>
      <c r="D211" s="10">
        <v>2567588</v>
      </c>
      <c r="E211" s="9">
        <f>VLOOKUP(B211,'2015'!$B$2:$G$338,6,FALSE)</f>
        <v>0</v>
      </c>
      <c r="F211">
        <f t="shared" si="3"/>
        <v>0</v>
      </c>
      <c r="G211" s="2">
        <f>SUM(F211,D211)</f>
        <v>2567588</v>
      </c>
    </row>
    <row r="212" spans="1:7" x14ac:dyDescent="0.2">
      <c r="A212">
        <v>2020</v>
      </c>
      <c r="B212" s="34">
        <v>5185</v>
      </c>
      <c r="C212" s="9" t="s">
        <v>219</v>
      </c>
      <c r="D212" s="10">
        <v>23087976</v>
      </c>
      <c r="E212" s="9">
        <f>VLOOKUP(B212,'2015'!$B$2:$G$338,6,FALSE)</f>
        <v>0</v>
      </c>
      <c r="F212">
        <f t="shared" si="3"/>
        <v>0</v>
      </c>
      <c r="G212" s="2">
        <f>SUM(F212,D212)</f>
        <v>23087976</v>
      </c>
    </row>
    <row r="213" spans="1:7" x14ac:dyDescent="0.2">
      <c r="A213">
        <v>2020</v>
      </c>
      <c r="B213" s="34">
        <v>5186</v>
      </c>
      <c r="C213" s="9" t="s">
        <v>220</v>
      </c>
      <c r="D213" s="10">
        <v>429128</v>
      </c>
      <c r="E213" s="9">
        <f>VLOOKUP(B213,'2015'!$B$2:$G$338,6,FALSE)</f>
        <v>0</v>
      </c>
      <c r="F213">
        <f t="shared" si="3"/>
        <v>0</v>
      </c>
      <c r="G213" s="2">
        <f>SUM(F213,D213)</f>
        <v>429128</v>
      </c>
    </row>
    <row r="214" spans="1:7" x14ac:dyDescent="0.2">
      <c r="A214">
        <v>2020</v>
      </c>
      <c r="B214" s="34">
        <v>5187</v>
      </c>
      <c r="C214" s="9" t="s">
        <v>221</v>
      </c>
      <c r="D214" s="10">
        <v>547078</v>
      </c>
      <c r="E214" s="9">
        <f>VLOOKUP(B214,'2015'!$B$2:$G$338,6,FALSE)</f>
        <v>0</v>
      </c>
      <c r="F214">
        <f t="shared" si="3"/>
        <v>0</v>
      </c>
      <c r="G214" s="2">
        <f>SUM(F214,D214)</f>
        <v>547078</v>
      </c>
    </row>
    <row r="215" spans="1:7" x14ac:dyDescent="0.2">
      <c r="A215">
        <v>2020</v>
      </c>
      <c r="B215" s="34">
        <v>5188</v>
      </c>
      <c r="C215" s="9" t="s">
        <v>222</v>
      </c>
      <c r="D215" s="10">
        <v>310583</v>
      </c>
      <c r="E215" s="9">
        <f>VLOOKUP(B215,'2015'!$B$2:$G$338,6,FALSE)</f>
        <v>0</v>
      </c>
      <c r="F215">
        <f t="shared" si="3"/>
        <v>0</v>
      </c>
      <c r="G215" s="2">
        <f>SUM(F215,D215)</f>
        <v>310583</v>
      </c>
    </row>
    <row r="216" spans="1:7" x14ac:dyDescent="0.2">
      <c r="A216">
        <v>2020</v>
      </c>
      <c r="B216" s="34">
        <v>5189</v>
      </c>
      <c r="C216" s="9" t="s">
        <v>223</v>
      </c>
      <c r="D216" s="10">
        <v>104234</v>
      </c>
      <c r="E216" s="9">
        <f>VLOOKUP(B216,'2015'!$B$2:$G$338,6,FALSE)</f>
        <v>0</v>
      </c>
      <c r="F216">
        <f t="shared" si="3"/>
        <v>0</v>
      </c>
      <c r="G216" s="2">
        <f>SUM(F216,D216)</f>
        <v>104234</v>
      </c>
    </row>
    <row r="217" spans="1:7" x14ac:dyDescent="0.2">
      <c r="A217">
        <v>2020</v>
      </c>
      <c r="B217" s="34">
        <v>5190</v>
      </c>
      <c r="C217" s="9" t="s">
        <v>224</v>
      </c>
      <c r="D217" s="10">
        <v>326603</v>
      </c>
      <c r="E217" s="9">
        <f>VLOOKUP(B217,'2015'!$B$2:$G$338,6,FALSE)</f>
        <v>0</v>
      </c>
      <c r="F217">
        <f t="shared" si="3"/>
        <v>0</v>
      </c>
      <c r="G217" s="2">
        <f>SUM(F217,D217)</f>
        <v>326603</v>
      </c>
    </row>
    <row r="218" spans="1:7" x14ac:dyDescent="0.2">
      <c r="A218">
        <v>2020</v>
      </c>
      <c r="B218" s="34">
        <v>5191</v>
      </c>
      <c r="C218" s="9" t="s">
        <v>225</v>
      </c>
      <c r="D218" s="10">
        <v>1072505</v>
      </c>
      <c r="E218" s="9">
        <f>VLOOKUP(B218,'2015'!$B$2:$G$338,6,FALSE)</f>
        <v>0</v>
      </c>
      <c r="F218">
        <f t="shared" si="3"/>
        <v>0</v>
      </c>
      <c r="G218" s="2">
        <f>SUM(F218,D218)</f>
        <v>1072505</v>
      </c>
    </row>
    <row r="219" spans="1:7" x14ac:dyDescent="0.2">
      <c r="A219">
        <v>2020</v>
      </c>
      <c r="B219" s="34">
        <v>5192</v>
      </c>
      <c r="C219" s="9" t="s">
        <v>226</v>
      </c>
      <c r="D219" s="10">
        <v>359967</v>
      </c>
      <c r="E219" s="9">
        <f>VLOOKUP(B219,'2015'!$B$2:$G$338,6,FALSE)</f>
        <v>0</v>
      </c>
      <c r="F219">
        <f t="shared" si="3"/>
        <v>0</v>
      </c>
      <c r="G219" s="2">
        <f>SUM(F219,D219)</f>
        <v>359967</v>
      </c>
    </row>
    <row r="220" spans="1:7" x14ac:dyDescent="0.2">
      <c r="A220">
        <v>2020</v>
      </c>
      <c r="B220" s="34">
        <v>5193</v>
      </c>
      <c r="C220" s="9" t="s">
        <v>227</v>
      </c>
      <c r="D220" s="10">
        <v>1780514</v>
      </c>
      <c r="E220" s="9">
        <f>VLOOKUP(B220,'2015'!$B$2:$G$338,6,FALSE)</f>
        <v>0</v>
      </c>
      <c r="F220">
        <f t="shared" si="3"/>
        <v>0</v>
      </c>
      <c r="G220" s="2">
        <f>SUM(F220,D220)</f>
        <v>1780514</v>
      </c>
    </row>
    <row r="221" spans="1:7" x14ac:dyDescent="0.2">
      <c r="A221">
        <v>2020</v>
      </c>
      <c r="B221" s="34">
        <v>5195</v>
      </c>
      <c r="C221" s="9" t="s">
        <v>228</v>
      </c>
      <c r="D221" s="10">
        <v>772310</v>
      </c>
      <c r="E221" s="9">
        <f>VLOOKUP(B221,'2015'!$B$2:$G$338,6,FALSE)</f>
        <v>0</v>
      </c>
      <c r="F221">
        <f t="shared" si="3"/>
        <v>0</v>
      </c>
      <c r="G221" s="2">
        <f>SUM(F221,D221)</f>
        <v>772310</v>
      </c>
    </row>
    <row r="222" spans="1:7" x14ac:dyDescent="0.2">
      <c r="A222">
        <v>2020</v>
      </c>
      <c r="B222" s="34">
        <v>5196</v>
      </c>
      <c r="C222" s="9" t="s">
        <v>229</v>
      </c>
      <c r="D222" s="10">
        <v>592698</v>
      </c>
      <c r="E222" s="9">
        <f>VLOOKUP(B222,'2015'!$B$2:$G$338,6,FALSE)</f>
        <v>0</v>
      </c>
      <c r="F222">
        <f t="shared" si="3"/>
        <v>0</v>
      </c>
      <c r="G222" s="2">
        <f>SUM(F222,D222)</f>
        <v>592698</v>
      </c>
    </row>
    <row r="223" spans="1:7" x14ac:dyDescent="0.2">
      <c r="A223">
        <v>2020</v>
      </c>
      <c r="B223" s="34">
        <v>5197</v>
      </c>
      <c r="C223" s="9" t="s">
        <v>230</v>
      </c>
      <c r="D223" s="10">
        <v>308201</v>
      </c>
      <c r="E223" s="9">
        <f>VLOOKUP(B223,'2015'!$B$2:$G$338,6,FALSE)</f>
        <v>0</v>
      </c>
      <c r="F223">
        <f t="shared" si="3"/>
        <v>0</v>
      </c>
      <c r="G223" s="2">
        <f>SUM(F223,D223)</f>
        <v>308201</v>
      </c>
    </row>
    <row r="224" spans="1:7" x14ac:dyDescent="0.2">
      <c r="A224">
        <v>2020</v>
      </c>
      <c r="B224" s="34">
        <v>5198</v>
      </c>
      <c r="C224" s="9" t="s">
        <v>231</v>
      </c>
      <c r="D224" s="10">
        <v>1529227</v>
      </c>
      <c r="E224" s="9">
        <f>VLOOKUP(B224,'2015'!$B$2:$G$338,6,FALSE)</f>
        <v>0</v>
      </c>
      <c r="F224">
        <f t="shared" si="3"/>
        <v>0</v>
      </c>
      <c r="G224" s="2">
        <f>SUM(F224,D224)</f>
        <v>1529227</v>
      </c>
    </row>
    <row r="225" spans="1:7" x14ac:dyDescent="0.2">
      <c r="A225">
        <v>2020</v>
      </c>
      <c r="B225" s="34">
        <v>5199</v>
      </c>
      <c r="C225" s="9" t="s">
        <v>232</v>
      </c>
      <c r="D225" s="10">
        <v>453970</v>
      </c>
      <c r="E225" s="9">
        <f>VLOOKUP(B225,'2015'!$B$2:$G$338,6,FALSE)</f>
        <v>0</v>
      </c>
      <c r="F225">
        <f t="shared" si="3"/>
        <v>0</v>
      </c>
      <c r="G225" s="2">
        <f>SUM(F225,D225)</f>
        <v>453970</v>
      </c>
    </row>
    <row r="226" spans="1:7" x14ac:dyDescent="0.2">
      <c r="A226">
        <v>2020</v>
      </c>
      <c r="B226" s="34">
        <v>5200</v>
      </c>
      <c r="C226" s="9" t="s">
        <v>233</v>
      </c>
      <c r="D226" s="10">
        <v>1096321</v>
      </c>
      <c r="E226" s="9">
        <f>VLOOKUP(B226,'2015'!$B$2:$G$338,6,FALSE)</f>
        <v>0</v>
      </c>
      <c r="F226">
        <f t="shared" si="3"/>
        <v>0</v>
      </c>
      <c r="G226" s="2">
        <f>SUM(F226,D226)</f>
        <v>1096321</v>
      </c>
    </row>
    <row r="227" spans="1:7" x14ac:dyDescent="0.2">
      <c r="A227">
        <v>2020</v>
      </c>
      <c r="B227" s="34">
        <v>5201</v>
      </c>
      <c r="C227" s="9" t="s">
        <v>234</v>
      </c>
      <c r="D227" s="10">
        <v>239196</v>
      </c>
      <c r="E227" s="9">
        <f>VLOOKUP(B227,'2015'!$B$2:$G$338,6,FALSE)</f>
        <v>0</v>
      </c>
      <c r="F227">
        <f t="shared" si="3"/>
        <v>0</v>
      </c>
      <c r="G227" s="2">
        <f>SUM(F227,D227)</f>
        <v>239196</v>
      </c>
    </row>
    <row r="228" spans="1:7" x14ac:dyDescent="0.2">
      <c r="A228">
        <v>2020</v>
      </c>
      <c r="B228" s="34">
        <v>5202</v>
      </c>
      <c r="C228" s="9" t="s">
        <v>235</v>
      </c>
      <c r="D228" s="10">
        <v>285399</v>
      </c>
      <c r="E228" s="9">
        <f>VLOOKUP(B228,'2015'!$B$2:$G$338,6,FALSE)</f>
        <v>0</v>
      </c>
      <c r="F228">
        <f t="shared" si="3"/>
        <v>0</v>
      </c>
      <c r="G228" s="2">
        <f>SUM(F228,D228)</f>
        <v>285399</v>
      </c>
    </row>
    <row r="229" spans="1:7" x14ac:dyDescent="0.2">
      <c r="A229">
        <v>2020</v>
      </c>
      <c r="B229" s="34">
        <v>5203</v>
      </c>
      <c r="C229" s="9" t="s">
        <v>236</v>
      </c>
      <c r="D229" s="10">
        <v>799143</v>
      </c>
      <c r="E229" s="9">
        <f>VLOOKUP(B229,'2015'!$B$2:$G$338,6,FALSE)</f>
        <v>0</v>
      </c>
      <c r="F229">
        <f t="shared" si="3"/>
        <v>0</v>
      </c>
      <c r="G229" s="2">
        <f>SUM(F229,D229)</f>
        <v>799143</v>
      </c>
    </row>
    <row r="230" spans="1:7" x14ac:dyDescent="0.2">
      <c r="A230">
        <v>2020</v>
      </c>
      <c r="B230" s="34">
        <v>5204</v>
      </c>
      <c r="C230" s="9" t="s">
        <v>237</v>
      </c>
      <c r="D230" s="10">
        <v>1171279</v>
      </c>
      <c r="E230" s="9">
        <f>VLOOKUP(B230,'2015'!$B$2:$G$338,6,FALSE)</f>
        <v>0</v>
      </c>
      <c r="F230">
        <f t="shared" si="3"/>
        <v>0</v>
      </c>
      <c r="G230" s="2">
        <f>SUM(F230,D230)</f>
        <v>1171279</v>
      </c>
    </row>
    <row r="231" spans="1:7" x14ac:dyDescent="0.2">
      <c r="A231">
        <v>2020</v>
      </c>
      <c r="B231" s="34">
        <v>5205</v>
      </c>
      <c r="C231" s="9" t="s">
        <v>238</v>
      </c>
      <c r="D231" s="10">
        <v>508692</v>
      </c>
      <c r="E231" s="9">
        <f>VLOOKUP(B231,'2015'!$B$2:$G$338,6,FALSE)</f>
        <v>0</v>
      </c>
      <c r="F231">
        <f t="shared" si="3"/>
        <v>0</v>
      </c>
      <c r="G231" s="2">
        <f>SUM(F231,D231)</f>
        <v>508692</v>
      </c>
    </row>
    <row r="232" spans="1:7" x14ac:dyDescent="0.2">
      <c r="A232">
        <v>2020</v>
      </c>
      <c r="B232" s="34">
        <v>5206</v>
      </c>
      <c r="C232" s="9" t="s">
        <v>239</v>
      </c>
      <c r="D232" s="10">
        <v>563888</v>
      </c>
      <c r="E232" s="9">
        <f>VLOOKUP(B232,'2015'!$B$2:$G$338,6,FALSE)</f>
        <v>0</v>
      </c>
      <c r="F232">
        <f t="shared" si="3"/>
        <v>0</v>
      </c>
      <c r="G232" s="2">
        <f>SUM(F232,D232)</f>
        <v>563888</v>
      </c>
    </row>
    <row r="233" spans="1:7" x14ac:dyDescent="0.2">
      <c r="A233">
        <v>2020</v>
      </c>
      <c r="B233" s="34">
        <v>5207</v>
      </c>
      <c r="C233" s="9" t="s">
        <v>240</v>
      </c>
      <c r="D233" s="10">
        <v>1186270</v>
      </c>
      <c r="E233" s="9">
        <f>VLOOKUP(B233,'2015'!$B$2:$G$338,6,FALSE)</f>
        <v>0</v>
      </c>
      <c r="F233">
        <f t="shared" si="3"/>
        <v>0</v>
      </c>
      <c r="G233" s="2">
        <f>SUM(F233,D233)</f>
        <v>1186270</v>
      </c>
    </row>
    <row r="234" spans="1:7" x14ac:dyDescent="0.2">
      <c r="A234">
        <v>2020</v>
      </c>
      <c r="B234" s="34">
        <v>5208</v>
      </c>
      <c r="C234" s="9" t="s">
        <v>241</v>
      </c>
      <c r="D234" s="10">
        <v>389776</v>
      </c>
      <c r="E234" s="9">
        <f>VLOOKUP(B234,'2015'!$B$2:$G$338,6,FALSE)</f>
        <v>0</v>
      </c>
      <c r="F234">
        <f t="shared" si="3"/>
        <v>0</v>
      </c>
      <c r="G234" s="2">
        <f>SUM(F234,D234)</f>
        <v>389776</v>
      </c>
    </row>
    <row r="235" spans="1:7" x14ac:dyDescent="0.2">
      <c r="A235">
        <v>2020</v>
      </c>
      <c r="B235" s="34">
        <v>5210</v>
      </c>
      <c r="C235" s="9" t="s">
        <v>242</v>
      </c>
      <c r="D235" s="10">
        <v>3691530</v>
      </c>
      <c r="E235" s="9">
        <f>VLOOKUP(B235,'2015'!$B$2:$G$338,6,FALSE)</f>
        <v>0</v>
      </c>
      <c r="F235">
        <f t="shared" si="3"/>
        <v>0</v>
      </c>
      <c r="G235" s="2">
        <f>SUM(F235,D235)</f>
        <v>3691530</v>
      </c>
    </row>
    <row r="236" spans="1:7" x14ac:dyDescent="0.2">
      <c r="A236">
        <v>2020</v>
      </c>
      <c r="B236" s="34">
        <v>5212</v>
      </c>
      <c r="C236" s="9" t="s">
        <v>243</v>
      </c>
      <c r="D236" s="10">
        <v>886526</v>
      </c>
      <c r="E236" s="9">
        <f>VLOOKUP(B236,'2015'!$B$2:$G$338,6,FALSE)</f>
        <v>0</v>
      </c>
      <c r="F236">
        <f t="shared" si="3"/>
        <v>0</v>
      </c>
      <c r="G236" s="2">
        <f>SUM(F236,D236)</f>
        <v>886526</v>
      </c>
    </row>
    <row r="237" spans="1:7" x14ac:dyDescent="0.2">
      <c r="A237">
        <v>2020</v>
      </c>
      <c r="B237" s="34">
        <v>5213</v>
      </c>
      <c r="C237" s="9" t="s">
        <v>244</v>
      </c>
      <c r="D237" s="10">
        <v>729212</v>
      </c>
      <c r="E237" s="9">
        <f>VLOOKUP(B237,'2015'!$B$2:$G$338,6,FALSE)</f>
        <v>0</v>
      </c>
      <c r="F237">
        <f t="shared" si="3"/>
        <v>0</v>
      </c>
      <c r="G237" s="2">
        <f>SUM(F237,D237)</f>
        <v>729212</v>
      </c>
    </row>
    <row r="238" spans="1:7" x14ac:dyDescent="0.2">
      <c r="A238">
        <v>2020</v>
      </c>
      <c r="B238" s="34">
        <v>5214</v>
      </c>
      <c r="C238" s="9" t="s">
        <v>245</v>
      </c>
      <c r="D238" s="10">
        <v>3566237</v>
      </c>
      <c r="E238" s="9">
        <f>VLOOKUP(B238,'2015'!$B$2:$G$338,6,FALSE)</f>
        <v>0</v>
      </c>
      <c r="F238">
        <f t="shared" si="3"/>
        <v>0</v>
      </c>
      <c r="G238" s="2">
        <f>SUM(F238,D238)</f>
        <v>3566237</v>
      </c>
    </row>
    <row r="239" spans="1:7" x14ac:dyDescent="0.2">
      <c r="A239">
        <v>2020</v>
      </c>
      <c r="B239" s="34">
        <v>5215</v>
      </c>
      <c r="C239" s="9" t="s">
        <v>246</v>
      </c>
      <c r="D239" s="10">
        <v>881443</v>
      </c>
      <c r="E239" s="9">
        <f>VLOOKUP(B239,'2015'!$B$2:$G$338,6,FALSE)</f>
        <v>0</v>
      </c>
      <c r="F239">
        <f t="shared" si="3"/>
        <v>0</v>
      </c>
      <c r="G239" s="2">
        <f>SUM(F239,D239)</f>
        <v>881443</v>
      </c>
    </row>
    <row r="240" spans="1:7" x14ac:dyDescent="0.2">
      <c r="A240">
        <v>2020</v>
      </c>
      <c r="B240" s="34">
        <v>5216</v>
      </c>
      <c r="C240" s="9" t="s">
        <v>299</v>
      </c>
      <c r="D240" s="10">
        <v>944989</v>
      </c>
      <c r="E240" s="9">
        <f>VLOOKUP(B240,'2015'!$B$2:$G$338,6,FALSE)</f>
        <v>0</v>
      </c>
      <c r="F240">
        <f t="shared" si="3"/>
        <v>0</v>
      </c>
      <c r="G240" s="2">
        <f>SUM(F240,D240)</f>
        <v>944989</v>
      </c>
    </row>
    <row r="241" spans="1:7" x14ac:dyDescent="0.2">
      <c r="A241">
        <v>2020</v>
      </c>
      <c r="B241" s="34">
        <v>5217</v>
      </c>
      <c r="C241" s="9" t="s">
        <v>248</v>
      </c>
      <c r="D241" s="10">
        <v>138398</v>
      </c>
      <c r="E241" s="9">
        <f>VLOOKUP(B241,'2015'!$B$2:$G$338,6,FALSE)</f>
        <v>0</v>
      </c>
      <c r="F241">
        <f t="shared" si="3"/>
        <v>0</v>
      </c>
      <c r="G241" s="2">
        <f>SUM(F241,D241)</f>
        <v>138398</v>
      </c>
    </row>
    <row r="242" spans="1:7" x14ac:dyDescent="0.2">
      <c r="A242">
        <v>2020</v>
      </c>
      <c r="B242" s="34">
        <v>5218</v>
      </c>
      <c r="C242" s="9" t="s">
        <v>249</v>
      </c>
      <c r="D242" s="10">
        <v>327922</v>
      </c>
      <c r="E242" s="9">
        <f>VLOOKUP(B242,'2015'!$B$2:$G$338,6,FALSE)</f>
        <v>0</v>
      </c>
      <c r="F242">
        <f t="shared" si="3"/>
        <v>0</v>
      </c>
      <c r="G242" s="2">
        <f>SUM(F242,D242)</f>
        <v>327922</v>
      </c>
    </row>
    <row r="243" spans="1:7" x14ac:dyDescent="0.2">
      <c r="A243">
        <v>2020</v>
      </c>
      <c r="B243" s="34">
        <v>5219</v>
      </c>
      <c r="C243" s="9" t="s">
        <v>250</v>
      </c>
      <c r="D243" s="10">
        <v>229043</v>
      </c>
      <c r="E243" s="9">
        <f>VLOOKUP(B243,'2015'!$B$2:$G$338,6,FALSE)</f>
        <v>0</v>
      </c>
      <c r="F243">
        <f t="shared" si="3"/>
        <v>0</v>
      </c>
      <c r="G243" s="2">
        <f>SUM(F243,D243)</f>
        <v>229043</v>
      </c>
    </row>
    <row r="244" spans="1:7" x14ac:dyDescent="0.2">
      <c r="A244">
        <v>2020</v>
      </c>
      <c r="B244" s="34">
        <v>5220</v>
      </c>
      <c r="C244" s="9" t="s">
        <v>251</v>
      </c>
      <c r="D244" s="10">
        <v>479492</v>
      </c>
      <c r="E244" s="9">
        <f>VLOOKUP(B244,'2015'!$B$2:$G$338,6,FALSE)</f>
        <v>0</v>
      </c>
      <c r="F244">
        <f t="shared" si="3"/>
        <v>0</v>
      </c>
      <c r="G244" s="2">
        <f>SUM(F244,D244)</f>
        <v>479492</v>
      </c>
    </row>
    <row r="245" spans="1:7" x14ac:dyDescent="0.2">
      <c r="A245">
        <v>2020</v>
      </c>
      <c r="B245" s="34">
        <v>5222</v>
      </c>
      <c r="C245" s="9" t="s">
        <v>252</v>
      </c>
      <c r="D245" s="10">
        <v>410064</v>
      </c>
      <c r="E245" s="9">
        <f>VLOOKUP(B245,'2015'!$B$2:$G$338,6,FALSE)</f>
        <v>0</v>
      </c>
      <c r="F245">
        <f t="shared" si="3"/>
        <v>0</v>
      </c>
      <c r="G245" s="2">
        <f>SUM(F245,D245)</f>
        <v>410064</v>
      </c>
    </row>
    <row r="246" spans="1:7" x14ac:dyDescent="0.2">
      <c r="A246">
        <v>2020</v>
      </c>
      <c r="B246" s="34">
        <v>5223</v>
      </c>
      <c r="C246" s="9" t="s">
        <v>253</v>
      </c>
      <c r="D246" s="10">
        <v>426034</v>
      </c>
      <c r="E246" s="9">
        <f>VLOOKUP(B246,'2015'!$B$2:$G$338,6,FALSE)</f>
        <v>0</v>
      </c>
      <c r="F246">
        <f t="shared" si="3"/>
        <v>0</v>
      </c>
      <c r="G246" s="2">
        <f>SUM(F246,D246)</f>
        <v>426034</v>
      </c>
    </row>
    <row r="247" spans="1:7" x14ac:dyDescent="0.2">
      <c r="A247">
        <v>2020</v>
      </c>
      <c r="B247" s="34">
        <v>5226</v>
      </c>
      <c r="C247" s="9" t="s">
        <v>254</v>
      </c>
      <c r="D247" s="10">
        <v>257039</v>
      </c>
      <c r="E247" s="9">
        <f>VLOOKUP(B247,'2015'!$B$2:$G$338,6,FALSE)</f>
        <v>0</v>
      </c>
      <c r="F247">
        <f t="shared" si="3"/>
        <v>0</v>
      </c>
      <c r="G247" s="2">
        <f>SUM(F247,D247)</f>
        <v>257039</v>
      </c>
    </row>
    <row r="248" spans="1:7" x14ac:dyDescent="0.2">
      <c r="A248">
        <v>2020</v>
      </c>
      <c r="B248" s="34">
        <v>5227</v>
      </c>
      <c r="C248" s="9" t="s">
        <v>255</v>
      </c>
      <c r="D248" s="10">
        <v>84254</v>
      </c>
      <c r="E248" s="9">
        <f>VLOOKUP(B248,'2015'!$B$2:$G$338,6,FALSE)</f>
        <v>0</v>
      </c>
      <c r="F248">
        <f t="shared" si="3"/>
        <v>0</v>
      </c>
      <c r="G248" s="2">
        <f>SUM(F248,D248)</f>
        <v>84254</v>
      </c>
    </row>
    <row r="249" spans="1:7" x14ac:dyDescent="0.2">
      <c r="A249">
        <v>2020</v>
      </c>
      <c r="B249" s="34">
        <v>5228</v>
      </c>
      <c r="C249" s="9" t="s">
        <v>256</v>
      </c>
      <c r="D249" s="10">
        <v>175828</v>
      </c>
      <c r="E249" s="9">
        <f>VLOOKUP(B249,'2015'!$B$2:$G$338,6,FALSE)</f>
        <v>0</v>
      </c>
      <c r="F249">
        <f t="shared" si="3"/>
        <v>0</v>
      </c>
      <c r="G249" s="2">
        <f>SUM(F249,D249)</f>
        <v>175828</v>
      </c>
    </row>
    <row r="250" spans="1:7" x14ac:dyDescent="0.2">
      <c r="A250">
        <v>2020</v>
      </c>
      <c r="B250" s="34">
        <v>5158</v>
      </c>
      <c r="C250" s="9" t="s">
        <v>203</v>
      </c>
      <c r="D250" s="10">
        <v>823639</v>
      </c>
      <c r="E250" s="9">
        <f>VLOOKUP(B250,'2015'!$B$2:$G$338,6,FALSE)</f>
        <v>0</v>
      </c>
      <c r="F250">
        <f t="shared" si="3"/>
        <v>0</v>
      </c>
      <c r="G250" s="2">
        <f>SUM(F250,D250)</f>
        <v>823639</v>
      </c>
    </row>
    <row r="251" spans="1:7" x14ac:dyDescent="0.2">
      <c r="A251">
        <v>2020</v>
      </c>
      <c r="B251" s="34">
        <v>5230</v>
      </c>
      <c r="C251" s="9" t="s">
        <v>258</v>
      </c>
      <c r="D251" s="10">
        <v>729131</v>
      </c>
      <c r="E251" s="9">
        <f>VLOOKUP(B251,'2015'!$B$2:$G$338,6,FALSE)</f>
        <v>0</v>
      </c>
      <c r="F251">
        <f t="shared" si="3"/>
        <v>0</v>
      </c>
      <c r="G251" s="2">
        <f>SUM(F251,D251)</f>
        <v>729131</v>
      </c>
    </row>
    <row r="252" spans="1:7" x14ac:dyDescent="0.2">
      <c r="A252">
        <v>2020</v>
      </c>
      <c r="B252" s="34">
        <v>5231</v>
      </c>
      <c r="C252" s="9" t="s">
        <v>259</v>
      </c>
      <c r="D252" s="10">
        <v>1623063</v>
      </c>
      <c r="E252" s="9">
        <f>VLOOKUP(B252,'2015'!$B$2:$G$338,6,FALSE)</f>
        <v>0</v>
      </c>
      <c r="F252">
        <f t="shared" si="3"/>
        <v>0</v>
      </c>
      <c r="G252" s="2">
        <f>SUM(F252,D252)</f>
        <v>1623063</v>
      </c>
    </row>
    <row r="253" spans="1:7" x14ac:dyDescent="0.2">
      <c r="A253">
        <v>2020</v>
      </c>
      <c r="B253" s="34">
        <v>5233</v>
      </c>
      <c r="C253" s="9" t="s">
        <v>260</v>
      </c>
      <c r="D253" s="10">
        <v>6057467</v>
      </c>
      <c r="E253" s="9">
        <f>VLOOKUP(B253,'2015'!$B$2:$G$338,6,FALSE)</f>
        <v>0</v>
      </c>
      <c r="F253">
        <f t="shared" si="3"/>
        <v>0</v>
      </c>
      <c r="G253" s="2">
        <f>SUM(F253,D253)</f>
        <v>6057467</v>
      </c>
    </row>
    <row r="254" spans="1:7" x14ac:dyDescent="0.2">
      <c r="A254">
        <v>2020</v>
      </c>
      <c r="B254" s="34">
        <v>5235</v>
      </c>
      <c r="C254" s="9" t="s">
        <v>261</v>
      </c>
      <c r="D254" s="10">
        <v>244024</v>
      </c>
      <c r="E254" s="9">
        <f>VLOOKUP(B254,'2015'!$B$2:$G$338,6,FALSE)</f>
        <v>0</v>
      </c>
      <c r="F254">
        <f t="shared" si="3"/>
        <v>0</v>
      </c>
      <c r="G254" s="2">
        <f>SUM(F254,D254)</f>
        <v>244024</v>
      </c>
    </row>
    <row r="255" spans="1:7" x14ac:dyDescent="0.2">
      <c r="A255">
        <v>2020</v>
      </c>
      <c r="B255" s="34">
        <v>5236</v>
      </c>
      <c r="C255" s="9" t="s">
        <v>262</v>
      </c>
      <c r="D255" s="10">
        <v>558749</v>
      </c>
      <c r="E255" s="9">
        <f>VLOOKUP(B255,'2015'!$B$2:$G$338,6,FALSE)</f>
        <v>0</v>
      </c>
      <c r="F255">
        <f t="shared" si="3"/>
        <v>0</v>
      </c>
      <c r="G255" s="2">
        <f>SUM(F255,D255)</f>
        <v>558749</v>
      </c>
    </row>
    <row r="256" spans="1:7" x14ac:dyDescent="0.2">
      <c r="A256">
        <v>2020</v>
      </c>
      <c r="B256" s="34">
        <v>5237</v>
      </c>
      <c r="C256" s="9" t="s">
        <v>263</v>
      </c>
      <c r="D256" s="10">
        <v>248332</v>
      </c>
      <c r="E256" s="9">
        <f>VLOOKUP(B256,'2015'!$B$2:$G$338,6,FALSE)</f>
        <v>0</v>
      </c>
      <c r="F256">
        <f t="shared" si="3"/>
        <v>0</v>
      </c>
      <c r="G256" s="2">
        <f>SUM(F256,D256)</f>
        <v>248332</v>
      </c>
    </row>
    <row r="257" spans="1:7" x14ac:dyDescent="0.2">
      <c r="A257">
        <v>2020</v>
      </c>
      <c r="B257" s="34">
        <v>5238</v>
      </c>
      <c r="C257" s="9" t="s">
        <v>264</v>
      </c>
      <c r="D257" s="10">
        <v>246673</v>
      </c>
      <c r="E257" s="9">
        <f>VLOOKUP(B257,'2015'!$B$2:$G$338,6,FALSE)</f>
        <v>0</v>
      </c>
      <c r="F257">
        <f t="shared" si="3"/>
        <v>0</v>
      </c>
      <c r="G257" s="2">
        <f>SUM(F257,D257)</f>
        <v>246673</v>
      </c>
    </row>
    <row r="258" spans="1:7" x14ac:dyDescent="0.2">
      <c r="A258">
        <v>2020</v>
      </c>
      <c r="B258" s="34">
        <v>5239</v>
      </c>
      <c r="C258" s="9" t="s">
        <v>265</v>
      </c>
      <c r="D258" s="10">
        <v>181657</v>
      </c>
      <c r="E258" s="9">
        <f>VLOOKUP(B258,'2015'!$B$2:$G$338,6,FALSE)</f>
        <v>0</v>
      </c>
      <c r="F258">
        <f t="shared" si="3"/>
        <v>0</v>
      </c>
      <c r="G258" s="2">
        <f>SUM(F258,D258)</f>
        <v>181657</v>
      </c>
    </row>
    <row r="259" spans="1:7" x14ac:dyDescent="0.2">
      <c r="A259">
        <v>2020</v>
      </c>
      <c r="B259" s="34">
        <v>5240</v>
      </c>
      <c r="C259" s="9" t="s">
        <v>266</v>
      </c>
      <c r="D259" s="10">
        <v>457609</v>
      </c>
      <c r="E259" s="9">
        <f>VLOOKUP(B259,'2015'!$B$2:$G$338,6,FALSE)</f>
        <v>0</v>
      </c>
      <c r="F259">
        <f t="shared" ref="F259:F322" si="4">E259*$D$341</f>
        <v>0</v>
      </c>
      <c r="G259" s="2">
        <f>SUM(F259,D259)</f>
        <v>457609</v>
      </c>
    </row>
    <row r="260" spans="1:7" x14ac:dyDescent="0.2">
      <c r="A260">
        <v>2020</v>
      </c>
      <c r="B260" s="34">
        <v>5241</v>
      </c>
      <c r="C260" s="9" t="s">
        <v>362</v>
      </c>
      <c r="D260" s="10">
        <v>265110</v>
      </c>
      <c r="E260" s="9">
        <f>VLOOKUP(B260,'2015'!$B$2:$G$338,6,FALSE)</f>
        <v>0</v>
      </c>
      <c r="F260">
        <f t="shared" si="4"/>
        <v>0</v>
      </c>
      <c r="G260" s="2">
        <f>SUM(F260,D260)</f>
        <v>265110</v>
      </c>
    </row>
    <row r="261" spans="1:7" x14ac:dyDescent="0.2">
      <c r="A261">
        <v>2020</v>
      </c>
      <c r="B261" s="34">
        <v>5250</v>
      </c>
      <c r="C261" s="9" t="s">
        <v>268</v>
      </c>
      <c r="D261" s="10">
        <v>641504</v>
      </c>
      <c r="E261" s="9">
        <f>VLOOKUP(B261,'2015'!$B$2:$G$338,6,FALSE)</f>
        <v>0</v>
      </c>
      <c r="F261">
        <f t="shared" si="4"/>
        <v>0</v>
      </c>
      <c r="G261" s="2">
        <f>SUM(F261,D261)</f>
        <v>641504</v>
      </c>
    </row>
    <row r="262" spans="1:7" x14ac:dyDescent="0.2">
      <c r="A262">
        <v>2020</v>
      </c>
      <c r="B262" s="34">
        <v>5251</v>
      </c>
      <c r="C262" s="9" t="s">
        <v>269</v>
      </c>
      <c r="D262" s="10">
        <v>220596</v>
      </c>
      <c r="E262" s="9">
        <f>VLOOKUP(B262,'2015'!$B$2:$G$338,6,FALSE)</f>
        <v>0</v>
      </c>
      <c r="F262">
        <f t="shared" si="4"/>
        <v>0</v>
      </c>
      <c r="G262" s="2">
        <f>SUM(F262,D262)</f>
        <v>220596</v>
      </c>
    </row>
    <row r="263" spans="1:7" x14ac:dyDescent="0.2">
      <c r="A263">
        <v>2020</v>
      </c>
      <c r="B263" s="34">
        <v>5267</v>
      </c>
      <c r="C263" s="9" t="s">
        <v>270</v>
      </c>
      <c r="D263" s="10">
        <v>254864</v>
      </c>
      <c r="E263" s="9">
        <f>VLOOKUP(B263,'2015'!$B$2:$G$338,6,FALSE)</f>
        <v>0</v>
      </c>
      <c r="F263">
        <f t="shared" si="4"/>
        <v>0</v>
      </c>
      <c r="G263" s="2">
        <f>SUM(F263,D263)</f>
        <v>254864</v>
      </c>
    </row>
    <row r="264" spans="1:7" x14ac:dyDescent="0.2">
      <c r="A264">
        <v>2020</v>
      </c>
      <c r="B264" s="34">
        <v>5268</v>
      </c>
      <c r="C264" s="9" t="s">
        <v>271</v>
      </c>
      <c r="D264" s="10">
        <v>250475</v>
      </c>
      <c r="E264" s="9">
        <f>VLOOKUP(B264,'2015'!$B$2:$G$338,6,FALSE)</f>
        <v>0</v>
      </c>
      <c r="F264">
        <f t="shared" si="4"/>
        <v>0</v>
      </c>
      <c r="G264" s="2">
        <f>SUM(F264,D264)</f>
        <v>250475</v>
      </c>
    </row>
    <row r="265" spans="1:7" x14ac:dyDescent="0.2">
      <c r="A265">
        <v>2020</v>
      </c>
      <c r="B265" s="34">
        <v>5270</v>
      </c>
      <c r="C265" s="9" t="s">
        <v>272</v>
      </c>
      <c r="D265" s="10">
        <v>349886</v>
      </c>
      <c r="E265" s="9">
        <f>VLOOKUP(B265,'2015'!$B$2:$G$338,6,FALSE)</f>
        <v>0</v>
      </c>
      <c r="F265">
        <f t="shared" si="4"/>
        <v>0</v>
      </c>
      <c r="G265" s="2">
        <f>SUM(F265,D265)</f>
        <v>349886</v>
      </c>
    </row>
    <row r="266" spans="1:7" x14ac:dyDescent="0.2">
      <c r="A266">
        <v>2020</v>
      </c>
      <c r="B266" s="34">
        <v>5271</v>
      </c>
      <c r="C266" s="9" t="s">
        <v>273</v>
      </c>
      <c r="D266" s="10">
        <v>156200</v>
      </c>
      <c r="E266" s="9">
        <f>VLOOKUP(B266,'2015'!$B$2:$G$338,6,FALSE)</f>
        <v>0</v>
      </c>
      <c r="F266">
        <f t="shared" si="4"/>
        <v>0</v>
      </c>
      <c r="G266" s="2">
        <f>SUM(F266,D266)</f>
        <v>156200</v>
      </c>
    </row>
    <row r="267" spans="1:7" x14ac:dyDescent="0.2">
      <c r="A267">
        <v>2020</v>
      </c>
      <c r="B267" s="34">
        <v>5272</v>
      </c>
      <c r="C267" s="9" t="s">
        <v>274</v>
      </c>
      <c r="D267" s="10">
        <v>3623727</v>
      </c>
      <c r="E267" s="9">
        <f>VLOOKUP(B267,'2015'!$B$2:$G$338,6,FALSE)</f>
        <v>0</v>
      </c>
      <c r="F267">
        <f t="shared" si="4"/>
        <v>0</v>
      </c>
      <c r="G267" s="2">
        <f>SUM(F267,D267)</f>
        <v>3623727</v>
      </c>
    </row>
    <row r="268" spans="1:7" x14ac:dyDescent="0.2">
      <c r="A268">
        <v>2020</v>
      </c>
      <c r="B268" s="34">
        <v>5274</v>
      </c>
      <c r="C268" s="9" t="s">
        <v>275</v>
      </c>
      <c r="D268" s="10">
        <v>807943</v>
      </c>
      <c r="E268" s="9">
        <f>VLOOKUP(B268,'2015'!$B$2:$G$338,6,FALSE)</f>
        <v>0</v>
      </c>
      <c r="F268">
        <f t="shared" si="4"/>
        <v>0</v>
      </c>
      <c r="G268" s="2">
        <f>SUM(F268,D268)</f>
        <v>807943</v>
      </c>
    </row>
    <row r="269" spans="1:7" x14ac:dyDescent="0.2">
      <c r="A269">
        <v>2020</v>
      </c>
      <c r="B269" s="34">
        <v>5275</v>
      </c>
      <c r="C269" s="9" t="s">
        <v>276</v>
      </c>
      <c r="D269" s="10">
        <v>1853575</v>
      </c>
      <c r="E269" s="9">
        <f>VLOOKUP(B269,'2015'!$B$2:$G$338,6,FALSE)</f>
        <v>0</v>
      </c>
      <c r="F269">
        <f t="shared" si="4"/>
        <v>0</v>
      </c>
      <c r="G269" s="2">
        <f>SUM(F269,D269)</f>
        <v>1853575</v>
      </c>
    </row>
    <row r="270" spans="1:7" x14ac:dyDescent="0.2">
      <c r="A270">
        <v>2020</v>
      </c>
      <c r="B270" s="34">
        <v>5276</v>
      </c>
      <c r="C270" s="9" t="s">
        <v>277</v>
      </c>
      <c r="D270" s="10">
        <v>942464</v>
      </c>
      <c r="E270" s="9">
        <f>VLOOKUP(B270,'2015'!$B$2:$G$338,6,FALSE)</f>
        <v>0</v>
      </c>
      <c r="F270">
        <f t="shared" si="4"/>
        <v>0</v>
      </c>
      <c r="G270" s="2">
        <f>SUM(F270,D270)</f>
        <v>942464</v>
      </c>
    </row>
    <row r="271" spans="1:7" x14ac:dyDescent="0.2">
      <c r="A271">
        <v>2020</v>
      </c>
      <c r="B271" s="34">
        <v>5278</v>
      </c>
      <c r="C271" s="9" t="s">
        <v>278</v>
      </c>
      <c r="D271" s="10">
        <v>284578</v>
      </c>
      <c r="E271" s="9">
        <f>VLOOKUP(B271,'2015'!$B$2:$G$338,6,FALSE)</f>
        <v>0</v>
      </c>
      <c r="F271">
        <f t="shared" si="4"/>
        <v>0</v>
      </c>
      <c r="G271" s="2">
        <f>SUM(F271,D271)</f>
        <v>284578</v>
      </c>
    </row>
    <row r="272" spans="1:7" x14ac:dyDescent="0.2">
      <c r="A272">
        <v>2020</v>
      </c>
      <c r="B272" s="34">
        <v>5280</v>
      </c>
      <c r="C272" s="9" t="s">
        <v>279</v>
      </c>
      <c r="D272" s="10">
        <v>5130966</v>
      </c>
      <c r="E272" s="9">
        <f>VLOOKUP(B272,'2015'!$B$2:$G$338,6,FALSE)</f>
        <v>0</v>
      </c>
      <c r="F272">
        <f t="shared" si="4"/>
        <v>0</v>
      </c>
      <c r="G272" s="2">
        <f>SUM(F272,D272)</f>
        <v>5130966</v>
      </c>
    </row>
    <row r="273" spans="1:7" x14ac:dyDescent="0.2">
      <c r="A273">
        <v>2020</v>
      </c>
      <c r="B273" s="34">
        <v>5281</v>
      </c>
      <c r="C273" s="9" t="s">
        <v>280</v>
      </c>
      <c r="D273" s="10">
        <v>236757</v>
      </c>
      <c r="E273" s="9">
        <f>VLOOKUP(B273,'2015'!$B$2:$G$338,6,FALSE)</f>
        <v>0</v>
      </c>
      <c r="F273">
        <f t="shared" si="4"/>
        <v>0</v>
      </c>
      <c r="G273" s="2">
        <f>SUM(F273,D273)</f>
        <v>236757</v>
      </c>
    </row>
    <row r="274" spans="1:7" x14ac:dyDescent="0.2">
      <c r="A274">
        <v>2020</v>
      </c>
      <c r="B274" s="34">
        <v>5283</v>
      </c>
      <c r="C274" s="9" t="s">
        <v>281</v>
      </c>
      <c r="D274" s="10">
        <v>513558</v>
      </c>
      <c r="E274" s="9">
        <f>VLOOKUP(B274,'2015'!$B$2:$G$338,6,FALSE)</f>
        <v>0</v>
      </c>
      <c r="F274">
        <f t="shared" si="4"/>
        <v>0</v>
      </c>
      <c r="G274" s="2">
        <f>SUM(F274,D274)</f>
        <v>513558</v>
      </c>
    </row>
    <row r="275" spans="1:7" x14ac:dyDescent="0.2">
      <c r="A275">
        <v>2020</v>
      </c>
      <c r="B275" s="34">
        <v>5284</v>
      </c>
      <c r="C275" s="9" t="s">
        <v>282</v>
      </c>
      <c r="D275" s="10">
        <v>652503</v>
      </c>
      <c r="E275" s="9">
        <f>VLOOKUP(B275,'2015'!$B$2:$G$338,6,FALSE)</f>
        <v>0</v>
      </c>
      <c r="F275">
        <f t="shared" si="4"/>
        <v>0</v>
      </c>
      <c r="G275" s="2">
        <f>SUM(F275,D275)</f>
        <v>652503</v>
      </c>
    </row>
    <row r="276" spans="1:7" x14ac:dyDescent="0.2">
      <c r="A276">
        <v>2020</v>
      </c>
      <c r="B276" s="34">
        <v>5285</v>
      </c>
      <c r="C276" s="9" t="s">
        <v>283</v>
      </c>
      <c r="D276" s="10">
        <v>385543</v>
      </c>
      <c r="E276" s="9">
        <f>VLOOKUP(B276,'2015'!$B$2:$G$338,6,FALSE)</f>
        <v>0</v>
      </c>
      <c r="F276">
        <f t="shared" si="4"/>
        <v>0</v>
      </c>
      <c r="G276" s="2">
        <f>SUM(F276,D276)</f>
        <v>385543</v>
      </c>
    </row>
    <row r="277" spans="1:7" x14ac:dyDescent="0.2">
      <c r="A277">
        <v>2020</v>
      </c>
      <c r="B277" s="34">
        <v>5286</v>
      </c>
      <c r="C277" s="9" t="s">
        <v>284</v>
      </c>
      <c r="D277" s="10">
        <v>350557</v>
      </c>
      <c r="E277" s="9">
        <f>VLOOKUP(B277,'2015'!$B$2:$G$338,6,FALSE)</f>
        <v>0</v>
      </c>
      <c r="F277">
        <f t="shared" si="4"/>
        <v>0</v>
      </c>
      <c r="G277" s="2">
        <f>SUM(F277,D277)</f>
        <v>350557</v>
      </c>
    </row>
    <row r="278" spans="1:7" x14ac:dyDescent="0.2">
      <c r="A278">
        <v>2020</v>
      </c>
      <c r="B278" s="34">
        <v>5287</v>
      </c>
      <c r="C278" s="9" t="s">
        <v>285</v>
      </c>
      <c r="D278" s="10">
        <v>598359</v>
      </c>
      <c r="E278" s="9">
        <f>VLOOKUP(B278,'2015'!$B$2:$G$338,6,FALSE)</f>
        <v>0</v>
      </c>
      <c r="F278">
        <f t="shared" si="4"/>
        <v>0</v>
      </c>
      <c r="G278" s="2">
        <f>SUM(F278,D278)</f>
        <v>598359</v>
      </c>
    </row>
    <row r="279" spans="1:7" x14ac:dyDescent="0.2">
      <c r="A279">
        <v>2020</v>
      </c>
      <c r="B279" s="34">
        <v>5288</v>
      </c>
      <c r="C279" s="9" t="s">
        <v>286</v>
      </c>
      <c r="D279" s="10">
        <v>336189</v>
      </c>
      <c r="E279" s="9">
        <f>VLOOKUP(B279,'2015'!$B$2:$G$338,6,FALSE)</f>
        <v>0</v>
      </c>
      <c r="F279">
        <f t="shared" si="4"/>
        <v>0</v>
      </c>
      <c r="G279" s="2">
        <f>SUM(F279,D279)</f>
        <v>336189</v>
      </c>
    </row>
    <row r="280" spans="1:7" x14ac:dyDescent="0.2">
      <c r="A280">
        <v>2020</v>
      </c>
      <c r="B280" s="34">
        <v>5289</v>
      </c>
      <c r="C280" s="9" t="s">
        <v>287</v>
      </c>
      <c r="D280" s="10">
        <v>505674</v>
      </c>
      <c r="E280" s="9">
        <f>VLOOKUP(B280,'2015'!$B$2:$G$338,6,FALSE)</f>
        <v>0</v>
      </c>
      <c r="F280">
        <f t="shared" si="4"/>
        <v>0</v>
      </c>
      <c r="G280" s="2">
        <f>SUM(F280,D280)</f>
        <v>505674</v>
      </c>
    </row>
    <row r="281" spans="1:7" x14ac:dyDescent="0.2">
      <c r="A281">
        <v>2020</v>
      </c>
      <c r="B281" s="34">
        <v>5291</v>
      </c>
      <c r="C281" s="9" t="s">
        <v>288</v>
      </c>
      <c r="D281" s="10">
        <v>593332</v>
      </c>
      <c r="E281" s="9">
        <f>VLOOKUP(B281,'2015'!$B$2:$G$338,6,FALSE)</f>
        <v>0</v>
      </c>
      <c r="F281">
        <f t="shared" si="4"/>
        <v>0</v>
      </c>
      <c r="G281" s="2">
        <f>SUM(F281,D281)</f>
        <v>593332</v>
      </c>
    </row>
    <row r="282" spans="1:7" x14ac:dyDescent="0.2">
      <c r="A282">
        <v>2020</v>
      </c>
      <c r="B282" s="34">
        <v>5292</v>
      </c>
      <c r="C282" s="9" t="s">
        <v>289</v>
      </c>
      <c r="D282" s="10">
        <v>1580915</v>
      </c>
      <c r="E282" s="9">
        <f>VLOOKUP(B282,'2015'!$B$2:$G$338,6,FALSE)</f>
        <v>0</v>
      </c>
      <c r="F282">
        <f t="shared" si="4"/>
        <v>0</v>
      </c>
      <c r="G282" s="2">
        <f>SUM(F282,D282)</f>
        <v>1580915</v>
      </c>
    </row>
    <row r="283" spans="1:7" x14ac:dyDescent="0.2">
      <c r="A283">
        <v>2020</v>
      </c>
      <c r="B283" s="34">
        <v>5293</v>
      </c>
      <c r="C283" s="9" t="s">
        <v>290</v>
      </c>
      <c r="D283" s="10">
        <v>391355</v>
      </c>
      <c r="E283" s="9">
        <f>VLOOKUP(B283,'2015'!$B$2:$G$338,6,FALSE)</f>
        <v>0</v>
      </c>
      <c r="F283">
        <f t="shared" si="4"/>
        <v>0</v>
      </c>
      <c r="G283" s="2">
        <f>SUM(F283,D283)</f>
        <v>391355</v>
      </c>
    </row>
    <row r="284" spans="1:7" x14ac:dyDescent="0.2">
      <c r="A284">
        <v>2020</v>
      </c>
      <c r="B284" s="34">
        <v>5294</v>
      </c>
      <c r="C284" s="9" t="s">
        <v>291</v>
      </c>
      <c r="D284" s="10">
        <v>870213</v>
      </c>
      <c r="E284" s="9">
        <f>VLOOKUP(B284,'2015'!$B$2:$G$338,6,FALSE)</f>
        <v>0</v>
      </c>
      <c r="F284">
        <f t="shared" si="4"/>
        <v>0</v>
      </c>
      <c r="G284" s="2">
        <f>SUM(F284,D284)</f>
        <v>870213</v>
      </c>
    </row>
    <row r="285" spans="1:7" x14ac:dyDescent="0.2">
      <c r="A285">
        <v>2020</v>
      </c>
      <c r="B285" s="34">
        <v>5295</v>
      </c>
      <c r="C285" s="9" t="s">
        <v>292</v>
      </c>
      <c r="D285" s="10">
        <v>271426</v>
      </c>
      <c r="E285" s="9">
        <f>VLOOKUP(B285,'2015'!$B$2:$G$338,6,FALSE)</f>
        <v>0</v>
      </c>
      <c r="F285">
        <f t="shared" si="4"/>
        <v>0</v>
      </c>
      <c r="G285" s="2">
        <f>SUM(F285,D285)</f>
        <v>271426</v>
      </c>
    </row>
    <row r="286" spans="1:7" x14ac:dyDescent="0.2">
      <c r="A286">
        <v>2020</v>
      </c>
      <c r="B286" s="34">
        <v>5296</v>
      </c>
      <c r="C286" s="9" t="s">
        <v>293</v>
      </c>
      <c r="D286" s="10">
        <v>1247870</v>
      </c>
      <c r="E286" s="9">
        <f>VLOOKUP(B286,'2015'!$B$2:$G$338,6,FALSE)</f>
        <v>0</v>
      </c>
      <c r="F286">
        <f t="shared" si="4"/>
        <v>0</v>
      </c>
      <c r="G286" s="2">
        <f>SUM(F286,D286)</f>
        <v>1247870</v>
      </c>
    </row>
    <row r="287" spans="1:7" x14ac:dyDescent="0.2">
      <c r="A287">
        <v>2020</v>
      </c>
      <c r="B287" s="34">
        <v>5297</v>
      </c>
      <c r="C287" s="9" t="s">
        <v>294</v>
      </c>
      <c r="D287" s="10">
        <v>686931</v>
      </c>
      <c r="E287" s="9">
        <f>VLOOKUP(B287,'2015'!$B$2:$G$338,6,FALSE)</f>
        <v>0</v>
      </c>
      <c r="F287">
        <f t="shared" si="4"/>
        <v>0</v>
      </c>
      <c r="G287" s="2">
        <f>SUM(F287,D287)</f>
        <v>686931</v>
      </c>
    </row>
    <row r="288" spans="1:7" x14ac:dyDescent="0.2">
      <c r="A288">
        <v>2020</v>
      </c>
      <c r="B288" s="34">
        <v>5298</v>
      </c>
      <c r="C288" s="9" t="s">
        <v>295</v>
      </c>
      <c r="D288" s="10">
        <v>86133</v>
      </c>
      <c r="E288" s="9">
        <f>VLOOKUP(B288,'2015'!$B$2:$G$338,6,FALSE)</f>
        <v>0</v>
      </c>
      <c r="F288">
        <f t="shared" si="4"/>
        <v>0</v>
      </c>
      <c r="G288" s="2">
        <f>SUM(F288,D288)</f>
        <v>86133</v>
      </c>
    </row>
    <row r="289" spans="1:7" x14ac:dyDescent="0.2">
      <c r="A289">
        <v>2020</v>
      </c>
      <c r="B289" s="34">
        <v>5299</v>
      </c>
      <c r="C289" s="9" t="s">
        <v>296</v>
      </c>
      <c r="D289" s="10">
        <v>202228</v>
      </c>
      <c r="E289" s="9">
        <f>VLOOKUP(B289,'2015'!$B$2:$G$338,6,FALSE)</f>
        <v>0</v>
      </c>
      <c r="F289">
        <f t="shared" si="4"/>
        <v>0</v>
      </c>
      <c r="G289" s="2">
        <f>SUM(F289,D289)</f>
        <v>202228</v>
      </c>
    </row>
    <row r="290" spans="1:7" x14ac:dyDescent="0.2">
      <c r="A290">
        <v>2020</v>
      </c>
      <c r="B290" s="34">
        <v>5300</v>
      </c>
      <c r="C290" s="9" t="s">
        <v>297</v>
      </c>
      <c r="D290" s="10">
        <v>638036</v>
      </c>
      <c r="E290" s="9">
        <f>VLOOKUP(B290,'2015'!$B$2:$G$338,6,FALSE)</f>
        <v>0</v>
      </c>
      <c r="F290">
        <f t="shared" si="4"/>
        <v>0</v>
      </c>
      <c r="G290" s="2">
        <f>SUM(F290,D290)</f>
        <v>638036</v>
      </c>
    </row>
    <row r="291" spans="1:7" x14ac:dyDescent="0.2">
      <c r="A291">
        <v>2020</v>
      </c>
      <c r="B291" s="34">
        <v>5302</v>
      </c>
      <c r="C291" s="9" t="s">
        <v>298</v>
      </c>
      <c r="D291" s="10">
        <v>3252682</v>
      </c>
      <c r="E291" s="9">
        <f>VLOOKUP(B291,'2015'!$B$2:$G$338,6,FALSE)</f>
        <v>0</v>
      </c>
      <c r="F291">
        <f t="shared" si="4"/>
        <v>0</v>
      </c>
      <c r="G291" s="2">
        <f>SUM(F291,D291)</f>
        <v>3252682</v>
      </c>
    </row>
    <row r="292" spans="1:7" x14ac:dyDescent="0.2">
      <c r="A292">
        <v>2020</v>
      </c>
      <c r="B292" s="34">
        <v>5303</v>
      </c>
      <c r="C292" s="9" t="s">
        <v>345</v>
      </c>
      <c r="D292" s="10">
        <v>1731879</v>
      </c>
      <c r="E292" s="9">
        <f>VLOOKUP(B292,'2015'!$B$2:$G$338,6,FALSE)</f>
        <v>0</v>
      </c>
      <c r="F292">
        <f t="shared" si="4"/>
        <v>0</v>
      </c>
      <c r="G292" s="2">
        <f>SUM(F292,D292)</f>
        <v>1731879</v>
      </c>
    </row>
    <row r="293" spans="1:7" x14ac:dyDescent="0.2">
      <c r="A293">
        <v>2020</v>
      </c>
      <c r="B293" s="34">
        <v>5304</v>
      </c>
      <c r="C293" s="9" t="s">
        <v>300</v>
      </c>
      <c r="D293" s="10">
        <v>1421617</v>
      </c>
      <c r="E293" s="9">
        <f>VLOOKUP(B293,'2015'!$B$2:$G$338,6,FALSE)</f>
        <v>0</v>
      </c>
      <c r="F293">
        <f t="shared" si="4"/>
        <v>0</v>
      </c>
      <c r="G293" s="2">
        <f>SUM(F293,D293)</f>
        <v>1421617</v>
      </c>
    </row>
    <row r="294" spans="1:7" x14ac:dyDescent="0.2">
      <c r="A294">
        <v>2020</v>
      </c>
      <c r="B294" s="34">
        <v>5305</v>
      </c>
      <c r="C294" s="9" t="s">
        <v>301</v>
      </c>
      <c r="D294" s="10">
        <v>296763</v>
      </c>
      <c r="E294" s="9">
        <f>VLOOKUP(B294,'2015'!$B$2:$G$338,6,FALSE)</f>
        <v>0</v>
      </c>
      <c r="F294">
        <f t="shared" si="4"/>
        <v>0</v>
      </c>
      <c r="G294" s="2">
        <f>SUM(F294,D294)</f>
        <v>296763</v>
      </c>
    </row>
    <row r="295" spans="1:7" x14ac:dyDescent="0.2">
      <c r="A295">
        <v>2020</v>
      </c>
      <c r="B295" s="34">
        <v>5306</v>
      </c>
      <c r="C295" s="9" t="s">
        <v>302</v>
      </c>
      <c r="D295" s="10">
        <v>1168260</v>
      </c>
      <c r="E295" s="9">
        <f>VLOOKUP(B295,'2015'!$B$2:$G$338,6,FALSE)</f>
        <v>0</v>
      </c>
      <c r="F295">
        <f t="shared" si="4"/>
        <v>0</v>
      </c>
      <c r="G295" s="2">
        <f>SUM(F295,D295)</f>
        <v>1168260</v>
      </c>
    </row>
    <row r="296" spans="1:7" x14ac:dyDescent="0.2">
      <c r="A296">
        <v>2020</v>
      </c>
      <c r="B296" s="34">
        <v>5307</v>
      </c>
      <c r="C296" s="9" t="s">
        <v>303</v>
      </c>
      <c r="D296" s="10">
        <v>186317</v>
      </c>
      <c r="E296" s="9">
        <f>VLOOKUP(B296,'2015'!$B$2:$G$338,6,FALSE)</f>
        <v>0</v>
      </c>
      <c r="F296">
        <f t="shared" si="4"/>
        <v>0</v>
      </c>
      <c r="G296" s="2">
        <f>SUM(F296,D296)</f>
        <v>186317</v>
      </c>
    </row>
    <row r="297" spans="1:7" x14ac:dyDescent="0.2">
      <c r="A297">
        <v>2020</v>
      </c>
      <c r="B297" s="34">
        <v>5308</v>
      </c>
      <c r="C297" s="9" t="s">
        <v>304</v>
      </c>
      <c r="D297" s="10">
        <v>11105138</v>
      </c>
      <c r="E297" s="9">
        <f>VLOOKUP(B297,'2015'!$B$2:$G$338,6,FALSE)</f>
        <v>0</v>
      </c>
      <c r="F297">
        <f t="shared" si="4"/>
        <v>0</v>
      </c>
      <c r="G297" s="2">
        <f>SUM(F297,D297)</f>
        <v>11105138</v>
      </c>
    </row>
    <row r="298" spans="1:7" x14ac:dyDescent="0.2">
      <c r="A298">
        <v>2020</v>
      </c>
      <c r="B298" s="34">
        <v>5309</v>
      </c>
      <c r="C298" s="9" t="s">
        <v>305</v>
      </c>
      <c r="D298" s="10">
        <v>761732</v>
      </c>
      <c r="E298" s="9">
        <f>VLOOKUP(B298,'2015'!$B$2:$G$338,6,FALSE)</f>
        <v>0</v>
      </c>
      <c r="F298">
        <f t="shared" si="4"/>
        <v>0</v>
      </c>
      <c r="G298" s="2">
        <f>SUM(F298,D298)</f>
        <v>761732</v>
      </c>
    </row>
    <row r="299" spans="1:7" x14ac:dyDescent="0.2">
      <c r="A299">
        <v>2020</v>
      </c>
      <c r="B299" s="34">
        <v>5310</v>
      </c>
      <c r="C299" s="9" t="s">
        <v>306</v>
      </c>
      <c r="D299" s="10">
        <v>113858</v>
      </c>
      <c r="E299" s="9">
        <f>VLOOKUP(B299,'2015'!$B$2:$G$338,6,FALSE)</f>
        <v>0</v>
      </c>
      <c r="F299">
        <f t="shared" si="4"/>
        <v>0</v>
      </c>
      <c r="G299" s="2">
        <f>SUM(F299,D299)</f>
        <v>113858</v>
      </c>
    </row>
    <row r="300" spans="1:7" x14ac:dyDescent="0.2">
      <c r="A300">
        <v>2020</v>
      </c>
      <c r="B300" s="34">
        <v>5312</v>
      </c>
      <c r="C300" s="9" t="s">
        <v>307</v>
      </c>
      <c r="D300" s="10">
        <v>4063644</v>
      </c>
      <c r="E300" s="9">
        <f>VLOOKUP(B300,'2015'!$B$2:$G$338,6,FALSE)</f>
        <v>0</v>
      </c>
      <c r="F300">
        <f t="shared" si="4"/>
        <v>0</v>
      </c>
      <c r="G300" s="2">
        <f>SUM(F300,D300)</f>
        <v>4063644</v>
      </c>
    </row>
    <row r="301" spans="1:7" x14ac:dyDescent="0.2">
      <c r="A301">
        <v>2020</v>
      </c>
      <c r="B301" s="34">
        <v>5313</v>
      </c>
      <c r="C301" s="9" t="s">
        <v>308</v>
      </c>
      <c r="D301" s="10">
        <v>363419</v>
      </c>
      <c r="E301" s="9">
        <f>VLOOKUP(B301,'2015'!$B$2:$G$338,6,FALSE)</f>
        <v>0</v>
      </c>
      <c r="F301">
        <f t="shared" si="4"/>
        <v>0</v>
      </c>
      <c r="G301" s="2">
        <f>SUM(F301,D301)</f>
        <v>363419</v>
      </c>
    </row>
    <row r="302" spans="1:7" x14ac:dyDescent="0.2">
      <c r="A302">
        <v>2020</v>
      </c>
      <c r="B302" s="34">
        <v>5314</v>
      </c>
      <c r="C302" s="9" t="s">
        <v>309</v>
      </c>
      <c r="D302" s="10">
        <v>16132414</v>
      </c>
      <c r="E302" s="9">
        <f>VLOOKUP(B302,'2015'!$B$2:$G$338,6,FALSE)</f>
        <v>0</v>
      </c>
      <c r="F302">
        <f t="shared" si="4"/>
        <v>0</v>
      </c>
      <c r="G302" s="2">
        <f>SUM(F302,D302)</f>
        <v>16132414</v>
      </c>
    </row>
    <row r="303" spans="1:7" x14ac:dyDescent="0.2">
      <c r="A303">
        <v>2020</v>
      </c>
      <c r="B303" s="34">
        <v>5316</v>
      </c>
      <c r="C303" s="9" t="s">
        <v>310</v>
      </c>
      <c r="D303" s="10">
        <v>407960</v>
      </c>
      <c r="E303" s="9">
        <f>VLOOKUP(B303,'2015'!$B$2:$G$338,6,FALSE)</f>
        <v>0</v>
      </c>
      <c r="F303">
        <f t="shared" si="4"/>
        <v>0</v>
      </c>
      <c r="G303" s="2">
        <f>SUM(F303,D303)</f>
        <v>407960</v>
      </c>
    </row>
    <row r="304" spans="1:7" x14ac:dyDescent="0.2">
      <c r="A304">
        <v>2020</v>
      </c>
      <c r="B304" s="34">
        <v>5229</v>
      </c>
      <c r="C304" s="9" t="s">
        <v>257</v>
      </c>
      <c r="D304" s="10">
        <v>365419</v>
      </c>
      <c r="E304" s="9">
        <f>VLOOKUP(B304,'2015'!$B$2:$G$338,6,FALSE)</f>
        <v>0</v>
      </c>
      <c r="F304">
        <f t="shared" si="4"/>
        <v>0</v>
      </c>
      <c r="G304" s="2">
        <f>SUM(F304,D304)</f>
        <v>365419</v>
      </c>
    </row>
    <row r="305" spans="1:7" x14ac:dyDescent="0.2">
      <c r="A305">
        <v>2020</v>
      </c>
      <c r="B305" s="34">
        <v>5318</v>
      </c>
      <c r="C305" s="9" t="s">
        <v>312</v>
      </c>
      <c r="D305" s="10">
        <v>547652</v>
      </c>
      <c r="E305" s="9">
        <f>VLOOKUP(B305,'2015'!$B$2:$G$338,6,FALSE)</f>
        <v>0</v>
      </c>
      <c r="F305">
        <f t="shared" si="4"/>
        <v>0</v>
      </c>
      <c r="G305" s="2">
        <f>SUM(F305,D305)</f>
        <v>547652</v>
      </c>
    </row>
    <row r="306" spans="1:7" x14ac:dyDescent="0.2">
      <c r="A306">
        <v>2020</v>
      </c>
      <c r="B306" s="34">
        <v>5319</v>
      </c>
      <c r="C306" s="9" t="s">
        <v>313</v>
      </c>
      <c r="D306" s="10">
        <v>803332</v>
      </c>
      <c r="E306" s="9">
        <f>VLOOKUP(B306,'2015'!$B$2:$G$338,6,FALSE)</f>
        <v>0</v>
      </c>
      <c r="F306">
        <f t="shared" si="4"/>
        <v>0</v>
      </c>
      <c r="G306" s="2">
        <f>SUM(F306,D306)</f>
        <v>803332</v>
      </c>
    </row>
    <row r="307" spans="1:7" x14ac:dyDescent="0.2">
      <c r="A307">
        <v>2020</v>
      </c>
      <c r="B307" s="34">
        <v>5320</v>
      </c>
      <c r="C307" s="9" t="s">
        <v>314</v>
      </c>
      <c r="D307" s="10">
        <v>214330</v>
      </c>
      <c r="E307" s="9">
        <f>VLOOKUP(B307,'2015'!$B$2:$G$338,6,FALSE)</f>
        <v>0</v>
      </c>
      <c r="F307">
        <f t="shared" si="4"/>
        <v>0</v>
      </c>
      <c r="G307" s="2">
        <f>SUM(F307,D307)</f>
        <v>214330</v>
      </c>
    </row>
    <row r="308" spans="1:7" x14ac:dyDescent="0.2">
      <c r="A308">
        <v>2020</v>
      </c>
      <c r="B308" s="34">
        <v>5321</v>
      </c>
      <c r="C308" s="9" t="s">
        <v>315</v>
      </c>
      <c r="D308" s="10">
        <v>460439</v>
      </c>
      <c r="E308" s="9">
        <f>VLOOKUP(B308,'2015'!$B$2:$G$338,6,FALSE)</f>
        <v>0</v>
      </c>
      <c r="F308">
        <f t="shared" si="4"/>
        <v>0</v>
      </c>
      <c r="G308" s="2">
        <f>SUM(F308,D308)</f>
        <v>460439</v>
      </c>
    </row>
    <row r="309" spans="1:7" x14ac:dyDescent="0.2">
      <c r="A309">
        <v>2020</v>
      </c>
      <c r="B309" s="34">
        <v>5322</v>
      </c>
      <c r="C309" s="9" t="s">
        <v>316</v>
      </c>
      <c r="D309" s="10">
        <v>504465</v>
      </c>
      <c r="E309" s="9">
        <f>VLOOKUP(B309,'2015'!$B$2:$G$338,6,FALSE)</f>
        <v>0</v>
      </c>
      <c r="F309">
        <f t="shared" si="4"/>
        <v>0</v>
      </c>
      <c r="G309" s="2">
        <f>SUM(F309,D309)</f>
        <v>504465</v>
      </c>
    </row>
    <row r="310" spans="1:7" x14ac:dyDescent="0.2">
      <c r="A310">
        <v>2020</v>
      </c>
      <c r="B310" s="34">
        <v>5324</v>
      </c>
      <c r="C310" s="9" t="s">
        <v>317</v>
      </c>
      <c r="D310" s="10">
        <v>23528939</v>
      </c>
      <c r="E310" s="9">
        <f>VLOOKUP(B310,'2015'!$B$2:$G$338,6,FALSE)</f>
        <v>0</v>
      </c>
      <c r="F310">
        <f t="shared" si="4"/>
        <v>0</v>
      </c>
      <c r="G310" s="2">
        <f>SUM(F310,D310)</f>
        <v>23528939</v>
      </c>
    </row>
    <row r="311" spans="1:7" x14ac:dyDescent="0.2">
      <c r="A311">
        <v>2020</v>
      </c>
      <c r="B311" s="34">
        <v>5329</v>
      </c>
      <c r="C311" s="9" t="s">
        <v>318</v>
      </c>
      <c r="D311" s="10">
        <v>221967</v>
      </c>
      <c r="E311" s="9">
        <f>VLOOKUP(B311,'2015'!$B$2:$G$338,6,FALSE)</f>
        <v>0</v>
      </c>
      <c r="F311">
        <f t="shared" si="4"/>
        <v>0</v>
      </c>
      <c r="G311" s="2">
        <f>SUM(F311,D311)</f>
        <v>221967</v>
      </c>
    </row>
    <row r="312" spans="1:7" x14ac:dyDescent="0.2">
      <c r="A312">
        <v>2020</v>
      </c>
      <c r="B312" s="34">
        <v>5330</v>
      </c>
      <c r="C312" s="9" t="s">
        <v>319</v>
      </c>
      <c r="D312" s="10">
        <v>941358</v>
      </c>
      <c r="E312" s="9">
        <f>VLOOKUP(B312,'2015'!$B$2:$G$338,6,FALSE)</f>
        <v>0</v>
      </c>
      <c r="F312">
        <f t="shared" si="4"/>
        <v>0</v>
      </c>
      <c r="G312" s="2">
        <f>SUM(F312,D312)</f>
        <v>941358</v>
      </c>
    </row>
    <row r="313" spans="1:7" x14ac:dyDescent="0.2">
      <c r="A313">
        <v>2020</v>
      </c>
      <c r="B313" s="34">
        <v>5331</v>
      </c>
      <c r="C313" s="9" t="s">
        <v>320</v>
      </c>
      <c r="D313" s="10">
        <v>1138103</v>
      </c>
      <c r="E313" s="9">
        <f>VLOOKUP(B313,'2015'!$B$2:$G$338,6,FALSE)</f>
        <v>0</v>
      </c>
      <c r="F313">
        <f t="shared" si="4"/>
        <v>0</v>
      </c>
      <c r="G313" s="2">
        <f>SUM(F313,D313)</f>
        <v>1138103</v>
      </c>
    </row>
    <row r="314" spans="1:7" x14ac:dyDescent="0.2">
      <c r="A314">
        <v>2020</v>
      </c>
      <c r="B314" s="34">
        <v>5332</v>
      </c>
      <c r="C314" s="9" t="s">
        <v>321</v>
      </c>
      <c r="D314" s="10">
        <v>1363698</v>
      </c>
      <c r="E314" s="9">
        <f>VLOOKUP(B314,'2015'!$B$2:$G$338,6,FALSE)</f>
        <v>0</v>
      </c>
      <c r="F314">
        <f t="shared" si="4"/>
        <v>0</v>
      </c>
      <c r="G314" s="2">
        <f>SUM(F314,D314)</f>
        <v>1363698</v>
      </c>
    </row>
    <row r="315" spans="1:7" x14ac:dyDescent="0.2">
      <c r="A315">
        <v>2020</v>
      </c>
      <c r="B315" s="34">
        <v>5333</v>
      </c>
      <c r="C315" s="9" t="s">
        <v>322</v>
      </c>
      <c r="D315" s="10">
        <v>428852</v>
      </c>
      <c r="E315" s="9">
        <f>VLOOKUP(B315,'2015'!$B$2:$G$338,6,FALSE)</f>
        <v>0</v>
      </c>
      <c r="F315">
        <f t="shared" si="4"/>
        <v>0</v>
      </c>
      <c r="G315" s="2">
        <f>SUM(F315,D315)</f>
        <v>428852</v>
      </c>
    </row>
    <row r="316" spans="1:7" x14ac:dyDescent="0.2">
      <c r="A316">
        <v>2020</v>
      </c>
      <c r="B316" s="34">
        <v>5337</v>
      </c>
      <c r="C316" s="9" t="s">
        <v>323</v>
      </c>
      <c r="D316" s="10">
        <v>1845563</v>
      </c>
      <c r="E316" s="9">
        <f>VLOOKUP(B316,'2015'!$B$2:$G$338,6,FALSE)</f>
        <v>0</v>
      </c>
      <c r="F316">
        <f t="shared" si="4"/>
        <v>0</v>
      </c>
      <c r="G316" s="2">
        <f>SUM(F316,D316)</f>
        <v>1845563</v>
      </c>
    </row>
    <row r="317" spans="1:7" x14ac:dyDescent="0.2">
      <c r="A317">
        <v>2020</v>
      </c>
      <c r="B317" s="34">
        <v>5366</v>
      </c>
      <c r="C317" s="9" t="s">
        <v>324</v>
      </c>
      <c r="D317" s="10">
        <v>895416</v>
      </c>
      <c r="E317" s="9">
        <f>VLOOKUP(B317,'2015'!$B$2:$G$338,6,FALSE)</f>
        <v>0</v>
      </c>
      <c r="F317">
        <f t="shared" si="4"/>
        <v>0</v>
      </c>
      <c r="G317" s="2">
        <f>SUM(F317,D317)</f>
        <v>895416</v>
      </c>
    </row>
    <row r="318" spans="1:7" x14ac:dyDescent="0.2">
      <c r="A318">
        <v>2020</v>
      </c>
      <c r="B318" s="34">
        <v>5367</v>
      </c>
      <c r="C318" s="9" t="s">
        <v>325</v>
      </c>
      <c r="D318" s="10">
        <v>343029</v>
      </c>
      <c r="E318" s="9">
        <f>VLOOKUP(B318,'2015'!$B$2:$G$338,6,FALSE)</f>
        <v>0</v>
      </c>
      <c r="F318">
        <f t="shared" si="4"/>
        <v>0</v>
      </c>
      <c r="G318" s="2">
        <f>SUM(F318,D318)</f>
        <v>343029</v>
      </c>
    </row>
    <row r="319" spans="1:7" x14ac:dyDescent="0.2">
      <c r="A319">
        <v>2020</v>
      </c>
      <c r="B319" s="34">
        <v>5368</v>
      </c>
      <c r="C319" s="9" t="s">
        <v>326</v>
      </c>
      <c r="D319" s="10">
        <v>446434</v>
      </c>
      <c r="E319" s="9">
        <f>VLOOKUP(B319,'2015'!$B$2:$G$338,6,FALSE)</f>
        <v>0</v>
      </c>
      <c r="F319">
        <f t="shared" si="4"/>
        <v>0</v>
      </c>
      <c r="G319" s="2">
        <f>SUM(F319,D319)</f>
        <v>446434</v>
      </c>
    </row>
    <row r="320" spans="1:7" x14ac:dyDescent="0.2">
      <c r="A320">
        <v>2020</v>
      </c>
      <c r="B320" s="34">
        <v>5405</v>
      </c>
      <c r="C320" s="9" t="s">
        <v>327</v>
      </c>
      <c r="D320" s="10">
        <v>200490</v>
      </c>
      <c r="E320" s="9">
        <f>VLOOKUP(B320,'2015'!$B$2:$G$338,6,FALSE)</f>
        <v>0</v>
      </c>
      <c r="F320">
        <f t="shared" si="4"/>
        <v>0</v>
      </c>
      <c r="G320" s="2">
        <f>SUM(F320,D320)</f>
        <v>200490</v>
      </c>
    </row>
    <row r="321" spans="1:7" x14ac:dyDescent="0.2">
      <c r="A321">
        <v>2020</v>
      </c>
      <c r="B321" s="34">
        <v>5409</v>
      </c>
      <c r="C321" s="9" t="s">
        <v>328</v>
      </c>
      <c r="D321" s="10">
        <v>257222</v>
      </c>
      <c r="E321" s="9">
        <f>VLOOKUP(B321,'2015'!$B$2:$G$338,6,FALSE)</f>
        <v>0</v>
      </c>
      <c r="F321">
        <f t="shared" si="4"/>
        <v>0</v>
      </c>
      <c r="G321" s="2">
        <f>SUM(F321,D321)</f>
        <v>257222</v>
      </c>
    </row>
    <row r="322" spans="1:7" x14ac:dyDescent="0.2">
      <c r="A322">
        <v>2020</v>
      </c>
      <c r="B322" s="34">
        <v>5410</v>
      </c>
      <c r="C322" s="9" t="s">
        <v>329</v>
      </c>
      <c r="D322" s="10">
        <v>218487</v>
      </c>
      <c r="E322" s="9">
        <f>VLOOKUP(B322,'2015'!$B$2:$G$338,6,FALSE)</f>
        <v>0</v>
      </c>
      <c r="F322">
        <f t="shared" si="4"/>
        <v>0</v>
      </c>
      <c r="G322" s="2">
        <f>SUM(F322,D322)</f>
        <v>218487</v>
      </c>
    </row>
    <row r="323" spans="1:7" x14ac:dyDescent="0.2">
      <c r="A323">
        <v>2020</v>
      </c>
      <c r="B323" s="34">
        <v>5430</v>
      </c>
      <c r="C323" s="9" t="s">
        <v>330</v>
      </c>
      <c r="D323" s="10">
        <v>26154240</v>
      </c>
      <c r="E323" s="9">
        <f>VLOOKUP(B323,'2015'!$B$2:$G$338,6,FALSE)</f>
        <v>0</v>
      </c>
      <c r="F323">
        <f t="shared" ref="F323:F338" si="5">E323*$D$341</f>
        <v>0</v>
      </c>
      <c r="G323" s="2">
        <f>SUM(F323,D323)</f>
        <v>26154240</v>
      </c>
    </row>
    <row r="324" spans="1:7" x14ac:dyDescent="0.2">
      <c r="A324">
        <v>2020</v>
      </c>
      <c r="B324" s="34">
        <v>5436</v>
      </c>
      <c r="C324" s="9" t="s">
        <v>331</v>
      </c>
      <c r="D324" s="10">
        <v>682467</v>
      </c>
      <c r="E324" s="9">
        <f>VLOOKUP(B324,'2015'!$B$2:$G$338,6,FALSE)</f>
        <v>0</v>
      </c>
      <c r="F324">
        <f t="shared" si="5"/>
        <v>0</v>
      </c>
      <c r="G324" s="2">
        <f>SUM(F324,D324)</f>
        <v>682467</v>
      </c>
    </row>
    <row r="325" spans="1:7" x14ac:dyDescent="0.2">
      <c r="A325">
        <v>2020</v>
      </c>
      <c r="B325" s="34">
        <v>5590</v>
      </c>
      <c r="C325" s="9" t="s">
        <v>332</v>
      </c>
      <c r="D325" s="10">
        <v>143761</v>
      </c>
      <c r="E325" s="9">
        <f>VLOOKUP(B325,'2015'!$B$2:$G$338,6,FALSE)</f>
        <v>0</v>
      </c>
      <c r="F325">
        <f t="shared" si="5"/>
        <v>0</v>
      </c>
      <c r="G325" s="2">
        <f>SUM(F325,D325)</f>
        <v>143761</v>
      </c>
    </row>
    <row r="326" spans="1:7" x14ac:dyDescent="0.2">
      <c r="A326">
        <v>2020</v>
      </c>
      <c r="B326" s="34">
        <v>5696</v>
      </c>
      <c r="C326" s="9" t="s">
        <v>333</v>
      </c>
      <c r="D326" s="10">
        <v>249157</v>
      </c>
      <c r="E326" s="9">
        <f>VLOOKUP(B326,'2015'!$B$2:$G$338,6,FALSE)</f>
        <v>0</v>
      </c>
      <c r="F326">
        <f t="shared" si="5"/>
        <v>0</v>
      </c>
      <c r="G326" s="2">
        <f>SUM(F326,D326)</f>
        <v>249157</v>
      </c>
    </row>
    <row r="327" spans="1:7" x14ac:dyDescent="0.2">
      <c r="A327">
        <v>2020</v>
      </c>
      <c r="B327" s="34">
        <v>9291</v>
      </c>
      <c r="C327" s="9" t="s">
        <v>334</v>
      </c>
      <c r="D327" s="10">
        <v>351175</v>
      </c>
      <c r="E327" s="9">
        <f>VLOOKUP(B327,'2015'!$B$2:$G$338,6,FALSE)</f>
        <v>0</v>
      </c>
      <c r="F327">
        <f t="shared" si="5"/>
        <v>0</v>
      </c>
      <c r="G327" s="2">
        <f>SUM(F327,D327)</f>
        <v>351175</v>
      </c>
    </row>
    <row r="328" spans="1:7" x14ac:dyDescent="0.2">
      <c r="A328">
        <v>2020</v>
      </c>
      <c r="B328" s="34">
        <v>9302</v>
      </c>
      <c r="C328" s="9" t="s">
        <v>335</v>
      </c>
      <c r="D328" s="10">
        <v>156832</v>
      </c>
      <c r="E328" s="9">
        <f>VLOOKUP(B328,'2015'!$B$2:$G$338,6,FALSE)</f>
        <v>0</v>
      </c>
      <c r="F328">
        <f t="shared" si="5"/>
        <v>0</v>
      </c>
      <c r="G328" s="2">
        <f>SUM(F328,D328)</f>
        <v>156832</v>
      </c>
    </row>
    <row r="329" spans="1:7" x14ac:dyDescent="0.2">
      <c r="A329">
        <v>2020</v>
      </c>
      <c r="B329" s="34">
        <v>9332</v>
      </c>
      <c r="C329" s="9" t="s">
        <v>336</v>
      </c>
      <c r="D329" s="10">
        <v>306011</v>
      </c>
      <c r="E329" s="9">
        <f>VLOOKUP(B329,'2015'!$B$2:$G$338,6,FALSE)</f>
        <v>0</v>
      </c>
      <c r="F329">
        <f t="shared" si="5"/>
        <v>0</v>
      </c>
      <c r="G329" s="2">
        <f>SUM(F329,D329)</f>
        <v>306011</v>
      </c>
    </row>
    <row r="330" spans="1:7" x14ac:dyDescent="0.2">
      <c r="A330">
        <v>2020</v>
      </c>
      <c r="B330" s="34">
        <v>9333</v>
      </c>
      <c r="C330" s="9" t="s">
        <v>337</v>
      </c>
      <c r="D330" s="10">
        <v>339156</v>
      </c>
      <c r="E330" s="9">
        <f>VLOOKUP(B330,'2015'!$B$2:$G$338,6,FALSE)</f>
        <v>0</v>
      </c>
      <c r="F330">
        <f t="shared" si="5"/>
        <v>0</v>
      </c>
      <c r="G330" s="2">
        <f>SUM(F330,D330)</f>
        <v>339156</v>
      </c>
    </row>
    <row r="331" spans="1:7" x14ac:dyDescent="0.2">
      <c r="A331">
        <v>2020</v>
      </c>
      <c r="B331" s="34">
        <v>9335</v>
      </c>
      <c r="C331" s="9" t="s">
        <v>338</v>
      </c>
      <c r="D331" s="10">
        <v>447810</v>
      </c>
      <c r="E331" s="9">
        <f>VLOOKUP(B331,'2015'!$B$2:$G$338,6,FALSE)</f>
        <v>0</v>
      </c>
      <c r="F331">
        <f t="shared" si="5"/>
        <v>0</v>
      </c>
      <c r="G331" s="2">
        <f>SUM(F331,D331)</f>
        <v>447810</v>
      </c>
    </row>
    <row r="332" spans="1:7" x14ac:dyDescent="0.2">
      <c r="A332">
        <v>2020</v>
      </c>
      <c r="B332" s="34">
        <v>9389</v>
      </c>
      <c r="C332" s="9" t="s">
        <v>339</v>
      </c>
      <c r="D332" s="10">
        <v>268841</v>
      </c>
      <c r="E332" s="9">
        <f>VLOOKUP(B332,'2015'!$B$2:$G$338,6,FALSE)</f>
        <v>0</v>
      </c>
      <c r="F332">
        <f t="shared" si="5"/>
        <v>0</v>
      </c>
      <c r="G332" s="2">
        <f>SUM(F332,D332)</f>
        <v>268841</v>
      </c>
    </row>
    <row r="333" spans="1:7" x14ac:dyDescent="0.2">
      <c r="A333">
        <v>2020</v>
      </c>
      <c r="B333" s="34">
        <v>9410</v>
      </c>
      <c r="C333" s="9" t="s">
        <v>340</v>
      </c>
      <c r="D333" s="10">
        <v>356358</v>
      </c>
      <c r="E333" s="9">
        <f>VLOOKUP(B333,'2015'!$B$2:$G$338,6,FALSE)</f>
        <v>0</v>
      </c>
      <c r="F333">
        <f t="shared" si="5"/>
        <v>0</v>
      </c>
      <c r="G333" s="2">
        <f>SUM(F333,D333)</f>
        <v>356358</v>
      </c>
    </row>
    <row r="334" spans="1:7" x14ac:dyDescent="0.2">
      <c r="A334">
        <v>2020</v>
      </c>
      <c r="B334" s="34">
        <v>9444</v>
      </c>
      <c r="C334" s="9" t="s">
        <v>341</v>
      </c>
      <c r="D334" s="10">
        <v>560872</v>
      </c>
      <c r="E334" s="9">
        <f>VLOOKUP(B334,'2015'!$B$2:$G$338,6,FALSE)</f>
        <v>0</v>
      </c>
      <c r="F334">
        <f t="shared" si="5"/>
        <v>0</v>
      </c>
      <c r="G334" s="2">
        <f>SUM(F334,D334)</f>
        <v>560872</v>
      </c>
    </row>
    <row r="335" spans="1:7" x14ac:dyDescent="0.2">
      <c r="A335">
        <v>2020</v>
      </c>
      <c r="B335" s="34">
        <v>9445</v>
      </c>
      <c r="C335" s="9" t="s">
        <v>342</v>
      </c>
      <c r="D335" s="10">
        <v>519678</v>
      </c>
      <c r="E335" s="9">
        <f>VLOOKUP(B335,'2015'!$B$2:$G$338,6,FALSE)</f>
        <v>0</v>
      </c>
      <c r="F335">
        <f t="shared" si="5"/>
        <v>0</v>
      </c>
      <c r="G335" s="2">
        <f>SUM(F335,D335)</f>
        <v>519678</v>
      </c>
    </row>
    <row r="336" spans="1:7" x14ac:dyDescent="0.2">
      <c r="A336">
        <v>2020</v>
      </c>
      <c r="B336" s="34">
        <v>9446</v>
      </c>
      <c r="C336" s="9" t="s">
        <v>343</v>
      </c>
      <c r="D336" s="10">
        <v>991626</v>
      </c>
      <c r="E336" s="9">
        <f>VLOOKUP(B336,'2015'!$B$2:$G$338,6,FALSE)</f>
        <v>0</v>
      </c>
      <c r="F336">
        <f t="shared" si="5"/>
        <v>0</v>
      </c>
      <c r="G336" s="2">
        <f>SUM(F336,D336)</f>
        <v>991626</v>
      </c>
    </row>
    <row r="337" spans="1:7" x14ac:dyDescent="0.2">
      <c r="A337">
        <v>2020</v>
      </c>
      <c r="B337" s="34">
        <v>9461</v>
      </c>
      <c r="C337" s="9" t="s">
        <v>344</v>
      </c>
      <c r="D337" s="10">
        <v>694537</v>
      </c>
      <c r="E337" s="9">
        <f>VLOOKUP(B337,'2015'!$B$2:$G$338,6,FALSE)</f>
        <v>0</v>
      </c>
      <c r="F337">
        <f t="shared" si="5"/>
        <v>0</v>
      </c>
      <c r="G337" s="2">
        <f>SUM(F337,D337)</f>
        <v>694537</v>
      </c>
    </row>
    <row r="338" spans="1:7" x14ac:dyDescent="0.2">
      <c r="A338">
        <v>2020</v>
      </c>
      <c r="B338" s="34">
        <v>5317</v>
      </c>
      <c r="C338" s="9" t="s">
        <v>311</v>
      </c>
      <c r="D338" s="10">
        <v>492030</v>
      </c>
      <c r="E338" s="9">
        <f>VLOOKUP(B338,'2015'!$B$2:$G$338,6,FALSE)</f>
        <v>0</v>
      </c>
      <c r="F338">
        <f t="shared" si="5"/>
        <v>0</v>
      </c>
      <c r="G338" s="2">
        <f>SUM(F338,D338)</f>
        <v>492030</v>
      </c>
    </row>
    <row r="340" spans="1:7" x14ac:dyDescent="0.2">
      <c r="C340" s="12" t="s">
        <v>346</v>
      </c>
      <c r="D340" s="2">
        <f>SUM(D2:D338)</f>
        <v>492001184</v>
      </c>
      <c r="E340">
        <f>SUM(E2:E338)</f>
        <v>0.99999999999999978</v>
      </c>
    </row>
    <row r="341" spans="1:7" x14ac:dyDescent="0.2">
      <c r="C341" s="12" t="s">
        <v>347</v>
      </c>
      <c r="D341" s="2">
        <v>74432313</v>
      </c>
    </row>
    <row r="342" spans="1:7" x14ac:dyDescent="0.2">
      <c r="C342" s="3"/>
    </row>
    <row r="343" spans="1:7" x14ac:dyDescent="0.2">
      <c r="C343" s="3" t="s">
        <v>348</v>
      </c>
      <c r="D343" s="2">
        <v>492001184</v>
      </c>
    </row>
    <row r="344" spans="1:7" x14ac:dyDescent="0.2">
      <c r="C344" s="3" t="s">
        <v>347</v>
      </c>
      <c r="D344" s="2">
        <v>74432313</v>
      </c>
    </row>
    <row r="345" spans="1:7" x14ac:dyDescent="0.2">
      <c r="C345" s="3"/>
    </row>
    <row r="346" spans="1:7" x14ac:dyDescent="0.2">
      <c r="C346" s="13" t="s">
        <v>349</v>
      </c>
      <c r="D346" s="14">
        <f>D340-D343</f>
        <v>0</v>
      </c>
    </row>
    <row r="347" spans="1:7" x14ac:dyDescent="0.2">
      <c r="D347" s="14">
        <f>D341-D344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EEAEC-5E10-BA4D-844F-B2DC4F83A426}">
  <sheetPr>
    <tabColor rgb="FFFFFF00"/>
  </sheetPr>
  <dimension ref="A1:G347"/>
  <sheetViews>
    <sheetView workbookViewId="0">
      <selection activeCell="F2" sqref="F2:G338"/>
    </sheetView>
  </sheetViews>
  <sheetFormatPr baseColWidth="10" defaultRowHeight="16" x14ac:dyDescent="0.2"/>
  <cols>
    <col min="2" max="2" width="11.83203125" bestFit="1" customWidth="1"/>
    <col min="3" max="3" width="48" bestFit="1" customWidth="1"/>
    <col min="4" max="4" width="18.83203125" bestFit="1" customWidth="1"/>
    <col min="5" max="5" width="25.83203125" bestFit="1" customWidth="1"/>
    <col min="6" max="6" width="19.5" customWidth="1"/>
    <col min="7" max="7" width="16.83203125" bestFit="1" customWidth="1"/>
  </cols>
  <sheetData>
    <row r="1" spans="1:7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374</v>
      </c>
      <c r="F1" t="s">
        <v>368</v>
      </c>
      <c r="G1" t="s">
        <v>351</v>
      </c>
    </row>
    <row r="2" spans="1:7" x14ac:dyDescent="0.2">
      <c r="A2">
        <v>2019</v>
      </c>
      <c r="B2" s="34">
        <v>4930</v>
      </c>
      <c r="C2" s="3" t="s">
        <v>9</v>
      </c>
      <c r="D2" s="12">
        <v>5694</v>
      </c>
      <c r="E2" s="3">
        <f>VLOOKUP(B2,'2015'!$B$2:$G$338,6,FALSE)</f>
        <v>8.169597553666752E-3</v>
      </c>
      <c r="F2" s="3">
        <f>E2*$D$341</f>
        <v>556483.28886867152</v>
      </c>
      <c r="G2" s="2">
        <f>SUM(F2,D2)</f>
        <v>562177.28886867152</v>
      </c>
    </row>
    <row r="3" spans="1:7" x14ac:dyDescent="0.2">
      <c r="A3">
        <v>2019</v>
      </c>
      <c r="B3" s="34">
        <v>4931</v>
      </c>
      <c r="C3" s="3" t="s">
        <v>10</v>
      </c>
      <c r="D3" s="12">
        <v>3293</v>
      </c>
      <c r="E3" s="3">
        <f>VLOOKUP(B3,'2015'!$B$2:$G$338,6,FALSE)</f>
        <v>6.4531547540516718E-3</v>
      </c>
      <c r="F3" s="3">
        <f t="shared" ref="F3:F66" si="0">E3*$D$341</f>
        <v>439565.44462846889</v>
      </c>
      <c r="G3" s="2">
        <f>SUM(F3,D3)</f>
        <v>442858.44462846889</v>
      </c>
    </row>
    <row r="4" spans="1:7" x14ac:dyDescent="0.2">
      <c r="A4">
        <v>2019</v>
      </c>
      <c r="B4" s="34">
        <v>5045</v>
      </c>
      <c r="C4" s="3" t="s">
        <v>11</v>
      </c>
      <c r="D4" s="12">
        <v>5083</v>
      </c>
      <c r="E4" s="3">
        <f>VLOOKUP(B4,'2015'!$B$2:$G$338,6,FALSE)</f>
        <v>1.0105484222096495E-2</v>
      </c>
      <c r="F4" s="3">
        <f t="shared" si="0"/>
        <v>688348.85177406599</v>
      </c>
      <c r="G4" s="2">
        <f>SUM(F4,D4)</f>
        <v>693431.85177406599</v>
      </c>
    </row>
    <row r="5" spans="1:7" x14ac:dyDescent="0.2">
      <c r="A5">
        <v>2019</v>
      </c>
      <c r="B5" s="34">
        <v>5046</v>
      </c>
      <c r="C5" s="3" t="s">
        <v>12</v>
      </c>
      <c r="D5" s="3"/>
      <c r="E5" s="3">
        <f>VLOOKUP(B5,'2015'!$B$2:$G$338,6,FALSE)</f>
        <v>1.3630219751289424E-2</v>
      </c>
      <c r="F5" s="3">
        <f t="shared" si="0"/>
        <v>928441.02360903961</v>
      </c>
      <c r="G5" s="2">
        <f>SUM(F5,D5)</f>
        <v>928441.02360903961</v>
      </c>
    </row>
    <row r="6" spans="1:7" x14ac:dyDescent="0.2">
      <c r="A6">
        <v>2019</v>
      </c>
      <c r="B6" s="34">
        <v>5047</v>
      </c>
      <c r="C6" s="3" t="s">
        <v>13</v>
      </c>
      <c r="D6" s="12">
        <v>4500</v>
      </c>
      <c r="E6" s="3">
        <f>VLOOKUP(B6,'2015'!$B$2:$G$338,6,FALSE)</f>
        <v>2.189607160505451E-2</v>
      </c>
      <c r="F6" s="3">
        <f t="shared" si="0"/>
        <v>1491480.8055160288</v>
      </c>
      <c r="G6" s="2">
        <f>SUM(F6,D6)</f>
        <v>1495980.8055160288</v>
      </c>
    </row>
    <row r="7" spans="1:7" x14ac:dyDescent="0.2">
      <c r="A7">
        <v>2019</v>
      </c>
      <c r="B7" s="34">
        <v>5048</v>
      </c>
      <c r="C7" s="3" t="s">
        <v>14</v>
      </c>
      <c r="D7" s="12">
        <v>66702</v>
      </c>
      <c r="E7" s="3">
        <f>VLOOKUP(B7,'2015'!$B$2:$G$338,6,FALSE)</f>
        <v>4.4505872497202836E-2</v>
      </c>
      <c r="F7" s="3">
        <f t="shared" si="0"/>
        <v>3031578.2556629297</v>
      </c>
      <c r="G7" s="2">
        <f>SUM(F7,D7)</f>
        <v>3098280.2556629297</v>
      </c>
    </row>
    <row r="8" spans="1:7" x14ac:dyDescent="0.2">
      <c r="A8">
        <v>2019</v>
      </c>
      <c r="B8" s="34">
        <v>5049</v>
      </c>
      <c r="C8" s="3" t="s">
        <v>15</v>
      </c>
      <c r="D8" s="12">
        <v>108247</v>
      </c>
      <c r="E8" s="3">
        <f>VLOOKUP(B8,'2015'!$B$2:$G$338,6,FALSE)</f>
        <v>6.3574471270304675E-2</v>
      </c>
      <c r="F8" s="3">
        <f t="shared" si="0"/>
        <v>4330461.8897300866</v>
      </c>
      <c r="G8" s="2">
        <f>SUM(F8,D8)</f>
        <v>4438708.8897300866</v>
      </c>
    </row>
    <row r="9" spans="1:7" x14ac:dyDescent="0.2">
      <c r="A9">
        <v>2019</v>
      </c>
      <c r="B9" s="34">
        <v>5050</v>
      </c>
      <c r="C9" s="3" t="s">
        <v>16</v>
      </c>
      <c r="D9" s="12">
        <v>4987</v>
      </c>
      <c r="E9" s="3">
        <f>VLOOKUP(B9,'2015'!$B$2:$G$338,6,FALSE)</f>
        <v>1.5153357180231053E-2</v>
      </c>
      <c r="F9" s="3">
        <f t="shared" si="0"/>
        <v>1032191.6086639892</v>
      </c>
      <c r="G9" s="2">
        <f>SUM(F9,D9)</f>
        <v>1037178.6086639892</v>
      </c>
    </row>
    <row r="10" spans="1:7" x14ac:dyDescent="0.2">
      <c r="A10">
        <v>2019</v>
      </c>
      <c r="B10" s="34">
        <v>5107</v>
      </c>
      <c r="C10" s="3" t="s">
        <v>17</v>
      </c>
      <c r="D10" s="12">
        <v>21365</v>
      </c>
      <c r="E10" s="3">
        <f>VLOOKUP(B10,'2015'!$B$2:$G$338,6,FALSE)</f>
        <v>2.4280916304639615E-2</v>
      </c>
      <c r="F10" s="3">
        <f t="shared" si="0"/>
        <v>1653927.7575412833</v>
      </c>
      <c r="G10" s="2">
        <f>SUM(F10,D10)</f>
        <v>1675292.7575412833</v>
      </c>
    </row>
    <row r="11" spans="1:7" x14ac:dyDescent="0.2">
      <c r="A11">
        <v>2019</v>
      </c>
      <c r="B11" s="34">
        <v>5108</v>
      </c>
      <c r="C11" s="3" t="s">
        <v>18</v>
      </c>
      <c r="D11" s="12">
        <v>13808</v>
      </c>
      <c r="E11" s="3">
        <f>VLOOKUP(B11,'2015'!$B$2:$G$338,6,FALSE)</f>
        <v>3.1695507434012407E-2</v>
      </c>
      <c r="F11" s="3">
        <f t="shared" si="0"/>
        <v>2158982.7532354025</v>
      </c>
      <c r="G11" s="2">
        <f>SUM(F11,D11)</f>
        <v>2172790.7532354025</v>
      </c>
    </row>
    <row r="12" spans="1:7" x14ac:dyDescent="0.2">
      <c r="A12">
        <v>2019</v>
      </c>
      <c r="B12" s="34">
        <v>5109</v>
      </c>
      <c r="C12" s="3" t="s">
        <v>19</v>
      </c>
      <c r="D12" s="12">
        <v>48060</v>
      </c>
      <c r="E12" s="3">
        <f>VLOOKUP(B12,'2015'!$B$2:$G$338,6,FALSE)</f>
        <v>5.1177098904248042E-2</v>
      </c>
      <c r="F12" s="3">
        <f t="shared" si="0"/>
        <v>3485997.9486028599</v>
      </c>
      <c r="G12" s="2">
        <f>SUM(F12,D12)</f>
        <v>3534057.9486028599</v>
      </c>
    </row>
    <row r="13" spans="1:7" x14ac:dyDescent="0.2">
      <c r="A13">
        <v>2019</v>
      </c>
      <c r="B13" s="34">
        <v>5110</v>
      </c>
      <c r="C13" s="3" t="s">
        <v>20</v>
      </c>
      <c r="D13" s="12">
        <v>16386</v>
      </c>
      <c r="E13" s="3">
        <f>VLOOKUP(B13,'2015'!$B$2:$G$338,6,FALSE)</f>
        <v>1.0333360578457136E-2</v>
      </c>
      <c r="F13" s="3">
        <f t="shared" si="0"/>
        <v>703870.96083879739</v>
      </c>
      <c r="G13" s="2">
        <f>SUM(F13,D13)</f>
        <v>720256.96083879739</v>
      </c>
    </row>
    <row r="14" spans="1:7" x14ac:dyDescent="0.2">
      <c r="A14">
        <v>2019</v>
      </c>
      <c r="B14" s="34">
        <v>5111</v>
      </c>
      <c r="C14" s="3" t="s">
        <v>21</v>
      </c>
      <c r="D14" s="3"/>
      <c r="E14" s="3">
        <f>VLOOKUP(B14,'2015'!$B$2:$G$338,6,FALSE)</f>
        <v>1.0645672472843794E-2</v>
      </c>
      <c r="F14" s="3">
        <f t="shared" si="0"/>
        <v>725144.51183068042</v>
      </c>
      <c r="G14" s="2">
        <f>SUM(F14,D14)</f>
        <v>725144.51183068042</v>
      </c>
    </row>
    <row r="15" spans="1:7" x14ac:dyDescent="0.2">
      <c r="A15">
        <v>2019</v>
      </c>
      <c r="B15" s="34">
        <v>5112</v>
      </c>
      <c r="C15" s="3" t="s">
        <v>22</v>
      </c>
      <c r="D15" s="12">
        <v>6760</v>
      </c>
      <c r="E15" s="3">
        <f>VLOOKUP(B15,'2015'!$B$2:$G$338,6,FALSE)</f>
        <v>1.26711958199119E-2</v>
      </c>
      <c r="F15" s="3">
        <f t="shared" si="0"/>
        <v>863115.79945559322</v>
      </c>
      <c r="G15" s="2">
        <f>SUM(F15,D15)</f>
        <v>869875.79945559322</v>
      </c>
    </row>
    <row r="16" spans="1:7" x14ac:dyDescent="0.2">
      <c r="A16">
        <v>2019</v>
      </c>
      <c r="B16" s="34">
        <v>5113</v>
      </c>
      <c r="C16" s="3" t="s">
        <v>23</v>
      </c>
      <c r="D16" s="12">
        <v>10423</v>
      </c>
      <c r="E16" s="3">
        <f>VLOOKUP(B16,'2015'!$B$2:$G$338,6,FALSE)</f>
        <v>1.1491975514269418E-2</v>
      </c>
      <c r="F16" s="3">
        <f t="shared" si="0"/>
        <v>782791.5987010384</v>
      </c>
      <c r="G16" s="2">
        <f>SUM(F16,D16)</f>
        <v>793214.5987010384</v>
      </c>
    </row>
    <row r="17" spans="1:7" x14ac:dyDescent="0.2">
      <c r="A17">
        <v>2019</v>
      </c>
      <c r="B17" s="34">
        <v>5177</v>
      </c>
      <c r="C17" s="3" t="s">
        <v>24</v>
      </c>
      <c r="D17" s="12">
        <v>22632</v>
      </c>
      <c r="E17" s="3">
        <f>VLOOKUP(B17,'2015'!$B$2:$G$338,6,FALSE)</f>
        <v>1.3302968410463039E-2</v>
      </c>
      <c r="F17" s="3">
        <f t="shared" si="0"/>
        <v>906149.85183057014</v>
      </c>
      <c r="G17" s="2">
        <f>SUM(F17,D17)</f>
        <v>928781.85183057014</v>
      </c>
    </row>
    <row r="18" spans="1:7" x14ac:dyDescent="0.2">
      <c r="A18">
        <v>2019</v>
      </c>
      <c r="B18" s="34">
        <v>5178</v>
      </c>
      <c r="C18" s="3" t="s">
        <v>25</v>
      </c>
      <c r="D18" s="12">
        <v>35251</v>
      </c>
      <c r="E18" s="3">
        <f>VLOOKUP(B18,'2015'!$B$2:$G$338,6,FALSE)</f>
        <v>2.1732025416889681E-2</v>
      </c>
      <c r="F18" s="3">
        <f t="shared" si="0"/>
        <v>1480306.5754861347</v>
      </c>
      <c r="G18" s="2">
        <f>SUM(F18,D18)</f>
        <v>1515557.5754861347</v>
      </c>
    </row>
    <row r="19" spans="1:7" x14ac:dyDescent="0.2">
      <c r="A19">
        <v>2019</v>
      </c>
      <c r="B19" s="34">
        <v>5179</v>
      </c>
      <c r="C19" s="3" t="s">
        <v>26</v>
      </c>
      <c r="D19" s="12">
        <v>29838</v>
      </c>
      <c r="E19" s="3">
        <f>VLOOKUP(B19,'2015'!$B$2:$G$338,6,FALSE)</f>
        <v>1.1857958753272873E-2</v>
      </c>
      <c r="F19" s="3">
        <f t="shared" si="0"/>
        <v>807721.04659287992</v>
      </c>
      <c r="G19" s="2">
        <f>SUM(F19,D19)</f>
        <v>837559.04659287992</v>
      </c>
    </row>
    <row r="20" spans="1:7" x14ac:dyDescent="0.2">
      <c r="A20">
        <v>2019</v>
      </c>
      <c r="B20" s="34">
        <v>5180</v>
      </c>
      <c r="C20" s="3" t="s">
        <v>27</v>
      </c>
      <c r="D20" s="12">
        <v>7544</v>
      </c>
      <c r="E20" s="3">
        <f>VLOOKUP(B20,'2015'!$B$2:$G$338,6,FALSE)</f>
        <v>1.6155185392222552E-2</v>
      </c>
      <c r="F20" s="3">
        <f t="shared" si="0"/>
        <v>1100432.5048192996</v>
      </c>
      <c r="G20" s="2">
        <f>SUM(F20,D20)</f>
        <v>1107976.5048192996</v>
      </c>
    </row>
    <row r="21" spans="1:7" x14ac:dyDescent="0.2">
      <c r="A21">
        <v>2019</v>
      </c>
      <c r="B21" s="34">
        <v>5404</v>
      </c>
      <c r="C21" s="3" t="s">
        <v>28</v>
      </c>
      <c r="D21" s="12">
        <v>8258</v>
      </c>
      <c r="E21" s="3">
        <f>VLOOKUP(B21,'2015'!$B$2:$G$338,6,FALSE)</f>
        <v>1.896247337209666E-2</v>
      </c>
      <c r="F21" s="3">
        <f t="shared" si="0"/>
        <v>1291654.7575165168</v>
      </c>
      <c r="G21" s="2">
        <f>SUM(F21,D21)</f>
        <v>1299912.7575165168</v>
      </c>
    </row>
    <row r="22" spans="1:7" x14ac:dyDescent="0.2">
      <c r="A22">
        <v>2019</v>
      </c>
      <c r="B22" s="34">
        <v>5406</v>
      </c>
      <c r="C22" s="3" t="s">
        <v>29</v>
      </c>
      <c r="D22" s="12">
        <v>70033</v>
      </c>
      <c r="E22" s="3">
        <f>VLOOKUP(B22,'2015'!$B$2:$G$338,6,FALSE)</f>
        <v>0.18385655811930474</v>
      </c>
      <c r="F22" s="3">
        <f t="shared" si="0"/>
        <v>12523640.420498274</v>
      </c>
      <c r="G22" s="2">
        <f>SUM(F22,D22)</f>
        <v>12593673.420498274</v>
      </c>
    </row>
    <row r="23" spans="1:7" x14ac:dyDescent="0.2">
      <c r="A23">
        <v>2019</v>
      </c>
      <c r="B23" s="34">
        <v>5596</v>
      </c>
      <c r="C23" s="3" t="s">
        <v>30</v>
      </c>
      <c r="D23" s="12">
        <v>83347</v>
      </c>
      <c r="E23" s="3">
        <f>VLOOKUP(B23,'2015'!$B$2:$G$338,6,FALSE)</f>
        <v>1.6026551225248188E-2</v>
      </c>
      <c r="F23" s="3">
        <f t="shared" si="0"/>
        <v>1091670.4129502028</v>
      </c>
      <c r="G23" s="2">
        <f>SUM(F23,D23)</f>
        <v>1175017.4129502028</v>
      </c>
    </row>
    <row r="24" spans="1:7" x14ac:dyDescent="0.2">
      <c r="A24">
        <v>2019</v>
      </c>
      <c r="B24" s="34">
        <v>5600</v>
      </c>
      <c r="C24" s="3" t="s">
        <v>31</v>
      </c>
      <c r="D24" s="12">
        <v>82485</v>
      </c>
      <c r="E24" s="3">
        <f>VLOOKUP(B24,'2015'!$B$2:$G$338,6,FALSE)</f>
        <v>1.8681545381490052E-2</v>
      </c>
      <c r="F24" s="3">
        <f t="shared" si="0"/>
        <v>1272518.9639696407</v>
      </c>
      <c r="G24" s="2">
        <f>SUM(F24,D24)</f>
        <v>1355003.9639696407</v>
      </c>
    </row>
    <row r="25" spans="1:7" x14ac:dyDescent="0.2">
      <c r="A25">
        <v>2019</v>
      </c>
      <c r="B25" s="34">
        <v>5604</v>
      </c>
      <c r="C25" s="3" t="s">
        <v>32</v>
      </c>
      <c r="D25" s="12">
        <v>59406</v>
      </c>
      <c r="E25" s="3">
        <f>VLOOKUP(B25,'2015'!$B$2:$G$338,6,FALSE)</f>
        <v>1.7146633455502592E-2</v>
      </c>
      <c r="F25" s="3">
        <f t="shared" si="0"/>
        <v>1167966.3429762258</v>
      </c>
      <c r="G25" s="2">
        <f>SUM(F25,D25)</f>
        <v>1227372.3429762258</v>
      </c>
    </row>
    <row r="26" spans="1:7" x14ac:dyDescent="0.2">
      <c r="A26">
        <v>2019</v>
      </c>
      <c r="B26" s="34">
        <v>5608</v>
      </c>
      <c r="C26" s="3" t="s">
        <v>33</v>
      </c>
      <c r="D26" s="12">
        <v>14809</v>
      </c>
      <c r="E26" s="3">
        <f>VLOOKUP(B26,'2015'!$B$2:$G$338,6,FALSE)</f>
        <v>1.6119618443439378E-2</v>
      </c>
      <c r="F26" s="3">
        <f t="shared" si="0"/>
        <v>1098009.8135540485</v>
      </c>
      <c r="G26" s="2">
        <f>SUM(F26,D26)</f>
        <v>1112818.8135540485</v>
      </c>
    </row>
    <row r="27" spans="1:7" x14ac:dyDescent="0.2">
      <c r="A27">
        <v>2019</v>
      </c>
      <c r="B27" s="34">
        <v>5609</v>
      </c>
      <c r="C27" s="3" t="s">
        <v>34</v>
      </c>
      <c r="D27" s="12">
        <v>59794</v>
      </c>
      <c r="E27" s="3">
        <f>VLOOKUP(B27,'2015'!$B$2:$G$338,6,FALSE)</f>
        <v>1.7566288039122847E-2</v>
      </c>
      <c r="F27" s="3">
        <f t="shared" si="0"/>
        <v>1196551.687768026</v>
      </c>
      <c r="G27" s="2">
        <f>SUM(F27,D27)</f>
        <v>1256345.687768026</v>
      </c>
    </row>
    <row r="28" spans="1:7" x14ac:dyDescent="0.2">
      <c r="A28">
        <v>2019</v>
      </c>
      <c r="B28" s="34">
        <v>5612</v>
      </c>
      <c r="C28" s="3" t="s">
        <v>35</v>
      </c>
      <c r="D28" s="12">
        <v>96575</v>
      </c>
      <c r="E28" s="3">
        <f>VLOOKUP(B28,'2015'!$B$2:$G$338,6,FALSE)</f>
        <v>3.6267907610125244E-2</v>
      </c>
      <c r="F28" s="3">
        <f t="shared" si="0"/>
        <v>2470438.032557569</v>
      </c>
      <c r="G28" s="2">
        <f>SUM(F28,D28)</f>
        <v>2567013.032557569</v>
      </c>
    </row>
    <row r="29" spans="1:7" x14ac:dyDescent="0.2">
      <c r="A29">
        <v>2019</v>
      </c>
      <c r="B29" s="34">
        <v>5624</v>
      </c>
      <c r="C29" s="3" t="s">
        <v>36</v>
      </c>
      <c r="D29" s="12">
        <v>36784</v>
      </c>
      <c r="E29" s="3">
        <f>VLOOKUP(B29,'2015'!$B$2:$G$338,6,FALSE)</f>
        <v>1.2935059642807353E-2</v>
      </c>
      <c r="F29" s="3">
        <f t="shared" si="0"/>
        <v>881089.24392623524</v>
      </c>
      <c r="G29" s="2">
        <f>SUM(F29,D29)</f>
        <v>917873.24392623524</v>
      </c>
    </row>
    <row r="30" spans="1:7" x14ac:dyDescent="0.2">
      <c r="A30">
        <v>2019</v>
      </c>
      <c r="B30" s="34">
        <v>5626</v>
      </c>
      <c r="C30" s="3" t="s">
        <v>37</v>
      </c>
      <c r="D30" s="12">
        <v>43060</v>
      </c>
      <c r="E30" s="3">
        <f>VLOOKUP(B30,'2015'!$B$2:$G$338,6,FALSE)</f>
        <v>1.5028308480402224E-2</v>
      </c>
      <c r="F30" s="3">
        <f t="shared" si="0"/>
        <v>1023673.7457836733</v>
      </c>
      <c r="G30" s="2">
        <f>SUM(F30,D30)</f>
        <v>1066733.7457836731</v>
      </c>
    </row>
    <row r="31" spans="1:7" x14ac:dyDescent="0.2">
      <c r="A31">
        <v>2019</v>
      </c>
      <c r="B31" s="34">
        <v>5634</v>
      </c>
      <c r="C31" s="3" t="s">
        <v>38</v>
      </c>
      <c r="D31" s="12">
        <v>75151</v>
      </c>
      <c r="E31" s="3">
        <f>VLOOKUP(B31,'2015'!$B$2:$G$338,6,FALSE)</f>
        <v>2.1955563800654488E-2</v>
      </c>
      <c r="F31" s="3">
        <f t="shared" si="0"/>
        <v>1495533.1976261684</v>
      </c>
      <c r="G31" s="2">
        <f>SUM(F31,D31)</f>
        <v>1570684.1976261684</v>
      </c>
    </row>
    <row r="32" spans="1:7" x14ac:dyDescent="0.2">
      <c r="A32">
        <v>2019</v>
      </c>
      <c r="B32" s="34">
        <v>5638</v>
      </c>
      <c r="C32" s="3" t="s">
        <v>39</v>
      </c>
      <c r="D32" s="12">
        <v>37186</v>
      </c>
      <c r="E32" s="3">
        <f>VLOOKUP(B32,'2015'!$B$2:$G$338,6,FALSE)</f>
        <v>1.1550715204419101E-2</v>
      </c>
      <c r="F32" s="3">
        <f t="shared" si="0"/>
        <v>786792.73287526111</v>
      </c>
      <c r="G32" s="2">
        <f>SUM(F32,D32)</f>
        <v>823978.73287526111</v>
      </c>
    </row>
    <row r="33" spans="1:7" x14ac:dyDescent="0.2">
      <c r="A33">
        <v>2019</v>
      </c>
      <c r="B33" s="34">
        <v>5655</v>
      </c>
      <c r="C33" s="3" t="s">
        <v>40</v>
      </c>
      <c r="D33" s="3"/>
      <c r="E33" s="3">
        <f>VLOOKUP(B33,'2015'!$B$2:$G$338,6,FALSE)</f>
        <v>5.1934606302538574E-3</v>
      </c>
      <c r="F33" s="3">
        <f t="shared" si="0"/>
        <v>353759.6599035018</v>
      </c>
      <c r="G33" s="2">
        <f>SUM(F33,D33)</f>
        <v>353759.6599035018</v>
      </c>
    </row>
    <row r="34" spans="1:7" x14ac:dyDescent="0.2">
      <c r="A34">
        <v>2019</v>
      </c>
      <c r="B34" s="34">
        <v>5657</v>
      </c>
      <c r="C34" s="3" t="s">
        <v>41</v>
      </c>
      <c r="D34" s="12">
        <v>1286</v>
      </c>
      <c r="E34" s="3">
        <f>VLOOKUP(B34,'2015'!$B$2:$G$338,6,FALSE)</f>
        <v>2.8683294514011727E-3</v>
      </c>
      <c r="F34" s="3">
        <f t="shared" si="0"/>
        <v>195380.17585189204</v>
      </c>
      <c r="G34" s="2">
        <f>SUM(F34,D34)</f>
        <v>196666.17585189204</v>
      </c>
    </row>
    <row r="35" spans="1:7" x14ac:dyDescent="0.2">
      <c r="A35">
        <v>2019</v>
      </c>
      <c r="B35" s="34">
        <v>5671</v>
      </c>
      <c r="C35" s="3" t="s">
        <v>42</v>
      </c>
      <c r="D35" s="12">
        <v>25099</v>
      </c>
      <c r="E35" s="3">
        <f>VLOOKUP(B35,'2015'!$B$2:$G$338,6,FALSE)</f>
        <v>6.9584842964396064E-3</v>
      </c>
      <c r="F35" s="3">
        <f t="shared" si="0"/>
        <v>473986.65618304844</v>
      </c>
      <c r="G35" s="2">
        <f>SUM(F35,D35)</f>
        <v>499085.65618304844</v>
      </c>
    </row>
    <row r="36" spans="1:7" x14ac:dyDescent="0.2">
      <c r="A36">
        <v>2019</v>
      </c>
      <c r="B36" s="34">
        <v>5682</v>
      </c>
      <c r="C36" s="3" t="s">
        <v>43</v>
      </c>
      <c r="D36" s="12">
        <v>130055</v>
      </c>
      <c r="E36" s="3">
        <f>VLOOKUP(B36,'2015'!$B$2:$G$338,6,FALSE)</f>
        <v>4.9492217068518966E-2</v>
      </c>
      <c r="F36" s="3">
        <f t="shared" si="0"/>
        <v>3371229.9224984678</v>
      </c>
      <c r="G36" s="2">
        <f>SUM(F36,D36)</f>
        <v>3501284.9224984678</v>
      </c>
    </row>
    <row r="37" spans="1:7" x14ac:dyDescent="0.2">
      <c r="A37">
        <v>2019</v>
      </c>
      <c r="B37" s="34">
        <v>5688</v>
      </c>
      <c r="C37" s="3" t="s">
        <v>44</v>
      </c>
      <c r="D37" s="12">
        <v>4984</v>
      </c>
      <c r="E37" s="3">
        <f>VLOOKUP(B37,'2015'!$B$2:$G$338,6,FALSE)</f>
        <v>5.5749366285281409E-3</v>
      </c>
      <c r="F37" s="3">
        <f t="shared" si="0"/>
        <v>379744.41824069223</v>
      </c>
      <c r="G37" s="2">
        <f>SUM(F37,D37)</f>
        <v>384728.41824069223</v>
      </c>
    </row>
    <row r="38" spans="1:7" x14ac:dyDescent="0.2">
      <c r="A38">
        <v>2019</v>
      </c>
      <c r="B38" s="34">
        <v>9034</v>
      </c>
      <c r="C38" s="3" t="s">
        <v>45</v>
      </c>
      <c r="D38" s="12">
        <v>53007</v>
      </c>
      <c r="E38" s="3">
        <f>VLOOKUP(B38,'2015'!$B$2:$G$338,6,FALSE)</f>
        <v>1.0344603895185109E-2</v>
      </c>
      <c r="F38" s="3">
        <f t="shared" si="0"/>
        <v>704636.81470485067</v>
      </c>
      <c r="G38" s="2">
        <f>SUM(F38,D38)</f>
        <v>757643.81470485067</v>
      </c>
    </row>
    <row r="39" spans="1:7" x14ac:dyDescent="0.2">
      <c r="A39">
        <v>2019</v>
      </c>
      <c r="B39" s="34">
        <v>9042</v>
      </c>
      <c r="C39" s="3" t="s">
        <v>46</v>
      </c>
      <c r="D39" s="12">
        <v>11258</v>
      </c>
      <c r="E39" s="3">
        <f>VLOOKUP(B39,'2015'!$B$2:$G$338,6,FALSE)</f>
        <v>6.7431128100618474E-3</v>
      </c>
      <c r="F39" s="3">
        <f t="shared" si="0"/>
        <v>459316.33340634848</v>
      </c>
      <c r="G39" s="2">
        <f>SUM(F39,D39)</f>
        <v>470574.33340634848</v>
      </c>
    </row>
    <row r="40" spans="1:7" x14ac:dyDescent="0.2">
      <c r="A40">
        <v>2019</v>
      </c>
      <c r="B40" s="34">
        <v>9047</v>
      </c>
      <c r="C40" s="3" t="s">
        <v>47</v>
      </c>
      <c r="D40" s="12">
        <v>25550</v>
      </c>
      <c r="E40" s="3">
        <f>VLOOKUP(B40,'2015'!$B$2:$G$338,6,FALSE)</f>
        <v>5.8226437167554438E-3</v>
      </c>
      <c r="F40" s="3">
        <f t="shared" si="0"/>
        <v>396617.32467547042</v>
      </c>
      <c r="G40" s="2">
        <f>SUM(F40,D40)</f>
        <v>422167.32467547042</v>
      </c>
    </row>
    <row r="41" spans="1:7" x14ac:dyDescent="0.2">
      <c r="A41">
        <v>2019</v>
      </c>
      <c r="B41" s="34">
        <v>9053</v>
      </c>
      <c r="C41" s="3" t="s">
        <v>48</v>
      </c>
      <c r="D41" s="3"/>
      <c r="E41" s="3">
        <f>VLOOKUP(B41,'2015'!$B$2:$G$338,6,FALSE)</f>
        <v>3.2831370146209815E-4</v>
      </c>
      <c r="F41" s="3">
        <f t="shared" si="0"/>
        <v>22363.535923293311</v>
      </c>
      <c r="G41" s="2">
        <f>SUM(F41,D41)</f>
        <v>22363.535923293311</v>
      </c>
    </row>
    <row r="42" spans="1:7" x14ac:dyDescent="0.2">
      <c r="A42">
        <v>2019</v>
      </c>
      <c r="B42" s="34">
        <v>9055</v>
      </c>
      <c r="C42" s="3" t="s">
        <v>49</v>
      </c>
      <c r="D42" s="12">
        <v>54225</v>
      </c>
      <c r="E42" s="3">
        <f>VLOOKUP(B42,'2015'!$B$2:$G$338,6,FALSE)</f>
        <v>6.5073794114995712E-3</v>
      </c>
      <c r="F42" s="3">
        <f t="shared" si="0"/>
        <v>443259.03118718998</v>
      </c>
      <c r="G42" s="2">
        <f>SUM(F42,D42)</f>
        <v>497484.03118718998</v>
      </c>
    </row>
    <row r="43" spans="1:7" x14ac:dyDescent="0.2">
      <c r="A43">
        <v>2019</v>
      </c>
      <c r="B43" s="34">
        <v>9056</v>
      </c>
      <c r="C43" s="3" t="s">
        <v>50</v>
      </c>
      <c r="D43" s="3"/>
      <c r="E43" s="3">
        <f>VLOOKUP(B43,'2015'!$B$2:$G$338,6,FALSE)</f>
        <v>5.467107024003175E-3</v>
      </c>
      <c r="F43" s="3">
        <f t="shared" si="0"/>
        <v>372399.45754106401</v>
      </c>
      <c r="G43" s="2">
        <f>SUM(F43,D43)</f>
        <v>372399.45754106401</v>
      </c>
    </row>
    <row r="44" spans="1:7" x14ac:dyDescent="0.2">
      <c r="A44">
        <v>2019</v>
      </c>
      <c r="B44" s="34">
        <v>9273</v>
      </c>
      <c r="C44" s="3" t="s">
        <v>51</v>
      </c>
      <c r="D44" s="12">
        <v>1541</v>
      </c>
      <c r="E44" s="3">
        <f>VLOOKUP(B44,'2015'!$B$2:$G$338,6,FALSE)</f>
        <v>1.0952362708866464E-2</v>
      </c>
      <c r="F44" s="3">
        <f t="shared" si="0"/>
        <v>746035.13588953682</v>
      </c>
      <c r="G44" s="2">
        <f>SUM(F44,D44)</f>
        <v>747576.13588953682</v>
      </c>
    </row>
    <row r="45" spans="1:7" x14ac:dyDescent="0.2">
      <c r="A45">
        <v>2019</v>
      </c>
      <c r="B45" s="34">
        <v>9274</v>
      </c>
      <c r="C45" s="3" t="s">
        <v>52</v>
      </c>
      <c r="D45" s="12">
        <v>37268</v>
      </c>
      <c r="E45" s="3">
        <f>VLOOKUP(B45,'2015'!$B$2:$G$338,6,FALSE)</f>
        <v>2.9805855585749469E-2</v>
      </c>
      <c r="F45" s="3">
        <f t="shared" si="0"/>
        <v>2030266.5382161997</v>
      </c>
      <c r="G45" s="2">
        <f>SUM(F45,D45)</f>
        <v>2067534.5382161997</v>
      </c>
    </row>
    <row r="46" spans="1:7" x14ac:dyDescent="0.2">
      <c r="A46">
        <v>2019</v>
      </c>
      <c r="B46" s="34">
        <v>9303</v>
      </c>
      <c r="C46" s="3" t="s">
        <v>363</v>
      </c>
      <c r="D46" s="12">
        <v>2658</v>
      </c>
      <c r="E46" s="3">
        <f>VLOOKUP(B46,'2015'!$B$2:$G$338,6,FALSE)</f>
        <v>2.0704036574243728E-2</v>
      </c>
      <c r="F46" s="3">
        <f t="shared" si="0"/>
        <v>1410283.7122645353</v>
      </c>
      <c r="G46" s="2">
        <f>SUM(F46,D46)</f>
        <v>1412941.7122645353</v>
      </c>
    </row>
    <row r="47" spans="1:7" x14ac:dyDescent="0.2">
      <c r="A47">
        <v>2019</v>
      </c>
      <c r="B47" s="34">
        <v>9304</v>
      </c>
      <c r="C47" s="3" t="s">
        <v>54</v>
      </c>
      <c r="D47" s="3"/>
      <c r="E47" s="3">
        <f>VLOOKUP(B47,'2015'!$B$2:$G$338,6,FALSE)</f>
        <v>6.982210350637218E-3</v>
      </c>
      <c r="F47" s="3">
        <f t="shared" si="0"/>
        <v>475602.78875078273</v>
      </c>
      <c r="G47" s="2">
        <f>SUM(F47,D47)</f>
        <v>475602.78875078273</v>
      </c>
    </row>
    <row r="48" spans="1:7" x14ac:dyDescent="0.2">
      <c r="A48">
        <v>2019</v>
      </c>
      <c r="B48" s="34">
        <v>9305</v>
      </c>
      <c r="C48" s="3" t="s">
        <v>55</v>
      </c>
      <c r="D48" s="12">
        <v>20663</v>
      </c>
      <c r="E48" s="3">
        <f>VLOOKUP(B48,'2015'!$B$2:$G$338,6,FALSE)</f>
        <v>8.0967373200673699E-3</v>
      </c>
      <c r="F48" s="3">
        <f t="shared" si="0"/>
        <v>551520.3146028308</v>
      </c>
      <c r="G48" s="2">
        <f>SUM(F48,D48)</f>
        <v>572183.3146028308</v>
      </c>
    </row>
    <row r="49" spans="1:7" x14ac:dyDescent="0.2">
      <c r="A49">
        <v>2019</v>
      </c>
      <c r="B49" s="34">
        <v>9395</v>
      </c>
      <c r="C49" s="3" t="s">
        <v>56</v>
      </c>
      <c r="D49" s="12">
        <v>3303</v>
      </c>
      <c r="E49" s="3">
        <f>VLOOKUP(B49,'2015'!$B$2:$G$338,6,FALSE)</f>
        <v>5.0036743291862092E-3</v>
      </c>
      <c r="F49" s="3">
        <f t="shared" si="0"/>
        <v>340832.10694797797</v>
      </c>
      <c r="G49" s="2">
        <f>SUM(F49,D49)</f>
        <v>344135.10694797797</v>
      </c>
    </row>
    <row r="50" spans="1:7" x14ac:dyDescent="0.2">
      <c r="A50">
        <v>2019</v>
      </c>
      <c r="B50" s="34">
        <v>9487</v>
      </c>
      <c r="C50" s="3" t="s">
        <v>57</v>
      </c>
      <c r="D50" s="12">
        <v>12660</v>
      </c>
      <c r="E50" s="3">
        <f>VLOOKUP(B50,'2015'!$B$2:$G$338,6,FALSE)</f>
        <v>5.106634780797486E-4</v>
      </c>
      <c r="F50" s="3">
        <f t="shared" si="0"/>
        <v>34784.539865049657</v>
      </c>
      <c r="G50" s="2">
        <f>SUM(F50,D50)</f>
        <v>47444.539865049657</v>
      </c>
    </row>
    <row r="51" spans="1:7" x14ac:dyDescent="0.2">
      <c r="A51">
        <v>2019</v>
      </c>
      <c r="B51" s="34">
        <v>9507</v>
      </c>
      <c r="C51" s="3" t="s">
        <v>58</v>
      </c>
      <c r="D51" s="12">
        <v>59117</v>
      </c>
      <c r="E51" s="3">
        <f>VLOOKUP(B51,'2015'!$B$2:$G$338,6,FALSE)</f>
        <v>2.7714554409320073E-2</v>
      </c>
      <c r="F51" s="3">
        <f t="shared" si="0"/>
        <v>1887814.7039576054</v>
      </c>
      <c r="G51" s="2">
        <f>SUM(F51,D51)</f>
        <v>1946931.7039576054</v>
      </c>
    </row>
    <row r="52" spans="1:7" x14ac:dyDescent="0.2">
      <c r="A52">
        <v>2019</v>
      </c>
      <c r="B52" s="34">
        <v>4828</v>
      </c>
      <c r="C52" s="3" t="s">
        <v>59</v>
      </c>
      <c r="D52" s="12">
        <v>3297349</v>
      </c>
      <c r="E52" s="3">
        <f>VLOOKUP(B52,'2015'!$B$2:$G$338,6,FALSE)</f>
        <v>0</v>
      </c>
      <c r="F52" s="3">
        <f t="shared" si="0"/>
        <v>0</v>
      </c>
      <c r="G52" s="2">
        <f>SUM(F52,D52)</f>
        <v>3297349</v>
      </c>
    </row>
    <row r="53" spans="1:7" x14ac:dyDescent="0.2">
      <c r="A53">
        <v>2019</v>
      </c>
      <c r="B53" s="34">
        <v>4829</v>
      </c>
      <c r="C53" s="3" t="s">
        <v>60</v>
      </c>
      <c r="D53" s="12">
        <v>1608601</v>
      </c>
      <c r="E53" s="3">
        <f>VLOOKUP(B53,'2015'!$B$2:$G$338,6,FALSE)</f>
        <v>0</v>
      </c>
      <c r="F53" s="3">
        <f t="shared" si="0"/>
        <v>0</v>
      </c>
      <c r="G53" s="2">
        <f>SUM(F53,D53)</f>
        <v>1608601</v>
      </c>
    </row>
    <row r="54" spans="1:7" x14ac:dyDescent="0.2">
      <c r="A54">
        <v>2019</v>
      </c>
      <c r="B54" s="34">
        <v>4871</v>
      </c>
      <c r="C54" s="3" t="s">
        <v>61</v>
      </c>
      <c r="D54" s="12">
        <v>456320</v>
      </c>
      <c r="E54" s="3">
        <f>VLOOKUP(B54,'2015'!$B$2:$G$338,6,FALSE)</f>
        <v>0</v>
      </c>
      <c r="F54" s="3">
        <f t="shared" si="0"/>
        <v>0</v>
      </c>
      <c r="G54" s="2">
        <f>SUM(F54,D54)</f>
        <v>456320</v>
      </c>
    </row>
    <row r="55" spans="1:7" x14ac:dyDescent="0.2">
      <c r="A55">
        <v>2019</v>
      </c>
      <c r="B55" s="34">
        <v>4882</v>
      </c>
      <c r="C55" s="3" t="s">
        <v>62</v>
      </c>
      <c r="D55" s="12">
        <v>2525381</v>
      </c>
      <c r="E55" s="3">
        <f>VLOOKUP(B55,'2015'!$B$2:$G$338,6,FALSE)</f>
        <v>0</v>
      </c>
      <c r="F55" s="3">
        <f t="shared" si="0"/>
        <v>0</v>
      </c>
      <c r="G55" s="2">
        <f>SUM(F55,D55)</f>
        <v>2525381</v>
      </c>
    </row>
    <row r="56" spans="1:7" x14ac:dyDescent="0.2">
      <c r="A56">
        <v>2019</v>
      </c>
      <c r="B56" s="34">
        <v>4912</v>
      </c>
      <c r="C56" s="3" t="s">
        <v>63</v>
      </c>
      <c r="D56" s="12">
        <v>465239</v>
      </c>
      <c r="E56" s="3">
        <f>VLOOKUP(B56,'2015'!$B$2:$G$338,6,FALSE)</f>
        <v>0</v>
      </c>
      <c r="F56" s="3">
        <f t="shared" si="0"/>
        <v>0</v>
      </c>
      <c r="G56" s="2">
        <f>SUM(F56,D56)</f>
        <v>465239</v>
      </c>
    </row>
    <row r="57" spans="1:7" x14ac:dyDescent="0.2">
      <c r="A57">
        <v>2019</v>
      </c>
      <c r="B57" s="34">
        <v>4977</v>
      </c>
      <c r="C57" s="3" t="s">
        <v>64</v>
      </c>
      <c r="D57" s="12">
        <v>219307</v>
      </c>
      <c r="E57" s="3">
        <f>VLOOKUP(B57,'2015'!$B$2:$G$338,6,FALSE)</f>
        <v>0</v>
      </c>
      <c r="F57" s="3">
        <f t="shared" si="0"/>
        <v>0</v>
      </c>
      <c r="G57" s="2">
        <f>SUM(F57,D57)</f>
        <v>219307</v>
      </c>
    </row>
    <row r="58" spans="1:7" x14ac:dyDescent="0.2">
      <c r="A58">
        <v>2019</v>
      </c>
      <c r="B58" s="34">
        <v>4978</v>
      </c>
      <c r="C58" s="3" t="s">
        <v>65</v>
      </c>
      <c r="D58" s="12">
        <v>28650545</v>
      </c>
      <c r="E58" s="3">
        <f>VLOOKUP(B58,'2015'!$B$2:$G$338,6,FALSE)</f>
        <v>0</v>
      </c>
      <c r="F58" s="3">
        <f t="shared" si="0"/>
        <v>0</v>
      </c>
      <c r="G58" s="2">
        <f>SUM(F58,D58)</f>
        <v>28650545</v>
      </c>
    </row>
    <row r="59" spans="1:7" x14ac:dyDescent="0.2">
      <c r="A59">
        <v>2019</v>
      </c>
      <c r="B59" s="34">
        <v>4979</v>
      </c>
      <c r="C59" s="3" t="s">
        <v>66</v>
      </c>
      <c r="D59" s="12">
        <v>102476</v>
      </c>
      <c r="E59" s="3">
        <f>VLOOKUP(B59,'2015'!$B$2:$G$338,6,FALSE)</f>
        <v>0</v>
      </c>
      <c r="F59" s="3">
        <f t="shared" si="0"/>
        <v>0</v>
      </c>
      <c r="G59" s="2">
        <f>SUM(F59,D59)</f>
        <v>102476</v>
      </c>
    </row>
    <row r="60" spans="1:7" x14ac:dyDescent="0.2">
      <c r="A60">
        <v>2019</v>
      </c>
      <c r="B60" s="34">
        <v>4980</v>
      </c>
      <c r="C60" s="3" t="s">
        <v>67</v>
      </c>
      <c r="D60" s="12">
        <v>2298189</v>
      </c>
      <c r="E60" s="3">
        <f>VLOOKUP(B60,'2015'!$B$2:$G$338,6,FALSE)</f>
        <v>0</v>
      </c>
      <c r="F60" s="3">
        <f t="shared" si="0"/>
        <v>0</v>
      </c>
      <c r="G60" s="2">
        <f>SUM(F60,D60)</f>
        <v>2298189</v>
      </c>
    </row>
    <row r="61" spans="1:7" x14ac:dyDescent="0.2">
      <c r="A61">
        <v>2019</v>
      </c>
      <c r="B61" s="34">
        <v>4981</v>
      </c>
      <c r="C61" s="3" t="s">
        <v>68</v>
      </c>
      <c r="D61" s="12">
        <v>4903117</v>
      </c>
      <c r="E61" s="3">
        <f>VLOOKUP(B61,'2015'!$B$2:$G$338,6,FALSE)</f>
        <v>0</v>
      </c>
      <c r="F61" s="3">
        <f t="shared" si="0"/>
        <v>0</v>
      </c>
      <c r="G61" s="2">
        <f>SUM(F61,D61)</f>
        <v>4903117</v>
      </c>
    </row>
    <row r="62" spans="1:7" x14ac:dyDescent="0.2">
      <c r="A62">
        <v>2019</v>
      </c>
      <c r="B62" s="34">
        <v>4982</v>
      </c>
      <c r="C62" s="3" t="s">
        <v>69</v>
      </c>
      <c r="D62" s="12">
        <v>48108249</v>
      </c>
      <c r="E62" s="3">
        <f>VLOOKUP(B62,'2015'!$B$2:$G$338,6,FALSE)</f>
        <v>0</v>
      </c>
      <c r="F62" s="3">
        <f t="shared" si="0"/>
        <v>0</v>
      </c>
      <c r="G62" s="2">
        <f>SUM(F62,D62)</f>
        <v>48108249</v>
      </c>
    </row>
    <row r="63" spans="1:7" x14ac:dyDescent="0.2">
      <c r="A63">
        <v>2019</v>
      </c>
      <c r="B63" s="34">
        <v>4983</v>
      </c>
      <c r="C63" s="3" t="s">
        <v>70</v>
      </c>
      <c r="D63" s="12">
        <v>6038281</v>
      </c>
      <c r="E63" s="3">
        <f>VLOOKUP(B63,'2015'!$B$2:$G$338,6,FALSE)</f>
        <v>0</v>
      </c>
      <c r="F63" s="3">
        <f t="shared" si="0"/>
        <v>0</v>
      </c>
      <c r="G63" s="2">
        <f>SUM(F63,D63)</f>
        <v>6038281</v>
      </c>
    </row>
    <row r="64" spans="1:7" x14ac:dyDescent="0.2">
      <c r="A64">
        <v>2019</v>
      </c>
      <c r="B64" s="34">
        <v>4984</v>
      </c>
      <c r="C64" s="3" t="s">
        <v>71</v>
      </c>
      <c r="D64" s="12">
        <v>1971383</v>
      </c>
      <c r="E64" s="3">
        <f>VLOOKUP(B64,'2015'!$B$2:$G$338,6,FALSE)</f>
        <v>0</v>
      </c>
      <c r="F64" s="3">
        <f t="shared" si="0"/>
        <v>0</v>
      </c>
      <c r="G64" s="2">
        <f>SUM(F64,D64)</f>
        <v>1971383</v>
      </c>
    </row>
    <row r="65" spans="1:7" x14ac:dyDescent="0.2">
      <c r="A65">
        <v>2019</v>
      </c>
      <c r="B65" s="34">
        <v>4985</v>
      </c>
      <c r="C65" s="3" t="s">
        <v>72</v>
      </c>
      <c r="D65" s="12">
        <v>4032178</v>
      </c>
      <c r="E65" s="3">
        <f>VLOOKUP(B65,'2015'!$B$2:$G$338,6,FALSE)</f>
        <v>0</v>
      </c>
      <c r="F65" s="3">
        <f t="shared" si="0"/>
        <v>0</v>
      </c>
      <c r="G65" s="2">
        <f>SUM(F65,D65)</f>
        <v>4032178</v>
      </c>
    </row>
    <row r="66" spans="1:7" x14ac:dyDescent="0.2">
      <c r="A66">
        <v>2019</v>
      </c>
      <c r="B66" s="34">
        <v>4986</v>
      </c>
      <c r="C66" s="3" t="s">
        <v>73</v>
      </c>
      <c r="D66" s="12">
        <v>4603555</v>
      </c>
      <c r="E66" s="3">
        <f>VLOOKUP(B66,'2015'!$B$2:$G$338,6,FALSE)</f>
        <v>0</v>
      </c>
      <c r="F66" s="3">
        <f t="shared" si="0"/>
        <v>0</v>
      </c>
      <c r="G66" s="2">
        <f>SUM(F66,D66)</f>
        <v>4603555</v>
      </c>
    </row>
    <row r="67" spans="1:7" x14ac:dyDescent="0.2">
      <c r="A67">
        <v>2019</v>
      </c>
      <c r="B67" s="34">
        <v>4987</v>
      </c>
      <c r="C67" s="3" t="s">
        <v>74</v>
      </c>
      <c r="D67" s="12">
        <v>613871</v>
      </c>
      <c r="E67" s="3">
        <f>VLOOKUP(B67,'2015'!$B$2:$G$338,6,FALSE)</f>
        <v>0</v>
      </c>
      <c r="F67" s="3">
        <f t="shared" ref="F67:F130" si="1">E67*$D$341</f>
        <v>0</v>
      </c>
      <c r="G67" s="2">
        <f>SUM(F67,D67)</f>
        <v>613871</v>
      </c>
    </row>
    <row r="68" spans="1:7" x14ac:dyDescent="0.2">
      <c r="A68">
        <v>2019</v>
      </c>
      <c r="B68" s="34">
        <v>4988</v>
      </c>
      <c r="C68" s="3" t="s">
        <v>75</v>
      </c>
      <c r="D68" s="12">
        <v>2300020</v>
      </c>
      <c r="E68" s="3">
        <f>VLOOKUP(B68,'2015'!$B$2:$G$338,6,FALSE)</f>
        <v>0</v>
      </c>
      <c r="F68" s="3">
        <f t="shared" si="1"/>
        <v>0</v>
      </c>
      <c r="G68" s="2">
        <f>SUM(F68,D68)</f>
        <v>2300020</v>
      </c>
    </row>
    <row r="69" spans="1:7" x14ac:dyDescent="0.2">
      <c r="A69">
        <v>2019</v>
      </c>
      <c r="B69" s="34">
        <v>4990</v>
      </c>
      <c r="C69" s="3" t="s">
        <v>76</v>
      </c>
      <c r="D69" s="12">
        <v>140097</v>
      </c>
      <c r="E69" s="3">
        <f>VLOOKUP(B69,'2015'!$B$2:$G$338,6,FALSE)</f>
        <v>0</v>
      </c>
      <c r="F69" s="3">
        <f t="shared" si="1"/>
        <v>0</v>
      </c>
      <c r="G69" s="2">
        <f>SUM(F69,D69)</f>
        <v>140097</v>
      </c>
    </row>
    <row r="70" spans="1:7" x14ac:dyDescent="0.2">
      <c r="A70">
        <v>2019</v>
      </c>
      <c r="B70" s="34">
        <v>4991</v>
      </c>
      <c r="C70" s="3" t="s">
        <v>77</v>
      </c>
      <c r="D70" s="12">
        <v>1025698</v>
      </c>
      <c r="E70" s="3">
        <f>VLOOKUP(B70,'2015'!$B$2:$G$338,6,FALSE)</f>
        <v>0</v>
      </c>
      <c r="F70" s="3">
        <f t="shared" si="1"/>
        <v>0</v>
      </c>
      <c r="G70" s="2">
        <f>SUM(F70,D70)</f>
        <v>1025698</v>
      </c>
    </row>
    <row r="71" spans="1:7" x14ac:dyDescent="0.2">
      <c r="A71">
        <v>2019</v>
      </c>
      <c r="B71" s="34">
        <v>4992</v>
      </c>
      <c r="C71" s="3" t="s">
        <v>78</v>
      </c>
      <c r="D71" s="12">
        <v>242469</v>
      </c>
      <c r="E71" s="3">
        <f>VLOOKUP(B71,'2015'!$B$2:$G$338,6,FALSE)</f>
        <v>0</v>
      </c>
      <c r="F71" s="3">
        <f t="shared" si="1"/>
        <v>0</v>
      </c>
      <c r="G71" s="2">
        <f>SUM(F71,D71)</f>
        <v>242469</v>
      </c>
    </row>
    <row r="72" spans="1:7" x14ac:dyDescent="0.2">
      <c r="A72">
        <v>2019</v>
      </c>
      <c r="B72" s="34">
        <v>4993</v>
      </c>
      <c r="C72" s="3" t="s">
        <v>79</v>
      </c>
      <c r="D72" s="12">
        <v>779588</v>
      </c>
      <c r="E72" s="3">
        <f>VLOOKUP(B72,'2015'!$B$2:$G$338,6,FALSE)</f>
        <v>0</v>
      </c>
      <c r="F72" s="3">
        <f t="shared" si="1"/>
        <v>0</v>
      </c>
      <c r="G72" s="2">
        <f>SUM(F72,D72)</f>
        <v>779588</v>
      </c>
    </row>
    <row r="73" spans="1:7" x14ac:dyDescent="0.2">
      <c r="A73">
        <v>2019</v>
      </c>
      <c r="B73" s="34">
        <v>4994</v>
      </c>
      <c r="C73" s="3" t="s">
        <v>80</v>
      </c>
      <c r="D73" s="12">
        <v>172781</v>
      </c>
      <c r="E73" s="3">
        <f>VLOOKUP(B73,'2015'!$B$2:$G$338,6,FALSE)</f>
        <v>0</v>
      </c>
      <c r="F73" s="3">
        <f t="shared" si="1"/>
        <v>0</v>
      </c>
      <c r="G73" s="2">
        <f>SUM(F73,D73)</f>
        <v>172781</v>
      </c>
    </row>
    <row r="74" spans="1:7" x14ac:dyDescent="0.2">
      <c r="A74">
        <v>2019</v>
      </c>
      <c r="B74" s="34">
        <v>4995</v>
      </c>
      <c r="C74" s="3" t="s">
        <v>81</v>
      </c>
      <c r="D74" s="12">
        <v>770068</v>
      </c>
      <c r="E74" s="3">
        <f>VLOOKUP(B74,'2015'!$B$2:$G$338,6,FALSE)</f>
        <v>0</v>
      </c>
      <c r="F74" s="3">
        <f t="shared" si="1"/>
        <v>0</v>
      </c>
      <c r="G74" s="2">
        <f>SUM(F74,D74)</f>
        <v>770068</v>
      </c>
    </row>
    <row r="75" spans="1:7" x14ac:dyDescent="0.2">
      <c r="A75">
        <v>2019</v>
      </c>
      <c r="B75" s="34">
        <v>4996</v>
      </c>
      <c r="C75" s="3" t="s">
        <v>82</v>
      </c>
      <c r="D75" s="12">
        <v>235838</v>
      </c>
      <c r="E75" s="3">
        <f>VLOOKUP(B75,'2015'!$B$2:$G$338,6,FALSE)</f>
        <v>0</v>
      </c>
      <c r="F75" s="3">
        <f t="shared" si="1"/>
        <v>0</v>
      </c>
      <c r="G75" s="2">
        <f>SUM(F75,D75)</f>
        <v>235838</v>
      </c>
    </row>
    <row r="76" spans="1:7" x14ac:dyDescent="0.2">
      <c r="A76">
        <v>2019</v>
      </c>
      <c r="B76" s="34">
        <v>4997</v>
      </c>
      <c r="C76" s="3" t="s">
        <v>83</v>
      </c>
      <c r="D76" s="12">
        <v>3450533</v>
      </c>
      <c r="E76" s="3">
        <f>VLOOKUP(B76,'2015'!$B$2:$G$338,6,FALSE)</f>
        <v>0</v>
      </c>
      <c r="F76" s="3">
        <f t="shared" si="1"/>
        <v>0</v>
      </c>
      <c r="G76" s="2">
        <f>SUM(F76,D76)</f>
        <v>3450533</v>
      </c>
    </row>
    <row r="77" spans="1:7" x14ac:dyDescent="0.2">
      <c r="A77">
        <v>2019</v>
      </c>
      <c r="B77" s="34">
        <v>4998</v>
      </c>
      <c r="C77" s="3" t="s">
        <v>84</v>
      </c>
      <c r="D77" s="12">
        <v>435545</v>
      </c>
      <c r="E77" s="3">
        <f>VLOOKUP(B77,'2015'!$B$2:$G$338,6,FALSE)</f>
        <v>0</v>
      </c>
      <c r="F77" s="3">
        <f t="shared" si="1"/>
        <v>0</v>
      </c>
      <c r="G77" s="2">
        <f>SUM(F77,D77)</f>
        <v>435545</v>
      </c>
    </row>
    <row r="78" spans="1:7" x14ac:dyDescent="0.2">
      <c r="A78">
        <v>2019</v>
      </c>
      <c r="B78" s="34">
        <v>4999</v>
      </c>
      <c r="C78" s="3" t="s">
        <v>352</v>
      </c>
      <c r="D78" s="12">
        <v>6170079</v>
      </c>
      <c r="E78" s="3">
        <f>VLOOKUP(B78,'2015'!$B$2:$G$338,6,FALSE)</f>
        <v>0</v>
      </c>
      <c r="F78" s="3">
        <f t="shared" si="1"/>
        <v>0</v>
      </c>
      <c r="G78" s="2">
        <f>SUM(F78,D78)</f>
        <v>6170079</v>
      </c>
    </row>
    <row r="79" spans="1:7" x14ac:dyDescent="0.2">
      <c r="A79">
        <v>2019</v>
      </c>
      <c r="B79" s="34">
        <v>5000</v>
      </c>
      <c r="C79" s="3" t="s">
        <v>86</v>
      </c>
      <c r="D79" s="12">
        <v>3742073</v>
      </c>
      <c r="E79" s="3">
        <f>VLOOKUP(B79,'2015'!$B$2:$G$338,6,FALSE)</f>
        <v>0</v>
      </c>
      <c r="F79" s="3">
        <f t="shared" si="1"/>
        <v>0</v>
      </c>
      <c r="G79" s="2">
        <f>SUM(F79,D79)</f>
        <v>3742073</v>
      </c>
    </row>
    <row r="80" spans="1:7" x14ac:dyDescent="0.2">
      <c r="A80">
        <v>2019</v>
      </c>
      <c r="B80" s="34">
        <v>5001</v>
      </c>
      <c r="C80" s="3" t="s">
        <v>87</v>
      </c>
      <c r="D80" s="12">
        <v>235904</v>
      </c>
      <c r="E80" s="3">
        <f>VLOOKUP(B80,'2015'!$B$2:$G$338,6,FALSE)</f>
        <v>0</v>
      </c>
      <c r="F80" s="3">
        <f t="shared" si="1"/>
        <v>0</v>
      </c>
      <c r="G80" s="2">
        <f>SUM(F80,D80)</f>
        <v>235904</v>
      </c>
    </row>
    <row r="81" spans="1:7" x14ac:dyDescent="0.2">
      <c r="A81">
        <v>2019</v>
      </c>
      <c r="B81" s="34">
        <v>5002</v>
      </c>
      <c r="C81" s="3" t="s">
        <v>88</v>
      </c>
      <c r="D81" s="12">
        <v>89919</v>
      </c>
      <c r="E81" s="3">
        <f>VLOOKUP(B81,'2015'!$B$2:$G$338,6,FALSE)</f>
        <v>0</v>
      </c>
      <c r="F81" s="3">
        <f t="shared" si="1"/>
        <v>0</v>
      </c>
      <c r="G81" s="2">
        <f>SUM(F81,D81)</f>
        <v>89919</v>
      </c>
    </row>
    <row r="82" spans="1:7" x14ac:dyDescent="0.2">
      <c r="A82">
        <v>2019</v>
      </c>
      <c r="B82" s="34">
        <v>5004</v>
      </c>
      <c r="C82" s="3" t="s">
        <v>89</v>
      </c>
      <c r="D82" s="12">
        <v>1154156</v>
      </c>
      <c r="E82" s="3">
        <f>VLOOKUP(B82,'2015'!$B$2:$G$338,6,FALSE)</f>
        <v>0</v>
      </c>
      <c r="F82" s="3">
        <f t="shared" si="1"/>
        <v>0</v>
      </c>
      <c r="G82" s="2">
        <f>SUM(F82,D82)</f>
        <v>1154156</v>
      </c>
    </row>
    <row r="83" spans="1:7" x14ac:dyDescent="0.2">
      <c r="A83">
        <v>2019</v>
      </c>
      <c r="B83" s="34">
        <v>5005</v>
      </c>
      <c r="C83" s="3" t="s">
        <v>90</v>
      </c>
      <c r="D83" s="12">
        <v>603167</v>
      </c>
      <c r="E83" s="3">
        <f>VLOOKUP(B83,'2015'!$B$2:$G$338,6,FALSE)</f>
        <v>0</v>
      </c>
      <c r="F83" s="3">
        <f t="shared" si="1"/>
        <v>0</v>
      </c>
      <c r="G83" s="2">
        <f>SUM(F83,D83)</f>
        <v>603167</v>
      </c>
    </row>
    <row r="84" spans="1:7" x14ac:dyDescent="0.2">
      <c r="A84">
        <v>2019</v>
      </c>
      <c r="B84" s="34">
        <v>5006</v>
      </c>
      <c r="C84" s="3" t="s">
        <v>91</v>
      </c>
      <c r="D84" s="12">
        <v>251915</v>
      </c>
      <c r="E84" s="3">
        <f>VLOOKUP(B84,'2015'!$B$2:$G$338,6,FALSE)</f>
        <v>0</v>
      </c>
      <c r="F84" s="3">
        <f t="shared" si="1"/>
        <v>0</v>
      </c>
      <c r="G84" s="2">
        <f>SUM(F84,D84)</f>
        <v>251915</v>
      </c>
    </row>
    <row r="85" spans="1:7" x14ac:dyDescent="0.2">
      <c r="A85">
        <v>2019</v>
      </c>
      <c r="B85" s="34">
        <v>5007</v>
      </c>
      <c r="C85" s="3" t="s">
        <v>143</v>
      </c>
      <c r="D85" s="12">
        <v>153613</v>
      </c>
      <c r="E85" s="3">
        <f>VLOOKUP(B85,'2015'!$B$2:$G$338,6,FALSE)</f>
        <v>0</v>
      </c>
      <c r="F85" s="3">
        <f t="shared" si="1"/>
        <v>0</v>
      </c>
      <c r="G85" s="2">
        <f>SUM(F85,D85)</f>
        <v>153613</v>
      </c>
    </row>
    <row r="86" spans="1:7" x14ac:dyDescent="0.2">
      <c r="A86">
        <v>2019</v>
      </c>
      <c r="B86" s="34">
        <v>5008</v>
      </c>
      <c r="C86" s="3" t="s">
        <v>92</v>
      </c>
      <c r="D86" s="12">
        <v>626506</v>
      </c>
      <c r="E86" s="3">
        <f>VLOOKUP(B86,'2015'!$B$2:$G$338,6,FALSE)</f>
        <v>0</v>
      </c>
      <c r="F86" s="3">
        <f t="shared" si="1"/>
        <v>0</v>
      </c>
      <c r="G86" s="2">
        <f>SUM(F86,D86)</f>
        <v>626506</v>
      </c>
    </row>
    <row r="87" spans="1:7" x14ac:dyDescent="0.2">
      <c r="A87">
        <v>2019</v>
      </c>
      <c r="B87" s="34">
        <v>5010</v>
      </c>
      <c r="C87" s="3" t="s">
        <v>93</v>
      </c>
      <c r="D87" s="12">
        <v>1551828</v>
      </c>
      <c r="E87" s="3">
        <f>VLOOKUP(B87,'2015'!$B$2:$G$338,6,FALSE)</f>
        <v>0</v>
      </c>
      <c r="F87" s="3">
        <f t="shared" si="1"/>
        <v>0</v>
      </c>
      <c r="G87" s="2">
        <f>SUM(F87,D87)</f>
        <v>1551828</v>
      </c>
    </row>
    <row r="88" spans="1:7" x14ac:dyDescent="0.2">
      <c r="A88">
        <v>2019</v>
      </c>
      <c r="B88" s="34">
        <v>5011</v>
      </c>
      <c r="C88" s="3" t="s">
        <v>94</v>
      </c>
      <c r="D88" s="12">
        <v>535856</v>
      </c>
      <c r="E88" s="3">
        <f>VLOOKUP(B88,'2015'!$B$2:$G$338,6,FALSE)</f>
        <v>0</v>
      </c>
      <c r="F88" s="3">
        <f t="shared" si="1"/>
        <v>0</v>
      </c>
      <c r="G88" s="2">
        <f>SUM(F88,D88)</f>
        <v>535856</v>
      </c>
    </row>
    <row r="89" spans="1:7" x14ac:dyDescent="0.2">
      <c r="A89">
        <v>2019</v>
      </c>
      <c r="B89" s="34">
        <v>5012</v>
      </c>
      <c r="C89" s="3" t="s">
        <v>95</v>
      </c>
      <c r="D89" s="12">
        <v>344489</v>
      </c>
      <c r="E89" s="3">
        <f>VLOOKUP(B89,'2015'!$B$2:$G$338,6,FALSE)</f>
        <v>0</v>
      </c>
      <c r="F89" s="3">
        <f t="shared" si="1"/>
        <v>0</v>
      </c>
      <c r="G89" s="2">
        <f>SUM(F89,D89)</f>
        <v>344489</v>
      </c>
    </row>
    <row r="90" spans="1:7" x14ac:dyDescent="0.2">
      <c r="A90">
        <v>2019</v>
      </c>
      <c r="B90" s="34">
        <v>5013</v>
      </c>
      <c r="C90" s="3" t="s">
        <v>96</v>
      </c>
      <c r="D90" s="12">
        <v>6746387</v>
      </c>
      <c r="E90" s="3">
        <f>VLOOKUP(B90,'2015'!$B$2:$G$338,6,FALSE)</f>
        <v>0</v>
      </c>
      <c r="F90" s="3">
        <f t="shared" si="1"/>
        <v>0</v>
      </c>
      <c r="G90" s="2">
        <f>SUM(F90,D90)</f>
        <v>6746387</v>
      </c>
    </row>
    <row r="91" spans="1:7" x14ac:dyDescent="0.2">
      <c r="A91">
        <v>2019</v>
      </c>
      <c r="B91" s="34">
        <v>5014</v>
      </c>
      <c r="C91" s="3" t="s">
        <v>97</v>
      </c>
      <c r="D91" s="12">
        <v>1512165</v>
      </c>
      <c r="E91" s="3">
        <f>VLOOKUP(B91,'2015'!$B$2:$G$338,6,FALSE)</f>
        <v>0</v>
      </c>
      <c r="F91" s="3">
        <f t="shared" si="1"/>
        <v>0</v>
      </c>
      <c r="G91" s="2">
        <f>SUM(F91,D91)</f>
        <v>1512165</v>
      </c>
    </row>
    <row r="92" spans="1:7" x14ac:dyDescent="0.2">
      <c r="A92">
        <v>2019</v>
      </c>
      <c r="B92" s="34">
        <v>5015</v>
      </c>
      <c r="C92" s="3" t="s">
        <v>98</v>
      </c>
      <c r="D92" s="12">
        <v>390701</v>
      </c>
      <c r="E92" s="3">
        <f>VLOOKUP(B92,'2015'!$B$2:$G$338,6,FALSE)</f>
        <v>0</v>
      </c>
      <c r="F92" s="3">
        <f t="shared" si="1"/>
        <v>0</v>
      </c>
      <c r="G92" s="2">
        <f>SUM(F92,D92)</f>
        <v>390701</v>
      </c>
    </row>
    <row r="93" spans="1:7" x14ac:dyDescent="0.2">
      <c r="A93">
        <v>2019</v>
      </c>
      <c r="B93" s="34">
        <v>5016</v>
      </c>
      <c r="C93" s="3" t="s">
        <v>99</v>
      </c>
      <c r="D93" s="12">
        <v>504210</v>
      </c>
      <c r="E93" s="3">
        <f>VLOOKUP(B93,'2015'!$B$2:$G$338,6,FALSE)</f>
        <v>0</v>
      </c>
      <c r="F93" s="3">
        <f t="shared" si="1"/>
        <v>0</v>
      </c>
      <c r="G93" s="2">
        <f>SUM(F93,D93)</f>
        <v>504210</v>
      </c>
    </row>
    <row r="94" spans="1:7" x14ac:dyDescent="0.2">
      <c r="A94">
        <v>2019</v>
      </c>
      <c r="B94" s="34">
        <v>5017</v>
      </c>
      <c r="C94" s="3" t="s">
        <v>100</v>
      </c>
      <c r="D94" s="12">
        <v>3436441</v>
      </c>
      <c r="E94" s="3">
        <f>VLOOKUP(B94,'2015'!$B$2:$G$338,6,FALSE)</f>
        <v>0</v>
      </c>
      <c r="F94" s="3">
        <f t="shared" si="1"/>
        <v>0</v>
      </c>
      <c r="G94" s="2">
        <f>SUM(F94,D94)</f>
        <v>3436441</v>
      </c>
    </row>
    <row r="95" spans="1:7" x14ac:dyDescent="0.2">
      <c r="A95">
        <v>2019</v>
      </c>
      <c r="B95" s="34">
        <v>5018</v>
      </c>
      <c r="C95" s="3" t="s">
        <v>101</v>
      </c>
      <c r="D95" s="12">
        <v>239764</v>
      </c>
      <c r="E95" s="3">
        <f>VLOOKUP(B95,'2015'!$B$2:$G$338,6,FALSE)</f>
        <v>0</v>
      </c>
      <c r="F95" s="3">
        <f t="shared" si="1"/>
        <v>0</v>
      </c>
      <c r="G95" s="2">
        <f>SUM(F95,D95)</f>
        <v>239764</v>
      </c>
    </row>
    <row r="96" spans="1:7" x14ac:dyDescent="0.2">
      <c r="A96">
        <v>2019</v>
      </c>
      <c r="B96" s="34">
        <v>5019</v>
      </c>
      <c r="C96" s="3" t="s">
        <v>102</v>
      </c>
      <c r="D96" s="12">
        <v>2293139</v>
      </c>
      <c r="E96" s="3">
        <f>VLOOKUP(B96,'2015'!$B$2:$G$338,6,FALSE)</f>
        <v>0</v>
      </c>
      <c r="F96" s="3">
        <f t="shared" si="1"/>
        <v>0</v>
      </c>
      <c r="G96" s="2">
        <f>SUM(F96,D96)</f>
        <v>2293139</v>
      </c>
    </row>
    <row r="97" spans="1:7" x14ac:dyDescent="0.2">
      <c r="A97">
        <v>2019</v>
      </c>
      <c r="B97" s="34">
        <v>5020</v>
      </c>
      <c r="C97" s="3" t="s">
        <v>103</v>
      </c>
      <c r="D97" s="12">
        <v>7355778</v>
      </c>
      <c r="E97" s="3">
        <f>VLOOKUP(B97,'2015'!$B$2:$G$338,6,FALSE)</f>
        <v>0</v>
      </c>
      <c r="F97" s="3">
        <f t="shared" si="1"/>
        <v>0</v>
      </c>
      <c r="G97" s="2">
        <f>SUM(F97,D97)</f>
        <v>7355778</v>
      </c>
    </row>
    <row r="98" spans="1:7" x14ac:dyDescent="0.2">
      <c r="A98">
        <v>2019</v>
      </c>
      <c r="B98" s="34">
        <v>5021</v>
      </c>
      <c r="C98" s="3" t="s">
        <v>104</v>
      </c>
      <c r="D98" s="12">
        <v>242126</v>
      </c>
      <c r="E98" s="3">
        <f>VLOOKUP(B98,'2015'!$B$2:$G$338,6,FALSE)</f>
        <v>0</v>
      </c>
      <c r="F98" s="3">
        <f t="shared" si="1"/>
        <v>0</v>
      </c>
      <c r="G98" s="2">
        <f>SUM(F98,D98)</f>
        <v>242126</v>
      </c>
    </row>
    <row r="99" spans="1:7" x14ac:dyDescent="0.2">
      <c r="A99">
        <v>2019</v>
      </c>
      <c r="B99" s="34">
        <v>5022</v>
      </c>
      <c r="C99" s="3" t="s">
        <v>105</v>
      </c>
      <c r="D99" s="12">
        <v>4567722</v>
      </c>
      <c r="E99" s="3">
        <f>VLOOKUP(B99,'2015'!$B$2:$G$338,6,FALSE)</f>
        <v>0</v>
      </c>
      <c r="F99" s="3">
        <f t="shared" si="1"/>
        <v>0</v>
      </c>
      <c r="G99" s="2">
        <f>SUM(F99,D99)</f>
        <v>4567722</v>
      </c>
    </row>
    <row r="100" spans="1:7" x14ac:dyDescent="0.2">
      <c r="A100">
        <v>2019</v>
      </c>
      <c r="B100" s="34">
        <v>5024</v>
      </c>
      <c r="C100" s="3" t="s">
        <v>106</v>
      </c>
      <c r="D100" s="12">
        <v>583094</v>
      </c>
      <c r="E100" s="3">
        <f>VLOOKUP(B100,'2015'!$B$2:$G$338,6,FALSE)</f>
        <v>0</v>
      </c>
      <c r="F100" s="3">
        <f t="shared" si="1"/>
        <v>0</v>
      </c>
      <c r="G100" s="2">
        <f>SUM(F100,D100)</f>
        <v>583094</v>
      </c>
    </row>
    <row r="101" spans="1:7" x14ac:dyDescent="0.2">
      <c r="A101">
        <v>2019</v>
      </c>
      <c r="B101" s="34">
        <v>5025</v>
      </c>
      <c r="C101" s="3" t="s">
        <v>107</v>
      </c>
      <c r="D101" s="12">
        <v>1661130</v>
      </c>
      <c r="E101" s="3">
        <f>VLOOKUP(B101,'2015'!$B$2:$G$338,6,FALSE)</f>
        <v>0</v>
      </c>
      <c r="F101" s="3">
        <f t="shared" si="1"/>
        <v>0</v>
      </c>
      <c r="G101" s="2">
        <f>SUM(F101,D101)</f>
        <v>1661130</v>
      </c>
    </row>
    <row r="102" spans="1:7" x14ac:dyDescent="0.2">
      <c r="A102">
        <v>2019</v>
      </c>
      <c r="B102" s="34">
        <v>5026</v>
      </c>
      <c r="C102" s="3" t="s">
        <v>108</v>
      </c>
      <c r="D102" s="12">
        <v>358470</v>
      </c>
      <c r="E102" s="3">
        <f>VLOOKUP(B102,'2015'!$B$2:$G$338,6,FALSE)</f>
        <v>0</v>
      </c>
      <c r="F102" s="3">
        <f t="shared" si="1"/>
        <v>0</v>
      </c>
      <c r="G102" s="2">
        <f>SUM(F102,D102)</f>
        <v>358470</v>
      </c>
    </row>
    <row r="103" spans="1:7" x14ac:dyDescent="0.2">
      <c r="A103">
        <v>2019</v>
      </c>
      <c r="B103" s="34">
        <v>5027</v>
      </c>
      <c r="C103" s="3" t="s">
        <v>109</v>
      </c>
      <c r="D103" s="12">
        <v>5536929</v>
      </c>
      <c r="E103" s="3">
        <f>VLOOKUP(B103,'2015'!$B$2:$G$338,6,FALSE)</f>
        <v>0</v>
      </c>
      <c r="F103" s="3">
        <f t="shared" si="1"/>
        <v>0</v>
      </c>
      <c r="G103" s="2">
        <f>SUM(F103,D103)</f>
        <v>5536929</v>
      </c>
    </row>
    <row r="104" spans="1:7" x14ac:dyDescent="0.2">
      <c r="A104">
        <v>2019</v>
      </c>
      <c r="B104" s="34">
        <v>5028</v>
      </c>
      <c r="C104" s="3" t="s">
        <v>110</v>
      </c>
      <c r="D104" s="12">
        <v>1363986</v>
      </c>
      <c r="E104" s="3">
        <f>VLOOKUP(B104,'2015'!$B$2:$G$338,6,FALSE)</f>
        <v>0</v>
      </c>
      <c r="F104" s="3">
        <f t="shared" si="1"/>
        <v>0</v>
      </c>
      <c r="G104" s="2">
        <f>SUM(F104,D104)</f>
        <v>1363986</v>
      </c>
    </row>
    <row r="105" spans="1:7" x14ac:dyDescent="0.2">
      <c r="A105">
        <v>2019</v>
      </c>
      <c r="B105" s="34">
        <v>5029</v>
      </c>
      <c r="C105" s="3" t="s">
        <v>111</v>
      </c>
      <c r="D105" s="12">
        <v>442518</v>
      </c>
      <c r="E105" s="3">
        <f>VLOOKUP(B105,'2015'!$B$2:$G$338,6,FALSE)</f>
        <v>0</v>
      </c>
      <c r="F105" s="3">
        <f t="shared" si="1"/>
        <v>0</v>
      </c>
      <c r="G105" s="2">
        <f>SUM(F105,D105)</f>
        <v>442518</v>
      </c>
    </row>
    <row r="106" spans="1:7" x14ac:dyDescent="0.2">
      <c r="A106">
        <v>2019</v>
      </c>
      <c r="B106" s="34">
        <v>5031</v>
      </c>
      <c r="C106" s="3" t="s">
        <v>112</v>
      </c>
      <c r="D106" s="12">
        <v>8830249</v>
      </c>
      <c r="E106" s="3">
        <f>VLOOKUP(B106,'2015'!$B$2:$G$338,6,FALSE)</f>
        <v>0</v>
      </c>
      <c r="F106" s="3">
        <f t="shared" si="1"/>
        <v>0</v>
      </c>
      <c r="G106" s="2">
        <f>SUM(F106,D106)</f>
        <v>8830249</v>
      </c>
    </row>
    <row r="107" spans="1:7" x14ac:dyDescent="0.2">
      <c r="A107">
        <v>2019</v>
      </c>
      <c r="B107" s="34">
        <v>5032</v>
      </c>
      <c r="C107" s="3" t="s">
        <v>359</v>
      </c>
      <c r="D107" s="12">
        <v>732554</v>
      </c>
      <c r="E107" s="3">
        <f>VLOOKUP(B107,'2015'!$B$2:$G$338,6,FALSE)</f>
        <v>0</v>
      </c>
      <c r="F107" s="3">
        <f t="shared" si="1"/>
        <v>0</v>
      </c>
      <c r="G107" s="2">
        <f>SUM(F107,D107)</f>
        <v>732554</v>
      </c>
    </row>
    <row r="108" spans="1:7" x14ac:dyDescent="0.2">
      <c r="A108">
        <v>2019</v>
      </c>
      <c r="B108" s="34">
        <v>5033</v>
      </c>
      <c r="C108" s="3" t="s">
        <v>114</v>
      </c>
      <c r="D108" s="12">
        <v>531005</v>
      </c>
      <c r="E108" s="3">
        <f>VLOOKUP(B108,'2015'!$B$2:$G$338,6,FALSE)</f>
        <v>0</v>
      </c>
      <c r="F108" s="3">
        <f t="shared" si="1"/>
        <v>0</v>
      </c>
      <c r="G108" s="2">
        <f>SUM(F108,D108)</f>
        <v>531005</v>
      </c>
    </row>
    <row r="109" spans="1:7" x14ac:dyDescent="0.2">
      <c r="A109">
        <v>2019</v>
      </c>
      <c r="B109" s="34">
        <v>5034</v>
      </c>
      <c r="C109" s="3" t="s">
        <v>115</v>
      </c>
      <c r="D109" s="12">
        <v>251885</v>
      </c>
      <c r="E109" s="3">
        <f>VLOOKUP(B109,'2015'!$B$2:$G$338,6,FALSE)</f>
        <v>0</v>
      </c>
      <c r="F109" s="3">
        <f t="shared" si="1"/>
        <v>0</v>
      </c>
      <c r="G109" s="2">
        <f>SUM(F109,D109)</f>
        <v>251885</v>
      </c>
    </row>
    <row r="110" spans="1:7" x14ac:dyDescent="0.2">
      <c r="A110">
        <v>2019</v>
      </c>
      <c r="B110" s="34">
        <v>5035</v>
      </c>
      <c r="C110" s="3" t="s">
        <v>116</v>
      </c>
      <c r="D110" s="12">
        <v>1354557</v>
      </c>
      <c r="E110" s="3">
        <f>VLOOKUP(B110,'2015'!$B$2:$G$338,6,FALSE)</f>
        <v>0</v>
      </c>
      <c r="F110" s="3">
        <f t="shared" si="1"/>
        <v>0</v>
      </c>
      <c r="G110" s="2">
        <f>SUM(F110,D110)</f>
        <v>1354557</v>
      </c>
    </row>
    <row r="111" spans="1:7" x14ac:dyDescent="0.2">
      <c r="A111">
        <v>2019</v>
      </c>
      <c r="B111" s="34">
        <v>5036</v>
      </c>
      <c r="C111" s="3" t="s">
        <v>117</v>
      </c>
      <c r="D111" s="12">
        <v>744314</v>
      </c>
      <c r="E111" s="3">
        <f>VLOOKUP(B111,'2015'!$B$2:$G$338,6,FALSE)</f>
        <v>0</v>
      </c>
      <c r="F111" s="3">
        <f t="shared" si="1"/>
        <v>0</v>
      </c>
      <c r="G111" s="2">
        <f>SUM(F111,D111)</f>
        <v>744314</v>
      </c>
    </row>
    <row r="112" spans="1:7" x14ac:dyDescent="0.2">
      <c r="A112">
        <v>2019</v>
      </c>
      <c r="B112" s="34">
        <v>5037</v>
      </c>
      <c r="C112" s="3" t="s">
        <v>118</v>
      </c>
      <c r="D112" s="12">
        <v>2639305</v>
      </c>
      <c r="E112" s="3">
        <f>VLOOKUP(B112,'2015'!$B$2:$G$338,6,FALSE)</f>
        <v>0</v>
      </c>
      <c r="F112" s="3">
        <f t="shared" si="1"/>
        <v>0</v>
      </c>
      <c r="G112" s="2">
        <f>SUM(F112,D112)</f>
        <v>2639305</v>
      </c>
    </row>
    <row r="113" spans="1:7" x14ac:dyDescent="0.2">
      <c r="A113">
        <v>2019</v>
      </c>
      <c r="B113" s="34">
        <v>5038</v>
      </c>
      <c r="C113" s="3" t="s">
        <v>119</v>
      </c>
      <c r="D113" s="12">
        <v>291670</v>
      </c>
      <c r="E113" s="3">
        <f>VLOOKUP(B113,'2015'!$B$2:$G$338,6,FALSE)</f>
        <v>0</v>
      </c>
      <c r="F113" s="3">
        <f t="shared" si="1"/>
        <v>0</v>
      </c>
      <c r="G113" s="2">
        <f>SUM(F113,D113)</f>
        <v>291670</v>
      </c>
    </row>
    <row r="114" spans="1:7" x14ac:dyDescent="0.2">
      <c r="A114">
        <v>2019</v>
      </c>
      <c r="B114" s="34">
        <v>5039</v>
      </c>
      <c r="C114" s="3" t="s">
        <v>120</v>
      </c>
      <c r="D114" s="12">
        <v>411814</v>
      </c>
      <c r="E114" s="3">
        <f>VLOOKUP(B114,'2015'!$B$2:$G$338,6,FALSE)</f>
        <v>0</v>
      </c>
      <c r="F114" s="3">
        <f t="shared" si="1"/>
        <v>0</v>
      </c>
      <c r="G114" s="2">
        <f>SUM(F114,D114)</f>
        <v>411814</v>
      </c>
    </row>
    <row r="115" spans="1:7" x14ac:dyDescent="0.2">
      <c r="A115">
        <v>2019</v>
      </c>
      <c r="B115" s="34">
        <v>5040</v>
      </c>
      <c r="C115" s="3" t="s">
        <v>121</v>
      </c>
      <c r="D115" s="12">
        <v>1289655</v>
      </c>
      <c r="E115" s="3">
        <f>VLOOKUP(B115,'2015'!$B$2:$G$338,6,FALSE)</f>
        <v>0</v>
      </c>
      <c r="F115" s="3">
        <f t="shared" si="1"/>
        <v>0</v>
      </c>
      <c r="G115" s="2">
        <f>SUM(F115,D115)</f>
        <v>1289655</v>
      </c>
    </row>
    <row r="116" spans="1:7" x14ac:dyDescent="0.2">
      <c r="A116">
        <v>2019</v>
      </c>
      <c r="B116" s="34">
        <v>5041</v>
      </c>
      <c r="C116" s="3" t="s">
        <v>122</v>
      </c>
      <c r="D116" s="12">
        <v>6805599</v>
      </c>
      <c r="E116" s="3">
        <f>VLOOKUP(B116,'2015'!$B$2:$G$338,6,FALSE)</f>
        <v>0</v>
      </c>
      <c r="F116" s="3">
        <f t="shared" si="1"/>
        <v>0</v>
      </c>
      <c r="G116" s="2">
        <f>SUM(F116,D116)</f>
        <v>6805599</v>
      </c>
    </row>
    <row r="117" spans="1:7" x14ac:dyDescent="0.2">
      <c r="A117">
        <v>2019</v>
      </c>
      <c r="B117" s="34">
        <v>5042</v>
      </c>
      <c r="C117" s="3" t="s">
        <v>123</v>
      </c>
      <c r="D117" s="12">
        <v>2053932</v>
      </c>
      <c r="E117" s="3">
        <f>VLOOKUP(B117,'2015'!$B$2:$G$338,6,FALSE)</f>
        <v>0</v>
      </c>
      <c r="F117" s="3">
        <f t="shared" si="1"/>
        <v>0</v>
      </c>
      <c r="G117" s="2">
        <f>SUM(F117,D117)</f>
        <v>2053932</v>
      </c>
    </row>
    <row r="118" spans="1:7" x14ac:dyDescent="0.2">
      <c r="A118">
        <v>2019</v>
      </c>
      <c r="B118" s="34">
        <v>5043</v>
      </c>
      <c r="C118" s="3" t="s">
        <v>124</v>
      </c>
      <c r="D118" s="12">
        <v>3045546</v>
      </c>
      <c r="E118" s="3">
        <f>VLOOKUP(B118,'2015'!$B$2:$G$338,6,FALSE)</f>
        <v>0</v>
      </c>
      <c r="F118" s="3">
        <f t="shared" si="1"/>
        <v>0</v>
      </c>
      <c r="G118" s="2">
        <f>SUM(F118,D118)</f>
        <v>3045546</v>
      </c>
    </row>
    <row r="119" spans="1:7" x14ac:dyDescent="0.2">
      <c r="A119">
        <v>2019</v>
      </c>
      <c r="B119" s="34">
        <v>5056</v>
      </c>
      <c r="C119" s="3" t="s">
        <v>125</v>
      </c>
      <c r="D119" s="12">
        <v>322832</v>
      </c>
      <c r="E119" s="3">
        <f>VLOOKUP(B119,'2015'!$B$2:$G$338,6,FALSE)</f>
        <v>0</v>
      </c>
      <c r="F119" s="3">
        <f t="shared" si="1"/>
        <v>0</v>
      </c>
      <c r="G119" s="2">
        <f>SUM(F119,D119)</f>
        <v>322832</v>
      </c>
    </row>
    <row r="120" spans="1:7" x14ac:dyDescent="0.2">
      <c r="A120">
        <v>2019</v>
      </c>
      <c r="B120" s="34">
        <v>5057</v>
      </c>
      <c r="C120" s="3" t="s">
        <v>126</v>
      </c>
      <c r="D120" s="12">
        <v>539593</v>
      </c>
      <c r="E120" s="3">
        <f>VLOOKUP(B120,'2015'!$B$2:$G$338,6,FALSE)</f>
        <v>0</v>
      </c>
      <c r="F120" s="3">
        <f t="shared" si="1"/>
        <v>0</v>
      </c>
      <c r="G120" s="2">
        <f>SUM(F120,D120)</f>
        <v>539593</v>
      </c>
    </row>
    <row r="121" spans="1:7" x14ac:dyDescent="0.2">
      <c r="A121">
        <v>2019</v>
      </c>
      <c r="B121" s="34">
        <v>5058</v>
      </c>
      <c r="C121" s="3" t="s">
        <v>127</v>
      </c>
      <c r="D121" s="12">
        <v>1196550</v>
      </c>
      <c r="E121" s="3">
        <f>VLOOKUP(B121,'2015'!$B$2:$G$338,6,FALSE)</f>
        <v>0</v>
      </c>
      <c r="F121" s="3">
        <f t="shared" si="1"/>
        <v>0</v>
      </c>
      <c r="G121" s="2">
        <f>SUM(F121,D121)</f>
        <v>1196550</v>
      </c>
    </row>
    <row r="122" spans="1:7" x14ac:dyDescent="0.2">
      <c r="A122">
        <v>2019</v>
      </c>
      <c r="B122" s="34">
        <v>5059</v>
      </c>
      <c r="C122" s="3" t="s">
        <v>128</v>
      </c>
      <c r="D122" s="12">
        <v>345821</v>
      </c>
      <c r="E122" s="3">
        <f>VLOOKUP(B122,'2015'!$B$2:$G$338,6,FALSE)</f>
        <v>0</v>
      </c>
      <c r="F122" s="3">
        <f t="shared" si="1"/>
        <v>0</v>
      </c>
      <c r="G122" s="2">
        <f>SUM(F122,D122)</f>
        <v>345821</v>
      </c>
    </row>
    <row r="123" spans="1:7" x14ac:dyDescent="0.2">
      <c r="A123">
        <v>2019</v>
      </c>
      <c r="B123" s="34">
        <v>5060</v>
      </c>
      <c r="C123" s="3" t="s">
        <v>129</v>
      </c>
      <c r="D123" s="12">
        <v>162999</v>
      </c>
      <c r="E123" s="3">
        <f>VLOOKUP(B123,'2015'!$B$2:$G$338,6,FALSE)</f>
        <v>0</v>
      </c>
      <c r="F123" s="3">
        <f t="shared" si="1"/>
        <v>0</v>
      </c>
      <c r="G123" s="2">
        <f>SUM(F123,D123)</f>
        <v>162999</v>
      </c>
    </row>
    <row r="124" spans="1:7" x14ac:dyDescent="0.2">
      <c r="A124">
        <v>2019</v>
      </c>
      <c r="B124" s="34">
        <v>5061</v>
      </c>
      <c r="C124" s="3" t="s">
        <v>130</v>
      </c>
      <c r="D124" s="12">
        <v>311783</v>
      </c>
      <c r="E124" s="3">
        <f>VLOOKUP(B124,'2015'!$B$2:$G$338,6,FALSE)</f>
        <v>0</v>
      </c>
      <c r="F124" s="3">
        <f t="shared" si="1"/>
        <v>0</v>
      </c>
      <c r="G124" s="2">
        <f>SUM(F124,D124)</f>
        <v>311783</v>
      </c>
    </row>
    <row r="125" spans="1:7" x14ac:dyDescent="0.2">
      <c r="A125">
        <v>2019</v>
      </c>
      <c r="B125" s="34">
        <v>5062</v>
      </c>
      <c r="C125" s="3" t="s">
        <v>131</v>
      </c>
      <c r="D125" s="12">
        <v>590087</v>
      </c>
      <c r="E125" s="3">
        <f>VLOOKUP(B125,'2015'!$B$2:$G$338,6,FALSE)</f>
        <v>0</v>
      </c>
      <c r="F125" s="3">
        <f t="shared" si="1"/>
        <v>0</v>
      </c>
      <c r="G125" s="2">
        <f>SUM(F125,D125)</f>
        <v>590087</v>
      </c>
    </row>
    <row r="126" spans="1:7" x14ac:dyDescent="0.2">
      <c r="A126">
        <v>2019</v>
      </c>
      <c r="B126" s="34">
        <v>5063</v>
      </c>
      <c r="C126" s="3" t="s">
        <v>132</v>
      </c>
      <c r="D126" s="12">
        <v>509087</v>
      </c>
      <c r="E126" s="3">
        <f>VLOOKUP(B126,'2015'!$B$2:$G$338,6,FALSE)</f>
        <v>0</v>
      </c>
      <c r="F126" s="3">
        <f t="shared" si="1"/>
        <v>0</v>
      </c>
      <c r="G126" s="2">
        <f>SUM(F126,D126)</f>
        <v>509087</v>
      </c>
    </row>
    <row r="127" spans="1:7" x14ac:dyDescent="0.2">
      <c r="A127">
        <v>2019</v>
      </c>
      <c r="B127" s="34">
        <v>5064</v>
      </c>
      <c r="C127" s="3" t="s">
        <v>133</v>
      </c>
      <c r="D127" s="12">
        <v>310147</v>
      </c>
      <c r="E127" s="3">
        <f>VLOOKUP(B127,'2015'!$B$2:$G$338,6,FALSE)</f>
        <v>0</v>
      </c>
      <c r="F127" s="3">
        <f t="shared" si="1"/>
        <v>0</v>
      </c>
      <c r="G127" s="2">
        <f>SUM(F127,D127)</f>
        <v>310147</v>
      </c>
    </row>
    <row r="128" spans="1:7" x14ac:dyDescent="0.2">
      <c r="A128">
        <v>2019</v>
      </c>
      <c r="B128" s="34">
        <v>5065</v>
      </c>
      <c r="C128" s="3" t="s">
        <v>134</v>
      </c>
      <c r="D128" s="12">
        <v>385159</v>
      </c>
      <c r="E128" s="3">
        <f>VLOOKUP(B128,'2015'!$B$2:$G$338,6,FALSE)</f>
        <v>0</v>
      </c>
      <c r="F128" s="3">
        <f t="shared" si="1"/>
        <v>0</v>
      </c>
      <c r="G128" s="2">
        <f>SUM(F128,D128)</f>
        <v>385159</v>
      </c>
    </row>
    <row r="129" spans="1:7" x14ac:dyDescent="0.2">
      <c r="A129">
        <v>2019</v>
      </c>
      <c r="B129" s="34">
        <v>5066</v>
      </c>
      <c r="C129" s="3" t="s">
        <v>135</v>
      </c>
      <c r="D129" s="12">
        <v>453440</v>
      </c>
      <c r="E129" s="3">
        <f>VLOOKUP(B129,'2015'!$B$2:$G$338,6,FALSE)</f>
        <v>0</v>
      </c>
      <c r="F129" s="3">
        <f t="shared" si="1"/>
        <v>0</v>
      </c>
      <c r="G129" s="2">
        <f>SUM(F129,D129)</f>
        <v>453440</v>
      </c>
    </row>
    <row r="130" spans="1:7" x14ac:dyDescent="0.2">
      <c r="A130">
        <v>2019</v>
      </c>
      <c r="B130" s="34">
        <v>5067</v>
      </c>
      <c r="C130" s="3" t="s">
        <v>136</v>
      </c>
      <c r="D130" s="12">
        <v>695412</v>
      </c>
      <c r="E130" s="3">
        <f>VLOOKUP(B130,'2015'!$B$2:$G$338,6,FALSE)</f>
        <v>0</v>
      </c>
      <c r="F130" s="3">
        <f t="shared" si="1"/>
        <v>0</v>
      </c>
      <c r="G130" s="2">
        <f>SUM(F130,D130)</f>
        <v>695412</v>
      </c>
    </row>
    <row r="131" spans="1:7" x14ac:dyDescent="0.2">
      <c r="A131">
        <v>2019</v>
      </c>
      <c r="B131" s="34">
        <v>5068</v>
      </c>
      <c r="C131" s="3" t="s">
        <v>137</v>
      </c>
      <c r="D131" s="12">
        <v>625699</v>
      </c>
      <c r="E131" s="3">
        <f>VLOOKUP(B131,'2015'!$B$2:$G$338,6,FALSE)</f>
        <v>0</v>
      </c>
      <c r="F131" s="3">
        <f t="shared" ref="F131:F194" si="2">E131*$D$341</f>
        <v>0</v>
      </c>
      <c r="G131" s="2">
        <f>SUM(F131,D131)</f>
        <v>625699</v>
      </c>
    </row>
    <row r="132" spans="1:7" x14ac:dyDescent="0.2">
      <c r="A132">
        <v>2019</v>
      </c>
      <c r="B132" s="34">
        <v>5069</v>
      </c>
      <c r="C132" s="3" t="s">
        <v>138</v>
      </c>
      <c r="D132" s="12">
        <v>618298</v>
      </c>
      <c r="E132" s="3">
        <f>VLOOKUP(B132,'2015'!$B$2:$G$338,6,FALSE)</f>
        <v>0</v>
      </c>
      <c r="F132" s="3">
        <f t="shared" si="2"/>
        <v>0</v>
      </c>
      <c r="G132" s="2">
        <f>SUM(F132,D132)</f>
        <v>618298</v>
      </c>
    </row>
    <row r="133" spans="1:7" x14ac:dyDescent="0.2">
      <c r="A133">
        <v>2019</v>
      </c>
      <c r="B133" s="34">
        <v>5070</v>
      </c>
      <c r="C133" s="3" t="s">
        <v>139</v>
      </c>
      <c r="D133" s="12">
        <v>1494224</v>
      </c>
      <c r="E133" s="3">
        <f>VLOOKUP(B133,'2015'!$B$2:$G$338,6,FALSE)</f>
        <v>0</v>
      </c>
      <c r="F133" s="3">
        <f t="shared" si="2"/>
        <v>0</v>
      </c>
      <c r="G133" s="2">
        <f>SUM(F133,D133)</f>
        <v>1494224</v>
      </c>
    </row>
    <row r="134" spans="1:7" x14ac:dyDescent="0.2">
      <c r="A134">
        <v>2019</v>
      </c>
      <c r="B134" s="34">
        <v>5072</v>
      </c>
      <c r="C134" s="3" t="s">
        <v>140</v>
      </c>
      <c r="D134" s="12">
        <v>212101</v>
      </c>
      <c r="E134" s="3">
        <f>VLOOKUP(B134,'2015'!$B$2:$G$338,6,FALSE)</f>
        <v>0</v>
      </c>
      <c r="F134" s="3">
        <f t="shared" si="2"/>
        <v>0</v>
      </c>
      <c r="G134" s="2">
        <f>SUM(F134,D134)</f>
        <v>212101</v>
      </c>
    </row>
    <row r="135" spans="1:7" x14ac:dyDescent="0.2">
      <c r="A135">
        <v>2019</v>
      </c>
      <c r="B135" s="34">
        <v>5073</v>
      </c>
      <c r="C135" s="3" t="s">
        <v>141</v>
      </c>
      <c r="D135" s="12">
        <v>381597</v>
      </c>
      <c r="E135" s="3">
        <f>VLOOKUP(B135,'2015'!$B$2:$G$338,6,FALSE)</f>
        <v>0</v>
      </c>
      <c r="F135" s="3">
        <f t="shared" si="2"/>
        <v>0</v>
      </c>
      <c r="G135" s="2">
        <f>SUM(F135,D135)</f>
        <v>381597</v>
      </c>
    </row>
    <row r="136" spans="1:7" x14ac:dyDescent="0.2">
      <c r="A136">
        <v>2019</v>
      </c>
      <c r="B136" s="34">
        <v>5076</v>
      </c>
      <c r="C136" s="3" t="s">
        <v>142</v>
      </c>
      <c r="D136" s="12">
        <v>177290</v>
      </c>
      <c r="E136" s="3">
        <f>VLOOKUP(B136,'2015'!$B$2:$G$338,6,FALSE)</f>
        <v>0</v>
      </c>
      <c r="F136" s="3">
        <f t="shared" si="2"/>
        <v>0</v>
      </c>
      <c r="G136" s="2">
        <f>SUM(F136,D136)</f>
        <v>177290</v>
      </c>
    </row>
    <row r="137" spans="1:7" x14ac:dyDescent="0.2">
      <c r="A137">
        <v>2019</v>
      </c>
      <c r="B137" s="34">
        <v>5077</v>
      </c>
      <c r="C137" s="3" t="s">
        <v>195</v>
      </c>
      <c r="D137" s="12">
        <v>461364</v>
      </c>
      <c r="E137" s="3">
        <f>VLOOKUP(B137,'2015'!$B$2:$G$338,6,FALSE)</f>
        <v>0</v>
      </c>
      <c r="F137" s="3">
        <f t="shared" si="2"/>
        <v>0</v>
      </c>
      <c r="G137" s="2">
        <f>SUM(F137,D137)</f>
        <v>461364</v>
      </c>
    </row>
    <row r="138" spans="1:7" x14ac:dyDescent="0.2">
      <c r="A138">
        <v>2019</v>
      </c>
      <c r="B138" s="34">
        <v>5078</v>
      </c>
      <c r="C138" s="3" t="s">
        <v>144</v>
      </c>
      <c r="D138" s="12">
        <v>385474</v>
      </c>
      <c r="E138" s="3">
        <f>VLOOKUP(B138,'2015'!$B$2:$G$338,6,FALSE)</f>
        <v>0</v>
      </c>
      <c r="F138" s="3">
        <f t="shared" si="2"/>
        <v>0</v>
      </c>
      <c r="G138" s="2">
        <f>SUM(F138,D138)</f>
        <v>385474</v>
      </c>
    </row>
    <row r="139" spans="1:7" x14ac:dyDescent="0.2">
      <c r="A139">
        <v>2019</v>
      </c>
      <c r="B139" s="34">
        <v>5079</v>
      </c>
      <c r="C139" s="3" t="s">
        <v>145</v>
      </c>
      <c r="D139" s="12">
        <v>423503</v>
      </c>
      <c r="E139" s="3">
        <f>VLOOKUP(B139,'2015'!$B$2:$G$338,6,FALSE)</f>
        <v>0</v>
      </c>
      <c r="F139" s="3">
        <f t="shared" si="2"/>
        <v>0</v>
      </c>
      <c r="G139" s="2">
        <f>SUM(F139,D139)</f>
        <v>423503</v>
      </c>
    </row>
    <row r="140" spans="1:7" x14ac:dyDescent="0.2">
      <c r="A140">
        <v>2019</v>
      </c>
      <c r="B140" s="34">
        <v>5080</v>
      </c>
      <c r="C140" s="3" t="s">
        <v>146</v>
      </c>
      <c r="D140" s="12">
        <v>477096</v>
      </c>
      <c r="E140" s="3">
        <f>VLOOKUP(B140,'2015'!$B$2:$G$338,6,FALSE)</f>
        <v>0</v>
      </c>
      <c r="F140" s="3">
        <f t="shared" si="2"/>
        <v>0</v>
      </c>
      <c r="G140" s="2">
        <f>SUM(F140,D140)</f>
        <v>477096</v>
      </c>
    </row>
    <row r="141" spans="1:7" x14ac:dyDescent="0.2">
      <c r="A141">
        <v>2019</v>
      </c>
      <c r="B141" s="34">
        <v>5081</v>
      </c>
      <c r="C141" s="3" t="s">
        <v>147</v>
      </c>
      <c r="D141" s="12">
        <v>411465</v>
      </c>
      <c r="E141" s="3">
        <f>VLOOKUP(B141,'2015'!$B$2:$G$338,6,FALSE)</f>
        <v>0</v>
      </c>
      <c r="F141" s="3">
        <f t="shared" si="2"/>
        <v>0</v>
      </c>
      <c r="G141" s="2">
        <f>SUM(F141,D141)</f>
        <v>411465</v>
      </c>
    </row>
    <row r="142" spans="1:7" x14ac:dyDescent="0.2">
      <c r="A142">
        <v>2019</v>
      </c>
      <c r="B142" s="34">
        <v>5082</v>
      </c>
      <c r="C142" s="3" t="s">
        <v>148</v>
      </c>
      <c r="D142" s="12">
        <v>122551</v>
      </c>
      <c r="E142" s="3">
        <f>VLOOKUP(B142,'2015'!$B$2:$G$338,6,FALSE)</f>
        <v>0</v>
      </c>
      <c r="F142" s="3">
        <f t="shared" si="2"/>
        <v>0</v>
      </c>
      <c r="G142" s="2">
        <f>SUM(F142,D142)</f>
        <v>122551</v>
      </c>
    </row>
    <row r="143" spans="1:7" x14ac:dyDescent="0.2">
      <c r="A143">
        <v>2019</v>
      </c>
      <c r="B143" s="34">
        <v>5083</v>
      </c>
      <c r="C143" s="3" t="s">
        <v>149</v>
      </c>
      <c r="D143" s="12">
        <v>300004</v>
      </c>
      <c r="E143" s="3">
        <f>VLOOKUP(B143,'2015'!$B$2:$G$338,6,FALSE)</f>
        <v>0</v>
      </c>
      <c r="F143" s="3">
        <f t="shared" si="2"/>
        <v>0</v>
      </c>
      <c r="G143" s="2">
        <f>SUM(F143,D143)</f>
        <v>300004</v>
      </c>
    </row>
    <row r="144" spans="1:7" x14ac:dyDescent="0.2">
      <c r="A144">
        <v>2019</v>
      </c>
      <c r="B144" s="34">
        <v>5087</v>
      </c>
      <c r="C144" s="3" t="s">
        <v>360</v>
      </c>
      <c r="D144" s="12">
        <v>336061</v>
      </c>
      <c r="E144" s="3">
        <f>VLOOKUP(B144,'2015'!$B$2:$G$338,6,FALSE)</f>
        <v>0</v>
      </c>
      <c r="F144" s="3">
        <f t="shared" si="2"/>
        <v>0</v>
      </c>
      <c r="G144" s="2">
        <f>SUM(F144,D144)</f>
        <v>336061</v>
      </c>
    </row>
    <row r="145" spans="1:7" x14ac:dyDescent="0.2">
      <c r="A145">
        <v>2019</v>
      </c>
      <c r="B145" s="34">
        <v>5088</v>
      </c>
      <c r="C145" s="3" t="s">
        <v>151</v>
      </c>
      <c r="D145" s="12">
        <v>599650</v>
      </c>
      <c r="E145" s="3">
        <f>VLOOKUP(B145,'2015'!$B$2:$G$338,6,FALSE)</f>
        <v>0</v>
      </c>
      <c r="F145" s="3">
        <f t="shared" si="2"/>
        <v>0</v>
      </c>
      <c r="G145" s="2">
        <f>SUM(F145,D145)</f>
        <v>599650</v>
      </c>
    </row>
    <row r="146" spans="1:7" x14ac:dyDescent="0.2">
      <c r="A146">
        <v>2019</v>
      </c>
      <c r="B146" s="34">
        <v>5089</v>
      </c>
      <c r="C146" s="3" t="s">
        <v>152</v>
      </c>
      <c r="D146" s="12">
        <v>316287</v>
      </c>
      <c r="E146" s="3">
        <f>VLOOKUP(B146,'2015'!$B$2:$G$338,6,FALSE)</f>
        <v>0</v>
      </c>
      <c r="F146" s="3">
        <f t="shared" si="2"/>
        <v>0</v>
      </c>
      <c r="G146" s="2">
        <f>SUM(F146,D146)</f>
        <v>316287</v>
      </c>
    </row>
    <row r="147" spans="1:7" x14ac:dyDescent="0.2">
      <c r="A147">
        <v>2019</v>
      </c>
      <c r="B147" s="34">
        <v>5090</v>
      </c>
      <c r="C147" s="3" t="s">
        <v>153</v>
      </c>
      <c r="D147" s="12">
        <v>232419</v>
      </c>
      <c r="E147" s="3">
        <f>VLOOKUP(B147,'2015'!$B$2:$G$338,6,FALSE)</f>
        <v>0</v>
      </c>
      <c r="F147" s="3">
        <f t="shared" si="2"/>
        <v>0</v>
      </c>
      <c r="G147" s="2">
        <f>SUM(F147,D147)</f>
        <v>232419</v>
      </c>
    </row>
    <row r="148" spans="1:7" x14ac:dyDescent="0.2">
      <c r="A148">
        <v>2019</v>
      </c>
      <c r="B148" s="34">
        <v>5092</v>
      </c>
      <c r="C148" s="3" t="s">
        <v>154</v>
      </c>
      <c r="D148" s="12">
        <v>1236792</v>
      </c>
      <c r="E148" s="3">
        <f>VLOOKUP(B148,'2015'!$B$2:$G$338,6,FALSE)</f>
        <v>0</v>
      </c>
      <c r="F148" s="3">
        <f t="shared" si="2"/>
        <v>0</v>
      </c>
      <c r="G148" s="2">
        <f>SUM(F148,D148)</f>
        <v>1236792</v>
      </c>
    </row>
    <row r="149" spans="1:7" x14ac:dyDescent="0.2">
      <c r="A149">
        <v>2019</v>
      </c>
      <c r="B149" s="34">
        <v>5093</v>
      </c>
      <c r="C149" s="3" t="s">
        <v>155</v>
      </c>
      <c r="D149" s="12">
        <v>284182</v>
      </c>
      <c r="E149" s="3">
        <f>VLOOKUP(B149,'2015'!$B$2:$G$338,6,FALSE)</f>
        <v>0</v>
      </c>
      <c r="F149" s="3">
        <f t="shared" si="2"/>
        <v>0</v>
      </c>
      <c r="G149" s="2">
        <f>SUM(F149,D149)</f>
        <v>284182</v>
      </c>
    </row>
    <row r="150" spans="1:7" x14ac:dyDescent="0.2">
      <c r="A150">
        <v>2019</v>
      </c>
      <c r="B150" s="34">
        <v>5095</v>
      </c>
      <c r="C150" s="3" t="s">
        <v>156</v>
      </c>
      <c r="D150" s="12">
        <v>446336</v>
      </c>
      <c r="E150" s="3">
        <f>VLOOKUP(B150,'2015'!$B$2:$G$338,6,FALSE)</f>
        <v>0</v>
      </c>
      <c r="F150" s="3">
        <f t="shared" si="2"/>
        <v>0</v>
      </c>
      <c r="G150" s="2">
        <f>SUM(F150,D150)</f>
        <v>446336</v>
      </c>
    </row>
    <row r="151" spans="1:7" x14ac:dyDescent="0.2">
      <c r="A151">
        <v>2019</v>
      </c>
      <c r="B151" s="34">
        <v>5096</v>
      </c>
      <c r="C151" s="3" t="s">
        <v>157</v>
      </c>
      <c r="D151" s="12">
        <v>488333</v>
      </c>
      <c r="E151" s="3">
        <f>VLOOKUP(B151,'2015'!$B$2:$G$338,6,FALSE)</f>
        <v>0</v>
      </c>
      <c r="F151" s="3">
        <f t="shared" si="2"/>
        <v>0</v>
      </c>
      <c r="G151" s="2">
        <f>SUM(F151,D151)</f>
        <v>488333</v>
      </c>
    </row>
    <row r="152" spans="1:7" x14ac:dyDescent="0.2">
      <c r="A152">
        <v>2019</v>
      </c>
      <c r="B152" s="34">
        <v>5098</v>
      </c>
      <c r="C152" s="3" t="s">
        <v>158</v>
      </c>
      <c r="D152" s="12">
        <v>252227</v>
      </c>
      <c r="E152" s="3">
        <f>VLOOKUP(B152,'2015'!$B$2:$G$338,6,FALSE)</f>
        <v>0</v>
      </c>
      <c r="F152" s="3">
        <f t="shared" si="2"/>
        <v>0</v>
      </c>
      <c r="G152" s="2">
        <f>SUM(F152,D152)</f>
        <v>252227</v>
      </c>
    </row>
    <row r="153" spans="1:7" x14ac:dyDescent="0.2">
      <c r="A153">
        <v>2019</v>
      </c>
      <c r="B153" s="34">
        <v>5099</v>
      </c>
      <c r="C153" s="3" t="s">
        <v>159</v>
      </c>
      <c r="D153" s="12">
        <v>881367</v>
      </c>
      <c r="E153" s="3">
        <f>VLOOKUP(B153,'2015'!$B$2:$G$338,6,FALSE)</f>
        <v>0</v>
      </c>
      <c r="F153" s="3">
        <f t="shared" si="2"/>
        <v>0</v>
      </c>
      <c r="G153" s="2">
        <f>SUM(F153,D153)</f>
        <v>881367</v>
      </c>
    </row>
    <row r="154" spans="1:7" x14ac:dyDescent="0.2">
      <c r="A154">
        <v>2019</v>
      </c>
      <c r="B154" s="34">
        <v>5100</v>
      </c>
      <c r="C154" s="3" t="s">
        <v>160</v>
      </c>
      <c r="D154" s="12">
        <v>1001608</v>
      </c>
      <c r="E154" s="3">
        <f>VLOOKUP(B154,'2015'!$B$2:$G$338,6,FALSE)</f>
        <v>0</v>
      </c>
      <c r="F154" s="3">
        <f t="shared" si="2"/>
        <v>0</v>
      </c>
      <c r="G154" s="2">
        <f>SUM(F154,D154)</f>
        <v>1001608</v>
      </c>
    </row>
    <row r="155" spans="1:7" x14ac:dyDescent="0.2">
      <c r="A155">
        <v>2019</v>
      </c>
      <c r="B155" s="34">
        <v>5101</v>
      </c>
      <c r="C155" s="3" t="s">
        <v>161</v>
      </c>
      <c r="D155" s="12">
        <v>672137</v>
      </c>
      <c r="E155" s="3">
        <f>VLOOKUP(B155,'2015'!$B$2:$G$338,6,FALSE)</f>
        <v>0</v>
      </c>
      <c r="F155" s="3">
        <f t="shared" si="2"/>
        <v>0</v>
      </c>
      <c r="G155" s="2">
        <f>SUM(F155,D155)</f>
        <v>672137</v>
      </c>
    </row>
    <row r="156" spans="1:7" x14ac:dyDescent="0.2">
      <c r="A156">
        <v>2019</v>
      </c>
      <c r="B156" s="34">
        <v>5102</v>
      </c>
      <c r="C156" s="3" t="s">
        <v>162</v>
      </c>
      <c r="D156" s="12">
        <v>1597206</v>
      </c>
      <c r="E156" s="3">
        <f>VLOOKUP(B156,'2015'!$B$2:$G$338,6,FALSE)</f>
        <v>0</v>
      </c>
      <c r="F156" s="3">
        <f t="shared" si="2"/>
        <v>0</v>
      </c>
      <c r="G156" s="2">
        <f>SUM(F156,D156)</f>
        <v>1597206</v>
      </c>
    </row>
    <row r="157" spans="1:7" x14ac:dyDescent="0.2">
      <c r="A157">
        <v>2019</v>
      </c>
      <c r="B157" s="34">
        <v>5103</v>
      </c>
      <c r="C157" s="3" t="s">
        <v>163</v>
      </c>
      <c r="D157" s="12">
        <v>837553</v>
      </c>
      <c r="E157" s="3">
        <f>VLOOKUP(B157,'2015'!$B$2:$G$338,6,FALSE)</f>
        <v>0</v>
      </c>
      <c r="F157" s="3">
        <f t="shared" si="2"/>
        <v>0</v>
      </c>
      <c r="G157" s="2">
        <f>SUM(F157,D157)</f>
        <v>837553</v>
      </c>
    </row>
    <row r="158" spans="1:7" x14ac:dyDescent="0.2">
      <c r="A158">
        <v>2019</v>
      </c>
      <c r="B158" s="34">
        <v>5104</v>
      </c>
      <c r="C158" s="3" t="s">
        <v>164</v>
      </c>
      <c r="D158" s="12">
        <v>284430</v>
      </c>
      <c r="E158" s="3">
        <f>VLOOKUP(B158,'2015'!$B$2:$G$338,6,FALSE)</f>
        <v>0</v>
      </c>
      <c r="F158" s="3">
        <f t="shared" si="2"/>
        <v>0</v>
      </c>
      <c r="G158" s="2">
        <f>SUM(F158,D158)</f>
        <v>284430</v>
      </c>
    </row>
    <row r="159" spans="1:7" x14ac:dyDescent="0.2">
      <c r="A159">
        <v>2019</v>
      </c>
      <c r="B159" s="34">
        <v>5105</v>
      </c>
      <c r="C159" s="3" t="s">
        <v>165</v>
      </c>
      <c r="D159" s="12">
        <v>212857</v>
      </c>
      <c r="E159" s="3">
        <f>VLOOKUP(B159,'2015'!$B$2:$G$338,6,FALSE)</f>
        <v>0</v>
      </c>
      <c r="F159" s="3">
        <f t="shared" si="2"/>
        <v>0</v>
      </c>
      <c r="G159" s="2">
        <f>SUM(F159,D159)</f>
        <v>212857</v>
      </c>
    </row>
    <row r="160" spans="1:7" x14ac:dyDescent="0.2">
      <c r="A160">
        <v>2019</v>
      </c>
      <c r="B160" s="34">
        <v>5106</v>
      </c>
      <c r="C160" s="3" t="s">
        <v>166</v>
      </c>
      <c r="D160" s="12">
        <v>713834</v>
      </c>
      <c r="E160" s="3">
        <f>VLOOKUP(B160,'2015'!$B$2:$G$338,6,FALSE)</f>
        <v>0</v>
      </c>
      <c r="F160" s="3">
        <f t="shared" si="2"/>
        <v>0</v>
      </c>
      <c r="G160" s="2">
        <f>SUM(F160,D160)</f>
        <v>713834</v>
      </c>
    </row>
    <row r="161" spans="1:7" x14ac:dyDescent="0.2">
      <c r="A161">
        <v>2019</v>
      </c>
      <c r="B161" s="34">
        <v>5116</v>
      </c>
      <c r="C161" s="3" t="s">
        <v>167</v>
      </c>
      <c r="D161" s="12">
        <v>887682</v>
      </c>
      <c r="E161" s="3">
        <f>VLOOKUP(B161,'2015'!$B$2:$G$338,6,FALSE)</f>
        <v>0</v>
      </c>
      <c r="F161" s="3">
        <f t="shared" si="2"/>
        <v>0</v>
      </c>
      <c r="G161" s="2">
        <f>SUM(F161,D161)</f>
        <v>887682</v>
      </c>
    </row>
    <row r="162" spans="1:7" x14ac:dyDescent="0.2">
      <c r="A162">
        <v>2019</v>
      </c>
      <c r="B162" s="34">
        <v>5117</v>
      </c>
      <c r="C162" s="3" t="s">
        <v>168</v>
      </c>
      <c r="D162" s="12">
        <v>176311</v>
      </c>
      <c r="E162" s="3">
        <f>VLOOKUP(B162,'2015'!$B$2:$G$338,6,FALSE)</f>
        <v>0</v>
      </c>
      <c r="F162" s="3">
        <f t="shared" si="2"/>
        <v>0</v>
      </c>
      <c r="G162" s="2">
        <f>SUM(F162,D162)</f>
        <v>176311</v>
      </c>
    </row>
    <row r="163" spans="1:7" x14ac:dyDescent="0.2">
      <c r="A163">
        <v>2019</v>
      </c>
      <c r="B163" s="34">
        <v>5118</v>
      </c>
      <c r="C163" s="3" t="s">
        <v>169</v>
      </c>
      <c r="D163" s="12">
        <v>1243409</v>
      </c>
      <c r="E163" s="3">
        <f>VLOOKUP(B163,'2015'!$B$2:$G$338,6,FALSE)</f>
        <v>0</v>
      </c>
      <c r="F163" s="3">
        <f t="shared" si="2"/>
        <v>0</v>
      </c>
      <c r="G163" s="2">
        <f>SUM(F163,D163)</f>
        <v>1243409</v>
      </c>
    </row>
    <row r="164" spans="1:7" x14ac:dyDescent="0.2">
      <c r="A164">
        <v>2019</v>
      </c>
      <c r="B164" s="34">
        <v>5119</v>
      </c>
      <c r="C164" s="3" t="s">
        <v>170</v>
      </c>
      <c r="D164" s="12">
        <v>269043</v>
      </c>
      <c r="E164" s="3">
        <f>VLOOKUP(B164,'2015'!$B$2:$G$338,6,FALSE)</f>
        <v>0</v>
      </c>
      <c r="F164" s="3">
        <f t="shared" si="2"/>
        <v>0</v>
      </c>
      <c r="G164" s="2">
        <f>SUM(F164,D164)</f>
        <v>269043</v>
      </c>
    </row>
    <row r="165" spans="1:7" x14ac:dyDescent="0.2">
      <c r="A165">
        <v>2019</v>
      </c>
      <c r="B165" s="34">
        <v>5120</v>
      </c>
      <c r="C165" s="3" t="s">
        <v>171</v>
      </c>
      <c r="D165" s="12">
        <v>6004836</v>
      </c>
      <c r="E165" s="3">
        <f>VLOOKUP(B165,'2015'!$B$2:$G$338,6,FALSE)</f>
        <v>0</v>
      </c>
      <c r="F165" s="3">
        <f t="shared" si="2"/>
        <v>0</v>
      </c>
      <c r="G165" s="2">
        <f>SUM(F165,D165)</f>
        <v>6004836</v>
      </c>
    </row>
    <row r="166" spans="1:7" x14ac:dyDescent="0.2">
      <c r="A166">
        <v>2019</v>
      </c>
      <c r="B166" s="34">
        <v>5122</v>
      </c>
      <c r="C166" s="3" t="s">
        <v>172</v>
      </c>
      <c r="D166" s="12">
        <v>235288</v>
      </c>
      <c r="E166" s="3">
        <f>VLOOKUP(B166,'2015'!$B$2:$G$338,6,FALSE)</f>
        <v>0</v>
      </c>
      <c r="F166" s="3">
        <f t="shared" si="2"/>
        <v>0</v>
      </c>
      <c r="G166" s="2">
        <f>SUM(F166,D166)</f>
        <v>235288</v>
      </c>
    </row>
    <row r="167" spans="1:7" x14ac:dyDescent="0.2">
      <c r="A167">
        <v>2019</v>
      </c>
      <c r="B167" s="34">
        <v>5123</v>
      </c>
      <c r="C167" s="3" t="s">
        <v>173</v>
      </c>
      <c r="D167" s="12">
        <v>243953</v>
      </c>
      <c r="E167" s="3">
        <f>VLOOKUP(B167,'2015'!$B$2:$G$338,6,FALSE)</f>
        <v>0</v>
      </c>
      <c r="F167" s="3">
        <f t="shared" si="2"/>
        <v>0</v>
      </c>
      <c r="G167" s="2">
        <f>SUM(F167,D167)</f>
        <v>243953</v>
      </c>
    </row>
    <row r="168" spans="1:7" x14ac:dyDescent="0.2">
      <c r="A168">
        <v>2019</v>
      </c>
      <c r="B168" s="34">
        <v>5125</v>
      </c>
      <c r="C168" s="3" t="s">
        <v>174</v>
      </c>
      <c r="D168" s="12">
        <v>1620491</v>
      </c>
      <c r="E168" s="3">
        <f>VLOOKUP(B168,'2015'!$B$2:$G$338,6,FALSE)</f>
        <v>0</v>
      </c>
      <c r="F168" s="3">
        <f t="shared" si="2"/>
        <v>0</v>
      </c>
      <c r="G168" s="2">
        <f>SUM(F168,D168)</f>
        <v>1620491</v>
      </c>
    </row>
    <row r="169" spans="1:7" x14ac:dyDescent="0.2">
      <c r="A169">
        <v>2019</v>
      </c>
      <c r="B169" s="34">
        <v>5127</v>
      </c>
      <c r="C169" s="3" t="s">
        <v>175</v>
      </c>
      <c r="D169" s="12">
        <v>208332</v>
      </c>
      <c r="E169" s="3">
        <f>VLOOKUP(B169,'2015'!$B$2:$G$338,6,FALSE)</f>
        <v>0</v>
      </c>
      <c r="F169" s="3">
        <f t="shared" si="2"/>
        <v>0</v>
      </c>
      <c r="G169" s="2">
        <f>SUM(F169,D169)</f>
        <v>208332</v>
      </c>
    </row>
    <row r="170" spans="1:7" x14ac:dyDescent="0.2">
      <c r="A170">
        <v>2019</v>
      </c>
      <c r="B170" s="34">
        <v>5128</v>
      </c>
      <c r="C170" s="3" t="s">
        <v>176</v>
      </c>
      <c r="D170" s="12">
        <v>309787</v>
      </c>
      <c r="E170" s="3">
        <f>VLOOKUP(B170,'2015'!$B$2:$G$338,6,FALSE)</f>
        <v>0</v>
      </c>
      <c r="F170" s="3">
        <f t="shared" si="2"/>
        <v>0</v>
      </c>
      <c r="G170" s="2">
        <f>SUM(F170,D170)</f>
        <v>309787</v>
      </c>
    </row>
    <row r="171" spans="1:7" x14ac:dyDescent="0.2">
      <c r="A171">
        <v>2019</v>
      </c>
      <c r="B171" s="34">
        <v>5129</v>
      </c>
      <c r="C171" s="3" t="s">
        <v>177</v>
      </c>
      <c r="D171" s="12">
        <v>774711</v>
      </c>
      <c r="E171" s="3">
        <f>VLOOKUP(B171,'2015'!$B$2:$G$338,6,FALSE)</f>
        <v>0</v>
      </c>
      <c r="F171" s="3">
        <f t="shared" si="2"/>
        <v>0</v>
      </c>
      <c r="G171" s="2">
        <f>SUM(F171,D171)</f>
        <v>774711</v>
      </c>
    </row>
    <row r="172" spans="1:7" x14ac:dyDescent="0.2">
      <c r="A172">
        <v>2019</v>
      </c>
      <c r="B172" s="34">
        <v>5130</v>
      </c>
      <c r="C172" s="3" t="s">
        <v>178</v>
      </c>
      <c r="D172" s="12">
        <v>592812</v>
      </c>
      <c r="E172" s="3">
        <f>VLOOKUP(B172,'2015'!$B$2:$G$338,6,FALSE)</f>
        <v>0</v>
      </c>
      <c r="F172" s="3">
        <f t="shared" si="2"/>
        <v>0</v>
      </c>
      <c r="G172" s="2">
        <f>SUM(F172,D172)</f>
        <v>592812</v>
      </c>
    </row>
    <row r="173" spans="1:7" x14ac:dyDescent="0.2">
      <c r="A173">
        <v>2019</v>
      </c>
      <c r="B173" s="34">
        <v>5131</v>
      </c>
      <c r="C173" s="3" t="s">
        <v>179</v>
      </c>
      <c r="D173" s="12">
        <v>813156</v>
      </c>
      <c r="E173" s="3">
        <f>VLOOKUP(B173,'2015'!$B$2:$G$338,6,FALSE)</f>
        <v>0</v>
      </c>
      <c r="F173" s="3">
        <f t="shared" si="2"/>
        <v>0</v>
      </c>
      <c r="G173" s="2">
        <f>SUM(F173,D173)</f>
        <v>813156</v>
      </c>
    </row>
    <row r="174" spans="1:7" x14ac:dyDescent="0.2">
      <c r="A174">
        <v>2019</v>
      </c>
      <c r="B174" s="34">
        <v>5132</v>
      </c>
      <c r="C174" s="3" t="s">
        <v>180</v>
      </c>
      <c r="D174" s="12">
        <v>3100519</v>
      </c>
      <c r="E174" s="3">
        <f>VLOOKUP(B174,'2015'!$B$2:$G$338,6,FALSE)</f>
        <v>0</v>
      </c>
      <c r="F174" s="3">
        <f t="shared" si="2"/>
        <v>0</v>
      </c>
      <c r="G174" s="2">
        <f>SUM(F174,D174)</f>
        <v>3100519</v>
      </c>
    </row>
    <row r="175" spans="1:7" x14ac:dyDescent="0.2">
      <c r="A175">
        <v>2019</v>
      </c>
      <c r="B175" s="34">
        <v>5133</v>
      </c>
      <c r="C175" s="3" t="s">
        <v>361</v>
      </c>
      <c r="D175" s="12">
        <v>268732</v>
      </c>
      <c r="E175" s="3">
        <f>VLOOKUP(B175,'2015'!$B$2:$G$338,6,FALSE)</f>
        <v>0</v>
      </c>
      <c r="F175" s="3">
        <f t="shared" si="2"/>
        <v>0</v>
      </c>
      <c r="G175" s="2">
        <f>SUM(F175,D175)</f>
        <v>268732</v>
      </c>
    </row>
    <row r="176" spans="1:7" x14ac:dyDescent="0.2">
      <c r="A176">
        <v>2019</v>
      </c>
      <c r="B176" s="34">
        <v>5134</v>
      </c>
      <c r="C176" s="3" t="s">
        <v>182</v>
      </c>
      <c r="D176" s="12">
        <v>289055</v>
      </c>
      <c r="E176" s="3">
        <f>VLOOKUP(B176,'2015'!$B$2:$G$338,6,FALSE)</f>
        <v>0</v>
      </c>
      <c r="F176" s="3">
        <f t="shared" si="2"/>
        <v>0</v>
      </c>
      <c r="G176" s="2">
        <f>SUM(F176,D176)</f>
        <v>289055</v>
      </c>
    </row>
    <row r="177" spans="1:7" x14ac:dyDescent="0.2">
      <c r="A177">
        <v>2019</v>
      </c>
      <c r="B177" s="34">
        <v>5135</v>
      </c>
      <c r="C177" s="3" t="s">
        <v>183</v>
      </c>
      <c r="D177" s="12">
        <v>1493818</v>
      </c>
      <c r="E177" s="3">
        <f>VLOOKUP(B177,'2015'!$B$2:$G$338,6,FALSE)</f>
        <v>0</v>
      </c>
      <c r="F177" s="3">
        <f t="shared" si="2"/>
        <v>0</v>
      </c>
      <c r="G177" s="2">
        <f>SUM(F177,D177)</f>
        <v>1493818</v>
      </c>
    </row>
    <row r="178" spans="1:7" x14ac:dyDescent="0.2">
      <c r="A178">
        <v>2019</v>
      </c>
      <c r="B178" s="34">
        <v>5137</v>
      </c>
      <c r="C178" s="3" t="s">
        <v>184</v>
      </c>
      <c r="D178" s="12">
        <v>227077</v>
      </c>
      <c r="E178" s="3">
        <f>VLOOKUP(B178,'2015'!$B$2:$G$338,6,FALSE)</f>
        <v>0</v>
      </c>
      <c r="F178" s="3">
        <f t="shared" si="2"/>
        <v>0</v>
      </c>
      <c r="G178" s="2">
        <f>SUM(F178,D178)</f>
        <v>227077</v>
      </c>
    </row>
    <row r="179" spans="1:7" x14ac:dyDescent="0.2">
      <c r="A179">
        <v>2019</v>
      </c>
      <c r="B179" s="34">
        <v>5138</v>
      </c>
      <c r="C179" s="3" t="s">
        <v>185</v>
      </c>
      <c r="D179" s="12">
        <v>220733</v>
      </c>
      <c r="E179" s="3">
        <f>VLOOKUP(B179,'2015'!$B$2:$G$338,6,FALSE)</f>
        <v>0</v>
      </c>
      <c r="F179" s="3">
        <f t="shared" si="2"/>
        <v>0</v>
      </c>
      <c r="G179" s="2">
        <f>SUM(F179,D179)</f>
        <v>220733</v>
      </c>
    </row>
    <row r="180" spans="1:7" x14ac:dyDescent="0.2">
      <c r="A180">
        <v>2019</v>
      </c>
      <c r="B180" s="34">
        <v>5140</v>
      </c>
      <c r="C180" s="3" t="s">
        <v>186</v>
      </c>
      <c r="D180" s="12">
        <v>293545</v>
      </c>
      <c r="E180" s="3">
        <f>VLOOKUP(B180,'2015'!$B$2:$G$338,6,FALSE)</f>
        <v>0</v>
      </c>
      <c r="F180" s="3">
        <f t="shared" si="2"/>
        <v>0</v>
      </c>
      <c r="G180" s="2">
        <f>SUM(F180,D180)</f>
        <v>293545</v>
      </c>
    </row>
    <row r="181" spans="1:7" x14ac:dyDescent="0.2">
      <c r="A181">
        <v>2019</v>
      </c>
      <c r="B181" s="34">
        <v>5141</v>
      </c>
      <c r="C181" s="3" t="s">
        <v>187</v>
      </c>
      <c r="D181" s="12">
        <v>393739</v>
      </c>
      <c r="E181" s="3">
        <f>VLOOKUP(B181,'2015'!$B$2:$G$338,6,FALSE)</f>
        <v>0</v>
      </c>
      <c r="F181" s="3">
        <f t="shared" si="2"/>
        <v>0</v>
      </c>
      <c r="G181" s="2">
        <f>SUM(F181,D181)</f>
        <v>393739</v>
      </c>
    </row>
    <row r="182" spans="1:7" x14ac:dyDescent="0.2">
      <c r="A182">
        <v>2019</v>
      </c>
      <c r="B182" s="34">
        <v>5142</v>
      </c>
      <c r="C182" s="3" t="s">
        <v>188</v>
      </c>
      <c r="D182" s="12">
        <v>91029</v>
      </c>
      <c r="E182" s="3">
        <f>VLOOKUP(B182,'2015'!$B$2:$G$338,6,FALSE)</f>
        <v>0</v>
      </c>
      <c r="F182" s="3">
        <f t="shared" si="2"/>
        <v>0</v>
      </c>
      <c r="G182" s="2">
        <f>SUM(F182,D182)</f>
        <v>91029</v>
      </c>
    </row>
    <row r="183" spans="1:7" x14ac:dyDescent="0.2">
      <c r="A183">
        <v>2019</v>
      </c>
      <c r="B183" s="34">
        <v>5143</v>
      </c>
      <c r="C183" s="3" t="s">
        <v>189</v>
      </c>
      <c r="D183" s="12">
        <v>576870</v>
      </c>
      <c r="E183" s="3">
        <f>VLOOKUP(B183,'2015'!$B$2:$G$338,6,FALSE)</f>
        <v>0</v>
      </c>
      <c r="F183" s="3">
        <f t="shared" si="2"/>
        <v>0</v>
      </c>
      <c r="G183" s="2">
        <f>SUM(F183,D183)</f>
        <v>576870</v>
      </c>
    </row>
    <row r="184" spans="1:7" x14ac:dyDescent="0.2">
      <c r="A184">
        <v>2019</v>
      </c>
      <c r="B184" s="34">
        <v>5144</v>
      </c>
      <c r="C184" s="3" t="s">
        <v>190</v>
      </c>
      <c r="D184" s="12">
        <v>284853</v>
      </c>
      <c r="E184" s="3">
        <f>VLOOKUP(B184,'2015'!$B$2:$G$338,6,FALSE)</f>
        <v>0</v>
      </c>
      <c r="F184" s="3">
        <f t="shared" si="2"/>
        <v>0</v>
      </c>
      <c r="G184" s="2">
        <f>SUM(F184,D184)</f>
        <v>284853</v>
      </c>
    </row>
    <row r="185" spans="1:7" x14ac:dyDescent="0.2">
      <c r="A185">
        <v>2019</v>
      </c>
      <c r="B185" s="34">
        <v>5145</v>
      </c>
      <c r="C185" s="3" t="s">
        <v>191</v>
      </c>
      <c r="D185" s="12">
        <v>264129</v>
      </c>
      <c r="E185" s="3">
        <f>VLOOKUP(B185,'2015'!$B$2:$G$338,6,FALSE)</f>
        <v>0</v>
      </c>
      <c r="F185" s="3">
        <f t="shared" si="2"/>
        <v>0</v>
      </c>
      <c r="G185" s="2">
        <f>SUM(F185,D185)</f>
        <v>264129</v>
      </c>
    </row>
    <row r="186" spans="1:7" x14ac:dyDescent="0.2">
      <c r="A186">
        <v>2019</v>
      </c>
      <c r="B186" s="34">
        <v>5147</v>
      </c>
      <c r="C186" s="3" t="s">
        <v>192</v>
      </c>
      <c r="D186" s="12">
        <v>5743516</v>
      </c>
      <c r="E186" s="3">
        <f>VLOOKUP(B186,'2015'!$B$2:$G$338,6,FALSE)</f>
        <v>0</v>
      </c>
      <c r="F186" s="3">
        <f t="shared" si="2"/>
        <v>0</v>
      </c>
      <c r="G186" s="2">
        <f>SUM(F186,D186)</f>
        <v>5743516</v>
      </c>
    </row>
    <row r="187" spans="1:7" x14ac:dyDescent="0.2">
      <c r="A187">
        <v>2019</v>
      </c>
      <c r="B187" s="34">
        <v>5148</v>
      </c>
      <c r="C187" s="3" t="s">
        <v>193</v>
      </c>
      <c r="D187" s="12">
        <v>569634</v>
      </c>
      <c r="E187" s="3">
        <f>VLOOKUP(B187,'2015'!$B$2:$G$338,6,FALSE)</f>
        <v>0</v>
      </c>
      <c r="F187" s="3">
        <f t="shared" si="2"/>
        <v>0</v>
      </c>
      <c r="G187" s="2">
        <f>SUM(F187,D187)</f>
        <v>569634</v>
      </c>
    </row>
    <row r="188" spans="1:7" x14ac:dyDescent="0.2">
      <c r="A188">
        <v>2019</v>
      </c>
      <c r="B188" s="34">
        <v>5149</v>
      </c>
      <c r="C188" s="3" t="s">
        <v>194</v>
      </c>
      <c r="D188" s="12">
        <v>1154643</v>
      </c>
      <c r="E188" s="3">
        <f>VLOOKUP(B188,'2015'!$B$2:$G$338,6,FALSE)</f>
        <v>0</v>
      </c>
      <c r="F188" s="3">
        <f t="shared" si="2"/>
        <v>0</v>
      </c>
      <c r="G188" s="2">
        <f>SUM(F188,D188)</f>
        <v>1154643</v>
      </c>
    </row>
    <row r="189" spans="1:7" x14ac:dyDescent="0.2">
      <c r="A189">
        <v>2019</v>
      </c>
      <c r="B189" s="34">
        <v>5150</v>
      </c>
      <c r="C189" s="3" t="s">
        <v>247</v>
      </c>
      <c r="D189" s="12">
        <v>972770</v>
      </c>
      <c r="E189" s="3">
        <f>VLOOKUP(B189,'2015'!$B$2:$G$338,6,FALSE)</f>
        <v>0</v>
      </c>
      <c r="F189" s="3">
        <f t="shared" si="2"/>
        <v>0</v>
      </c>
      <c r="G189" s="2">
        <f>SUM(F189,D189)</f>
        <v>972770</v>
      </c>
    </row>
    <row r="190" spans="1:7" x14ac:dyDescent="0.2">
      <c r="A190">
        <v>2019</v>
      </c>
      <c r="B190" s="34">
        <v>5151</v>
      </c>
      <c r="C190" s="3" t="s">
        <v>196</v>
      </c>
      <c r="D190" s="12">
        <v>298217</v>
      </c>
      <c r="E190" s="3">
        <f>VLOOKUP(B190,'2015'!$B$2:$G$338,6,FALSE)</f>
        <v>0</v>
      </c>
      <c r="F190" s="3">
        <f t="shared" si="2"/>
        <v>0</v>
      </c>
      <c r="G190" s="2">
        <f>SUM(F190,D190)</f>
        <v>298217</v>
      </c>
    </row>
    <row r="191" spans="1:7" x14ac:dyDescent="0.2">
      <c r="A191">
        <v>2019</v>
      </c>
      <c r="B191" s="34">
        <v>5152</v>
      </c>
      <c r="C191" s="3" t="s">
        <v>197</v>
      </c>
      <c r="D191" s="12">
        <v>642359</v>
      </c>
      <c r="E191" s="3">
        <f>VLOOKUP(B191,'2015'!$B$2:$G$338,6,FALSE)</f>
        <v>0</v>
      </c>
      <c r="F191" s="3">
        <f t="shared" si="2"/>
        <v>0</v>
      </c>
      <c r="G191" s="2">
        <f>SUM(F191,D191)</f>
        <v>642359</v>
      </c>
    </row>
    <row r="192" spans="1:7" x14ac:dyDescent="0.2">
      <c r="A192">
        <v>2019</v>
      </c>
      <c r="B192" s="34">
        <v>5153</v>
      </c>
      <c r="C192" s="3" t="s">
        <v>198</v>
      </c>
      <c r="D192" s="12">
        <v>130037</v>
      </c>
      <c r="E192" s="3">
        <f>VLOOKUP(B192,'2015'!$B$2:$G$338,6,FALSE)</f>
        <v>0</v>
      </c>
      <c r="F192" s="3">
        <f t="shared" si="2"/>
        <v>0</v>
      </c>
      <c r="G192" s="2">
        <f>SUM(F192,D192)</f>
        <v>130037</v>
      </c>
    </row>
    <row r="193" spans="1:7" x14ac:dyDescent="0.2">
      <c r="A193">
        <v>2019</v>
      </c>
      <c r="B193" s="34">
        <v>5154</v>
      </c>
      <c r="C193" s="3" t="s">
        <v>199</v>
      </c>
      <c r="D193" s="12">
        <v>203558</v>
      </c>
      <c r="E193" s="3">
        <f>VLOOKUP(B193,'2015'!$B$2:$G$338,6,FALSE)</f>
        <v>0</v>
      </c>
      <c r="F193" s="3">
        <f t="shared" si="2"/>
        <v>0</v>
      </c>
      <c r="G193" s="2">
        <f>SUM(F193,D193)</f>
        <v>203558</v>
      </c>
    </row>
    <row r="194" spans="1:7" x14ac:dyDescent="0.2">
      <c r="A194">
        <v>2019</v>
      </c>
      <c r="B194" s="34">
        <v>5155</v>
      </c>
      <c r="C194" s="3" t="s">
        <v>200</v>
      </c>
      <c r="D194" s="12">
        <v>232604</v>
      </c>
      <c r="E194" s="3">
        <f>VLOOKUP(B194,'2015'!$B$2:$G$338,6,FALSE)</f>
        <v>0</v>
      </c>
      <c r="F194" s="3">
        <f t="shared" si="2"/>
        <v>0</v>
      </c>
      <c r="G194" s="2">
        <f>SUM(F194,D194)</f>
        <v>232604</v>
      </c>
    </row>
    <row r="195" spans="1:7" x14ac:dyDescent="0.2">
      <c r="A195">
        <v>2019</v>
      </c>
      <c r="B195" s="34">
        <v>5156</v>
      </c>
      <c r="C195" s="3" t="s">
        <v>201</v>
      </c>
      <c r="D195" s="12">
        <v>679643</v>
      </c>
      <c r="E195" s="3">
        <f>VLOOKUP(B195,'2015'!$B$2:$G$338,6,FALSE)</f>
        <v>0</v>
      </c>
      <c r="F195" s="3">
        <f t="shared" ref="F195:F258" si="3">E195*$D$341</f>
        <v>0</v>
      </c>
      <c r="G195" s="2">
        <f>SUM(F195,D195)</f>
        <v>679643</v>
      </c>
    </row>
    <row r="196" spans="1:7" x14ac:dyDescent="0.2">
      <c r="A196">
        <v>2019</v>
      </c>
      <c r="B196" s="34">
        <v>5157</v>
      </c>
      <c r="C196" s="3" t="s">
        <v>202</v>
      </c>
      <c r="D196" s="12">
        <v>150420</v>
      </c>
      <c r="E196" s="3">
        <f>VLOOKUP(B196,'2015'!$B$2:$G$338,6,FALSE)</f>
        <v>0</v>
      </c>
      <c r="F196" s="3">
        <f t="shared" si="3"/>
        <v>0</v>
      </c>
      <c r="G196" s="2">
        <f>SUM(F196,D196)</f>
        <v>150420</v>
      </c>
    </row>
    <row r="197" spans="1:7" x14ac:dyDescent="0.2">
      <c r="A197">
        <v>2019</v>
      </c>
      <c r="B197" s="34">
        <v>5158</v>
      </c>
      <c r="C197" s="3" t="s">
        <v>203</v>
      </c>
      <c r="D197" s="12">
        <v>747761</v>
      </c>
      <c r="E197" s="3">
        <f>VLOOKUP(B197,'2015'!$B$2:$G$338,6,FALSE)</f>
        <v>0</v>
      </c>
      <c r="F197" s="3">
        <f t="shared" si="3"/>
        <v>0</v>
      </c>
      <c r="G197" s="2">
        <f>SUM(F197,D197)</f>
        <v>747761</v>
      </c>
    </row>
    <row r="198" spans="1:7" x14ac:dyDescent="0.2">
      <c r="A198">
        <v>2019</v>
      </c>
      <c r="B198" s="34">
        <v>5159</v>
      </c>
      <c r="C198" s="3" t="s">
        <v>204</v>
      </c>
      <c r="D198" s="12">
        <v>1218525</v>
      </c>
      <c r="E198" s="3">
        <f>VLOOKUP(B198,'2015'!$B$2:$G$338,6,FALSE)</f>
        <v>0</v>
      </c>
      <c r="F198" s="3">
        <f t="shared" si="3"/>
        <v>0</v>
      </c>
      <c r="G198" s="2">
        <f>SUM(F198,D198)</f>
        <v>1218525</v>
      </c>
    </row>
    <row r="199" spans="1:7" x14ac:dyDescent="0.2">
      <c r="A199">
        <v>2019</v>
      </c>
      <c r="B199" s="34">
        <v>5160</v>
      </c>
      <c r="C199" s="3" t="s">
        <v>205</v>
      </c>
      <c r="D199" s="12">
        <v>296531</v>
      </c>
      <c r="E199" s="3">
        <f>VLOOKUP(B199,'2015'!$B$2:$G$338,6,FALSE)</f>
        <v>0</v>
      </c>
      <c r="F199" s="3">
        <f t="shared" si="3"/>
        <v>0</v>
      </c>
      <c r="G199" s="2">
        <f>SUM(F199,D199)</f>
        <v>296531</v>
      </c>
    </row>
    <row r="200" spans="1:7" x14ac:dyDescent="0.2">
      <c r="A200">
        <v>2019</v>
      </c>
      <c r="B200" s="34">
        <v>5161</v>
      </c>
      <c r="C200" s="3" t="s">
        <v>206</v>
      </c>
      <c r="D200" s="12">
        <v>413423</v>
      </c>
      <c r="E200" s="3">
        <f>VLOOKUP(B200,'2015'!$B$2:$G$338,6,FALSE)</f>
        <v>0</v>
      </c>
      <c r="F200" s="3">
        <f t="shared" si="3"/>
        <v>0</v>
      </c>
      <c r="G200" s="2">
        <f>SUM(F200,D200)</f>
        <v>413423</v>
      </c>
    </row>
    <row r="201" spans="1:7" x14ac:dyDescent="0.2">
      <c r="A201">
        <v>2019</v>
      </c>
      <c r="B201" s="34">
        <v>5162</v>
      </c>
      <c r="C201" s="3" t="s">
        <v>207</v>
      </c>
      <c r="D201" s="12">
        <v>411875</v>
      </c>
      <c r="E201" s="3">
        <f>VLOOKUP(B201,'2015'!$B$2:$G$338,6,FALSE)</f>
        <v>0</v>
      </c>
      <c r="F201" s="3">
        <f t="shared" si="3"/>
        <v>0</v>
      </c>
      <c r="G201" s="2">
        <f>SUM(F201,D201)</f>
        <v>411875</v>
      </c>
    </row>
    <row r="202" spans="1:7" x14ac:dyDescent="0.2">
      <c r="A202">
        <v>2019</v>
      </c>
      <c r="B202" s="34">
        <v>5163</v>
      </c>
      <c r="C202" s="3" t="s">
        <v>208</v>
      </c>
      <c r="D202" s="12">
        <v>282823</v>
      </c>
      <c r="E202" s="3">
        <f>VLOOKUP(B202,'2015'!$B$2:$G$338,6,FALSE)</f>
        <v>0</v>
      </c>
      <c r="F202" s="3">
        <f t="shared" si="3"/>
        <v>0</v>
      </c>
      <c r="G202" s="2">
        <f>SUM(F202,D202)</f>
        <v>282823</v>
      </c>
    </row>
    <row r="203" spans="1:7" x14ac:dyDescent="0.2">
      <c r="A203">
        <v>2019</v>
      </c>
      <c r="B203" s="34">
        <v>5164</v>
      </c>
      <c r="C203" s="3" t="s">
        <v>209</v>
      </c>
      <c r="D203" s="12">
        <v>310049</v>
      </c>
      <c r="E203" s="3">
        <f>VLOOKUP(B203,'2015'!$B$2:$G$338,6,FALSE)</f>
        <v>0</v>
      </c>
      <c r="F203" s="3">
        <f t="shared" si="3"/>
        <v>0</v>
      </c>
      <c r="G203" s="2">
        <f>SUM(F203,D203)</f>
        <v>310049</v>
      </c>
    </row>
    <row r="204" spans="1:7" x14ac:dyDescent="0.2">
      <c r="A204">
        <v>2019</v>
      </c>
      <c r="B204" s="34">
        <v>5166</v>
      </c>
      <c r="C204" s="3" t="s">
        <v>210</v>
      </c>
      <c r="D204" s="12">
        <v>241134</v>
      </c>
      <c r="E204" s="3">
        <f>VLOOKUP(B204,'2015'!$B$2:$G$338,6,FALSE)</f>
        <v>0</v>
      </c>
      <c r="F204" s="3">
        <f t="shared" si="3"/>
        <v>0</v>
      </c>
      <c r="G204" s="2">
        <f>SUM(F204,D204)</f>
        <v>241134</v>
      </c>
    </row>
    <row r="205" spans="1:7" x14ac:dyDescent="0.2">
      <c r="A205">
        <v>2019</v>
      </c>
      <c r="B205" s="34">
        <v>5167</v>
      </c>
      <c r="C205" s="3" t="s">
        <v>211</v>
      </c>
      <c r="D205" s="12">
        <v>557717</v>
      </c>
      <c r="E205" s="3">
        <f>VLOOKUP(B205,'2015'!$B$2:$G$338,6,FALSE)</f>
        <v>0</v>
      </c>
      <c r="F205" s="3">
        <f t="shared" si="3"/>
        <v>0</v>
      </c>
      <c r="G205" s="2">
        <f>SUM(F205,D205)</f>
        <v>557717</v>
      </c>
    </row>
    <row r="206" spans="1:7" x14ac:dyDescent="0.2">
      <c r="A206">
        <v>2019</v>
      </c>
      <c r="B206" s="34">
        <v>5168</v>
      </c>
      <c r="C206" s="3" t="s">
        <v>212</v>
      </c>
      <c r="D206" s="12">
        <v>610342</v>
      </c>
      <c r="E206" s="3">
        <f>VLOOKUP(B206,'2015'!$B$2:$G$338,6,FALSE)</f>
        <v>0</v>
      </c>
      <c r="F206" s="3">
        <f t="shared" si="3"/>
        <v>0</v>
      </c>
      <c r="G206" s="2">
        <f>SUM(F206,D206)</f>
        <v>610342</v>
      </c>
    </row>
    <row r="207" spans="1:7" x14ac:dyDescent="0.2">
      <c r="A207">
        <v>2019</v>
      </c>
      <c r="B207" s="34">
        <v>5171</v>
      </c>
      <c r="C207" s="3" t="s">
        <v>213</v>
      </c>
      <c r="D207" s="12">
        <v>265285</v>
      </c>
      <c r="E207" s="3">
        <f>VLOOKUP(B207,'2015'!$B$2:$G$338,6,FALSE)</f>
        <v>0</v>
      </c>
      <c r="F207" s="3">
        <f t="shared" si="3"/>
        <v>0</v>
      </c>
      <c r="G207" s="2">
        <f>SUM(F207,D207)</f>
        <v>265285</v>
      </c>
    </row>
    <row r="208" spans="1:7" x14ac:dyDescent="0.2">
      <c r="A208">
        <v>2019</v>
      </c>
      <c r="B208" s="34">
        <v>5172</v>
      </c>
      <c r="C208" s="3" t="s">
        <v>214</v>
      </c>
      <c r="D208" s="12">
        <v>710111</v>
      </c>
      <c r="E208" s="3">
        <f>VLOOKUP(B208,'2015'!$B$2:$G$338,6,FALSE)</f>
        <v>0</v>
      </c>
      <c r="F208" s="3">
        <f t="shared" si="3"/>
        <v>0</v>
      </c>
      <c r="G208" s="2">
        <f>SUM(F208,D208)</f>
        <v>710111</v>
      </c>
    </row>
    <row r="209" spans="1:7" x14ac:dyDescent="0.2">
      <c r="A209">
        <v>2019</v>
      </c>
      <c r="B209" s="34">
        <v>5173</v>
      </c>
      <c r="C209" s="3" t="s">
        <v>215</v>
      </c>
      <c r="D209" s="12">
        <v>413732</v>
      </c>
      <c r="E209" s="3">
        <f>VLOOKUP(B209,'2015'!$B$2:$G$338,6,FALSE)</f>
        <v>0</v>
      </c>
      <c r="F209" s="3">
        <f t="shared" si="3"/>
        <v>0</v>
      </c>
      <c r="G209" s="2">
        <f>SUM(F209,D209)</f>
        <v>413732</v>
      </c>
    </row>
    <row r="210" spans="1:7" x14ac:dyDescent="0.2">
      <c r="A210">
        <v>2019</v>
      </c>
      <c r="B210" s="34">
        <v>5174</v>
      </c>
      <c r="C210" s="3" t="s">
        <v>216</v>
      </c>
      <c r="D210" s="12">
        <v>588870</v>
      </c>
      <c r="E210" s="3">
        <f>VLOOKUP(B210,'2015'!$B$2:$G$338,6,FALSE)</f>
        <v>0</v>
      </c>
      <c r="F210" s="3">
        <f t="shared" si="3"/>
        <v>0</v>
      </c>
      <c r="G210" s="2">
        <f>SUM(F210,D210)</f>
        <v>588870</v>
      </c>
    </row>
    <row r="211" spans="1:7" x14ac:dyDescent="0.2">
      <c r="A211">
        <v>2019</v>
      </c>
      <c r="B211" s="34">
        <v>5175</v>
      </c>
      <c r="C211" s="3" t="s">
        <v>217</v>
      </c>
      <c r="D211" s="12">
        <v>321253</v>
      </c>
      <c r="E211" s="3">
        <f>VLOOKUP(B211,'2015'!$B$2:$G$338,6,FALSE)</f>
        <v>0</v>
      </c>
      <c r="F211" s="3">
        <f t="shared" si="3"/>
        <v>0</v>
      </c>
      <c r="G211" s="2">
        <f>SUM(F211,D211)</f>
        <v>321253</v>
      </c>
    </row>
    <row r="212" spans="1:7" x14ac:dyDescent="0.2">
      <c r="A212">
        <v>2019</v>
      </c>
      <c r="B212" s="34">
        <v>5176</v>
      </c>
      <c r="C212" s="3" t="s">
        <v>218</v>
      </c>
      <c r="D212" s="12">
        <v>2242454</v>
      </c>
      <c r="E212" s="3">
        <f>VLOOKUP(B212,'2015'!$B$2:$G$338,6,FALSE)</f>
        <v>0</v>
      </c>
      <c r="F212" s="3">
        <f t="shared" si="3"/>
        <v>0</v>
      </c>
      <c r="G212" s="2">
        <f>SUM(F212,D212)</f>
        <v>2242454</v>
      </c>
    </row>
    <row r="213" spans="1:7" x14ac:dyDescent="0.2">
      <c r="A213">
        <v>2019</v>
      </c>
      <c r="B213" s="34">
        <v>5185</v>
      </c>
      <c r="C213" s="3" t="s">
        <v>219</v>
      </c>
      <c r="D213" s="12">
        <v>21067990</v>
      </c>
      <c r="E213" s="3">
        <f>VLOOKUP(B213,'2015'!$B$2:$G$338,6,FALSE)</f>
        <v>0</v>
      </c>
      <c r="F213" s="3">
        <f t="shared" si="3"/>
        <v>0</v>
      </c>
      <c r="G213" s="2">
        <f>SUM(F213,D213)</f>
        <v>21067990</v>
      </c>
    </row>
    <row r="214" spans="1:7" x14ac:dyDescent="0.2">
      <c r="A214">
        <v>2019</v>
      </c>
      <c r="B214" s="34">
        <v>5186</v>
      </c>
      <c r="C214" s="3" t="s">
        <v>220</v>
      </c>
      <c r="D214" s="12">
        <v>369454</v>
      </c>
      <c r="E214" s="3">
        <f>VLOOKUP(B214,'2015'!$B$2:$G$338,6,FALSE)</f>
        <v>0</v>
      </c>
      <c r="F214" s="3">
        <f t="shared" si="3"/>
        <v>0</v>
      </c>
      <c r="G214" s="2">
        <f>SUM(F214,D214)</f>
        <v>369454</v>
      </c>
    </row>
    <row r="215" spans="1:7" x14ac:dyDescent="0.2">
      <c r="A215">
        <v>2019</v>
      </c>
      <c r="B215" s="34">
        <v>5187</v>
      </c>
      <c r="C215" s="3" t="s">
        <v>221</v>
      </c>
      <c r="D215" s="12">
        <v>483746</v>
      </c>
      <c r="E215" s="3">
        <f>VLOOKUP(B215,'2015'!$B$2:$G$338,6,FALSE)</f>
        <v>0</v>
      </c>
      <c r="F215" s="3">
        <f t="shared" si="3"/>
        <v>0</v>
      </c>
      <c r="G215" s="2">
        <f>SUM(F215,D215)</f>
        <v>483746</v>
      </c>
    </row>
    <row r="216" spans="1:7" x14ac:dyDescent="0.2">
      <c r="A216">
        <v>2019</v>
      </c>
      <c r="B216" s="34">
        <v>5188</v>
      </c>
      <c r="C216" s="3" t="s">
        <v>222</v>
      </c>
      <c r="D216" s="12">
        <v>264348</v>
      </c>
      <c r="E216" s="3">
        <f>VLOOKUP(B216,'2015'!$B$2:$G$338,6,FALSE)</f>
        <v>0</v>
      </c>
      <c r="F216" s="3">
        <f t="shared" si="3"/>
        <v>0</v>
      </c>
      <c r="G216" s="2">
        <f>SUM(F216,D216)</f>
        <v>264348</v>
      </c>
    </row>
    <row r="217" spans="1:7" x14ac:dyDescent="0.2">
      <c r="A217">
        <v>2019</v>
      </c>
      <c r="B217" s="34">
        <v>5189</v>
      </c>
      <c r="C217" s="3" t="s">
        <v>223</v>
      </c>
      <c r="D217" s="12">
        <v>97520</v>
      </c>
      <c r="E217" s="3">
        <f>VLOOKUP(B217,'2015'!$B$2:$G$338,6,FALSE)</f>
        <v>0</v>
      </c>
      <c r="F217" s="3">
        <f t="shared" si="3"/>
        <v>0</v>
      </c>
      <c r="G217" s="2">
        <f>SUM(F217,D217)</f>
        <v>97520</v>
      </c>
    </row>
    <row r="218" spans="1:7" x14ac:dyDescent="0.2">
      <c r="A218">
        <v>2019</v>
      </c>
      <c r="B218" s="34">
        <v>5190</v>
      </c>
      <c r="C218" s="3" t="s">
        <v>224</v>
      </c>
      <c r="D218" s="12">
        <v>281688</v>
      </c>
      <c r="E218" s="3">
        <f>VLOOKUP(B218,'2015'!$B$2:$G$338,6,FALSE)</f>
        <v>0</v>
      </c>
      <c r="F218" s="3">
        <f t="shared" si="3"/>
        <v>0</v>
      </c>
      <c r="G218" s="2">
        <f>SUM(F218,D218)</f>
        <v>281688</v>
      </c>
    </row>
    <row r="219" spans="1:7" x14ac:dyDescent="0.2">
      <c r="A219">
        <v>2019</v>
      </c>
      <c r="B219" s="34">
        <v>5191</v>
      </c>
      <c r="C219" s="3" t="s">
        <v>225</v>
      </c>
      <c r="D219" s="12">
        <v>1017989</v>
      </c>
      <c r="E219" s="3">
        <f>VLOOKUP(B219,'2015'!$B$2:$G$338,6,FALSE)</f>
        <v>0</v>
      </c>
      <c r="F219" s="3">
        <f t="shared" si="3"/>
        <v>0</v>
      </c>
      <c r="G219" s="2">
        <f>SUM(F219,D219)</f>
        <v>1017989</v>
      </c>
    </row>
    <row r="220" spans="1:7" x14ac:dyDescent="0.2">
      <c r="A220">
        <v>2019</v>
      </c>
      <c r="B220" s="34">
        <v>5192</v>
      </c>
      <c r="C220" s="3" t="s">
        <v>226</v>
      </c>
      <c r="D220" s="12">
        <v>319196</v>
      </c>
      <c r="E220" s="3">
        <f>VLOOKUP(B220,'2015'!$B$2:$G$338,6,FALSE)</f>
        <v>0</v>
      </c>
      <c r="F220" s="3">
        <f t="shared" si="3"/>
        <v>0</v>
      </c>
      <c r="G220" s="2">
        <f>SUM(F220,D220)</f>
        <v>319196</v>
      </c>
    </row>
    <row r="221" spans="1:7" x14ac:dyDescent="0.2">
      <c r="A221">
        <v>2019</v>
      </c>
      <c r="B221" s="34">
        <v>5193</v>
      </c>
      <c r="C221" s="3" t="s">
        <v>227</v>
      </c>
      <c r="D221" s="12">
        <v>1620039</v>
      </c>
      <c r="E221" s="3">
        <f>VLOOKUP(B221,'2015'!$B$2:$G$338,6,FALSE)</f>
        <v>0</v>
      </c>
      <c r="F221" s="3">
        <f t="shared" si="3"/>
        <v>0</v>
      </c>
      <c r="G221" s="2">
        <f>SUM(F221,D221)</f>
        <v>1620039</v>
      </c>
    </row>
    <row r="222" spans="1:7" x14ac:dyDescent="0.2">
      <c r="A222">
        <v>2019</v>
      </c>
      <c r="B222" s="34">
        <v>5195</v>
      </c>
      <c r="C222" s="3" t="s">
        <v>228</v>
      </c>
      <c r="D222" s="12">
        <v>716065</v>
      </c>
      <c r="E222" s="3">
        <f>VLOOKUP(B222,'2015'!$B$2:$G$338,6,FALSE)</f>
        <v>0</v>
      </c>
      <c r="F222" s="3">
        <f t="shared" si="3"/>
        <v>0</v>
      </c>
      <c r="G222" s="2">
        <f>SUM(F222,D222)</f>
        <v>716065</v>
      </c>
    </row>
    <row r="223" spans="1:7" x14ac:dyDescent="0.2">
      <c r="A223">
        <v>2019</v>
      </c>
      <c r="B223" s="34">
        <v>5196</v>
      </c>
      <c r="C223" s="3" t="s">
        <v>229</v>
      </c>
      <c r="D223" s="12">
        <v>526163</v>
      </c>
      <c r="E223" s="3">
        <f>VLOOKUP(B223,'2015'!$B$2:$G$338,6,FALSE)</f>
        <v>0</v>
      </c>
      <c r="F223" s="3">
        <f t="shared" si="3"/>
        <v>0</v>
      </c>
      <c r="G223" s="2">
        <f>SUM(F223,D223)</f>
        <v>526163</v>
      </c>
    </row>
    <row r="224" spans="1:7" x14ac:dyDescent="0.2">
      <c r="A224">
        <v>2019</v>
      </c>
      <c r="B224" s="34">
        <v>5197</v>
      </c>
      <c r="C224" s="3" t="s">
        <v>230</v>
      </c>
      <c r="D224" s="12">
        <v>282898</v>
      </c>
      <c r="E224" s="3">
        <f>VLOOKUP(B224,'2015'!$B$2:$G$338,6,FALSE)</f>
        <v>0</v>
      </c>
      <c r="F224" s="3">
        <f t="shared" si="3"/>
        <v>0</v>
      </c>
      <c r="G224" s="2">
        <f>SUM(F224,D224)</f>
        <v>282898</v>
      </c>
    </row>
    <row r="225" spans="1:7" x14ac:dyDescent="0.2">
      <c r="A225">
        <v>2019</v>
      </c>
      <c r="B225" s="34">
        <v>5198</v>
      </c>
      <c r="C225" s="3" t="s">
        <v>231</v>
      </c>
      <c r="D225" s="12">
        <v>1418382</v>
      </c>
      <c r="E225" s="3">
        <f>VLOOKUP(B225,'2015'!$B$2:$G$338,6,FALSE)</f>
        <v>0</v>
      </c>
      <c r="F225" s="3">
        <f t="shared" si="3"/>
        <v>0</v>
      </c>
      <c r="G225" s="2">
        <f>SUM(F225,D225)</f>
        <v>1418382</v>
      </c>
    </row>
    <row r="226" spans="1:7" x14ac:dyDescent="0.2">
      <c r="A226">
        <v>2019</v>
      </c>
      <c r="B226" s="34">
        <v>5199</v>
      </c>
      <c r="C226" s="3" t="s">
        <v>232</v>
      </c>
      <c r="D226" s="12">
        <v>412629</v>
      </c>
      <c r="E226" s="3">
        <f>VLOOKUP(B226,'2015'!$B$2:$G$338,6,FALSE)</f>
        <v>0</v>
      </c>
      <c r="F226" s="3">
        <f t="shared" si="3"/>
        <v>0</v>
      </c>
      <c r="G226" s="2">
        <f>SUM(F226,D226)</f>
        <v>412629</v>
      </c>
    </row>
    <row r="227" spans="1:7" x14ac:dyDescent="0.2">
      <c r="A227">
        <v>2019</v>
      </c>
      <c r="B227" s="34">
        <v>5200</v>
      </c>
      <c r="C227" s="3" t="s">
        <v>233</v>
      </c>
      <c r="D227" s="12">
        <v>911558</v>
      </c>
      <c r="E227" s="3">
        <f>VLOOKUP(B227,'2015'!$B$2:$G$338,6,FALSE)</f>
        <v>0</v>
      </c>
      <c r="F227" s="3">
        <f t="shared" si="3"/>
        <v>0</v>
      </c>
      <c r="G227" s="2">
        <f>SUM(F227,D227)</f>
        <v>911558</v>
      </c>
    </row>
    <row r="228" spans="1:7" x14ac:dyDescent="0.2">
      <c r="A228">
        <v>2019</v>
      </c>
      <c r="B228" s="34">
        <v>5201</v>
      </c>
      <c r="C228" s="3" t="s">
        <v>234</v>
      </c>
      <c r="D228" s="12">
        <v>216111</v>
      </c>
      <c r="E228" s="3">
        <f>VLOOKUP(B228,'2015'!$B$2:$G$338,6,FALSE)</f>
        <v>0</v>
      </c>
      <c r="F228" s="3">
        <f t="shared" si="3"/>
        <v>0</v>
      </c>
      <c r="G228" s="2">
        <f>SUM(F228,D228)</f>
        <v>216111</v>
      </c>
    </row>
    <row r="229" spans="1:7" x14ac:dyDescent="0.2">
      <c r="A229">
        <v>2019</v>
      </c>
      <c r="B229" s="34">
        <v>5202</v>
      </c>
      <c r="C229" s="3" t="s">
        <v>235</v>
      </c>
      <c r="D229" s="12">
        <v>242317</v>
      </c>
      <c r="E229" s="3">
        <f>VLOOKUP(B229,'2015'!$B$2:$G$338,6,FALSE)</f>
        <v>0</v>
      </c>
      <c r="F229" s="3">
        <f t="shared" si="3"/>
        <v>0</v>
      </c>
      <c r="G229" s="2">
        <f>SUM(F229,D229)</f>
        <v>242317</v>
      </c>
    </row>
    <row r="230" spans="1:7" x14ac:dyDescent="0.2">
      <c r="A230">
        <v>2019</v>
      </c>
      <c r="B230" s="34">
        <v>5203</v>
      </c>
      <c r="C230" s="3" t="s">
        <v>236</v>
      </c>
      <c r="D230" s="12">
        <v>703201</v>
      </c>
      <c r="E230" s="3">
        <f>VLOOKUP(B230,'2015'!$B$2:$G$338,6,FALSE)</f>
        <v>0</v>
      </c>
      <c r="F230" s="3">
        <f t="shared" si="3"/>
        <v>0</v>
      </c>
      <c r="G230" s="2">
        <f>SUM(F230,D230)</f>
        <v>703201</v>
      </c>
    </row>
    <row r="231" spans="1:7" x14ac:dyDescent="0.2">
      <c r="A231">
        <v>2019</v>
      </c>
      <c r="B231" s="34">
        <v>5204</v>
      </c>
      <c r="C231" s="3" t="s">
        <v>237</v>
      </c>
      <c r="D231" s="12">
        <v>1039738</v>
      </c>
      <c r="E231" s="3">
        <f>VLOOKUP(B231,'2015'!$B$2:$G$338,6,FALSE)</f>
        <v>0</v>
      </c>
      <c r="F231" s="3">
        <f t="shared" si="3"/>
        <v>0</v>
      </c>
      <c r="G231" s="2">
        <f>SUM(F231,D231)</f>
        <v>1039738</v>
      </c>
    </row>
    <row r="232" spans="1:7" x14ac:dyDescent="0.2">
      <c r="A232">
        <v>2019</v>
      </c>
      <c r="B232" s="34">
        <v>5205</v>
      </c>
      <c r="C232" s="3" t="s">
        <v>238</v>
      </c>
      <c r="D232" s="12">
        <v>444948</v>
      </c>
      <c r="E232" s="3">
        <f>VLOOKUP(B232,'2015'!$B$2:$G$338,6,FALSE)</f>
        <v>0</v>
      </c>
      <c r="F232" s="3">
        <f t="shared" si="3"/>
        <v>0</v>
      </c>
      <c r="G232" s="2">
        <f>SUM(F232,D232)</f>
        <v>444948</v>
      </c>
    </row>
    <row r="233" spans="1:7" x14ac:dyDescent="0.2">
      <c r="A233">
        <v>2019</v>
      </c>
      <c r="B233" s="34">
        <v>5206</v>
      </c>
      <c r="C233" s="3" t="s">
        <v>239</v>
      </c>
      <c r="D233" s="12">
        <v>493230</v>
      </c>
      <c r="E233" s="3">
        <f>VLOOKUP(B233,'2015'!$B$2:$G$338,6,FALSE)</f>
        <v>0</v>
      </c>
      <c r="F233" s="3">
        <f t="shared" si="3"/>
        <v>0</v>
      </c>
      <c r="G233" s="2">
        <f>SUM(F233,D233)</f>
        <v>493230</v>
      </c>
    </row>
    <row r="234" spans="1:7" x14ac:dyDescent="0.2">
      <c r="A234">
        <v>2019</v>
      </c>
      <c r="B234" s="34">
        <v>5207</v>
      </c>
      <c r="C234" s="3" t="s">
        <v>240</v>
      </c>
      <c r="D234" s="12">
        <v>1053645</v>
      </c>
      <c r="E234" s="3">
        <f>VLOOKUP(B234,'2015'!$B$2:$G$338,6,FALSE)</f>
        <v>0</v>
      </c>
      <c r="F234" s="3">
        <f t="shared" si="3"/>
        <v>0</v>
      </c>
      <c r="G234" s="2">
        <f>SUM(F234,D234)</f>
        <v>1053645</v>
      </c>
    </row>
    <row r="235" spans="1:7" x14ac:dyDescent="0.2">
      <c r="A235">
        <v>2019</v>
      </c>
      <c r="B235" s="34">
        <v>5208</v>
      </c>
      <c r="C235" s="3" t="s">
        <v>241</v>
      </c>
      <c r="D235" s="12">
        <v>319251</v>
      </c>
      <c r="E235" s="3">
        <f>VLOOKUP(B235,'2015'!$B$2:$G$338,6,FALSE)</f>
        <v>0</v>
      </c>
      <c r="F235" s="3">
        <f t="shared" si="3"/>
        <v>0</v>
      </c>
      <c r="G235" s="2">
        <f>SUM(F235,D235)</f>
        <v>319251</v>
      </c>
    </row>
    <row r="236" spans="1:7" x14ac:dyDescent="0.2">
      <c r="A236">
        <v>2019</v>
      </c>
      <c r="B236" s="34">
        <v>5210</v>
      </c>
      <c r="C236" s="3" t="s">
        <v>242</v>
      </c>
      <c r="D236" s="12">
        <v>3379688</v>
      </c>
      <c r="E236" s="3">
        <f>VLOOKUP(B236,'2015'!$B$2:$G$338,6,FALSE)</f>
        <v>0</v>
      </c>
      <c r="F236" s="3">
        <f t="shared" si="3"/>
        <v>0</v>
      </c>
      <c r="G236" s="2">
        <f>SUM(F236,D236)</f>
        <v>3379688</v>
      </c>
    </row>
    <row r="237" spans="1:7" x14ac:dyDescent="0.2">
      <c r="A237">
        <v>2019</v>
      </c>
      <c r="B237" s="34">
        <v>5212</v>
      </c>
      <c r="C237" s="3" t="s">
        <v>243</v>
      </c>
      <c r="D237" s="12">
        <v>859020</v>
      </c>
      <c r="E237" s="3">
        <f>VLOOKUP(B237,'2015'!$B$2:$G$338,6,FALSE)</f>
        <v>0</v>
      </c>
      <c r="F237" s="3">
        <f t="shared" si="3"/>
        <v>0</v>
      </c>
      <c r="G237" s="2">
        <f>SUM(F237,D237)</f>
        <v>859020</v>
      </c>
    </row>
    <row r="238" spans="1:7" x14ac:dyDescent="0.2">
      <c r="A238">
        <v>2019</v>
      </c>
      <c r="B238" s="34">
        <v>5213</v>
      </c>
      <c r="C238" s="3" t="s">
        <v>244</v>
      </c>
      <c r="D238" s="12">
        <v>650235</v>
      </c>
      <c r="E238" s="3">
        <f>VLOOKUP(B238,'2015'!$B$2:$G$338,6,FALSE)</f>
        <v>0</v>
      </c>
      <c r="F238" s="3">
        <f t="shared" si="3"/>
        <v>0</v>
      </c>
      <c r="G238" s="2">
        <f>SUM(F238,D238)</f>
        <v>650235</v>
      </c>
    </row>
    <row r="239" spans="1:7" x14ac:dyDescent="0.2">
      <c r="A239">
        <v>2019</v>
      </c>
      <c r="B239" s="34">
        <v>5214</v>
      </c>
      <c r="C239" s="3" t="s">
        <v>245</v>
      </c>
      <c r="D239" s="12">
        <v>3064148</v>
      </c>
      <c r="E239" s="3">
        <f>VLOOKUP(B239,'2015'!$B$2:$G$338,6,FALSE)</f>
        <v>0</v>
      </c>
      <c r="F239" s="3">
        <f t="shared" si="3"/>
        <v>0</v>
      </c>
      <c r="G239" s="2">
        <f>SUM(F239,D239)</f>
        <v>3064148</v>
      </c>
    </row>
    <row r="240" spans="1:7" x14ac:dyDescent="0.2">
      <c r="A240">
        <v>2019</v>
      </c>
      <c r="B240" s="34">
        <v>5215</v>
      </c>
      <c r="C240" s="3" t="s">
        <v>246</v>
      </c>
      <c r="D240" s="12">
        <v>732260</v>
      </c>
      <c r="E240" s="3">
        <f>VLOOKUP(B240,'2015'!$B$2:$G$338,6,FALSE)</f>
        <v>0</v>
      </c>
      <c r="F240" s="3">
        <f t="shared" si="3"/>
        <v>0</v>
      </c>
      <c r="G240" s="2">
        <f>SUM(F240,D240)</f>
        <v>732260</v>
      </c>
    </row>
    <row r="241" spans="1:7" x14ac:dyDescent="0.2">
      <c r="A241">
        <v>2019</v>
      </c>
      <c r="B241" s="34">
        <v>5216</v>
      </c>
      <c r="C241" s="3" t="s">
        <v>299</v>
      </c>
      <c r="D241" s="12">
        <v>949887</v>
      </c>
      <c r="E241" s="3">
        <f>VLOOKUP(B241,'2015'!$B$2:$G$338,6,FALSE)</f>
        <v>0</v>
      </c>
      <c r="F241" s="3">
        <f t="shared" si="3"/>
        <v>0</v>
      </c>
      <c r="G241" s="2">
        <f>SUM(F241,D241)</f>
        <v>949887</v>
      </c>
    </row>
    <row r="242" spans="1:7" x14ac:dyDescent="0.2">
      <c r="A242">
        <v>2019</v>
      </c>
      <c r="B242" s="34">
        <v>5217</v>
      </c>
      <c r="C242" s="3" t="s">
        <v>248</v>
      </c>
      <c r="D242" s="12">
        <v>114529</v>
      </c>
      <c r="E242" s="3">
        <f>VLOOKUP(B242,'2015'!$B$2:$G$338,6,FALSE)</f>
        <v>0</v>
      </c>
      <c r="F242" s="3">
        <f t="shared" si="3"/>
        <v>0</v>
      </c>
      <c r="G242" s="2">
        <f>SUM(F242,D242)</f>
        <v>114529</v>
      </c>
    </row>
    <row r="243" spans="1:7" x14ac:dyDescent="0.2">
      <c r="A243">
        <v>2019</v>
      </c>
      <c r="B243" s="34">
        <v>5218</v>
      </c>
      <c r="C243" s="3" t="s">
        <v>249</v>
      </c>
      <c r="D243" s="12">
        <v>287252</v>
      </c>
      <c r="E243" s="3">
        <f>VLOOKUP(B243,'2015'!$B$2:$G$338,6,FALSE)</f>
        <v>0</v>
      </c>
      <c r="F243" s="3">
        <f t="shared" si="3"/>
        <v>0</v>
      </c>
      <c r="G243" s="2">
        <f>SUM(F243,D243)</f>
        <v>287252</v>
      </c>
    </row>
    <row r="244" spans="1:7" x14ac:dyDescent="0.2">
      <c r="A244">
        <v>2019</v>
      </c>
      <c r="B244" s="34">
        <v>5219</v>
      </c>
      <c r="C244" s="3" t="s">
        <v>250</v>
      </c>
      <c r="D244" s="12">
        <v>207130</v>
      </c>
      <c r="E244" s="3">
        <f>VLOOKUP(B244,'2015'!$B$2:$G$338,6,FALSE)</f>
        <v>0</v>
      </c>
      <c r="F244" s="3">
        <f t="shared" si="3"/>
        <v>0</v>
      </c>
      <c r="G244" s="2">
        <f>SUM(F244,D244)</f>
        <v>207130</v>
      </c>
    </row>
    <row r="245" spans="1:7" x14ac:dyDescent="0.2">
      <c r="A245">
        <v>2019</v>
      </c>
      <c r="B245" s="34">
        <v>5220</v>
      </c>
      <c r="C245" s="3" t="s">
        <v>251</v>
      </c>
      <c r="D245" s="12">
        <v>410119</v>
      </c>
      <c r="E245" s="3">
        <f>VLOOKUP(B245,'2015'!$B$2:$G$338,6,FALSE)</f>
        <v>0</v>
      </c>
      <c r="F245" s="3">
        <f t="shared" si="3"/>
        <v>0</v>
      </c>
      <c r="G245" s="2">
        <f>SUM(F245,D245)</f>
        <v>410119</v>
      </c>
    </row>
    <row r="246" spans="1:7" x14ac:dyDescent="0.2">
      <c r="A246">
        <v>2019</v>
      </c>
      <c r="B246" s="34">
        <v>5222</v>
      </c>
      <c r="C246" s="3" t="s">
        <v>252</v>
      </c>
      <c r="D246" s="12">
        <v>391217</v>
      </c>
      <c r="E246" s="3">
        <f>VLOOKUP(B246,'2015'!$B$2:$G$338,6,FALSE)</f>
        <v>0</v>
      </c>
      <c r="F246" s="3">
        <f t="shared" si="3"/>
        <v>0</v>
      </c>
      <c r="G246" s="2">
        <f>SUM(F246,D246)</f>
        <v>391217</v>
      </c>
    </row>
    <row r="247" spans="1:7" x14ac:dyDescent="0.2">
      <c r="A247">
        <v>2019</v>
      </c>
      <c r="B247" s="34">
        <v>5223</v>
      </c>
      <c r="C247" s="3" t="s">
        <v>253</v>
      </c>
      <c r="D247" s="12">
        <v>376090</v>
      </c>
      <c r="E247" s="3">
        <f>VLOOKUP(B247,'2015'!$B$2:$G$338,6,FALSE)</f>
        <v>0</v>
      </c>
      <c r="F247" s="3">
        <f t="shared" si="3"/>
        <v>0</v>
      </c>
      <c r="G247" s="2">
        <f>SUM(F247,D247)</f>
        <v>376090</v>
      </c>
    </row>
    <row r="248" spans="1:7" x14ac:dyDescent="0.2">
      <c r="A248">
        <v>2019</v>
      </c>
      <c r="B248" s="34">
        <v>5226</v>
      </c>
      <c r="C248" s="3" t="s">
        <v>254</v>
      </c>
      <c r="D248" s="12">
        <v>228291</v>
      </c>
      <c r="E248" s="3">
        <f>VLOOKUP(B248,'2015'!$B$2:$G$338,6,FALSE)</f>
        <v>0</v>
      </c>
      <c r="F248" s="3">
        <f t="shared" si="3"/>
        <v>0</v>
      </c>
      <c r="G248" s="2">
        <f>SUM(F248,D248)</f>
        <v>228291</v>
      </c>
    </row>
    <row r="249" spans="1:7" x14ac:dyDescent="0.2">
      <c r="A249">
        <v>2019</v>
      </c>
      <c r="B249" s="34">
        <v>5227</v>
      </c>
      <c r="C249" s="3" t="s">
        <v>255</v>
      </c>
      <c r="D249" s="12">
        <v>78982</v>
      </c>
      <c r="E249" s="3">
        <f>VLOOKUP(B249,'2015'!$B$2:$G$338,6,FALSE)</f>
        <v>0</v>
      </c>
      <c r="F249" s="3">
        <f t="shared" si="3"/>
        <v>0</v>
      </c>
      <c r="G249" s="2">
        <f>SUM(F249,D249)</f>
        <v>78982</v>
      </c>
    </row>
    <row r="250" spans="1:7" x14ac:dyDescent="0.2">
      <c r="A250">
        <v>2019</v>
      </c>
      <c r="B250" s="34">
        <v>5228</v>
      </c>
      <c r="C250" s="3" t="s">
        <v>256</v>
      </c>
      <c r="D250" s="12">
        <v>153807</v>
      </c>
      <c r="E250" s="3">
        <f>VLOOKUP(B250,'2015'!$B$2:$G$338,6,FALSE)</f>
        <v>0</v>
      </c>
      <c r="F250" s="3">
        <f t="shared" si="3"/>
        <v>0</v>
      </c>
      <c r="G250" s="2">
        <f>SUM(F250,D250)</f>
        <v>153807</v>
      </c>
    </row>
    <row r="251" spans="1:7" x14ac:dyDescent="0.2">
      <c r="A251">
        <v>2019</v>
      </c>
      <c r="B251" s="34">
        <v>5229</v>
      </c>
      <c r="C251" s="3" t="s">
        <v>257</v>
      </c>
      <c r="D251" s="12">
        <v>352576</v>
      </c>
      <c r="E251" s="3">
        <f>VLOOKUP(B251,'2015'!$B$2:$G$338,6,FALSE)</f>
        <v>0</v>
      </c>
      <c r="F251" s="3">
        <f t="shared" si="3"/>
        <v>0</v>
      </c>
      <c r="G251" s="2">
        <f>SUM(F251,D251)</f>
        <v>352576</v>
      </c>
    </row>
    <row r="252" spans="1:7" x14ac:dyDescent="0.2">
      <c r="A252">
        <v>2019</v>
      </c>
      <c r="B252" s="34">
        <v>5230</v>
      </c>
      <c r="C252" s="3" t="s">
        <v>258</v>
      </c>
      <c r="D252" s="12">
        <v>690183</v>
      </c>
      <c r="E252" s="3">
        <f>VLOOKUP(B252,'2015'!$B$2:$G$338,6,FALSE)</f>
        <v>0</v>
      </c>
      <c r="F252" s="3">
        <f t="shared" si="3"/>
        <v>0</v>
      </c>
      <c r="G252" s="2">
        <f>SUM(F252,D252)</f>
        <v>690183</v>
      </c>
    </row>
    <row r="253" spans="1:7" x14ac:dyDescent="0.2">
      <c r="A253">
        <v>2019</v>
      </c>
      <c r="B253" s="34">
        <v>5231</v>
      </c>
      <c r="C253" s="3" t="s">
        <v>259</v>
      </c>
      <c r="D253" s="12">
        <v>1478266</v>
      </c>
      <c r="E253" s="3">
        <f>VLOOKUP(B253,'2015'!$B$2:$G$338,6,FALSE)</f>
        <v>0</v>
      </c>
      <c r="F253" s="3">
        <f t="shared" si="3"/>
        <v>0</v>
      </c>
      <c r="G253" s="2">
        <f>SUM(F253,D253)</f>
        <v>1478266</v>
      </c>
    </row>
    <row r="254" spans="1:7" x14ac:dyDescent="0.2">
      <c r="A254">
        <v>2019</v>
      </c>
      <c r="B254" s="34">
        <v>5233</v>
      </c>
      <c r="C254" s="3" t="s">
        <v>260</v>
      </c>
      <c r="D254" s="12">
        <v>5303053</v>
      </c>
      <c r="E254" s="3">
        <f>VLOOKUP(B254,'2015'!$B$2:$G$338,6,FALSE)</f>
        <v>0</v>
      </c>
      <c r="F254" s="3">
        <f t="shared" si="3"/>
        <v>0</v>
      </c>
      <c r="G254" s="2">
        <f>SUM(F254,D254)</f>
        <v>5303053</v>
      </c>
    </row>
    <row r="255" spans="1:7" x14ac:dyDescent="0.2">
      <c r="A255">
        <v>2019</v>
      </c>
      <c r="B255" s="34">
        <v>5235</v>
      </c>
      <c r="C255" s="3" t="s">
        <v>261</v>
      </c>
      <c r="D255" s="12">
        <v>228807</v>
      </c>
      <c r="E255" s="3">
        <f>VLOOKUP(B255,'2015'!$B$2:$G$338,6,FALSE)</f>
        <v>0</v>
      </c>
      <c r="F255" s="3">
        <f t="shared" si="3"/>
        <v>0</v>
      </c>
      <c r="G255" s="2">
        <f>SUM(F255,D255)</f>
        <v>228807</v>
      </c>
    </row>
    <row r="256" spans="1:7" x14ac:dyDescent="0.2">
      <c r="A256">
        <v>2019</v>
      </c>
      <c r="B256" s="34">
        <v>5236</v>
      </c>
      <c r="C256" s="3" t="s">
        <v>262</v>
      </c>
      <c r="D256" s="12">
        <v>543268</v>
      </c>
      <c r="E256" s="3">
        <f>VLOOKUP(B256,'2015'!$B$2:$G$338,6,FALSE)</f>
        <v>0</v>
      </c>
      <c r="F256" s="3">
        <f t="shared" si="3"/>
        <v>0</v>
      </c>
      <c r="G256" s="2">
        <f>SUM(F256,D256)</f>
        <v>543268</v>
      </c>
    </row>
    <row r="257" spans="1:7" x14ac:dyDescent="0.2">
      <c r="A257">
        <v>2019</v>
      </c>
      <c r="B257" s="34">
        <v>5237</v>
      </c>
      <c r="C257" s="3" t="s">
        <v>263</v>
      </c>
      <c r="D257" s="12">
        <v>229999</v>
      </c>
      <c r="E257" s="3">
        <f>VLOOKUP(B257,'2015'!$B$2:$G$338,6,FALSE)</f>
        <v>0</v>
      </c>
      <c r="F257" s="3">
        <f t="shared" si="3"/>
        <v>0</v>
      </c>
      <c r="G257" s="2">
        <f>SUM(F257,D257)</f>
        <v>229999</v>
      </c>
    </row>
    <row r="258" spans="1:7" x14ac:dyDescent="0.2">
      <c r="A258">
        <v>2019</v>
      </c>
      <c r="B258" s="34">
        <v>5238</v>
      </c>
      <c r="C258" s="3" t="s">
        <v>264</v>
      </c>
      <c r="D258" s="12">
        <v>225964</v>
      </c>
      <c r="E258" s="3">
        <f>VLOOKUP(B258,'2015'!$B$2:$G$338,6,FALSE)</f>
        <v>0</v>
      </c>
      <c r="F258" s="3">
        <f t="shared" si="3"/>
        <v>0</v>
      </c>
      <c r="G258" s="2">
        <f>SUM(F258,D258)</f>
        <v>225964</v>
      </c>
    </row>
    <row r="259" spans="1:7" x14ac:dyDescent="0.2">
      <c r="A259">
        <v>2019</v>
      </c>
      <c r="B259" s="34">
        <v>5239</v>
      </c>
      <c r="C259" s="3" t="s">
        <v>265</v>
      </c>
      <c r="D259" s="12">
        <v>156487</v>
      </c>
      <c r="E259" s="3">
        <f>VLOOKUP(B259,'2015'!$B$2:$G$338,6,FALSE)</f>
        <v>0</v>
      </c>
      <c r="F259" s="3">
        <f t="shared" ref="F259:F322" si="4">E259*$D$341</f>
        <v>0</v>
      </c>
      <c r="G259" s="2">
        <f>SUM(F259,D259)</f>
        <v>156487</v>
      </c>
    </row>
    <row r="260" spans="1:7" x14ac:dyDescent="0.2">
      <c r="A260">
        <v>2019</v>
      </c>
      <c r="B260" s="34">
        <v>5240</v>
      </c>
      <c r="C260" s="3" t="s">
        <v>266</v>
      </c>
      <c r="D260" s="12">
        <v>398391</v>
      </c>
      <c r="E260" s="3">
        <f>VLOOKUP(B260,'2015'!$B$2:$G$338,6,FALSE)</f>
        <v>0</v>
      </c>
      <c r="F260" s="3">
        <f t="shared" si="4"/>
        <v>0</v>
      </c>
      <c r="G260" s="2">
        <f>SUM(F260,D260)</f>
        <v>398391</v>
      </c>
    </row>
    <row r="261" spans="1:7" x14ac:dyDescent="0.2">
      <c r="A261">
        <v>2019</v>
      </c>
      <c r="B261" s="34">
        <v>5241</v>
      </c>
      <c r="C261" s="3" t="s">
        <v>362</v>
      </c>
      <c r="D261" s="12">
        <v>245348</v>
      </c>
      <c r="E261" s="3">
        <f>VLOOKUP(B261,'2015'!$B$2:$G$338,6,FALSE)</f>
        <v>0</v>
      </c>
      <c r="F261" s="3">
        <f t="shared" si="4"/>
        <v>0</v>
      </c>
      <c r="G261" s="2">
        <f>SUM(F261,D261)</f>
        <v>245348</v>
      </c>
    </row>
    <row r="262" spans="1:7" x14ac:dyDescent="0.2">
      <c r="A262">
        <v>2019</v>
      </c>
      <c r="B262" s="34">
        <v>5250</v>
      </c>
      <c r="C262" s="3" t="s">
        <v>268</v>
      </c>
      <c r="D262" s="12">
        <v>594526</v>
      </c>
      <c r="E262" s="3">
        <f>VLOOKUP(B262,'2015'!$B$2:$G$338,6,FALSE)</f>
        <v>0</v>
      </c>
      <c r="F262" s="3">
        <f t="shared" si="4"/>
        <v>0</v>
      </c>
      <c r="G262" s="2">
        <f>SUM(F262,D262)</f>
        <v>594526</v>
      </c>
    </row>
    <row r="263" spans="1:7" x14ac:dyDescent="0.2">
      <c r="A263">
        <v>2019</v>
      </c>
      <c r="B263" s="34">
        <v>5251</v>
      </c>
      <c r="C263" s="3" t="s">
        <v>269</v>
      </c>
      <c r="D263" s="12">
        <v>196387</v>
      </c>
      <c r="E263" s="3">
        <f>VLOOKUP(B263,'2015'!$B$2:$G$338,6,FALSE)</f>
        <v>0</v>
      </c>
      <c r="F263" s="3">
        <f t="shared" si="4"/>
        <v>0</v>
      </c>
      <c r="G263" s="2">
        <f>SUM(F263,D263)</f>
        <v>196387</v>
      </c>
    </row>
    <row r="264" spans="1:7" x14ac:dyDescent="0.2">
      <c r="A264">
        <v>2019</v>
      </c>
      <c r="B264" s="34">
        <v>5267</v>
      </c>
      <c r="C264" s="3" t="s">
        <v>270</v>
      </c>
      <c r="D264" s="12">
        <v>217956</v>
      </c>
      <c r="E264" s="3">
        <f>VLOOKUP(B264,'2015'!$B$2:$G$338,6,FALSE)</f>
        <v>0</v>
      </c>
      <c r="F264" s="3">
        <f t="shared" si="4"/>
        <v>0</v>
      </c>
      <c r="G264" s="2">
        <f>SUM(F264,D264)</f>
        <v>217956</v>
      </c>
    </row>
    <row r="265" spans="1:7" x14ac:dyDescent="0.2">
      <c r="A265">
        <v>2019</v>
      </c>
      <c r="B265" s="34">
        <v>5268</v>
      </c>
      <c r="C265" s="3" t="s">
        <v>271</v>
      </c>
      <c r="D265" s="12">
        <v>229611</v>
      </c>
      <c r="E265" s="3">
        <f>VLOOKUP(B265,'2015'!$B$2:$G$338,6,FALSE)</f>
        <v>0</v>
      </c>
      <c r="F265" s="3">
        <f t="shared" si="4"/>
        <v>0</v>
      </c>
      <c r="G265" s="2">
        <f>SUM(F265,D265)</f>
        <v>229611</v>
      </c>
    </row>
    <row r="266" spans="1:7" x14ac:dyDescent="0.2">
      <c r="A266">
        <v>2019</v>
      </c>
      <c r="B266" s="34">
        <v>5270</v>
      </c>
      <c r="C266" s="3" t="s">
        <v>272</v>
      </c>
      <c r="D266" s="12">
        <v>284140</v>
      </c>
      <c r="E266" s="3">
        <f>VLOOKUP(B266,'2015'!$B$2:$G$338,6,FALSE)</f>
        <v>0</v>
      </c>
      <c r="F266" s="3">
        <f t="shared" si="4"/>
        <v>0</v>
      </c>
      <c r="G266" s="2">
        <f>SUM(F266,D266)</f>
        <v>284140</v>
      </c>
    </row>
    <row r="267" spans="1:7" x14ac:dyDescent="0.2">
      <c r="A267">
        <v>2019</v>
      </c>
      <c r="B267" s="34">
        <v>5271</v>
      </c>
      <c r="C267" s="3" t="s">
        <v>273</v>
      </c>
      <c r="D267" s="12">
        <v>161813</v>
      </c>
      <c r="E267" s="3">
        <f>VLOOKUP(B267,'2015'!$B$2:$G$338,6,FALSE)</f>
        <v>0</v>
      </c>
      <c r="F267" s="3">
        <f t="shared" si="4"/>
        <v>0</v>
      </c>
      <c r="G267" s="2">
        <f>SUM(F267,D267)</f>
        <v>161813</v>
      </c>
    </row>
    <row r="268" spans="1:7" x14ac:dyDescent="0.2">
      <c r="A268">
        <v>2019</v>
      </c>
      <c r="B268" s="34">
        <v>5272</v>
      </c>
      <c r="C268" s="3" t="s">
        <v>274</v>
      </c>
      <c r="D268" s="12">
        <v>3028016</v>
      </c>
      <c r="E268" s="3">
        <f>VLOOKUP(B268,'2015'!$B$2:$G$338,6,FALSE)</f>
        <v>0</v>
      </c>
      <c r="F268" s="3">
        <f t="shared" si="4"/>
        <v>0</v>
      </c>
      <c r="G268" s="2">
        <f>SUM(F268,D268)</f>
        <v>3028016</v>
      </c>
    </row>
    <row r="269" spans="1:7" x14ac:dyDescent="0.2">
      <c r="A269">
        <v>2019</v>
      </c>
      <c r="B269" s="34">
        <v>5274</v>
      </c>
      <c r="C269" s="3" t="s">
        <v>275</v>
      </c>
      <c r="D269" s="12">
        <v>714487</v>
      </c>
      <c r="E269" s="3">
        <f>VLOOKUP(B269,'2015'!$B$2:$G$338,6,FALSE)</f>
        <v>0</v>
      </c>
      <c r="F269" s="3">
        <f t="shared" si="4"/>
        <v>0</v>
      </c>
      <c r="G269" s="2">
        <f>SUM(F269,D269)</f>
        <v>714487</v>
      </c>
    </row>
    <row r="270" spans="1:7" x14ac:dyDescent="0.2">
      <c r="A270">
        <v>2019</v>
      </c>
      <c r="B270" s="34">
        <v>5275</v>
      </c>
      <c r="C270" s="3" t="s">
        <v>276</v>
      </c>
      <c r="D270" s="12">
        <v>1616493</v>
      </c>
      <c r="E270" s="3">
        <f>VLOOKUP(B270,'2015'!$B$2:$G$338,6,FALSE)</f>
        <v>0</v>
      </c>
      <c r="F270" s="3">
        <f t="shared" si="4"/>
        <v>0</v>
      </c>
      <c r="G270" s="2">
        <f>SUM(F270,D270)</f>
        <v>1616493</v>
      </c>
    </row>
    <row r="271" spans="1:7" x14ac:dyDescent="0.2">
      <c r="A271">
        <v>2019</v>
      </c>
      <c r="B271" s="34">
        <v>5276</v>
      </c>
      <c r="C271" s="3" t="s">
        <v>277</v>
      </c>
      <c r="D271" s="12">
        <v>865485</v>
      </c>
      <c r="E271" s="3">
        <f>VLOOKUP(B271,'2015'!$B$2:$G$338,6,FALSE)</f>
        <v>0</v>
      </c>
      <c r="F271" s="3">
        <f t="shared" si="4"/>
        <v>0</v>
      </c>
      <c r="G271" s="2">
        <f>SUM(F271,D271)</f>
        <v>865485</v>
      </c>
    </row>
    <row r="272" spans="1:7" x14ac:dyDescent="0.2">
      <c r="A272">
        <v>2019</v>
      </c>
      <c r="B272" s="34">
        <v>5278</v>
      </c>
      <c r="C272" s="3" t="s">
        <v>278</v>
      </c>
      <c r="D272" s="12">
        <v>223550</v>
      </c>
      <c r="E272" s="3">
        <f>VLOOKUP(B272,'2015'!$B$2:$G$338,6,FALSE)</f>
        <v>0</v>
      </c>
      <c r="F272" s="3">
        <f t="shared" si="4"/>
        <v>0</v>
      </c>
      <c r="G272" s="2">
        <f>SUM(F272,D272)</f>
        <v>223550</v>
      </c>
    </row>
    <row r="273" spans="1:7" x14ac:dyDescent="0.2">
      <c r="A273">
        <v>2019</v>
      </c>
      <c r="B273" s="34">
        <v>5280</v>
      </c>
      <c r="C273" s="3" t="s">
        <v>279</v>
      </c>
      <c r="D273" s="12">
        <v>4645813</v>
      </c>
      <c r="E273" s="3">
        <f>VLOOKUP(B273,'2015'!$B$2:$G$338,6,FALSE)</f>
        <v>0</v>
      </c>
      <c r="F273" s="3">
        <f t="shared" si="4"/>
        <v>0</v>
      </c>
      <c r="G273" s="2">
        <f>SUM(F273,D273)</f>
        <v>4645813</v>
      </c>
    </row>
    <row r="274" spans="1:7" x14ac:dyDescent="0.2">
      <c r="A274">
        <v>2019</v>
      </c>
      <c r="B274" s="34">
        <v>5281</v>
      </c>
      <c r="C274" s="3" t="s">
        <v>280</v>
      </c>
      <c r="D274" s="12">
        <v>224958</v>
      </c>
      <c r="E274" s="3">
        <f>VLOOKUP(B274,'2015'!$B$2:$G$338,6,FALSE)</f>
        <v>0</v>
      </c>
      <c r="F274" s="3">
        <f t="shared" si="4"/>
        <v>0</v>
      </c>
      <c r="G274" s="2">
        <f>SUM(F274,D274)</f>
        <v>224958</v>
      </c>
    </row>
    <row r="275" spans="1:7" x14ac:dyDescent="0.2">
      <c r="A275">
        <v>2019</v>
      </c>
      <c r="B275" s="34">
        <v>5283</v>
      </c>
      <c r="C275" s="3" t="s">
        <v>281</v>
      </c>
      <c r="D275" s="12">
        <v>459787</v>
      </c>
      <c r="E275" s="3">
        <f>VLOOKUP(B275,'2015'!$B$2:$G$338,6,FALSE)</f>
        <v>0</v>
      </c>
      <c r="F275" s="3">
        <f t="shared" si="4"/>
        <v>0</v>
      </c>
      <c r="G275" s="2">
        <f>SUM(F275,D275)</f>
        <v>459787</v>
      </c>
    </row>
    <row r="276" spans="1:7" x14ac:dyDescent="0.2">
      <c r="A276">
        <v>2019</v>
      </c>
      <c r="B276" s="34">
        <v>5284</v>
      </c>
      <c r="C276" s="3" t="s">
        <v>282</v>
      </c>
      <c r="D276" s="12">
        <v>626262</v>
      </c>
      <c r="E276" s="3">
        <f>VLOOKUP(B276,'2015'!$B$2:$G$338,6,FALSE)</f>
        <v>0</v>
      </c>
      <c r="F276" s="3">
        <f t="shared" si="4"/>
        <v>0</v>
      </c>
      <c r="G276" s="2">
        <f>SUM(F276,D276)</f>
        <v>626262</v>
      </c>
    </row>
    <row r="277" spans="1:7" x14ac:dyDescent="0.2">
      <c r="A277">
        <v>2019</v>
      </c>
      <c r="B277" s="34">
        <v>5285</v>
      </c>
      <c r="C277" s="3" t="s">
        <v>283</v>
      </c>
      <c r="D277" s="12">
        <v>356799</v>
      </c>
      <c r="E277" s="3">
        <f>VLOOKUP(B277,'2015'!$B$2:$G$338,6,FALSE)</f>
        <v>0</v>
      </c>
      <c r="F277" s="3">
        <f t="shared" si="4"/>
        <v>0</v>
      </c>
      <c r="G277" s="2">
        <f>SUM(F277,D277)</f>
        <v>356799</v>
      </c>
    </row>
    <row r="278" spans="1:7" x14ac:dyDescent="0.2">
      <c r="A278">
        <v>2019</v>
      </c>
      <c r="B278" s="34">
        <v>5286</v>
      </c>
      <c r="C278" s="3" t="s">
        <v>284</v>
      </c>
      <c r="D278" s="12">
        <v>278757</v>
      </c>
      <c r="E278" s="3">
        <f>VLOOKUP(B278,'2015'!$B$2:$G$338,6,FALSE)</f>
        <v>0</v>
      </c>
      <c r="F278" s="3">
        <f t="shared" si="4"/>
        <v>0</v>
      </c>
      <c r="G278" s="2">
        <f>SUM(F278,D278)</f>
        <v>278757</v>
      </c>
    </row>
    <row r="279" spans="1:7" x14ac:dyDescent="0.2">
      <c r="A279">
        <v>2019</v>
      </c>
      <c r="B279" s="34">
        <v>5287</v>
      </c>
      <c r="C279" s="3" t="s">
        <v>285</v>
      </c>
      <c r="D279" s="12">
        <v>530189</v>
      </c>
      <c r="E279" s="3">
        <f>VLOOKUP(B279,'2015'!$B$2:$G$338,6,FALSE)</f>
        <v>0</v>
      </c>
      <c r="F279" s="3">
        <f t="shared" si="4"/>
        <v>0</v>
      </c>
      <c r="G279" s="2">
        <f>SUM(F279,D279)</f>
        <v>530189</v>
      </c>
    </row>
    <row r="280" spans="1:7" x14ac:dyDescent="0.2">
      <c r="A280">
        <v>2019</v>
      </c>
      <c r="B280" s="34">
        <v>5288</v>
      </c>
      <c r="C280" s="3" t="s">
        <v>286</v>
      </c>
      <c r="D280" s="12">
        <v>301212</v>
      </c>
      <c r="E280" s="3">
        <f>VLOOKUP(B280,'2015'!$B$2:$G$338,6,FALSE)</f>
        <v>0</v>
      </c>
      <c r="F280" s="3">
        <f t="shared" si="4"/>
        <v>0</v>
      </c>
      <c r="G280" s="2">
        <f>SUM(F280,D280)</f>
        <v>301212</v>
      </c>
    </row>
    <row r="281" spans="1:7" x14ac:dyDescent="0.2">
      <c r="A281">
        <v>2019</v>
      </c>
      <c r="B281" s="34">
        <v>5289</v>
      </c>
      <c r="C281" s="3" t="s">
        <v>287</v>
      </c>
      <c r="D281" s="12">
        <v>353446</v>
      </c>
      <c r="E281" s="3">
        <f>VLOOKUP(B281,'2015'!$B$2:$G$338,6,FALSE)</f>
        <v>0</v>
      </c>
      <c r="F281" s="3">
        <f t="shared" si="4"/>
        <v>0</v>
      </c>
      <c r="G281" s="2">
        <f>SUM(F281,D281)</f>
        <v>353446</v>
      </c>
    </row>
    <row r="282" spans="1:7" x14ac:dyDescent="0.2">
      <c r="A282">
        <v>2019</v>
      </c>
      <c r="B282" s="34">
        <v>5291</v>
      </c>
      <c r="C282" s="3" t="s">
        <v>288</v>
      </c>
      <c r="D282" s="12">
        <v>548811</v>
      </c>
      <c r="E282" s="3">
        <f>VLOOKUP(B282,'2015'!$B$2:$G$338,6,FALSE)</f>
        <v>0</v>
      </c>
      <c r="F282" s="3">
        <f t="shared" si="4"/>
        <v>0</v>
      </c>
      <c r="G282" s="2">
        <f>SUM(F282,D282)</f>
        <v>548811</v>
      </c>
    </row>
    <row r="283" spans="1:7" x14ac:dyDescent="0.2">
      <c r="A283">
        <v>2019</v>
      </c>
      <c r="B283" s="34">
        <v>5292</v>
      </c>
      <c r="C283" s="3" t="s">
        <v>289</v>
      </c>
      <c r="D283" s="12">
        <v>1424044</v>
      </c>
      <c r="E283" s="3">
        <f>VLOOKUP(B283,'2015'!$B$2:$G$338,6,FALSE)</f>
        <v>0</v>
      </c>
      <c r="F283" s="3">
        <f t="shared" si="4"/>
        <v>0</v>
      </c>
      <c r="G283" s="2">
        <f>SUM(F283,D283)</f>
        <v>1424044</v>
      </c>
    </row>
    <row r="284" spans="1:7" x14ac:dyDescent="0.2">
      <c r="A284">
        <v>2019</v>
      </c>
      <c r="B284" s="34">
        <v>5293</v>
      </c>
      <c r="C284" s="3" t="s">
        <v>290</v>
      </c>
      <c r="D284" s="12">
        <v>350499</v>
      </c>
      <c r="E284" s="3">
        <f>VLOOKUP(B284,'2015'!$B$2:$G$338,6,FALSE)</f>
        <v>0</v>
      </c>
      <c r="F284" s="3">
        <f t="shared" si="4"/>
        <v>0</v>
      </c>
      <c r="G284" s="2">
        <f>SUM(F284,D284)</f>
        <v>350499</v>
      </c>
    </row>
    <row r="285" spans="1:7" x14ac:dyDescent="0.2">
      <c r="A285">
        <v>2019</v>
      </c>
      <c r="B285" s="34">
        <v>5294</v>
      </c>
      <c r="C285" s="3" t="s">
        <v>291</v>
      </c>
      <c r="D285" s="12">
        <v>797526</v>
      </c>
      <c r="E285" s="3">
        <f>VLOOKUP(B285,'2015'!$B$2:$G$338,6,FALSE)</f>
        <v>0</v>
      </c>
      <c r="F285" s="3">
        <f t="shared" si="4"/>
        <v>0</v>
      </c>
      <c r="G285" s="2">
        <f>SUM(F285,D285)</f>
        <v>797526</v>
      </c>
    </row>
    <row r="286" spans="1:7" x14ac:dyDescent="0.2">
      <c r="A286">
        <v>2019</v>
      </c>
      <c r="B286" s="34">
        <v>5295</v>
      </c>
      <c r="C286" s="3" t="s">
        <v>292</v>
      </c>
      <c r="D286" s="12">
        <v>255265</v>
      </c>
      <c r="E286" s="3">
        <f>VLOOKUP(B286,'2015'!$B$2:$G$338,6,FALSE)</f>
        <v>0</v>
      </c>
      <c r="F286" s="3">
        <f t="shared" si="4"/>
        <v>0</v>
      </c>
      <c r="G286" s="2">
        <f>SUM(F286,D286)</f>
        <v>255265</v>
      </c>
    </row>
    <row r="287" spans="1:7" x14ac:dyDescent="0.2">
      <c r="A287">
        <v>2019</v>
      </c>
      <c r="B287" s="34">
        <v>5296</v>
      </c>
      <c r="C287" s="3" t="s">
        <v>293</v>
      </c>
      <c r="D287" s="12">
        <v>1191124</v>
      </c>
      <c r="E287" s="3">
        <f>VLOOKUP(B287,'2015'!$B$2:$G$338,6,FALSE)</f>
        <v>0</v>
      </c>
      <c r="F287" s="3">
        <f t="shared" si="4"/>
        <v>0</v>
      </c>
      <c r="G287" s="2">
        <f>SUM(F287,D287)</f>
        <v>1191124</v>
      </c>
    </row>
    <row r="288" spans="1:7" x14ac:dyDescent="0.2">
      <c r="A288">
        <v>2019</v>
      </c>
      <c r="B288" s="34">
        <v>5297</v>
      </c>
      <c r="C288" s="3" t="s">
        <v>294</v>
      </c>
      <c r="D288" s="12">
        <v>614279</v>
      </c>
      <c r="E288" s="3">
        <f>VLOOKUP(B288,'2015'!$B$2:$G$338,6,FALSE)</f>
        <v>0</v>
      </c>
      <c r="F288" s="3">
        <f t="shared" si="4"/>
        <v>0</v>
      </c>
      <c r="G288" s="2">
        <f>SUM(F288,D288)</f>
        <v>614279</v>
      </c>
    </row>
    <row r="289" spans="1:7" x14ac:dyDescent="0.2">
      <c r="A289">
        <v>2019</v>
      </c>
      <c r="B289" s="34">
        <v>5298</v>
      </c>
      <c r="C289" s="3" t="s">
        <v>295</v>
      </c>
      <c r="D289" s="12">
        <v>77688</v>
      </c>
      <c r="E289" s="3">
        <f>VLOOKUP(B289,'2015'!$B$2:$G$338,6,FALSE)</f>
        <v>0</v>
      </c>
      <c r="F289" s="3">
        <f t="shared" si="4"/>
        <v>0</v>
      </c>
      <c r="G289" s="2">
        <f>SUM(F289,D289)</f>
        <v>77688</v>
      </c>
    </row>
    <row r="290" spans="1:7" x14ac:dyDescent="0.2">
      <c r="A290">
        <v>2019</v>
      </c>
      <c r="B290" s="34">
        <v>5299</v>
      </c>
      <c r="C290" s="3" t="s">
        <v>296</v>
      </c>
      <c r="D290" s="12">
        <v>164646</v>
      </c>
      <c r="E290" s="3">
        <f>VLOOKUP(B290,'2015'!$B$2:$G$338,6,FALSE)</f>
        <v>0</v>
      </c>
      <c r="F290" s="3">
        <f t="shared" si="4"/>
        <v>0</v>
      </c>
      <c r="G290" s="2">
        <f>SUM(F290,D290)</f>
        <v>164646</v>
      </c>
    </row>
    <row r="291" spans="1:7" x14ac:dyDescent="0.2">
      <c r="A291">
        <v>2019</v>
      </c>
      <c r="B291" s="34">
        <v>5300</v>
      </c>
      <c r="C291" s="3" t="s">
        <v>297</v>
      </c>
      <c r="D291" s="12">
        <v>569246</v>
      </c>
      <c r="E291" s="3">
        <f>VLOOKUP(B291,'2015'!$B$2:$G$338,6,FALSE)</f>
        <v>0</v>
      </c>
      <c r="F291" s="3">
        <f t="shared" si="4"/>
        <v>0</v>
      </c>
      <c r="G291" s="2">
        <f>SUM(F291,D291)</f>
        <v>569246</v>
      </c>
    </row>
    <row r="292" spans="1:7" x14ac:dyDescent="0.2">
      <c r="A292">
        <v>2019</v>
      </c>
      <c r="B292" s="34">
        <v>5302</v>
      </c>
      <c r="C292" s="3" t="s">
        <v>298</v>
      </c>
      <c r="D292" s="12">
        <v>3256602</v>
      </c>
      <c r="E292" s="3">
        <f>VLOOKUP(B292,'2015'!$B$2:$G$338,6,FALSE)</f>
        <v>0</v>
      </c>
      <c r="F292" s="3">
        <f t="shared" si="4"/>
        <v>0</v>
      </c>
      <c r="G292" s="2">
        <f>SUM(F292,D292)</f>
        <v>3256602</v>
      </c>
    </row>
    <row r="293" spans="1:7" x14ac:dyDescent="0.2">
      <c r="A293">
        <v>2019</v>
      </c>
      <c r="B293" s="34">
        <v>5303</v>
      </c>
      <c r="C293" s="3" t="s">
        <v>345</v>
      </c>
      <c r="D293" s="12">
        <v>1596862</v>
      </c>
      <c r="E293" s="3">
        <f>VLOOKUP(B293,'2015'!$B$2:$G$338,6,FALSE)</f>
        <v>0</v>
      </c>
      <c r="F293" s="3">
        <f t="shared" si="4"/>
        <v>0</v>
      </c>
      <c r="G293" s="2">
        <f>SUM(F293,D293)</f>
        <v>1596862</v>
      </c>
    </row>
    <row r="294" spans="1:7" x14ac:dyDescent="0.2">
      <c r="A294">
        <v>2019</v>
      </c>
      <c r="B294" s="34">
        <v>5304</v>
      </c>
      <c r="C294" s="3" t="s">
        <v>300</v>
      </c>
      <c r="D294" s="12">
        <v>1252607</v>
      </c>
      <c r="E294" s="3">
        <f>VLOOKUP(B294,'2015'!$B$2:$G$338,6,FALSE)</f>
        <v>0</v>
      </c>
      <c r="F294" s="3">
        <f t="shared" si="4"/>
        <v>0</v>
      </c>
      <c r="G294" s="2">
        <f>SUM(F294,D294)</f>
        <v>1252607</v>
      </c>
    </row>
    <row r="295" spans="1:7" x14ac:dyDescent="0.2">
      <c r="A295">
        <v>2019</v>
      </c>
      <c r="B295" s="34">
        <v>5305</v>
      </c>
      <c r="C295" s="3" t="s">
        <v>301</v>
      </c>
      <c r="D295" s="12">
        <v>272985</v>
      </c>
      <c r="E295" s="3">
        <f>VLOOKUP(B295,'2015'!$B$2:$G$338,6,FALSE)</f>
        <v>0</v>
      </c>
      <c r="F295" s="3">
        <f t="shared" si="4"/>
        <v>0</v>
      </c>
      <c r="G295" s="2">
        <f>SUM(F295,D295)</f>
        <v>272985</v>
      </c>
    </row>
    <row r="296" spans="1:7" x14ac:dyDescent="0.2">
      <c r="A296">
        <v>2019</v>
      </c>
      <c r="B296" s="34">
        <v>5306</v>
      </c>
      <c r="C296" s="3" t="s">
        <v>302</v>
      </c>
      <c r="D296" s="12">
        <v>1071526</v>
      </c>
      <c r="E296" s="3">
        <f>VLOOKUP(B296,'2015'!$B$2:$G$338,6,FALSE)</f>
        <v>0</v>
      </c>
      <c r="F296" s="3">
        <f t="shared" si="4"/>
        <v>0</v>
      </c>
      <c r="G296" s="2">
        <f>SUM(F296,D296)</f>
        <v>1071526</v>
      </c>
    </row>
    <row r="297" spans="1:7" x14ac:dyDescent="0.2">
      <c r="A297">
        <v>2019</v>
      </c>
      <c r="B297" s="34">
        <v>5307</v>
      </c>
      <c r="C297" s="3" t="s">
        <v>303</v>
      </c>
      <c r="D297" s="12">
        <v>163936</v>
      </c>
      <c r="E297" s="3">
        <f>VLOOKUP(B297,'2015'!$B$2:$G$338,6,FALSE)</f>
        <v>0</v>
      </c>
      <c r="F297" s="3">
        <f t="shared" si="4"/>
        <v>0</v>
      </c>
      <c r="G297" s="2">
        <f>SUM(F297,D297)</f>
        <v>163936</v>
      </c>
    </row>
    <row r="298" spans="1:7" x14ac:dyDescent="0.2">
      <c r="A298">
        <v>2019</v>
      </c>
      <c r="B298" s="34">
        <v>5308</v>
      </c>
      <c r="C298" s="3" t="s">
        <v>304</v>
      </c>
      <c r="D298" s="12">
        <v>10253035</v>
      </c>
      <c r="E298" s="3">
        <f>VLOOKUP(B298,'2015'!$B$2:$G$338,6,FALSE)</f>
        <v>0</v>
      </c>
      <c r="F298" s="3">
        <f t="shared" si="4"/>
        <v>0</v>
      </c>
      <c r="G298" s="2">
        <f>SUM(F298,D298)</f>
        <v>10253035</v>
      </c>
    </row>
    <row r="299" spans="1:7" x14ac:dyDescent="0.2">
      <c r="A299">
        <v>2019</v>
      </c>
      <c r="B299" s="34">
        <v>5309</v>
      </c>
      <c r="C299" s="3" t="s">
        <v>305</v>
      </c>
      <c r="D299" s="12">
        <v>691684</v>
      </c>
      <c r="E299" s="3">
        <f>VLOOKUP(B299,'2015'!$B$2:$G$338,6,FALSE)</f>
        <v>0</v>
      </c>
      <c r="F299" s="3">
        <f t="shared" si="4"/>
        <v>0</v>
      </c>
      <c r="G299" s="2">
        <f>SUM(F299,D299)</f>
        <v>691684</v>
      </c>
    </row>
    <row r="300" spans="1:7" x14ac:dyDescent="0.2">
      <c r="A300">
        <v>2019</v>
      </c>
      <c r="B300" s="34">
        <v>5310</v>
      </c>
      <c r="C300" s="3" t="s">
        <v>306</v>
      </c>
      <c r="D300" s="12">
        <v>98790</v>
      </c>
      <c r="E300" s="3">
        <f>VLOOKUP(B300,'2015'!$B$2:$G$338,6,FALSE)</f>
        <v>0</v>
      </c>
      <c r="F300" s="3">
        <f t="shared" si="4"/>
        <v>0</v>
      </c>
      <c r="G300" s="2">
        <f>SUM(F300,D300)</f>
        <v>98790</v>
      </c>
    </row>
    <row r="301" spans="1:7" x14ac:dyDescent="0.2">
      <c r="A301">
        <v>2019</v>
      </c>
      <c r="B301" s="34">
        <v>5312</v>
      </c>
      <c r="C301" s="3" t="s">
        <v>307</v>
      </c>
      <c r="D301" s="12">
        <v>3643643</v>
      </c>
      <c r="E301" s="3">
        <f>VLOOKUP(B301,'2015'!$B$2:$G$338,6,FALSE)</f>
        <v>0</v>
      </c>
      <c r="F301" s="3">
        <f t="shared" si="4"/>
        <v>0</v>
      </c>
      <c r="G301" s="2">
        <f>SUM(F301,D301)</f>
        <v>3643643</v>
      </c>
    </row>
    <row r="302" spans="1:7" x14ac:dyDescent="0.2">
      <c r="A302">
        <v>2019</v>
      </c>
      <c r="B302" s="34">
        <v>5313</v>
      </c>
      <c r="C302" s="3" t="s">
        <v>308</v>
      </c>
      <c r="D302" s="12">
        <v>285724</v>
      </c>
      <c r="E302" s="3">
        <f>VLOOKUP(B302,'2015'!$B$2:$G$338,6,FALSE)</f>
        <v>0</v>
      </c>
      <c r="F302" s="3">
        <f t="shared" si="4"/>
        <v>0</v>
      </c>
      <c r="G302" s="2">
        <f>SUM(F302,D302)</f>
        <v>285724</v>
      </c>
    </row>
    <row r="303" spans="1:7" x14ac:dyDescent="0.2">
      <c r="A303">
        <v>2019</v>
      </c>
      <c r="B303" s="34">
        <v>5314</v>
      </c>
      <c r="C303" s="3" t="s">
        <v>309</v>
      </c>
      <c r="D303" s="12">
        <v>14879741</v>
      </c>
      <c r="E303" s="3">
        <f>VLOOKUP(B303,'2015'!$B$2:$G$338,6,FALSE)</f>
        <v>0</v>
      </c>
      <c r="F303" s="3">
        <f t="shared" si="4"/>
        <v>0</v>
      </c>
      <c r="G303" s="2">
        <f>SUM(F303,D303)</f>
        <v>14879741</v>
      </c>
    </row>
    <row r="304" spans="1:7" x14ac:dyDescent="0.2">
      <c r="A304">
        <v>2019</v>
      </c>
      <c r="B304" s="34">
        <v>5316</v>
      </c>
      <c r="C304" s="3" t="s">
        <v>310</v>
      </c>
      <c r="D304" s="12">
        <v>337512</v>
      </c>
      <c r="E304" s="3">
        <f>VLOOKUP(B304,'2015'!$B$2:$G$338,6,FALSE)</f>
        <v>0</v>
      </c>
      <c r="F304" s="3">
        <f t="shared" si="4"/>
        <v>0</v>
      </c>
      <c r="G304" s="2">
        <f>SUM(F304,D304)</f>
        <v>337512</v>
      </c>
    </row>
    <row r="305" spans="1:7" x14ac:dyDescent="0.2">
      <c r="A305">
        <v>2019</v>
      </c>
      <c r="B305" s="34">
        <v>5317</v>
      </c>
      <c r="C305" s="3" t="s">
        <v>311</v>
      </c>
      <c r="D305" s="12">
        <v>451147</v>
      </c>
      <c r="E305" s="3">
        <f>VLOOKUP(B305,'2015'!$B$2:$G$338,6,FALSE)</f>
        <v>0</v>
      </c>
      <c r="F305" s="3">
        <f t="shared" si="4"/>
        <v>0</v>
      </c>
      <c r="G305" s="2">
        <f>SUM(F305,D305)</f>
        <v>451147</v>
      </c>
    </row>
    <row r="306" spans="1:7" x14ac:dyDescent="0.2">
      <c r="A306">
        <v>2019</v>
      </c>
      <c r="B306" s="34">
        <v>5318</v>
      </c>
      <c r="C306" s="3" t="s">
        <v>312</v>
      </c>
      <c r="D306" s="12">
        <v>495291</v>
      </c>
      <c r="E306" s="3">
        <f>VLOOKUP(B306,'2015'!$B$2:$G$338,6,FALSE)</f>
        <v>0</v>
      </c>
      <c r="F306" s="3">
        <f t="shared" si="4"/>
        <v>0</v>
      </c>
      <c r="G306" s="2">
        <f>SUM(F306,D306)</f>
        <v>495291</v>
      </c>
    </row>
    <row r="307" spans="1:7" x14ac:dyDescent="0.2">
      <c r="A307">
        <v>2019</v>
      </c>
      <c r="B307" s="34">
        <v>5319</v>
      </c>
      <c r="C307" s="3" t="s">
        <v>313</v>
      </c>
      <c r="D307" s="12">
        <v>727325</v>
      </c>
      <c r="E307" s="3">
        <f>VLOOKUP(B307,'2015'!$B$2:$G$338,6,FALSE)</f>
        <v>0</v>
      </c>
      <c r="F307" s="3">
        <f t="shared" si="4"/>
        <v>0</v>
      </c>
      <c r="G307" s="2">
        <f>SUM(F307,D307)</f>
        <v>727325</v>
      </c>
    </row>
    <row r="308" spans="1:7" x14ac:dyDescent="0.2">
      <c r="A308">
        <v>2019</v>
      </c>
      <c r="B308" s="34">
        <v>5320</v>
      </c>
      <c r="C308" s="3" t="s">
        <v>314</v>
      </c>
      <c r="D308" s="12">
        <v>213131</v>
      </c>
      <c r="E308" s="3">
        <f>VLOOKUP(B308,'2015'!$B$2:$G$338,6,FALSE)</f>
        <v>0</v>
      </c>
      <c r="F308" s="3">
        <f t="shared" si="4"/>
        <v>0</v>
      </c>
      <c r="G308" s="2">
        <f>SUM(F308,D308)</f>
        <v>213131</v>
      </c>
    </row>
    <row r="309" spans="1:7" x14ac:dyDescent="0.2">
      <c r="A309">
        <v>2019</v>
      </c>
      <c r="B309" s="34">
        <v>5321</v>
      </c>
      <c r="C309" s="3" t="s">
        <v>315</v>
      </c>
      <c r="D309" s="12">
        <v>397394</v>
      </c>
      <c r="E309" s="3">
        <f>VLOOKUP(B309,'2015'!$B$2:$G$338,6,FALSE)</f>
        <v>0</v>
      </c>
      <c r="F309" s="3">
        <f t="shared" si="4"/>
        <v>0</v>
      </c>
      <c r="G309" s="2">
        <f>SUM(F309,D309)</f>
        <v>397394</v>
      </c>
    </row>
    <row r="310" spans="1:7" x14ac:dyDescent="0.2">
      <c r="A310">
        <v>2019</v>
      </c>
      <c r="B310" s="34">
        <v>5322</v>
      </c>
      <c r="C310" s="3" t="s">
        <v>316</v>
      </c>
      <c r="D310" s="12">
        <v>441307</v>
      </c>
      <c r="E310" s="3">
        <f>VLOOKUP(B310,'2015'!$B$2:$G$338,6,FALSE)</f>
        <v>0</v>
      </c>
      <c r="F310" s="3">
        <f t="shared" si="4"/>
        <v>0</v>
      </c>
      <c r="G310" s="2">
        <f>SUM(F310,D310)</f>
        <v>441307</v>
      </c>
    </row>
    <row r="311" spans="1:7" x14ac:dyDescent="0.2">
      <c r="A311">
        <v>2019</v>
      </c>
      <c r="B311" s="34">
        <v>5324</v>
      </c>
      <c r="C311" s="3" t="s">
        <v>317</v>
      </c>
      <c r="D311" s="12">
        <v>24799404</v>
      </c>
      <c r="E311" s="3">
        <f>VLOOKUP(B311,'2015'!$B$2:$G$338,6,FALSE)</f>
        <v>0</v>
      </c>
      <c r="F311" s="3">
        <f t="shared" si="4"/>
        <v>0</v>
      </c>
      <c r="G311" s="2">
        <f>SUM(F311,D311)</f>
        <v>24799404</v>
      </c>
    </row>
    <row r="312" spans="1:7" x14ac:dyDescent="0.2">
      <c r="A312">
        <v>2019</v>
      </c>
      <c r="B312" s="34">
        <v>5329</v>
      </c>
      <c r="C312" s="3" t="s">
        <v>318</v>
      </c>
      <c r="D312" s="12">
        <v>200212</v>
      </c>
      <c r="E312" s="3">
        <f>VLOOKUP(B312,'2015'!$B$2:$G$338,6,FALSE)</f>
        <v>0</v>
      </c>
      <c r="F312" s="3">
        <f t="shared" si="4"/>
        <v>0</v>
      </c>
      <c r="G312" s="2">
        <f>SUM(F312,D312)</f>
        <v>200212</v>
      </c>
    </row>
    <row r="313" spans="1:7" x14ac:dyDescent="0.2">
      <c r="A313">
        <v>2019</v>
      </c>
      <c r="B313" s="34">
        <v>5330</v>
      </c>
      <c r="C313" s="3" t="s">
        <v>319</v>
      </c>
      <c r="D313" s="12">
        <v>1009826</v>
      </c>
      <c r="E313" s="3">
        <f>VLOOKUP(B313,'2015'!$B$2:$G$338,6,FALSE)</f>
        <v>0</v>
      </c>
      <c r="F313" s="3">
        <f t="shared" si="4"/>
        <v>0</v>
      </c>
      <c r="G313" s="2">
        <f>SUM(F313,D313)</f>
        <v>1009826</v>
      </c>
    </row>
    <row r="314" spans="1:7" x14ac:dyDescent="0.2">
      <c r="A314">
        <v>2019</v>
      </c>
      <c r="B314" s="34">
        <v>5331</v>
      </c>
      <c r="C314" s="3" t="s">
        <v>320</v>
      </c>
      <c r="D314" s="12">
        <v>1230883</v>
      </c>
      <c r="E314" s="3">
        <f>VLOOKUP(B314,'2015'!$B$2:$G$338,6,FALSE)</f>
        <v>0</v>
      </c>
      <c r="F314" s="3">
        <f t="shared" si="4"/>
        <v>0</v>
      </c>
      <c r="G314" s="2">
        <f>SUM(F314,D314)</f>
        <v>1230883</v>
      </c>
    </row>
    <row r="315" spans="1:7" x14ac:dyDescent="0.2">
      <c r="A315">
        <v>2019</v>
      </c>
      <c r="B315" s="34">
        <v>5332</v>
      </c>
      <c r="C315" s="3" t="s">
        <v>321</v>
      </c>
      <c r="D315" s="12">
        <v>1235262</v>
      </c>
      <c r="E315" s="3">
        <f>VLOOKUP(B315,'2015'!$B$2:$G$338,6,FALSE)</f>
        <v>0</v>
      </c>
      <c r="F315" s="3">
        <f t="shared" si="4"/>
        <v>0</v>
      </c>
      <c r="G315" s="2">
        <f>SUM(F315,D315)</f>
        <v>1235262</v>
      </c>
    </row>
    <row r="316" spans="1:7" x14ac:dyDescent="0.2">
      <c r="A316">
        <v>2019</v>
      </c>
      <c r="B316" s="34">
        <v>5333</v>
      </c>
      <c r="C316" s="3" t="s">
        <v>322</v>
      </c>
      <c r="D316" s="12">
        <v>382052</v>
      </c>
      <c r="E316" s="3">
        <f>VLOOKUP(B316,'2015'!$B$2:$G$338,6,FALSE)</f>
        <v>0</v>
      </c>
      <c r="F316" s="3">
        <f t="shared" si="4"/>
        <v>0</v>
      </c>
      <c r="G316" s="2">
        <f>SUM(F316,D316)</f>
        <v>382052</v>
      </c>
    </row>
    <row r="317" spans="1:7" x14ac:dyDescent="0.2">
      <c r="A317">
        <v>2019</v>
      </c>
      <c r="B317" s="34">
        <v>5337</v>
      </c>
      <c r="C317" s="3" t="s">
        <v>323</v>
      </c>
      <c r="D317" s="12">
        <v>1747127</v>
      </c>
      <c r="E317" s="3">
        <f>VLOOKUP(B317,'2015'!$B$2:$G$338,6,FALSE)</f>
        <v>0</v>
      </c>
      <c r="F317" s="3">
        <f t="shared" si="4"/>
        <v>0</v>
      </c>
      <c r="G317" s="2">
        <f>SUM(F317,D317)</f>
        <v>1747127</v>
      </c>
    </row>
    <row r="318" spans="1:7" x14ac:dyDescent="0.2">
      <c r="A318">
        <v>2019</v>
      </c>
      <c r="B318" s="34">
        <v>5366</v>
      </c>
      <c r="C318" s="3" t="s">
        <v>324</v>
      </c>
      <c r="D318" s="12">
        <v>812479</v>
      </c>
      <c r="E318" s="3">
        <f>VLOOKUP(B318,'2015'!$B$2:$G$338,6,FALSE)</f>
        <v>0</v>
      </c>
      <c r="F318" s="3">
        <f t="shared" si="4"/>
        <v>0</v>
      </c>
      <c r="G318" s="2">
        <f>SUM(F318,D318)</f>
        <v>812479</v>
      </c>
    </row>
    <row r="319" spans="1:7" x14ac:dyDescent="0.2">
      <c r="A319">
        <v>2019</v>
      </c>
      <c r="B319" s="34">
        <v>5367</v>
      </c>
      <c r="C319" s="3" t="s">
        <v>325</v>
      </c>
      <c r="D319" s="12">
        <v>330568</v>
      </c>
      <c r="E319" s="3">
        <f>VLOOKUP(B319,'2015'!$B$2:$G$338,6,FALSE)</f>
        <v>0</v>
      </c>
      <c r="F319" s="3">
        <f t="shared" si="4"/>
        <v>0</v>
      </c>
      <c r="G319" s="2">
        <f>SUM(F319,D319)</f>
        <v>330568</v>
      </c>
    </row>
    <row r="320" spans="1:7" x14ac:dyDescent="0.2">
      <c r="A320">
        <v>2019</v>
      </c>
      <c r="B320" s="34">
        <v>5368</v>
      </c>
      <c r="C320" s="3" t="s">
        <v>326</v>
      </c>
      <c r="D320" s="12">
        <v>419072</v>
      </c>
      <c r="E320" s="3">
        <f>VLOOKUP(B320,'2015'!$B$2:$G$338,6,FALSE)</f>
        <v>0</v>
      </c>
      <c r="F320" s="3">
        <f t="shared" si="4"/>
        <v>0</v>
      </c>
      <c r="G320" s="2">
        <f>SUM(F320,D320)</f>
        <v>419072</v>
      </c>
    </row>
    <row r="321" spans="1:7" x14ac:dyDescent="0.2">
      <c r="A321">
        <v>2019</v>
      </c>
      <c r="B321" s="34">
        <v>5405</v>
      </c>
      <c r="C321" s="3" t="s">
        <v>327</v>
      </c>
      <c r="D321" s="12">
        <v>169571</v>
      </c>
      <c r="E321" s="3">
        <f>VLOOKUP(B321,'2015'!$B$2:$G$338,6,FALSE)</f>
        <v>0</v>
      </c>
      <c r="F321" s="3">
        <f t="shared" si="4"/>
        <v>0</v>
      </c>
      <c r="G321" s="2">
        <f>SUM(F321,D321)</f>
        <v>169571</v>
      </c>
    </row>
    <row r="322" spans="1:7" x14ac:dyDescent="0.2">
      <c r="A322">
        <v>2019</v>
      </c>
      <c r="B322" s="34">
        <v>5409</v>
      </c>
      <c r="C322" s="3" t="s">
        <v>328</v>
      </c>
      <c r="D322" s="12">
        <v>217757</v>
      </c>
      <c r="E322" s="3">
        <f>VLOOKUP(B322,'2015'!$B$2:$G$338,6,FALSE)</f>
        <v>0</v>
      </c>
      <c r="F322" s="3">
        <f t="shared" si="4"/>
        <v>0</v>
      </c>
      <c r="G322" s="2">
        <f>SUM(F322,D322)</f>
        <v>217757</v>
      </c>
    </row>
    <row r="323" spans="1:7" x14ac:dyDescent="0.2">
      <c r="A323">
        <v>2019</v>
      </c>
      <c r="B323" s="34">
        <v>5410</v>
      </c>
      <c r="C323" s="3" t="s">
        <v>329</v>
      </c>
      <c r="D323" s="12">
        <v>194252</v>
      </c>
      <c r="E323" s="3">
        <f>VLOOKUP(B323,'2015'!$B$2:$G$338,6,FALSE)</f>
        <v>0</v>
      </c>
      <c r="F323" s="3">
        <f t="shared" ref="F323:F338" si="5">E323*$D$341</f>
        <v>0</v>
      </c>
      <c r="G323" s="2">
        <f>SUM(F323,D323)</f>
        <v>194252</v>
      </c>
    </row>
    <row r="324" spans="1:7" x14ac:dyDescent="0.2">
      <c r="A324">
        <v>2019</v>
      </c>
      <c r="B324" s="34">
        <v>5430</v>
      </c>
      <c r="C324" s="3" t="s">
        <v>330</v>
      </c>
      <c r="D324" s="12">
        <v>24358219</v>
      </c>
      <c r="E324" s="3">
        <f>VLOOKUP(B324,'2015'!$B$2:$G$338,6,FALSE)</f>
        <v>0</v>
      </c>
      <c r="F324" s="3">
        <f t="shared" si="5"/>
        <v>0</v>
      </c>
      <c r="G324" s="2">
        <f>SUM(F324,D324)</f>
        <v>24358219</v>
      </c>
    </row>
    <row r="325" spans="1:7" x14ac:dyDescent="0.2">
      <c r="A325">
        <v>2019</v>
      </c>
      <c r="B325" s="34">
        <v>5436</v>
      </c>
      <c r="C325" s="3" t="s">
        <v>331</v>
      </c>
      <c r="D325" s="12">
        <v>577925</v>
      </c>
      <c r="E325" s="3">
        <f>VLOOKUP(B325,'2015'!$B$2:$G$338,6,FALSE)</f>
        <v>0</v>
      </c>
      <c r="F325" s="3">
        <f t="shared" si="5"/>
        <v>0</v>
      </c>
      <c r="G325" s="2">
        <f>SUM(F325,D325)</f>
        <v>577925</v>
      </c>
    </row>
    <row r="326" spans="1:7" x14ac:dyDescent="0.2">
      <c r="A326">
        <v>2019</v>
      </c>
      <c r="B326" s="34">
        <v>5590</v>
      </c>
      <c r="C326" s="3" t="s">
        <v>332</v>
      </c>
      <c r="D326" s="12">
        <v>132559</v>
      </c>
      <c r="E326" s="3">
        <f>VLOOKUP(B326,'2015'!$B$2:$G$338,6,FALSE)</f>
        <v>0</v>
      </c>
      <c r="F326" s="3">
        <f t="shared" si="5"/>
        <v>0</v>
      </c>
      <c r="G326" s="2">
        <f>SUM(F326,D326)</f>
        <v>132559</v>
      </c>
    </row>
    <row r="327" spans="1:7" x14ac:dyDescent="0.2">
      <c r="A327">
        <v>2019</v>
      </c>
      <c r="B327" s="34">
        <v>5696</v>
      </c>
      <c r="C327" s="3" t="s">
        <v>333</v>
      </c>
      <c r="D327" s="12">
        <v>230846</v>
      </c>
      <c r="E327" s="3">
        <f>VLOOKUP(B327,'2015'!$B$2:$G$338,6,FALSE)</f>
        <v>0</v>
      </c>
      <c r="F327" s="3">
        <f t="shared" si="5"/>
        <v>0</v>
      </c>
      <c r="G327" s="2">
        <f>SUM(F327,D327)</f>
        <v>230846</v>
      </c>
    </row>
    <row r="328" spans="1:7" x14ac:dyDescent="0.2">
      <c r="A328">
        <v>2019</v>
      </c>
      <c r="B328" s="34">
        <v>9291</v>
      </c>
      <c r="C328" s="3" t="s">
        <v>334</v>
      </c>
      <c r="D328" s="12">
        <v>304225</v>
      </c>
      <c r="E328" s="3">
        <f>VLOOKUP(B328,'2015'!$B$2:$G$338,6,FALSE)</f>
        <v>0</v>
      </c>
      <c r="F328" s="3">
        <f t="shared" si="5"/>
        <v>0</v>
      </c>
      <c r="G328" s="2">
        <f>SUM(F328,D328)</f>
        <v>304225</v>
      </c>
    </row>
    <row r="329" spans="1:7" x14ac:dyDescent="0.2">
      <c r="A329">
        <v>2019</v>
      </c>
      <c r="B329" s="34">
        <v>9302</v>
      </c>
      <c r="C329" s="3" t="s">
        <v>335</v>
      </c>
      <c r="D329" s="12">
        <v>169220</v>
      </c>
      <c r="E329" s="3">
        <f>VLOOKUP(B329,'2015'!$B$2:$G$338,6,FALSE)</f>
        <v>0</v>
      </c>
      <c r="F329" s="3">
        <f t="shared" si="5"/>
        <v>0</v>
      </c>
      <c r="G329" s="2">
        <f>SUM(F329,D329)</f>
        <v>169220</v>
      </c>
    </row>
    <row r="330" spans="1:7" x14ac:dyDescent="0.2">
      <c r="A330">
        <v>2019</v>
      </c>
      <c r="B330" s="34">
        <v>9332</v>
      </c>
      <c r="C330" s="3" t="s">
        <v>336</v>
      </c>
      <c r="D330" s="12">
        <v>282633</v>
      </c>
      <c r="E330" s="3">
        <f>VLOOKUP(B330,'2015'!$B$2:$G$338,6,FALSE)</f>
        <v>0</v>
      </c>
      <c r="F330" s="3">
        <f t="shared" si="5"/>
        <v>0</v>
      </c>
      <c r="G330" s="2">
        <f>SUM(F330,D330)</f>
        <v>282633</v>
      </c>
    </row>
    <row r="331" spans="1:7" x14ac:dyDescent="0.2">
      <c r="A331">
        <v>2019</v>
      </c>
      <c r="B331" s="34">
        <v>9333</v>
      </c>
      <c r="C331" s="3" t="s">
        <v>337</v>
      </c>
      <c r="D331" s="12">
        <v>304068</v>
      </c>
      <c r="E331" s="3">
        <f>VLOOKUP(B331,'2015'!$B$2:$G$338,6,FALSE)</f>
        <v>0</v>
      </c>
      <c r="F331" s="3">
        <f t="shared" si="5"/>
        <v>0</v>
      </c>
      <c r="G331" s="2">
        <f>SUM(F331,D331)</f>
        <v>304068</v>
      </c>
    </row>
    <row r="332" spans="1:7" x14ac:dyDescent="0.2">
      <c r="A332">
        <v>2019</v>
      </c>
      <c r="B332" s="34">
        <v>9335</v>
      </c>
      <c r="C332" s="3" t="s">
        <v>338</v>
      </c>
      <c r="D332" s="12">
        <v>395464</v>
      </c>
      <c r="E332" s="3">
        <f>VLOOKUP(B332,'2015'!$B$2:$G$338,6,FALSE)</f>
        <v>0</v>
      </c>
      <c r="F332" s="3">
        <f t="shared" si="5"/>
        <v>0</v>
      </c>
      <c r="G332" s="2">
        <f>SUM(F332,D332)</f>
        <v>395464</v>
      </c>
    </row>
    <row r="333" spans="1:7" x14ac:dyDescent="0.2">
      <c r="A333">
        <v>2019</v>
      </c>
      <c r="B333" s="34">
        <v>9389</v>
      </c>
      <c r="C333" s="3" t="s">
        <v>339</v>
      </c>
      <c r="D333" s="12">
        <v>237810</v>
      </c>
      <c r="E333" s="3">
        <f>VLOOKUP(B333,'2015'!$B$2:$G$338,6,FALSE)</f>
        <v>0</v>
      </c>
      <c r="F333" s="3">
        <f t="shared" si="5"/>
        <v>0</v>
      </c>
      <c r="G333" s="2">
        <f>SUM(F333,D333)</f>
        <v>237810</v>
      </c>
    </row>
    <row r="334" spans="1:7" x14ac:dyDescent="0.2">
      <c r="A334">
        <v>2019</v>
      </c>
      <c r="B334" s="34">
        <v>9410</v>
      </c>
      <c r="C334" s="3" t="s">
        <v>340</v>
      </c>
      <c r="D334" s="12">
        <v>321827</v>
      </c>
      <c r="E334" s="3">
        <f>VLOOKUP(B334,'2015'!$B$2:$G$338,6,FALSE)</f>
        <v>0</v>
      </c>
      <c r="F334" s="3">
        <f t="shared" si="5"/>
        <v>0</v>
      </c>
      <c r="G334" s="2">
        <f>SUM(F334,D334)</f>
        <v>321827</v>
      </c>
    </row>
    <row r="335" spans="1:7" x14ac:dyDescent="0.2">
      <c r="A335">
        <v>2019</v>
      </c>
      <c r="B335" s="34">
        <v>9444</v>
      </c>
      <c r="C335" s="3" t="s">
        <v>341</v>
      </c>
      <c r="D335" s="12">
        <v>440004</v>
      </c>
      <c r="E335" s="3">
        <f>VLOOKUP(B335,'2015'!$B$2:$G$338,6,FALSE)</f>
        <v>0</v>
      </c>
      <c r="F335" s="3">
        <f t="shared" si="5"/>
        <v>0</v>
      </c>
      <c r="G335" s="2">
        <f>SUM(F335,D335)</f>
        <v>440004</v>
      </c>
    </row>
    <row r="336" spans="1:7" x14ac:dyDescent="0.2">
      <c r="A336">
        <v>2019</v>
      </c>
      <c r="B336" s="34">
        <v>9445</v>
      </c>
      <c r="C336" s="3" t="s">
        <v>342</v>
      </c>
      <c r="D336" s="12">
        <v>528682</v>
      </c>
      <c r="E336" s="3">
        <f>VLOOKUP(B336,'2015'!$B$2:$G$338,6,FALSE)</f>
        <v>0</v>
      </c>
      <c r="F336" s="3">
        <f t="shared" si="5"/>
        <v>0</v>
      </c>
      <c r="G336" s="2">
        <f>SUM(F336,D336)</f>
        <v>528682</v>
      </c>
    </row>
    <row r="337" spans="1:7" x14ac:dyDescent="0.2">
      <c r="A337">
        <v>2019</v>
      </c>
      <c r="B337" s="34">
        <v>9446</v>
      </c>
      <c r="C337" s="3" t="s">
        <v>343</v>
      </c>
      <c r="D337" s="12">
        <v>902033</v>
      </c>
      <c r="E337" s="3">
        <f>VLOOKUP(B337,'2015'!$B$2:$G$338,6,FALSE)</f>
        <v>0</v>
      </c>
      <c r="F337" s="3">
        <f t="shared" si="5"/>
        <v>0</v>
      </c>
      <c r="G337" s="2">
        <f>SUM(F337,D337)</f>
        <v>902033</v>
      </c>
    </row>
    <row r="338" spans="1:7" x14ac:dyDescent="0.2">
      <c r="A338">
        <v>2019</v>
      </c>
      <c r="B338" s="34">
        <v>9461</v>
      </c>
      <c r="C338" s="3" t="s">
        <v>344</v>
      </c>
      <c r="D338" s="12">
        <v>610490</v>
      </c>
      <c r="E338" s="3">
        <f>VLOOKUP(B338,'2015'!$B$2:$G$338,6,FALSE)</f>
        <v>0</v>
      </c>
      <c r="F338" s="3">
        <f t="shared" si="5"/>
        <v>0</v>
      </c>
      <c r="G338" s="2">
        <f>SUM(F338,D338)</f>
        <v>610490</v>
      </c>
    </row>
    <row r="340" spans="1:7" x14ac:dyDescent="0.2">
      <c r="C340" s="12" t="s">
        <v>346</v>
      </c>
      <c r="D340" s="2">
        <f>SUM(D2:D338)</f>
        <v>447257644</v>
      </c>
      <c r="E340">
        <f>SUM(E2:E338)</f>
        <v>0.99999999999999978</v>
      </c>
    </row>
    <row r="341" spans="1:7" x14ac:dyDescent="0.2">
      <c r="C341" s="12" t="s">
        <v>347</v>
      </c>
      <c r="D341" s="2">
        <v>68116365</v>
      </c>
    </row>
    <row r="342" spans="1:7" x14ac:dyDescent="0.2">
      <c r="C342" s="3"/>
    </row>
    <row r="343" spans="1:7" x14ac:dyDescent="0.2">
      <c r="C343" s="3" t="s">
        <v>348</v>
      </c>
      <c r="D343" s="4">
        <v>447257644</v>
      </c>
    </row>
    <row r="344" spans="1:7" x14ac:dyDescent="0.2">
      <c r="C344" s="3" t="s">
        <v>347</v>
      </c>
      <c r="D344" s="4">
        <v>68116365</v>
      </c>
    </row>
    <row r="345" spans="1:7" x14ac:dyDescent="0.2">
      <c r="C345" s="3"/>
    </row>
    <row r="346" spans="1:7" x14ac:dyDescent="0.2">
      <c r="C346" s="13" t="s">
        <v>349</v>
      </c>
      <c r="D346" s="14">
        <f>D340-D343</f>
        <v>0</v>
      </c>
    </row>
    <row r="347" spans="1:7" x14ac:dyDescent="0.2">
      <c r="D347" s="14">
        <f>D341-D344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5A3A-2E3A-594B-8A25-600F511251E0}">
  <sheetPr>
    <tabColor rgb="FFFFFF00"/>
  </sheetPr>
  <dimension ref="A1:G347"/>
  <sheetViews>
    <sheetView workbookViewId="0">
      <selection activeCell="F2" sqref="F2:G338"/>
    </sheetView>
  </sheetViews>
  <sheetFormatPr baseColWidth="10" defaultRowHeight="16" x14ac:dyDescent="0.2"/>
  <cols>
    <col min="2" max="2" width="11.83203125" bestFit="1" customWidth="1"/>
    <col min="3" max="3" width="50.83203125" bestFit="1" customWidth="1"/>
    <col min="4" max="4" width="18.83203125" bestFit="1" customWidth="1"/>
    <col min="5" max="5" width="25.83203125" bestFit="1" customWidth="1"/>
    <col min="6" max="6" width="17.1640625" bestFit="1" customWidth="1"/>
    <col min="7" max="7" width="16.83203125" bestFit="1" customWidth="1"/>
  </cols>
  <sheetData>
    <row r="1" spans="1:7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374</v>
      </c>
      <c r="F1" s="3" t="s">
        <v>368</v>
      </c>
      <c r="G1" s="3" t="s">
        <v>351</v>
      </c>
    </row>
    <row r="2" spans="1:7" x14ac:dyDescent="0.2">
      <c r="A2">
        <v>2018</v>
      </c>
      <c r="B2" s="34">
        <v>4930</v>
      </c>
      <c r="C2" s="3" t="s">
        <v>9</v>
      </c>
      <c r="D2" s="12">
        <v>15500</v>
      </c>
      <c r="E2" s="3">
        <f>VLOOKUP(B2,'2015'!$B$2:$G$338,6,FALSE)</f>
        <v>8.169597553666752E-3</v>
      </c>
      <c r="F2" s="3">
        <f>E2*$D$341</f>
        <v>492063.03842449968</v>
      </c>
      <c r="G2" s="2">
        <f>SUM(F2,D2)</f>
        <v>507563.03842449968</v>
      </c>
    </row>
    <row r="3" spans="1:7" x14ac:dyDescent="0.2">
      <c r="A3">
        <v>2018</v>
      </c>
      <c r="B3" s="34">
        <v>4931</v>
      </c>
      <c r="C3" s="3" t="s">
        <v>10</v>
      </c>
      <c r="D3" s="3"/>
      <c r="E3" s="3">
        <f>VLOOKUP(B3,'2015'!$B$2:$G$338,6,FALSE)</f>
        <v>6.4531547540516718E-3</v>
      </c>
      <c r="F3" s="3">
        <f t="shared" ref="F3:F66" si="0">E3*$D$341</f>
        <v>388679.97044444102</v>
      </c>
      <c r="G3" s="2">
        <f>SUM(F3,D3)</f>
        <v>388679.97044444102</v>
      </c>
    </row>
    <row r="4" spans="1:7" x14ac:dyDescent="0.2">
      <c r="A4">
        <v>2018</v>
      </c>
      <c r="B4" s="34">
        <v>5045</v>
      </c>
      <c r="C4" s="3" t="s">
        <v>11</v>
      </c>
      <c r="D4" s="12">
        <v>3372</v>
      </c>
      <c r="E4" s="3">
        <f>VLOOKUP(B4,'2015'!$B$2:$G$338,6,FALSE)</f>
        <v>1.0105484222096495E-2</v>
      </c>
      <c r="F4" s="3">
        <f t="shared" si="0"/>
        <v>608663.43028657825</v>
      </c>
      <c r="G4" s="2">
        <f>SUM(F4,D4)</f>
        <v>612035.43028657825</v>
      </c>
    </row>
    <row r="5" spans="1:7" x14ac:dyDescent="0.2">
      <c r="A5">
        <v>2018</v>
      </c>
      <c r="B5" s="34">
        <v>5046</v>
      </c>
      <c r="C5" s="3" t="s">
        <v>12</v>
      </c>
      <c r="D5" s="3"/>
      <c r="E5" s="3">
        <f>VLOOKUP(B5,'2015'!$B$2:$G$338,6,FALSE)</f>
        <v>1.3630219751289424E-2</v>
      </c>
      <c r="F5" s="3">
        <f t="shared" si="0"/>
        <v>820961.77947013301</v>
      </c>
      <c r="G5" s="2">
        <f>SUM(F5,D5)</f>
        <v>820961.77947013301</v>
      </c>
    </row>
    <row r="6" spans="1:7" x14ac:dyDescent="0.2">
      <c r="A6">
        <v>2018</v>
      </c>
      <c r="B6" s="34">
        <v>5047</v>
      </c>
      <c r="C6" s="3" t="s">
        <v>13</v>
      </c>
      <c r="D6" s="12">
        <v>7474</v>
      </c>
      <c r="E6" s="3">
        <f>VLOOKUP(B6,'2015'!$B$2:$G$338,6,FALSE)</f>
        <v>2.189607160505451E-2</v>
      </c>
      <c r="F6" s="3">
        <f t="shared" si="0"/>
        <v>1318822.3107401098</v>
      </c>
      <c r="G6" s="2">
        <f>SUM(F6,D6)</f>
        <v>1326296.3107401098</v>
      </c>
    </row>
    <row r="7" spans="1:7" x14ac:dyDescent="0.2">
      <c r="A7">
        <v>2018</v>
      </c>
      <c r="B7" s="34">
        <v>5048</v>
      </c>
      <c r="C7" s="3" t="s">
        <v>14</v>
      </c>
      <c r="D7" s="12">
        <v>57805</v>
      </c>
      <c r="E7" s="3">
        <f>VLOOKUP(B7,'2015'!$B$2:$G$338,6,FALSE)</f>
        <v>4.4505872497202836E-2</v>
      </c>
      <c r="F7" s="3">
        <f t="shared" si="0"/>
        <v>2680633.2508848966</v>
      </c>
      <c r="G7" s="2">
        <f>SUM(F7,D7)</f>
        <v>2738438.2508848966</v>
      </c>
    </row>
    <row r="8" spans="1:7" x14ac:dyDescent="0.2">
      <c r="A8">
        <v>2018</v>
      </c>
      <c r="B8" s="34">
        <v>5049</v>
      </c>
      <c r="C8" s="3" t="s">
        <v>15</v>
      </c>
      <c r="D8" s="12">
        <v>147872</v>
      </c>
      <c r="E8" s="3">
        <f>VLOOKUP(B8,'2015'!$B$2:$G$338,6,FALSE)</f>
        <v>6.3574471270304675E-2</v>
      </c>
      <c r="F8" s="3">
        <f t="shared" si="0"/>
        <v>3829154.0426561921</v>
      </c>
      <c r="G8" s="2">
        <f>SUM(F8,D8)</f>
        <v>3977026.0426561921</v>
      </c>
    </row>
    <row r="9" spans="1:7" x14ac:dyDescent="0.2">
      <c r="A9">
        <v>2018</v>
      </c>
      <c r="B9" s="34">
        <v>5050</v>
      </c>
      <c r="C9" s="3" t="s">
        <v>16</v>
      </c>
      <c r="D9" s="12">
        <v>19339</v>
      </c>
      <c r="E9" s="3">
        <f>VLOOKUP(B9,'2015'!$B$2:$G$338,6,FALSE)</f>
        <v>1.5153357180231053E-2</v>
      </c>
      <c r="F9" s="3">
        <f t="shared" si="0"/>
        <v>912701.87147585372</v>
      </c>
      <c r="G9" s="2">
        <f>SUM(F9,D9)</f>
        <v>932040.87147585372</v>
      </c>
    </row>
    <row r="10" spans="1:7" x14ac:dyDescent="0.2">
      <c r="A10">
        <v>2018</v>
      </c>
      <c r="B10" s="34">
        <v>5107</v>
      </c>
      <c r="C10" s="3" t="s">
        <v>17</v>
      </c>
      <c r="D10" s="12">
        <v>16344</v>
      </c>
      <c r="E10" s="3">
        <f>VLOOKUP(B10,'2015'!$B$2:$G$338,6,FALSE)</f>
        <v>2.4280916304639615E-2</v>
      </c>
      <c r="F10" s="3">
        <f t="shared" si="0"/>
        <v>1462463.8942256649</v>
      </c>
      <c r="G10" s="2">
        <f>SUM(F10,D10)</f>
        <v>1478807.8942256649</v>
      </c>
    </row>
    <row r="11" spans="1:7" x14ac:dyDescent="0.2">
      <c r="A11">
        <v>2018</v>
      </c>
      <c r="B11" s="34">
        <v>5108</v>
      </c>
      <c r="C11" s="3" t="s">
        <v>18</v>
      </c>
      <c r="D11" s="12">
        <v>10695</v>
      </c>
      <c r="E11" s="3">
        <f>VLOOKUP(B11,'2015'!$B$2:$G$338,6,FALSE)</f>
        <v>3.1695507434012407E-2</v>
      </c>
      <c r="F11" s="3">
        <f t="shared" si="0"/>
        <v>1909052.1399535087</v>
      </c>
      <c r="G11" s="2">
        <f>SUM(F11,D11)</f>
        <v>1919747.1399535087</v>
      </c>
    </row>
    <row r="12" spans="1:7" x14ac:dyDescent="0.2">
      <c r="A12">
        <v>2018</v>
      </c>
      <c r="B12" s="34">
        <v>5109</v>
      </c>
      <c r="C12" s="3" t="s">
        <v>19</v>
      </c>
      <c r="D12" s="12">
        <v>55557</v>
      </c>
      <c r="E12" s="3">
        <f>VLOOKUP(B12,'2015'!$B$2:$G$338,6,FALSE)</f>
        <v>5.1177098904248042E-2</v>
      </c>
      <c r="F12" s="3">
        <f t="shared" si="0"/>
        <v>3082447.8952788627</v>
      </c>
      <c r="G12" s="2">
        <f>SUM(F12,D12)</f>
        <v>3138004.8952788627</v>
      </c>
    </row>
    <row r="13" spans="1:7" x14ac:dyDescent="0.2">
      <c r="A13">
        <v>2018</v>
      </c>
      <c r="B13" s="34">
        <v>5110</v>
      </c>
      <c r="C13" s="3" t="s">
        <v>20</v>
      </c>
      <c r="D13" s="12">
        <v>16463</v>
      </c>
      <c r="E13" s="3">
        <f>VLOOKUP(B13,'2015'!$B$2:$G$338,6,FALSE)</f>
        <v>1.0333360578457136E-2</v>
      </c>
      <c r="F13" s="3">
        <f t="shared" si="0"/>
        <v>622388.6513344124</v>
      </c>
      <c r="G13" s="2">
        <f>SUM(F13,D13)</f>
        <v>638851.6513344124</v>
      </c>
    </row>
    <row r="14" spans="1:7" x14ac:dyDescent="0.2">
      <c r="A14">
        <v>2018</v>
      </c>
      <c r="B14" s="34">
        <v>5111</v>
      </c>
      <c r="C14" s="3" t="s">
        <v>21</v>
      </c>
      <c r="D14" s="12">
        <v>3249</v>
      </c>
      <c r="E14" s="3">
        <f>VLOOKUP(B14,'2015'!$B$2:$G$338,6,FALSE)</f>
        <v>1.0645672472843794E-2</v>
      </c>
      <c r="F14" s="3">
        <f t="shared" si="0"/>
        <v>641199.50935752701</v>
      </c>
      <c r="G14" s="2">
        <f>SUM(F14,D14)</f>
        <v>644448.50935752701</v>
      </c>
    </row>
    <row r="15" spans="1:7" x14ac:dyDescent="0.2">
      <c r="A15">
        <v>2018</v>
      </c>
      <c r="B15" s="34">
        <v>5112</v>
      </c>
      <c r="C15" s="3" t="s">
        <v>22</v>
      </c>
      <c r="D15" s="12">
        <v>5138</v>
      </c>
      <c r="E15" s="3">
        <f>VLOOKUP(B15,'2015'!$B$2:$G$338,6,FALSE)</f>
        <v>1.26711958199119E-2</v>
      </c>
      <c r="F15" s="3">
        <f t="shared" si="0"/>
        <v>763198.80810030946</v>
      </c>
      <c r="G15" s="2">
        <f>SUM(F15,D15)</f>
        <v>768336.80810030946</v>
      </c>
    </row>
    <row r="16" spans="1:7" x14ac:dyDescent="0.2">
      <c r="A16">
        <v>2018</v>
      </c>
      <c r="B16" s="34">
        <v>5113</v>
      </c>
      <c r="C16" s="3" t="s">
        <v>23</v>
      </c>
      <c r="D16" s="12">
        <v>10008</v>
      </c>
      <c r="E16" s="3">
        <f>VLOOKUP(B16,'2015'!$B$2:$G$338,6,FALSE)</f>
        <v>1.1491975514269418E-2</v>
      </c>
      <c r="F16" s="3">
        <f t="shared" si="0"/>
        <v>692173.1886919369</v>
      </c>
      <c r="G16" s="2">
        <f>SUM(F16,D16)</f>
        <v>702181.1886919369</v>
      </c>
    </row>
    <row r="17" spans="1:7" x14ac:dyDescent="0.2">
      <c r="A17">
        <v>2018</v>
      </c>
      <c r="B17" s="34">
        <v>5177</v>
      </c>
      <c r="C17" s="3" t="s">
        <v>24</v>
      </c>
      <c r="D17" s="12">
        <v>9687</v>
      </c>
      <c r="E17" s="3">
        <f>VLOOKUP(B17,'2015'!$B$2:$G$338,6,FALSE)</f>
        <v>1.3302968410463039E-2</v>
      </c>
      <c r="F17" s="3">
        <f t="shared" si="0"/>
        <v>801251.10363356769</v>
      </c>
      <c r="G17" s="2">
        <f>SUM(F17,D17)</f>
        <v>810938.10363356769</v>
      </c>
    </row>
    <row r="18" spans="1:7" x14ac:dyDescent="0.2">
      <c r="A18">
        <v>2018</v>
      </c>
      <c r="B18" s="34">
        <v>5178</v>
      </c>
      <c r="C18" s="3" t="s">
        <v>25</v>
      </c>
      <c r="D18" s="12">
        <v>35498</v>
      </c>
      <c r="E18" s="3">
        <f>VLOOKUP(B18,'2015'!$B$2:$G$338,6,FALSE)</f>
        <v>2.1732025416889681E-2</v>
      </c>
      <c r="F18" s="3">
        <f t="shared" si="0"/>
        <v>1308941.6446167077</v>
      </c>
      <c r="G18" s="2">
        <f>SUM(F18,D18)</f>
        <v>1344439.6446167077</v>
      </c>
    </row>
    <row r="19" spans="1:7" x14ac:dyDescent="0.2">
      <c r="A19">
        <v>2018</v>
      </c>
      <c r="B19" s="34">
        <v>5179</v>
      </c>
      <c r="C19" s="3" t="s">
        <v>26</v>
      </c>
      <c r="D19" s="12">
        <v>15315</v>
      </c>
      <c r="E19" s="3">
        <f>VLOOKUP(B19,'2015'!$B$2:$G$338,6,FALSE)</f>
        <v>1.1857958753272873E-2</v>
      </c>
      <c r="F19" s="3">
        <f t="shared" si="0"/>
        <v>714216.72552633716</v>
      </c>
      <c r="G19" s="2">
        <f>SUM(F19,D19)</f>
        <v>729531.72552633716</v>
      </c>
    </row>
    <row r="20" spans="1:7" x14ac:dyDescent="0.2">
      <c r="A20">
        <v>2018</v>
      </c>
      <c r="B20" s="34">
        <v>5180</v>
      </c>
      <c r="C20" s="3" t="s">
        <v>27</v>
      </c>
      <c r="D20" s="12">
        <v>9929</v>
      </c>
      <c r="E20" s="3">
        <f>VLOOKUP(B20,'2015'!$B$2:$G$338,6,FALSE)</f>
        <v>1.6155185392222552E-2</v>
      </c>
      <c r="F20" s="3">
        <f t="shared" si="0"/>
        <v>973042.98751414195</v>
      </c>
      <c r="G20" s="2">
        <f>SUM(F20,D20)</f>
        <v>982971.98751414195</v>
      </c>
    </row>
    <row r="21" spans="1:7" x14ac:dyDescent="0.2">
      <c r="A21">
        <v>2018</v>
      </c>
      <c r="B21" s="34">
        <v>5404</v>
      </c>
      <c r="C21" s="3" t="s">
        <v>364</v>
      </c>
      <c r="D21" s="12">
        <v>10656</v>
      </c>
      <c r="E21" s="3">
        <f>VLOOKUP(B21,'2015'!$B$2:$G$338,6,FALSE)</f>
        <v>1.896247337209666E-2</v>
      </c>
      <c r="F21" s="3">
        <f t="shared" si="0"/>
        <v>1142128.7526372273</v>
      </c>
      <c r="G21" s="2">
        <f>SUM(F21,D21)</f>
        <v>1152784.7526372273</v>
      </c>
    </row>
    <row r="22" spans="1:7" x14ac:dyDescent="0.2">
      <c r="A22">
        <v>2018</v>
      </c>
      <c r="B22" s="34">
        <v>5406</v>
      </c>
      <c r="C22" s="3" t="s">
        <v>29</v>
      </c>
      <c r="D22" s="12">
        <v>84566</v>
      </c>
      <c r="E22" s="3">
        <f>VLOOKUP(B22,'2015'!$B$2:$G$338,6,FALSE)</f>
        <v>0.18385655811930474</v>
      </c>
      <c r="F22" s="3">
        <f t="shared" si="0"/>
        <v>11073864.535940401</v>
      </c>
      <c r="G22" s="2">
        <f>SUM(F22,D22)</f>
        <v>11158430.535940401</v>
      </c>
    </row>
    <row r="23" spans="1:7" x14ac:dyDescent="0.2">
      <c r="A23">
        <v>2018</v>
      </c>
      <c r="B23" s="34">
        <v>5596</v>
      </c>
      <c r="C23" s="3" t="s">
        <v>30</v>
      </c>
      <c r="D23" s="12">
        <v>77638</v>
      </c>
      <c r="E23" s="3">
        <f>VLOOKUP(B23,'2015'!$B$2:$G$338,6,FALSE)</f>
        <v>1.6026551225248188E-2</v>
      </c>
      <c r="F23" s="3">
        <f t="shared" si="0"/>
        <v>965295.22287447483</v>
      </c>
      <c r="G23" s="2">
        <f>SUM(F23,D23)</f>
        <v>1042933.2228744748</v>
      </c>
    </row>
    <row r="24" spans="1:7" x14ac:dyDescent="0.2">
      <c r="A24">
        <v>2018</v>
      </c>
      <c r="B24" s="34">
        <v>5600</v>
      </c>
      <c r="C24" s="3" t="s">
        <v>31</v>
      </c>
      <c r="D24" s="12">
        <v>85424</v>
      </c>
      <c r="E24" s="3">
        <f>VLOOKUP(B24,'2015'!$B$2:$G$338,6,FALSE)</f>
        <v>1.8681545381490052E-2</v>
      </c>
      <c r="F24" s="3">
        <f t="shared" si="0"/>
        <v>1125208.1785540727</v>
      </c>
      <c r="G24" s="2">
        <f>SUM(F24,D24)</f>
        <v>1210632.1785540727</v>
      </c>
    </row>
    <row r="25" spans="1:7" x14ac:dyDescent="0.2">
      <c r="A25">
        <v>2018</v>
      </c>
      <c r="B25" s="34">
        <v>5604</v>
      </c>
      <c r="C25" s="3" t="s">
        <v>32</v>
      </c>
      <c r="D25" s="12">
        <v>55594</v>
      </c>
      <c r="E25" s="3">
        <f>VLOOKUP(B25,'2015'!$B$2:$G$338,6,FALSE)</f>
        <v>1.7146633455502592E-2</v>
      </c>
      <c r="F25" s="3">
        <f t="shared" si="0"/>
        <v>1032758.89680501</v>
      </c>
      <c r="G25" s="2">
        <f>SUM(F25,D25)</f>
        <v>1088352.89680501</v>
      </c>
    </row>
    <row r="26" spans="1:7" x14ac:dyDescent="0.2">
      <c r="A26">
        <v>2018</v>
      </c>
      <c r="B26" s="34">
        <v>5608</v>
      </c>
      <c r="C26" s="3" t="s">
        <v>33</v>
      </c>
      <c r="D26" s="12">
        <v>12076</v>
      </c>
      <c r="E26" s="3">
        <f>VLOOKUP(B26,'2015'!$B$2:$G$338,6,FALSE)</f>
        <v>1.6119618443439378E-2</v>
      </c>
      <c r="F26" s="3">
        <f t="shared" si="0"/>
        <v>970900.7545864156</v>
      </c>
      <c r="G26" s="2">
        <f>SUM(F26,D26)</f>
        <v>982976.7545864156</v>
      </c>
    </row>
    <row r="27" spans="1:7" x14ac:dyDescent="0.2">
      <c r="A27">
        <v>2018</v>
      </c>
      <c r="B27" s="34">
        <v>5609</v>
      </c>
      <c r="C27" s="3" t="s">
        <v>365</v>
      </c>
      <c r="D27" s="12">
        <v>75126</v>
      </c>
      <c r="E27" s="3">
        <f>VLOOKUP(B27,'2015'!$B$2:$G$338,6,FALSE)</f>
        <v>1.7566288039122847E-2</v>
      </c>
      <c r="F27" s="3">
        <f t="shared" si="0"/>
        <v>1058035.1124506963</v>
      </c>
      <c r="G27" s="2">
        <f>SUM(F27,D27)</f>
        <v>1133161.1124506963</v>
      </c>
    </row>
    <row r="28" spans="1:7" x14ac:dyDescent="0.2">
      <c r="A28">
        <v>2018</v>
      </c>
      <c r="B28" s="34">
        <v>5612</v>
      </c>
      <c r="C28" s="3" t="s">
        <v>35</v>
      </c>
      <c r="D28" s="12">
        <v>109559</v>
      </c>
      <c r="E28" s="3">
        <f>VLOOKUP(B28,'2015'!$B$2:$G$338,6,FALSE)</f>
        <v>3.6267907610125244E-2</v>
      </c>
      <c r="F28" s="3">
        <f t="shared" si="0"/>
        <v>2184452.3795333612</v>
      </c>
      <c r="G28" s="2">
        <f>SUM(F28,D28)</f>
        <v>2294011.3795333612</v>
      </c>
    </row>
    <row r="29" spans="1:7" x14ac:dyDescent="0.2">
      <c r="A29">
        <v>2018</v>
      </c>
      <c r="B29" s="34">
        <v>5624</v>
      </c>
      <c r="C29" s="3" t="s">
        <v>36</v>
      </c>
      <c r="D29" s="12">
        <v>36781</v>
      </c>
      <c r="E29" s="3">
        <f>VLOOKUP(B29,'2015'!$B$2:$G$338,6,FALSE)</f>
        <v>1.2935059642807353E-2</v>
      </c>
      <c r="F29" s="3">
        <f t="shared" si="0"/>
        <v>779091.5902809893</v>
      </c>
      <c r="G29" s="2">
        <f>SUM(F29,D29)</f>
        <v>815872.5902809893</v>
      </c>
    </row>
    <row r="30" spans="1:7" x14ac:dyDescent="0.2">
      <c r="A30">
        <v>2018</v>
      </c>
      <c r="B30" s="34">
        <v>5626</v>
      </c>
      <c r="C30" s="3" t="s">
        <v>37</v>
      </c>
      <c r="D30" s="12">
        <v>61886</v>
      </c>
      <c r="E30" s="3">
        <f>VLOOKUP(B30,'2015'!$B$2:$G$338,6,FALSE)</f>
        <v>1.5028308480402224E-2</v>
      </c>
      <c r="F30" s="3">
        <f t="shared" si="0"/>
        <v>905170.06311141478</v>
      </c>
      <c r="G30" s="2">
        <f>SUM(F30,D30)</f>
        <v>967056.06311141478</v>
      </c>
    </row>
    <row r="31" spans="1:7" x14ac:dyDescent="0.2">
      <c r="A31">
        <v>2018</v>
      </c>
      <c r="B31" s="34">
        <v>5634</v>
      </c>
      <c r="C31" s="3" t="s">
        <v>38</v>
      </c>
      <c r="D31" s="12">
        <v>49209</v>
      </c>
      <c r="E31" s="3">
        <f>VLOOKUP(B31,'2015'!$B$2:$G$338,6,FALSE)</f>
        <v>2.1955563800654488E-2</v>
      </c>
      <c r="F31" s="3">
        <f t="shared" si="0"/>
        <v>1322405.5852327843</v>
      </c>
      <c r="G31" s="2">
        <f>SUM(F31,D31)</f>
        <v>1371614.5852327843</v>
      </c>
    </row>
    <row r="32" spans="1:7" x14ac:dyDescent="0.2">
      <c r="A32">
        <v>2018</v>
      </c>
      <c r="B32" s="34">
        <v>5638</v>
      </c>
      <c r="C32" s="3" t="s">
        <v>39</v>
      </c>
      <c r="D32" s="12">
        <v>21582</v>
      </c>
      <c r="E32" s="3">
        <f>VLOOKUP(B32,'2015'!$B$2:$G$338,6,FALSE)</f>
        <v>1.1550715204419101E-2</v>
      </c>
      <c r="F32" s="3">
        <f t="shared" si="0"/>
        <v>695711.13902808214</v>
      </c>
      <c r="G32" s="2">
        <f>SUM(F32,D32)</f>
        <v>717293.13902808214</v>
      </c>
    </row>
    <row r="33" spans="1:7" x14ac:dyDescent="0.2">
      <c r="A33">
        <v>2018</v>
      </c>
      <c r="B33" s="34">
        <v>5655</v>
      </c>
      <c r="C33" s="3" t="s">
        <v>40</v>
      </c>
      <c r="D33" s="3"/>
      <c r="E33" s="3">
        <f>VLOOKUP(B33,'2015'!$B$2:$G$338,6,FALSE)</f>
        <v>5.1934606302538574E-3</v>
      </c>
      <c r="F33" s="3">
        <f t="shared" si="0"/>
        <v>312807.33241428074</v>
      </c>
      <c r="G33" s="2">
        <f>SUM(F33,D33)</f>
        <v>312807.33241428074</v>
      </c>
    </row>
    <row r="34" spans="1:7" x14ac:dyDescent="0.2">
      <c r="A34">
        <v>2018</v>
      </c>
      <c r="B34" s="34">
        <v>5657</v>
      </c>
      <c r="C34" s="3" t="s">
        <v>41</v>
      </c>
      <c r="D34" s="12">
        <v>3855</v>
      </c>
      <c r="E34" s="3">
        <f>VLOOKUP(B34,'2015'!$B$2:$G$338,6,FALSE)</f>
        <v>2.8683294514011727E-3</v>
      </c>
      <c r="F34" s="3">
        <f t="shared" si="0"/>
        <v>172762.3540556735</v>
      </c>
      <c r="G34" s="2">
        <f>SUM(F34,D34)</f>
        <v>176617.3540556735</v>
      </c>
    </row>
    <row r="35" spans="1:7" x14ac:dyDescent="0.2">
      <c r="A35">
        <v>2018</v>
      </c>
      <c r="B35" s="34">
        <v>5671</v>
      </c>
      <c r="C35" s="3" t="s">
        <v>42</v>
      </c>
      <c r="D35" s="12">
        <v>37551</v>
      </c>
      <c r="E35" s="3">
        <f>VLOOKUP(B35,'2015'!$B$2:$G$338,6,FALSE)</f>
        <v>6.9584842964396064E-3</v>
      </c>
      <c r="F35" s="3">
        <f t="shared" si="0"/>
        <v>419116.47461733822</v>
      </c>
      <c r="G35" s="2">
        <f>SUM(F35,D35)</f>
        <v>456667.47461733822</v>
      </c>
    </row>
    <row r="36" spans="1:7" x14ac:dyDescent="0.2">
      <c r="A36">
        <v>2018</v>
      </c>
      <c r="B36" s="34">
        <v>5682</v>
      </c>
      <c r="C36" s="3" t="s">
        <v>43</v>
      </c>
      <c r="D36" s="12">
        <v>122875</v>
      </c>
      <c r="E36" s="3">
        <f>VLOOKUP(B36,'2015'!$B$2:$G$338,6,FALSE)</f>
        <v>4.9492217068518966E-2</v>
      </c>
      <c r="F36" s="3">
        <f t="shared" si="0"/>
        <v>2980965.775746183</v>
      </c>
      <c r="G36" s="2">
        <f>SUM(F36,D36)</f>
        <v>3103840.775746183</v>
      </c>
    </row>
    <row r="37" spans="1:7" x14ac:dyDescent="0.2">
      <c r="A37">
        <v>2018</v>
      </c>
      <c r="B37" s="34">
        <v>5688</v>
      </c>
      <c r="C37" s="3" t="s">
        <v>44</v>
      </c>
      <c r="D37" s="12">
        <v>7138</v>
      </c>
      <c r="E37" s="3">
        <f>VLOOKUP(B37,'2015'!$B$2:$G$338,6,FALSE)</f>
        <v>5.5749366285281409E-3</v>
      </c>
      <c r="F37" s="3">
        <f t="shared" si="0"/>
        <v>335784.0136478151</v>
      </c>
      <c r="G37" s="2">
        <f>SUM(F37,D37)</f>
        <v>342922.0136478151</v>
      </c>
    </row>
    <row r="38" spans="1:7" x14ac:dyDescent="0.2">
      <c r="A38">
        <v>2018</v>
      </c>
      <c r="B38" s="34">
        <v>9034</v>
      </c>
      <c r="C38" s="3" t="s">
        <v>45</v>
      </c>
      <c r="D38" s="12">
        <v>46987</v>
      </c>
      <c r="E38" s="3">
        <f>VLOOKUP(B38,'2015'!$B$2:$G$338,6,FALSE)</f>
        <v>1.0344603895185109E-2</v>
      </c>
      <c r="F38" s="3">
        <f t="shared" si="0"/>
        <v>623065.84755549824</v>
      </c>
      <c r="G38" s="2">
        <f>SUM(F38,D38)</f>
        <v>670052.84755549824</v>
      </c>
    </row>
    <row r="39" spans="1:7" x14ac:dyDescent="0.2">
      <c r="A39">
        <v>2018</v>
      </c>
      <c r="B39" s="34">
        <v>9042</v>
      </c>
      <c r="C39" s="3" t="s">
        <v>46</v>
      </c>
      <c r="D39" s="12">
        <v>18805</v>
      </c>
      <c r="E39" s="3">
        <f>VLOOKUP(B39,'2015'!$B$2:$G$338,6,FALSE)</f>
        <v>6.7431128100618474E-3</v>
      </c>
      <c r="F39" s="3">
        <f t="shared" si="0"/>
        <v>406144.43440594792</v>
      </c>
      <c r="G39" s="2">
        <f>SUM(F39,D39)</f>
        <v>424949.43440594792</v>
      </c>
    </row>
    <row r="40" spans="1:7" x14ac:dyDescent="0.2">
      <c r="A40">
        <v>2018</v>
      </c>
      <c r="B40" s="34">
        <v>9047</v>
      </c>
      <c r="C40" s="3" t="s">
        <v>47</v>
      </c>
      <c r="D40" s="12">
        <v>21956</v>
      </c>
      <c r="E40" s="3">
        <f>VLOOKUP(B40,'2015'!$B$2:$G$338,6,FALSE)</f>
        <v>5.8226437167554438E-3</v>
      </c>
      <c r="F40" s="3">
        <f t="shared" si="0"/>
        <v>350703.65952654084</v>
      </c>
      <c r="G40" s="2">
        <f>SUM(F40,D40)</f>
        <v>372659.65952654084</v>
      </c>
    </row>
    <row r="41" spans="1:7" x14ac:dyDescent="0.2">
      <c r="A41">
        <v>2018</v>
      </c>
      <c r="B41" s="34">
        <v>9053</v>
      </c>
      <c r="C41" s="3" t="s">
        <v>48</v>
      </c>
      <c r="D41" s="3"/>
      <c r="E41" s="3">
        <f>VLOOKUP(B41,'2015'!$B$2:$G$338,6,FALSE)</f>
        <v>3.2831370146209815E-4</v>
      </c>
      <c r="F41" s="3">
        <f t="shared" si="0"/>
        <v>19774.662881077336</v>
      </c>
      <c r="G41" s="2">
        <f>SUM(F41,D41)</f>
        <v>19774.662881077336</v>
      </c>
    </row>
    <row r="42" spans="1:7" x14ac:dyDescent="0.2">
      <c r="A42">
        <v>2018</v>
      </c>
      <c r="B42" s="34">
        <v>9055</v>
      </c>
      <c r="C42" s="3" t="s">
        <v>49</v>
      </c>
      <c r="D42" s="12">
        <v>37756</v>
      </c>
      <c r="E42" s="3">
        <f>VLOOKUP(B42,'2015'!$B$2:$G$338,6,FALSE)</f>
        <v>6.5073794114995712E-3</v>
      </c>
      <c r="F42" s="3">
        <f t="shared" si="0"/>
        <v>391945.97584141011</v>
      </c>
      <c r="G42" s="2">
        <f>SUM(F42,D42)</f>
        <v>429701.97584141011</v>
      </c>
    </row>
    <row r="43" spans="1:7" x14ac:dyDescent="0.2">
      <c r="A43">
        <v>2018</v>
      </c>
      <c r="B43" s="34">
        <v>9056</v>
      </c>
      <c r="C43" s="3" t="s">
        <v>50</v>
      </c>
      <c r="D43" s="12">
        <v>2557</v>
      </c>
      <c r="E43" s="3">
        <f>VLOOKUP(B43,'2015'!$B$2:$G$338,6,FALSE)</f>
        <v>5.467107024003175E-3</v>
      </c>
      <c r="F43" s="3">
        <f t="shared" si="0"/>
        <v>329289.32862984226</v>
      </c>
      <c r="G43" s="2">
        <f>SUM(F43,D43)</f>
        <v>331846.32862984226</v>
      </c>
    </row>
    <row r="44" spans="1:7" x14ac:dyDescent="0.2">
      <c r="A44">
        <v>2018</v>
      </c>
      <c r="B44" s="34">
        <v>9273</v>
      </c>
      <c r="C44" s="3" t="s">
        <v>51</v>
      </c>
      <c r="D44" s="12">
        <v>6196</v>
      </c>
      <c r="E44" s="3">
        <f>VLOOKUP(B44,'2015'!$B$2:$G$338,6,FALSE)</f>
        <v>1.0952362708866464E-2</v>
      </c>
      <c r="F44" s="3">
        <f t="shared" si="0"/>
        <v>659671.76927009865</v>
      </c>
      <c r="G44" s="2">
        <f>SUM(F44,D44)</f>
        <v>665867.76927009865</v>
      </c>
    </row>
    <row r="45" spans="1:7" x14ac:dyDescent="0.2">
      <c r="A45">
        <v>2018</v>
      </c>
      <c r="B45" s="34">
        <v>9274</v>
      </c>
      <c r="C45" s="3" t="s">
        <v>52</v>
      </c>
      <c r="D45" s="12">
        <v>39257</v>
      </c>
      <c r="E45" s="3">
        <f>VLOOKUP(B45,'2015'!$B$2:$G$338,6,FALSE)</f>
        <v>2.9805855585749469E-2</v>
      </c>
      <c r="F45" s="3">
        <f t="shared" si="0"/>
        <v>1795236.5175911319</v>
      </c>
      <c r="G45" s="2">
        <f>SUM(F45,D45)</f>
        <v>1834493.5175911319</v>
      </c>
    </row>
    <row r="46" spans="1:7" x14ac:dyDescent="0.2">
      <c r="A46">
        <v>2018</v>
      </c>
      <c r="B46" s="34">
        <v>9303</v>
      </c>
      <c r="C46" s="3" t="s">
        <v>363</v>
      </c>
      <c r="D46" s="12">
        <v>4132</v>
      </c>
      <c r="E46" s="3">
        <f>VLOOKUP(B46,'2015'!$B$2:$G$338,6,FALSE)</f>
        <v>2.0704036574243728E-2</v>
      </c>
      <c r="F46" s="3">
        <f t="shared" si="0"/>
        <v>1247024.8476073106</v>
      </c>
      <c r="G46" s="2">
        <f>SUM(F46,D46)</f>
        <v>1251156.8476073106</v>
      </c>
    </row>
    <row r="47" spans="1:7" x14ac:dyDescent="0.2">
      <c r="A47">
        <v>2018</v>
      </c>
      <c r="B47" s="34">
        <v>9304</v>
      </c>
      <c r="C47" s="3" t="s">
        <v>54</v>
      </c>
      <c r="D47" s="3">
        <v>521</v>
      </c>
      <c r="E47" s="3">
        <f>VLOOKUP(B47,'2015'!$B$2:$G$338,6,FALSE)</f>
        <v>6.982210350637218E-3</v>
      </c>
      <c r="F47" s="3">
        <f t="shared" si="0"/>
        <v>420545.51861144061</v>
      </c>
      <c r="G47" s="2">
        <f>SUM(F47,D47)</f>
        <v>421066.51861144061</v>
      </c>
    </row>
    <row r="48" spans="1:7" x14ac:dyDescent="0.2">
      <c r="A48">
        <v>2018</v>
      </c>
      <c r="B48" s="34">
        <v>9305</v>
      </c>
      <c r="C48" s="3" t="s">
        <v>55</v>
      </c>
      <c r="D48" s="12">
        <v>16044</v>
      </c>
      <c r="E48" s="3">
        <f>VLOOKUP(B48,'2015'!$B$2:$G$338,6,FALSE)</f>
        <v>8.0967373200673699E-3</v>
      </c>
      <c r="F48" s="3">
        <f t="shared" si="0"/>
        <v>487674.59362171509</v>
      </c>
      <c r="G48" s="2">
        <f>SUM(F48,D48)</f>
        <v>503718.59362171509</v>
      </c>
    </row>
    <row r="49" spans="1:7" x14ac:dyDescent="0.2">
      <c r="A49">
        <v>2018</v>
      </c>
      <c r="B49" s="34">
        <v>9395</v>
      </c>
      <c r="C49" s="3" t="s">
        <v>56</v>
      </c>
      <c r="D49" s="12">
        <v>3003</v>
      </c>
      <c r="E49" s="3">
        <f>VLOOKUP(B49,'2015'!$B$2:$G$338,6,FALSE)</f>
        <v>5.0036743291862092E-3</v>
      </c>
      <c r="F49" s="3">
        <f t="shared" si="0"/>
        <v>301376.31352488889</v>
      </c>
      <c r="G49" s="2">
        <f>SUM(F49,D49)</f>
        <v>304379.31352488889</v>
      </c>
    </row>
    <row r="50" spans="1:7" x14ac:dyDescent="0.2">
      <c r="A50">
        <v>2018</v>
      </c>
      <c r="B50" s="34">
        <v>9487</v>
      </c>
      <c r="C50" s="3" t="s">
        <v>57</v>
      </c>
      <c r="D50" s="12">
        <v>10525</v>
      </c>
      <c r="E50" s="3">
        <f>VLOOKUP(B50,'2015'!$B$2:$G$338,6,FALSE)</f>
        <v>5.106634780797486E-4</v>
      </c>
      <c r="F50" s="3">
        <f t="shared" si="0"/>
        <v>30757.772458884818</v>
      </c>
      <c r="G50" s="2">
        <f>SUM(F50,D50)</f>
        <v>41282.772458884821</v>
      </c>
    </row>
    <row r="51" spans="1:7" x14ac:dyDescent="0.2">
      <c r="A51">
        <v>2018</v>
      </c>
      <c r="B51" s="34">
        <v>9507</v>
      </c>
      <c r="C51" s="3" t="s">
        <v>58</v>
      </c>
      <c r="D51" s="12">
        <v>55162</v>
      </c>
      <c r="E51" s="3">
        <f>VLOOKUP(B51,'2015'!$B$2:$G$338,6,FALSE)</f>
        <v>2.7714554409320073E-2</v>
      </c>
      <c r="F51" s="3">
        <f t="shared" si="0"/>
        <v>1669275.3543423119</v>
      </c>
      <c r="G51" s="2">
        <f>SUM(F51,D51)</f>
        <v>1724437.3543423119</v>
      </c>
    </row>
    <row r="52" spans="1:7" x14ac:dyDescent="0.2">
      <c r="A52">
        <v>2018</v>
      </c>
      <c r="B52" s="34">
        <v>4828</v>
      </c>
      <c r="C52" s="3" t="s">
        <v>59</v>
      </c>
      <c r="D52" s="12">
        <v>3185199</v>
      </c>
      <c r="E52" s="3">
        <f>VLOOKUP(B52,'2015'!$B$2:$G$338,6,FALSE)</f>
        <v>0</v>
      </c>
      <c r="F52" s="3">
        <f t="shared" si="0"/>
        <v>0</v>
      </c>
      <c r="G52" s="2">
        <f>SUM(F52,D52)</f>
        <v>3185199</v>
      </c>
    </row>
    <row r="53" spans="1:7" x14ac:dyDescent="0.2">
      <c r="A53">
        <v>2018</v>
      </c>
      <c r="B53" s="34">
        <v>4829</v>
      </c>
      <c r="C53" s="3" t="s">
        <v>60</v>
      </c>
      <c r="D53" s="12">
        <v>1364704</v>
      </c>
      <c r="E53" s="3">
        <f>VLOOKUP(B53,'2015'!$B$2:$G$338,6,FALSE)</f>
        <v>0</v>
      </c>
      <c r="F53" s="3">
        <f t="shared" si="0"/>
        <v>0</v>
      </c>
      <c r="G53" s="2">
        <f>SUM(F53,D53)</f>
        <v>1364704</v>
      </c>
    </row>
    <row r="54" spans="1:7" x14ac:dyDescent="0.2">
      <c r="A54">
        <v>2018</v>
      </c>
      <c r="B54" s="34">
        <v>4871</v>
      </c>
      <c r="C54" s="3" t="s">
        <v>61</v>
      </c>
      <c r="D54" s="12">
        <v>390226</v>
      </c>
      <c r="E54" s="3">
        <f>VLOOKUP(B54,'2015'!$B$2:$G$338,6,FALSE)</f>
        <v>0</v>
      </c>
      <c r="F54" s="3">
        <f t="shared" si="0"/>
        <v>0</v>
      </c>
      <c r="G54" s="2">
        <f>SUM(F54,D54)</f>
        <v>390226</v>
      </c>
    </row>
    <row r="55" spans="1:7" x14ac:dyDescent="0.2">
      <c r="A55">
        <v>2018</v>
      </c>
      <c r="B55" s="34">
        <v>4882</v>
      </c>
      <c r="C55" s="3" t="s">
        <v>62</v>
      </c>
      <c r="D55" s="12">
        <v>2246022</v>
      </c>
      <c r="E55" s="3">
        <f>VLOOKUP(B55,'2015'!$B$2:$G$338,6,FALSE)</f>
        <v>0</v>
      </c>
      <c r="F55" s="3">
        <f t="shared" si="0"/>
        <v>0</v>
      </c>
      <c r="G55" s="2">
        <f>SUM(F55,D55)</f>
        <v>2246022</v>
      </c>
    </row>
    <row r="56" spans="1:7" x14ac:dyDescent="0.2">
      <c r="A56">
        <v>2018</v>
      </c>
      <c r="B56" s="34">
        <v>4912</v>
      </c>
      <c r="C56" s="3" t="s">
        <v>63</v>
      </c>
      <c r="D56" s="12">
        <v>400544</v>
      </c>
      <c r="E56" s="3">
        <f>VLOOKUP(B56,'2015'!$B$2:$G$338,6,FALSE)</f>
        <v>0</v>
      </c>
      <c r="F56" s="3">
        <f t="shared" si="0"/>
        <v>0</v>
      </c>
      <c r="G56" s="2">
        <f>SUM(F56,D56)</f>
        <v>400544</v>
      </c>
    </row>
    <row r="57" spans="1:7" x14ac:dyDescent="0.2">
      <c r="A57">
        <v>2018</v>
      </c>
      <c r="B57" s="34">
        <v>4977</v>
      </c>
      <c r="C57" s="3" t="s">
        <v>64</v>
      </c>
      <c r="D57" s="12">
        <v>196596</v>
      </c>
      <c r="E57" s="3">
        <f>VLOOKUP(B57,'2015'!$B$2:$G$338,6,FALSE)</f>
        <v>0</v>
      </c>
      <c r="F57" s="3">
        <f t="shared" si="0"/>
        <v>0</v>
      </c>
      <c r="G57" s="2">
        <f>SUM(F57,D57)</f>
        <v>196596</v>
      </c>
    </row>
    <row r="58" spans="1:7" x14ac:dyDescent="0.2">
      <c r="A58">
        <v>2018</v>
      </c>
      <c r="B58" s="34">
        <v>4978</v>
      </c>
      <c r="C58" s="3" t="s">
        <v>65</v>
      </c>
      <c r="D58" s="12">
        <v>24484767</v>
      </c>
      <c r="E58" s="3">
        <f>VLOOKUP(B58,'2015'!$B$2:$G$338,6,FALSE)</f>
        <v>0</v>
      </c>
      <c r="F58" s="3">
        <f t="shared" si="0"/>
        <v>0</v>
      </c>
      <c r="G58" s="2">
        <f>SUM(F58,D58)</f>
        <v>24484767</v>
      </c>
    </row>
    <row r="59" spans="1:7" x14ac:dyDescent="0.2">
      <c r="A59">
        <v>2018</v>
      </c>
      <c r="B59" s="34">
        <v>4979</v>
      </c>
      <c r="C59" s="3" t="s">
        <v>66</v>
      </c>
      <c r="D59" s="12">
        <v>89630</v>
      </c>
      <c r="E59" s="3">
        <f>VLOOKUP(B59,'2015'!$B$2:$G$338,6,FALSE)</f>
        <v>0</v>
      </c>
      <c r="F59" s="3">
        <f t="shared" si="0"/>
        <v>0</v>
      </c>
      <c r="G59" s="2">
        <f>SUM(F59,D59)</f>
        <v>89630</v>
      </c>
    </row>
    <row r="60" spans="1:7" x14ac:dyDescent="0.2">
      <c r="A60">
        <v>2018</v>
      </c>
      <c r="B60" s="34">
        <v>4980</v>
      </c>
      <c r="C60" s="3" t="s">
        <v>67</v>
      </c>
      <c r="D60" s="12">
        <v>2025217</v>
      </c>
      <c r="E60" s="3">
        <f>VLOOKUP(B60,'2015'!$B$2:$G$338,6,FALSE)</f>
        <v>0</v>
      </c>
      <c r="F60" s="3">
        <f t="shared" si="0"/>
        <v>0</v>
      </c>
      <c r="G60" s="2">
        <f>SUM(F60,D60)</f>
        <v>2025217</v>
      </c>
    </row>
    <row r="61" spans="1:7" x14ac:dyDescent="0.2">
      <c r="A61">
        <v>2018</v>
      </c>
      <c r="B61" s="34">
        <v>4981</v>
      </c>
      <c r="C61" s="3" t="s">
        <v>68</v>
      </c>
      <c r="D61" s="12">
        <v>4227702</v>
      </c>
      <c r="E61" s="3">
        <f>VLOOKUP(B61,'2015'!$B$2:$G$338,6,FALSE)</f>
        <v>0</v>
      </c>
      <c r="F61" s="3">
        <f t="shared" si="0"/>
        <v>0</v>
      </c>
      <c r="G61" s="2">
        <f>SUM(F61,D61)</f>
        <v>4227702</v>
      </c>
    </row>
    <row r="62" spans="1:7" x14ac:dyDescent="0.2">
      <c r="A62">
        <v>2018</v>
      </c>
      <c r="B62" s="34">
        <v>4982</v>
      </c>
      <c r="C62" s="3" t="s">
        <v>69</v>
      </c>
      <c r="D62" s="12">
        <v>45305760</v>
      </c>
      <c r="E62" s="3">
        <f>VLOOKUP(B62,'2015'!$B$2:$G$338,6,FALSE)</f>
        <v>0</v>
      </c>
      <c r="F62" s="3">
        <f t="shared" si="0"/>
        <v>0</v>
      </c>
      <c r="G62" s="2">
        <f>SUM(F62,D62)</f>
        <v>45305760</v>
      </c>
    </row>
    <row r="63" spans="1:7" x14ac:dyDescent="0.2">
      <c r="A63">
        <v>2018</v>
      </c>
      <c r="B63" s="34">
        <v>4983</v>
      </c>
      <c r="C63" s="3" t="s">
        <v>70</v>
      </c>
      <c r="D63" s="12">
        <v>5458916</v>
      </c>
      <c r="E63" s="3">
        <f>VLOOKUP(B63,'2015'!$B$2:$G$338,6,FALSE)</f>
        <v>0</v>
      </c>
      <c r="F63" s="3">
        <f t="shared" si="0"/>
        <v>0</v>
      </c>
      <c r="G63" s="2">
        <f>SUM(F63,D63)</f>
        <v>5458916</v>
      </c>
    </row>
    <row r="64" spans="1:7" x14ac:dyDescent="0.2">
      <c r="A64">
        <v>2018</v>
      </c>
      <c r="B64" s="34">
        <v>4984</v>
      </c>
      <c r="C64" s="3" t="s">
        <v>71</v>
      </c>
      <c r="D64" s="12">
        <v>1749398</v>
      </c>
      <c r="E64" s="3">
        <f>VLOOKUP(B64,'2015'!$B$2:$G$338,6,FALSE)</f>
        <v>0</v>
      </c>
      <c r="F64" s="3">
        <f t="shared" si="0"/>
        <v>0</v>
      </c>
      <c r="G64" s="2">
        <f>SUM(F64,D64)</f>
        <v>1749398</v>
      </c>
    </row>
    <row r="65" spans="1:7" x14ac:dyDescent="0.2">
      <c r="A65">
        <v>2018</v>
      </c>
      <c r="B65" s="34">
        <v>4985</v>
      </c>
      <c r="C65" s="3" t="s">
        <v>72</v>
      </c>
      <c r="D65" s="12">
        <v>3815739</v>
      </c>
      <c r="E65" s="3">
        <f>VLOOKUP(B65,'2015'!$B$2:$G$338,6,FALSE)</f>
        <v>0</v>
      </c>
      <c r="F65" s="3">
        <f t="shared" si="0"/>
        <v>0</v>
      </c>
      <c r="G65" s="2">
        <f>SUM(F65,D65)</f>
        <v>3815739</v>
      </c>
    </row>
    <row r="66" spans="1:7" x14ac:dyDescent="0.2">
      <c r="A66">
        <v>2018</v>
      </c>
      <c r="B66" s="34">
        <v>4986</v>
      </c>
      <c r="C66" s="3" t="s">
        <v>73</v>
      </c>
      <c r="D66" s="12">
        <v>4215026</v>
      </c>
      <c r="E66" s="3">
        <f>VLOOKUP(B66,'2015'!$B$2:$G$338,6,FALSE)</f>
        <v>0</v>
      </c>
      <c r="F66" s="3">
        <f t="shared" si="0"/>
        <v>0</v>
      </c>
      <c r="G66" s="2">
        <f>SUM(F66,D66)</f>
        <v>4215026</v>
      </c>
    </row>
    <row r="67" spans="1:7" x14ac:dyDescent="0.2">
      <c r="A67">
        <v>2018</v>
      </c>
      <c r="B67" s="34">
        <v>4987</v>
      </c>
      <c r="C67" s="3" t="s">
        <v>74</v>
      </c>
      <c r="D67" s="12">
        <v>580215</v>
      </c>
      <c r="E67" s="3">
        <f>VLOOKUP(B67,'2015'!$B$2:$G$338,6,FALSE)</f>
        <v>0</v>
      </c>
      <c r="F67" s="3">
        <f t="shared" ref="F67:F130" si="1">E67*$D$341</f>
        <v>0</v>
      </c>
      <c r="G67" s="2">
        <f>SUM(F67,D67)</f>
        <v>580215</v>
      </c>
    </row>
    <row r="68" spans="1:7" x14ac:dyDescent="0.2">
      <c r="A68">
        <v>2018</v>
      </c>
      <c r="B68" s="34">
        <v>4988</v>
      </c>
      <c r="C68" s="3" t="s">
        <v>75</v>
      </c>
      <c r="D68" s="12">
        <v>2057332</v>
      </c>
      <c r="E68" s="3">
        <f>VLOOKUP(B68,'2015'!$B$2:$G$338,6,FALSE)</f>
        <v>0</v>
      </c>
      <c r="F68" s="3">
        <f t="shared" si="1"/>
        <v>0</v>
      </c>
      <c r="G68" s="2">
        <f>SUM(F68,D68)</f>
        <v>2057332</v>
      </c>
    </row>
    <row r="69" spans="1:7" x14ac:dyDescent="0.2">
      <c r="A69">
        <v>2018</v>
      </c>
      <c r="B69" s="34">
        <v>4990</v>
      </c>
      <c r="C69" s="3" t="s">
        <v>76</v>
      </c>
      <c r="D69" s="12">
        <v>115191</v>
      </c>
      <c r="E69" s="3">
        <f>VLOOKUP(B69,'2015'!$B$2:$G$338,6,FALSE)</f>
        <v>0</v>
      </c>
      <c r="F69" s="3">
        <f t="shared" si="1"/>
        <v>0</v>
      </c>
      <c r="G69" s="2">
        <f>SUM(F69,D69)</f>
        <v>115191</v>
      </c>
    </row>
    <row r="70" spans="1:7" x14ac:dyDescent="0.2">
      <c r="A70">
        <v>2018</v>
      </c>
      <c r="B70" s="34">
        <v>4991</v>
      </c>
      <c r="C70" s="3" t="s">
        <v>77</v>
      </c>
      <c r="D70" s="12">
        <v>862098</v>
      </c>
      <c r="E70" s="3">
        <f>VLOOKUP(B70,'2015'!$B$2:$G$338,6,FALSE)</f>
        <v>0</v>
      </c>
      <c r="F70" s="3">
        <f t="shared" si="1"/>
        <v>0</v>
      </c>
      <c r="G70" s="2">
        <f>SUM(F70,D70)</f>
        <v>862098</v>
      </c>
    </row>
    <row r="71" spans="1:7" x14ac:dyDescent="0.2">
      <c r="A71">
        <v>2018</v>
      </c>
      <c r="B71" s="34">
        <v>4992</v>
      </c>
      <c r="C71" s="3" t="s">
        <v>78</v>
      </c>
      <c r="D71" s="12">
        <v>211557</v>
      </c>
      <c r="E71" s="3">
        <f>VLOOKUP(B71,'2015'!$B$2:$G$338,6,FALSE)</f>
        <v>0</v>
      </c>
      <c r="F71" s="3">
        <f t="shared" si="1"/>
        <v>0</v>
      </c>
      <c r="G71" s="2">
        <f>SUM(F71,D71)</f>
        <v>211557</v>
      </c>
    </row>
    <row r="72" spans="1:7" x14ac:dyDescent="0.2">
      <c r="A72">
        <v>2018</v>
      </c>
      <c r="B72" s="34">
        <v>4993</v>
      </c>
      <c r="C72" s="3" t="s">
        <v>79</v>
      </c>
      <c r="D72" s="12">
        <v>699682</v>
      </c>
      <c r="E72" s="3">
        <f>VLOOKUP(B72,'2015'!$B$2:$G$338,6,FALSE)</f>
        <v>0</v>
      </c>
      <c r="F72" s="3">
        <f t="shared" si="1"/>
        <v>0</v>
      </c>
      <c r="G72" s="2">
        <f>SUM(F72,D72)</f>
        <v>699682</v>
      </c>
    </row>
    <row r="73" spans="1:7" x14ac:dyDescent="0.2">
      <c r="A73">
        <v>2018</v>
      </c>
      <c r="B73" s="34">
        <v>4994</v>
      </c>
      <c r="C73" s="3" t="s">
        <v>80</v>
      </c>
      <c r="D73" s="12">
        <v>171579</v>
      </c>
      <c r="E73" s="3">
        <f>VLOOKUP(B73,'2015'!$B$2:$G$338,6,FALSE)</f>
        <v>0</v>
      </c>
      <c r="F73" s="3">
        <f t="shared" si="1"/>
        <v>0</v>
      </c>
      <c r="G73" s="2">
        <f>SUM(F73,D73)</f>
        <v>171579</v>
      </c>
    </row>
    <row r="74" spans="1:7" x14ac:dyDescent="0.2">
      <c r="A74">
        <v>2018</v>
      </c>
      <c r="B74" s="34">
        <v>4995</v>
      </c>
      <c r="C74" s="3" t="s">
        <v>81</v>
      </c>
      <c r="D74" s="12">
        <v>702856</v>
      </c>
      <c r="E74" s="3">
        <f>VLOOKUP(B74,'2015'!$B$2:$G$338,6,FALSE)</f>
        <v>0</v>
      </c>
      <c r="F74" s="3">
        <f t="shared" si="1"/>
        <v>0</v>
      </c>
      <c r="G74" s="2">
        <f>SUM(F74,D74)</f>
        <v>702856</v>
      </c>
    </row>
    <row r="75" spans="1:7" x14ac:dyDescent="0.2">
      <c r="A75">
        <v>2018</v>
      </c>
      <c r="B75" s="34">
        <v>4996</v>
      </c>
      <c r="C75" s="3" t="s">
        <v>82</v>
      </c>
      <c r="D75" s="12">
        <v>204456</v>
      </c>
      <c r="E75" s="3">
        <f>VLOOKUP(B75,'2015'!$B$2:$G$338,6,FALSE)</f>
        <v>0</v>
      </c>
      <c r="F75" s="3">
        <f t="shared" si="1"/>
        <v>0</v>
      </c>
      <c r="G75" s="2">
        <f>SUM(F75,D75)</f>
        <v>204456</v>
      </c>
    </row>
    <row r="76" spans="1:7" x14ac:dyDescent="0.2">
      <c r="A76">
        <v>2018</v>
      </c>
      <c r="B76" s="34">
        <v>4997</v>
      </c>
      <c r="C76" s="3" t="s">
        <v>83</v>
      </c>
      <c r="D76" s="12">
        <v>3260183</v>
      </c>
      <c r="E76" s="3">
        <f>VLOOKUP(B76,'2015'!$B$2:$G$338,6,FALSE)</f>
        <v>0</v>
      </c>
      <c r="F76" s="3">
        <f t="shared" si="1"/>
        <v>0</v>
      </c>
      <c r="G76" s="2">
        <f>SUM(F76,D76)</f>
        <v>3260183</v>
      </c>
    </row>
    <row r="77" spans="1:7" x14ac:dyDescent="0.2">
      <c r="A77">
        <v>2018</v>
      </c>
      <c r="B77" s="34">
        <v>4998</v>
      </c>
      <c r="C77" s="3" t="s">
        <v>84</v>
      </c>
      <c r="D77" s="12">
        <v>396135</v>
      </c>
      <c r="E77" s="3">
        <f>VLOOKUP(B77,'2015'!$B$2:$G$338,6,FALSE)</f>
        <v>0</v>
      </c>
      <c r="F77" s="3">
        <f t="shared" si="1"/>
        <v>0</v>
      </c>
      <c r="G77" s="2">
        <f>SUM(F77,D77)</f>
        <v>396135</v>
      </c>
    </row>
    <row r="78" spans="1:7" x14ac:dyDescent="0.2">
      <c r="A78">
        <v>2018</v>
      </c>
      <c r="B78" s="34">
        <v>4999</v>
      </c>
      <c r="C78" s="3" t="s">
        <v>352</v>
      </c>
      <c r="D78" s="12">
        <v>5398053</v>
      </c>
      <c r="E78" s="3">
        <f>VLOOKUP(B78,'2015'!$B$2:$G$338,6,FALSE)</f>
        <v>0</v>
      </c>
      <c r="F78" s="3">
        <f t="shared" si="1"/>
        <v>0</v>
      </c>
      <c r="G78" s="2">
        <f>SUM(F78,D78)</f>
        <v>5398053</v>
      </c>
    </row>
    <row r="79" spans="1:7" x14ac:dyDescent="0.2">
      <c r="A79">
        <v>2018</v>
      </c>
      <c r="B79" s="34">
        <v>5000</v>
      </c>
      <c r="C79" s="3" t="s">
        <v>86</v>
      </c>
      <c r="D79" s="12">
        <v>3339758</v>
      </c>
      <c r="E79" s="3">
        <f>VLOOKUP(B79,'2015'!$B$2:$G$338,6,FALSE)</f>
        <v>0</v>
      </c>
      <c r="F79" s="3">
        <f t="shared" si="1"/>
        <v>0</v>
      </c>
      <c r="G79" s="2">
        <f>SUM(F79,D79)</f>
        <v>3339758</v>
      </c>
    </row>
    <row r="80" spans="1:7" x14ac:dyDescent="0.2">
      <c r="A80">
        <v>2018</v>
      </c>
      <c r="B80" s="34">
        <v>5001</v>
      </c>
      <c r="C80" s="3" t="s">
        <v>87</v>
      </c>
      <c r="D80" s="12">
        <v>235833</v>
      </c>
      <c r="E80" s="3">
        <f>VLOOKUP(B80,'2015'!$B$2:$G$338,6,FALSE)</f>
        <v>0</v>
      </c>
      <c r="F80" s="3">
        <f t="shared" si="1"/>
        <v>0</v>
      </c>
      <c r="G80" s="2">
        <f>SUM(F80,D80)</f>
        <v>235833</v>
      </c>
    </row>
    <row r="81" spans="1:7" x14ac:dyDescent="0.2">
      <c r="A81">
        <v>2018</v>
      </c>
      <c r="B81" s="34">
        <v>5002</v>
      </c>
      <c r="C81" s="3" t="s">
        <v>88</v>
      </c>
      <c r="D81" s="12">
        <v>81551</v>
      </c>
      <c r="E81" s="3">
        <f>VLOOKUP(B81,'2015'!$B$2:$G$338,6,FALSE)</f>
        <v>0</v>
      </c>
      <c r="F81" s="3">
        <f t="shared" si="1"/>
        <v>0</v>
      </c>
      <c r="G81" s="2">
        <f>SUM(F81,D81)</f>
        <v>81551</v>
      </c>
    </row>
    <row r="82" spans="1:7" x14ac:dyDescent="0.2">
      <c r="A82">
        <v>2018</v>
      </c>
      <c r="B82" s="34">
        <v>5004</v>
      </c>
      <c r="C82" s="3" t="s">
        <v>89</v>
      </c>
      <c r="D82" s="12">
        <v>1002492</v>
      </c>
      <c r="E82" s="3">
        <f>VLOOKUP(B82,'2015'!$B$2:$G$338,6,FALSE)</f>
        <v>0</v>
      </c>
      <c r="F82" s="3">
        <f t="shared" si="1"/>
        <v>0</v>
      </c>
      <c r="G82" s="2">
        <f>SUM(F82,D82)</f>
        <v>1002492</v>
      </c>
    </row>
    <row r="83" spans="1:7" x14ac:dyDescent="0.2">
      <c r="A83">
        <v>2018</v>
      </c>
      <c r="B83" s="34">
        <v>5005</v>
      </c>
      <c r="C83" s="3" t="s">
        <v>90</v>
      </c>
      <c r="D83" s="12">
        <v>546423</v>
      </c>
      <c r="E83" s="3">
        <f>VLOOKUP(B83,'2015'!$B$2:$G$338,6,FALSE)</f>
        <v>0</v>
      </c>
      <c r="F83" s="3">
        <f t="shared" si="1"/>
        <v>0</v>
      </c>
      <c r="G83" s="2">
        <f>SUM(F83,D83)</f>
        <v>546423</v>
      </c>
    </row>
    <row r="84" spans="1:7" x14ac:dyDescent="0.2">
      <c r="A84">
        <v>2018</v>
      </c>
      <c r="B84" s="34">
        <v>5006</v>
      </c>
      <c r="C84" s="3" t="s">
        <v>91</v>
      </c>
      <c r="D84" s="12">
        <v>210785</v>
      </c>
      <c r="E84" s="3">
        <f>VLOOKUP(B84,'2015'!$B$2:$G$338,6,FALSE)</f>
        <v>0</v>
      </c>
      <c r="F84" s="3">
        <f t="shared" si="1"/>
        <v>0</v>
      </c>
      <c r="G84" s="2">
        <f>SUM(F84,D84)</f>
        <v>210785</v>
      </c>
    </row>
    <row r="85" spans="1:7" x14ac:dyDescent="0.2">
      <c r="A85">
        <v>2018</v>
      </c>
      <c r="B85" s="34">
        <v>5007</v>
      </c>
      <c r="C85" s="3" t="s">
        <v>143</v>
      </c>
      <c r="D85" s="12">
        <v>138820</v>
      </c>
      <c r="E85" s="3">
        <f>VLOOKUP(B85,'2015'!$B$2:$G$338,6,FALSE)</f>
        <v>0</v>
      </c>
      <c r="F85" s="3">
        <f t="shared" si="1"/>
        <v>0</v>
      </c>
      <c r="G85" s="2">
        <f>SUM(F85,D85)</f>
        <v>138820</v>
      </c>
    </row>
    <row r="86" spans="1:7" x14ac:dyDescent="0.2">
      <c r="A86">
        <v>2018</v>
      </c>
      <c r="B86" s="34">
        <v>5008</v>
      </c>
      <c r="C86" s="3" t="s">
        <v>92</v>
      </c>
      <c r="D86" s="12">
        <v>581526</v>
      </c>
      <c r="E86" s="3">
        <f>VLOOKUP(B86,'2015'!$B$2:$G$338,6,FALSE)</f>
        <v>0</v>
      </c>
      <c r="F86" s="3">
        <f t="shared" si="1"/>
        <v>0</v>
      </c>
      <c r="G86" s="2">
        <f>SUM(F86,D86)</f>
        <v>581526</v>
      </c>
    </row>
    <row r="87" spans="1:7" x14ac:dyDescent="0.2">
      <c r="A87">
        <v>2018</v>
      </c>
      <c r="B87" s="34">
        <v>5010</v>
      </c>
      <c r="C87" s="3" t="s">
        <v>93</v>
      </c>
      <c r="D87" s="12">
        <v>1396967</v>
      </c>
      <c r="E87" s="3">
        <f>VLOOKUP(B87,'2015'!$B$2:$G$338,6,FALSE)</f>
        <v>0</v>
      </c>
      <c r="F87" s="3">
        <f t="shared" si="1"/>
        <v>0</v>
      </c>
      <c r="G87" s="2">
        <f>SUM(F87,D87)</f>
        <v>1396967</v>
      </c>
    </row>
    <row r="88" spans="1:7" x14ac:dyDescent="0.2">
      <c r="A88">
        <v>2018</v>
      </c>
      <c r="B88" s="34">
        <v>5011</v>
      </c>
      <c r="C88" s="3" t="s">
        <v>94</v>
      </c>
      <c r="D88" s="12">
        <v>479264</v>
      </c>
      <c r="E88" s="3">
        <f>VLOOKUP(B88,'2015'!$B$2:$G$338,6,FALSE)</f>
        <v>0</v>
      </c>
      <c r="F88" s="3">
        <f t="shared" si="1"/>
        <v>0</v>
      </c>
      <c r="G88" s="2">
        <f>SUM(F88,D88)</f>
        <v>479264</v>
      </c>
    </row>
    <row r="89" spans="1:7" x14ac:dyDescent="0.2">
      <c r="A89">
        <v>2018</v>
      </c>
      <c r="B89" s="34">
        <v>5012</v>
      </c>
      <c r="C89" s="3" t="s">
        <v>95</v>
      </c>
      <c r="D89" s="12">
        <v>316427</v>
      </c>
      <c r="E89" s="3">
        <f>VLOOKUP(B89,'2015'!$B$2:$G$338,6,FALSE)</f>
        <v>0</v>
      </c>
      <c r="F89" s="3">
        <f t="shared" si="1"/>
        <v>0</v>
      </c>
      <c r="G89" s="2">
        <f>SUM(F89,D89)</f>
        <v>316427</v>
      </c>
    </row>
    <row r="90" spans="1:7" x14ac:dyDescent="0.2">
      <c r="A90">
        <v>2018</v>
      </c>
      <c r="B90" s="34">
        <v>5013</v>
      </c>
      <c r="C90" s="3" t="s">
        <v>96</v>
      </c>
      <c r="D90" s="12">
        <v>5497940</v>
      </c>
      <c r="E90" s="3">
        <f>VLOOKUP(B90,'2015'!$B$2:$G$338,6,FALSE)</f>
        <v>0</v>
      </c>
      <c r="F90" s="3">
        <f t="shared" si="1"/>
        <v>0</v>
      </c>
      <c r="G90" s="2">
        <f>SUM(F90,D90)</f>
        <v>5497940</v>
      </c>
    </row>
    <row r="91" spans="1:7" x14ac:dyDescent="0.2">
      <c r="A91">
        <v>2018</v>
      </c>
      <c r="B91" s="34">
        <v>5014</v>
      </c>
      <c r="C91" s="3" t="s">
        <v>97</v>
      </c>
      <c r="D91" s="12">
        <v>1365518</v>
      </c>
      <c r="E91" s="3">
        <f>VLOOKUP(B91,'2015'!$B$2:$G$338,6,FALSE)</f>
        <v>0</v>
      </c>
      <c r="F91" s="3">
        <f t="shared" si="1"/>
        <v>0</v>
      </c>
      <c r="G91" s="2">
        <f>SUM(F91,D91)</f>
        <v>1365518</v>
      </c>
    </row>
    <row r="92" spans="1:7" x14ac:dyDescent="0.2">
      <c r="A92">
        <v>2018</v>
      </c>
      <c r="B92" s="34">
        <v>5015</v>
      </c>
      <c r="C92" s="3" t="s">
        <v>98</v>
      </c>
      <c r="D92" s="12">
        <v>320706</v>
      </c>
      <c r="E92" s="3">
        <f>VLOOKUP(B92,'2015'!$B$2:$G$338,6,FALSE)</f>
        <v>0</v>
      </c>
      <c r="F92" s="3">
        <f t="shared" si="1"/>
        <v>0</v>
      </c>
      <c r="G92" s="2">
        <f>SUM(F92,D92)</f>
        <v>320706</v>
      </c>
    </row>
    <row r="93" spans="1:7" x14ac:dyDescent="0.2">
      <c r="A93">
        <v>2018</v>
      </c>
      <c r="B93" s="34">
        <v>5016</v>
      </c>
      <c r="C93" s="3" t="s">
        <v>99</v>
      </c>
      <c r="D93" s="12">
        <v>471611</v>
      </c>
      <c r="E93" s="3">
        <f>VLOOKUP(B93,'2015'!$B$2:$G$338,6,FALSE)</f>
        <v>0</v>
      </c>
      <c r="F93" s="3">
        <f t="shared" si="1"/>
        <v>0</v>
      </c>
      <c r="G93" s="2">
        <f>SUM(F93,D93)</f>
        <v>471611</v>
      </c>
    </row>
    <row r="94" spans="1:7" x14ac:dyDescent="0.2">
      <c r="A94">
        <v>2018</v>
      </c>
      <c r="B94" s="34">
        <v>5017</v>
      </c>
      <c r="C94" s="3" t="s">
        <v>100</v>
      </c>
      <c r="D94" s="12">
        <v>3060192</v>
      </c>
      <c r="E94" s="3">
        <f>VLOOKUP(B94,'2015'!$B$2:$G$338,6,FALSE)</f>
        <v>0</v>
      </c>
      <c r="F94" s="3">
        <f t="shared" si="1"/>
        <v>0</v>
      </c>
      <c r="G94" s="2">
        <f>SUM(F94,D94)</f>
        <v>3060192</v>
      </c>
    </row>
    <row r="95" spans="1:7" x14ac:dyDescent="0.2">
      <c r="A95">
        <v>2018</v>
      </c>
      <c r="B95" s="34">
        <v>5018</v>
      </c>
      <c r="C95" s="3" t="s">
        <v>101</v>
      </c>
      <c r="D95" s="12">
        <v>224638</v>
      </c>
      <c r="E95" s="3">
        <f>VLOOKUP(B95,'2015'!$B$2:$G$338,6,FALSE)</f>
        <v>0</v>
      </c>
      <c r="F95" s="3">
        <f t="shared" si="1"/>
        <v>0</v>
      </c>
      <c r="G95" s="2">
        <f>SUM(F95,D95)</f>
        <v>224638</v>
      </c>
    </row>
    <row r="96" spans="1:7" x14ac:dyDescent="0.2">
      <c r="A96">
        <v>2018</v>
      </c>
      <c r="B96" s="34">
        <v>5019</v>
      </c>
      <c r="C96" s="3" t="s">
        <v>102</v>
      </c>
      <c r="D96" s="12">
        <v>2100406</v>
      </c>
      <c r="E96" s="3">
        <f>VLOOKUP(B96,'2015'!$B$2:$G$338,6,FALSE)</f>
        <v>0</v>
      </c>
      <c r="F96" s="3">
        <f t="shared" si="1"/>
        <v>0</v>
      </c>
      <c r="G96" s="2">
        <f>SUM(F96,D96)</f>
        <v>2100406</v>
      </c>
    </row>
    <row r="97" spans="1:7" x14ac:dyDescent="0.2">
      <c r="A97">
        <v>2018</v>
      </c>
      <c r="B97" s="34">
        <v>5020</v>
      </c>
      <c r="C97" s="3" t="s">
        <v>103</v>
      </c>
      <c r="D97" s="12">
        <v>6589894</v>
      </c>
      <c r="E97" s="3">
        <f>VLOOKUP(B97,'2015'!$B$2:$G$338,6,FALSE)</f>
        <v>0</v>
      </c>
      <c r="F97" s="3">
        <f t="shared" si="1"/>
        <v>0</v>
      </c>
      <c r="G97" s="2">
        <f>SUM(F97,D97)</f>
        <v>6589894</v>
      </c>
    </row>
    <row r="98" spans="1:7" x14ac:dyDescent="0.2">
      <c r="A98">
        <v>2018</v>
      </c>
      <c r="B98" s="34">
        <v>5021</v>
      </c>
      <c r="C98" s="3" t="s">
        <v>104</v>
      </c>
      <c r="D98" s="12">
        <v>205075</v>
      </c>
      <c r="E98" s="3">
        <f>VLOOKUP(B98,'2015'!$B$2:$G$338,6,FALSE)</f>
        <v>0</v>
      </c>
      <c r="F98" s="3">
        <f t="shared" si="1"/>
        <v>0</v>
      </c>
      <c r="G98" s="2">
        <f>SUM(F98,D98)</f>
        <v>205075</v>
      </c>
    </row>
    <row r="99" spans="1:7" x14ac:dyDescent="0.2">
      <c r="A99">
        <v>2018</v>
      </c>
      <c r="B99" s="34">
        <v>5022</v>
      </c>
      <c r="C99" s="3" t="s">
        <v>105</v>
      </c>
      <c r="D99" s="12">
        <v>3925597</v>
      </c>
      <c r="E99" s="3">
        <f>VLOOKUP(B99,'2015'!$B$2:$G$338,6,FALSE)</f>
        <v>0</v>
      </c>
      <c r="F99" s="3">
        <f t="shared" si="1"/>
        <v>0</v>
      </c>
      <c r="G99" s="2">
        <f>SUM(F99,D99)</f>
        <v>3925597</v>
      </c>
    </row>
    <row r="100" spans="1:7" x14ac:dyDescent="0.2">
      <c r="A100">
        <v>2018</v>
      </c>
      <c r="B100" s="34">
        <v>5024</v>
      </c>
      <c r="C100" s="3" t="s">
        <v>106</v>
      </c>
      <c r="D100" s="12">
        <v>529323</v>
      </c>
      <c r="E100" s="3">
        <f>VLOOKUP(B100,'2015'!$B$2:$G$338,6,FALSE)</f>
        <v>0</v>
      </c>
      <c r="F100" s="3">
        <f t="shared" si="1"/>
        <v>0</v>
      </c>
      <c r="G100" s="2">
        <f>SUM(F100,D100)</f>
        <v>529323</v>
      </c>
    </row>
    <row r="101" spans="1:7" x14ac:dyDescent="0.2">
      <c r="A101">
        <v>2018</v>
      </c>
      <c r="B101" s="34">
        <v>5025</v>
      </c>
      <c r="C101" s="3" t="s">
        <v>107</v>
      </c>
      <c r="D101" s="12">
        <v>1475474</v>
      </c>
      <c r="E101" s="3">
        <f>VLOOKUP(B101,'2015'!$B$2:$G$338,6,FALSE)</f>
        <v>0</v>
      </c>
      <c r="F101" s="3">
        <f t="shared" si="1"/>
        <v>0</v>
      </c>
      <c r="G101" s="2">
        <f>SUM(F101,D101)</f>
        <v>1475474</v>
      </c>
    </row>
    <row r="102" spans="1:7" x14ac:dyDescent="0.2">
      <c r="A102">
        <v>2018</v>
      </c>
      <c r="B102" s="34">
        <v>5026</v>
      </c>
      <c r="C102" s="3" t="s">
        <v>108</v>
      </c>
      <c r="D102" s="12">
        <v>347008</v>
      </c>
      <c r="E102" s="3">
        <f>VLOOKUP(B102,'2015'!$B$2:$G$338,6,FALSE)</f>
        <v>0</v>
      </c>
      <c r="F102" s="3">
        <f t="shared" si="1"/>
        <v>0</v>
      </c>
      <c r="G102" s="2">
        <f>SUM(F102,D102)</f>
        <v>347008</v>
      </c>
    </row>
    <row r="103" spans="1:7" x14ac:dyDescent="0.2">
      <c r="A103">
        <v>2018</v>
      </c>
      <c r="B103" s="34">
        <v>5027</v>
      </c>
      <c r="C103" s="3" t="s">
        <v>109</v>
      </c>
      <c r="D103" s="12">
        <v>4741804</v>
      </c>
      <c r="E103" s="3">
        <f>VLOOKUP(B103,'2015'!$B$2:$G$338,6,FALSE)</f>
        <v>0</v>
      </c>
      <c r="F103" s="3">
        <f t="shared" si="1"/>
        <v>0</v>
      </c>
      <c r="G103" s="2">
        <f>SUM(F103,D103)</f>
        <v>4741804</v>
      </c>
    </row>
    <row r="104" spans="1:7" x14ac:dyDescent="0.2">
      <c r="A104">
        <v>2018</v>
      </c>
      <c r="B104" s="34">
        <v>5028</v>
      </c>
      <c r="C104" s="3" t="s">
        <v>110</v>
      </c>
      <c r="D104" s="12">
        <v>1274108</v>
      </c>
      <c r="E104" s="3">
        <f>VLOOKUP(B104,'2015'!$B$2:$G$338,6,FALSE)</f>
        <v>0</v>
      </c>
      <c r="F104" s="3">
        <f t="shared" si="1"/>
        <v>0</v>
      </c>
      <c r="G104" s="2">
        <f>SUM(F104,D104)</f>
        <v>1274108</v>
      </c>
    </row>
    <row r="105" spans="1:7" x14ac:dyDescent="0.2">
      <c r="A105">
        <v>2018</v>
      </c>
      <c r="B105" s="34">
        <v>5029</v>
      </c>
      <c r="C105" s="3" t="s">
        <v>111</v>
      </c>
      <c r="D105" s="12">
        <v>507329</v>
      </c>
      <c r="E105" s="3">
        <f>VLOOKUP(B105,'2015'!$B$2:$G$338,6,FALSE)</f>
        <v>0</v>
      </c>
      <c r="F105" s="3">
        <f t="shared" si="1"/>
        <v>0</v>
      </c>
      <c r="G105" s="2">
        <f>SUM(F105,D105)</f>
        <v>507329</v>
      </c>
    </row>
    <row r="106" spans="1:7" x14ac:dyDescent="0.2">
      <c r="A106">
        <v>2018</v>
      </c>
      <c r="B106" s="34">
        <v>5031</v>
      </c>
      <c r="C106" s="3" t="s">
        <v>112</v>
      </c>
      <c r="D106" s="12">
        <v>7919218</v>
      </c>
      <c r="E106" s="3">
        <f>VLOOKUP(B106,'2015'!$B$2:$G$338,6,FALSE)</f>
        <v>0</v>
      </c>
      <c r="F106" s="3">
        <f t="shared" si="1"/>
        <v>0</v>
      </c>
      <c r="G106" s="2">
        <f>SUM(F106,D106)</f>
        <v>7919218</v>
      </c>
    </row>
    <row r="107" spans="1:7" x14ac:dyDescent="0.2">
      <c r="A107">
        <v>2018</v>
      </c>
      <c r="B107" s="34">
        <v>5032</v>
      </c>
      <c r="C107" s="3" t="s">
        <v>359</v>
      </c>
      <c r="D107" s="12">
        <v>658275</v>
      </c>
      <c r="E107" s="3">
        <f>VLOOKUP(B107,'2015'!$B$2:$G$338,6,FALSE)</f>
        <v>0</v>
      </c>
      <c r="F107" s="3">
        <f t="shared" si="1"/>
        <v>0</v>
      </c>
      <c r="G107" s="2">
        <f>SUM(F107,D107)</f>
        <v>658275</v>
      </c>
    </row>
    <row r="108" spans="1:7" x14ac:dyDescent="0.2">
      <c r="A108">
        <v>2018</v>
      </c>
      <c r="B108" s="34">
        <v>5033</v>
      </c>
      <c r="C108" s="3" t="s">
        <v>114</v>
      </c>
      <c r="D108" s="12">
        <v>454458</v>
      </c>
      <c r="E108" s="3">
        <f>VLOOKUP(B108,'2015'!$B$2:$G$338,6,FALSE)</f>
        <v>0</v>
      </c>
      <c r="F108" s="3">
        <f t="shared" si="1"/>
        <v>0</v>
      </c>
      <c r="G108" s="2">
        <f>SUM(F108,D108)</f>
        <v>454458</v>
      </c>
    </row>
    <row r="109" spans="1:7" x14ac:dyDescent="0.2">
      <c r="A109">
        <v>2018</v>
      </c>
      <c r="B109" s="34">
        <v>5034</v>
      </c>
      <c r="C109" s="3" t="s">
        <v>115</v>
      </c>
      <c r="D109" s="12">
        <v>224414</v>
      </c>
      <c r="E109" s="3">
        <f>VLOOKUP(B109,'2015'!$B$2:$G$338,6,FALSE)</f>
        <v>0</v>
      </c>
      <c r="F109" s="3">
        <f t="shared" si="1"/>
        <v>0</v>
      </c>
      <c r="G109" s="2">
        <f>SUM(F109,D109)</f>
        <v>224414</v>
      </c>
    </row>
    <row r="110" spans="1:7" x14ac:dyDescent="0.2">
      <c r="A110">
        <v>2018</v>
      </c>
      <c r="B110" s="34">
        <v>5035</v>
      </c>
      <c r="C110" s="3" t="s">
        <v>116</v>
      </c>
      <c r="D110" s="12">
        <v>1210952</v>
      </c>
      <c r="E110" s="3">
        <f>VLOOKUP(B110,'2015'!$B$2:$G$338,6,FALSE)</f>
        <v>0</v>
      </c>
      <c r="F110" s="3">
        <f t="shared" si="1"/>
        <v>0</v>
      </c>
      <c r="G110" s="2">
        <f>SUM(F110,D110)</f>
        <v>1210952</v>
      </c>
    </row>
    <row r="111" spans="1:7" x14ac:dyDescent="0.2">
      <c r="A111">
        <v>2018</v>
      </c>
      <c r="B111" s="34">
        <v>5036</v>
      </c>
      <c r="C111" s="3" t="s">
        <v>117</v>
      </c>
      <c r="D111" s="12">
        <v>663420</v>
      </c>
      <c r="E111" s="3">
        <f>VLOOKUP(B111,'2015'!$B$2:$G$338,6,FALSE)</f>
        <v>0</v>
      </c>
      <c r="F111" s="3">
        <f t="shared" si="1"/>
        <v>0</v>
      </c>
      <c r="G111" s="2">
        <f>SUM(F111,D111)</f>
        <v>663420</v>
      </c>
    </row>
    <row r="112" spans="1:7" x14ac:dyDescent="0.2">
      <c r="A112">
        <v>2018</v>
      </c>
      <c r="B112" s="34">
        <v>5037</v>
      </c>
      <c r="C112" s="3" t="s">
        <v>118</v>
      </c>
      <c r="D112" s="12">
        <v>2684773</v>
      </c>
      <c r="E112" s="3">
        <f>VLOOKUP(B112,'2015'!$B$2:$G$338,6,FALSE)</f>
        <v>0</v>
      </c>
      <c r="F112" s="3">
        <f t="shared" si="1"/>
        <v>0</v>
      </c>
      <c r="G112" s="2">
        <f>SUM(F112,D112)</f>
        <v>2684773</v>
      </c>
    </row>
    <row r="113" spans="1:7" x14ac:dyDescent="0.2">
      <c r="A113">
        <v>2018</v>
      </c>
      <c r="B113" s="34">
        <v>5038</v>
      </c>
      <c r="C113" s="3" t="s">
        <v>119</v>
      </c>
      <c r="D113" s="12">
        <v>258450</v>
      </c>
      <c r="E113" s="3">
        <f>VLOOKUP(B113,'2015'!$B$2:$G$338,6,FALSE)</f>
        <v>0</v>
      </c>
      <c r="F113" s="3">
        <f t="shared" si="1"/>
        <v>0</v>
      </c>
      <c r="G113" s="2">
        <f>SUM(F113,D113)</f>
        <v>258450</v>
      </c>
    </row>
    <row r="114" spans="1:7" x14ac:dyDescent="0.2">
      <c r="A114">
        <v>2018</v>
      </c>
      <c r="B114" s="34">
        <v>5039</v>
      </c>
      <c r="C114" s="3" t="s">
        <v>120</v>
      </c>
      <c r="D114" s="12">
        <v>401753</v>
      </c>
      <c r="E114" s="3">
        <f>VLOOKUP(B114,'2015'!$B$2:$G$338,6,FALSE)</f>
        <v>0</v>
      </c>
      <c r="F114" s="3">
        <f t="shared" si="1"/>
        <v>0</v>
      </c>
      <c r="G114" s="2">
        <f>SUM(F114,D114)</f>
        <v>401753</v>
      </c>
    </row>
    <row r="115" spans="1:7" x14ac:dyDescent="0.2">
      <c r="A115">
        <v>2018</v>
      </c>
      <c r="B115" s="34">
        <v>5040</v>
      </c>
      <c r="C115" s="3" t="s">
        <v>121</v>
      </c>
      <c r="D115" s="12">
        <v>1133585</v>
      </c>
      <c r="E115" s="3">
        <f>VLOOKUP(B115,'2015'!$B$2:$G$338,6,FALSE)</f>
        <v>0</v>
      </c>
      <c r="F115" s="3">
        <f t="shared" si="1"/>
        <v>0</v>
      </c>
      <c r="G115" s="2">
        <f>SUM(F115,D115)</f>
        <v>1133585</v>
      </c>
    </row>
    <row r="116" spans="1:7" x14ac:dyDescent="0.2">
      <c r="A116">
        <v>2018</v>
      </c>
      <c r="B116" s="34">
        <v>5041</v>
      </c>
      <c r="C116" s="3" t="s">
        <v>122</v>
      </c>
      <c r="D116" s="12">
        <v>6034326</v>
      </c>
      <c r="E116" s="3">
        <f>VLOOKUP(B116,'2015'!$B$2:$G$338,6,FALSE)</f>
        <v>0</v>
      </c>
      <c r="F116" s="3">
        <f t="shared" si="1"/>
        <v>0</v>
      </c>
      <c r="G116" s="2">
        <f>SUM(F116,D116)</f>
        <v>6034326</v>
      </c>
    </row>
    <row r="117" spans="1:7" x14ac:dyDescent="0.2">
      <c r="A117">
        <v>2018</v>
      </c>
      <c r="B117" s="34">
        <v>5042</v>
      </c>
      <c r="C117" s="3" t="s">
        <v>123</v>
      </c>
      <c r="D117" s="12">
        <v>1785254</v>
      </c>
      <c r="E117" s="3">
        <f>VLOOKUP(B117,'2015'!$B$2:$G$338,6,FALSE)</f>
        <v>0</v>
      </c>
      <c r="F117" s="3">
        <f t="shared" si="1"/>
        <v>0</v>
      </c>
      <c r="G117" s="2">
        <f>SUM(F117,D117)</f>
        <v>1785254</v>
      </c>
    </row>
    <row r="118" spans="1:7" x14ac:dyDescent="0.2">
      <c r="A118">
        <v>2018</v>
      </c>
      <c r="B118" s="34">
        <v>5043</v>
      </c>
      <c r="C118" s="3" t="s">
        <v>124</v>
      </c>
      <c r="D118" s="12">
        <v>2543794</v>
      </c>
      <c r="E118" s="3">
        <f>VLOOKUP(B118,'2015'!$B$2:$G$338,6,FALSE)</f>
        <v>0</v>
      </c>
      <c r="F118" s="3">
        <f t="shared" si="1"/>
        <v>0</v>
      </c>
      <c r="G118" s="2">
        <f>SUM(F118,D118)</f>
        <v>2543794</v>
      </c>
    </row>
    <row r="119" spans="1:7" x14ac:dyDescent="0.2">
      <c r="A119">
        <v>2018</v>
      </c>
      <c r="B119" s="34">
        <v>5056</v>
      </c>
      <c r="C119" s="3" t="s">
        <v>125</v>
      </c>
      <c r="D119" s="12">
        <v>287338</v>
      </c>
      <c r="E119" s="3">
        <f>VLOOKUP(B119,'2015'!$B$2:$G$338,6,FALSE)</f>
        <v>0</v>
      </c>
      <c r="F119" s="3">
        <f t="shared" si="1"/>
        <v>0</v>
      </c>
      <c r="G119" s="2">
        <f>SUM(F119,D119)</f>
        <v>287338</v>
      </c>
    </row>
    <row r="120" spans="1:7" x14ac:dyDescent="0.2">
      <c r="A120">
        <v>2018</v>
      </c>
      <c r="B120" s="34">
        <v>5057</v>
      </c>
      <c r="C120" s="3" t="s">
        <v>126</v>
      </c>
      <c r="D120" s="12">
        <v>487793</v>
      </c>
      <c r="E120" s="3">
        <f>VLOOKUP(B120,'2015'!$B$2:$G$338,6,FALSE)</f>
        <v>0</v>
      </c>
      <c r="F120" s="3">
        <f t="shared" si="1"/>
        <v>0</v>
      </c>
      <c r="G120" s="2">
        <f>SUM(F120,D120)</f>
        <v>487793</v>
      </c>
    </row>
    <row r="121" spans="1:7" x14ac:dyDescent="0.2">
      <c r="A121">
        <v>2018</v>
      </c>
      <c r="B121" s="34">
        <v>5058</v>
      </c>
      <c r="C121" s="3" t="s">
        <v>127</v>
      </c>
      <c r="D121" s="12">
        <v>988604</v>
      </c>
      <c r="E121" s="3">
        <f>VLOOKUP(B121,'2015'!$B$2:$G$338,6,FALSE)</f>
        <v>0</v>
      </c>
      <c r="F121" s="3">
        <f t="shared" si="1"/>
        <v>0</v>
      </c>
      <c r="G121" s="2">
        <f>SUM(F121,D121)</f>
        <v>988604</v>
      </c>
    </row>
    <row r="122" spans="1:7" x14ac:dyDescent="0.2">
      <c r="A122">
        <v>2018</v>
      </c>
      <c r="B122" s="34">
        <v>5059</v>
      </c>
      <c r="C122" s="3" t="s">
        <v>128</v>
      </c>
      <c r="D122" s="12">
        <v>320568</v>
      </c>
      <c r="E122" s="3">
        <f>VLOOKUP(B122,'2015'!$B$2:$G$338,6,FALSE)</f>
        <v>0</v>
      </c>
      <c r="F122" s="3">
        <f t="shared" si="1"/>
        <v>0</v>
      </c>
      <c r="G122" s="2">
        <f>SUM(F122,D122)</f>
        <v>320568</v>
      </c>
    </row>
    <row r="123" spans="1:7" x14ac:dyDescent="0.2">
      <c r="A123">
        <v>2018</v>
      </c>
      <c r="B123" s="34">
        <v>5060</v>
      </c>
      <c r="C123" s="3" t="s">
        <v>129</v>
      </c>
      <c r="D123" s="12">
        <v>144210</v>
      </c>
      <c r="E123" s="3">
        <f>VLOOKUP(B123,'2015'!$B$2:$G$338,6,FALSE)</f>
        <v>0</v>
      </c>
      <c r="F123" s="3">
        <f t="shared" si="1"/>
        <v>0</v>
      </c>
      <c r="G123" s="2">
        <f>SUM(F123,D123)</f>
        <v>144210</v>
      </c>
    </row>
    <row r="124" spans="1:7" x14ac:dyDescent="0.2">
      <c r="A124">
        <v>2018</v>
      </c>
      <c r="B124" s="34">
        <v>5061</v>
      </c>
      <c r="C124" s="3" t="s">
        <v>130</v>
      </c>
      <c r="D124" s="12">
        <v>285456</v>
      </c>
      <c r="E124" s="3">
        <f>VLOOKUP(B124,'2015'!$B$2:$G$338,6,FALSE)</f>
        <v>0</v>
      </c>
      <c r="F124" s="3">
        <f t="shared" si="1"/>
        <v>0</v>
      </c>
      <c r="G124" s="2">
        <f>SUM(F124,D124)</f>
        <v>285456</v>
      </c>
    </row>
    <row r="125" spans="1:7" x14ac:dyDescent="0.2">
      <c r="A125">
        <v>2018</v>
      </c>
      <c r="B125" s="34">
        <v>5062</v>
      </c>
      <c r="C125" s="3" t="s">
        <v>131</v>
      </c>
      <c r="D125" s="12">
        <v>579205</v>
      </c>
      <c r="E125" s="3">
        <f>VLOOKUP(B125,'2015'!$B$2:$G$338,6,FALSE)</f>
        <v>0</v>
      </c>
      <c r="F125" s="3">
        <f t="shared" si="1"/>
        <v>0</v>
      </c>
      <c r="G125" s="2">
        <f>SUM(F125,D125)</f>
        <v>579205</v>
      </c>
    </row>
    <row r="126" spans="1:7" x14ac:dyDescent="0.2">
      <c r="A126">
        <v>2018</v>
      </c>
      <c r="B126" s="34">
        <v>5063</v>
      </c>
      <c r="C126" s="3" t="s">
        <v>132</v>
      </c>
      <c r="D126" s="12">
        <v>446095</v>
      </c>
      <c r="E126" s="3">
        <f>VLOOKUP(B126,'2015'!$B$2:$G$338,6,FALSE)</f>
        <v>0</v>
      </c>
      <c r="F126" s="3">
        <f t="shared" si="1"/>
        <v>0</v>
      </c>
      <c r="G126" s="2">
        <f>SUM(F126,D126)</f>
        <v>446095</v>
      </c>
    </row>
    <row r="127" spans="1:7" x14ac:dyDescent="0.2">
      <c r="A127">
        <v>2018</v>
      </c>
      <c r="B127" s="34">
        <v>5064</v>
      </c>
      <c r="C127" s="3" t="s">
        <v>133</v>
      </c>
      <c r="D127" s="12">
        <v>329832</v>
      </c>
      <c r="E127" s="3">
        <f>VLOOKUP(B127,'2015'!$B$2:$G$338,6,FALSE)</f>
        <v>0</v>
      </c>
      <c r="F127" s="3">
        <f t="shared" si="1"/>
        <v>0</v>
      </c>
      <c r="G127" s="2">
        <f>SUM(F127,D127)</f>
        <v>329832</v>
      </c>
    </row>
    <row r="128" spans="1:7" x14ac:dyDescent="0.2">
      <c r="A128">
        <v>2018</v>
      </c>
      <c r="B128" s="34">
        <v>5065</v>
      </c>
      <c r="C128" s="3" t="s">
        <v>134</v>
      </c>
      <c r="D128" s="12">
        <v>324437</v>
      </c>
      <c r="E128" s="3">
        <f>VLOOKUP(B128,'2015'!$B$2:$G$338,6,FALSE)</f>
        <v>0</v>
      </c>
      <c r="F128" s="3">
        <f t="shared" si="1"/>
        <v>0</v>
      </c>
      <c r="G128" s="2">
        <f>SUM(F128,D128)</f>
        <v>324437</v>
      </c>
    </row>
    <row r="129" spans="1:7" x14ac:dyDescent="0.2">
      <c r="A129">
        <v>2018</v>
      </c>
      <c r="B129" s="34">
        <v>5066</v>
      </c>
      <c r="C129" s="3" t="s">
        <v>135</v>
      </c>
      <c r="D129" s="12">
        <v>390673</v>
      </c>
      <c r="E129" s="3">
        <f>VLOOKUP(B129,'2015'!$B$2:$G$338,6,FALSE)</f>
        <v>0</v>
      </c>
      <c r="F129" s="3">
        <f t="shared" si="1"/>
        <v>0</v>
      </c>
      <c r="G129" s="2">
        <f>SUM(F129,D129)</f>
        <v>390673</v>
      </c>
    </row>
    <row r="130" spans="1:7" x14ac:dyDescent="0.2">
      <c r="A130">
        <v>2018</v>
      </c>
      <c r="B130" s="34">
        <v>5067</v>
      </c>
      <c r="C130" s="3" t="s">
        <v>136</v>
      </c>
      <c r="D130" s="12">
        <v>625945</v>
      </c>
      <c r="E130" s="3">
        <f>VLOOKUP(B130,'2015'!$B$2:$G$338,6,FALSE)</f>
        <v>0</v>
      </c>
      <c r="F130" s="3">
        <f t="shared" si="1"/>
        <v>0</v>
      </c>
      <c r="G130" s="2">
        <f>SUM(F130,D130)</f>
        <v>625945</v>
      </c>
    </row>
    <row r="131" spans="1:7" x14ac:dyDescent="0.2">
      <c r="A131">
        <v>2018</v>
      </c>
      <c r="B131" s="34">
        <v>5068</v>
      </c>
      <c r="C131" s="3" t="s">
        <v>137</v>
      </c>
      <c r="D131" s="12">
        <v>607210</v>
      </c>
      <c r="E131" s="3">
        <f>VLOOKUP(B131,'2015'!$B$2:$G$338,6,FALSE)</f>
        <v>0</v>
      </c>
      <c r="F131" s="3">
        <f t="shared" ref="F131:F194" si="2">E131*$D$341</f>
        <v>0</v>
      </c>
      <c r="G131" s="2">
        <f>SUM(F131,D131)</f>
        <v>607210</v>
      </c>
    </row>
    <row r="132" spans="1:7" x14ac:dyDescent="0.2">
      <c r="A132">
        <v>2018</v>
      </c>
      <c r="B132" s="34">
        <v>5069</v>
      </c>
      <c r="C132" s="3" t="s">
        <v>138</v>
      </c>
      <c r="D132" s="12">
        <v>524362</v>
      </c>
      <c r="E132" s="3">
        <f>VLOOKUP(B132,'2015'!$B$2:$G$338,6,FALSE)</f>
        <v>0</v>
      </c>
      <c r="F132" s="3">
        <f t="shared" si="2"/>
        <v>0</v>
      </c>
      <c r="G132" s="2">
        <f>SUM(F132,D132)</f>
        <v>524362</v>
      </c>
    </row>
    <row r="133" spans="1:7" x14ac:dyDescent="0.2">
      <c r="A133">
        <v>2018</v>
      </c>
      <c r="B133" s="34">
        <v>5070</v>
      </c>
      <c r="C133" s="3" t="s">
        <v>139</v>
      </c>
      <c r="D133" s="12">
        <v>1324833</v>
      </c>
      <c r="E133" s="3">
        <f>VLOOKUP(B133,'2015'!$B$2:$G$338,6,FALSE)</f>
        <v>0</v>
      </c>
      <c r="F133" s="3">
        <f t="shared" si="2"/>
        <v>0</v>
      </c>
      <c r="G133" s="2">
        <f>SUM(F133,D133)</f>
        <v>1324833</v>
      </c>
    </row>
    <row r="134" spans="1:7" x14ac:dyDescent="0.2">
      <c r="A134">
        <v>2018</v>
      </c>
      <c r="B134" s="34">
        <v>5072</v>
      </c>
      <c r="C134" s="3" t="s">
        <v>140</v>
      </c>
      <c r="D134" s="12">
        <v>189707</v>
      </c>
      <c r="E134" s="3">
        <f>VLOOKUP(B134,'2015'!$B$2:$G$338,6,FALSE)</f>
        <v>0</v>
      </c>
      <c r="F134" s="3">
        <f t="shared" si="2"/>
        <v>0</v>
      </c>
      <c r="G134" s="2">
        <f>SUM(F134,D134)</f>
        <v>189707</v>
      </c>
    </row>
    <row r="135" spans="1:7" x14ac:dyDescent="0.2">
      <c r="A135">
        <v>2018</v>
      </c>
      <c r="B135" s="34">
        <v>5073</v>
      </c>
      <c r="C135" s="3" t="s">
        <v>141</v>
      </c>
      <c r="D135" s="12">
        <v>342891</v>
      </c>
      <c r="E135" s="3">
        <f>VLOOKUP(B135,'2015'!$B$2:$G$338,6,FALSE)</f>
        <v>0</v>
      </c>
      <c r="F135" s="3">
        <f t="shared" si="2"/>
        <v>0</v>
      </c>
      <c r="G135" s="2">
        <f>SUM(F135,D135)</f>
        <v>342891</v>
      </c>
    </row>
    <row r="136" spans="1:7" x14ac:dyDescent="0.2">
      <c r="A136">
        <v>2018</v>
      </c>
      <c r="B136" s="34">
        <v>5076</v>
      </c>
      <c r="C136" s="3" t="s">
        <v>142</v>
      </c>
      <c r="D136" s="12">
        <v>176343</v>
      </c>
      <c r="E136" s="3">
        <f>VLOOKUP(B136,'2015'!$B$2:$G$338,6,FALSE)</f>
        <v>0</v>
      </c>
      <c r="F136" s="3">
        <f t="shared" si="2"/>
        <v>0</v>
      </c>
      <c r="G136" s="2">
        <f>SUM(F136,D136)</f>
        <v>176343</v>
      </c>
    </row>
    <row r="137" spans="1:7" x14ac:dyDescent="0.2">
      <c r="A137">
        <v>2018</v>
      </c>
      <c r="B137" s="34">
        <v>5077</v>
      </c>
      <c r="C137" s="3" t="s">
        <v>195</v>
      </c>
      <c r="D137" s="12">
        <v>465605</v>
      </c>
      <c r="E137" s="3">
        <f>VLOOKUP(B137,'2015'!$B$2:$G$338,6,FALSE)</f>
        <v>0</v>
      </c>
      <c r="F137" s="3">
        <f t="shared" si="2"/>
        <v>0</v>
      </c>
      <c r="G137" s="2">
        <f>SUM(F137,D137)</f>
        <v>465605</v>
      </c>
    </row>
    <row r="138" spans="1:7" x14ac:dyDescent="0.2">
      <c r="A138">
        <v>2018</v>
      </c>
      <c r="B138" s="34">
        <v>5078</v>
      </c>
      <c r="C138" s="3" t="s">
        <v>144</v>
      </c>
      <c r="D138" s="12">
        <v>364582</v>
      </c>
      <c r="E138" s="3">
        <f>VLOOKUP(B138,'2015'!$B$2:$G$338,6,FALSE)</f>
        <v>0</v>
      </c>
      <c r="F138" s="3">
        <f t="shared" si="2"/>
        <v>0</v>
      </c>
      <c r="G138" s="2">
        <f>SUM(F138,D138)</f>
        <v>364582</v>
      </c>
    </row>
    <row r="139" spans="1:7" x14ac:dyDescent="0.2">
      <c r="A139">
        <v>2018</v>
      </c>
      <c r="B139" s="34">
        <v>5079</v>
      </c>
      <c r="C139" s="3" t="s">
        <v>145</v>
      </c>
      <c r="D139" s="12">
        <v>411490</v>
      </c>
      <c r="E139" s="3">
        <f>VLOOKUP(B139,'2015'!$B$2:$G$338,6,FALSE)</f>
        <v>0</v>
      </c>
      <c r="F139" s="3">
        <f t="shared" si="2"/>
        <v>0</v>
      </c>
      <c r="G139" s="2">
        <f>SUM(F139,D139)</f>
        <v>411490</v>
      </c>
    </row>
    <row r="140" spans="1:7" x14ac:dyDescent="0.2">
      <c r="A140">
        <v>2018</v>
      </c>
      <c r="B140" s="34">
        <v>5080</v>
      </c>
      <c r="C140" s="3" t="s">
        <v>146</v>
      </c>
      <c r="D140" s="12">
        <v>425492</v>
      </c>
      <c r="E140" s="3">
        <f>VLOOKUP(B140,'2015'!$B$2:$G$338,6,FALSE)</f>
        <v>0</v>
      </c>
      <c r="F140" s="3">
        <f t="shared" si="2"/>
        <v>0</v>
      </c>
      <c r="G140" s="2">
        <f>SUM(F140,D140)</f>
        <v>425492</v>
      </c>
    </row>
    <row r="141" spans="1:7" x14ac:dyDescent="0.2">
      <c r="A141">
        <v>2018</v>
      </c>
      <c r="B141" s="34">
        <v>5081</v>
      </c>
      <c r="C141" s="3" t="s">
        <v>147</v>
      </c>
      <c r="D141" s="12">
        <v>362753</v>
      </c>
      <c r="E141" s="3">
        <f>VLOOKUP(B141,'2015'!$B$2:$G$338,6,FALSE)</f>
        <v>0</v>
      </c>
      <c r="F141" s="3">
        <f t="shared" si="2"/>
        <v>0</v>
      </c>
      <c r="G141" s="2">
        <f>SUM(F141,D141)</f>
        <v>362753</v>
      </c>
    </row>
    <row r="142" spans="1:7" x14ac:dyDescent="0.2">
      <c r="A142">
        <v>2018</v>
      </c>
      <c r="B142" s="34">
        <v>5082</v>
      </c>
      <c r="C142" s="3" t="s">
        <v>148</v>
      </c>
      <c r="D142" s="12">
        <v>114508</v>
      </c>
      <c r="E142" s="3">
        <f>VLOOKUP(B142,'2015'!$B$2:$G$338,6,FALSE)</f>
        <v>0</v>
      </c>
      <c r="F142" s="3">
        <f t="shared" si="2"/>
        <v>0</v>
      </c>
      <c r="G142" s="2">
        <f>SUM(F142,D142)</f>
        <v>114508</v>
      </c>
    </row>
    <row r="143" spans="1:7" x14ac:dyDescent="0.2">
      <c r="A143">
        <v>2018</v>
      </c>
      <c r="B143" s="34">
        <v>5083</v>
      </c>
      <c r="C143" s="3" t="s">
        <v>149</v>
      </c>
      <c r="D143" s="12">
        <v>265504</v>
      </c>
      <c r="E143" s="3">
        <f>VLOOKUP(B143,'2015'!$B$2:$G$338,6,FALSE)</f>
        <v>0</v>
      </c>
      <c r="F143" s="3">
        <f t="shared" si="2"/>
        <v>0</v>
      </c>
      <c r="G143" s="2">
        <f>SUM(F143,D143)</f>
        <v>265504</v>
      </c>
    </row>
    <row r="144" spans="1:7" x14ac:dyDescent="0.2">
      <c r="A144">
        <v>2018</v>
      </c>
      <c r="B144" s="34">
        <v>5087</v>
      </c>
      <c r="C144" s="3" t="s">
        <v>360</v>
      </c>
      <c r="D144" s="12">
        <v>291946</v>
      </c>
      <c r="E144" s="3">
        <f>VLOOKUP(B144,'2015'!$B$2:$G$338,6,FALSE)</f>
        <v>0</v>
      </c>
      <c r="F144" s="3">
        <f t="shared" si="2"/>
        <v>0</v>
      </c>
      <c r="G144" s="2">
        <f>SUM(F144,D144)</f>
        <v>291946</v>
      </c>
    </row>
    <row r="145" spans="1:7" x14ac:dyDescent="0.2">
      <c r="A145">
        <v>2018</v>
      </c>
      <c r="B145" s="34">
        <v>5088</v>
      </c>
      <c r="C145" s="3" t="s">
        <v>151</v>
      </c>
      <c r="D145" s="12">
        <v>546331</v>
      </c>
      <c r="E145" s="3">
        <f>VLOOKUP(B145,'2015'!$B$2:$G$338,6,FALSE)</f>
        <v>0</v>
      </c>
      <c r="F145" s="3">
        <f t="shared" si="2"/>
        <v>0</v>
      </c>
      <c r="G145" s="2">
        <f>SUM(F145,D145)</f>
        <v>546331</v>
      </c>
    </row>
    <row r="146" spans="1:7" x14ac:dyDescent="0.2">
      <c r="A146">
        <v>2018</v>
      </c>
      <c r="B146" s="34">
        <v>5089</v>
      </c>
      <c r="C146" s="3" t="s">
        <v>152</v>
      </c>
      <c r="D146" s="12">
        <v>292747</v>
      </c>
      <c r="E146" s="3">
        <f>VLOOKUP(B146,'2015'!$B$2:$G$338,6,FALSE)</f>
        <v>0</v>
      </c>
      <c r="F146" s="3">
        <f t="shared" si="2"/>
        <v>0</v>
      </c>
      <c r="G146" s="2">
        <f>SUM(F146,D146)</f>
        <v>292747</v>
      </c>
    </row>
    <row r="147" spans="1:7" x14ac:dyDescent="0.2">
      <c r="A147">
        <v>2018</v>
      </c>
      <c r="B147" s="34">
        <v>5090</v>
      </c>
      <c r="C147" s="3" t="s">
        <v>153</v>
      </c>
      <c r="D147" s="12">
        <v>233054</v>
      </c>
      <c r="E147" s="3">
        <f>VLOOKUP(B147,'2015'!$B$2:$G$338,6,FALSE)</f>
        <v>0</v>
      </c>
      <c r="F147" s="3">
        <f t="shared" si="2"/>
        <v>0</v>
      </c>
      <c r="G147" s="2">
        <f>SUM(F147,D147)</f>
        <v>233054</v>
      </c>
    </row>
    <row r="148" spans="1:7" x14ac:dyDescent="0.2">
      <c r="A148">
        <v>2018</v>
      </c>
      <c r="B148" s="34">
        <v>5092</v>
      </c>
      <c r="C148" s="3" t="s">
        <v>154</v>
      </c>
      <c r="D148" s="12">
        <v>1079614</v>
      </c>
      <c r="E148" s="3">
        <f>VLOOKUP(B148,'2015'!$B$2:$G$338,6,FALSE)</f>
        <v>0</v>
      </c>
      <c r="F148" s="3">
        <f t="shared" si="2"/>
        <v>0</v>
      </c>
      <c r="G148" s="2">
        <f>SUM(F148,D148)</f>
        <v>1079614</v>
      </c>
    </row>
    <row r="149" spans="1:7" x14ac:dyDescent="0.2">
      <c r="A149">
        <v>2018</v>
      </c>
      <c r="B149" s="34">
        <v>5093</v>
      </c>
      <c r="C149" s="3" t="s">
        <v>155</v>
      </c>
      <c r="D149" s="12">
        <v>248999</v>
      </c>
      <c r="E149" s="3">
        <f>VLOOKUP(B149,'2015'!$B$2:$G$338,6,FALSE)</f>
        <v>0</v>
      </c>
      <c r="F149" s="3">
        <f t="shared" si="2"/>
        <v>0</v>
      </c>
      <c r="G149" s="2">
        <f>SUM(F149,D149)</f>
        <v>248999</v>
      </c>
    </row>
    <row r="150" spans="1:7" x14ac:dyDescent="0.2">
      <c r="A150">
        <v>2018</v>
      </c>
      <c r="B150" s="34">
        <v>5095</v>
      </c>
      <c r="C150" s="3" t="s">
        <v>156</v>
      </c>
      <c r="D150" s="12">
        <v>430613</v>
      </c>
      <c r="E150" s="3">
        <f>VLOOKUP(B150,'2015'!$B$2:$G$338,6,FALSE)</f>
        <v>0</v>
      </c>
      <c r="F150" s="3">
        <f t="shared" si="2"/>
        <v>0</v>
      </c>
      <c r="G150" s="2">
        <f>SUM(F150,D150)</f>
        <v>430613</v>
      </c>
    </row>
    <row r="151" spans="1:7" x14ac:dyDescent="0.2">
      <c r="A151">
        <v>2018</v>
      </c>
      <c r="B151" s="34">
        <v>5096</v>
      </c>
      <c r="C151" s="3" t="s">
        <v>157</v>
      </c>
      <c r="D151" s="12">
        <v>432144</v>
      </c>
      <c r="E151" s="3">
        <f>VLOOKUP(B151,'2015'!$B$2:$G$338,6,FALSE)</f>
        <v>0</v>
      </c>
      <c r="F151" s="3">
        <f t="shared" si="2"/>
        <v>0</v>
      </c>
      <c r="G151" s="2">
        <f>SUM(F151,D151)</f>
        <v>432144</v>
      </c>
    </row>
    <row r="152" spans="1:7" x14ac:dyDescent="0.2">
      <c r="A152">
        <v>2018</v>
      </c>
      <c r="B152" s="34">
        <v>5098</v>
      </c>
      <c r="C152" s="3" t="s">
        <v>158</v>
      </c>
      <c r="D152" s="12">
        <v>231485</v>
      </c>
      <c r="E152" s="3">
        <f>VLOOKUP(B152,'2015'!$B$2:$G$338,6,FALSE)</f>
        <v>0</v>
      </c>
      <c r="F152" s="3">
        <f t="shared" si="2"/>
        <v>0</v>
      </c>
      <c r="G152" s="2">
        <f>SUM(F152,D152)</f>
        <v>231485</v>
      </c>
    </row>
    <row r="153" spans="1:7" x14ac:dyDescent="0.2">
      <c r="A153">
        <v>2018</v>
      </c>
      <c r="B153" s="34">
        <v>5099</v>
      </c>
      <c r="C153" s="3" t="s">
        <v>159</v>
      </c>
      <c r="D153" s="12">
        <v>783139</v>
      </c>
      <c r="E153" s="3">
        <f>VLOOKUP(B153,'2015'!$B$2:$G$338,6,FALSE)</f>
        <v>0</v>
      </c>
      <c r="F153" s="3">
        <f t="shared" si="2"/>
        <v>0</v>
      </c>
      <c r="G153" s="2">
        <f>SUM(F153,D153)</f>
        <v>783139</v>
      </c>
    </row>
    <row r="154" spans="1:7" x14ac:dyDescent="0.2">
      <c r="A154">
        <v>2018</v>
      </c>
      <c r="B154" s="34">
        <v>5100</v>
      </c>
      <c r="C154" s="3" t="s">
        <v>160</v>
      </c>
      <c r="D154" s="12">
        <v>904213</v>
      </c>
      <c r="E154" s="3">
        <f>VLOOKUP(B154,'2015'!$B$2:$G$338,6,FALSE)</f>
        <v>0</v>
      </c>
      <c r="F154" s="3">
        <f t="shared" si="2"/>
        <v>0</v>
      </c>
      <c r="G154" s="2">
        <f>SUM(F154,D154)</f>
        <v>904213</v>
      </c>
    </row>
    <row r="155" spans="1:7" x14ac:dyDescent="0.2">
      <c r="A155">
        <v>2018</v>
      </c>
      <c r="B155" s="34">
        <v>5101</v>
      </c>
      <c r="C155" s="3" t="s">
        <v>161</v>
      </c>
      <c r="D155" s="12">
        <v>577073</v>
      </c>
      <c r="E155" s="3">
        <f>VLOOKUP(B155,'2015'!$B$2:$G$338,6,FALSE)</f>
        <v>0</v>
      </c>
      <c r="F155" s="3">
        <f t="shared" si="2"/>
        <v>0</v>
      </c>
      <c r="G155" s="2">
        <f>SUM(F155,D155)</f>
        <v>577073</v>
      </c>
    </row>
    <row r="156" spans="1:7" x14ac:dyDescent="0.2">
      <c r="A156">
        <v>2018</v>
      </c>
      <c r="B156" s="34">
        <v>5102</v>
      </c>
      <c r="C156" s="3" t="s">
        <v>162</v>
      </c>
      <c r="D156" s="12">
        <v>1327107</v>
      </c>
      <c r="E156" s="3">
        <f>VLOOKUP(B156,'2015'!$B$2:$G$338,6,FALSE)</f>
        <v>0</v>
      </c>
      <c r="F156" s="3">
        <f t="shared" si="2"/>
        <v>0</v>
      </c>
      <c r="G156" s="2">
        <f>SUM(F156,D156)</f>
        <v>1327107</v>
      </c>
    </row>
    <row r="157" spans="1:7" x14ac:dyDescent="0.2">
      <c r="A157">
        <v>2018</v>
      </c>
      <c r="B157" s="34">
        <v>5103</v>
      </c>
      <c r="C157" s="3" t="s">
        <v>163</v>
      </c>
      <c r="D157" s="12">
        <v>742623</v>
      </c>
      <c r="E157" s="3">
        <f>VLOOKUP(B157,'2015'!$B$2:$G$338,6,FALSE)</f>
        <v>0</v>
      </c>
      <c r="F157" s="3">
        <f t="shared" si="2"/>
        <v>0</v>
      </c>
      <c r="G157" s="2">
        <f>SUM(F157,D157)</f>
        <v>742623</v>
      </c>
    </row>
    <row r="158" spans="1:7" x14ac:dyDescent="0.2">
      <c r="A158">
        <v>2018</v>
      </c>
      <c r="B158" s="34">
        <v>5104</v>
      </c>
      <c r="C158" s="3" t="s">
        <v>164</v>
      </c>
      <c r="D158" s="12">
        <v>278386</v>
      </c>
      <c r="E158" s="3">
        <f>VLOOKUP(B158,'2015'!$B$2:$G$338,6,FALSE)</f>
        <v>0</v>
      </c>
      <c r="F158" s="3">
        <f t="shared" si="2"/>
        <v>0</v>
      </c>
      <c r="G158" s="2">
        <f>SUM(F158,D158)</f>
        <v>278386</v>
      </c>
    </row>
    <row r="159" spans="1:7" x14ac:dyDescent="0.2">
      <c r="A159">
        <v>2018</v>
      </c>
      <c r="B159" s="34">
        <v>5105</v>
      </c>
      <c r="C159" s="3" t="s">
        <v>165</v>
      </c>
      <c r="D159" s="12">
        <v>192029</v>
      </c>
      <c r="E159" s="3">
        <f>VLOOKUP(B159,'2015'!$B$2:$G$338,6,FALSE)</f>
        <v>0</v>
      </c>
      <c r="F159" s="3">
        <f t="shared" si="2"/>
        <v>0</v>
      </c>
      <c r="G159" s="2">
        <f>SUM(F159,D159)</f>
        <v>192029</v>
      </c>
    </row>
    <row r="160" spans="1:7" x14ac:dyDescent="0.2">
      <c r="A160">
        <v>2018</v>
      </c>
      <c r="B160" s="34">
        <v>5106</v>
      </c>
      <c r="C160" s="3" t="s">
        <v>166</v>
      </c>
      <c r="D160" s="12">
        <v>631065</v>
      </c>
      <c r="E160" s="3">
        <f>VLOOKUP(B160,'2015'!$B$2:$G$338,6,FALSE)</f>
        <v>0</v>
      </c>
      <c r="F160" s="3">
        <f t="shared" si="2"/>
        <v>0</v>
      </c>
      <c r="G160" s="2">
        <f>SUM(F160,D160)</f>
        <v>631065</v>
      </c>
    </row>
    <row r="161" spans="1:7" x14ac:dyDescent="0.2">
      <c r="A161">
        <v>2018</v>
      </c>
      <c r="B161" s="34">
        <v>5116</v>
      </c>
      <c r="C161" s="3" t="s">
        <v>167</v>
      </c>
      <c r="D161" s="12">
        <v>866968</v>
      </c>
      <c r="E161" s="3">
        <f>VLOOKUP(B161,'2015'!$B$2:$G$338,6,FALSE)</f>
        <v>0</v>
      </c>
      <c r="F161" s="3">
        <f t="shared" si="2"/>
        <v>0</v>
      </c>
      <c r="G161" s="2">
        <f>SUM(F161,D161)</f>
        <v>866968</v>
      </c>
    </row>
    <row r="162" spans="1:7" x14ac:dyDescent="0.2">
      <c r="A162">
        <v>2018</v>
      </c>
      <c r="B162" s="34">
        <v>5117</v>
      </c>
      <c r="C162" s="3" t="s">
        <v>168</v>
      </c>
      <c r="D162" s="12">
        <v>157989</v>
      </c>
      <c r="E162" s="3">
        <f>VLOOKUP(B162,'2015'!$B$2:$G$338,6,FALSE)</f>
        <v>0</v>
      </c>
      <c r="F162" s="3">
        <f t="shared" si="2"/>
        <v>0</v>
      </c>
      <c r="G162" s="2">
        <f>SUM(F162,D162)</f>
        <v>157989</v>
      </c>
    </row>
    <row r="163" spans="1:7" x14ac:dyDescent="0.2">
      <c r="A163">
        <v>2018</v>
      </c>
      <c r="B163" s="34">
        <v>5118</v>
      </c>
      <c r="C163" s="3" t="s">
        <v>169</v>
      </c>
      <c r="D163" s="12">
        <v>1210402</v>
      </c>
      <c r="E163" s="3">
        <f>VLOOKUP(B163,'2015'!$B$2:$G$338,6,FALSE)</f>
        <v>0</v>
      </c>
      <c r="F163" s="3">
        <f t="shared" si="2"/>
        <v>0</v>
      </c>
      <c r="G163" s="2">
        <f>SUM(F163,D163)</f>
        <v>1210402</v>
      </c>
    </row>
    <row r="164" spans="1:7" x14ac:dyDescent="0.2">
      <c r="A164">
        <v>2018</v>
      </c>
      <c r="B164" s="34">
        <v>5119</v>
      </c>
      <c r="C164" s="3" t="s">
        <v>170</v>
      </c>
      <c r="D164" s="12">
        <v>231745</v>
      </c>
      <c r="E164" s="3">
        <f>VLOOKUP(B164,'2015'!$B$2:$G$338,6,FALSE)</f>
        <v>0</v>
      </c>
      <c r="F164" s="3">
        <f t="shared" si="2"/>
        <v>0</v>
      </c>
      <c r="G164" s="2">
        <f>SUM(F164,D164)</f>
        <v>231745</v>
      </c>
    </row>
    <row r="165" spans="1:7" x14ac:dyDescent="0.2">
      <c r="A165">
        <v>2018</v>
      </c>
      <c r="B165" s="34">
        <v>5120</v>
      </c>
      <c r="C165" s="3" t="s">
        <v>366</v>
      </c>
      <c r="D165" s="12">
        <v>5085225</v>
      </c>
      <c r="E165" s="3">
        <f>VLOOKUP(B165,'2015'!$B$2:$G$338,6,FALSE)</f>
        <v>0</v>
      </c>
      <c r="F165" s="3">
        <f t="shared" si="2"/>
        <v>0</v>
      </c>
      <c r="G165" s="2">
        <f>SUM(F165,D165)</f>
        <v>5085225</v>
      </c>
    </row>
    <row r="166" spans="1:7" x14ac:dyDescent="0.2">
      <c r="A166">
        <v>2018</v>
      </c>
      <c r="B166" s="34">
        <v>5122</v>
      </c>
      <c r="C166" s="3" t="s">
        <v>172</v>
      </c>
      <c r="D166" s="12">
        <v>212393</v>
      </c>
      <c r="E166" s="3">
        <f>VLOOKUP(B166,'2015'!$B$2:$G$338,6,FALSE)</f>
        <v>0</v>
      </c>
      <c r="F166" s="3">
        <f t="shared" si="2"/>
        <v>0</v>
      </c>
      <c r="G166" s="2">
        <f>SUM(F166,D166)</f>
        <v>212393</v>
      </c>
    </row>
    <row r="167" spans="1:7" x14ac:dyDescent="0.2">
      <c r="A167">
        <v>2018</v>
      </c>
      <c r="B167" s="34">
        <v>5123</v>
      </c>
      <c r="C167" s="3" t="s">
        <v>173</v>
      </c>
      <c r="D167" s="12">
        <v>203934</v>
      </c>
      <c r="E167" s="3">
        <f>VLOOKUP(B167,'2015'!$B$2:$G$338,6,FALSE)</f>
        <v>0</v>
      </c>
      <c r="F167" s="3">
        <f t="shared" si="2"/>
        <v>0</v>
      </c>
      <c r="G167" s="2">
        <f>SUM(F167,D167)</f>
        <v>203934</v>
      </c>
    </row>
    <row r="168" spans="1:7" x14ac:dyDescent="0.2">
      <c r="A168">
        <v>2018</v>
      </c>
      <c r="B168" s="34">
        <v>5125</v>
      </c>
      <c r="C168" s="3" t="s">
        <v>174</v>
      </c>
      <c r="D168" s="12">
        <v>1507180</v>
      </c>
      <c r="E168" s="3">
        <f>VLOOKUP(B168,'2015'!$B$2:$G$338,6,FALSE)</f>
        <v>0</v>
      </c>
      <c r="F168" s="3">
        <f t="shared" si="2"/>
        <v>0</v>
      </c>
      <c r="G168" s="2">
        <f>SUM(F168,D168)</f>
        <v>1507180</v>
      </c>
    </row>
    <row r="169" spans="1:7" x14ac:dyDescent="0.2">
      <c r="A169">
        <v>2018</v>
      </c>
      <c r="B169" s="34">
        <v>5127</v>
      </c>
      <c r="C169" s="3" t="s">
        <v>175</v>
      </c>
      <c r="D169" s="12">
        <v>185277</v>
      </c>
      <c r="E169" s="3">
        <f>VLOOKUP(B169,'2015'!$B$2:$G$338,6,FALSE)</f>
        <v>0</v>
      </c>
      <c r="F169" s="3">
        <f t="shared" si="2"/>
        <v>0</v>
      </c>
      <c r="G169" s="2">
        <f>SUM(F169,D169)</f>
        <v>185277</v>
      </c>
    </row>
    <row r="170" spans="1:7" x14ac:dyDescent="0.2">
      <c r="A170">
        <v>2018</v>
      </c>
      <c r="B170" s="34">
        <v>5128</v>
      </c>
      <c r="C170" s="3" t="s">
        <v>176</v>
      </c>
      <c r="D170" s="12">
        <v>278712</v>
      </c>
      <c r="E170" s="3">
        <f>VLOOKUP(B170,'2015'!$B$2:$G$338,6,FALSE)</f>
        <v>0</v>
      </c>
      <c r="F170" s="3">
        <f t="shared" si="2"/>
        <v>0</v>
      </c>
      <c r="G170" s="2">
        <f>SUM(F170,D170)</f>
        <v>278712</v>
      </c>
    </row>
    <row r="171" spans="1:7" x14ac:dyDescent="0.2">
      <c r="A171">
        <v>2018</v>
      </c>
      <c r="B171" s="34">
        <v>5129</v>
      </c>
      <c r="C171" s="3" t="s">
        <v>177</v>
      </c>
      <c r="D171" s="12">
        <v>771409</v>
      </c>
      <c r="E171" s="3">
        <f>VLOOKUP(B171,'2015'!$B$2:$G$338,6,FALSE)</f>
        <v>0</v>
      </c>
      <c r="F171" s="3">
        <f t="shared" si="2"/>
        <v>0</v>
      </c>
      <c r="G171" s="2">
        <f>SUM(F171,D171)</f>
        <v>771409</v>
      </c>
    </row>
    <row r="172" spans="1:7" x14ac:dyDescent="0.2">
      <c r="A172">
        <v>2018</v>
      </c>
      <c r="B172" s="34">
        <v>5130</v>
      </c>
      <c r="C172" s="3" t="s">
        <v>178</v>
      </c>
      <c r="D172" s="12">
        <v>519240</v>
      </c>
      <c r="E172" s="3">
        <f>VLOOKUP(B172,'2015'!$B$2:$G$338,6,FALSE)</f>
        <v>0</v>
      </c>
      <c r="F172" s="3">
        <f t="shared" si="2"/>
        <v>0</v>
      </c>
      <c r="G172" s="2">
        <f>SUM(F172,D172)</f>
        <v>519240</v>
      </c>
    </row>
    <row r="173" spans="1:7" x14ac:dyDescent="0.2">
      <c r="A173">
        <v>2018</v>
      </c>
      <c r="B173" s="34">
        <v>5131</v>
      </c>
      <c r="C173" s="3" t="s">
        <v>179</v>
      </c>
      <c r="D173" s="12">
        <v>726438</v>
      </c>
      <c r="E173" s="3">
        <f>VLOOKUP(B173,'2015'!$B$2:$G$338,6,FALSE)</f>
        <v>0</v>
      </c>
      <c r="F173" s="3">
        <f t="shared" si="2"/>
        <v>0</v>
      </c>
      <c r="G173" s="2">
        <f>SUM(F173,D173)</f>
        <v>726438</v>
      </c>
    </row>
    <row r="174" spans="1:7" x14ac:dyDescent="0.2">
      <c r="A174">
        <v>2018</v>
      </c>
      <c r="B174" s="34">
        <v>5132</v>
      </c>
      <c r="C174" s="3" t="s">
        <v>180</v>
      </c>
      <c r="D174" s="12">
        <v>2728655</v>
      </c>
      <c r="E174" s="3">
        <f>VLOOKUP(B174,'2015'!$B$2:$G$338,6,FALSE)</f>
        <v>0</v>
      </c>
      <c r="F174" s="3">
        <f t="shared" si="2"/>
        <v>0</v>
      </c>
      <c r="G174" s="2">
        <f>SUM(F174,D174)</f>
        <v>2728655</v>
      </c>
    </row>
    <row r="175" spans="1:7" x14ac:dyDescent="0.2">
      <c r="A175">
        <v>2018</v>
      </c>
      <c r="B175" s="34">
        <v>5133</v>
      </c>
      <c r="C175" s="3" t="s">
        <v>361</v>
      </c>
      <c r="D175" s="12">
        <v>272819</v>
      </c>
      <c r="E175" s="3">
        <f>VLOOKUP(B175,'2015'!$B$2:$G$338,6,FALSE)</f>
        <v>0</v>
      </c>
      <c r="F175" s="3">
        <f t="shared" si="2"/>
        <v>0</v>
      </c>
      <c r="G175" s="2">
        <f>SUM(F175,D175)</f>
        <v>272819</v>
      </c>
    </row>
    <row r="176" spans="1:7" x14ac:dyDescent="0.2">
      <c r="A176">
        <v>2018</v>
      </c>
      <c r="B176" s="34">
        <v>5134</v>
      </c>
      <c r="C176" s="3" t="s">
        <v>182</v>
      </c>
      <c r="D176" s="12">
        <v>237997</v>
      </c>
      <c r="E176" s="3">
        <f>VLOOKUP(B176,'2015'!$B$2:$G$338,6,FALSE)</f>
        <v>0</v>
      </c>
      <c r="F176" s="3">
        <f t="shared" si="2"/>
        <v>0</v>
      </c>
      <c r="G176" s="2">
        <f>SUM(F176,D176)</f>
        <v>237997</v>
      </c>
    </row>
    <row r="177" spans="1:7" x14ac:dyDescent="0.2">
      <c r="A177">
        <v>2018</v>
      </c>
      <c r="B177" s="34">
        <v>5135</v>
      </c>
      <c r="C177" s="3" t="s">
        <v>183</v>
      </c>
      <c r="D177" s="12">
        <v>1352224</v>
      </c>
      <c r="E177" s="3">
        <f>VLOOKUP(B177,'2015'!$B$2:$G$338,6,FALSE)</f>
        <v>0</v>
      </c>
      <c r="F177" s="3">
        <f t="shared" si="2"/>
        <v>0</v>
      </c>
      <c r="G177" s="2">
        <f>SUM(F177,D177)</f>
        <v>1352224</v>
      </c>
    </row>
    <row r="178" spans="1:7" x14ac:dyDescent="0.2">
      <c r="A178">
        <v>2018</v>
      </c>
      <c r="B178" s="34">
        <v>5137</v>
      </c>
      <c r="C178" s="3" t="s">
        <v>184</v>
      </c>
      <c r="D178" s="12">
        <v>223691</v>
      </c>
      <c r="E178" s="3">
        <f>VLOOKUP(B178,'2015'!$B$2:$G$338,6,FALSE)</f>
        <v>0</v>
      </c>
      <c r="F178" s="3">
        <f t="shared" si="2"/>
        <v>0</v>
      </c>
      <c r="G178" s="2">
        <f>SUM(F178,D178)</f>
        <v>223691</v>
      </c>
    </row>
    <row r="179" spans="1:7" x14ac:dyDescent="0.2">
      <c r="A179">
        <v>2018</v>
      </c>
      <c r="B179" s="34">
        <v>5138</v>
      </c>
      <c r="C179" s="3" t="s">
        <v>185</v>
      </c>
      <c r="D179" s="12">
        <v>204579</v>
      </c>
      <c r="E179" s="3">
        <f>VLOOKUP(B179,'2015'!$B$2:$G$338,6,FALSE)</f>
        <v>0</v>
      </c>
      <c r="F179" s="3">
        <f t="shared" si="2"/>
        <v>0</v>
      </c>
      <c r="G179" s="2">
        <f>SUM(F179,D179)</f>
        <v>204579</v>
      </c>
    </row>
    <row r="180" spans="1:7" x14ac:dyDescent="0.2">
      <c r="A180">
        <v>2018</v>
      </c>
      <c r="B180" s="34">
        <v>5140</v>
      </c>
      <c r="C180" s="3" t="s">
        <v>186</v>
      </c>
      <c r="D180" s="12">
        <v>273219</v>
      </c>
      <c r="E180" s="3">
        <f>VLOOKUP(B180,'2015'!$B$2:$G$338,6,FALSE)</f>
        <v>0</v>
      </c>
      <c r="F180" s="3">
        <f t="shared" si="2"/>
        <v>0</v>
      </c>
      <c r="G180" s="2">
        <f>SUM(F180,D180)</f>
        <v>273219</v>
      </c>
    </row>
    <row r="181" spans="1:7" x14ac:dyDescent="0.2">
      <c r="A181">
        <v>2018</v>
      </c>
      <c r="B181" s="34">
        <v>5141</v>
      </c>
      <c r="C181" s="3" t="s">
        <v>187</v>
      </c>
      <c r="D181" s="12">
        <v>378867</v>
      </c>
      <c r="E181" s="3">
        <f>VLOOKUP(B181,'2015'!$B$2:$G$338,6,FALSE)</f>
        <v>0</v>
      </c>
      <c r="F181" s="3">
        <f t="shared" si="2"/>
        <v>0</v>
      </c>
      <c r="G181" s="2">
        <f>SUM(F181,D181)</f>
        <v>378867</v>
      </c>
    </row>
    <row r="182" spans="1:7" x14ac:dyDescent="0.2">
      <c r="A182">
        <v>2018</v>
      </c>
      <c r="B182" s="34">
        <v>5142</v>
      </c>
      <c r="C182" s="3" t="s">
        <v>188</v>
      </c>
      <c r="D182" s="12">
        <v>85991</v>
      </c>
      <c r="E182" s="3">
        <f>VLOOKUP(B182,'2015'!$B$2:$G$338,6,FALSE)</f>
        <v>0</v>
      </c>
      <c r="F182" s="3">
        <f t="shared" si="2"/>
        <v>0</v>
      </c>
      <c r="G182" s="2">
        <f>SUM(F182,D182)</f>
        <v>85991</v>
      </c>
    </row>
    <row r="183" spans="1:7" x14ac:dyDescent="0.2">
      <c r="A183">
        <v>2018</v>
      </c>
      <c r="B183" s="34">
        <v>5143</v>
      </c>
      <c r="C183" s="3" t="s">
        <v>189</v>
      </c>
      <c r="D183" s="12">
        <v>517266</v>
      </c>
      <c r="E183" s="3">
        <f>VLOOKUP(B183,'2015'!$B$2:$G$338,6,FALSE)</f>
        <v>0</v>
      </c>
      <c r="F183" s="3">
        <f t="shared" si="2"/>
        <v>0</v>
      </c>
      <c r="G183" s="2">
        <f>SUM(F183,D183)</f>
        <v>517266</v>
      </c>
    </row>
    <row r="184" spans="1:7" x14ac:dyDescent="0.2">
      <c r="A184">
        <v>2018</v>
      </c>
      <c r="B184" s="34">
        <v>5144</v>
      </c>
      <c r="C184" s="3" t="s">
        <v>190</v>
      </c>
      <c r="D184" s="12">
        <v>243141</v>
      </c>
      <c r="E184" s="3">
        <f>VLOOKUP(B184,'2015'!$B$2:$G$338,6,FALSE)</f>
        <v>0</v>
      </c>
      <c r="F184" s="3">
        <f t="shared" si="2"/>
        <v>0</v>
      </c>
      <c r="G184" s="2">
        <f>SUM(F184,D184)</f>
        <v>243141</v>
      </c>
    </row>
    <row r="185" spans="1:7" x14ac:dyDescent="0.2">
      <c r="A185">
        <v>2018</v>
      </c>
      <c r="B185" s="34">
        <v>5145</v>
      </c>
      <c r="C185" s="3" t="s">
        <v>191</v>
      </c>
      <c r="D185" s="12">
        <v>237090</v>
      </c>
      <c r="E185" s="3">
        <f>VLOOKUP(B185,'2015'!$B$2:$G$338,6,FALSE)</f>
        <v>0</v>
      </c>
      <c r="F185" s="3">
        <f t="shared" si="2"/>
        <v>0</v>
      </c>
      <c r="G185" s="2">
        <f>SUM(F185,D185)</f>
        <v>237090</v>
      </c>
    </row>
    <row r="186" spans="1:7" x14ac:dyDescent="0.2">
      <c r="A186">
        <v>2018</v>
      </c>
      <c r="B186" s="34">
        <v>5147</v>
      </c>
      <c r="C186" s="3" t="s">
        <v>192</v>
      </c>
      <c r="D186" s="12">
        <v>5057103</v>
      </c>
      <c r="E186" s="3">
        <f>VLOOKUP(B186,'2015'!$B$2:$G$338,6,FALSE)</f>
        <v>0</v>
      </c>
      <c r="F186" s="3">
        <f t="shared" si="2"/>
        <v>0</v>
      </c>
      <c r="G186" s="2">
        <f>SUM(F186,D186)</f>
        <v>5057103</v>
      </c>
    </row>
    <row r="187" spans="1:7" x14ac:dyDescent="0.2">
      <c r="A187">
        <v>2018</v>
      </c>
      <c r="B187" s="34">
        <v>5148</v>
      </c>
      <c r="C187" s="3" t="s">
        <v>193</v>
      </c>
      <c r="D187" s="12">
        <v>514436</v>
      </c>
      <c r="E187" s="3">
        <f>VLOOKUP(B187,'2015'!$B$2:$G$338,6,FALSE)</f>
        <v>0</v>
      </c>
      <c r="F187" s="3">
        <f t="shared" si="2"/>
        <v>0</v>
      </c>
      <c r="G187" s="2">
        <f>SUM(F187,D187)</f>
        <v>514436</v>
      </c>
    </row>
    <row r="188" spans="1:7" x14ac:dyDescent="0.2">
      <c r="A188">
        <v>2018</v>
      </c>
      <c r="B188" s="34">
        <v>5149</v>
      </c>
      <c r="C188" s="3" t="s">
        <v>194</v>
      </c>
      <c r="D188" s="12">
        <v>1043442</v>
      </c>
      <c r="E188" s="3">
        <f>VLOOKUP(B188,'2015'!$B$2:$G$338,6,FALSE)</f>
        <v>0</v>
      </c>
      <c r="F188" s="3">
        <f t="shared" si="2"/>
        <v>0</v>
      </c>
      <c r="G188" s="2">
        <f>SUM(F188,D188)</f>
        <v>1043442</v>
      </c>
    </row>
    <row r="189" spans="1:7" x14ac:dyDescent="0.2">
      <c r="A189">
        <v>2018</v>
      </c>
      <c r="B189" s="34">
        <v>5150</v>
      </c>
      <c r="C189" s="3" t="s">
        <v>247</v>
      </c>
      <c r="D189" s="12">
        <v>892212</v>
      </c>
      <c r="E189" s="3">
        <f>VLOOKUP(B189,'2015'!$B$2:$G$338,6,FALSE)</f>
        <v>0</v>
      </c>
      <c r="F189" s="3">
        <f t="shared" si="2"/>
        <v>0</v>
      </c>
      <c r="G189" s="2">
        <f>SUM(F189,D189)</f>
        <v>892212</v>
      </c>
    </row>
    <row r="190" spans="1:7" x14ac:dyDescent="0.2">
      <c r="A190">
        <v>2018</v>
      </c>
      <c r="B190" s="34">
        <v>5151</v>
      </c>
      <c r="C190" s="3" t="s">
        <v>196</v>
      </c>
      <c r="D190" s="12">
        <v>319890</v>
      </c>
      <c r="E190" s="3">
        <f>VLOOKUP(B190,'2015'!$B$2:$G$338,6,FALSE)</f>
        <v>0</v>
      </c>
      <c r="F190" s="3">
        <f t="shared" si="2"/>
        <v>0</v>
      </c>
      <c r="G190" s="2">
        <f>SUM(F190,D190)</f>
        <v>319890</v>
      </c>
    </row>
    <row r="191" spans="1:7" x14ac:dyDescent="0.2">
      <c r="A191">
        <v>2018</v>
      </c>
      <c r="B191" s="34">
        <v>5152</v>
      </c>
      <c r="C191" s="3" t="s">
        <v>197</v>
      </c>
      <c r="D191" s="12">
        <v>514533</v>
      </c>
      <c r="E191" s="3">
        <f>VLOOKUP(B191,'2015'!$B$2:$G$338,6,FALSE)</f>
        <v>0</v>
      </c>
      <c r="F191" s="3">
        <f t="shared" si="2"/>
        <v>0</v>
      </c>
      <c r="G191" s="2">
        <f>SUM(F191,D191)</f>
        <v>514533</v>
      </c>
    </row>
    <row r="192" spans="1:7" x14ac:dyDescent="0.2">
      <c r="A192">
        <v>2018</v>
      </c>
      <c r="B192" s="34">
        <v>5153</v>
      </c>
      <c r="C192" s="3" t="s">
        <v>198</v>
      </c>
      <c r="D192" s="12">
        <v>140816</v>
      </c>
      <c r="E192" s="3">
        <f>VLOOKUP(B192,'2015'!$B$2:$G$338,6,FALSE)</f>
        <v>0</v>
      </c>
      <c r="F192" s="3">
        <f t="shared" si="2"/>
        <v>0</v>
      </c>
      <c r="G192" s="2">
        <f>SUM(F192,D192)</f>
        <v>140816</v>
      </c>
    </row>
    <row r="193" spans="1:7" x14ac:dyDescent="0.2">
      <c r="A193">
        <v>2018</v>
      </c>
      <c r="B193" s="34">
        <v>5154</v>
      </c>
      <c r="C193" s="3" t="s">
        <v>199</v>
      </c>
      <c r="D193" s="12">
        <v>182008</v>
      </c>
      <c r="E193" s="3">
        <f>VLOOKUP(B193,'2015'!$B$2:$G$338,6,FALSE)</f>
        <v>0</v>
      </c>
      <c r="F193" s="3">
        <f t="shared" si="2"/>
        <v>0</v>
      </c>
      <c r="G193" s="2">
        <f>SUM(F193,D193)</f>
        <v>182008</v>
      </c>
    </row>
    <row r="194" spans="1:7" x14ac:dyDescent="0.2">
      <c r="A194">
        <v>2018</v>
      </c>
      <c r="B194" s="34">
        <v>5155</v>
      </c>
      <c r="C194" s="3" t="s">
        <v>200</v>
      </c>
      <c r="D194" s="12">
        <v>200160</v>
      </c>
      <c r="E194" s="3">
        <f>VLOOKUP(B194,'2015'!$B$2:$G$338,6,FALSE)</f>
        <v>0</v>
      </c>
      <c r="F194" s="3">
        <f t="shared" si="2"/>
        <v>0</v>
      </c>
      <c r="G194" s="2">
        <f>SUM(F194,D194)</f>
        <v>200160</v>
      </c>
    </row>
    <row r="195" spans="1:7" x14ac:dyDescent="0.2">
      <c r="A195">
        <v>2018</v>
      </c>
      <c r="B195" s="34">
        <v>5156</v>
      </c>
      <c r="C195" s="3" t="s">
        <v>201</v>
      </c>
      <c r="D195" s="12">
        <v>600074</v>
      </c>
      <c r="E195" s="3">
        <f>VLOOKUP(B195,'2015'!$B$2:$G$338,6,FALSE)</f>
        <v>0</v>
      </c>
      <c r="F195" s="3">
        <f t="shared" ref="F195:F258" si="3">E195*$D$341</f>
        <v>0</v>
      </c>
      <c r="G195" s="2">
        <f>SUM(F195,D195)</f>
        <v>600074</v>
      </c>
    </row>
    <row r="196" spans="1:7" x14ac:dyDescent="0.2">
      <c r="A196">
        <v>2018</v>
      </c>
      <c r="B196" s="34">
        <v>5157</v>
      </c>
      <c r="C196" s="3" t="s">
        <v>202</v>
      </c>
      <c r="D196" s="12">
        <v>142019</v>
      </c>
      <c r="E196" s="3">
        <f>VLOOKUP(B196,'2015'!$B$2:$G$338,6,FALSE)</f>
        <v>0</v>
      </c>
      <c r="F196" s="3">
        <f t="shared" si="3"/>
        <v>0</v>
      </c>
      <c r="G196" s="2">
        <f>SUM(F196,D196)</f>
        <v>142019</v>
      </c>
    </row>
    <row r="197" spans="1:7" x14ac:dyDescent="0.2">
      <c r="A197">
        <v>2018</v>
      </c>
      <c r="B197" s="34">
        <v>5158</v>
      </c>
      <c r="C197" s="3" t="s">
        <v>203</v>
      </c>
      <c r="D197" s="12">
        <v>665214</v>
      </c>
      <c r="E197" s="3">
        <f>VLOOKUP(B197,'2015'!$B$2:$G$338,6,FALSE)</f>
        <v>0</v>
      </c>
      <c r="F197" s="3">
        <f t="shared" si="3"/>
        <v>0</v>
      </c>
      <c r="G197" s="2">
        <f>SUM(F197,D197)</f>
        <v>665214</v>
      </c>
    </row>
    <row r="198" spans="1:7" x14ac:dyDescent="0.2">
      <c r="A198">
        <v>2018</v>
      </c>
      <c r="B198" s="34">
        <v>5159</v>
      </c>
      <c r="C198" s="3" t="s">
        <v>204</v>
      </c>
      <c r="D198" s="12">
        <v>979468</v>
      </c>
      <c r="E198" s="3">
        <f>VLOOKUP(B198,'2015'!$B$2:$G$338,6,FALSE)</f>
        <v>0</v>
      </c>
      <c r="F198" s="3">
        <f t="shared" si="3"/>
        <v>0</v>
      </c>
      <c r="G198" s="2">
        <f>SUM(F198,D198)</f>
        <v>979468</v>
      </c>
    </row>
    <row r="199" spans="1:7" x14ac:dyDescent="0.2">
      <c r="A199">
        <v>2018</v>
      </c>
      <c r="B199" s="34">
        <v>5160</v>
      </c>
      <c r="C199" s="3" t="s">
        <v>205</v>
      </c>
      <c r="D199" s="12">
        <v>286583</v>
      </c>
      <c r="E199" s="3">
        <f>VLOOKUP(B199,'2015'!$B$2:$G$338,6,FALSE)</f>
        <v>0</v>
      </c>
      <c r="F199" s="3">
        <f t="shared" si="3"/>
        <v>0</v>
      </c>
      <c r="G199" s="2">
        <f>SUM(F199,D199)</f>
        <v>286583</v>
      </c>
    </row>
    <row r="200" spans="1:7" x14ac:dyDescent="0.2">
      <c r="A200">
        <v>2018</v>
      </c>
      <c r="B200" s="34">
        <v>5161</v>
      </c>
      <c r="C200" s="3" t="s">
        <v>206</v>
      </c>
      <c r="D200" s="12">
        <v>396633</v>
      </c>
      <c r="E200" s="3">
        <f>VLOOKUP(B200,'2015'!$B$2:$G$338,6,FALSE)</f>
        <v>0</v>
      </c>
      <c r="F200" s="3">
        <f t="shared" si="3"/>
        <v>0</v>
      </c>
      <c r="G200" s="2">
        <f>SUM(F200,D200)</f>
        <v>396633</v>
      </c>
    </row>
    <row r="201" spans="1:7" x14ac:dyDescent="0.2">
      <c r="A201">
        <v>2018</v>
      </c>
      <c r="B201" s="34">
        <v>5162</v>
      </c>
      <c r="C201" s="3" t="s">
        <v>207</v>
      </c>
      <c r="D201" s="12">
        <v>397659</v>
      </c>
      <c r="E201" s="3">
        <f>VLOOKUP(B201,'2015'!$B$2:$G$338,6,FALSE)</f>
        <v>0</v>
      </c>
      <c r="F201" s="3">
        <f t="shared" si="3"/>
        <v>0</v>
      </c>
      <c r="G201" s="2">
        <f>SUM(F201,D201)</f>
        <v>397659</v>
      </c>
    </row>
    <row r="202" spans="1:7" x14ac:dyDescent="0.2">
      <c r="A202">
        <v>2018</v>
      </c>
      <c r="B202" s="34">
        <v>5163</v>
      </c>
      <c r="C202" s="3" t="s">
        <v>208</v>
      </c>
      <c r="D202" s="12">
        <v>251666</v>
      </c>
      <c r="E202" s="3">
        <f>VLOOKUP(B202,'2015'!$B$2:$G$338,6,FALSE)</f>
        <v>0</v>
      </c>
      <c r="F202" s="3">
        <f t="shared" si="3"/>
        <v>0</v>
      </c>
      <c r="G202" s="2">
        <f>SUM(F202,D202)</f>
        <v>251666</v>
      </c>
    </row>
    <row r="203" spans="1:7" x14ac:dyDescent="0.2">
      <c r="A203">
        <v>2018</v>
      </c>
      <c r="B203" s="34">
        <v>5164</v>
      </c>
      <c r="C203" s="3" t="s">
        <v>209</v>
      </c>
      <c r="D203" s="12">
        <v>270776</v>
      </c>
      <c r="E203" s="3">
        <f>VLOOKUP(B203,'2015'!$B$2:$G$338,6,FALSE)</f>
        <v>0</v>
      </c>
      <c r="F203" s="3">
        <f t="shared" si="3"/>
        <v>0</v>
      </c>
      <c r="G203" s="2">
        <f>SUM(F203,D203)</f>
        <v>270776</v>
      </c>
    </row>
    <row r="204" spans="1:7" x14ac:dyDescent="0.2">
      <c r="A204">
        <v>2018</v>
      </c>
      <c r="B204" s="34">
        <v>5166</v>
      </c>
      <c r="C204" s="3" t="s">
        <v>210</v>
      </c>
      <c r="D204" s="12">
        <v>193911</v>
      </c>
      <c r="E204" s="3">
        <f>VLOOKUP(B204,'2015'!$B$2:$G$338,6,FALSE)</f>
        <v>0</v>
      </c>
      <c r="F204" s="3">
        <f t="shared" si="3"/>
        <v>0</v>
      </c>
      <c r="G204" s="2">
        <f>SUM(F204,D204)</f>
        <v>193911</v>
      </c>
    </row>
    <row r="205" spans="1:7" x14ac:dyDescent="0.2">
      <c r="A205">
        <v>2018</v>
      </c>
      <c r="B205" s="34">
        <v>5167</v>
      </c>
      <c r="C205" s="3" t="s">
        <v>211</v>
      </c>
      <c r="D205" s="12">
        <v>508289</v>
      </c>
      <c r="E205" s="3">
        <f>VLOOKUP(B205,'2015'!$B$2:$G$338,6,FALSE)</f>
        <v>0</v>
      </c>
      <c r="F205" s="3">
        <f t="shared" si="3"/>
        <v>0</v>
      </c>
      <c r="G205" s="2">
        <f>SUM(F205,D205)</f>
        <v>508289</v>
      </c>
    </row>
    <row r="206" spans="1:7" x14ac:dyDescent="0.2">
      <c r="A206">
        <v>2018</v>
      </c>
      <c r="B206" s="34">
        <v>5168</v>
      </c>
      <c r="C206" s="3" t="s">
        <v>212</v>
      </c>
      <c r="D206" s="12">
        <v>525473</v>
      </c>
      <c r="E206" s="3">
        <f>VLOOKUP(B206,'2015'!$B$2:$G$338,6,FALSE)</f>
        <v>0</v>
      </c>
      <c r="F206" s="3">
        <f t="shared" si="3"/>
        <v>0</v>
      </c>
      <c r="G206" s="2">
        <f>SUM(F206,D206)</f>
        <v>525473</v>
      </c>
    </row>
    <row r="207" spans="1:7" x14ac:dyDescent="0.2">
      <c r="A207">
        <v>2018</v>
      </c>
      <c r="B207" s="34">
        <v>5171</v>
      </c>
      <c r="C207" s="3" t="s">
        <v>213</v>
      </c>
      <c r="D207" s="12">
        <v>244021</v>
      </c>
      <c r="E207" s="3">
        <f>VLOOKUP(B207,'2015'!$B$2:$G$338,6,FALSE)</f>
        <v>0</v>
      </c>
      <c r="F207" s="3">
        <f t="shared" si="3"/>
        <v>0</v>
      </c>
      <c r="G207" s="2">
        <f>SUM(F207,D207)</f>
        <v>244021</v>
      </c>
    </row>
    <row r="208" spans="1:7" x14ac:dyDescent="0.2">
      <c r="A208">
        <v>2018</v>
      </c>
      <c r="B208" s="34">
        <v>5172</v>
      </c>
      <c r="C208" s="3" t="s">
        <v>214</v>
      </c>
      <c r="D208" s="12">
        <v>662752</v>
      </c>
      <c r="E208" s="3">
        <f>VLOOKUP(B208,'2015'!$B$2:$G$338,6,FALSE)</f>
        <v>0</v>
      </c>
      <c r="F208" s="3">
        <f t="shared" si="3"/>
        <v>0</v>
      </c>
      <c r="G208" s="2">
        <f>SUM(F208,D208)</f>
        <v>662752</v>
      </c>
    </row>
    <row r="209" spans="1:7" x14ac:dyDescent="0.2">
      <c r="A209">
        <v>2018</v>
      </c>
      <c r="B209" s="34">
        <v>5173</v>
      </c>
      <c r="C209" s="3" t="s">
        <v>215</v>
      </c>
      <c r="D209" s="12">
        <v>365522</v>
      </c>
      <c r="E209" s="3">
        <f>VLOOKUP(B209,'2015'!$B$2:$G$338,6,FALSE)</f>
        <v>0</v>
      </c>
      <c r="F209" s="3">
        <f t="shared" si="3"/>
        <v>0</v>
      </c>
      <c r="G209" s="2">
        <f>SUM(F209,D209)</f>
        <v>365522</v>
      </c>
    </row>
    <row r="210" spans="1:7" x14ac:dyDescent="0.2">
      <c r="A210">
        <v>2018</v>
      </c>
      <c r="B210" s="34">
        <v>5174</v>
      </c>
      <c r="C210" s="3" t="s">
        <v>216</v>
      </c>
      <c r="D210" s="12">
        <v>527860</v>
      </c>
      <c r="E210" s="3">
        <f>VLOOKUP(B210,'2015'!$B$2:$G$338,6,FALSE)</f>
        <v>0</v>
      </c>
      <c r="F210" s="3">
        <f t="shared" si="3"/>
        <v>0</v>
      </c>
      <c r="G210" s="2">
        <f>SUM(F210,D210)</f>
        <v>527860</v>
      </c>
    </row>
    <row r="211" spans="1:7" x14ac:dyDescent="0.2">
      <c r="A211">
        <v>2018</v>
      </c>
      <c r="B211" s="34">
        <v>5175</v>
      </c>
      <c r="C211" s="3" t="s">
        <v>217</v>
      </c>
      <c r="D211" s="12">
        <v>281933</v>
      </c>
      <c r="E211" s="3">
        <f>VLOOKUP(B211,'2015'!$B$2:$G$338,6,FALSE)</f>
        <v>0</v>
      </c>
      <c r="F211" s="3">
        <f t="shared" si="3"/>
        <v>0</v>
      </c>
      <c r="G211" s="2">
        <f>SUM(F211,D211)</f>
        <v>281933</v>
      </c>
    </row>
    <row r="212" spans="1:7" x14ac:dyDescent="0.2">
      <c r="A212">
        <v>2018</v>
      </c>
      <c r="B212" s="34">
        <v>5176</v>
      </c>
      <c r="C212" s="3" t="s">
        <v>218</v>
      </c>
      <c r="D212" s="12">
        <v>2028004</v>
      </c>
      <c r="E212" s="3">
        <f>VLOOKUP(B212,'2015'!$B$2:$G$338,6,FALSE)</f>
        <v>0</v>
      </c>
      <c r="F212" s="3">
        <f t="shared" si="3"/>
        <v>0</v>
      </c>
      <c r="G212" s="2">
        <f>SUM(F212,D212)</f>
        <v>2028004</v>
      </c>
    </row>
    <row r="213" spans="1:7" x14ac:dyDescent="0.2">
      <c r="A213">
        <v>2018</v>
      </c>
      <c r="B213" s="34">
        <v>5185</v>
      </c>
      <c r="C213" s="3" t="s">
        <v>219</v>
      </c>
      <c r="D213" s="12">
        <v>18383425</v>
      </c>
      <c r="E213" s="3">
        <f>VLOOKUP(B213,'2015'!$B$2:$G$338,6,FALSE)</f>
        <v>0</v>
      </c>
      <c r="F213" s="3">
        <f t="shared" si="3"/>
        <v>0</v>
      </c>
      <c r="G213" s="2">
        <f>SUM(F213,D213)</f>
        <v>18383425</v>
      </c>
    </row>
    <row r="214" spans="1:7" x14ac:dyDescent="0.2">
      <c r="A214">
        <v>2018</v>
      </c>
      <c r="B214" s="34">
        <v>5186</v>
      </c>
      <c r="C214" s="3" t="s">
        <v>220</v>
      </c>
      <c r="D214" s="12">
        <v>353984</v>
      </c>
      <c r="E214" s="3">
        <f>VLOOKUP(B214,'2015'!$B$2:$G$338,6,FALSE)</f>
        <v>0</v>
      </c>
      <c r="F214" s="3">
        <f t="shared" si="3"/>
        <v>0</v>
      </c>
      <c r="G214" s="2">
        <f>SUM(F214,D214)</f>
        <v>353984</v>
      </c>
    </row>
    <row r="215" spans="1:7" x14ac:dyDescent="0.2">
      <c r="A215">
        <v>2018</v>
      </c>
      <c r="B215" s="34">
        <v>5187</v>
      </c>
      <c r="C215" s="3" t="s">
        <v>221</v>
      </c>
      <c r="D215" s="12">
        <v>426859</v>
      </c>
      <c r="E215" s="3">
        <f>VLOOKUP(B215,'2015'!$B$2:$G$338,6,FALSE)</f>
        <v>0</v>
      </c>
      <c r="F215" s="3">
        <f t="shared" si="3"/>
        <v>0</v>
      </c>
      <c r="G215" s="2">
        <f>SUM(F215,D215)</f>
        <v>426859</v>
      </c>
    </row>
    <row r="216" spans="1:7" x14ac:dyDescent="0.2">
      <c r="A216">
        <v>2018</v>
      </c>
      <c r="B216" s="34">
        <v>5188</v>
      </c>
      <c r="C216" s="3" t="s">
        <v>222</v>
      </c>
      <c r="D216" s="12">
        <v>218062</v>
      </c>
      <c r="E216" s="3">
        <f>VLOOKUP(B216,'2015'!$B$2:$G$338,6,FALSE)</f>
        <v>0</v>
      </c>
      <c r="F216" s="3">
        <f t="shared" si="3"/>
        <v>0</v>
      </c>
      <c r="G216" s="2">
        <f>SUM(F216,D216)</f>
        <v>218062</v>
      </c>
    </row>
    <row r="217" spans="1:7" x14ac:dyDescent="0.2">
      <c r="A217">
        <v>2018</v>
      </c>
      <c r="B217" s="34">
        <v>5189</v>
      </c>
      <c r="C217" s="3" t="s">
        <v>223</v>
      </c>
      <c r="D217" s="12">
        <v>85175</v>
      </c>
      <c r="E217" s="3">
        <f>VLOOKUP(B217,'2015'!$B$2:$G$338,6,FALSE)</f>
        <v>0</v>
      </c>
      <c r="F217" s="3">
        <f t="shared" si="3"/>
        <v>0</v>
      </c>
      <c r="G217" s="2">
        <f>SUM(F217,D217)</f>
        <v>85175</v>
      </c>
    </row>
    <row r="218" spans="1:7" x14ac:dyDescent="0.2">
      <c r="A218">
        <v>2018</v>
      </c>
      <c r="B218" s="34">
        <v>5190</v>
      </c>
      <c r="C218" s="3" t="s">
        <v>224</v>
      </c>
      <c r="D218" s="12">
        <v>246508</v>
      </c>
      <c r="E218" s="3">
        <f>VLOOKUP(B218,'2015'!$B$2:$G$338,6,FALSE)</f>
        <v>0</v>
      </c>
      <c r="F218" s="3">
        <f t="shared" si="3"/>
        <v>0</v>
      </c>
      <c r="G218" s="2">
        <f>SUM(F218,D218)</f>
        <v>246508</v>
      </c>
    </row>
    <row r="219" spans="1:7" x14ac:dyDescent="0.2">
      <c r="A219">
        <v>2018</v>
      </c>
      <c r="B219" s="34">
        <v>5191</v>
      </c>
      <c r="C219" s="3" t="s">
        <v>225</v>
      </c>
      <c r="D219" s="12">
        <v>845128</v>
      </c>
      <c r="E219" s="3">
        <f>VLOOKUP(B219,'2015'!$B$2:$G$338,6,FALSE)</f>
        <v>0</v>
      </c>
      <c r="F219" s="3">
        <f t="shared" si="3"/>
        <v>0</v>
      </c>
      <c r="G219" s="2">
        <f>SUM(F219,D219)</f>
        <v>845128</v>
      </c>
    </row>
    <row r="220" spans="1:7" x14ac:dyDescent="0.2">
      <c r="A220">
        <v>2018</v>
      </c>
      <c r="B220" s="34">
        <v>5192</v>
      </c>
      <c r="C220" s="3" t="s">
        <v>226</v>
      </c>
      <c r="D220" s="12">
        <v>286468</v>
      </c>
      <c r="E220" s="3">
        <f>VLOOKUP(B220,'2015'!$B$2:$G$338,6,FALSE)</f>
        <v>0</v>
      </c>
      <c r="F220" s="3">
        <f t="shared" si="3"/>
        <v>0</v>
      </c>
      <c r="G220" s="2">
        <f>SUM(F220,D220)</f>
        <v>286468</v>
      </c>
    </row>
    <row r="221" spans="1:7" x14ac:dyDescent="0.2">
      <c r="A221">
        <v>2018</v>
      </c>
      <c r="B221" s="34">
        <v>5193</v>
      </c>
      <c r="C221" s="3" t="s">
        <v>227</v>
      </c>
      <c r="D221" s="12">
        <v>1402575</v>
      </c>
      <c r="E221" s="3">
        <f>VLOOKUP(B221,'2015'!$B$2:$G$338,6,FALSE)</f>
        <v>0</v>
      </c>
      <c r="F221" s="3">
        <f t="shared" si="3"/>
        <v>0</v>
      </c>
      <c r="G221" s="2">
        <f>SUM(F221,D221)</f>
        <v>1402575</v>
      </c>
    </row>
    <row r="222" spans="1:7" x14ac:dyDescent="0.2">
      <c r="A222">
        <v>2018</v>
      </c>
      <c r="B222" s="34">
        <v>5195</v>
      </c>
      <c r="C222" s="3" t="s">
        <v>228</v>
      </c>
      <c r="D222" s="12">
        <v>664406</v>
      </c>
      <c r="E222" s="3">
        <f>VLOOKUP(B222,'2015'!$B$2:$G$338,6,FALSE)</f>
        <v>0</v>
      </c>
      <c r="F222" s="3">
        <f t="shared" si="3"/>
        <v>0</v>
      </c>
      <c r="G222" s="2">
        <f>SUM(F222,D222)</f>
        <v>664406</v>
      </c>
    </row>
    <row r="223" spans="1:7" x14ac:dyDescent="0.2">
      <c r="A223">
        <v>2018</v>
      </c>
      <c r="B223" s="34">
        <v>5196</v>
      </c>
      <c r="C223" s="3" t="s">
        <v>229</v>
      </c>
      <c r="D223" s="12">
        <v>468608</v>
      </c>
      <c r="E223" s="3">
        <f>VLOOKUP(B223,'2015'!$B$2:$G$338,6,FALSE)</f>
        <v>0</v>
      </c>
      <c r="F223" s="3">
        <f t="shared" si="3"/>
        <v>0</v>
      </c>
      <c r="G223" s="2">
        <f>SUM(F223,D223)</f>
        <v>468608</v>
      </c>
    </row>
    <row r="224" spans="1:7" x14ac:dyDescent="0.2">
      <c r="A224">
        <v>2018</v>
      </c>
      <c r="B224" s="34">
        <v>5197</v>
      </c>
      <c r="C224" s="3" t="s">
        <v>230</v>
      </c>
      <c r="D224" s="12">
        <v>254601</v>
      </c>
      <c r="E224" s="3">
        <f>VLOOKUP(B224,'2015'!$B$2:$G$338,6,FALSE)</f>
        <v>0</v>
      </c>
      <c r="F224" s="3">
        <f t="shared" si="3"/>
        <v>0</v>
      </c>
      <c r="G224" s="2">
        <f>SUM(F224,D224)</f>
        <v>254601</v>
      </c>
    </row>
    <row r="225" spans="1:7" x14ac:dyDescent="0.2">
      <c r="A225">
        <v>2018</v>
      </c>
      <c r="B225" s="34">
        <v>5198</v>
      </c>
      <c r="C225" s="3" t="s">
        <v>231</v>
      </c>
      <c r="D225" s="12">
        <v>1349888</v>
      </c>
      <c r="E225" s="3">
        <f>VLOOKUP(B225,'2015'!$B$2:$G$338,6,FALSE)</f>
        <v>0</v>
      </c>
      <c r="F225" s="3">
        <f t="shared" si="3"/>
        <v>0</v>
      </c>
      <c r="G225" s="2">
        <f>SUM(F225,D225)</f>
        <v>1349888</v>
      </c>
    </row>
    <row r="226" spans="1:7" x14ac:dyDescent="0.2">
      <c r="A226">
        <v>2018</v>
      </c>
      <c r="B226" s="34">
        <v>5199</v>
      </c>
      <c r="C226" s="3" t="s">
        <v>232</v>
      </c>
      <c r="D226" s="12">
        <v>362111</v>
      </c>
      <c r="E226" s="3">
        <f>VLOOKUP(B226,'2015'!$B$2:$G$338,6,FALSE)</f>
        <v>0</v>
      </c>
      <c r="F226" s="3">
        <f t="shared" si="3"/>
        <v>0</v>
      </c>
      <c r="G226" s="2">
        <f>SUM(F226,D226)</f>
        <v>362111</v>
      </c>
    </row>
    <row r="227" spans="1:7" x14ac:dyDescent="0.2">
      <c r="A227">
        <v>2018</v>
      </c>
      <c r="B227" s="34">
        <v>5200</v>
      </c>
      <c r="C227" s="3" t="s">
        <v>233</v>
      </c>
      <c r="D227" s="12">
        <v>857080</v>
      </c>
      <c r="E227" s="3">
        <f>VLOOKUP(B227,'2015'!$B$2:$G$338,6,FALSE)</f>
        <v>0</v>
      </c>
      <c r="F227" s="3">
        <f t="shared" si="3"/>
        <v>0</v>
      </c>
      <c r="G227" s="2">
        <f>SUM(F227,D227)</f>
        <v>857080</v>
      </c>
    </row>
    <row r="228" spans="1:7" x14ac:dyDescent="0.2">
      <c r="A228">
        <v>2018</v>
      </c>
      <c r="B228" s="34">
        <v>5201</v>
      </c>
      <c r="C228" s="3" t="s">
        <v>234</v>
      </c>
      <c r="D228" s="12">
        <v>195572</v>
      </c>
      <c r="E228" s="3">
        <f>VLOOKUP(B228,'2015'!$B$2:$G$338,6,FALSE)</f>
        <v>0</v>
      </c>
      <c r="F228" s="3">
        <f t="shared" si="3"/>
        <v>0</v>
      </c>
      <c r="G228" s="2">
        <f>SUM(F228,D228)</f>
        <v>195572</v>
      </c>
    </row>
    <row r="229" spans="1:7" x14ac:dyDescent="0.2">
      <c r="A229">
        <v>2018</v>
      </c>
      <c r="B229" s="34">
        <v>5202</v>
      </c>
      <c r="C229" s="3" t="s">
        <v>235</v>
      </c>
      <c r="D229" s="12">
        <v>222883</v>
      </c>
      <c r="E229" s="3">
        <f>VLOOKUP(B229,'2015'!$B$2:$G$338,6,FALSE)</f>
        <v>0</v>
      </c>
      <c r="F229" s="3">
        <f t="shared" si="3"/>
        <v>0</v>
      </c>
      <c r="G229" s="2">
        <f>SUM(F229,D229)</f>
        <v>222883</v>
      </c>
    </row>
    <row r="230" spans="1:7" x14ac:dyDescent="0.2">
      <c r="A230">
        <v>2018</v>
      </c>
      <c r="B230" s="34">
        <v>5203</v>
      </c>
      <c r="C230" s="3" t="s">
        <v>236</v>
      </c>
      <c r="D230" s="12">
        <v>659911</v>
      </c>
      <c r="E230" s="3">
        <f>VLOOKUP(B230,'2015'!$B$2:$G$338,6,FALSE)</f>
        <v>0</v>
      </c>
      <c r="F230" s="3">
        <f t="shared" si="3"/>
        <v>0</v>
      </c>
      <c r="G230" s="2">
        <f>SUM(F230,D230)</f>
        <v>659911</v>
      </c>
    </row>
    <row r="231" spans="1:7" x14ac:dyDescent="0.2">
      <c r="A231">
        <v>2018</v>
      </c>
      <c r="B231" s="34">
        <v>5204</v>
      </c>
      <c r="C231" s="3" t="s">
        <v>237</v>
      </c>
      <c r="D231" s="12">
        <v>941238</v>
      </c>
      <c r="E231" s="3">
        <f>VLOOKUP(B231,'2015'!$B$2:$G$338,6,FALSE)</f>
        <v>0</v>
      </c>
      <c r="F231" s="3">
        <f t="shared" si="3"/>
        <v>0</v>
      </c>
      <c r="G231" s="2">
        <f>SUM(F231,D231)</f>
        <v>941238</v>
      </c>
    </row>
    <row r="232" spans="1:7" x14ac:dyDescent="0.2">
      <c r="A232">
        <v>2018</v>
      </c>
      <c r="B232" s="34">
        <v>5205</v>
      </c>
      <c r="C232" s="3" t="s">
        <v>238</v>
      </c>
      <c r="D232" s="12">
        <v>387610</v>
      </c>
      <c r="E232" s="3">
        <f>VLOOKUP(B232,'2015'!$B$2:$G$338,6,FALSE)</f>
        <v>0</v>
      </c>
      <c r="F232" s="3">
        <f t="shared" si="3"/>
        <v>0</v>
      </c>
      <c r="G232" s="2">
        <f>SUM(F232,D232)</f>
        <v>387610</v>
      </c>
    </row>
    <row r="233" spans="1:7" x14ac:dyDescent="0.2">
      <c r="A233">
        <v>2018</v>
      </c>
      <c r="B233" s="34">
        <v>5206</v>
      </c>
      <c r="C233" s="3" t="s">
        <v>239</v>
      </c>
      <c r="D233" s="12">
        <v>432956</v>
      </c>
      <c r="E233" s="3">
        <f>VLOOKUP(B233,'2015'!$B$2:$G$338,6,FALSE)</f>
        <v>0</v>
      </c>
      <c r="F233" s="3">
        <f t="shared" si="3"/>
        <v>0</v>
      </c>
      <c r="G233" s="2">
        <f>SUM(F233,D233)</f>
        <v>432956</v>
      </c>
    </row>
    <row r="234" spans="1:7" x14ac:dyDescent="0.2">
      <c r="A234">
        <v>2018</v>
      </c>
      <c r="B234" s="34">
        <v>5207</v>
      </c>
      <c r="C234" s="3" t="s">
        <v>240</v>
      </c>
      <c r="D234" s="12">
        <v>939285</v>
      </c>
      <c r="E234" s="3">
        <f>VLOOKUP(B234,'2015'!$B$2:$G$338,6,FALSE)</f>
        <v>0</v>
      </c>
      <c r="F234" s="3">
        <f t="shared" si="3"/>
        <v>0</v>
      </c>
      <c r="G234" s="2">
        <f>SUM(F234,D234)</f>
        <v>939285</v>
      </c>
    </row>
    <row r="235" spans="1:7" x14ac:dyDescent="0.2">
      <c r="A235">
        <v>2018</v>
      </c>
      <c r="B235" s="34">
        <v>5208</v>
      </c>
      <c r="C235" s="3" t="s">
        <v>241</v>
      </c>
      <c r="D235" s="12">
        <v>271669</v>
      </c>
      <c r="E235" s="3">
        <f>VLOOKUP(B235,'2015'!$B$2:$G$338,6,FALSE)</f>
        <v>0</v>
      </c>
      <c r="F235" s="3">
        <f t="shared" si="3"/>
        <v>0</v>
      </c>
      <c r="G235" s="2">
        <f>SUM(F235,D235)</f>
        <v>271669</v>
      </c>
    </row>
    <row r="236" spans="1:7" x14ac:dyDescent="0.2">
      <c r="A236">
        <v>2018</v>
      </c>
      <c r="B236" s="34">
        <v>5210</v>
      </c>
      <c r="C236" s="3" t="s">
        <v>242</v>
      </c>
      <c r="D236" s="12">
        <v>3020635</v>
      </c>
      <c r="E236" s="3">
        <f>VLOOKUP(B236,'2015'!$B$2:$G$338,6,FALSE)</f>
        <v>0</v>
      </c>
      <c r="F236" s="3">
        <f t="shared" si="3"/>
        <v>0</v>
      </c>
      <c r="G236" s="2">
        <f>SUM(F236,D236)</f>
        <v>3020635</v>
      </c>
    </row>
    <row r="237" spans="1:7" x14ac:dyDescent="0.2">
      <c r="A237">
        <v>2018</v>
      </c>
      <c r="B237" s="34">
        <v>5212</v>
      </c>
      <c r="C237" s="3" t="s">
        <v>243</v>
      </c>
      <c r="D237" s="12">
        <v>690844</v>
      </c>
      <c r="E237" s="3">
        <f>VLOOKUP(B237,'2015'!$B$2:$G$338,6,FALSE)</f>
        <v>0</v>
      </c>
      <c r="F237" s="3">
        <f t="shared" si="3"/>
        <v>0</v>
      </c>
      <c r="G237" s="2">
        <f>SUM(F237,D237)</f>
        <v>690844</v>
      </c>
    </row>
    <row r="238" spans="1:7" x14ac:dyDescent="0.2">
      <c r="A238">
        <v>2018</v>
      </c>
      <c r="B238" s="34">
        <v>5213</v>
      </c>
      <c r="C238" s="3" t="s">
        <v>244</v>
      </c>
      <c r="D238" s="12">
        <v>543774</v>
      </c>
      <c r="E238" s="3">
        <f>VLOOKUP(B238,'2015'!$B$2:$G$338,6,FALSE)</f>
        <v>0</v>
      </c>
      <c r="F238" s="3">
        <f t="shared" si="3"/>
        <v>0</v>
      </c>
      <c r="G238" s="2">
        <f>SUM(F238,D238)</f>
        <v>543774</v>
      </c>
    </row>
    <row r="239" spans="1:7" x14ac:dyDescent="0.2">
      <c r="A239">
        <v>2018</v>
      </c>
      <c r="B239" s="34">
        <v>5214</v>
      </c>
      <c r="C239" s="3" t="s">
        <v>245</v>
      </c>
      <c r="D239" s="12">
        <v>2669653</v>
      </c>
      <c r="E239" s="3">
        <f>VLOOKUP(B239,'2015'!$B$2:$G$338,6,FALSE)</f>
        <v>0</v>
      </c>
      <c r="F239" s="3">
        <f t="shared" si="3"/>
        <v>0</v>
      </c>
      <c r="G239" s="2">
        <f>SUM(F239,D239)</f>
        <v>2669653</v>
      </c>
    </row>
    <row r="240" spans="1:7" x14ac:dyDescent="0.2">
      <c r="A240">
        <v>2018</v>
      </c>
      <c r="B240" s="34">
        <v>5215</v>
      </c>
      <c r="C240" s="3" t="s">
        <v>246</v>
      </c>
      <c r="D240" s="12">
        <v>675311</v>
      </c>
      <c r="E240" s="3">
        <f>VLOOKUP(B240,'2015'!$B$2:$G$338,6,FALSE)</f>
        <v>0</v>
      </c>
      <c r="F240" s="3">
        <f t="shared" si="3"/>
        <v>0</v>
      </c>
      <c r="G240" s="2">
        <f>SUM(F240,D240)</f>
        <v>675311</v>
      </c>
    </row>
    <row r="241" spans="1:7" x14ac:dyDescent="0.2">
      <c r="A241">
        <v>2018</v>
      </c>
      <c r="B241" s="34">
        <v>5216</v>
      </c>
      <c r="C241" s="3" t="s">
        <v>299</v>
      </c>
      <c r="D241" s="12">
        <v>910769</v>
      </c>
      <c r="E241" s="3">
        <f>VLOOKUP(B241,'2015'!$B$2:$G$338,6,FALSE)</f>
        <v>0</v>
      </c>
      <c r="F241" s="3">
        <f t="shared" si="3"/>
        <v>0</v>
      </c>
      <c r="G241" s="2">
        <f>SUM(F241,D241)</f>
        <v>910769</v>
      </c>
    </row>
    <row r="242" spans="1:7" x14ac:dyDescent="0.2">
      <c r="A242">
        <v>2018</v>
      </c>
      <c r="B242" s="34">
        <v>5217</v>
      </c>
      <c r="C242" s="3" t="s">
        <v>248</v>
      </c>
      <c r="D242" s="12">
        <v>101958</v>
      </c>
      <c r="E242" s="3">
        <f>VLOOKUP(B242,'2015'!$B$2:$G$338,6,FALSE)</f>
        <v>0</v>
      </c>
      <c r="F242" s="3">
        <f t="shared" si="3"/>
        <v>0</v>
      </c>
      <c r="G242" s="2">
        <f>SUM(F242,D242)</f>
        <v>101958</v>
      </c>
    </row>
    <row r="243" spans="1:7" x14ac:dyDescent="0.2">
      <c r="A243">
        <v>2018</v>
      </c>
      <c r="B243" s="34">
        <v>5218</v>
      </c>
      <c r="C243" s="3" t="s">
        <v>249</v>
      </c>
      <c r="D243" s="12">
        <v>261360</v>
      </c>
      <c r="E243" s="3">
        <f>VLOOKUP(B243,'2015'!$B$2:$G$338,6,FALSE)</f>
        <v>0</v>
      </c>
      <c r="F243" s="3">
        <f t="shared" si="3"/>
        <v>0</v>
      </c>
      <c r="G243" s="2">
        <f>SUM(F243,D243)</f>
        <v>261360</v>
      </c>
    </row>
    <row r="244" spans="1:7" x14ac:dyDescent="0.2">
      <c r="A244">
        <v>2018</v>
      </c>
      <c r="B244" s="34">
        <v>5219</v>
      </c>
      <c r="C244" s="3" t="s">
        <v>250</v>
      </c>
      <c r="D244" s="12">
        <v>190147</v>
      </c>
      <c r="E244" s="3">
        <f>VLOOKUP(B244,'2015'!$B$2:$G$338,6,FALSE)</f>
        <v>0</v>
      </c>
      <c r="F244" s="3">
        <f t="shared" si="3"/>
        <v>0</v>
      </c>
      <c r="G244" s="2">
        <f>SUM(F244,D244)</f>
        <v>190147</v>
      </c>
    </row>
    <row r="245" spans="1:7" x14ac:dyDescent="0.2">
      <c r="A245">
        <v>2018</v>
      </c>
      <c r="B245" s="34">
        <v>5220</v>
      </c>
      <c r="C245" s="3" t="s">
        <v>251</v>
      </c>
      <c r="D245" s="12">
        <v>365273</v>
      </c>
      <c r="E245" s="3">
        <f>VLOOKUP(B245,'2015'!$B$2:$G$338,6,FALSE)</f>
        <v>0</v>
      </c>
      <c r="F245" s="3">
        <f t="shared" si="3"/>
        <v>0</v>
      </c>
      <c r="G245" s="2">
        <f>SUM(F245,D245)</f>
        <v>365273</v>
      </c>
    </row>
    <row r="246" spans="1:7" x14ac:dyDescent="0.2">
      <c r="A246">
        <v>2018</v>
      </c>
      <c r="B246" s="34">
        <v>5222</v>
      </c>
      <c r="C246" s="3" t="s">
        <v>252</v>
      </c>
      <c r="D246" s="12">
        <v>341262</v>
      </c>
      <c r="E246" s="3">
        <f>VLOOKUP(B246,'2015'!$B$2:$G$338,6,FALSE)</f>
        <v>0</v>
      </c>
      <c r="F246" s="3">
        <f t="shared" si="3"/>
        <v>0</v>
      </c>
      <c r="G246" s="2">
        <f>SUM(F246,D246)</f>
        <v>341262</v>
      </c>
    </row>
    <row r="247" spans="1:7" x14ac:dyDescent="0.2">
      <c r="A247">
        <v>2018</v>
      </c>
      <c r="B247" s="34">
        <v>5223</v>
      </c>
      <c r="C247" s="3" t="s">
        <v>253</v>
      </c>
      <c r="D247" s="12">
        <v>339761</v>
      </c>
      <c r="E247" s="3">
        <f>VLOOKUP(B247,'2015'!$B$2:$G$338,6,FALSE)</f>
        <v>0</v>
      </c>
      <c r="F247" s="3">
        <f t="shared" si="3"/>
        <v>0</v>
      </c>
      <c r="G247" s="2">
        <f>SUM(F247,D247)</f>
        <v>339761</v>
      </c>
    </row>
    <row r="248" spans="1:7" x14ac:dyDescent="0.2">
      <c r="A248">
        <v>2018</v>
      </c>
      <c r="B248" s="34">
        <v>5226</v>
      </c>
      <c r="C248" s="3" t="s">
        <v>254</v>
      </c>
      <c r="D248" s="12">
        <v>180879</v>
      </c>
      <c r="E248" s="3">
        <f>VLOOKUP(B248,'2015'!$B$2:$G$338,6,FALSE)</f>
        <v>0</v>
      </c>
      <c r="F248" s="3">
        <f t="shared" si="3"/>
        <v>0</v>
      </c>
      <c r="G248" s="2">
        <f>SUM(F248,D248)</f>
        <v>180879</v>
      </c>
    </row>
    <row r="249" spans="1:7" x14ac:dyDescent="0.2">
      <c r="A249">
        <v>2018</v>
      </c>
      <c r="B249" s="34">
        <v>5227</v>
      </c>
      <c r="C249" s="3" t="s">
        <v>255</v>
      </c>
      <c r="D249" s="12">
        <v>66798</v>
      </c>
      <c r="E249" s="3">
        <f>VLOOKUP(B249,'2015'!$B$2:$G$338,6,FALSE)</f>
        <v>0</v>
      </c>
      <c r="F249" s="3">
        <f t="shared" si="3"/>
        <v>0</v>
      </c>
      <c r="G249" s="2">
        <f>SUM(F249,D249)</f>
        <v>66798</v>
      </c>
    </row>
    <row r="250" spans="1:7" x14ac:dyDescent="0.2">
      <c r="A250">
        <v>2018</v>
      </c>
      <c r="B250" s="34">
        <v>5228</v>
      </c>
      <c r="C250" s="3" t="s">
        <v>256</v>
      </c>
      <c r="D250" s="12">
        <v>136146</v>
      </c>
      <c r="E250" s="3">
        <f>VLOOKUP(B250,'2015'!$B$2:$G$338,6,FALSE)</f>
        <v>0</v>
      </c>
      <c r="F250" s="3">
        <f t="shared" si="3"/>
        <v>0</v>
      </c>
      <c r="G250" s="2">
        <f>SUM(F250,D250)</f>
        <v>136146</v>
      </c>
    </row>
    <row r="251" spans="1:7" x14ac:dyDescent="0.2">
      <c r="A251">
        <v>2018</v>
      </c>
      <c r="B251" s="34">
        <v>5229</v>
      </c>
      <c r="C251" s="3" t="s">
        <v>257</v>
      </c>
      <c r="D251" s="12">
        <v>324353</v>
      </c>
      <c r="E251" s="3">
        <f>VLOOKUP(B251,'2015'!$B$2:$G$338,6,FALSE)</f>
        <v>0</v>
      </c>
      <c r="F251" s="3">
        <f t="shared" si="3"/>
        <v>0</v>
      </c>
      <c r="G251" s="2">
        <f>SUM(F251,D251)</f>
        <v>324353</v>
      </c>
    </row>
    <row r="252" spans="1:7" x14ac:dyDescent="0.2">
      <c r="A252">
        <v>2018</v>
      </c>
      <c r="B252" s="34">
        <v>5230</v>
      </c>
      <c r="C252" s="3" t="s">
        <v>258</v>
      </c>
      <c r="D252" s="12">
        <v>656968</v>
      </c>
      <c r="E252" s="3">
        <f>VLOOKUP(B252,'2015'!$B$2:$G$338,6,FALSE)</f>
        <v>0</v>
      </c>
      <c r="F252" s="3">
        <f t="shared" si="3"/>
        <v>0</v>
      </c>
      <c r="G252" s="2">
        <f>SUM(F252,D252)</f>
        <v>656968</v>
      </c>
    </row>
    <row r="253" spans="1:7" x14ac:dyDescent="0.2">
      <c r="A253">
        <v>2018</v>
      </c>
      <c r="B253" s="34">
        <v>5231</v>
      </c>
      <c r="C253" s="3" t="s">
        <v>259</v>
      </c>
      <c r="D253" s="12">
        <v>1475507</v>
      </c>
      <c r="E253" s="3">
        <f>VLOOKUP(B253,'2015'!$B$2:$G$338,6,FALSE)</f>
        <v>0</v>
      </c>
      <c r="F253" s="3">
        <f t="shared" si="3"/>
        <v>0</v>
      </c>
      <c r="G253" s="2">
        <f>SUM(F253,D253)</f>
        <v>1475507</v>
      </c>
    </row>
    <row r="254" spans="1:7" x14ac:dyDescent="0.2">
      <c r="A254">
        <v>2018</v>
      </c>
      <c r="B254" s="34">
        <v>5233</v>
      </c>
      <c r="C254" s="3" t="s">
        <v>260</v>
      </c>
      <c r="D254" s="12">
        <v>4541633</v>
      </c>
      <c r="E254" s="3">
        <f>VLOOKUP(B254,'2015'!$B$2:$G$338,6,FALSE)</f>
        <v>0</v>
      </c>
      <c r="F254" s="3">
        <f t="shared" si="3"/>
        <v>0</v>
      </c>
      <c r="G254" s="2">
        <f>SUM(F254,D254)</f>
        <v>4541633</v>
      </c>
    </row>
    <row r="255" spans="1:7" x14ac:dyDescent="0.2">
      <c r="A255">
        <v>2018</v>
      </c>
      <c r="B255" s="34">
        <v>5235</v>
      </c>
      <c r="C255" s="3" t="s">
        <v>261</v>
      </c>
      <c r="D255" s="12">
        <v>215577</v>
      </c>
      <c r="E255" s="3">
        <f>VLOOKUP(B255,'2015'!$B$2:$G$338,6,FALSE)</f>
        <v>0</v>
      </c>
      <c r="F255" s="3">
        <f t="shared" si="3"/>
        <v>0</v>
      </c>
      <c r="G255" s="2">
        <f>SUM(F255,D255)</f>
        <v>215577</v>
      </c>
    </row>
    <row r="256" spans="1:7" x14ac:dyDescent="0.2">
      <c r="A256">
        <v>2018</v>
      </c>
      <c r="B256" s="34">
        <v>5236</v>
      </c>
      <c r="C256" s="3" t="s">
        <v>262</v>
      </c>
      <c r="D256" s="12">
        <v>480230</v>
      </c>
      <c r="E256" s="3">
        <f>VLOOKUP(B256,'2015'!$B$2:$G$338,6,FALSE)</f>
        <v>0</v>
      </c>
      <c r="F256" s="3">
        <f t="shared" si="3"/>
        <v>0</v>
      </c>
      <c r="G256" s="2">
        <f>SUM(F256,D256)</f>
        <v>480230</v>
      </c>
    </row>
    <row r="257" spans="1:7" x14ac:dyDescent="0.2">
      <c r="A257">
        <v>2018</v>
      </c>
      <c r="B257" s="34">
        <v>5237</v>
      </c>
      <c r="C257" s="3" t="s">
        <v>263</v>
      </c>
      <c r="D257" s="12">
        <v>204376</v>
      </c>
      <c r="E257" s="3">
        <f>VLOOKUP(B257,'2015'!$B$2:$G$338,6,FALSE)</f>
        <v>0</v>
      </c>
      <c r="F257" s="3">
        <f t="shared" si="3"/>
        <v>0</v>
      </c>
      <c r="G257" s="2">
        <f>SUM(F257,D257)</f>
        <v>204376</v>
      </c>
    </row>
    <row r="258" spans="1:7" x14ac:dyDescent="0.2">
      <c r="A258">
        <v>2018</v>
      </c>
      <c r="B258" s="34">
        <v>5238</v>
      </c>
      <c r="C258" s="3" t="s">
        <v>264</v>
      </c>
      <c r="D258" s="12">
        <v>194932</v>
      </c>
      <c r="E258" s="3">
        <f>VLOOKUP(B258,'2015'!$B$2:$G$338,6,FALSE)</f>
        <v>0</v>
      </c>
      <c r="F258" s="3">
        <f t="shared" si="3"/>
        <v>0</v>
      </c>
      <c r="G258" s="2">
        <f>SUM(F258,D258)</f>
        <v>194932</v>
      </c>
    </row>
    <row r="259" spans="1:7" x14ac:dyDescent="0.2">
      <c r="A259">
        <v>2018</v>
      </c>
      <c r="B259" s="34">
        <v>5239</v>
      </c>
      <c r="C259" s="3" t="s">
        <v>265</v>
      </c>
      <c r="D259" s="12">
        <v>157856</v>
      </c>
      <c r="E259" s="3">
        <f>VLOOKUP(B259,'2015'!$B$2:$G$338,6,FALSE)</f>
        <v>0</v>
      </c>
      <c r="F259" s="3">
        <f t="shared" ref="F259:F322" si="4">E259*$D$341</f>
        <v>0</v>
      </c>
      <c r="G259" s="2">
        <f>SUM(F259,D259)</f>
        <v>157856</v>
      </c>
    </row>
    <row r="260" spans="1:7" x14ac:dyDescent="0.2">
      <c r="A260">
        <v>2018</v>
      </c>
      <c r="B260" s="34">
        <v>5240</v>
      </c>
      <c r="C260" s="3" t="s">
        <v>266</v>
      </c>
      <c r="D260" s="12">
        <v>346622</v>
      </c>
      <c r="E260" s="3">
        <f>VLOOKUP(B260,'2015'!$B$2:$G$338,6,FALSE)</f>
        <v>0</v>
      </c>
      <c r="F260" s="3">
        <f t="shared" si="4"/>
        <v>0</v>
      </c>
      <c r="G260" s="2">
        <f>SUM(F260,D260)</f>
        <v>346622</v>
      </c>
    </row>
    <row r="261" spans="1:7" x14ac:dyDescent="0.2">
      <c r="A261">
        <v>2018</v>
      </c>
      <c r="B261" s="34">
        <v>5241</v>
      </c>
      <c r="C261" s="3" t="s">
        <v>362</v>
      </c>
      <c r="D261" s="12">
        <v>217226</v>
      </c>
      <c r="E261" s="3">
        <f>VLOOKUP(B261,'2015'!$B$2:$G$338,6,FALSE)</f>
        <v>0</v>
      </c>
      <c r="F261" s="3">
        <f t="shared" si="4"/>
        <v>0</v>
      </c>
      <c r="G261" s="2">
        <f>SUM(F261,D261)</f>
        <v>217226</v>
      </c>
    </row>
    <row r="262" spans="1:7" x14ac:dyDescent="0.2">
      <c r="A262">
        <v>2018</v>
      </c>
      <c r="B262" s="34">
        <v>5250</v>
      </c>
      <c r="C262" s="3" t="s">
        <v>268</v>
      </c>
      <c r="D262" s="12">
        <v>518878</v>
      </c>
      <c r="E262" s="3">
        <f>VLOOKUP(B262,'2015'!$B$2:$G$338,6,FALSE)</f>
        <v>0</v>
      </c>
      <c r="F262" s="3">
        <f t="shared" si="4"/>
        <v>0</v>
      </c>
      <c r="G262" s="2">
        <f>SUM(F262,D262)</f>
        <v>518878</v>
      </c>
    </row>
    <row r="263" spans="1:7" x14ac:dyDescent="0.2">
      <c r="A263">
        <v>2018</v>
      </c>
      <c r="B263" s="34">
        <v>5251</v>
      </c>
      <c r="C263" s="3" t="s">
        <v>269</v>
      </c>
      <c r="D263" s="12">
        <v>178716</v>
      </c>
      <c r="E263" s="3">
        <f>VLOOKUP(B263,'2015'!$B$2:$G$338,6,FALSE)</f>
        <v>0</v>
      </c>
      <c r="F263" s="3">
        <f t="shared" si="4"/>
        <v>0</v>
      </c>
      <c r="G263" s="2">
        <f>SUM(F263,D263)</f>
        <v>178716</v>
      </c>
    </row>
    <row r="264" spans="1:7" x14ac:dyDescent="0.2">
      <c r="A264">
        <v>2018</v>
      </c>
      <c r="B264" s="34">
        <v>5267</v>
      </c>
      <c r="C264" s="3" t="s">
        <v>270</v>
      </c>
      <c r="D264" s="12">
        <v>192033</v>
      </c>
      <c r="E264" s="3">
        <f>VLOOKUP(B264,'2015'!$B$2:$G$338,6,FALSE)</f>
        <v>0</v>
      </c>
      <c r="F264" s="3">
        <f t="shared" si="4"/>
        <v>0</v>
      </c>
      <c r="G264" s="2">
        <f>SUM(F264,D264)</f>
        <v>192033</v>
      </c>
    </row>
    <row r="265" spans="1:7" x14ac:dyDescent="0.2">
      <c r="A265">
        <v>2018</v>
      </c>
      <c r="B265" s="34">
        <v>5268</v>
      </c>
      <c r="C265" s="3" t="s">
        <v>271</v>
      </c>
      <c r="D265" s="12">
        <v>203141</v>
      </c>
      <c r="E265" s="3">
        <f>VLOOKUP(B265,'2015'!$B$2:$G$338,6,FALSE)</f>
        <v>0</v>
      </c>
      <c r="F265" s="3">
        <f t="shared" si="4"/>
        <v>0</v>
      </c>
      <c r="G265" s="2">
        <f>SUM(F265,D265)</f>
        <v>203141</v>
      </c>
    </row>
    <row r="266" spans="1:7" x14ac:dyDescent="0.2">
      <c r="A266">
        <v>2018</v>
      </c>
      <c r="B266" s="34">
        <v>5270</v>
      </c>
      <c r="C266" s="3" t="s">
        <v>272</v>
      </c>
      <c r="D266" s="12">
        <v>260467</v>
      </c>
      <c r="E266" s="3">
        <f>VLOOKUP(B266,'2015'!$B$2:$G$338,6,FALSE)</f>
        <v>0</v>
      </c>
      <c r="F266" s="3">
        <f t="shared" si="4"/>
        <v>0</v>
      </c>
      <c r="G266" s="2">
        <f>SUM(F266,D266)</f>
        <v>260467</v>
      </c>
    </row>
    <row r="267" spans="1:7" x14ac:dyDescent="0.2">
      <c r="A267">
        <v>2018</v>
      </c>
      <c r="B267" s="34">
        <v>5271</v>
      </c>
      <c r="C267" s="3" t="s">
        <v>273</v>
      </c>
      <c r="D267" s="12">
        <v>157399</v>
      </c>
      <c r="E267" s="3">
        <f>VLOOKUP(B267,'2015'!$B$2:$G$338,6,FALSE)</f>
        <v>0</v>
      </c>
      <c r="F267" s="3">
        <f t="shared" si="4"/>
        <v>0</v>
      </c>
      <c r="G267" s="2">
        <f>SUM(F267,D267)</f>
        <v>157399</v>
      </c>
    </row>
    <row r="268" spans="1:7" x14ac:dyDescent="0.2">
      <c r="A268">
        <v>2018</v>
      </c>
      <c r="B268" s="34">
        <v>5272</v>
      </c>
      <c r="C268" s="3" t="s">
        <v>274</v>
      </c>
      <c r="D268" s="12">
        <v>2391262</v>
      </c>
      <c r="E268" s="3">
        <f>VLOOKUP(B268,'2015'!$B$2:$G$338,6,FALSE)</f>
        <v>0</v>
      </c>
      <c r="F268" s="3">
        <f t="shared" si="4"/>
        <v>0</v>
      </c>
      <c r="G268" s="2">
        <f>SUM(F268,D268)</f>
        <v>2391262</v>
      </c>
    </row>
    <row r="269" spans="1:7" x14ac:dyDescent="0.2">
      <c r="A269">
        <v>2018</v>
      </c>
      <c r="B269" s="34">
        <v>5274</v>
      </c>
      <c r="C269" s="3" t="s">
        <v>275</v>
      </c>
      <c r="D269" s="12">
        <v>641606</v>
      </c>
      <c r="E269" s="3">
        <f>VLOOKUP(B269,'2015'!$B$2:$G$338,6,FALSE)</f>
        <v>0</v>
      </c>
      <c r="F269" s="3">
        <f t="shared" si="4"/>
        <v>0</v>
      </c>
      <c r="G269" s="2">
        <f>SUM(F269,D269)</f>
        <v>641606</v>
      </c>
    </row>
    <row r="270" spans="1:7" x14ac:dyDescent="0.2">
      <c r="A270">
        <v>2018</v>
      </c>
      <c r="B270" s="34">
        <v>5275</v>
      </c>
      <c r="C270" s="3" t="s">
        <v>276</v>
      </c>
      <c r="D270" s="12">
        <v>1522290</v>
      </c>
      <c r="E270" s="3">
        <f>VLOOKUP(B270,'2015'!$B$2:$G$338,6,FALSE)</f>
        <v>0</v>
      </c>
      <c r="F270" s="3">
        <f t="shared" si="4"/>
        <v>0</v>
      </c>
      <c r="G270" s="2">
        <f>SUM(F270,D270)</f>
        <v>1522290</v>
      </c>
    </row>
    <row r="271" spans="1:7" x14ac:dyDescent="0.2">
      <c r="A271">
        <v>2018</v>
      </c>
      <c r="B271" s="34">
        <v>5276</v>
      </c>
      <c r="C271" s="3" t="s">
        <v>277</v>
      </c>
      <c r="D271" s="12">
        <v>793111</v>
      </c>
      <c r="E271" s="3">
        <f>VLOOKUP(B271,'2015'!$B$2:$G$338,6,FALSE)</f>
        <v>0</v>
      </c>
      <c r="F271" s="3">
        <f t="shared" si="4"/>
        <v>0</v>
      </c>
      <c r="G271" s="2">
        <f>SUM(F271,D271)</f>
        <v>793111</v>
      </c>
    </row>
    <row r="272" spans="1:7" x14ac:dyDescent="0.2">
      <c r="A272">
        <v>2018</v>
      </c>
      <c r="B272" s="34">
        <v>5278</v>
      </c>
      <c r="C272" s="3" t="s">
        <v>278</v>
      </c>
      <c r="D272" s="12">
        <v>243305</v>
      </c>
      <c r="E272" s="3">
        <f>VLOOKUP(B272,'2015'!$B$2:$G$338,6,FALSE)</f>
        <v>0</v>
      </c>
      <c r="F272" s="3">
        <f t="shared" si="4"/>
        <v>0</v>
      </c>
      <c r="G272" s="2">
        <f>SUM(F272,D272)</f>
        <v>243305</v>
      </c>
    </row>
    <row r="273" spans="1:7" x14ac:dyDescent="0.2">
      <c r="A273">
        <v>2018</v>
      </c>
      <c r="B273" s="34">
        <v>5280</v>
      </c>
      <c r="C273" s="3" t="s">
        <v>279</v>
      </c>
      <c r="D273" s="12">
        <v>4006194</v>
      </c>
      <c r="E273" s="3">
        <f>VLOOKUP(B273,'2015'!$B$2:$G$338,6,FALSE)</f>
        <v>0</v>
      </c>
      <c r="F273" s="3">
        <f t="shared" si="4"/>
        <v>0</v>
      </c>
      <c r="G273" s="2">
        <f>SUM(F273,D273)</f>
        <v>4006194</v>
      </c>
    </row>
    <row r="274" spans="1:7" x14ac:dyDescent="0.2">
      <c r="A274">
        <v>2018</v>
      </c>
      <c r="B274" s="34">
        <v>5281</v>
      </c>
      <c r="C274" s="3" t="s">
        <v>280</v>
      </c>
      <c r="D274" s="12">
        <v>164310</v>
      </c>
      <c r="E274" s="3">
        <f>VLOOKUP(B274,'2015'!$B$2:$G$338,6,FALSE)</f>
        <v>0</v>
      </c>
      <c r="F274" s="3">
        <f t="shared" si="4"/>
        <v>0</v>
      </c>
      <c r="G274" s="2">
        <f>SUM(F274,D274)</f>
        <v>164310</v>
      </c>
    </row>
    <row r="275" spans="1:7" x14ac:dyDescent="0.2">
      <c r="A275">
        <v>2018</v>
      </c>
      <c r="B275" s="34">
        <v>5283</v>
      </c>
      <c r="C275" s="3" t="s">
        <v>281</v>
      </c>
      <c r="D275" s="12">
        <v>418374</v>
      </c>
      <c r="E275" s="3">
        <f>VLOOKUP(B275,'2015'!$B$2:$G$338,6,FALSE)</f>
        <v>0</v>
      </c>
      <c r="F275" s="3">
        <f t="shared" si="4"/>
        <v>0</v>
      </c>
      <c r="G275" s="2">
        <f>SUM(F275,D275)</f>
        <v>418374</v>
      </c>
    </row>
    <row r="276" spans="1:7" x14ac:dyDescent="0.2">
      <c r="A276">
        <v>2018</v>
      </c>
      <c r="B276" s="34">
        <v>5284</v>
      </c>
      <c r="C276" s="3" t="s">
        <v>282</v>
      </c>
      <c r="D276" s="12">
        <v>597197</v>
      </c>
      <c r="E276" s="3">
        <f>VLOOKUP(B276,'2015'!$B$2:$G$338,6,FALSE)</f>
        <v>0</v>
      </c>
      <c r="F276" s="3">
        <f t="shared" si="4"/>
        <v>0</v>
      </c>
      <c r="G276" s="2">
        <f>SUM(F276,D276)</f>
        <v>597197</v>
      </c>
    </row>
    <row r="277" spans="1:7" x14ac:dyDescent="0.2">
      <c r="A277">
        <v>2018</v>
      </c>
      <c r="B277" s="34">
        <v>5285</v>
      </c>
      <c r="C277" s="3" t="s">
        <v>283</v>
      </c>
      <c r="D277" s="12">
        <v>317000</v>
      </c>
      <c r="E277" s="3">
        <f>VLOOKUP(B277,'2015'!$B$2:$G$338,6,FALSE)</f>
        <v>0</v>
      </c>
      <c r="F277" s="3">
        <f t="shared" si="4"/>
        <v>0</v>
      </c>
      <c r="G277" s="2">
        <f>SUM(F277,D277)</f>
        <v>317000</v>
      </c>
    </row>
    <row r="278" spans="1:7" x14ac:dyDescent="0.2">
      <c r="A278">
        <v>2018</v>
      </c>
      <c r="B278" s="34">
        <v>5286</v>
      </c>
      <c r="C278" s="3" t="s">
        <v>284</v>
      </c>
      <c r="D278" s="12">
        <v>290768</v>
      </c>
      <c r="E278" s="3">
        <f>VLOOKUP(B278,'2015'!$B$2:$G$338,6,FALSE)</f>
        <v>0</v>
      </c>
      <c r="F278" s="3">
        <f t="shared" si="4"/>
        <v>0</v>
      </c>
      <c r="G278" s="2">
        <f>SUM(F278,D278)</f>
        <v>290768</v>
      </c>
    </row>
    <row r="279" spans="1:7" x14ac:dyDescent="0.2">
      <c r="A279">
        <v>2018</v>
      </c>
      <c r="B279" s="34">
        <v>5287</v>
      </c>
      <c r="C279" s="3" t="s">
        <v>285</v>
      </c>
      <c r="D279" s="12">
        <v>461063</v>
      </c>
      <c r="E279" s="3">
        <f>VLOOKUP(B279,'2015'!$B$2:$G$338,6,FALSE)</f>
        <v>0</v>
      </c>
      <c r="F279" s="3">
        <f t="shared" si="4"/>
        <v>0</v>
      </c>
      <c r="G279" s="2">
        <f>SUM(F279,D279)</f>
        <v>461063</v>
      </c>
    </row>
    <row r="280" spans="1:7" x14ac:dyDescent="0.2">
      <c r="A280">
        <v>2018</v>
      </c>
      <c r="B280" s="34">
        <v>5288</v>
      </c>
      <c r="C280" s="3" t="s">
        <v>286</v>
      </c>
      <c r="D280" s="12">
        <v>260751</v>
      </c>
      <c r="E280" s="3">
        <f>VLOOKUP(B280,'2015'!$B$2:$G$338,6,FALSE)</f>
        <v>0</v>
      </c>
      <c r="F280" s="3">
        <f t="shared" si="4"/>
        <v>0</v>
      </c>
      <c r="G280" s="2">
        <f>SUM(F280,D280)</f>
        <v>260751</v>
      </c>
    </row>
    <row r="281" spans="1:7" x14ac:dyDescent="0.2">
      <c r="A281">
        <v>2018</v>
      </c>
      <c r="B281" s="34">
        <v>5289</v>
      </c>
      <c r="C281" s="3" t="s">
        <v>287</v>
      </c>
      <c r="D281" s="12">
        <v>369551</v>
      </c>
      <c r="E281" s="3">
        <f>VLOOKUP(B281,'2015'!$B$2:$G$338,6,FALSE)</f>
        <v>0</v>
      </c>
      <c r="F281" s="3">
        <f t="shared" si="4"/>
        <v>0</v>
      </c>
      <c r="G281" s="2">
        <f>SUM(F281,D281)</f>
        <v>369551</v>
      </c>
    </row>
    <row r="282" spans="1:7" x14ac:dyDescent="0.2">
      <c r="A282">
        <v>2018</v>
      </c>
      <c r="B282" s="34">
        <v>5291</v>
      </c>
      <c r="C282" s="3" t="s">
        <v>288</v>
      </c>
      <c r="D282" s="12">
        <v>491319</v>
      </c>
      <c r="E282" s="3">
        <f>VLOOKUP(B282,'2015'!$B$2:$G$338,6,FALSE)</f>
        <v>0</v>
      </c>
      <c r="F282" s="3">
        <f t="shared" si="4"/>
        <v>0</v>
      </c>
      <c r="G282" s="2">
        <f>SUM(F282,D282)</f>
        <v>491319</v>
      </c>
    </row>
    <row r="283" spans="1:7" x14ac:dyDescent="0.2">
      <c r="A283">
        <v>2018</v>
      </c>
      <c r="B283" s="34">
        <v>5292</v>
      </c>
      <c r="C283" s="3" t="s">
        <v>289</v>
      </c>
      <c r="D283" s="12">
        <v>1266515</v>
      </c>
      <c r="E283" s="3">
        <f>VLOOKUP(B283,'2015'!$B$2:$G$338,6,FALSE)</f>
        <v>0</v>
      </c>
      <c r="F283" s="3">
        <f t="shared" si="4"/>
        <v>0</v>
      </c>
      <c r="G283" s="2">
        <f>SUM(F283,D283)</f>
        <v>1266515</v>
      </c>
    </row>
    <row r="284" spans="1:7" x14ac:dyDescent="0.2">
      <c r="A284">
        <v>2018</v>
      </c>
      <c r="B284" s="34">
        <v>5293</v>
      </c>
      <c r="C284" s="3" t="s">
        <v>290</v>
      </c>
      <c r="D284" s="12">
        <v>303870</v>
      </c>
      <c r="E284" s="3">
        <f>VLOOKUP(B284,'2015'!$B$2:$G$338,6,FALSE)</f>
        <v>0</v>
      </c>
      <c r="F284" s="3">
        <f t="shared" si="4"/>
        <v>0</v>
      </c>
      <c r="G284" s="2">
        <f>SUM(F284,D284)</f>
        <v>303870</v>
      </c>
    </row>
    <row r="285" spans="1:7" x14ac:dyDescent="0.2">
      <c r="A285">
        <v>2018</v>
      </c>
      <c r="B285" s="34">
        <v>5294</v>
      </c>
      <c r="C285" s="3" t="s">
        <v>291</v>
      </c>
      <c r="D285" s="12">
        <v>689020</v>
      </c>
      <c r="E285" s="3">
        <f>VLOOKUP(B285,'2015'!$B$2:$G$338,6,FALSE)</f>
        <v>0</v>
      </c>
      <c r="F285" s="3">
        <f t="shared" si="4"/>
        <v>0</v>
      </c>
      <c r="G285" s="2">
        <f>SUM(F285,D285)</f>
        <v>689020</v>
      </c>
    </row>
    <row r="286" spans="1:7" x14ac:dyDescent="0.2">
      <c r="A286">
        <v>2018</v>
      </c>
      <c r="B286" s="34">
        <v>5295</v>
      </c>
      <c r="C286" s="3" t="s">
        <v>292</v>
      </c>
      <c r="D286" s="12">
        <v>207358</v>
      </c>
      <c r="E286" s="3">
        <f>VLOOKUP(B286,'2015'!$B$2:$G$338,6,FALSE)</f>
        <v>0</v>
      </c>
      <c r="F286" s="3">
        <f t="shared" si="4"/>
        <v>0</v>
      </c>
      <c r="G286" s="2">
        <f>SUM(F286,D286)</f>
        <v>207358</v>
      </c>
    </row>
    <row r="287" spans="1:7" x14ac:dyDescent="0.2">
      <c r="A287">
        <v>2018</v>
      </c>
      <c r="B287" s="34">
        <v>5296</v>
      </c>
      <c r="C287" s="3" t="s">
        <v>293</v>
      </c>
      <c r="D287" s="12">
        <v>1085552</v>
      </c>
      <c r="E287" s="3">
        <f>VLOOKUP(B287,'2015'!$B$2:$G$338,6,FALSE)</f>
        <v>0</v>
      </c>
      <c r="F287" s="3">
        <f t="shared" si="4"/>
        <v>0</v>
      </c>
      <c r="G287" s="2">
        <f>SUM(F287,D287)</f>
        <v>1085552</v>
      </c>
    </row>
    <row r="288" spans="1:7" x14ac:dyDescent="0.2">
      <c r="A288">
        <v>2018</v>
      </c>
      <c r="B288" s="34">
        <v>5297</v>
      </c>
      <c r="C288" s="3" t="s">
        <v>294</v>
      </c>
      <c r="D288" s="12">
        <v>559339</v>
      </c>
      <c r="E288" s="3">
        <f>VLOOKUP(B288,'2015'!$B$2:$G$338,6,FALSE)</f>
        <v>0</v>
      </c>
      <c r="F288" s="3">
        <f t="shared" si="4"/>
        <v>0</v>
      </c>
      <c r="G288" s="2">
        <f>SUM(F288,D288)</f>
        <v>559339</v>
      </c>
    </row>
    <row r="289" spans="1:7" x14ac:dyDescent="0.2">
      <c r="A289">
        <v>2018</v>
      </c>
      <c r="B289" s="34">
        <v>5298</v>
      </c>
      <c r="C289" s="3" t="s">
        <v>295</v>
      </c>
      <c r="D289" s="12">
        <v>81894</v>
      </c>
      <c r="E289" s="3">
        <f>VLOOKUP(B289,'2015'!$B$2:$G$338,6,FALSE)</f>
        <v>0</v>
      </c>
      <c r="F289" s="3">
        <f t="shared" si="4"/>
        <v>0</v>
      </c>
      <c r="G289" s="2">
        <f>SUM(F289,D289)</f>
        <v>81894</v>
      </c>
    </row>
    <row r="290" spans="1:7" x14ac:dyDescent="0.2">
      <c r="A290">
        <v>2018</v>
      </c>
      <c r="B290" s="34">
        <v>5299</v>
      </c>
      <c r="C290" s="3" t="s">
        <v>296</v>
      </c>
      <c r="D290" s="12">
        <v>136595</v>
      </c>
      <c r="E290" s="3">
        <f>VLOOKUP(B290,'2015'!$B$2:$G$338,6,FALSE)</f>
        <v>0</v>
      </c>
      <c r="F290" s="3">
        <f t="shared" si="4"/>
        <v>0</v>
      </c>
      <c r="G290" s="2">
        <f>SUM(F290,D290)</f>
        <v>136595</v>
      </c>
    </row>
    <row r="291" spans="1:7" x14ac:dyDescent="0.2">
      <c r="A291">
        <v>2018</v>
      </c>
      <c r="B291" s="34">
        <v>5300</v>
      </c>
      <c r="C291" s="3" t="s">
        <v>297</v>
      </c>
      <c r="D291" s="12">
        <v>488689</v>
      </c>
      <c r="E291" s="3">
        <f>VLOOKUP(B291,'2015'!$B$2:$G$338,6,FALSE)</f>
        <v>0</v>
      </c>
      <c r="F291" s="3">
        <f t="shared" si="4"/>
        <v>0</v>
      </c>
      <c r="G291" s="2">
        <f>SUM(F291,D291)</f>
        <v>488689</v>
      </c>
    </row>
    <row r="292" spans="1:7" x14ac:dyDescent="0.2">
      <c r="A292">
        <v>2018</v>
      </c>
      <c r="B292" s="34">
        <v>5302</v>
      </c>
      <c r="C292" s="3" t="s">
        <v>298</v>
      </c>
      <c r="D292" s="12">
        <v>2411663</v>
      </c>
      <c r="E292" s="3">
        <f>VLOOKUP(B292,'2015'!$B$2:$G$338,6,FALSE)</f>
        <v>0</v>
      </c>
      <c r="F292" s="3">
        <f t="shared" si="4"/>
        <v>0</v>
      </c>
      <c r="G292" s="2">
        <f>SUM(F292,D292)</f>
        <v>2411663</v>
      </c>
    </row>
    <row r="293" spans="1:7" x14ac:dyDescent="0.2">
      <c r="A293">
        <v>2018</v>
      </c>
      <c r="B293" s="34">
        <v>5303</v>
      </c>
      <c r="C293" s="3" t="s">
        <v>345</v>
      </c>
      <c r="D293" s="12">
        <v>1367678</v>
      </c>
      <c r="E293" s="3">
        <f>VLOOKUP(B293,'2015'!$B$2:$G$338,6,FALSE)</f>
        <v>0</v>
      </c>
      <c r="F293" s="3">
        <f t="shared" si="4"/>
        <v>0</v>
      </c>
      <c r="G293" s="2">
        <f>SUM(F293,D293)</f>
        <v>1367678</v>
      </c>
    </row>
    <row r="294" spans="1:7" x14ac:dyDescent="0.2">
      <c r="A294">
        <v>2018</v>
      </c>
      <c r="B294" s="34">
        <v>5304</v>
      </c>
      <c r="C294" s="3" t="s">
        <v>300</v>
      </c>
      <c r="D294" s="12">
        <v>1134917</v>
      </c>
      <c r="E294" s="3">
        <f>VLOOKUP(B294,'2015'!$B$2:$G$338,6,FALSE)</f>
        <v>0</v>
      </c>
      <c r="F294" s="3">
        <f t="shared" si="4"/>
        <v>0</v>
      </c>
      <c r="G294" s="2">
        <f>SUM(F294,D294)</f>
        <v>1134917</v>
      </c>
    </row>
    <row r="295" spans="1:7" x14ac:dyDescent="0.2">
      <c r="A295">
        <v>2018</v>
      </c>
      <c r="B295" s="34">
        <v>5305</v>
      </c>
      <c r="C295" s="3" t="s">
        <v>301</v>
      </c>
      <c r="D295" s="12">
        <v>238852</v>
      </c>
      <c r="E295" s="3">
        <f>VLOOKUP(B295,'2015'!$B$2:$G$338,6,FALSE)</f>
        <v>0</v>
      </c>
      <c r="F295" s="3">
        <f t="shared" si="4"/>
        <v>0</v>
      </c>
      <c r="G295" s="2">
        <f>SUM(F295,D295)</f>
        <v>238852</v>
      </c>
    </row>
    <row r="296" spans="1:7" x14ac:dyDescent="0.2">
      <c r="A296">
        <v>2018</v>
      </c>
      <c r="B296" s="34">
        <v>5306</v>
      </c>
      <c r="C296" s="3" t="s">
        <v>302</v>
      </c>
      <c r="D296" s="12">
        <v>940179</v>
      </c>
      <c r="E296" s="3">
        <f>VLOOKUP(B296,'2015'!$B$2:$G$338,6,FALSE)</f>
        <v>0</v>
      </c>
      <c r="F296" s="3">
        <f t="shared" si="4"/>
        <v>0</v>
      </c>
      <c r="G296" s="2">
        <f>SUM(F296,D296)</f>
        <v>940179</v>
      </c>
    </row>
    <row r="297" spans="1:7" x14ac:dyDescent="0.2">
      <c r="A297">
        <v>2018</v>
      </c>
      <c r="B297" s="34">
        <v>5307</v>
      </c>
      <c r="C297" s="3" t="s">
        <v>303</v>
      </c>
      <c r="D297" s="12">
        <v>146887</v>
      </c>
      <c r="E297" s="3">
        <f>VLOOKUP(B297,'2015'!$B$2:$G$338,6,FALSE)</f>
        <v>0</v>
      </c>
      <c r="F297" s="3">
        <f t="shared" si="4"/>
        <v>0</v>
      </c>
      <c r="G297" s="2">
        <f>SUM(F297,D297)</f>
        <v>146887</v>
      </c>
    </row>
    <row r="298" spans="1:7" x14ac:dyDescent="0.2">
      <c r="A298">
        <v>2018</v>
      </c>
      <c r="B298" s="34">
        <v>5308</v>
      </c>
      <c r="C298" s="3" t="s">
        <v>304</v>
      </c>
      <c r="D298" s="12">
        <v>9004458</v>
      </c>
      <c r="E298" s="3">
        <f>VLOOKUP(B298,'2015'!$B$2:$G$338,6,FALSE)</f>
        <v>0</v>
      </c>
      <c r="F298" s="3">
        <f t="shared" si="4"/>
        <v>0</v>
      </c>
      <c r="G298" s="2">
        <f>SUM(F298,D298)</f>
        <v>9004458</v>
      </c>
    </row>
    <row r="299" spans="1:7" x14ac:dyDescent="0.2">
      <c r="A299">
        <v>2018</v>
      </c>
      <c r="B299" s="34">
        <v>5309</v>
      </c>
      <c r="C299" s="3" t="s">
        <v>305</v>
      </c>
      <c r="D299" s="12">
        <v>600540</v>
      </c>
      <c r="E299" s="3">
        <f>VLOOKUP(B299,'2015'!$B$2:$G$338,6,FALSE)</f>
        <v>0</v>
      </c>
      <c r="F299" s="3">
        <f t="shared" si="4"/>
        <v>0</v>
      </c>
      <c r="G299" s="2">
        <f>SUM(F299,D299)</f>
        <v>600540</v>
      </c>
    </row>
    <row r="300" spans="1:7" x14ac:dyDescent="0.2">
      <c r="A300">
        <v>2018</v>
      </c>
      <c r="B300" s="34">
        <v>5310</v>
      </c>
      <c r="C300" s="3" t="s">
        <v>306</v>
      </c>
      <c r="D300" s="12">
        <v>89253</v>
      </c>
      <c r="E300" s="3">
        <f>VLOOKUP(B300,'2015'!$B$2:$G$338,6,FALSE)</f>
        <v>0</v>
      </c>
      <c r="F300" s="3">
        <f t="shared" si="4"/>
        <v>0</v>
      </c>
      <c r="G300" s="2">
        <f>SUM(F300,D300)</f>
        <v>89253</v>
      </c>
    </row>
    <row r="301" spans="1:7" x14ac:dyDescent="0.2">
      <c r="A301">
        <v>2018</v>
      </c>
      <c r="B301" s="34">
        <v>5312</v>
      </c>
      <c r="C301" s="3" t="s">
        <v>307</v>
      </c>
      <c r="D301" s="12">
        <v>3067314</v>
      </c>
      <c r="E301" s="3">
        <f>VLOOKUP(B301,'2015'!$B$2:$G$338,6,FALSE)</f>
        <v>0</v>
      </c>
      <c r="F301" s="3">
        <f t="shared" si="4"/>
        <v>0</v>
      </c>
      <c r="G301" s="2">
        <f>SUM(F301,D301)</f>
        <v>3067314</v>
      </c>
    </row>
    <row r="302" spans="1:7" x14ac:dyDescent="0.2">
      <c r="A302">
        <v>2018</v>
      </c>
      <c r="B302" s="34">
        <v>5313</v>
      </c>
      <c r="C302" s="3" t="s">
        <v>308</v>
      </c>
      <c r="D302" s="12">
        <v>321688</v>
      </c>
      <c r="E302" s="3">
        <f>VLOOKUP(B302,'2015'!$B$2:$G$338,6,FALSE)</f>
        <v>0</v>
      </c>
      <c r="F302" s="3">
        <f t="shared" si="4"/>
        <v>0</v>
      </c>
      <c r="G302" s="2">
        <f>SUM(F302,D302)</f>
        <v>321688</v>
      </c>
    </row>
    <row r="303" spans="1:7" x14ac:dyDescent="0.2">
      <c r="A303">
        <v>2018</v>
      </c>
      <c r="B303" s="34">
        <v>5314</v>
      </c>
      <c r="C303" s="3" t="s">
        <v>309</v>
      </c>
      <c r="D303" s="12">
        <v>12582085</v>
      </c>
      <c r="E303" s="3">
        <f>VLOOKUP(B303,'2015'!$B$2:$G$338,6,FALSE)</f>
        <v>0</v>
      </c>
      <c r="F303" s="3">
        <f t="shared" si="4"/>
        <v>0</v>
      </c>
      <c r="G303" s="2">
        <f>SUM(F303,D303)</f>
        <v>12582085</v>
      </c>
    </row>
    <row r="304" spans="1:7" x14ac:dyDescent="0.2">
      <c r="A304">
        <v>2018</v>
      </c>
      <c r="B304" s="34">
        <v>5316</v>
      </c>
      <c r="C304" s="3" t="s">
        <v>310</v>
      </c>
      <c r="D304" s="12">
        <v>324918</v>
      </c>
      <c r="E304" s="3">
        <f>VLOOKUP(B304,'2015'!$B$2:$G$338,6,FALSE)</f>
        <v>0</v>
      </c>
      <c r="F304" s="3">
        <f t="shared" si="4"/>
        <v>0</v>
      </c>
      <c r="G304" s="2">
        <f>SUM(F304,D304)</f>
        <v>324918</v>
      </c>
    </row>
    <row r="305" spans="1:7" x14ac:dyDescent="0.2">
      <c r="A305">
        <v>2018</v>
      </c>
      <c r="B305" s="34">
        <v>5317</v>
      </c>
      <c r="C305" s="3" t="s">
        <v>311</v>
      </c>
      <c r="D305" s="12">
        <v>400035</v>
      </c>
      <c r="E305" s="3">
        <f>VLOOKUP(B305,'2015'!$B$2:$G$338,6,FALSE)</f>
        <v>0</v>
      </c>
      <c r="F305" s="3">
        <f t="shared" si="4"/>
        <v>0</v>
      </c>
      <c r="G305" s="2">
        <f>SUM(F305,D305)</f>
        <v>400035</v>
      </c>
    </row>
    <row r="306" spans="1:7" x14ac:dyDescent="0.2">
      <c r="A306">
        <v>2018</v>
      </c>
      <c r="B306" s="34">
        <v>5318</v>
      </c>
      <c r="C306" s="3" t="s">
        <v>312</v>
      </c>
      <c r="D306" s="12">
        <v>452085</v>
      </c>
      <c r="E306" s="3">
        <f>VLOOKUP(B306,'2015'!$B$2:$G$338,6,FALSE)</f>
        <v>0</v>
      </c>
      <c r="F306" s="3">
        <f t="shared" si="4"/>
        <v>0</v>
      </c>
      <c r="G306" s="2">
        <f>SUM(F306,D306)</f>
        <v>452085</v>
      </c>
    </row>
    <row r="307" spans="1:7" x14ac:dyDescent="0.2">
      <c r="A307">
        <v>2018</v>
      </c>
      <c r="B307" s="34">
        <v>5319</v>
      </c>
      <c r="C307" s="3" t="s">
        <v>313</v>
      </c>
      <c r="D307" s="12">
        <v>664731</v>
      </c>
      <c r="E307" s="3">
        <f>VLOOKUP(B307,'2015'!$B$2:$G$338,6,FALSE)</f>
        <v>0</v>
      </c>
      <c r="F307" s="3">
        <f t="shared" si="4"/>
        <v>0</v>
      </c>
      <c r="G307" s="2">
        <f>SUM(F307,D307)</f>
        <v>664731</v>
      </c>
    </row>
    <row r="308" spans="1:7" x14ac:dyDescent="0.2">
      <c r="A308">
        <v>2018</v>
      </c>
      <c r="B308" s="34">
        <v>5320</v>
      </c>
      <c r="C308" s="3" t="s">
        <v>314</v>
      </c>
      <c r="D308" s="12">
        <v>192097</v>
      </c>
      <c r="E308" s="3">
        <f>VLOOKUP(B308,'2015'!$B$2:$G$338,6,FALSE)</f>
        <v>0</v>
      </c>
      <c r="F308" s="3">
        <f t="shared" si="4"/>
        <v>0</v>
      </c>
      <c r="G308" s="2">
        <f>SUM(F308,D308)</f>
        <v>192097</v>
      </c>
    </row>
    <row r="309" spans="1:7" x14ac:dyDescent="0.2">
      <c r="A309">
        <v>2018</v>
      </c>
      <c r="B309" s="34">
        <v>5321</v>
      </c>
      <c r="C309" s="3" t="s">
        <v>315</v>
      </c>
      <c r="D309" s="12">
        <v>353071</v>
      </c>
      <c r="E309" s="3">
        <f>VLOOKUP(B309,'2015'!$B$2:$G$338,6,FALSE)</f>
        <v>0</v>
      </c>
      <c r="F309" s="3">
        <f t="shared" si="4"/>
        <v>0</v>
      </c>
      <c r="G309" s="2">
        <f>SUM(F309,D309)</f>
        <v>353071</v>
      </c>
    </row>
    <row r="310" spans="1:7" x14ac:dyDescent="0.2">
      <c r="A310">
        <v>2018</v>
      </c>
      <c r="B310" s="34">
        <v>5322</v>
      </c>
      <c r="C310" s="3" t="s">
        <v>316</v>
      </c>
      <c r="D310" s="12">
        <v>392573</v>
      </c>
      <c r="E310" s="3">
        <f>VLOOKUP(B310,'2015'!$B$2:$G$338,6,FALSE)</f>
        <v>0</v>
      </c>
      <c r="F310" s="3">
        <f t="shared" si="4"/>
        <v>0</v>
      </c>
      <c r="G310" s="2">
        <f>SUM(F310,D310)</f>
        <v>392573</v>
      </c>
    </row>
    <row r="311" spans="1:7" x14ac:dyDescent="0.2">
      <c r="A311">
        <v>2018</v>
      </c>
      <c r="B311" s="34">
        <v>5324</v>
      </c>
      <c r="C311" s="3" t="s">
        <v>317</v>
      </c>
      <c r="D311" s="12">
        <v>19689116</v>
      </c>
      <c r="E311" s="3">
        <f>VLOOKUP(B311,'2015'!$B$2:$G$338,6,FALSE)</f>
        <v>0</v>
      </c>
      <c r="F311" s="3">
        <f t="shared" si="4"/>
        <v>0</v>
      </c>
      <c r="G311" s="2">
        <f>SUM(F311,D311)</f>
        <v>19689116</v>
      </c>
    </row>
    <row r="312" spans="1:7" x14ac:dyDescent="0.2">
      <c r="A312">
        <v>2018</v>
      </c>
      <c r="B312" s="34">
        <v>5329</v>
      </c>
      <c r="C312" s="3" t="s">
        <v>318</v>
      </c>
      <c r="D312" s="12">
        <v>168405</v>
      </c>
      <c r="E312" s="3">
        <f>VLOOKUP(B312,'2015'!$B$2:$G$338,6,FALSE)</f>
        <v>0</v>
      </c>
      <c r="F312" s="3">
        <f t="shared" si="4"/>
        <v>0</v>
      </c>
      <c r="G312" s="2">
        <f>SUM(F312,D312)</f>
        <v>168405</v>
      </c>
    </row>
    <row r="313" spans="1:7" x14ac:dyDescent="0.2">
      <c r="A313">
        <v>2018</v>
      </c>
      <c r="B313" s="34">
        <v>5330</v>
      </c>
      <c r="C313" s="3" t="s">
        <v>319</v>
      </c>
      <c r="D313" s="12">
        <v>939359</v>
      </c>
      <c r="E313" s="3">
        <f>VLOOKUP(B313,'2015'!$B$2:$G$338,6,FALSE)</f>
        <v>0</v>
      </c>
      <c r="F313" s="3">
        <f t="shared" si="4"/>
        <v>0</v>
      </c>
      <c r="G313" s="2">
        <f>SUM(F313,D313)</f>
        <v>939359</v>
      </c>
    </row>
    <row r="314" spans="1:7" x14ac:dyDescent="0.2">
      <c r="A314">
        <v>2018</v>
      </c>
      <c r="B314" s="34">
        <v>5331</v>
      </c>
      <c r="C314" s="3" t="s">
        <v>320</v>
      </c>
      <c r="D314" s="12">
        <v>817627</v>
      </c>
      <c r="E314" s="3">
        <f>VLOOKUP(B314,'2015'!$B$2:$G$338,6,FALSE)</f>
        <v>0</v>
      </c>
      <c r="F314" s="3">
        <f t="shared" si="4"/>
        <v>0</v>
      </c>
      <c r="G314" s="2">
        <f>SUM(F314,D314)</f>
        <v>817627</v>
      </c>
    </row>
    <row r="315" spans="1:7" x14ac:dyDescent="0.2">
      <c r="A315">
        <v>2018</v>
      </c>
      <c r="B315" s="34">
        <v>5332</v>
      </c>
      <c r="C315" s="3" t="s">
        <v>321</v>
      </c>
      <c r="D315" s="12">
        <v>1077154</v>
      </c>
      <c r="E315" s="3">
        <f>VLOOKUP(B315,'2015'!$B$2:$G$338,6,FALSE)</f>
        <v>0</v>
      </c>
      <c r="F315" s="3">
        <f t="shared" si="4"/>
        <v>0</v>
      </c>
      <c r="G315" s="2">
        <f>SUM(F315,D315)</f>
        <v>1077154</v>
      </c>
    </row>
    <row r="316" spans="1:7" x14ac:dyDescent="0.2">
      <c r="A316">
        <v>2018</v>
      </c>
      <c r="B316" s="34">
        <v>5333</v>
      </c>
      <c r="C316" s="3" t="s">
        <v>322</v>
      </c>
      <c r="D316" s="12">
        <v>351458</v>
      </c>
      <c r="E316" s="3">
        <f>VLOOKUP(B316,'2015'!$B$2:$G$338,6,FALSE)</f>
        <v>0</v>
      </c>
      <c r="F316" s="3">
        <f t="shared" si="4"/>
        <v>0</v>
      </c>
      <c r="G316" s="2">
        <f>SUM(F316,D316)</f>
        <v>351458</v>
      </c>
    </row>
    <row r="317" spans="1:7" x14ac:dyDescent="0.2">
      <c r="A317">
        <v>2018</v>
      </c>
      <c r="B317" s="34">
        <v>5337</v>
      </c>
      <c r="C317" s="3" t="s">
        <v>323</v>
      </c>
      <c r="D317" s="12">
        <v>1455083</v>
      </c>
      <c r="E317" s="3">
        <f>VLOOKUP(B317,'2015'!$B$2:$G$338,6,FALSE)</f>
        <v>0</v>
      </c>
      <c r="F317" s="3">
        <f t="shared" si="4"/>
        <v>0</v>
      </c>
      <c r="G317" s="2">
        <f>SUM(F317,D317)</f>
        <v>1455083</v>
      </c>
    </row>
    <row r="318" spans="1:7" x14ac:dyDescent="0.2">
      <c r="A318">
        <v>2018</v>
      </c>
      <c r="B318" s="34">
        <v>5366</v>
      </c>
      <c r="C318" s="3" t="s">
        <v>324</v>
      </c>
      <c r="D318" s="12">
        <v>738634</v>
      </c>
      <c r="E318" s="3">
        <f>VLOOKUP(B318,'2015'!$B$2:$G$338,6,FALSE)</f>
        <v>0</v>
      </c>
      <c r="F318" s="3">
        <f t="shared" si="4"/>
        <v>0</v>
      </c>
      <c r="G318" s="2">
        <f>SUM(F318,D318)</f>
        <v>738634</v>
      </c>
    </row>
    <row r="319" spans="1:7" x14ac:dyDescent="0.2">
      <c r="A319">
        <v>2018</v>
      </c>
      <c r="B319" s="34">
        <v>5367</v>
      </c>
      <c r="C319" s="3" t="s">
        <v>325</v>
      </c>
      <c r="D319" s="12">
        <v>304414</v>
      </c>
      <c r="E319" s="3">
        <f>VLOOKUP(B319,'2015'!$B$2:$G$338,6,FALSE)</f>
        <v>0</v>
      </c>
      <c r="F319" s="3">
        <f t="shared" si="4"/>
        <v>0</v>
      </c>
      <c r="G319" s="2">
        <f>SUM(F319,D319)</f>
        <v>304414</v>
      </c>
    </row>
    <row r="320" spans="1:7" x14ac:dyDescent="0.2">
      <c r="A320">
        <v>2018</v>
      </c>
      <c r="B320" s="34">
        <v>5368</v>
      </c>
      <c r="C320" s="3" t="s">
        <v>326</v>
      </c>
      <c r="D320" s="12">
        <v>408145</v>
      </c>
      <c r="E320" s="3">
        <f>VLOOKUP(B320,'2015'!$B$2:$G$338,6,FALSE)</f>
        <v>0</v>
      </c>
      <c r="F320" s="3">
        <f t="shared" si="4"/>
        <v>0</v>
      </c>
      <c r="G320" s="2">
        <f>SUM(F320,D320)</f>
        <v>408145</v>
      </c>
    </row>
    <row r="321" spans="1:7" x14ac:dyDescent="0.2">
      <c r="A321">
        <v>2018</v>
      </c>
      <c r="B321" s="34">
        <v>5405</v>
      </c>
      <c r="C321" s="3" t="s">
        <v>327</v>
      </c>
      <c r="D321" s="12">
        <v>142557</v>
      </c>
      <c r="E321" s="3">
        <f>VLOOKUP(B321,'2015'!$B$2:$G$338,6,FALSE)</f>
        <v>0</v>
      </c>
      <c r="F321" s="3">
        <f t="shared" si="4"/>
        <v>0</v>
      </c>
      <c r="G321" s="2">
        <f>SUM(F321,D321)</f>
        <v>142557</v>
      </c>
    </row>
    <row r="322" spans="1:7" x14ac:dyDescent="0.2">
      <c r="A322">
        <v>2018</v>
      </c>
      <c r="B322" s="34">
        <v>5409</v>
      </c>
      <c r="C322" s="3" t="s">
        <v>328</v>
      </c>
      <c r="D322" s="12">
        <v>222798</v>
      </c>
      <c r="E322" s="3">
        <f>VLOOKUP(B322,'2015'!$B$2:$G$338,6,FALSE)</f>
        <v>0</v>
      </c>
      <c r="F322" s="3">
        <f t="shared" si="4"/>
        <v>0</v>
      </c>
      <c r="G322" s="2">
        <f>SUM(F322,D322)</f>
        <v>222798</v>
      </c>
    </row>
    <row r="323" spans="1:7" x14ac:dyDescent="0.2">
      <c r="A323">
        <v>2018</v>
      </c>
      <c r="B323" s="34">
        <v>5410</v>
      </c>
      <c r="C323" s="3" t="s">
        <v>329</v>
      </c>
      <c r="D323" s="12">
        <v>166181</v>
      </c>
      <c r="E323" s="3">
        <f>VLOOKUP(B323,'2015'!$B$2:$G$338,6,FALSE)</f>
        <v>0</v>
      </c>
      <c r="F323" s="3">
        <f t="shared" ref="F323:F338" si="5">E323*$D$341</f>
        <v>0</v>
      </c>
      <c r="G323" s="2">
        <f>SUM(F323,D323)</f>
        <v>166181</v>
      </c>
    </row>
    <row r="324" spans="1:7" x14ac:dyDescent="0.2">
      <c r="A324">
        <v>2018</v>
      </c>
      <c r="B324" s="34">
        <v>5430</v>
      </c>
      <c r="C324" s="3" t="s">
        <v>330</v>
      </c>
      <c r="D324" s="12">
        <v>24040718</v>
      </c>
      <c r="E324" s="3">
        <f>VLOOKUP(B324,'2015'!$B$2:$G$338,6,FALSE)</f>
        <v>0</v>
      </c>
      <c r="F324" s="3">
        <f t="shared" si="5"/>
        <v>0</v>
      </c>
      <c r="G324" s="2">
        <f>SUM(F324,D324)</f>
        <v>24040718</v>
      </c>
    </row>
    <row r="325" spans="1:7" x14ac:dyDescent="0.2">
      <c r="A325">
        <v>2018</v>
      </c>
      <c r="B325" s="34">
        <v>5436</v>
      </c>
      <c r="C325" s="3" t="s">
        <v>331</v>
      </c>
      <c r="D325" s="12">
        <v>503763</v>
      </c>
      <c r="E325" s="3">
        <f>VLOOKUP(B325,'2015'!$B$2:$G$338,6,FALSE)</f>
        <v>0</v>
      </c>
      <c r="F325" s="3">
        <f t="shared" si="5"/>
        <v>0</v>
      </c>
      <c r="G325" s="2">
        <f>SUM(F325,D325)</f>
        <v>503763</v>
      </c>
    </row>
    <row r="326" spans="1:7" x14ac:dyDescent="0.2">
      <c r="A326">
        <v>2018</v>
      </c>
      <c r="B326" s="34">
        <v>5590</v>
      </c>
      <c r="C326" s="3" t="s">
        <v>332</v>
      </c>
      <c r="D326" s="12">
        <v>132754</v>
      </c>
      <c r="E326" s="3">
        <f>VLOOKUP(B326,'2015'!$B$2:$G$338,6,FALSE)</f>
        <v>0</v>
      </c>
      <c r="F326" s="3">
        <f t="shared" si="5"/>
        <v>0</v>
      </c>
      <c r="G326" s="2">
        <f>SUM(F326,D326)</f>
        <v>132754</v>
      </c>
    </row>
    <row r="327" spans="1:7" x14ac:dyDescent="0.2">
      <c r="A327">
        <v>2018</v>
      </c>
      <c r="B327" s="34">
        <v>5696</v>
      </c>
      <c r="C327" s="3" t="s">
        <v>333</v>
      </c>
      <c r="D327" s="12">
        <v>245653</v>
      </c>
      <c r="E327" s="3">
        <f>VLOOKUP(B327,'2015'!$B$2:$G$338,6,FALSE)</f>
        <v>0</v>
      </c>
      <c r="F327" s="3">
        <f t="shared" si="5"/>
        <v>0</v>
      </c>
      <c r="G327" s="2">
        <f>SUM(F327,D327)</f>
        <v>245653</v>
      </c>
    </row>
    <row r="328" spans="1:7" x14ac:dyDescent="0.2">
      <c r="A328">
        <v>2018</v>
      </c>
      <c r="B328" s="34">
        <v>9291</v>
      </c>
      <c r="C328" s="3" t="s">
        <v>334</v>
      </c>
      <c r="D328" s="12">
        <v>257440</v>
      </c>
      <c r="E328" s="3">
        <f>VLOOKUP(B328,'2015'!$B$2:$G$338,6,FALSE)</f>
        <v>0</v>
      </c>
      <c r="F328" s="3">
        <f t="shared" si="5"/>
        <v>0</v>
      </c>
      <c r="G328" s="2">
        <f>SUM(F328,D328)</f>
        <v>257440</v>
      </c>
    </row>
    <row r="329" spans="1:7" x14ac:dyDescent="0.2">
      <c r="A329">
        <v>2018</v>
      </c>
      <c r="B329" s="34">
        <v>9302</v>
      </c>
      <c r="C329" s="3" t="s">
        <v>335</v>
      </c>
      <c r="D329" s="12">
        <v>137639</v>
      </c>
      <c r="E329" s="3">
        <f>VLOOKUP(B329,'2015'!$B$2:$G$338,6,FALSE)</f>
        <v>0</v>
      </c>
      <c r="F329" s="3">
        <f t="shared" si="5"/>
        <v>0</v>
      </c>
      <c r="G329" s="2">
        <f>SUM(F329,D329)</f>
        <v>137639</v>
      </c>
    </row>
    <row r="330" spans="1:7" x14ac:dyDescent="0.2">
      <c r="A330">
        <v>2018</v>
      </c>
      <c r="B330" s="34">
        <v>9332</v>
      </c>
      <c r="C330" s="3" t="s">
        <v>336</v>
      </c>
      <c r="D330" s="12">
        <v>243017</v>
      </c>
      <c r="E330" s="3">
        <f>VLOOKUP(B330,'2015'!$B$2:$G$338,6,FALSE)</f>
        <v>0</v>
      </c>
      <c r="F330" s="3">
        <f t="shared" si="5"/>
        <v>0</v>
      </c>
      <c r="G330" s="2">
        <f>SUM(F330,D330)</f>
        <v>243017</v>
      </c>
    </row>
    <row r="331" spans="1:7" x14ac:dyDescent="0.2">
      <c r="A331">
        <v>2018</v>
      </c>
      <c r="B331" s="34">
        <v>9333</v>
      </c>
      <c r="C331" s="3" t="s">
        <v>337</v>
      </c>
      <c r="D331" s="12">
        <v>251629</v>
      </c>
      <c r="E331" s="3">
        <f>VLOOKUP(B331,'2015'!$B$2:$G$338,6,FALSE)</f>
        <v>0</v>
      </c>
      <c r="F331" s="3">
        <f t="shared" si="5"/>
        <v>0</v>
      </c>
      <c r="G331" s="2">
        <f>SUM(F331,D331)</f>
        <v>251629</v>
      </c>
    </row>
    <row r="332" spans="1:7" x14ac:dyDescent="0.2">
      <c r="A332">
        <v>2018</v>
      </c>
      <c r="B332" s="34">
        <v>9335</v>
      </c>
      <c r="C332" s="3" t="s">
        <v>338</v>
      </c>
      <c r="D332" s="12">
        <v>341893</v>
      </c>
      <c r="E332" s="3">
        <f>VLOOKUP(B332,'2015'!$B$2:$G$338,6,FALSE)</f>
        <v>0</v>
      </c>
      <c r="F332" s="3">
        <f t="shared" si="5"/>
        <v>0</v>
      </c>
      <c r="G332" s="2">
        <f>SUM(F332,D332)</f>
        <v>341893</v>
      </c>
    </row>
    <row r="333" spans="1:7" x14ac:dyDescent="0.2">
      <c r="A333">
        <v>2018</v>
      </c>
      <c r="B333" s="34">
        <v>9389</v>
      </c>
      <c r="C333" s="3" t="s">
        <v>339</v>
      </c>
      <c r="D333" s="12">
        <v>213747</v>
      </c>
      <c r="E333" s="3">
        <f>VLOOKUP(B333,'2015'!$B$2:$G$338,6,FALSE)</f>
        <v>0</v>
      </c>
      <c r="F333" s="3">
        <f t="shared" si="5"/>
        <v>0</v>
      </c>
      <c r="G333" s="2">
        <f>SUM(F333,D333)</f>
        <v>213747</v>
      </c>
    </row>
    <row r="334" spans="1:7" x14ac:dyDescent="0.2">
      <c r="A334">
        <v>2018</v>
      </c>
      <c r="B334" s="34">
        <v>9410</v>
      </c>
      <c r="C334" s="3" t="s">
        <v>340</v>
      </c>
      <c r="D334" s="12">
        <v>287563</v>
      </c>
      <c r="E334" s="3">
        <f>VLOOKUP(B334,'2015'!$B$2:$G$338,6,FALSE)</f>
        <v>0</v>
      </c>
      <c r="F334" s="3">
        <f t="shared" si="5"/>
        <v>0</v>
      </c>
      <c r="G334" s="2">
        <f>SUM(F334,D334)</f>
        <v>287563</v>
      </c>
    </row>
    <row r="335" spans="1:7" x14ac:dyDescent="0.2">
      <c r="A335">
        <v>2018</v>
      </c>
      <c r="B335" s="34">
        <v>9444</v>
      </c>
      <c r="C335" s="3" t="s">
        <v>341</v>
      </c>
      <c r="D335" s="12">
        <v>529435</v>
      </c>
      <c r="E335" s="3">
        <f>VLOOKUP(B335,'2015'!$B$2:$G$338,6,FALSE)</f>
        <v>0</v>
      </c>
      <c r="F335" s="3">
        <f t="shared" si="5"/>
        <v>0</v>
      </c>
      <c r="G335" s="2">
        <f>SUM(F335,D335)</f>
        <v>529435</v>
      </c>
    </row>
    <row r="336" spans="1:7" x14ac:dyDescent="0.2">
      <c r="A336">
        <v>2018</v>
      </c>
      <c r="B336" s="34">
        <v>9445</v>
      </c>
      <c r="C336" s="3" t="s">
        <v>342</v>
      </c>
      <c r="D336" s="12">
        <v>504161</v>
      </c>
      <c r="E336" s="3">
        <f>VLOOKUP(B336,'2015'!$B$2:$G$338,6,FALSE)</f>
        <v>0</v>
      </c>
      <c r="F336" s="3">
        <f t="shared" si="5"/>
        <v>0</v>
      </c>
      <c r="G336" s="2">
        <f>SUM(F336,D336)</f>
        <v>504161</v>
      </c>
    </row>
    <row r="337" spans="1:7" x14ac:dyDescent="0.2">
      <c r="A337">
        <v>2018</v>
      </c>
      <c r="B337" s="34">
        <v>9446</v>
      </c>
      <c r="C337" s="3" t="s">
        <v>343</v>
      </c>
      <c r="D337" s="12">
        <v>799655</v>
      </c>
      <c r="E337" s="3">
        <f>VLOOKUP(B337,'2015'!$B$2:$G$338,6,FALSE)</f>
        <v>0</v>
      </c>
      <c r="F337" s="3">
        <f t="shared" si="5"/>
        <v>0</v>
      </c>
      <c r="G337" s="2">
        <f>SUM(F337,D337)</f>
        <v>799655</v>
      </c>
    </row>
    <row r="338" spans="1:7" x14ac:dyDescent="0.2">
      <c r="A338">
        <v>2018</v>
      </c>
      <c r="B338" s="34">
        <v>9461</v>
      </c>
      <c r="C338" s="3" t="s">
        <v>344</v>
      </c>
      <c r="D338" s="12">
        <v>563276</v>
      </c>
      <c r="E338" s="3">
        <f>VLOOKUP(B338,'2015'!$B$2:$G$338,6,FALSE)</f>
        <v>0</v>
      </c>
      <c r="F338" s="3">
        <f t="shared" si="5"/>
        <v>0</v>
      </c>
      <c r="G338" s="2">
        <f>SUM(F338,D338)</f>
        <v>563276</v>
      </c>
    </row>
    <row r="340" spans="1:7" x14ac:dyDescent="0.2">
      <c r="C340" s="12" t="s">
        <v>346</v>
      </c>
      <c r="D340" s="2">
        <f>SUM(D2:D338)</f>
        <v>398302215</v>
      </c>
      <c r="E340">
        <f>SUM(E2:E338)</f>
        <v>0.99999999999999978</v>
      </c>
    </row>
    <row r="341" spans="1:7" x14ac:dyDescent="0.2">
      <c r="C341" s="12" t="s">
        <v>347</v>
      </c>
      <c r="D341" s="2">
        <v>60231001</v>
      </c>
    </row>
    <row r="342" spans="1:7" x14ac:dyDescent="0.2">
      <c r="C342" s="3"/>
      <c r="D342" s="2"/>
    </row>
    <row r="343" spans="1:7" x14ac:dyDescent="0.2">
      <c r="C343" s="3" t="s">
        <v>348</v>
      </c>
      <c r="D343" s="2">
        <v>398302215</v>
      </c>
    </row>
    <row r="344" spans="1:7" x14ac:dyDescent="0.2">
      <c r="C344" s="3" t="s">
        <v>347</v>
      </c>
      <c r="D344" s="2">
        <v>60231001</v>
      </c>
    </row>
    <row r="345" spans="1:7" x14ac:dyDescent="0.2">
      <c r="C345" s="3"/>
    </row>
    <row r="346" spans="1:7" x14ac:dyDescent="0.2">
      <c r="C346" s="13" t="s">
        <v>349</v>
      </c>
      <c r="D346" s="14">
        <f>D340-D343</f>
        <v>0</v>
      </c>
    </row>
    <row r="347" spans="1:7" x14ac:dyDescent="0.2">
      <c r="D347" s="14">
        <f>D341-D344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C48-3B36-EF4A-AB40-990DAB1BB0A7}">
  <sheetPr>
    <tabColor rgb="FFFFFF00"/>
  </sheetPr>
  <dimension ref="A1:I352"/>
  <sheetViews>
    <sheetView workbookViewId="0">
      <selection activeCell="G2" sqref="G2:G338"/>
    </sheetView>
  </sheetViews>
  <sheetFormatPr baseColWidth="10" defaultRowHeight="16" x14ac:dyDescent="0.2"/>
  <cols>
    <col min="2" max="2" width="11.83203125" bestFit="1" customWidth="1"/>
    <col min="3" max="3" width="53.5" bestFit="1" customWidth="1"/>
    <col min="4" max="4" width="18.83203125" bestFit="1" customWidth="1"/>
    <col min="5" max="5" width="25.83203125" bestFit="1" customWidth="1"/>
    <col min="6" max="6" width="25.83203125" customWidth="1"/>
    <col min="7" max="7" width="16.83203125" bestFit="1" customWidth="1"/>
  </cols>
  <sheetData>
    <row r="1" spans="1:9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374</v>
      </c>
      <c r="F1" s="3" t="s">
        <v>368</v>
      </c>
      <c r="G1" s="3" t="s">
        <v>351</v>
      </c>
    </row>
    <row r="2" spans="1:9" x14ac:dyDescent="0.2">
      <c r="A2">
        <v>2017</v>
      </c>
      <c r="B2" s="34">
        <v>4931</v>
      </c>
      <c r="C2" s="3" t="s">
        <v>10</v>
      </c>
      <c r="D2" s="12">
        <v>11259</v>
      </c>
      <c r="E2" s="35">
        <f>VLOOKUP(B2,'2015'!$B$2:$G$338,6,FALSE)</f>
        <v>6.4531547540516718E-3</v>
      </c>
      <c r="F2" s="18">
        <f>E2*$D$341</f>
        <v>268212.66681829724</v>
      </c>
      <c r="G2" s="18">
        <f>SUM(D2,F2)</f>
        <v>279471.66681829724</v>
      </c>
    </row>
    <row r="3" spans="1:9" x14ac:dyDescent="0.2">
      <c r="A3">
        <v>2017</v>
      </c>
      <c r="B3" s="34">
        <v>5045</v>
      </c>
      <c r="C3" s="3" t="s">
        <v>11</v>
      </c>
      <c r="D3" s="12">
        <v>2936</v>
      </c>
      <c r="E3" s="35">
        <f>VLOOKUP(B3,'2015'!$B$2:$G$338,6,FALSE)</f>
        <v>1.0105484222096495E-2</v>
      </c>
      <c r="F3" s="18">
        <f t="shared" ref="F3:F66" si="0">E3*$D$341</f>
        <v>420014.54730292433</v>
      </c>
      <c r="G3" s="18">
        <f>SUM(D3,F3)</f>
        <v>422950.54730292433</v>
      </c>
    </row>
    <row r="4" spans="1:9" x14ac:dyDescent="0.2">
      <c r="A4">
        <v>2017</v>
      </c>
      <c r="B4" s="34">
        <v>5046</v>
      </c>
      <c r="C4" s="3" t="s">
        <v>12</v>
      </c>
      <c r="D4" s="3"/>
      <c r="E4" s="35">
        <f>VLOOKUP(B4,'2015'!$B$2:$G$338,6,FALSE)</f>
        <v>1.3630219751289424E-2</v>
      </c>
      <c r="F4" s="18">
        <f t="shared" si="0"/>
        <v>566513.23703610839</v>
      </c>
      <c r="G4" s="18">
        <f>SUM(D4,F4)</f>
        <v>566513.23703610839</v>
      </c>
    </row>
    <row r="5" spans="1:9" x14ac:dyDescent="0.2">
      <c r="A5">
        <v>2017</v>
      </c>
      <c r="B5" s="34">
        <v>5047</v>
      </c>
      <c r="C5" s="3" t="s">
        <v>13</v>
      </c>
      <c r="D5" s="12">
        <v>7505</v>
      </c>
      <c r="E5" s="35">
        <f>VLOOKUP(B5,'2015'!$B$2:$G$338,6,FALSE)</f>
        <v>2.189607160505451E-2</v>
      </c>
      <c r="F5" s="18">
        <f t="shared" si="0"/>
        <v>910067.08840335358</v>
      </c>
      <c r="G5" s="18">
        <f>SUM(D5,F5)</f>
        <v>917572.08840335358</v>
      </c>
    </row>
    <row r="6" spans="1:9" x14ac:dyDescent="0.2">
      <c r="A6">
        <v>2017</v>
      </c>
      <c r="B6" s="34">
        <v>5048</v>
      </c>
      <c r="C6" s="3" t="s">
        <v>14</v>
      </c>
      <c r="D6" s="12">
        <v>60813</v>
      </c>
      <c r="E6" s="35">
        <f>VLOOKUP(B6,'2015'!$B$2:$G$338,6,FALSE)</f>
        <v>4.4505872497202836E-2</v>
      </c>
      <c r="F6" s="18">
        <f t="shared" si="0"/>
        <v>1849798.9288192887</v>
      </c>
      <c r="G6" s="18">
        <f>SUM(D6,F6)</f>
        <v>1910611.9288192887</v>
      </c>
    </row>
    <row r="7" spans="1:9" x14ac:dyDescent="0.2">
      <c r="A7">
        <v>2017</v>
      </c>
      <c r="B7" s="34">
        <v>5049</v>
      </c>
      <c r="C7" s="3" t="s">
        <v>15</v>
      </c>
      <c r="D7" s="12">
        <v>160234</v>
      </c>
      <c r="E7" s="35">
        <f>VLOOKUP(B7,'2015'!$B$2:$G$338,6,FALSE)</f>
        <v>6.3574471270304675E-2</v>
      </c>
      <c r="F7" s="18">
        <f t="shared" si="0"/>
        <v>2642347.6781283934</v>
      </c>
      <c r="G7" s="18">
        <f>SUM(D7,F7)</f>
        <v>2802581.6781283934</v>
      </c>
    </row>
    <row r="8" spans="1:9" x14ac:dyDescent="0.2">
      <c r="A8">
        <v>2017</v>
      </c>
      <c r="B8" s="34">
        <v>5050</v>
      </c>
      <c r="C8" s="3" t="s">
        <v>16</v>
      </c>
      <c r="D8" s="12">
        <v>25658</v>
      </c>
      <c r="E8" s="35">
        <f>VLOOKUP(B8,'2015'!$B$2:$G$338,6,FALSE)</f>
        <v>1.5153357180231053E-2</v>
      </c>
      <c r="F8" s="18">
        <f t="shared" si="0"/>
        <v>629819.44420411461</v>
      </c>
      <c r="G8" s="18">
        <f>SUM(D8,F8)</f>
        <v>655477.44420411461</v>
      </c>
    </row>
    <row r="9" spans="1:9" x14ac:dyDescent="0.2">
      <c r="A9">
        <v>2017</v>
      </c>
      <c r="B9" s="34">
        <v>5107</v>
      </c>
      <c r="C9" s="3" t="s">
        <v>17</v>
      </c>
      <c r="D9" s="12">
        <v>20411</v>
      </c>
      <c r="E9" s="35">
        <f>VLOOKUP(B9,'2015'!$B$2:$G$338,6,FALSE)</f>
        <v>2.4280916304639615E-2</v>
      </c>
      <c r="F9" s="18">
        <f t="shared" si="0"/>
        <v>1009188.4610035683</v>
      </c>
      <c r="G9" s="18">
        <f>SUM(D9,F9)</f>
        <v>1029599.4610035683</v>
      </c>
      <c r="I9" s="35"/>
    </row>
    <row r="10" spans="1:9" x14ac:dyDescent="0.2">
      <c r="A10">
        <v>2017</v>
      </c>
      <c r="B10" s="34">
        <v>5108</v>
      </c>
      <c r="C10" s="3" t="s">
        <v>18</v>
      </c>
      <c r="D10" s="12">
        <v>8771</v>
      </c>
      <c r="E10" s="35">
        <f>VLOOKUP(B10,'2015'!$B$2:$G$338,6,FALSE)</f>
        <v>3.1695507434012407E-2</v>
      </c>
      <c r="F10" s="18">
        <f t="shared" si="0"/>
        <v>1317361.33705737</v>
      </c>
      <c r="G10" s="18">
        <f>SUM(D10,F10)</f>
        <v>1326132.33705737</v>
      </c>
    </row>
    <row r="11" spans="1:9" x14ac:dyDescent="0.2">
      <c r="A11">
        <v>2017</v>
      </c>
      <c r="B11" s="34">
        <v>5109</v>
      </c>
      <c r="C11" s="3" t="s">
        <v>19</v>
      </c>
      <c r="D11" s="12">
        <v>63850</v>
      </c>
      <c r="E11" s="35">
        <f>VLOOKUP(B11,'2015'!$B$2:$G$338,6,FALSE)</f>
        <v>5.1177098904248042E-2</v>
      </c>
      <c r="F11" s="18">
        <f t="shared" si="0"/>
        <v>2127075.3143668086</v>
      </c>
      <c r="G11" s="18">
        <f>SUM(D11,F11)</f>
        <v>2190925.3143668086</v>
      </c>
    </row>
    <row r="12" spans="1:9" x14ac:dyDescent="0.2">
      <c r="A12">
        <v>2017</v>
      </c>
      <c r="B12" s="34">
        <v>5110</v>
      </c>
      <c r="C12" s="3" t="s">
        <v>20</v>
      </c>
      <c r="D12" s="12">
        <v>17084</v>
      </c>
      <c r="E12" s="35">
        <f>VLOOKUP(B12,'2015'!$B$2:$G$338,6,FALSE)</f>
        <v>1.0333360578457136E-2</v>
      </c>
      <c r="F12" s="18">
        <f t="shared" si="0"/>
        <v>429485.77921564889</v>
      </c>
      <c r="G12" s="18">
        <f>SUM(D12,F12)</f>
        <v>446569.77921564889</v>
      </c>
    </row>
    <row r="13" spans="1:9" x14ac:dyDescent="0.2">
      <c r="A13">
        <v>2017</v>
      </c>
      <c r="B13" s="34">
        <v>5111</v>
      </c>
      <c r="C13" s="3" t="s">
        <v>21</v>
      </c>
      <c r="D13" s="3"/>
      <c r="E13" s="35">
        <f>VLOOKUP(B13,'2015'!$B$2:$G$338,6,FALSE)</f>
        <v>1.0645672472843794E-2</v>
      </c>
      <c r="F13" s="18">
        <f t="shared" si="0"/>
        <v>442466.407956952</v>
      </c>
      <c r="G13" s="18">
        <f>SUM(D13,F13)</f>
        <v>442466.407956952</v>
      </c>
    </row>
    <row r="14" spans="1:9" x14ac:dyDescent="0.2">
      <c r="A14">
        <v>2017</v>
      </c>
      <c r="B14" s="34">
        <v>5112</v>
      </c>
      <c r="C14" s="3" t="s">
        <v>22</v>
      </c>
      <c r="D14" s="12">
        <v>4174</v>
      </c>
      <c r="E14" s="35">
        <f>VLOOKUP(B14,'2015'!$B$2:$G$338,6,FALSE)</f>
        <v>1.26711958199119E-2</v>
      </c>
      <c r="F14" s="18">
        <f t="shared" si="0"/>
        <v>526653.29628142039</v>
      </c>
      <c r="G14" s="18">
        <f>SUM(D14,F14)</f>
        <v>530827.29628142039</v>
      </c>
    </row>
    <row r="15" spans="1:9" x14ac:dyDescent="0.2">
      <c r="A15">
        <v>2017</v>
      </c>
      <c r="B15" s="34">
        <v>5113</v>
      </c>
      <c r="C15" s="3" t="s">
        <v>23</v>
      </c>
      <c r="D15" s="12">
        <v>9912</v>
      </c>
      <c r="E15" s="35">
        <f>VLOOKUP(B15,'2015'!$B$2:$G$338,6,FALSE)</f>
        <v>1.1491975514269418E-2</v>
      </c>
      <c r="F15" s="18">
        <f t="shared" si="0"/>
        <v>477641.32694284571</v>
      </c>
      <c r="G15" s="18">
        <f>SUM(D15,F15)</f>
        <v>487553.32694284571</v>
      </c>
    </row>
    <row r="16" spans="1:9" x14ac:dyDescent="0.2">
      <c r="A16">
        <v>2017</v>
      </c>
      <c r="B16" s="34">
        <v>5177</v>
      </c>
      <c r="C16" s="3" t="s">
        <v>24</v>
      </c>
      <c r="D16" s="12">
        <v>5363</v>
      </c>
      <c r="E16" s="35">
        <f>VLOOKUP(B16,'2015'!$B$2:$G$338,6,FALSE)</f>
        <v>1.3302968410463039E-2</v>
      </c>
      <c r="F16" s="18">
        <f t="shared" si="0"/>
        <v>552911.67962919839</v>
      </c>
      <c r="G16" s="18">
        <f>SUM(D16,F16)</f>
        <v>558274.67962919839</v>
      </c>
    </row>
    <row r="17" spans="1:7" x14ac:dyDescent="0.2">
      <c r="A17">
        <v>2017</v>
      </c>
      <c r="B17" s="34">
        <v>5178</v>
      </c>
      <c r="C17" s="3" t="s">
        <v>25</v>
      </c>
      <c r="D17" s="12">
        <v>28497</v>
      </c>
      <c r="E17" s="35">
        <f>VLOOKUP(B17,'2015'!$B$2:$G$338,6,FALSE)</f>
        <v>2.1732025416889681E-2</v>
      </c>
      <c r="F17" s="18">
        <f t="shared" si="0"/>
        <v>903248.83170782973</v>
      </c>
      <c r="G17" s="18">
        <f>SUM(D17,F17)</f>
        <v>931745.83170782973</v>
      </c>
    </row>
    <row r="18" spans="1:7" x14ac:dyDescent="0.2">
      <c r="A18">
        <v>2017</v>
      </c>
      <c r="B18" s="34">
        <v>5179</v>
      </c>
      <c r="C18" s="3" t="s">
        <v>26</v>
      </c>
      <c r="D18" s="12">
        <v>15099</v>
      </c>
      <c r="E18" s="35">
        <f>VLOOKUP(B18,'2015'!$B$2:$G$338,6,FALSE)</f>
        <v>1.1857958753272873E-2</v>
      </c>
      <c r="F18" s="18">
        <f t="shared" si="0"/>
        <v>492852.69940873666</v>
      </c>
      <c r="G18" s="18">
        <f>SUM(D18,F18)</f>
        <v>507951.69940873666</v>
      </c>
    </row>
    <row r="19" spans="1:7" x14ac:dyDescent="0.2">
      <c r="A19">
        <v>2017</v>
      </c>
      <c r="B19" s="34">
        <v>5180</v>
      </c>
      <c r="C19" s="3" t="s">
        <v>27</v>
      </c>
      <c r="D19" s="12">
        <v>10858</v>
      </c>
      <c r="E19" s="35">
        <f>VLOOKUP(B19,'2015'!$B$2:$G$338,6,FALSE)</f>
        <v>1.6155185392222552E-2</v>
      </c>
      <c r="F19" s="18">
        <f t="shared" si="0"/>
        <v>671458.46057255648</v>
      </c>
      <c r="G19" s="18">
        <f>SUM(D19,F19)</f>
        <v>682316.46057255648</v>
      </c>
    </row>
    <row r="20" spans="1:7" x14ac:dyDescent="0.2">
      <c r="A20">
        <v>2017</v>
      </c>
      <c r="B20" s="34">
        <v>5404</v>
      </c>
      <c r="C20" s="3" t="s">
        <v>367</v>
      </c>
      <c r="D20" s="12">
        <v>7775</v>
      </c>
      <c r="E20" s="35">
        <f>VLOOKUP(B20,'2015'!$B$2:$G$338,6,FALSE)</f>
        <v>1.896247337209666E-2</v>
      </c>
      <c r="F20" s="18">
        <f t="shared" si="0"/>
        <v>788137.85604749667</v>
      </c>
      <c r="G20" s="18">
        <f>SUM(D20,F20)</f>
        <v>795912.85604749667</v>
      </c>
    </row>
    <row r="21" spans="1:7" x14ac:dyDescent="0.2">
      <c r="A21">
        <v>2017</v>
      </c>
      <c r="B21" s="34">
        <v>5406</v>
      </c>
      <c r="C21" s="3" t="s">
        <v>29</v>
      </c>
      <c r="D21" s="12">
        <v>99583</v>
      </c>
      <c r="E21" s="35">
        <f>VLOOKUP(B21,'2015'!$B$2:$G$338,6,FALSE)</f>
        <v>0.18385655811930474</v>
      </c>
      <c r="F21" s="18">
        <f t="shared" si="0"/>
        <v>7641635.7029483272</v>
      </c>
      <c r="G21" s="18">
        <f>SUM(D21,F21)</f>
        <v>7741218.7029483272</v>
      </c>
    </row>
    <row r="22" spans="1:7" x14ac:dyDescent="0.2">
      <c r="A22">
        <v>2017</v>
      </c>
      <c r="B22" s="34">
        <v>5596</v>
      </c>
      <c r="C22" s="3" t="s">
        <v>30</v>
      </c>
      <c r="D22" s="12">
        <v>80981</v>
      </c>
      <c r="E22" s="35">
        <f>VLOOKUP(B22,'2015'!$B$2:$G$338,6,FALSE)</f>
        <v>1.6026551225248188E-2</v>
      </c>
      <c r="F22" s="18">
        <f t="shared" si="0"/>
        <v>666112.03478810086</v>
      </c>
      <c r="G22" s="18">
        <f>SUM(D22,F22)</f>
        <v>747093.03478810086</v>
      </c>
    </row>
    <row r="23" spans="1:7" x14ac:dyDescent="0.2">
      <c r="A23">
        <v>2017</v>
      </c>
      <c r="B23" s="34">
        <v>5600</v>
      </c>
      <c r="C23" s="3" t="s">
        <v>31</v>
      </c>
      <c r="D23" s="12">
        <v>105230</v>
      </c>
      <c r="E23" s="35">
        <f>VLOOKUP(B23,'2015'!$B$2:$G$338,6,FALSE)</f>
        <v>1.8681545381490052E-2</v>
      </c>
      <c r="F23" s="18">
        <f t="shared" si="0"/>
        <v>776461.63745112787</v>
      </c>
      <c r="G23" s="18">
        <f>SUM(D23,F23)</f>
        <v>881691.63745112787</v>
      </c>
    </row>
    <row r="24" spans="1:7" x14ac:dyDescent="0.2">
      <c r="A24">
        <v>2017</v>
      </c>
      <c r="B24" s="34">
        <v>5604</v>
      </c>
      <c r="C24" s="3" t="s">
        <v>32</v>
      </c>
      <c r="D24" s="12">
        <v>76703</v>
      </c>
      <c r="E24" s="35">
        <f>VLOOKUP(B24,'2015'!$B$2:$G$338,6,FALSE)</f>
        <v>1.7146633455502592E-2</v>
      </c>
      <c r="F24" s="18">
        <f t="shared" si="0"/>
        <v>712666.04650519136</v>
      </c>
      <c r="G24" s="18">
        <f>SUM(D24,F24)</f>
        <v>789369.04650519136</v>
      </c>
    </row>
    <row r="25" spans="1:7" x14ac:dyDescent="0.2">
      <c r="A25">
        <v>2017</v>
      </c>
      <c r="B25" s="34">
        <v>5608</v>
      </c>
      <c r="C25" s="3" t="s">
        <v>33</v>
      </c>
      <c r="D25" s="12">
        <v>28222</v>
      </c>
      <c r="E25" s="35">
        <f>VLOOKUP(B25,'2015'!$B$2:$G$338,6,FALSE)</f>
        <v>1.6119618443439378E-2</v>
      </c>
      <c r="F25" s="18">
        <f t="shared" si="0"/>
        <v>669980.19040125224</v>
      </c>
      <c r="G25" s="18">
        <f>SUM(D25,F25)</f>
        <v>698202.19040125224</v>
      </c>
    </row>
    <row r="26" spans="1:7" x14ac:dyDescent="0.2">
      <c r="A26">
        <v>2017</v>
      </c>
      <c r="B26" s="34">
        <v>5609</v>
      </c>
      <c r="C26" s="3" t="s">
        <v>365</v>
      </c>
      <c r="D26" s="12">
        <v>87406</v>
      </c>
      <c r="E26" s="35">
        <f>VLOOKUP(B26,'2015'!$B$2:$G$338,6,FALSE)</f>
        <v>1.7566288039122847E-2</v>
      </c>
      <c r="F26" s="18">
        <f t="shared" si="0"/>
        <v>730108.16269567027</v>
      </c>
      <c r="G26" s="18">
        <f>SUM(D26,F26)</f>
        <v>817514.16269567027</v>
      </c>
    </row>
    <row r="27" spans="1:7" x14ac:dyDescent="0.2">
      <c r="A27">
        <v>2017</v>
      </c>
      <c r="B27" s="34">
        <v>5612</v>
      </c>
      <c r="C27" s="3" t="s">
        <v>35</v>
      </c>
      <c r="D27" s="12">
        <v>137489</v>
      </c>
      <c r="E27" s="35">
        <f>VLOOKUP(B27,'2015'!$B$2:$G$338,6,FALSE)</f>
        <v>3.6267907610125244E-2</v>
      </c>
      <c r="F27" s="18">
        <f t="shared" si="0"/>
        <v>1507404.1442945099</v>
      </c>
      <c r="G27" s="18">
        <f>SUM(D27,F27)</f>
        <v>1644893.1442945099</v>
      </c>
    </row>
    <row r="28" spans="1:7" x14ac:dyDescent="0.2">
      <c r="A28">
        <v>2017</v>
      </c>
      <c r="B28" s="34">
        <v>5624</v>
      </c>
      <c r="C28" s="3" t="s">
        <v>36</v>
      </c>
      <c r="D28" s="12">
        <v>38416</v>
      </c>
      <c r="E28" s="35">
        <f>VLOOKUP(B28,'2015'!$B$2:$G$338,6,FALSE)</f>
        <v>1.2935059642807353E-2</v>
      </c>
      <c r="F28" s="18">
        <f t="shared" si="0"/>
        <v>537620.27635751816</v>
      </c>
      <c r="G28" s="18">
        <f>SUM(D28,F28)</f>
        <v>576036.27635751816</v>
      </c>
    </row>
    <row r="29" spans="1:7" x14ac:dyDescent="0.2">
      <c r="A29">
        <v>2017</v>
      </c>
      <c r="B29" s="34">
        <v>5626</v>
      </c>
      <c r="C29" s="3" t="s">
        <v>37</v>
      </c>
      <c r="D29" s="12">
        <v>92883</v>
      </c>
      <c r="E29" s="35">
        <f>VLOOKUP(B29,'2015'!$B$2:$G$338,6,FALSE)</f>
        <v>1.5028308480402224E-2</v>
      </c>
      <c r="F29" s="18">
        <f t="shared" si="0"/>
        <v>624622.04129940469</v>
      </c>
      <c r="G29" s="18">
        <f>SUM(D29,F29)</f>
        <v>717505.04129940469</v>
      </c>
    </row>
    <row r="30" spans="1:7" x14ac:dyDescent="0.2">
      <c r="A30">
        <v>2017</v>
      </c>
      <c r="B30" s="34">
        <v>5634</v>
      </c>
      <c r="C30" s="3" t="s">
        <v>38</v>
      </c>
      <c r="D30" s="12">
        <v>48039</v>
      </c>
      <c r="E30" s="35">
        <f>VLOOKUP(B30,'2015'!$B$2:$G$338,6,FALSE)</f>
        <v>2.1955563800654488E-2</v>
      </c>
      <c r="F30" s="18">
        <f t="shared" si="0"/>
        <v>912539.76433394826</v>
      </c>
      <c r="G30" s="18">
        <f>SUM(D30,F30)</f>
        <v>960578.76433394826</v>
      </c>
    </row>
    <row r="31" spans="1:7" x14ac:dyDescent="0.2">
      <c r="A31">
        <v>2017</v>
      </c>
      <c r="B31" s="34">
        <v>5638</v>
      </c>
      <c r="C31" s="3" t="s">
        <v>39</v>
      </c>
      <c r="D31" s="12">
        <v>33070</v>
      </c>
      <c r="E31" s="35">
        <f>VLOOKUP(B31,'2015'!$B$2:$G$338,6,FALSE)</f>
        <v>1.1550715204419101E-2</v>
      </c>
      <c r="F31" s="18">
        <f t="shared" si="0"/>
        <v>480082.72646658024</v>
      </c>
      <c r="G31" s="18">
        <f>SUM(D31,F31)</f>
        <v>513152.72646658024</v>
      </c>
    </row>
    <row r="32" spans="1:7" x14ac:dyDescent="0.2">
      <c r="A32">
        <v>2017</v>
      </c>
      <c r="B32" s="34">
        <v>5655</v>
      </c>
      <c r="C32" s="3" t="s">
        <v>40</v>
      </c>
      <c r="D32" s="12">
        <v>2510</v>
      </c>
      <c r="E32" s="35">
        <f>VLOOKUP(B32,'2015'!$B$2:$G$338,6,FALSE)</f>
        <v>5.1934606302538574E-3</v>
      </c>
      <c r="F32" s="18">
        <f t="shared" si="0"/>
        <v>215855.96173431986</v>
      </c>
      <c r="G32" s="18">
        <f>SUM(D32,F32)</f>
        <v>218365.96173431986</v>
      </c>
    </row>
    <row r="33" spans="1:7" x14ac:dyDescent="0.2">
      <c r="A33">
        <v>2017</v>
      </c>
      <c r="B33" s="34">
        <v>5657</v>
      </c>
      <c r="C33" s="3" t="s">
        <v>41</v>
      </c>
      <c r="D33" s="12">
        <v>24376</v>
      </c>
      <c r="E33" s="35">
        <f>VLOOKUP(B33,'2015'!$B$2:$G$338,6,FALSE)</f>
        <v>2.8683294514011727E-3</v>
      </c>
      <c r="F33" s="18">
        <f t="shared" si="0"/>
        <v>119216.46400789414</v>
      </c>
      <c r="G33" s="18">
        <f>SUM(D33,F33)</f>
        <v>143592.46400789416</v>
      </c>
    </row>
    <row r="34" spans="1:7" x14ac:dyDescent="0.2">
      <c r="A34">
        <v>2017</v>
      </c>
      <c r="B34" s="34">
        <v>4930</v>
      </c>
      <c r="C34" s="3" t="s">
        <v>353</v>
      </c>
      <c r="D34" s="12">
        <v>6237</v>
      </c>
      <c r="E34" s="35">
        <f>VLOOKUP(B34,'2015'!$B$2:$G$338,6,FALSE)</f>
        <v>8.169597553666752E-3</v>
      </c>
      <c r="F34" s="18">
        <f t="shared" si="0"/>
        <v>339553.2309720976</v>
      </c>
      <c r="G34" s="18">
        <f>SUM(D34,F34)</f>
        <v>345790.2309720976</v>
      </c>
    </row>
    <row r="35" spans="1:7" x14ac:dyDescent="0.2">
      <c r="A35">
        <v>2017</v>
      </c>
      <c r="B35" s="34">
        <v>5671</v>
      </c>
      <c r="C35" s="3" t="s">
        <v>42</v>
      </c>
      <c r="D35" s="12">
        <v>37077</v>
      </c>
      <c r="E35" s="35">
        <f>VLOOKUP(B35,'2015'!$B$2:$G$338,6,FALSE)</f>
        <v>6.9584842964396064E-3</v>
      </c>
      <c r="F35" s="18">
        <f t="shared" si="0"/>
        <v>289215.69391924201</v>
      </c>
      <c r="G35" s="18">
        <f>SUM(D35,F35)</f>
        <v>326292.69391924201</v>
      </c>
    </row>
    <row r="36" spans="1:7" x14ac:dyDescent="0.2">
      <c r="A36">
        <v>2017</v>
      </c>
      <c r="B36" s="34">
        <v>5682</v>
      </c>
      <c r="C36" s="3" t="s">
        <v>43</v>
      </c>
      <c r="D36" s="12">
        <v>135426</v>
      </c>
      <c r="E36" s="35">
        <f>VLOOKUP(B36,'2015'!$B$2:$G$338,6,FALSE)</f>
        <v>4.9492217068518966E-2</v>
      </c>
      <c r="F36" s="18">
        <f t="shared" si="0"/>
        <v>2057046.5195124981</v>
      </c>
      <c r="G36" s="18">
        <f>SUM(D36,F36)</f>
        <v>2192472.5195124978</v>
      </c>
    </row>
    <row r="37" spans="1:7" x14ac:dyDescent="0.2">
      <c r="A37">
        <v>2017</v>
      </c>
      <c r="B37" s="34">
        <v>5688</v>
      </c>
      <c r="C37" s="3" t="s">
        <v>44</v>
      </c>
      <c r="D37" s="12">
        <v>11942</v>
      </c>
      <c r="E37" s="35">
        <f>VLOOKUP(B37,'2015'!$B$2:$G$338,6,FALSE)</f>
        <v>5.5749366285281409E-3</v>
      </c>
      <c r="F37" s="18">
        <f t="shared" si="0"/>
        <v>231711.2602238032</v>
      </c>
      <c r="G37" s="18">
        <f>SUM(D37,F37)</f>
        <v>243653.2602238032</v>
      </c>
    </row>
    <row r="38" spans="1:7" x14ac:dyDescent="0.2">
      <c r="A38">
        <v>2017</v>
      </c>
      <c r="B38" s="34">
        <v>9034</v>
      </c>
      <c r="C38" s="3" t="s">
        <v>45</v>
      </c>
      <c r="D38" s="12">
        <v>43915</v>
      </c>
      <c r="E38" s="35">
        <f>VLOOKUP(B38,'2015'!$B$2:$G$338,6,FALSE)</f>
        <v>1.0344603895185109E-2</v>
      </c>
      <c r="F38" s="18">
        <f t="shared" si="0"/>
        <v>429953.08552991308</v>
      </c>
      <c r="G38" s="18">
        <f>SUM(D38,F38)</f>
        <v>473868.08552991308</v>
      </c>
    </row>
    <row r="39" spans="1:7" x14ac:dyDescent="0.2">
      <c r="A39">
        <v>2017</v>
      </c>
      <c r="B39" s="34">
        <v>9042</v>
      </c>
      <c r="C39" s="3" t="s">
        <v>46</v>
      </c>
      <c r="D39" s="12">
        <v>21618</v>
      </c>
      <c r="E39" s="35">
        <f>VLOOKUP(B39,'2015'!$B$2:$G$338,6,FALSE)</f>
        <v>6.7431128100618474E-3</v>
      </c>
      <c r="F39" s="18">
        <f t="shared" si="0"/>
        <v>280264.20229698846</v>
      </c>
      <c r="G39" s="18">
        <f>SUM(D39,F39)</f>
        <v>301882.20229698846</v>
      </c>
    </row>
    <row r="40" spans="1:7" x14ac:dyDescent="0.2">
      <c r="A40">
        <v>2017</v>
      </c>
      <c r="B40" s="34">
        <v>9047</v>
      </c>
      <c r="C40" s="3" t="s">
        <v>47</v>
      </c>
      <c r="D40" s="12">
        <v>34380</v>
      </c>
      <c r="E40" s="35">
        <f>VLOOKUP(B40,'2015'!$B$2:$G$338,6,FALSE)</f>
        <v>5.8226437167554438E-3</v>
      </c>
      <c r="F40" s="18">
        <f t="shared" si="0"/>
        <v>242006.71744672605</v>
      </c>
      <c r="G40" s="18">
        <f>SUM(D40,F40)</f>
        <v>276386.71744672605</v>
      </c>
    </row>
    <row r="41" spans="1:7" x14ac:dyDescent="0.2">
      <c r="A41">
        <v>2017</v>
      </c>
      <c r="B41" s="34">
        <v>9053</v>
      </c>
      <c r="C41" s="3" t="s">
        <v>48</v>
      </c>
      <c r="D41" s="3"/>
      <c r="E41" s="35">
        <f>VLOOKUP(B41,'2015'!$B$2:$G$338,6,FALSE)</f>
        <v>3.2831370146209815E-4</v>
      </c>
      <c r="F41" s="18">
        <f t="shared" si="0"/>
        <v>13645.712334242053</v>
      </c>
      <c r="G41" s="18">
        <f>SUM(D41,F41)</f>
        <v>13645.712334242053</v>
      </c>
    </row>
    <row r="42" spans="1:7" x14ac:dyDescent="0.2">
      <c r="A42">
        <v>2017</v>
      </c>
      <c r="B42" s="34">
        <v>9055</v>
      </c>
      <c r="C42" s="3" t="s">
        <v>49</v>
      </c>
      <c r="D42" s="12">
        <v>49297</v>
      </c>
      <c r="E42" s="35">
        <f>VLOOKUP(B42,'2015'!$B$2:$G$338,6,FALSE)</f>
        <v>6.5073794114995712E-3</v>
      </c>
      <c r="F42" s="18">
        <f t="shared" si="0"/>
        <v>270466.4079008706</v>
      </c>
      <c r="G42" s="18">
        <f>SUM(D42,F42)</f>
        <v>319763.4079008706</v>
      </c>
    </row>
    <row r="43" spans="1:7" x14ac:dyDescent="0.2">
      <c r="A43">
        <v>2017</v>
      </c>
      <c r="B43" s="34">
        <v>9056</v>
      </c>
      <c r="C43" s="3" t="s">
        <v>50</v>
      </c>
      <c r="D43" s="12">
        <v>14784</v>
      </c>
      <c r="E43" s="35">
        <f>VLOOKUP(B43,'2015'!$B$2:$G$338,6,FALSE)</f>
        <v>5.467107024003175E-3</v>
      </c>
      <c r="F43" s="18">
        <f t="shared" si="0"/>
        <v>227229.53509960021</v>
      </c>
      <c r="G43" s="18">
        <f>SUM(D43,F43)</f>
        <v>242013.53509960021</v>
      </c>
    </row>
    <row r="44" spans="1:7" x14ac:dyDescent="0.2">
      <c r="A44">
        <v>2017</v>
      </c>
      <c r="B44" s="34">
        <v>9273</v>
      </c>
      <c r="C44" s="3" t="s">
        <v>51</v>
      </c>
      <c r="D44" s="12">
        <v>19649</v>
      </c>
      <c r="E44" s="35">
        <f>VLOOKUP(B44,'2015'!$B$2:$G$338,6,FALSE)</f>
        <v>1.0952362708866464E-2</v>
      </c>
      <c r="F44" s="18">
        <f t="shared" si="0"/>
        <v>455213.38354112295</v>
      </c>
      <c r="G44" s="18">
        <f>SUM(D44,F44)</f>
        <v>474862.38354112295</v>
      </c>
    </row>
    <row r="45" spans="1:7" x14ac:dyDescent="0.2">
      <c r="A45">
        <v>2017</v>
      </c>
      <c r="B45" s="34">
        <v>9274</v>
      </c>
      <c r="C45" s="3" t="s">
        <v>52</v>
      </c>
      <c r="D45" s="12">
        <v>49123</v>
      </c>
      <c r="E45" s="35">
        <f>VLOOKUP(B45,'2015'!$B$2:$G$338,6,FALSE)</f>
        <v>2.9805855585749469E-2</v>
      </c>
      <c r="F45" s="18">
        <f t="shared" si="0"/>
        <v>1238821.6799598068</v>
      </c>
      <c r="G45" s="18">
        <f>SUM(D45,F45)</f>
        <v>1287944.6799598068</v>
      </c>
    </row>
    <row r="46" spans="1:7" x14ac:dyDescent="0.2">
      <c r="A46">
        <v>2017</v>
      </c>
      <c r="B46" s="34">
        <v>9303</v>
      </c>
      <c r="C46" s="3" t="s">
        <v>363</v>
      </c>
      <c r="D46" s="12">
        <v>18589</v>
      </c>
      <c r="E46" s="35">
        <f>VLOOKUP(B46,'2015'!$B$2:$G$338,6,FALSE)</f>
        <v>2.0704036574243728E-2</v>
      </c>
      <c r="F46" s="18">
        <f t="shared" si="0"/>
        <v>860522.50025383604</v>
      </c>
      <c r="G46" s="18">
        <f>SUM(D46,F46)</f>
        <v>879111.50025383604</v>
      </c>
    </row>
    <row r="47" spans="1:7" x14ac:dyDescent="0.2">
      <c r="A47">
        <v>2017</v>
      </c>
      <c r="B47" s="34">
        <v>9304</v>
      </c>
      <c r="C47" s="3" t="s">
        <v>54</v>
      </c>
      <c r="D47" s="3"/>
      <c r="E47" s="35">
        <f>VLOOKUP(B47,'2015'!$B$2:$G$338,6,FALSE)</f>
        <v>6.982210350637218E-3</v>
      </c>
      <c r="F47" s="18">
        <f t="shared" si="0"/>
        <v>290201.82062965777</v>
      </c>
      <c r="G47" s="18">
        <f>SUM(D47,F47)</f>
        <v>290201.82062965777</v>
      </c>
    </row>
    <row r="48" spans="1:7" x14ac:dyDescent="0.2">
      <c r="A48">
        <v>2017</v>
      </c>
      <c r="B48" s="34">
        <v>9305</v>
      </c>
      <c r="C48" s="3" t="s">
        <v>55</v>
      </c>
      <c r="D48" s="12">
        <v>20567</v>
      </c>
      <c r="E48" s="35">
        <f>VLOOKUP(B48,'2015'!$B$2:$G$338,6,FALSE)</f>
        <v>8.0967373200673699E-3</v>
      </c>
      <c r="F48" s="18">
        <f t="shared" si="0"/>
        <v>336524.93887257454</v>
      </c>
      <c r="G48" s="18">
        <f>SUM(D48,F48)</f>
        <v>357091.93887257454</v>
      </c>
    </row>
    <row r="49" spans="1:7" x14ac:dyDescent="0.2">
      <c r="A49">
        <v>2017</v>
      </c>
      <c r="B49" s="34">
        <v>9395</v>
      </c>
      <c r="C49" s="3" t="s">
        <v>56</v>
      </c>
      <c r="D49" s="12">
        <v>1407</v>
      </c>
      <c r="E49" s="35">
        <f>VLOOKUP(B49,'2015'!$B$2:$G$338,6,FALSE)</f>
        <v>5.0036743291862092E-3</v>
      </c>
      <c r="F49" s="18">
        <f t="shared" si="0"/>
        <v>207967.86794531313</v>
      </c>
      <c r="G49" s="18">
        <f>SUM(D49,F49)</f>
        <v>209374.86794531313</v>
      </c>
    </row>
    <row r="50" spans="1:7" x14ac:dyDescent="0.2">
      <c r="A50">
        <v>2017</v>
      </c>
      <c r="B50" s="34">
        <v>9487</v>
      </c>
      <c r="C50" s="3" t="s">
        <v>57</v>
      </c>
      <c r="D50" s="12">
        <v>14830</v>
      </c>
      <c r="E50" s="35">
        <f>VLOOKUP(B50,'2015'!$B$2:$G$338,6,FALSE)</f>
        <v>5.106634780797486E-4</v>
      </c>
      <c r="F50" s="18">
        <f t="shared" si="0"/>
        <v>21224.721631924425</v>
      </c>
      <c r="G50" s="18">
        <f>SUM(D50,F50)</f>
        <v>36054.721631924425</v>
      </c>
    </row>
    <row r="51" spans="1:7" x14ac:dyDescent="0.2">
      <c r="A51">
        <v>2017</v>
      </c>
      <c r="B51" s="34">
        <v>9507</v>
      </c>
      <c r="C51" s="3" t="s">
        <v>58</v>
      </c>
      <c r="D51" s="12">
        <v>85346</v>
      </c>
      <c r="E51" s="35">
        <f>VLOOKUP(B51,'2015'!$B$2:$G$338,6,FALSE)</f>
        <v>2.7714554409320073E-2</v>
      </c>
      <c r="F51" s="18">
        <f t="shared" si="0"/>
        <v>1151900.865718029</v>
      </c>
      <c r="G51" s="18">
        <f>SUM(D51,F51)</f>
        <v>1237246.865718029</v>
      </c>
    </row>
    <row r="52" spans="1:7" x14ac:dyDescent="0.2">
      <c r="A52">
        <v>2017</v>
      </c>
      <c r="B52" s="34">
        <v>4828</v>
      </c>
      <c r="C52" s="3" t="s">
        <v>59</v>
      </c>
      <c r="D52" s="12">
        <v>2529811</v>
      </c>
      <c r="E52" s="35">
        <f>VLOOKUP(B52,'2015'!$B$2:$G$338,6,FALSE)</f>
        <v>0</v>
      </c>
      <c r="F52" s="18">
        <f t="shared" si="0"/>
        <v>0</v>
      </c>
      <c r="G52" s="18">
        <f>SUM(D52,F52)</f>
        <v>2529811</v>
      </c>
    </row>
    <row r="53" spans="1:7" x14ac:dyDescent="0.2">
      <c r="A53">
        <v>2017</v>
      </c>
      <c r="B53" s="34">
        <v>4829</v>
      </c>
      <c r="C53" s="3" t="s">
        <v>60</v>
      </c>
      <c r="D53" s="12">
        <v>1109694</v>
      </c>
      <c r="E53" s="35">
        <f>VLOOKUP(B53,'2015'!$B$2:$G$338,6,FALSE)</f>
        <v>0</v>
      </c>
      <c r="F53" s="18">
        <f t="shared" si="0"/>
        <v>0</v>
      </c>
      <c r="G53" s="18">
        <f>SUM(D53,F53)</f>
        <v>1109694</v>
      </c>
    </row>
    <row r="54" spans="1:7" x14ac:dyDescent="0.2">
      <c r="A54">
        <v>2017</v>
      </c>
      <c r="B54" s="34">
        <v>4871</v>
      </c>
      <c r="C54" s="3" t="s">
        <v>61</v>
      </c>
      <c r="D54" s="12">
        <v>367483</v>
      </c>
      <c r="E54" s="35">
        <f>VLOOKUP(B54,'2015'!$B$2:$G$338,6,FALSE)</f>
        <v>0</v>
      </c>
      <c r="F54" s="18">
        <f t="shared" si="0"/>
        <v>0</v>
      </c>
      <c r="G54" s="18">
        <f>SUM(D54,F54)</f>
        <v>367483</v>
      </c>
    </row>
    <row r="55" spans="1:7" x14ac:dyDescent="0.2">
      <c r="A55">
        <v>2017</v>
      </c>
      <c r="B55" s="34">
        <v>4882</v>
      </c>
      <c r="C55" s="3" t="s">
        <v>62</v>
      </c>
      <c r="D55" s="12">
        <v>2003420</v>
      </c>
      <c r="E55" s="35">
        <f>VLOOKUP(B55,'2015'!$B$2:$G$338,6,FALSE)</f>
        <v>0</v>
      </c>
      <c r="F55" s="18">
        <f t="shared" si="0"/>
        <v>0</v>
      </c>
      <c r="G55" s="18">
        <f>SUM(D55,F55)</f>
        <v>2003420</v>
      </c>
    </row>
    <row r="56" spans="1:7" x14ac:dyDescent="0.2">
      <c r="A56">
        <v>2017</v>
      </c>
      <c r="B56" s="34">
        <v>4912</v>
      </c>
      <c r="C56" s="3" t="s">
        <v>63</v>
      </c>
      <c r="D56" s="12">
        <v>346435</v>
      </c>
      <c r="E56" s="35">
        <f>VLOOKUP(B56,'2015'!$B$2:$G$338,6,FALSE)</f>
        <v>0</v>
      </c>
      <c r="F56" s="18">
        <f t="shared" si="0"/>
        <v>0</v>
      </c>
      <c r="G56" s="18">
        <f>SUM(D56,F56)</f>
        <v>346435</v>
      </c>
    </row>
    <row r="57" spans="1:7" x14ac:dyDescent="0.2">
      <c r="A57">
        <v>2017</v>
      </c>
      <c r="B57" s="34">
        <v>4977</v>
      </c>
      <c r="C57" s="3" t="s">
        <v>64</v>
      </c>
      <c r="D57" s="12">
        <v>192019</v>
      </c>
      <c r="E57" s="35">
        <f>VLOOKUP(B57,'2015'!$B$2:$G$338,6,FALSE)</f>
        <v>0</v>
      </c>
      <c r="F57" s="18">
        <f t="shared" si="0"/>
        <v>0</v>
      </c>
      <c r="G57" s="18">
        <f>SUM(D57,F57)</f>
        <v>192019</v>
      </c>
    </row>
    <row r="58" spans="1:7" x14ac:dyDescent="0.2">
      <c r="A58">
        <v>2017</v>
      </c>
      <c r="B58" s="34">
        <v>4978</v>
      </c>
      <c r="C58" s="3" t="s">
        <v>65</v>
      </c>
      <c r="D58" s="12">
        <v>20383903</v>
      </c>
      <c r="E58" s="35">
        <f>VLOOKUP(B58,'2015'!$B$2:$G$338,6,FALSE)</f>
        <v>0</v>
      </c>
      <c r="F58" s="18">
        <f t="shared" si="0"/>
        <v>0</v>
      </c>
      <c r="G58" s="18">
        <f>SUM(D58,F58)</f>
        <v>20383903</v>
      </c>
    </row>
    <row r="59" spans="1:7" x14ac:dyDescent="0.2">
      <c r="A59">
        <v>2017</v>
      </c>
      <c r="B59" s="34">
        <v>4979</v>
      </c>
      <c r="C59" s="3" t="s">
        <v>66</v>
      </c>
      <c r="D59" s="12">
        <v>76444</v>
      </c>
      <c r="E59" s="35">
        <f>VLOOKUP(B59,'2015'!$B$2:$G$338,6,FALSE)</f>
        <v>0</v>
      </c>
      <c r="F59" s="18">
        <f t="shared" si="0"/>
        <v>0</v>
      </c>
      <c r="G59" s="18">
        <f>SUM(D59,F59)</f>
        <v>76444</v>
      </c>
    </row>
    <row r="60" spans="1:7" x14ac:dyDescent="0.2">
      <c r="A60">
        <v>2017</v>
      </c>
      <c r="B60" s="34">
        <v>4980</v>
      </c>
      <c r="C60" s="3" t="s">
        <v>67</v>
      </c>
      <c r="D60" s="12">
        <v>1826129</v>
      </c>
      <c r="E60" s="35">
        <f>VLOOKUP(B60,'2015'!$B$2:$G$338,6,FALSE)</f>
        <v>0</v>
      </c>
      <c r="F60" s="18">
        <f t="shared" si="0"/>
        <v>0</v>
      </c>
      <c r="G60" s="18">
        <f>SUM(D60,F60)</f>
        <v>1826129</v>
      </c>
    </row>
    <row r="61" spans="1:7" x14ac:dyDescent="0.2">
      <c r="A61">
        <v>2017</v>
      </c>
      <c r="B61" s="34">
        <v>4981</v>
      </c>
      <c r="C61" s="3" t="s">
        <v>68</v>
      </c>
      <c r="D61" s="12">
        <v>3686963</v>
      </c>
      <c r="E61" s="35">
        <f>VLOOKUP(B61,'2015'!$B$2:$G$338,6,FALSE)</f>
        <v>0</v>
      </c>
      <c r="F61" s="18">
        <f t="shared" si="0"/>
        <v>0</v>
      </c>
      <c r="G61" s="18">
        <f>SUM(D61,F61)</f>
        <v>3686963</v>
      </c>
    </row>
    <row r="62" spans="1:7" x14ac:dyDescent="0.2">
      <c r="A62">
        <v>2017</v>
      </c>
      <c r="B62" s="34">
        <v>4982</v>
      </c>
      <c r="C62" s="3" t="s">
        <v>69</v>
      </c>
      <c r="D62" s="12">
        <v>35137103</v>
      </c>
      <c r="E62" s="35">
        <f>VLOOKUP(B62,'2015'!$B$2:$G$338,6,FALSE)</f>
        <v>0</v>
      </c>
      <c r="F62" s="18">
        <f t="shared" si="0"/>
        <v>0</v>
      </c>
      <c r="G62" s="18">
        <f>SUM(D62,F62)</f>
        <v>35137103</v>
      </c>
    </row>
    <row r="63" spans="1:7" x14ac:dyDescent="0.2">
      <c r="A63">
        <v>2017</v>
      </c>
      <c r="B63" s="34">
        <v>4983</v>
      </c>
      <c r="C63" s="3" t="s">
        <v>70</v>
      </c>
      <c r="D63" s="12">
        <v>4604513</v>
      </c>
      <c r="E63" s="35">
        <f>VLOOKUP(B63,'2015'!$B$2:$G$338,6,FALSE)</f>
        <v>0</v>
      </c>
      <c r="F63" s="18">
        <f t="shared" si="0"/>
        <v>0</v>
      </c>
      <c r="G63" s="18">
        <f>SUM(D63,F63)</f>
        <v>4604513</v>
      </c>
    </row>
    <row r="64" spans="1:7" x14ac:dyDescent="0.2">
      <c r="A64">
        <v>2017</v>
      </c>
      <c r="B64" s="34">
        <v>4984</v>
      </c>
      <c r="C64" s="3" t="s">
        <v>71</v>
      </c>
      <c r="D64" s="12">
        <v>1434322</v>
      </c>
      <c r="E64" s="35">
        <f>VLOOKUP(B64,'2015'!$B$2:$G$338,6,FALSE)</f>
        <v>0</v>
      </c>
      <c r="F64" s="18">
        <f t="shared" si="0"/>
        <v>0</v>
      </c>
      <c r="G64" s="18">
        <f>SUM(D64,F64)</f>
        <v>1434322</v>
      </c>
    </row>
    <row r="65" spans="1:7" x14ac:dyDescent="0.2">
      <c r="A65">
        <v>2017</v>
      </c>
      <c r="B65" s="34">
        <v>4985</v>
      </c>
      <c r="C65" s="3" t="s">
        <v>72</v>
      </c>
      <c r="D65" s="12">
        <v>2987145</v>
      </c>
      <c r="E65" s="35">
        <f>VLOOKUP(B65,'2015'!$B$2:$G$338,6,FALSE)</f>
        <v>0</v>
      </c>
      <c r="F65" s="18">
        <f t="shared" si="0"/>
        <v>0</v>
      </c>
      <c r="G65" s="18">
        <f>SUM(D65,F65)</f>
        <v>2987145</v>
      </c>
    </row>
    <row r="66" spans="1:7" x14ac:dyDescent="0.2">
      <c r="A66">
        <v>2017</v>
      </c>
      <c r="B66" s="34">
        <v>4986</v>
      </c>
      <c r="C66" s="3" t="s">
        <v>73</v>
      </c>
      <c r="D66" s="12">
        <v>3470010</v>
      </c>
      <c r="E66" s="35">
        <f>VLOOKUP(B66,'2015'!$B$2:$G$338,6,FALSE)</f>
        <v>0</v>
      </c>
      <c r="F66" s="18">
        <f t="shared" si="0"/>
        <v>0</v>
      </c>
      <c r="G66" s="18">
        <f>SUM(D66,F66)</f>
        <v>3470010</v>
      </c>
    </row>
    <row r="67" spans="1:7" x14ac:dyDescent="0.2">
      <c r="A67">
        <v>2017</v>
      </c>
      <c r="B67" s="34">
        <v>4987</v>
      </c>
      <c r="C67" s="3" t="s">
        <v>74</v>
      </c>
      <c r="D67" s="12">
        <v>484456</v>
      </c>
      <c r="E67" s="35">
        <f>VLOOKUP(B67,'2015'!$B$2:$G$338,6,FALSE)</f>
        <v>0</v>
      </c>
      <c r="F67" s="18">
        <f t="shared" ref="F67:F130" si="1">E67*$D$341</f>
        <v>0</v>
      </c>
      <c r="G67" s="18">
        <f>SUM(D67,F67)</f>
        <v>484456</v>
      </c>
    </row>
    <row r="68" spans="1:7" x14ac:dyDescent="0.2">
      <c r="A68">
        <v>2017</v>
      </c>
      <c r="B68" s="34">
        <v>4988</v>
      </c>
      <c r="C68" s="3" t="s">
        <v>75</v>
      </c>
      <c r="D68" s="12">
        <v>1735353</v>
      </c>
      <c r="E68" s="35">
        <f>VLOOKUP(B68,'2015'!$B$2:$G$338,6,FALSE)</f>
        <v>0</v>
      </c>
      <c r="F68" s="18">
        <f t="shared" si="1"/>
        <v>0</v>
      </c>
      <c r="G68" s="18">
        <f>SUM(D68,F68)</f>
        <v>1735353</v>
      </c>
    </row>
    <row r="69" spans="1:7" x14ac:dyDescent="0.2">
      <c r="A69">
        <v>2017</v>
      </c>
      <c r="B69" s="34">
        <v>4990</v>
      </c>
      <c r="C69" s="3" t="s">
        <v>76</v>
      </c>
      <c r="D69" s="12">
        <v>100402</v>
      </c>
      <c r="E69" s="35">
        <f>VLOOKUP(B69,'2015'!$B$2:$G$338,6,FALSE)</f>
        <v>0</v>
      </c>
      <c r="F69" s="18">
        <f t="shared" si="1"/>
        <v>0</v>
      </c>
      <c r="G69" s="18">
        <f>SUM(D69,F69)</f>
        <v>100402</v>
      </c>
    </row>
    <row r="70" spans="1:7" x14ac:dyDescent="0.2">
      <c r="A70">
        <v>2017</v>
      </c>
      <c r="B70" s="34">
        <v>4991</v>
      </c>
      <c r="C70" s="3" t="s">
        <v>77</v>
      </c>
      <c r="D70" s="12">
        <v>731786</v>
      </c>
      <c r="E70" s="35">
        <f>VLOOKUP(B70,'2015'!$B$2:$G$338,6,FALSE)</f>
        <v>0</v>
      </c>
      <c r="F70" s="18">
        <f t="shared" si="1"/>
        <v>0</v>
      </c>
      <c r="G70" s="18">
        <f>SUM(D70,F70)</f>
        <v>731786</v>
      </c>
    </row>
    <row r="71" spans="1:7" x14ac:dyDescent="0.2">
      <c r="A71">
        <v>2017</v>
      </c>
      <c r="B71" s="34">
        <v>4992</v>
      </c>
      <c r="C71" s="3" t="s">
        <v>78</v>
      </c>
      <c r="D71" s="12">
        <v>175930</v>
      </c>
      <c r="E71" s="35">
        <f>VLOOKUP(B71,'2015'!$B$2:$G$338,6,FALSE)</f>
        <v>0</v>
      </c>
      <c r="F71" s="18">
        <f t="shared" si="1"/>
        <v>0</v>
      </c>
      <c r="G71" s="18">
        <f>SUM(D71,F71)</f>
        <v>175930</v>
      </c>
    </row>
    <row r="72" spans="1:7" x14ac:dyDescent="0.2">
      <c r="A72">
        <v>2017</v>
      </c>
      <c r="B72" s="34">
        <v>4993</v>
      </c>
      <c r="C72" s="3" t="s">
        <v>79</v>
      </c>
      <c r="D72" s="12">
        <v>617210</v>
      </c>
      <c r="E72" s="35">
        <f>VLOOKUP(B72,'2015'!$B$2:$G$338,6,FALSE)</f>
        <v>0</v>
      </c>
      <c r="F72" s="18">
        <f t="shared" si="1"/>
        <v>0</v>
      </c>
      <c r="G72" s="18">
        <f>SUM(D72,F72)</f>
        <v>617210</v>
      </c>
    </row>
    <row r="73" spans="1:7" x14ac:dyDescent="0.2">
      <c r="A73">
        <v>2017</v>
      </c>
      <c r="B73" s="34">
        <v>4994</v>
      </c>
      <c r="C73" s="3" t="s">
        <v>80</v>
      </c>
      <c r="D73" s="12">
        <v>146810</v>
      </c>
      <c r="E73" s="35">
        <f>VLOOKUP(B73,'2015'!$B$2:$G$338,6,FALSE)</f>
        <v>0</v>
      </c>
      <c r="F73" s="18">
        <f t="shared" si="1"/>
        <v>0</v>
      </c>
      <c r="G73" s="18">
        <f>SUM(D73,F73)</f>
        <v>146810</v>
      </c>
    </row>
    <row r="74" spans="1:7" x14ac:dyDescent="0.2">
      <c r="A74">
        <v>2017</v>
      </c>
      <c r="B74" s="34">
        <v>4995</v>
      </c>
      <c r="C74" s="3" t="s">
        <v>81</v>
      </c>
      <c r="D74" s="12">
        <v>598772</v>
      </c>
      <c r="E74" s="35">
        <f>VLOOKUP(B74,'2015'!$B$2:$G$338,6,FALSE)</f>
        <v>0</v>
      </c>
      <c r="F74" s="18">
        <f t="shared" si="1"/>
        <v>0</v>
      </c>
      <c r="G74" s="18">
        <f>SUM(D74,F74)</f>
        <v>598772</v>
      </c>
    </row>
    <row r="75" spans="1:7" x14ac:dyDescent="0.2">
      <c r="A75">
        <v>2017</v>
      </c>
      <c r="B75" s="34">
        <v>4996</v>
      </c>
      <c r="C75" s="3" t="s">
        <v>82</v>
      </c>
      <c r="D75" s="12">
        <v>187741</v>
      </c>
      <c r="E75" s="35">
        <f>VLOOKUP(B75,'2015'!$B$2:$G$338,6,FALSE)</f>
        <v>0</v>
      </c>
      <c r="F75" s="18">
        <f t="shared" si="1"/>
        <v>0</v>
      </c>
      <c r="G75" s="18">
        <f>SUM(D75,F75)</f>
        <v>187741</v>
      </c>
    </row>
    <row r="76" spans="1:7" x14ac:dyDescent="0.2">
      <c r="A76">
        <v>2017</v>
      </c>
      <c r="B76" s="34">
        <v>4997</v>
      </c>
      <c r="C76" s="3" t="s">
        <v>83</v>
      </c>
      <c r="D76" s="12">
        <v>2692478</v>
      </c>
      <c r="E76" s="35">
        <f>VLOOKUP(B76,'2015'!$B$2:$G$338,6,FALSE)</f>
        <v>0</v>
      </c>
      <c r="F76" s="18">
        <f t="shared" si="1"/>
        <v>0</v>
      </c>
      <c r="G76" s="18">
        <f>SUM(D76,F76)</f>
        <v>2692478</v>
      </c>
    </row>
    <row r="77" spans="1:7" x14ac:dyDescent="0.2">
      <c r="A77">
        <v>2017</v>
      </c>
      <c r="B77" s="34">
        <v>4998</v>
      </c>
      <c r="C77" s="3" t="s">
        <v>84</v>
      </c>
      <c r="D77" s="12">
        <v>362767</v>
      </c>
      <c r="E77" s="35">
        <f>VLOOKUP(B77,'2015'!$B$2:$G$338,6,FALSE)</f>
        <v>0</v>
      </c>
      <c r="F77" s="18">
        <f t="shared" si="1"/>
        <v>0</v>
      </c>
      <c r="G77" s="18">
        <f>SUM(D77,F77)</f>
        <v>362767</v>
      </c>
    </row>
    <row r="78" spans="1:7" x14ac:dyDescent="0.2">
      <c r="A78">
        <v>2017</v>
      </c>
      <c r="B78" s="34">
        <v>4999</v>
      </c>
      <c r="C78" s="3" t="s">
        <v>352</v>
      </c>
      <c r="D78" s="12">
        <v>4753263</v>
      </c>
      <c r="E78" s="35">
        <f>VLOOKUP(B78,'2015'!$B$2:$G$338,6,FALSE)</f>
        <v>0</v>
      </c>
      <c r="F78" s="18">
        <f t="shared" si="1"/>
        <v>0</v>
      </c>
      <c r="G78" s="18">
        <f>SUM(D78,F78)</f>
        <v>4753263</v>
      </c>
    </row>
    <row r="79" spans="1:7" x14ac:dyDescent="0.2">
      <c r="A79">
        <v>2017</v>
      </c>
      <c r="B79" s="34">
        <v>5000</v>
      </c>
      <c r="C79" s="3" t="s">
        <v>86</v>
      </c>
      <c r="D79" s="12">
        <v>2793449</v>
      </c>
      <c r="E79" s="35">
        <f>VLOOKUP(B79,'2015'!$B$2:$G$338,6,FALSE)</f>
        <v>0</v>
      </c>
      <c r="F79" s="18">
        <f t="shared" si="1"/>
        <v>0</v>
      </c>
      <c r="G79" s="18">
        <f>SUM(D79,F79)</f>
        <v>2793449</v>
      </c>
    </row>
    <row r="80" spans="1:7" x14ac:dyDescent="0.2">
      <c r="A80">
        <v>2017</v>
      </c>
      <c r="B80" s="34">
        <v>5001</v>
      </c>
      <c r="C80" s="3" t="s">
        <v>87</v>
      </c>
      <c r="D80" s="12">
        <v>198971</v>
      </c>
      <c r="E80" s="35">
        <f>VLOOKUP(B80,'2015'!$B$2:$G$338,6,FALSE)</f>
        <v>0</v>
      </c>
      <c r="F80" s="18">
        <f t="shared" si="1"/>
        <v>0</v>
      </c>
      <c r="G80" s="18">
        <f>SUM(D80,F80)</f>
        <v>198971</v>
      </c>
    </row>
    <row r="81" spans="1:7" x14ac:dyDescent="0.2">
      <c r="A81">
        <v>2017</v>
      </c>
      <c r="B81" s="34">
        <v>5002</v>
      </c>
      <c r="C81" s="3" t="s">
        <v>88</v>
      </c>
      <c r="D81" s="12">
        <v>78618</v>
      </c>
      <c r="E81" s="35">
        <f>VLOOKUP(B81,'2015'!$B$2:$G$338,6,FALSE)</f>
        <v>0</v>
      </c>
      <c r="F81" s="18">
        <f t="shared" si="1"/>
        <v>0</v>
      </c>
      <c r="G81" s="18">
        <f>SUM(D81,F81)</f>
        <v>78618</v>
      </c>
    </row>
    <row r="82" spans="1:7" x14ac:dyDescent="0.2">
      <c r="A82">
        <v>2017</v>
      </c>
      <c r="B82" s="34">
        <v>5004</v>
      </c>
      <c r="C82" s="3" t="s">
        <v>89</v>
      </c>
      <c r="D82" s="12">
        <v>887054</v>
      </c>
      <c r="E82" s="35">
        <f>VLOOKUP(B82,'2015'!$B$2:$G$338,6,FALSE)</f>
        <v>0</v>
      </c>
      <c r="F82" s="18">
        <f t="shared" si="1"/>
        <v>0</v>
      </c>
      <c r="G82" s="18">
        <f>SUM(D82,F82)</f>
        <v>887054</v>
      </c>
    </row>
    <row r="83" spans="1:7" x14ac:dyDescent="0.2">
      <c r="A83">
        <v>2017</v>
      </c>
      <c r="B83" s="34">
        <v>5005</v>
      </c>
      <c r="C83" s="3" t="s">
        <v>90</v>
      </c>
      <c r="D83" s="12">
        <v>478190</v>
      </c>
      <c r="E83" s="35">
        <f>VLOOKUP(B83,'2015'!$B$2:$G$338,6,FALSE)</f>
        <v>0</v>
      </c>
      <c r="F83" s="18">
        <f t="shared" si="1"/>
        <v>0</v>
      </c>
      <c r="G83" s="18">
        <f>SUM(D83,F83)</f>
        <v>478190</v>
      </c>
    </row>
    <row r="84" spans="1:7" x14ac:dyDescent="0.2">
      <c r="A84">
        <v>2017</v>
      </c>
      <c r="B84" s="34">
        <v>5006</v>
      </c>
      <c r="C84" s="3" t="s">
        <v>91</v>
      </c>
      <c r="D84" s="12">
        <v>182185</v>
      </c>
      <c r="E84" s="35">
        <f>VLOOKUP(B84,'2015'!$B$2:$G$338,6,FALSE)</f>
        <v>0</v>
      </c>
      <c r="F84" s="18">
        <f t="shared" si="1"/>
        <v>0</v>
      </c>
      <c r="G84" s="18">
        <f>SUM(D84,F84)</f>
        <v>182185</v>
      </c>
    </row>
    <row r="85" spans="1:7" x14ac:dyDescent="0.2">
      <c r="A85">
        <v>2017</v>
      </c>
      <c r="B85" s="34">
        <v>5007</v>
      </c>
      <c r="C85" s="3" t="s">
        <v>143</v>
      </c>
      <c r="D85" s="12">
        <v>124452</v>
      </c>
      <c r="E85" s="35">
        <f>VLOOKUP(B85,'2015'!$B$2:$G$338,6,FALSE)</f>
        <v>0</v>
      </c>
      <c r="F85" s="18">
        <f t="shared" si="1"/>
        <v>0</v>
      </c>
      <c r="G85" s="18">
        <f>SUM(D85,F85)</f>
        <v>124452</v>
      </c>
    </row>
    <row r="86" spans="1:7" x14ac:dyDescent="0.2">
      <c r="A86">
        <v>2017</v>
      </c>
      <c r="B86" s="34">
        <v>5008</v>
      </c>
      <c r="C86" s="3" t="s">
        <v>92</v>
      </c>
      <c r="D86" s="12">
        <v>505140</v>
      </c>
      <c r="E86" s="35">
        <f>VLOOKUP(B86,'2015'!$B$2:$G$338,6,FALSE)</f>
        <v>0</v>
      </c>
      <c r="F86" s="18">
        <f t="shared" si="1"/>
        <v>0</v>
      </c>
      <c r="G86" s="18">
        <f>SUM(D86,F86)</f>
        <v>505140</v>
      </c>
    </row>
    <row r="87" spans="1:7" x14ac:dyDescent="0.2">
      <c r="A87">
        <v>2017</v>
      </c>
      <c r="B87" s="34">
        <v>5010</v>
      </c>
      <c r="C87" s="3" t="s">
        <v>93</v>
      </c>
      <c r="D87" s="12">
        <v>1168166</v>
      </c>
      <c r="E87" s="35">
        <f>VLOOKUP(B87,'2015'!$B$2:$G$338,6,FALSE)</f>
        <v>0</v>
      </c>
      <c r="F87" s="18">
        <f t="shared" si="1"/>
        <v>0</v>
      </c>
      <c r="G87" s="18">
        <f>SUM(D87,F87)</f>
        <v>1168166</v>
      </c>
    </row>
    <row r="88" spans="1:7" x14ac:dyDescent="0.2">
      <c r="A88">
        <v>2017</v>
      </c>
      <c r="B88" s="34">
        <v>5011</v>
      </c>
      <c r="C88" s="3" t="s">
        <v>94</v>
      </c>
      <c r="D88" s="12">
        <v>386739</v>
      </c>
      <c r="E88" s="35">
        <f>VLOOKUP(B88,'2015'!$B$2:$G$338,6,FALSE)</f>
        <v>0</v>
      </c>
      <c r="F88" s="18">
        <f t="shared" si="1"/>
        <v>0</v>
      </c>
      <c r="G88" s="18">
        <f>SUM(D88,F88)</f>
        <v>386739</v>
      </c>
    </row>
    <row r="89" spans="1:7" x14ac:dyDescent="0.2">
      <c r="A89">
        <v>2017</v>
      </c>
      <c r="B89" s="34">
        <v>5012</v>
      </c>
      <c r="C89" s="3" t="s">
        <v>95</v>
      </c>
      <c r="D89" s="12">
        <v>244959</v>
      </c>
      <c r="E89" s="35">
        <f>VLOOKUP(B89,'2015'!$B$2:$G$338,6,FALSE)</f>
        <v>0</v>
      </c>
      <c r="F89" s="18">
        <f t="shared" si="1"/>
        <v>0</v>
      </c>
      <c r="G89" s="18">
        <f>SUM(D89,F89)</f>
        <v>244959</v>
      </c>
    </row>
    <row r="90" spans="1:7" x14ac:dyDescent="0.2">
      <c r="A90">
        <v>2017</v>
      </c>
      <c r="B90" s="34">
        <v>5013</v>
      </c>
      <c r="C90" s="3" t="s">
        <v>96</v>
      </c>
      <c r="D90" s="12">
        <v>4626910</v>
      </c>
      <c r="E90" s="35">
        <f>VLOOKUP(B90,'2015'!$B$2:$G$338,6,FALSE)</f>
        <v>0</v>
      </c>
      <c r="F90" s="18">
        <f t="shared" si="1"/>
        <v>0</v>
      </c>
      <c r="G90" s="18">
        <f>SUM(D90,F90)</f>
        <v>4626910</v>
      </c>
    </row>
    <row r="91" spans="1:7" x14ac:dyDescent="0.2">
      <c r="A91">
        <v>2017</v>
      </c>
      <c r="B91" s="34">
        <v>5014</v>
      </c>
      <c r="C91" s="3" t="s">
        <v>97</v>
      </c>
      <c r="D91" s="12">
        <v>1182900</v>
      </c>
      <c r="E91" s="35">
        <f>VLOOKUP(B91,'2015'!$B$2:$G$338,6,FALSE)</f>
        <v>0</v>
      </c>
      <c r="F91" s="18">
        <f t="shared" si="1"/>
        <v>0</v>
      </c>
      <c r="G91" s="18">
        <f>SUM(D91,F91)</f>
        <v>1182900</v>
      </c>
    </row>
    <row r="92" spans="1:7" x14ac:dyDescent="0.2">
      <c r="A92">
        <v>2017</v>
      </c>
      <c r="B92" s="34">
        <v>5015</v>
      </c>
      <c r="C92" s="3" t="s">
        <v>98</v>
      </c>
      <c r="D92" s="12">
        <v>316889</v>
      </c>
      <c r="E92" s="35">
        <f>VLOOKUP(B92,'2015'!$B$2:$G$338,6,FALSE)</f>
        <v>0</v>
      </c>
      <c r="F92" s="18">
        <f t="shared" si="1"/>
        <v>0</v>
      </c>
      <c r="G92" s="18">
        <f>SUM(D92,F92)</f>
        <v>316889</v>
      </c>
    </row>
    <row r="93" spans="1:7" x14ac:dyDescent="0.2">
      <c r="A93">
        <v>2017</v>
      </c>
      <c r="B93" s="34">
        <v>5016</v>
      </c>
      <c r="C93" s="3" t="s">
        <v>99</v>
      </c>
      <c r="D93" s="12">
        <v>411709</v>
      </c>
      <c r="E93" s="35">
        <f>VLOOKUP(B93,'2015'!$B$2:$G$338,6,FALSE)</f>
        <v>0</v>
      </c>
      <c r="F93" s="18">
        <f t="shared" si="1"/>
        <v>0</v>
      </c>
      <c r="G93" s="18">
        <f>SUM(D93,F93)</f>
        <v>411709</v>
      </c>
    </row>
    <row r="94" spans="1:7" x14ac:dyDescent="0.2">
      <c r="A94">
        <v>2017</v>
      </c>
      <c r="B94" s="34">
        <v>5017</v>
      </c>
      <c r="C94" s="3" t="s">
        <v>100</v>
      </c>
      <c r="D94" s="12">
        <v>2615248</v>
      </c>
      <c r="E94" s="35">
        <f>VLOOKUP(B94,'2015'!$B$2:$G$338,6,FALSE)</f>
        <v>0</v>
      </c>
      <c r="F94" s="18">
        <f t="shared" si="1"/>
        <v>0</v>
      </c>
      <c r="G94" s="18">
        <f>SUM(D94,F94)</f>
        <v>2615248</v>
      </c>
    </row>
    <row r="95" spans="1:7" x14ac:dyDescent="0.2">
      <c r="A95">
        <v>2017</v>
      </c>
      <c r="B95" s="34">
        <v>5018</v>
      </c>
      <c r="C95" s="3" t="s">
        <v>101</v>
      </c>
      <c r="D95" s="12">
        <v>195558</v>
      </c>
      <c r="E95" s="35">
        <f>VLOOKUP(B95,'2015'!$B$2:$G$338,6,FALSE)</f>
        <v>0</v>
      </c>
      <c r="F95" s="18">
        <f t="shared" si="1"/>
        <v>0</v>
      </c>
      <c r="G95" s="18">
        <f>SUM(D95,F95)</f>
        <v>195558</v>
      </c>
    </row>
    <row r="96" spans="1:7" x14ac:dyDescent="0.2">
      <c r="A96">
        <v>2017</v>
      </c>
      <c r="B96" s="34">
        <v>5019</v>
      </c>
      <c r="C96" s="3" t="s">
        <v>102</v>
      </c>
      <c r="D96" s="12">
        <v>1753283</v>
      </c>
      <c r="E96" s="35">
        <f>VLOOKUP(B96,'2015'!$B$2:$G$338,6,FALSE)</f>
        <v>0</v>
      </c>
      <c r="F96" s="18">
        <f t="shared" si="1"/>
        <v>0</v>
      </c>
      <c r="G96" s="18">
        <f>SUM(D96,F96)</f>
        <v>1753283</v>
      </c>
    </row>
    <row r="97" spans="1:7" x14ac:dyDescent="0.2">
      <c r="A97">
        <v>2017</v>
      </c>
      <c r="B97" s="34">
        <v>5020</v>
      </c>
      <c r="C97" s="3" t="s">
        <v>103</v>
      </c>
      <c r="D97" s="12">
        <v>5988714</v>
      </c>
      <c r="E97" s="35">
        <f>VLOOKUP(B97,'2015'!$B$2:$G$338,6,FALSE)</f>
        <v>0</v>
      </c>
      <c r="F97" s="18">
        <f t="shared" si="1"/>
        <v>0</v>
      </c>
      <c r="G97" s="18">
        <f>SUM(D97,F97)</f>
        <v>5988714</v>
      </c>
    </row>
    <row r="98" spans="1:7" x14ac:dyDescent="0.2">
      <c r="A98">
        <v>2017</v>
      </c>
      <c r="B98" s="34">
        <v>5021</v>
      </c>
      <c r="C98" s="3" t="s">
        <v>104</v>
      </c>
      <c r="D98" s="12">
        <v>183292</v>
      </c>
      <c r="E98" s="35">
        <f>VLOOKUP(B98,'2015'!$B$2:$G$338,6,FALSE)</f>
        <v>0</v>
      </c>
      <c r="F98" s="18">
        <f t="shared" si="1"/>
        <v>0</v>
      </c>
      <c r="G98" s="18">
        <f>SUM(D98,F98)</f>
        <v>183292</v>
      </c>
    </row>
    <row r="99" spans="1:7" x14ac:dyDescent="0.2">
      <c r="A99">
        <v>2017</v>
      </c>
      <c r="B99" s="34">
        <v>5022</v>
      </c>
      <c r="C99" s="3" t="s">
        <v>105</v>
      </c>
      <c r="D99" s="12">
        <v>3323897</v>
      </c>
      <c r="E99" s="35">
        <f>VLOOKUP(B99,'2015'!$B$2:$G$338,6,FALSE)</f>
        <v>0</v>
      </c>
      <c r="F99" s="18">
        <f t="shared" si="1"/>
        <v>0</v>
      </c>
      <c r="G99" s="18">
        <f>SUM(D99,F99)</f>
        <v>3323897</v>
      </c>
    </row>
    <row r="100" spans="1:7" x14ac:dyDescent="0.2">
      <c r="A100">
        <v>2017</v>
      </c>
      <c r="B100" s="34">
        <v>5024</v>
      </c>
      <c r="C100" s="3" t="s">
        <v>106</v>
      </c>
      <c r="D100" s="12">
        <v>389362</v>
      </c>
      <c r="E100" s="35">
        <f>VLOOKUP(B100,'2015'!$B$2:$G$338,6,FALSE)</f>
        <v>0</v>
      </c>
      <c r="F100" s="18">
        <f t="shared" si="1"/>
        <v>0</v>
      </c>
      <c r="G100" s="18">
        <f>SUM(D100,F100)</f>
        <v>389362</v>
      </c>
    </row>
    <row r="101" spans="1:7" x14ac:dyDescent="0.2">
      <c r="A101">
        <v>2017</v>
      </c>
      <c r="B101" s="34">
        <v>5025</v>
      </c>
      <c r="C101" s="3" t="s">
        <v>107</v>
      </c>
      <c r="D101" s="12">
        <v>1271033</v>
      </c>
      <c r="E101" s="35">
        <f>VLOOKUP(B101,'2015'!$B$2:$G$338,6,FALSE)</f>
        <v>0</v>
      </c>
      <c r="F101" s="18">
        <f t="shared" si="1"/>
        <v>0</v>
      </c>
      <c r="G101" s="18">
        <f>SUM(D101,F101)</f>
        <v>1271033</v>
      </c>
    </row>
    <row r="102" spans="1:7" x14ac:dyDescent="0.2">
      <c r="A102">
        <v>2017</v>
      </c>
      <c r="B102" s="34">
        <v>5026</v>
      </c>
      <c r="C102" s="3" t="s">
        <v>108</v>
      </c>
      <c r="D102" s="12">
        <v>324631</v>
      </c>
      <c r="E102" s="35">
        <f>VLOOKUP(B102,'2015'!$B$2:$G$338,6,FALSE)</f>
        <v>0</v>
      </c>
      <c r="F102" s="18">
        <f t="shared" si="1"/>
        <v>0</v>
      </c>
      <c r="G102" s="18">
        <f>SUM(D102,F102)</f>
        <v>324631</v>
      </c>
    </row>
    <row r="103" spans="1:7" x14ac:dyDescent="0.2">
      <c r="A103">
        <v>2017</v>
      </c>
      <c r="B103" s="34">
        <v>5027</v>
      </c>
      <c r="C103" s="3" t="s">
        <v>109</v>
      </c>
      <c r="D103" s="12">
        <v>3996066</v>
      </c>
      <c r="E103" s="35">
        <f>VLOOKUP(B103,'2015'!$B$2:$G$338,6,FALSE)</f>
        <v>0</v>
      </c>
      <c r="F103" s="18">
        <f t="shared" si="1"/>
        <v>0</v>
      </c>
      <c r="G103" s="18">
        <f>SUM(D103,F103)</f>
        <v>3996066</v>
      </c>
    </row>
    <row r="104" spans="1:7" x14ac:dyDescent="0.2">
      <c r="A104">
        <v>2017</v>
      </c>
      <c r="B104" s="34">
        <v>5028</v>
      </c>
      <c r="C104" s="3" t="s">
        <v>110</v>
      </c>
      <c r="D104" s="12">
        <v>981719</v>
      </c>
      <c r="E104" s="35">
        <f>VLOOKUP(B104,'2015'!$B$2:$G$338,6,FALSE)</f>
        <v>0</v>
      </c>
      <c r="F104" s="18">
        <f t="shared" si="1"/>
        <v>0</v>
      </c>
      <c r="G104" s="18">
        <f>SUM(D104,F104)</f>
        <v>981719</v>
      </c>
    </row>
    <row r="105" spans="1:7" x14ac:dyDescent="0.2">
      <c r="A105">
        <v>2017</v>
      </c>
      <c r="B105" s="34">
        <v>5029</v>
      </c>
      <c r="C105" s="3" t="s">
        <v>111</v>
      </c>
      <c r="D105" s="12">
        <v>434944</v>
      </c>
      <c r="E105" s="35">
        <f>VLOOKUP(B105,'2015'!$B$2:$G$338,6,FALSE)</f>
        <v>0</v>
      </c>
      <c r="F105" s="18">
        <f t="shared" si="1"/>
        <v>0</v>
      </c>
      <c r="G105" s="18">
        <f>SUM(D105,F105)</f>
        <v>434944</v>
      </c>
    </row>
    <row r="106" spans="1:7" x14ac:dyDescent="0.2">
      <c r="A106">
        <v>2017</v>
      </c>
      <c r="B106" s="34">
        <v>5031</v>
      </c>
      <c r="C106" s="3" t="s">
        <v>112</v>
      </c>
      <c r="D106" s="12">
        <v>6721269</v>
      </c>
      <c r="E106" s="35">
        <f>VLOOKUP(B106,'2015'!$B$2:$G$338,6,FALSE)</f>
        <v>0</v>
      </c>
      <c r="F106" s="18">
        <f t="shared" si="1"/>
        <v>0</v>
      </c>
      <c r="G106" s="18">
        <f>SUM(D106,F106)</f>
        <v>6721269</v>
      </c>
    </row>
    <row r="107" spans="1:7" x14ac:dyDescent="0.2">
      <c r="A107">
        <v>2017</v>
      </c>
      <c r="B107" s="34">
        <v>5032</v>
      </c>
      <c r="C107" s="3" t="s">
        <v>359</v>
      </c>
      <c r="D107" s="12">
        <v>577499</v>
      </c>
      <c r="E107" s="35">
        <f>VLOOKUP(B107,'2015'!$B$2:$G$338,6,FALSE)</f>
        <v>0</v>
      </c>
      <c r="F107" s="18">
        <f t="shared" si="1"/>
        <v>0</v>
      </c>
      <c r="G107" s="18">
        <f>SUM(D107,F107)</f>
        <v>577499</v>
      </c>
    </row>
    <row r="108" spans="1:7" x14ac:dyDescent="0.2">
      <c r="A108">
        <v>2017</v>
      </c>
      <c r="B108" s="34">
        <v>5033</v>
      </c>
      <c r="C108" s="3" t="s">
        <v>114</v>
      </c>
      <c r="D108" s="12">
        <v>405268</v>
      </c>
      <c r="E108" s="35">
        <f>VLOOKUP(B108,'2015'!$B$2:$G$338,6,FALSE)</f>
        <v>0</v>
      </c>
      <c r="F108" s="18">
        <f t="shared" si="1"/>
        <v>0</v>
      </c>
      <c r="G108" s="18">
        <f>SUM(D108,F108)</f>
        <v>405268</v>
      </c>
    </row>
    <row r="109" spans="1:7" x14ac:dyDescent="0.2">
      <c r="A109">
        <v>2017</v>
      </c>
      <c r="B109" s="34">
        <v>5034</v>
      </c>
      <c r="C109" s="3" t="s">
        <v>115</v>
      </c>
      <c r="D109" s="12">
        <v>205116</v>
      </c>
      <c r="E109" s="35">
        <f>VLOOKUP(B109,'2015'!$B$2:$G$338,6,FALSE)</f>
        <v>0</v>
      </c>
      <c r="F109" s="18">
        <f t="shared" si="1"/>
        <v>0</v>
      </c>
      <c r="G109" s="18">
        <f>SUM(D109,F109)</f>
        <v>205116</v>
      </c>
    </row>
    <row r="110" spans="1:7" x14ac:dyDescent="0.2">
      <c r="A110">
        <v>2017</v>
      </c>
      <c r="B110" s="34">
        <v>5035</v>
      </c>
      <c r="C110" s="3" t="s">
        <v>116</v>
      </c>
      <c r="D110" s="12">
        <v>1027898</v>
      </c>
      <c r="E110" s="35">
        <f>VLOOKUP(B110,'2015'!$B$2:$G$338,6,FALSE)</f>
        <v>0</v>
      </c>
      <c r="F110" s="18">
        <f t="shared" si="1"/>
        <v>0</v>
      </c>
      <c r="G110" s="18">
        <f>SUM(D110,F110)</f>
        <v>1027898</v>
      </c>
    </row>
    <row r="111" spans="1:7" x14ac:dyDescent="0.2">
      <c r="A111">
        <v>2017</v>
      </c>
      <c r="B111" s="34">
        <v>5036</v>
      </c>
      <c r="C111" s="3" t="s">
        <v>117</v>
      </c>
      <c r="D111" s="12">
        <v>545963</v>
      </c>
      <c r="E111" s="35">
        <f>VLOOKUP(B111,'2015'!$B$2:$G$338,6,FALSE)</f>
        <v>0</v>
      </c>
      <c r="F111" s="18">
        <f t="shared" si="1"/>
        <v>0</v>
      </c>
      <c r="G111" s="18">
        <f>SUM(D111,F111)</f>
        <v>545963</v>
      </c>
    </row>
    <row r="112" spans="1:7" x14ac:dyDescent="0.2">
      <c r="A112">
        <v>2017</v>
      </c>
      <c r="B112" s="34">
        <v>5037</v>
      </c>
      <c r="C112" s="3" t="s">
        <v>118</v>
      </c>
      <c r="D112" s="12">
        <v>2121477</v>
      </c>
      <c r="E112" s="35">
        <f>VLOOKUP(B112,'2015'!$B$2:$G$338,6,FALSE)</f>
        <v>0</v>
      </c>
      <c r="F112" s="18">
        <f t="shared" si="1"/>
        <v>0</v>
      </c>
      <c r="G112" s="18">
        <f>SUM(D112,F112)</f>
        <v>2121477</v>
      </c>
    </row>
    <row r="113" spans="1:7" x14ac:dyDescent="0.2">
      <c r="A113">
        <v>2017</v>
      </c>
      <c r="B113" s="34">
        <v>5038</v>
      </c>
      <c r="C113" s="3" t="s">
        <v>119</v>
      </c>
      <c r="D113" s="12">
        <v>243655</v>
      </c>
      <c r="E113" s="35">
        <f>VLOOKUP(B113,'2015'!$B$2:$G$338,6,FALSE)</f>
        <v>0</v>
      </c>
      <c r="F113" s="18">
        <f t="shared" si="1"/>
        <v>0</v>
      </c>
      <c r="G113" s="18">
        <f>SUM(D113,F113)</f>
        <v>243655</v>
      </c>
    </row>
    <row r="114" spans="1:7" x14ac:dyDescent="0.2">
      <c r="A114">
        <v>2017</v>
      </c>
      <c r="B114" s="34">
        <v>5039</v>
      </c>
      <c r="C114" s="3" t="s">
        <v>120</v>
      </c>
      <c r="D114" s="12">
        <v>318803</v>
      </c>
      <c r="E114" s="35">
        <f>VLOOKUP(B114,'2015'!$B$2:$G$338,6,FALSE)</f>
        <v>0</v>
      </c>
      <c r="F114" s="18">
        <f t="shared" si="1"/>
        <v>0</v>
      </c>
      <c r="G114" s="18">
        <f>SUM(D114,F114)</f>
        <v>318803</v>
      </c>
    </row>
    <row r="115" spans="1:7" x14ac:dyDescent="0.2">
      <c r="A115">
        <v>2017</v>
      </c>
      <c r="B115" s="34">
        <v>5040</v>
      </c>
      <c r="C115" s="3" t="s">
        <v>121</v>
      </c>
      <c r="D115" s="12">
        <v>987677</v>
      </c>
      <c r="E115" s="35">
        <f>VLOOKUP(B115,'2015'!$B$2:$G$338,6,FALSE)</f>
        <v>0</v>
      </c>
      <c r="F115" s="18">
        <f t="shared" si="1"/>
        <v>0</v>
      </c>
      <c r="G115" s="18">
        <f>SUM(D115,F115)</f>
        <v>987677</v>
      </c>
    </row>
    <row r="116" spans="1:7" x14ac:dyDescent="0.2">
      <c r="A116">
        <v>2017</v>
      </c>
      <c r="B116" s="34">
        <v>5041</v>
      </c>
      <c r="C116" s="3" t="s">
        <v>122</v>
      </c>
      <c r="D116" s="12">
        <v>5322800</v>
      </c>
      <c r="E116" s="35">
        <f>VLOOKUP(B116,'2015'!$B$2:$G$338,6,FALSE)</f>
        <v>0</v>
      </c>
      <c r="F116" s="18">
        <f t="shared" si="1"/>
        <v>0</v>
      </c>
      <c r="G116" s="18">
        <f>SUM(D116,F116)</f>
        <v>5322800</v>
      </c>
    </row>
    <row r="117" spans="1:7" x14ac:dyDescent="0.2">
      <c r="A117">
        <v>2017</v>
      </c>
      <c r="B117" s="34">
        <v>5042</v>
      </c>
      <c r="C117" s="3" t="s">
        <v>123</v>
      </c>
      <c r="D117" s="12">
        <v>1418823</v>
      </c>
      <c r="E117" s="35">
        <f>VLOOKUP(B117,'2015'!$B$2:$G$338,6,FALSE)</f>
        <v>0</v>
      </c>
      <c r="F117" s="18">
        <f t="shared" si="1"/>
        <v>0</v>
      </c>
      <c r="G117" s="18">
        <f>SUM(D117,F117)</f>
        <v>1418823</v>
      </c>
    </row>
    <row r="118" spans="1:7" x14ac:dyDescent="0.2">
      <c r="A118">
        <v>2017</v>
      </c>
      <c r="B118" s="34">
        <v>5043</v>
      </c>
      <c r="C118" s="3" t="s">
        <v>124</v>
      </c>
      <c r="D118" s="12">
        <v>2185583</v>
      </c>
      <c r="E118" s="35">
        <f>VLOOKUP(B118,'2015'!$B$2:$G$338,6,FALSE)</f>
        <v>0</v>
      </c>
      <c r="F118" s="18">
        <f t="shared" si="1"/>
        <v>0</v>
      </c>
      <c r="G118" s="18">
        <f>SUM(D118,F118)</f>
        <v>2185583</v>
      </c>
    </row>
    <row r="119" spans="1:7" x14ac:dyDescent="0.2">
      <c r="A119">
        <v>2017</v>
      </c>
      <c r="B119" s="34">
        <v>5056</v>
      </c>
      <c r="C119" s="3" t="s">
        <v>125</v>
      </c>
      <c r="D119" s="12">
        <v>253800</v>
      </c>
      <c r="E119" s="35">
        <f>VLOOKUP(B119,'2015'!$B$2:$G$338,6,FALSE)</f>
        <v>0</v>
      </c>
      <c r="F119" s="18">
        <f t="shared" si="1"/>
        <v>0</v>
      </c>
      <c r="G119" s="18">
        <f>SUM(D119,F119)</f>
        <v>253800</v>
      </c>
    </row>
    <row r="120" spans="1:7" x14ac:dyDescent="0.2">
      <c r="A120">
        <v>2017</v>
      </c>
      <c r="B120" s="34">
        <v>5057</v>
      </c>
      <c r="C120" s="3" t="s">
        <v>126</v>
      </c>
      <c r="D120" s="12">
        <v>408994</v>
      </c>
      <c r="E120" s="35">
        <f>VLOOKUP(B120,'2015'!$B$2:$G$338,6,FALSE)</f>
        <v>0</v>
      </c>
      <c r="F120" s="18">
        <f t="shared" si="1"/>
        <v>0</v>
      </c>
      <c r="G120" s="18">
        <f>SUM(D120,F120)</f>
        <v>408994</v>
      </c>
    </row>
    <row r="121" spans="1:7" x14ac:dyDescent="0.2">
      <c r="A121">
        <v>2017</v>
      </c>
      <c r="B121" s="34">
        <v>5058</v>
      </c>
      <c r="C121" s="3" t="s">
        <v>127</v>
      </c>
      <c r="D121" s="12">
        <v>910116</v>
      </c>
      <c r="E121" s="35">
        <f>VLOOKUP(B121,'2015'!$B$2:$G$338,6,FALSE)</f>
        <v>0</v>
      </c>
      <c r="F121" s="18">
        <f t="shared" si="1"/>
        <v>0</v>
      </c>
      <c r="G121" s="18">
        <f>SUM(D121,F121)</f>
        <v>910116</v>
      </c>
    </row>
    <row r="122" spans="1:7" x14ac:dyDescent="0.2">
      <c r="A122">
        <v>2017</v>
      </c>
      <c r="B122" s="34">
        <v>5059</v>
      </c>
      <c r="C122" s="3" t="s">
        <v>128</v>
      </c>
      <c r="D122" s="12">
        <v>272186</v>
      </c>
      <c r="E122" s="35">
        <f>VLOOKUP(B122,'2015'!$B$2:$G$338,6,FALSE)</f>
        <v>0</v>
      </c>
      <c r="F122" s="18">
        <f t="shared" si="1"/>
        <v>0</v>
      </c>
      <c r="G122" s="18">
        <f>SUM(D122,F122)</f>
        <v>272186</v>
      </c>
    </row>
    <row r="123" spans="1:7" x14ac:dyDescent="0.2">
      <c r="A123">
        <v>2017</v>
      </c>
      <c r="B123" s="34">
        <v>5060</v>
      </c>
      <c r="C123" s="3" t="s">
        <v>129</v>
      </c>
      <c r="D123" s="12">
        <v>125070</v>
      </c>
      <c r="E123" s="35">
        <f>VLOOKUP(B123,'2015'!$B$2:$G$338,6,FALSE)</f>
        <v>0</v>
      </c>
      <c r="F123" s="18">
        <f t="shared" si="1"/>
        <v>0</v>
      </c>
      <c r="G123" s="18">
        <f>SUM(D123,F123)</f>
        <v>125070</v>
      </c>
    </row>
    <row r="124" spans="1:7" x14ac:dyDescent="0.2">
      <c r="A124">
        <v>2017</v>
      </c>
      <c r="B124" s="34">
        <v>5061</v>
      </c>
      <c r="C124" s="3" t="s">
        <v>130</v>
      </c>
      <c r="D124" s="12">
        <v>236279</v>
      </c>
      <c r="E124" s="35">
        <f>VLOOKUP(B124,'2015'!$B$2:$G$338,6,FALSE)</f>
        <v>0</v>
      </c>
      <c r="F124" s="18">
        <f t="shared" si="1"/>
        <v>0</v>
      </c>
      <c r="G124" s="18">
        <f>SUM(D124,F124)</f>
        <v>236279</v>
      </c>
    </row>
    <row r="125" spans="1:7" x14ac:dyDescent="0.2">
      <c r="A125">
        <v>2017</v>
      </c>
      <c r="B125" s="34">
        <v>5062</v>
      </c>
      <c r="C125" s="3" t="s">
        <v>131</v>
      </c>
      <c r="D125" s="12">
        <v>443068</v>
      </c>
      <c r="E125" s="35">
        <f>VLOOKUP(B125,'2015'!$B$2:$G$338,6,FALSE)</f>
        <v>0</v>
      </c>
      <c r="F125" s="18">
        <f t="shared" si="1"/>
        <v>0</v>
      </c>
      <c r="G125" s="18">
        <f>SUM(D125,F125)</f>
        <v>443068</v>
      </c>
    </row>
    <row r="126" spans="1:7" x14ac:dyDescent="0.2">
      <c r="A126">
        <v>2017</v>
      </c>
      <c r="B126" s="34">
        <v>5063</v>
      </c>
      <c r="C126" s="3" t="s">
        <v>132</v>
      </c>
      <c r="D126" s="12">
        <v>372136</v>
      </c>
      <c r="E126" s="35">
        <f>VLOOKUP(B126,'2015'!$B$2:$G$338,6,FALSE)</f>
        <v>0</v>
      </c>
      <c r="F126" s="18">
        <f t="shared" si="1"/>
        <v>0</v>
      </c>
      <c r="G126" s="18">
        <f>SUM(D126,F126)</f>
        <v>372136</v>
      </c>
    </row>
    <row r="127" spans="1:7" x14ac:dyDescent="0.2">
      <c r="A127">
        <v>2017</v>
      </c>
      <c r="B127" s="34">
        <v>5064</v>
      </c>
      <c r="C127" s="3" t="s">
        <v>133</v>
      </c>
      <c r="D127" s="12">
        <v>278236</v>
      </c>
      <c r="E127" s="35">
        <f>VLOOKUP(B127,'2015'!$B$2:$G$338,6,FALSE)</f>
        <v>0</v>
      </c>
      <c r="F127" s="18">
        <f t="shared" si="1"/>
        <v>0</v>
      </c>
      <c r="G127" s="18">
        <f>SUM(D127,F127)</f>
        <v>278236</v>
      </c>
    </row>
    <row r="128" spans="1:7" x14ac:dyDescent="0.2">
      <c r="A128">
        <v>2017</v>
      </c>
      <c r="B128" s="34">
        <v>5065</v>
      </c>
      <c r="C128" s="3" t="s">
        <v>134</v>
      </c>
      <c r="D128" s="12">
        <v>296491</v>
      </c>
      <c r="E128" s="35">
        <f>VLOOKUP(B128,'2015'!$B$2:$G$338,6,FALSE)</f>
        <v>0</v>
      </c>
      <c r="F128" s="18">
        <f t="shared" si="1"/>
        <v>0</v>
      </c>
      <c r="G128" s="18">
        <f>SUM(D128,F128)</f>
        <v>296491</v>
      </c>
    </row>
    <row r="129" spans="1:7" x14ac:dyDescent="0.2">
      <c r="A129">
        <v>2017</v>
      </c>
      <c r="B129" s="34">
        <v>5066</v>
      </c>
      <c r="C129" s="3" t="s">
        <v>135</v>
      </c>
      <c r="D129" s="12">
        <v>357890</v>
      </c>
      <c r="E129" s="35">
        <f>VLOOKUP(B129,'2015'!$B$2:$G$338,6,FALSE)</f>
        <v>0</v>
      </c>
      <c r="F129" s="18">
        <f t="shared" si="1"/>
        <v>0</v>
      </c>
      <c r="G129" s="18">
        <f>SUM(D129,F129)</f>
        <v>357890</v>
      </c>
    </row>
    <row r="130" spans="1:7" x14ac:dyDescent="0.2">
      <c r="A130">
        <v>2017</v>
      </c>
      <c r="B130" s="34">
        <v>5067</v>
      </c>
      <c r="C130" s="3" t="s">
        <v>136</v>
      </c>
      <c r="D130" s="12">
        <v>555522</v>
      </c>
      <c r="E130" s="35">
        <f>VLOOKUP(B130,'2015'!$B$2:$G$338,6,FALSE)</f>
        <v>0</v>
      </c>
      <c r="F130" s="18">
        <f t="shared" si="1"/>
        <v>0</v>
      </c>
      <c r="G130" s="18">
        <f>SUM(D130,F130)</f>
        <v>555522</v>
      </c>
    </row>
    <row r="131" spans="1:7" x14ac:dyDescent="0.2">
      <c r="A131">
        <v>2017</v>
      </c>
      <c r="B131" s="34">
        <v>5068</v>
      </c>
      <c r="C131" s="3" t="s">
        <v>137</v>
      </c>
      <c r="D131" s="12">
        <v>495731</v>
      </c>
      <c r="E131" s="35">
        <f>VLOOKUP(B131,'2015'!$B$2:$G$338,6,FALSE)</f>
        <v>0</v>
      </c>
      <c r="F131" s="18">
        <f t="shared" ref="F131:F194" si="2">E131*$D$341</f>
        <v>0</v>
      </c>
      <c r="G131" s="18">
        <f>SUM(D131,F131)</f>
        <v>495731</v>
      </c>
    </row>
    <row r="132" spans="1:7" x14ac:dyDescent="0.2">
      <c r="A132">
        <v>2017</v>
      </c>
      <c r="B132" s="34">
        <v>5069</v>
      </c>
      <c r="C132" s="3" t="s">
        <v>138</v>
      </c>
      <c r="D132" s="12">
        <v>470067</v>
      </c>
      <c r="E132" s="35">
        <f>VLOOKUP(B132,'2015'!$B$2:$G$338,6,FALSE)</f>
        <v>0</v>
      </c>
      <c r="F132" s="18">
        <f t="shared" si="2"/>
        <v>0</v>
      </c>
      <c r="G132" s="18">
        <f>SUM(D132,F132)</f>
        <v>470067</v>
      </c>
    </row>
    <row r="133" spans="1:7" x14ac:dyDescent="0.2">
      <c r="A133">
        <v>2017</v>
      </c>
      <c r="B133" s="34">
        <v>5070</v>
      </c>
      <c r="C133" s="3" t="s">
        <v>139</v>
      </c>
      <c r="D133" s="12">
        <v>1161323</v>
      </c>
      <c r="E133" s="35">
        <f>VLOOKUP(B133,'2015'!$B$2:$G$338,6,FALSE)</f>
        <v>0</v>
      </c>
      <c r="F133" s="18">
        <f t="shared" si="2"/>
        <v>0</v>
      </c>
      <c r="G133" s="18">
        <f>SUM(D133,F133)</f>
        <v>1161323</v>
      </c>
    </row>
    <row r="134" spans="1:7" x14ac:dyDescent="0.2">
      <c r="A134">
        <v>2017</v>
      </c>
      <c r="B134" s="34">
        <v>5072</v>
      </c>
      <c r="C134" s="3" t="s">
        <v>140</v>
      </c>
      <c r="D134" s="12">
        <v>161561</v>
      </c>
      <c r="E134" s="35">
        <f>VLOOKUP(B134,'2015'!$B$2:$G$338,6,FALSE)</f>
        <v>0</v>
      </c>
      <c r="F134" s="18">
        <f t="shared" si="2"/>
        <v>0</v>
      </c>
      <c r="G134" s="18">
        <f>SUM(D134,F134)</f>
        <v>161561</v>
      </c>
    </row>
    <row r="135" spans="1:7" x14ac:dyDescent="0.2">
      <c r="A135">
        <v>2017</v>
      </c>
      <c r="B135" s="34">
        <v>5073</v>
      </c>
      <c r="C135" s="3" t="s">
        <v>141</v>
      </c>
      <c r="D135" s="12">
        <v>295921</v>
      </c>
      <c r="E135" s="35">
        <f>VLOOKUP(B135,'2015'!$B$2:$G$338,6,FALSE)</f>
        <v>0</v>
      </c>
      <c r="F135" s="18">
        <f t="shared" si="2"/>
        <v>0</v>
      </c>
      <c r="G135" s="18">
        <f>SUM(D135,F135)</f>
        <v>295921</v>
      </c>
    </row>
    <row r="136" spans="1:7" x14ac:dyDescent="0.2">
      <c r="A136">
        <v>2017</v>
      </c>
      <c r="B136" s="34">
        <v>5076</v>
      </c>
      <c r="C136" s="3" t="s">
        <v>142</v>
      </c>
      <c r="D136" s="12">
        <v>158604</v>
      </c>
      <c r="E136" s="35">
        <f>VLOOKUP(B136,'2015'!$B$2:$G$338,6,FALSE)</f>
        <v>0</v>
      </c>
      <c r="F136" s="18">
        <f t="shared" si="2"/>
        <v>0</v>
      </c>
      <c r="G136" s="18">
        <f>SUM(D136,F136)</f>
        <v>158604</v>
      </c>
    </row>
    <row r="137" spans="1:7" x14ac:dyDescent="0.2">
      <c r="A137">
        <v>2017</v>
      </c>
      <c r="B137" s="34">
        <v>5077</v>
      </c>
      <c r="C137" s="3" t="s">
        <v>195</v>
      </c>
      <c r="D137" s="12">
        <v>375646</v>
      </c>
      <c r="E137" s="35">
        <f>VLOOKUP(B137,'2015'!$B$2:$G$338,6,FALSE)</f>
        <v>0</v>
      </c>
      <c r="F137" s="18">
        <f t="shared" si="2"/>
        <v>0</v>
      </c>
      <c r="G137" s="18">
        <f>SUM(D137,F137)</f>
        <v>375646</v>
      </c>
    </row>
    <row r="138" spans="1:7" x14ac:dyDescent="0.2">
      <c r="A138">
        <v>2017</v>
      </c>
      <c r="B138" s="34">
        <v>5078</v>
      </c>
      <c r="C138" s="3" t="s">
        <v>144</v>
      </c>
      <c r="D138" s="12">
        <v>286701</v>
      </c>
      <c r="E138" s="35">
        <f>VLOOKUP(B138,'2015'!$B$2:$G$338,6,FALSE)</f>
        <v>0</v>
      </c>
      <c r="F138" s="18">
        <f t="shared" si="2"/>
        <v>0</v>
      </c>
      <c r="G138" s="18">
        <f>SUM(D138,F138)</f>
        <v>286701</v>
      </c>
    </row>
    <row r="139" spans="1:7" x14ac:dyDescent="0.2">
      <c r="A139">
        <v>2017</v>
      </c>
      <c r="B139" s="34">
        <v>5079</v>
      </c>
      <c r="C139" s="3" t="s">
        <v>145</v>
      </c>
      <c r="D139" s="12">
        <v>360845</v>
      </c>
      <c r="E139" s="35">
        <f>VLOOKUP(B139,'2015'!$B$2:$G$338,6,FALSE)</f>
        <v>0</v>
      </c>
      <c r="F139" s="18">
        <f t="shared" si="2"/>
        <v>0</v>
      </c>
      <c r="G139" s="18">
        <f>SUM(D139,F139)</f>
        <v>360845</v>
      </c>
    </row>
    <row r="140" spans="1:7" x14ac:dyDescent="0.2">
      <c r="A140">
        <v>2017</v>
      </c>
      <c r="B140" s="34">
        <v>5080</v>
      </c>
      <c r="C140" s="3" t="s">
        <v>146</v>
      </c>
      <c r="D140" s="12">
        <v>372974</v>
      </c>
      <c r="E140" s="35">
        <f>VLOOKUP(B140,'2015'!$B$2:$G$338,6,FALSE)</f>
        <v>0</v>
      </c>
      <c r="F140" s="18">
        <f t="shared" si="2"/>
        <v>0</v>
      </c>
      <c r="G140" s="18">
        <f>SUM(D140,F140)</f>
        <v>372974</v>
      </c>
    </row>
    <row r="141" spans="1:7" x14ac:dyDescent="0.2">
      <c r="A141">
        <v>2017</v>
      </c>
      <c r="B141" s="34">
        <v>5081</v>
      </c>
      <c r="C141" s="3" t="s">
        <v>147</v>
      </c>
      <c r="D141" s="12">
        <v>316604</v>
      </c>
      <c r="E141" s="35">
        <f>VLOOKUP(B141,'2015'!$B$2:$G$338,6,FALSE)</f>
        <v>0</v>
      </c>
      <c r="F141" s="18">
        <f t="shared" si="2"/>
        <v>0</v>
      </c>
      <c r="G141" s="18">
        <f>SUM(D141,F141)</f>
        <v>316604</v>
      </c>
    </row>
    <row r="142" spans="1:7" x14ac:dyDescent="0.2">
      <c r="A142">
        <v>2017</v>
      </c>
      <c r="B142" s="34">
        <v>5082</v>
      </c>
      <c r="C142" s="3" t="s">
        <v>148</v>
      </c>
      <c r="D142" s="12">
        <v>118930</v>
      </c>
      <c r="E142" s="35">
        <f>VLOOKUP(B142,'2015'!$B$2:$G$338,6,FALSE)</f>
        <v>0</v>
      </c>
      <c r="F142" s="18">
        <f t="shared" si="2"/>
        <v>0</v>
      </c>
      <c r="G142" s="18">
        <f>SUM(D142,F142)</f>
        <v>118930</v>
      </c>
    </row>
    <row r="143" spans="1:7" x14ac:dyDescent="0.2">
      <c r="A143">
        <v>2017</v>
      </c>
      <c r="B143" s="34">
        <v>5083</v>
      </c>
      <c r="C143" s="3" t="s">
        <v>149</v>
      </c>
      <c r="D143" s="12">
        <v>240484</v>
      </c>
      <c r="E143" s="35">
        <f>VLOOKUP(B143,'2015'!$B$2:$G$338,6,FALSE)</f>
        <v>0</v>
      </c>
      <c r="F143" s="18">
        <f t="shared" si="2"/>
        <v>0</v>
      </c>
      <c r="G143" s="18">
        <f>SUM(D143,F143)</f>
        <v>240484</v>
      </c>
    </row>
    <row r="144" spans="1:7" x14ac:dyDescent="0.2">
      <c r="A144">
        <v>2017</v>
      </c>
      <c r="B144" s="34">
        <v>5087</v>
      </c>
      <c r="C144" s="3" t="s">
        <v>360</v>
      </c>
      <c r="D144" s="12">
        <v>258468</v>
      </c>
      <c r="E144" s="35">
        <f>VLOOKUP(B144,'2015'!$B$2:$G$338,6,FALSE)</f>
        <v>0</v>
      </c>
      <c r="F144" s="18">
        <f t="shared" si="2"/>
        <v>0</v>
      </c>
      <c r="G144" s="18">
        <f>SUM(D144,F144)</f>
        <v>258468</v>
      </c>
    </row>
    <row r="145" spans="1:7" x14ac:dyDescent="0.2">
      <c r="A145">
        <v>2017</v>
      </c>
      <c r="B145" s="34">
        <v>5088</v>
      </c>
      <c r="C145" s="3" t="s">
        <v>151</v>
      </c>
      <c r="D145" s="12">
        <v>474951</v>
      </c>
      <c r="E145" s="35">
        <f>VLOOKUP(B145,'2015'!$B$2:$G$338,6,FALSE)</f>
        <v>0</v>
      </c>
      <c r="F145" s="18">
        <f t="shared" si="2"/>
        <v>0</v>
      </c>
      <c r="G145" s="18">
        <f>SUM(D145,F145)</f>
        <v>474951</v>
      </c>
    </row>
    <row r="146" spans="1:7" x14ac:dyDescent="0.2">
      <c r="A146">
        <v>2017</v>
      </c>
      <c r="B146" s="34">
        <v>5089</v>
      </c>
      <c r="C146" s="3" t="s">
        <v>152</v>
      </c>
      <c r="D146" s="12">
        <v>267832</v>
      </c>
      <c r="E146" s="35">
        <f>VLOOKUP(B146,'2015'!$B$2:$G$338,6,FALSE)</f>
        <v>0</v>
      </c>
      <c r="F146" s="18">
        <f t="shared" si="2"/>
        <v>0</v>
      </c>
      <c r="G146" s="18">
        <f>SUM(D146,F146)</f>
        <v>267832</v>
      </c>
    </row>
    <row r="147" spans="1:7" x14ac:dyDescent="0.2">
      <c r="A147">
        <v>2017</v>
      </c>
      <c r="B147" s="34">
        <v>5090</v>
      </c>
      <c r="C147" s="3" t="s">
        <v>153</v>
      </c>
      <c r="D147" s="12">
        <v>201495</v>
      </c>
      <c r="E147" s="35">
        <f>VLOOKUP(B147,'2015'!$B$2:$G$338,6,FALSE)</f>
        <v>0</v>
      </c>
      <c r="F147" s="18">
        <f t="shared" si="2"/>
        <v>0</v>
      </c>
      <c r="G147" s="18">
        <f>SUM(D147,F147)</f>
        <v>201495</v>
      </c>
    </row>
    <row r="148" spans="1:7" x14ac:dyDescent="0.2">
      <c r="A148">
        <v>2017</v>
      </c>
      <c r="B148" s="34">
        <v>5092</v>
      </c>
      <c r="C148" s="3" t="s">
        <v>154</v>
      </c>
      <c r="D148" s="12">
        <v>901835</v>
      </c>
      <c r="E148" s="35">
        <f>VLOOKUP(B148,'2015'!$B$2:$G$338,6,FALSE)</f>
        <v>0</v>
      </c>
      <c r="F148" s="18">
        <f t="shared" si="2"/>
        <v>0</v>
      </c>
      <c r="G148" s="18">
        <f>SUM(D148,F148)</f>
        <v>901835</v>
      </c>
    </row>
    <row r="149" spans="1:7" x14ac:dyDescent="0.2">
      <c r="A149">
        <v>2017</v>
      </c>
      <c r="B149" s="34">
        <v>5093</v>
      </c>
      <c r="C149" s="3" t="s">
        <v>155</v>
      </c>
      <c r="D149" s="12">
        <v>202844</v>
      </c>
      <c r="E149" s="35">
        <f>VLOOKUP(B149,'2015'!$B$2:$G$338,6,FALSE)</f>
        <v>0</v>
      </c>
      <c r="F149" s="18">
        <f t="shared" si="2"/>
        <v>0</v>
      </c>
      <c r="G149" s="18">
        <f>SUM(D149,F149)</f>
        <v>202844</v>
      </c>
    </row>
    <row r="150" spans="1:7" x14ac:dyDescent="0.2">
      <c r="A150">
        <v>2017</v>
      </c>
      <c r="B150" s="34">
        <v>5095</v>
      </c>
      <c r="C150" s="3" t="s">
        <v>156</v>
      </c>
      <c r="D150" s="12">
        <v>362295</v>
      </c>
      <c r="E150" s="35">
        <f>VLOOKUP(B150,'2015'!$B$2:$G$338,6,FALSE)</f>
        <v>0</v>
      </c>
      <c r="F150" s="18">
        <f t="shared" si="2"/>
        <v>0</v>
      </c>
      <c r="G150" s="18">
        <f>SUM(D150,F150)</f>
        <v>362295</v>
      </c>
    </row>
    <row r="151" spans="1:7" x14ac:dyDescent="0.2">
      <c r="A151">
        <v>2017</v>
      </c>
      <c r="B151" s="34">
        <v>5096</v>
      </c>
      <c r="C151" s="3" t="s">
        <v>157</v>
      </c>
      <c r="D151" s="12">
        <v>357293</v>
      </c>
      <c r="E151" s="35">
        <f>VLOOKUP(B151,'2015'!$B$2:$G$338,6,FALSE)</f>
        <v>0</v>
      </c>
      <c r="F151" s="18">
        <f t="shared" si="2"/>
        <v>0</v>
      </c>
      <c r="G151" s="18">
        <f>SUM(D151,F151)</f>
        <v>357293</v>
      </c>
    </row>
    <row r="152" spans="1:7" x14ac:dyDescent="0.2">
      <c r="A152">
        <v>2017</v>
      </c>
      <c r="B152" s="34">
        <v>5098</v>
      </c>
      <c r="C152" s="3" t="s">
        <v>158</v>
      </c>
      <c r="D152" s="12">
        <v>198801</v>
      </c>
      <c r="E152" s="35">
        <f>VLOOKUP(B152,'2015'!$B$2:$G$338,6,FALSE)</f>
        <v>0</v>
      </c>
      <c r="F152" s="18">
        <f t="shared" si="2"/>
        <v>0</v>
      </c>
      <c r="G152" s="18">
        <f>SUM(D152,F152)</f>
        <v>198801</v>
      </c>
    </row>
    <row r="153" spans="1:7" x14ac:dyDescent="0.2">
      <c r="A153">
        <v>2017</v>
      </c>
      <c r="B153" s="34">
        <v>5099</v>
      </c>
      <c r="C153" s="3" t="s">
        <v>159</v>
      </c>
      <c r="D153" s="12">
        <v>672470</v>
      </c>
      <c r="E153" s="35">
        <f>VLOOKUP(B153,'2015'!$B$2:$G$338,6,FALSE)</f>
        <v>0</v>
      </c>
      <c r="F153" s="18">
        <f t="shared" si="2"/>
        <v>0</v>
      </c>
      <c r="G153" s="18">
        <f>SUM(D153,F153)</f>
        <v>672470</v>
      </c>
    </row>
    <row r="154" spans="1:7" x14ac:dyDescent="0.2">
      <c r="A154">
        <v>2017</v>
      </c>
      <c r="B154" s="34">
        <v>5100</v>
      </c>
      <c r="C154" s="3" t="s">
        <v>160</v>
      </c>
      <c r="D154" s="12">
        <v>816619</v>
      </c>
      <c r="E154" s="35">
        <f>VLOOKUP(B154,'2015'!$B$2:$G$338,6,FALSE)</f>
        <v>0</v>
      </c>
      <c r="F154" s="18">
        <f t="shared" si="2"/>
        <v>0</v>
      </c>
      <c r="G154" s="18">
        <f>SUM(D154,F154)</f>
        <v>816619</v>
      </c>
    </row>
    <row r="155" spans="1:7" x14ac:dyDescent="0.2">
      <c r="A155">
        <v>2017</v>
      </c>
      <c r="B155" s="34">
        <v>5101</v>
      </c>
      <c r="C155" s="3" t="s">
        <v>161</v>
      </c>
      <c r="D155" s="12">
        <v>523884</v>
      </c>
      <c r="E155" s="35">
        <f>VLOOKUP(B155,'2015'!$B$2:$G$338,6,FALSE)</f>
        <v>0</v>
      </c>
      <c r="F155" s="18">
        <f t="shared" si="2"/>
        <v>0</v>
      </c>
      <c r="G155" s="18">
        <f>SUM(D155,F155)</f>
        <v>523884</v>
      </c>
    </row>
    <row r="156" spans="1:7" x14ac:dyDescent="0.2">
      <c r="A156">
        <v>2017</v>
      </c>
      <c r="B156" s="34">
        <v>5102</v>
      </c>
      <c r="C156" s="3" t="s">
        <v>162</v>
      </c>
      <c r="D156" s="12">
        <v>1172942</v>
      </c>
      <c r="E156" s="35">
        <f>VLOOKUP(B156,'2015'!$B$2:$G$338,6,FALSE)</f>
        <v>0</v>
      </c>
      <c r="F156" s="18">
        <f t="shared" si="2"/>
        <v>0</v>
      </c>
      <c r="G156" s="18">
        <f>SUM(D156,F156)</f>
        <v>1172942</v>
      </c>
    </row>
    <row r="157" spans="1:7" x14ac:dyDescent="0.2">
      <c r="A157">
        <v>2017</v>
      </c>
      <c r="B157" s="34">
        <v>5103</v>
      </c>
      <c r="C157" s="3" t="s">
        <v>163</v>
      </c>
      <c r="D157" s="12">
        <v>615393</v>
      </c>
      <c r="E157" s="35">
        <f>VLOOKUP(B157,'2015'!$B$2:$G$338,6,FALSE)</f>
        <v>0</v>
      </c>
      <c r="F157" s="18">
        <f t="shared" si="2"/>
        <v>0</v>
      </c>
      <c r="G157" s="18">
        <f>SUM(D157,F157)</f>
        <v>615393</v>
      </c>
    </row>
    <row r="158" spans="1:7" x14ac:dyDescent="0.2">
      <c r="A158">
        <v>2017</v>
      </c>
      <c r="B158" s="34">
        <v>5104</v>
      </c>
      <c r="C158" s="3" t="s">
        <v>164</v>
      </c>
      <c r="D158" s="12">
        <v>262901</v>
      </c>
      <c r="E158" s="35">
        <f>VLOOKUP(B158,'2015'!$B$2:$G$338,6,FALSE)</f>
        <v>0</v>
      </c>
      <c r="F158" s="18">
        <f t="shared" si="2"/>
        <v>0</v>
      </c>
      <c r="G158" s="18">
        <f>SUM(D158,F158)</f>
        <v>262901</v>
      </c>
    </row>
    <row r="159" spans="1:7" x14ac:dyDescent="0.2">
      <c r="A159">
        <v>2017</v>
      </c>
      <c r="B159" s="34">
        <v>5105</v>
      </c>
      <c r="C159" s="3" t="s">
        <v>165</v>
      </c>
      <c r="D159" s="12">
        <v>151681</v>
      </c>
      <c r="E159" s="35">
        <f>VLOOKUP(B159,'2015'!$B$2:$G$338,6,FALSE)</f>
        <v>0</v>
      </c>
      <c r="F159" s="18">
        <f t="shared" si="2"/>
        <v>0</v>
      </c>
      <c r="G159" s="18">
        <f>SUM(D159,F159)</f>
        <v>151681</v>
      </c>
    </row>
    <row r="160" spans="1:7" x14ac:dyDescent="0.2">
      <c r="A160">
        <v>2017</v>
      </c>
      <c r="B160" s="34">
        <v>5106</v>
      </c>
      <c r="C160" s="3" t="s">
        <v>166</v>
      </c>
      <c r="D160" s="12">
        <v>560736</v>
      </c>
      <c r="E160" s="35">
        <f>VLOOKUP(B160,'2015'!$B$2:$G$338,6,FALSE)</f>
        <v>0</v>
      </c>
      <c r="F160" s="18">
        <f t="shared" si="2"/>
        <v>0</v>
      </c>
      <c r="G160" s="18">
        <f>SUM(D160,F160)</f>
        <v>560736</v>
      </c>
    </row>
    <row r="161" spans="1:7" x14ac:dyDescent="0.2">
      <c r="A161">
        <v>2017</v>
      </c>
      <c r="B161" s="34">
        <v>5116</v>
      </c>
      <c r="C161" s="3" t="s">
        <v>167</v>
      </c>
      <c r="D161" s="12">
        <v>677974</v>
      </c>
      <c r="E161" s="35">
        <f>VLOOKUP(B161,'2015'!$B$2:$G$338,6,FALSE)</f>
        <v>0</v>
      </c>
      <c r="F161" s="18">
        <f t="shared" si="2"/>
        <v>0</v>
      </c>
      <c r="G161" s="18">
        <f>SUM(D161,F161)</f>
        <v>677974</v>
      </c>
    </row>
    <row r="162" spans="1:7" x14ac:dyDescent="0.2">
      <c r="A162">
        <v>2017</v>
      </c>
      <c r="B162" s="34">
        <v>5117</v>
      </c>
      <c r="C162" s="3" t="s">
        <v>168</v>
      </c>
      <c r="D162" s="12">
        <v>142084</v>
      </c>
      <c r="E162" s="35">
        <f>VLOOKUP(B162,'2015'!$B$2:$G$338,6,FALSE)</f>
        <v>0</v>
      </c>
      <c r="F162" s="18">
        <f t="shared" si="2"/>
        <v>0</v>
      </c>
      <c r="G162" s="18">
        <f>SUM(D162,F162)</f>
        <v>142084</v>
      </c>
    </row>
    <row r="163" spans="1:7" x14ac:dyDescent="0.2">
      <c r="A163">
        <v>2017</v>
      </c>
      <c r="B163" s="34">
        <v>5118</v>
      </c>
      <c r="C163" s="3" t="s">
        <v>169</v>
      </c>
      <c r="D163" s="12">
        <v>900288</v>
      </c>
      <c r="E163" s="35">
        <f>VLOOKUP(B163,'2015'!$B$2:$G$338,6,FALSE)</f>
        <v>0</v>
      </c>
      <c r="F163" s="18">
        <f t="shared" si="2"/>
        <v>0</v>
      </c>
      <c r="G163" s="18">
        <f>SUM(D163,F163)</f>
        <v>900288</v>
      </c>
    </row>
    <row r="164" spans="1:7" x14ac:dyDescent="0.2">
      <c r="A164">
        <v>2017</v>
      </c>
      <c r="B164" s="34">
        <v>5119</v>
      </c>
      <c r="C164" s="3" t="s">
        <v>170</v>
      </c>
      <c r="D164" s="12">
        <v>203428</v>
      </c>
      <c r="E164" s="35">
        <f>VLOOKUP(B164,'2015'!$B$2:$G$338,6,FALSE)</f>
        <v>0</v>
      </c>
      <c r="F164" s="18">
        <f t="shared" si="2"/>
        <v>0</v>
      </c>
      <c r="G164" s="18">
        <f>SUM(D164,F164)</f>
        <v>203428</v>
      </c>
    </row>
    <row r="165" spans="1:7" x14ac:dyDescent="0.2">
      <c r="A165">
        <v>2017</v>
      </c>
      <c r="B165" s="34">
        <v>5120</v>
      </c>
      <c r="C165" s="3" t="s">
        <v>366</v>
      </c>
      <c r="D165" s="12">
        <v>4316051</v>
      </c>
      <c r="E165" s="35">
        <f>VLOOKUP(B165,'2015'!$B$2:$G$338,6,FALSE)</f>
        <v>0</v>
      </c>
      <c r="F165" s="18">
        <f t="shared" si="2"/>
        <v>0</v>
      </c>
      <c r="G165" s="18">
        <f>SUM(D165,F165)</f>
        <v>4316051</v>
      </c>
    </row>
    <row r="166" spans="1:7" x14ac:dyDescent="0.2">
      <c r="A166">
        <v>2017</v>
      </c>
      <c r="B166" s="34">
        <v>5122</v>
      </c>
      <c r="C166" s="3" t="s">
        <v>172</v>
      </c>
      <c r="D166" s="12">
        <v>177925</v>
      </c>
      <c r="E166" s="35">
        <f>VLOOKUP(B166,'2015'!$B$2:$G$338,6,FALSE)</f>
        <v>0</v>
      </c>
      <c r="F166" s="18">
        <f t="shared" si="2"/>
        <v>0</v>
      </c>
      <c r="G166" s="18">
        <f>SUM(D166,F166)</f>
        <v>177925</v>
      </c>
    </row>
    <row r="167" spans="1:7" x14ac:dyDescent="0.2">
      <c r="A167">
        <v>2017</v>
      </c>
      <c r="B167" s="34">
        <v>5123</v>
      </c>
      <c r="C167" s="3" t="s">
        <v>173</v>
      </c>
      <c r="D167" s="12">
        <v>179582</v>
      </c>
      <c r="E167" s="35">
        <f>VLOOKUP(B167,'2015'!$B$2:$G$338,6,FALSE)</f>
        <v>0</v>
      </c>
      <c r="F167" s="18">
        <f t="shared" si="2"/>
        <v>0</v>
      </c>
      <c r="G167" s="18">
        <f>SUM(D167,F167)</f>
        <v>179582</v>
      </c>
    </row>
    <row r="168" spans="1:7" x14ac:dyDescent="0.2">
      <c r="A168">
        <v>2017</v>
      </c>
      <c r="B168" s="34">
        <v>5125</v>
      </c>
      <c r="C168" s="3" t="s">
        <v>174</v>
      </c>
      <c r="D168" s="12">
        <v>1263073</v>
      </c>
      <c r="E168" s="35">
        <f>VLOOKUP(B168,'2015'!$B$2:$G$338,6,FALSE)</f>
        <v>0</v>
      </c>
      <c r="F168" s="18">
        <f t="shared" si="2"/>
        <v>0</v>
      </c>
      <c r="G168" s="18">
        <f>SUM(D168,F168)</f>
        <v>1263073</v>
      </c>
    </row>
    <row r="169" spans="1:7" x14ac:dyDescent="0.2">
      <c r="A169">
        <v>2017</v>
      </c>
      <c r="B169" s="34">
        <v>5127</v>
      </c>
      <c r="C169" s="3" t="s">
        <v>175</v>
      </c>
      <c r="D169" s="12">
        <v>163781</v>
      </c>
      <c r="E169" s="35">
        <f>VLOOKUP(B169,'2015'!$B$2:$G$338,6,FALSE)</f>
        <v>0</v>
      </c>
      <c r="F169" s="18">
        <f t="shared" si="2"/>
        <v>0</v>
      </c>
      <c r="G169" s="18">
        <f>SUM(D169,F169)</f>
        <v>163781</v>
      </c>
    </row>
    <row r="170" spans="1:7" x14ac:dyDescent="0.2">
      <c r="A170">
        <v>2017</v>
      </c>
      <c r="B170" s="34">
        <v>5128</v>
      </c>
      <c r="C170" s="3" t="s">
        <v>176</v>
      </c>
      <c r="D170" s="12">
        <v>235620</v>
      </c>
      <c r="E170" s="35">
        <f>VLOOKUP(B170,'2015'!$B$2:$G$338,6,FALSE)</f>
        <v>0</v>
      </c>
      <c r="F170" s="18">
        <f t="shared" si="2"/>
        <v>0</v>
      </c>
      <c r="G170" s="18">
        <f>SUM(D170,F170)</f>
        <v>235620</v>
      </c>
    </row>
    <row r="171" spans="1:7" x14ac:dyDescent="0.2">
      <c r="A171">
        <v>2017</v>
      </c>
      <c r="B171" s="34">
        <v>5129</v>
      </c>
      <c r="C171" s="3" t="s">
        <v>177</v>
      </c>
      <c r="D171" s="12">
        <v>630381</v>
      </c>
      <c r="E171" s="35">
        <f>VLOOKUP(B171,'2015'!$B$2:$G$338,6,FALSE)</f>
        <v>0</v>
      </c>
      <c r="F171" s="18">
        <f t="shared" si="2"/>
        <v>0</v>
      </c>
      <c r="G171" s="18">
        <f>SUM(D171,F171)</f>
        <v>630381</v>
      </c>
    </row>
    <row r="172" spans="1:7" x14ac:dyDescent="0.2">
      <c r="A172">
        <v>2017</v>
      </c>
      <c r="B172" s="34">
        <v>5130</v>
      </c>
      <c r="C172" s="3" t="s">
        <v>178</v>
      </c>
      <c r="D172" s="12">
        <v>488322</v>
      </c>
      <c r="E172" s="35">
        <f>VLOOKUP(B172,'2015'!$B$2:$G$338,6,FALSE)</f>
        <v>0</v>
      </c>
      <c r="F172" s="18">
        <f t="shared" si="2"/>
        <v>0</v>
      </c>
      <c r="G172" s="18">
        <f>SUM(D172,F172)</f>
        <v>488322</v>
      </c>
    </row>
    <row r="173" spans="1:7" x14ac:dyDescent="0.2">
      <c r="A173">
        <v>2017</v>
      </c>
      <c r="B173" s="34">
        <v>5131</v>
      </c>
      <c r="C173" s="3" t="s">
        <v>179</v>
      </c>
      <c r="D173" s="12">
        <v>613898</v>
      </c>
      <c r="E173" s="35">
        <f>VLOOKUP(B173,'2015'!$B$2:$G$338,6,FALSE)</f>
        <v>0</v>
      </c>
      <c r="F173" s="18">
        <f t="shared" si="2"/>
        <v>0</v>
      </c>
      <c r="G173" s="18">
        <f>SUM(D173,F173)</f>
        <v>613898</v>
      </c>
    </row>
    <row r="174" spans="1:7" x14ac:dyDescent="0.2">
      <c r="A174">
        <v>2017</v>
      </c>
      <c r="B174" s="34">
        <v>5132</v>
      </c>
      <c r="C174" s="3" t="s">
        <v>180</v>
      </c>
      <c r="D174" s="12">
        <v>2225382</v>
      </c>
      <c r="E174" s="35">
        <f>VLOOKUP(B174,'2015'!$B$2:$G$338,6,FALSE)</f>
        <v>0</v>
      </c>
      <c r="F174" s="18">
        <f t="shared" si="2"/>
        <v>0</v>
      </c>
      <c r="G174" s="18">
        <f>SUM(D174,F174)</f>
        <v>2225382</v>
      </c>
    </row>
    <row r="175" spans="1:7" x14ac:dyDescent="0.2">
      <c r="A175">
        <v>2017</v>
      </c>
      <c r="B175" s="34">
        <v>5133</v>
      </c>
      <c r="C175" s="3" t="s">
        <v>361</v>
      </c>
      <c r="D175" s="12">
        <v>180987</v>
      </c>
      <c r="E175" s="35">
        <f>VLOOKUP(B175,'2015'!$B$2:$G$338,6,FALSE)</f>
        <v>0</v>
      </c>
      <c r="F175" s="18">
        <f t="shared" si="2"/>
        <v>0</v>
      </c>
      <c r="G175" s="18">
        <f>SUM(D175,F175)</f>
        <v>180987</v>
      </c>
    </row>
    <row r="176" spans="1:7" x14ac:dyDescent="0.2">
      <c r="A176">
        <v>2017</v>
      </c>
      <c r="B176" s="34">
        <v>5134</v>
      </c>
      <c r="C176" s="3" t="s">
        <v>182</v>
      </c>
      <c r="D176" s="12">
        <v>207445</v>
      </c>
      <c r="E176" s="35">
        <f>VLOOKUP(B176,'2015'!$B$2:$G$338,6,FALSE)</f>
        <v>0</v>
      </c>
      <c r="F176" s="18">
        <f t="shared" si="2"/>
        <v>0</v>
      </c>
      <c r="G176" s="18">
        <f>SUM(D176,F176)</f>
        <v>207445</v>
      </c>
    </row>
    <row r="177" spans="1:7" x14ac:dyDescent="0.2">
      <c r="A177">
        <v>2017</v>
      </c>
      <c r="B177" s="34">
        <v>5135</v>
      </c>
      <c r="C177" s="3" t="s">
        <v>183</v>
      </c>
      <c r="D177" s="12">
        <v>1159508</v>
      </c>
      <c r="E177" s="35">
        <f>VLOOKUP(B177,'2015'!$B$2:$G$338,6,FALSE)</f>
        <v>0</v>
      </c>
      <c r="F177" s="18">
        <f t="shared" si="2"/>
        <v>0</v>
      </c>
      <c r="G177" s="18">
        <f>SUM(D177,F177)</f>
        <v>1159508</v>
      </c>
    </row>
    <row r="178" spans="1:7" x14ac:dyDescent="0.2">
      <c r="A178">
        <v>2017</v>
      </c>
      <c r="B178" s="34">
        <v>5137</v>
      </c>
      <c r="C178" s="3" t="s">
        <v>184</v>
      </c>
      <c r="D178" s="12">
        <v>175399</v>
      </c>
      <c r="E178" s="35">
        <f>VLOOKUP(B178,'2015'!$B$2:$G$338,6,FALSE)</f>
        <v>0</v>
      </c>
      <c r="F178" s="18">
        <f t="shared" si="2"/>
        <v>0</v>
      </c>
      <c r="G178" s="18">
        <f>SUM(D178,F178)</f>
        <v>175399</v>
      </c>
    </row>
    <row r="179" spans="1:7" x14ac:dyDescent="0.2">
      <c r="A179">
        <v>2017</v>
      </c>
      <c r="B179" s="34">
        <v>5138</v>
      </c>
      <c r="C179" s="3" t="s">
        <v>185</v>
      </c>
      <c r="D179" s="12">
        <v>182776</v>
      </c>
      <c r="E179" s="35">
        <f>VLOOKUP(B179,'2015'!$B$2:$G$338,6,FALSE)</f>
        <v>0</v>
      </c>
      <c r="F179" s="18">
        <f t="shared" si="2"/>
        <v>0</v>
      </c>
      <c r="G179" s="18">
        <f>SUM(D179,F179)</f>
        <v>182776</v>
      </c>
    </row>
    <row r="180" spans="1:7" x14ac:dyDescent="0.2">
      <c r="A180">
        <v>2017</v>
      </c>
      <c r="B180" s="34">
        <v>5140</v>
      </c>
      <c r="C180" s="3" t="s">
        <v>186</v>
      </c>
      <c r="D180" s="12">
        <v>260490</v>
      </c>
      <c r="E180" s="35">
        <f>VLOOKUP(B180,'2015'!$B$2:$G$338,6,FALSE)</f>
        <v>0</v>
      </c>
      <c r="F180" s="18">
        <f t="shared" si="2"/>
        <v>0</v>
      </c>
      <c r="G180" s="18">
        <f>SUM(D180,F180)</f>
        <v>260490</v>
      </c>
    </row>
    <row r="181" spans="1:7" x14ac:dyDescent="0.2">
      <c r="A181">
        <v>2017</v>
      </c>
      <c r="B181" s="34">
        <v>5141</v>
      </c>
      <c r="C181" s="3" t="s">
        <v>187</v>
      </c>
      <c r="D181" s="12">
        <v>314753</v>
      </c>
      <c r="E181" s="35">
        <f>VLOOKUP(B181,'2015'!$B$2:$G$338,6,FALSE)</f>
        <v>0</v>
      </c>
      <c r="F181" s="18">
        <f t="shared" si="2"/>
        <v>0</v>
      </c>
      <c r="G181" s="18">
        <f>SUM(D181,F181)</f>
        <v>314753</v>
      </c>
    </row>
    <row r="182" spans="1:7" x14ac:dyDescent="0.2">
      <c r="A182">
        <v>2017</v>
      </c>
      <c r="B182" s="34">
        <v>5142</v>
      </c>
      <c r="C182" s="3" t="s">
        <v>188</v>
      </c>
      <c r="D182" s="12">
        <v>80886</v>
      </c>
      <c r="E182" s="35">
        <f>VLOOKUP(B182,'2015'!$B$2:$G$338,6,FALSE)</f>
        <v>0</v>
      </c>
      <c r="F182" s="18">
        <f t="shared" si="2"/>
        <v>0</v>
      </c>
      <c r="G182" s="18">
        <f>SUM(D182,F182)</f>
        <v>80886</v>
      </c>
    </row>
    <row r="183" spans="1:7" x14ac:dyDescent="0.2">
      <c r="A183">
        <v>2017</v>
      </c>
      <c r="B183" s="34">
        <v>5143</v>
      </c>
      <c r="C183" s="3" t="s">
        <v>189</v>
      </c>
      <c r="D183" s="12">
        <v>443748</v>
      </c>
      <c r="E183" s="35">
        <f>VLOOKUP(B183,'2015'!$B$2:$G$338,6,FALSE)</f>
        <v>0</v>
      </c>
      <c r="F183" s="18">
        <f t="shared" si="2"/>
        <v>0</v>
      </c>
      <c r="G183" s="18">
        <f>SUM(D183,F183)</f>
        <v>443748</v>
      </c>
    </row>
    <row r="184" spans="1:7" x14ac:dyDescent="0.2">
      <c r="A184">
        <v>2017</v>
      </c>
      <c r="B184" s="34">
        <v>5144</v>
      </c>
      <c r="C184" s="3" t="s">
        <v>190</v>
      </c>
      <c r="D184" s="12">
        <v>210502</v>
      </c>
      <c r="E184" s="35">
        <f>VLOOKUP(B184,'2015'!$B$2:$G$338,6,FALSE)</f>
        <v>0</v>
      </c>
      <c r="F184" s="18">
        <f t="shared" si="2"/>
        <v>0</v>
      </c>
      <c r="G184" s="18">
        <f>SUM(D184,F184)</f>
        <v>210502</v>
      </c>
    </row>
    <row r="185" spans="1:7" x14ac:dyDescent="0.2">
      <c r="A185">
        <v>2017</v>
      </c>
      <c r="B185" s="34">
        <v>5145</v>
      </c>
      <c r="C185" s="3" t="s">
        <v>191</v>
      </c>
      <c r="D185" s="12">
        <v>208240</v>
      </c>
      <c r="E185" s="35">
        <f>VLOOKUP(B185,'2015'!$B$2:$G$338,6,FALSE)</f>
        <v>0</v>
      </c>
      <c r="F185" s="18">
        <f t="shared" si="2"/>
        <v>0</v>
      </c>
      <c r="G185" s="18">
        <f>SUM(D185,F185)</f>
        <v>208240</v>
      </c>
    </row>
    <row r="186" spans="1:7" x14ac:dyDescent="0.2">
      <c r="A186">
        <v>2017</v>
      </c>
      <c r="B186" s="34">
        <v>5147</v>
      </c>
      <c r="C186" s="3" t="s">
        <v>192</v>
      </c>
      <c r="D186" s="12">
        <v>4272471</v>
      </c>
      <c r="E186" s="35">
        <f>VLOOKUP(B186,'2015'!$B$2:$G$338,6,FALSE)</f>
        <v>0</v>
      </c>
      <c r="F186" s="18">
        <f t="shared" si="2"/>
        <v>0</v>
      </c>
      <c r="G186" s="18">
        <f>SUM(D186,F186)</f>
        <v>4272471</v>
      </c>
    </row>
    <row r="187" spans="1:7" x14ac:dyDescent="0.2">
      <c r="A187">
        <v>2017</v>
      </c>
      <c r="B187" s="34">
        <v>5148</v>
      </c>
      <c r="C187" s="3" t="s">
        <v>193</v>
      </c>
      <c r="D187" s="12">
        <v>448724</v>
      </c>
      <c r="E187" s="35">
        <f>VLOOKUP(B187,'2015'!$B$2:$G$338,6,FALSE)</f>
        <v>0</v>
      </c>
      <c r="F187" s="18">
        <f t="shared" si="2"/>
        <v>0</v>
      </c>
      <c r="G187" s="18">
        <f>SUM(D187,F187)</f>
        <v>448724</v>
      </c>
    </row>
    <row r="188" spans="1:7" x14ac:dyDescent="0.2">
      <c r="A188">
        <v>2017</v>
      </c>
      <c r="B188" s="34">
        <v>5149</v>
      </c>
      <c r="C188" s="3" t="s">
        <v>194</v>
      </c>
      <c r="D188" s="12">
        <v>870365</v>
      </c>
      <c r="E188" s="35">
        <f>VLOOKUP(B188,'2015'!$B$2:$G$338,6,FALSE)</f>
        <v>0</v>
      </c>
      <c r="F188" s="18">
        <f t="shared" si="2"/>
        <v>0</v>
      </c>
      <c r="G188" s="18">
        <f>SUM(D188,F188)</f>
        <v>870365</v>
      </c>
    </row>
    <row r="189" spans="1:7" x14ac:dyDescent="0.2">
      <c r="A189">
        <v>2017</v>
      </c>
      <c r="B189" s="34">
        <v>5150</v>
      </c>
      <c r="C189" s="3" t="s">
        <v>247</v>
      </c>
      <c r="D189" s="12">
        <v>798523</v>
      </c>
      <c r="E189" s="35">
        <f>VLOOKUP(B189,'2015'!$B$2:$G$338,6,FALSE)</f>
        <v>0</v>
      </c>
      <c r="F189" s="18">
        <f t="shared" si="2"/>
        <v>0</v>
      </c>
      <c r="G189" s="18">
        <f>SUM(D189,F189)</f>
        <v>798523</v>
      </c>
    </row>
    <row r="190" spans="1:7" x14ac:dyDescent="0.2">
      <c r="A190">
        <v>2017</v>
      </c>
      <c r="B190" s="34">
        <v>5151</v>
      </c>
      <c r="C190" s="3" t="s">
        <v>196</v>
      </c>
      <c r="D190" s="12">
        <v>227269</v>
      </c>
      <c r="E190" s="35">
        <f>VLOOKUP(B190,'2015'!$B$2:$G$338,6,FALSE)</f>
        <v>0</v>
      </c>
      <c r="F190" s="18">
        <f t="shared" si="2"/>
        <v>0</v>
      </c>
      <c r="G190" s="18">
        <f>SUM(D190,F190)</f>
        <v>227269</v>
      </c>
    </row>
    <row r="191" spans="1:7" x14ac:dyDescent="0.2">
      <c r="A191">
        <v>2017</v>
      </c>
      <c r="B191" s="34">
        <v>5152</v>
      </c>
      <c r="C191" s="3" t="s">
        <v>197</v>
      </c>
      <c r="D191" s="12">
        <v>454649</v>
      </c>
      <c r="E191" s="35">
        <f>VLOOKUP(B191,'2015'!$B$2:$G$338,6,FALSE)</f>
        <v>0</v>
      </c>
      <c r="F191" s="18">
        <f t="shared" si="2"/>
        <v>0</v>
      </c>
      <c r="G191" s="18">
        <f>SUM(D191,F191)</f>
        <v>454649</v>
      </c>
    </row>
    <row r="192" spans="1:7" x14ac:dyDescent="0.2">
      <c r="A192">
        <v>2017</v>
      </c>
      <c r="B192" s="34">
        <v>5153</v>
      </c>
      <c r="C192" s="3" t="s">
        <v>198</v>
      </c>
      <c r="D192" s="12">
        <v>124179</v>
      </c>
      <c r="E192" s="35">
        <f>VLOOKUP(B192,'2015'!$B$2:$G$338,6,FALSE)</f>
        <v>0</v>
      </c>
      <c r="F192" s="18">
        <f t="shared" si="2"/>
        <v>0</v>
      </c>
      <c r="G192" s="18">
        <f>SUM(D192,F192)</f>
        <v>124179</v>
      </c>
    </row>
    <row r="193" spans="1:7" x14ac:dyDescent="0.2">
      <c r="A193">
        <v>2017</v>
      </c>
      <c r="B193" s="34">
        <v>5154</v>
      </c>
      <c r="C193" s="3" t="s">
        <v>199</v>
      </c>
      <c r="D193" s="12">
        <v>169977</v>
      </c>
      <c r="E193" s="35">
        <f>VLOOKUP(B193,'2015'!$B$2:$G$338,6,FALSE)</f>
        <v>0</v>
      </c>
      <c r="F193" s="18">
        <f t="shared" si="2"/>
        <v>0</v>
      </c>
      <c r="G193" s="18">
        <f>SUM(D193,F193)</f>
        <v>169977</v>
      </c>
    </row>
    <row r="194" spans="1:7" x14ac:dyDescent="0.2">
      <c r="A194">
        <v>2017</v>
      </c>
      <c r="B194" s="34">
        <v>5155</v>
      </c>
      <c r="C194" s="3" t="s">
        <v>200</v>
      </c>
      <c r="D194" s="12">
        <v>177741</v>
      </c>
      <c r="E194" s="35">
        <f>VLOOKUP(B194,'2015'!$B$2:$G$338,6,FALSE)</f>
        <v>0</v>
      </c>
      <c r="F194" s="18">
        <f t="shared" si="2"/>
        <v>0</v>
      </c>
      <c r="G194" s="18">
        <f>SUM(D194,F194)</f>
        <v>177741</v>
      </c>
    </row>
    <row r="195" spans="1:7" x14ac:dyDescent="0.2">
      <c r="A195">
        <v>2017</v>
      </c>
      <c r="B195" s="34">
        <v>5156</v>
      </c>
      <c r="C195" s="3" t="s">
        <v>201</v>
      </c>
      <c r="D195" s="12">
        <v>550873</v>
      </c>
      <c r="E195" s="35">
        <f>VLOOKUP(B195,'2015'!$B$2:$G$338,6,FALSE)</f>
        <v>0</v>
      </c>
      <c r="F195" s="18">
        <f t="shared" ref="F195:F258" si="3">E195*$D$341</f>
        <v>0</v>
      </c>
      <c r="G195" s="18">
        <f>SUM(D195,F195)</f>
        <v>550873</v>
      </c>
    </row>
    <row r="196" spans="1:7" x14ac:dyDescent="0.2">
      <c r="A196">
        <v>2017</v>
      </c>
      <c r="B196" s="34">
        <v>5157</v>
      </c>
      <c r="C196" s="3" t="s">
        <v>202</v>
      </c>
      <c r="D196" s="12">
        <v>128016</v>
      </c>
      <c r="E196" s="35">
        <f>VLOOKUP(B196,'2015'!$B$2:$G$338,6,FALSE)</f>
        <v>0</v>
      </c>
      <c r="F196" s="18">
        <f t="shared" si="3"/>
        <v>0</v>
      </c>
      <c r="G196" s="18">
        <f>SUM(D196,F196)</f>
        <v>128016</v>
      </c>
    </row>
    <row r="197" spans="1:7" x14ac:dyDescent="0.2">
      <c r="A197">
        <v>2017</v>
      </c>
      <c r="B197" s="34">
        <v>5158</v>
      </c>
      <c r="C197" s="3" t="s">
        <v>203</v>
      </c>
      <c r="D197" s="12">
        <v>568072</v>
      </c>
      <c r="E197" s="35">
        <f>VLOOKUP(B197,'2015'!$B$2:$G$338,6,FALSE)</f>
        <v>0</v>
      </c>
      <c r="F197" s="18">
        <f t="shared" si="3"/>
        <v>0</v>
      </c>
      <c r="G197" s="18">
        <f>SUM(D197,F197)</f>
        <v>568072</v>
      </c>
    </row>
    <row r="198" spans="1:7" x14ac:dyDescent="0.2">
      <c r="A198">
        <v>2017</v>
      </c>
      <c r="B198" s="34">
        <v>5159</v>
      </c>
      <c r="C198" s="3" t="s">
        <v>204</v>
      </c>
      <c r="D198" s="12">
        <v>871082</v>
      </c>
      <c r="E198" s="35">
        <f>VLOOKUP(B198,'2015'!$B$2:$G$338,6,FALSE)</f>
        <v>0</v>
      </c>
      <c r="F198" s="18">
        <f t="shared" si="3"/>
        <v>0</v>
      </c>
      <c r="G198" s="18">
        <f>SUM(D198,F198)</f>
        <v>871082</v>
      </c>
    </row>
    <row r="199" spans="1:7" x14ac:dyDescent="0.2">
      <c r="A199">
        <v>2017</v>
      </c>
      <c r="B199" s="34">
        <v>5160</v>
      </c>
      <c r="C199" s="3" t="s">
        <v>205</v>
      </c>
      <c r="D199" s="12">
        <v>244947</v>
      </c>
      <c r="E199" s="35">
        <f>VLOOKUP(B199,'2015'!$B$2:$G$338,6,FALSE)</f>
        <v>0</v>
      </c>
      <c r="F199" s="18">
        <f t="shared" si="3"/>
        <v>0</v>
      </c>
      <c r="G199" s="18">
        <f>SUM(D199,F199)</f>
        <v>244947</v>
      </c>
    </row>
    <row r="200" spans="1:7" x14ac:dyDescent="0.2">
      <c r="A200">
        <v>2017</v>
      </c>
      <c r="B200" s="34">
        <v>5161</v>
      </c>
      <c r="C200" s="3" t="s">
        <v>206</v>
      </c>
      <c r="D200" s="12">
        <v>336395</v>
      </c>
      <c r="E200" s="35">
        <f>VLOOKUP(B200,'2015'!$B$2:$G$338,6,FALSE)</f>
        <v>0</v>
      </c>
      <c r="F200" s="18">
        <f t="shared" si="3"/>
        <v>0</v>
      </c>
      <c r="G200" s="18">
        <f>SUM(D200,F200)</f>
        <v>336395</v>
      </c>
    </row>
    <row r="201" spans="1:7" x14ac:dyDescent="0.2">
      <c r="A201">
        <v>2017</v>
      </c>
      <c r="B201" s="34">
        <v>5162</v>
      </c>
      <c r="C201" s="3" t="s">
        <v>207</v>
      </c>
      <c r="D201" s="12">
        <v>363843</v>
      </c>
      <c r="E201" s="35">
        <f>VLOOKUP(B201,'2015'!$B$2:$G$338,6,FALSE)</f>
        <v>0</v>
      </c>
      <c r="F201" s="18">
        <f t="shared" si="3"/>
        <v>0</v>
      </c>
      <c r="G201" s="18">
        <f>SUM(D201,F201)</f>
        <v>363843</v>
      </c>
    </row>
    <row r="202" spans="1:7" x14ac:dyDescent="0.2">
      <c r="A202">
        <v>2017</v>
      </c>
      <c r="B202" s="34">
        <v>5163</v>
      </c>
      <c r="C202" s="3" t="s">
        <v>208</v>
      </c>
      <c r="D202" s="12">
        <v>220455</v>
      </c>
      <c r="E202" s="35">
        <f>VLOOKUP(B202,'2015'!$B$2:$G$338,6,FALSE)</f>
        <v>0</v>
      </c>
      <c r="F202" s="18">
        <f t="shared" si="3"/>
        <v>0</v>
      </c>
      <c r="G202" s="18">
        <f>SUM(D202,F202)</f>
        <v>220455</v>
      </c>
    </row>
    <row r="203" spans="1:7" x14ac:dyDescent="0.2">
      <c r="A203">
        <v>2017</v>
      </c>
      <c r="B203" s="34">
        <v>5164</v>
      </c>
      <c r="C203" s="3" t="s">
        <v>209</v>
      </c>
      <c r="D203" s="12">
        <v>224486</v>
      </c>
      <c r="E203" s="35">
        <f>VLOOKUP(B203,'2015'!$B$2:$G$338,6,FALSE)</f>
        <v>0</v>
      </c>
      <c r="F203" s="18">
        <f t="shared" si="3"/>
        <v>0</v>
      </c>
      <c r="G203" s="18">
        <f>SUM(D203,F203)</f>
        <v>224486</v>
      </c>
    </row>
    <row r="204" spans="1:7" x14ac:dyDescent="0.2">
      <c r="A204">
        <v>2017</v>
      </c>
      <c r="B204" s="34">
        <v>5166</v>
      </c>
      <c r="C204" s="3" t="s">
        <v>210</v>
      </c>
      <c r="D204" s="12">
        <v>174809</v>
      </c>
      <c r="E204" s="35">
        <f>VLOOKUP(B204,'2015'!$B$2:$G$338,6,FALSE)</f>
        <v>0</v>
      </c>
      <c r="F204" s="18">
        <f t="shared" si="3"/>
        <v>0</v>
      </c>
      <c r="G204" s="18">
        <f>SUM(D204,F204)</f>
        <v>174809</v>
      </c>
    </row>
    <row r="205" spans="1:7" x14ac:dyDescent="0.2">
      <c r="A205">
        <v>2017</v>
      </c>
      <c r="B205" s="34">
        <v>5167</v>
      </c>
      <c r="C205" s="3" t="s">
        <v>211</v>
      </c>
      <c r="D205" s="12">
        <v>450673</v>
      </c>
      <c r="E205" s="35">
        <f>VLOOKUP(B205,'2015'!$B$2:$G$338,6,FALSE)</f>
        <v>0</v>
      </c>
      <c r="F205" s="18">
        <f t="shared" si="3"/>
        <v>0</v>
      </c>
      <c r="G205" s="18">
        <f>SUM(D205,F205)</f>
        <v>450673</v>
      </c>
    </row>
    <row r="206" spans="1:7" x14ac:dyDescent="0.2">
      <c r="A206">
        <v>2017</v>
      </c>
      <c r="B206" s="34">
        <v>5168</v>
      </c>
      <c r="C206" s="3" t="s">
        <v>212</v>
      </c>
      <c r="D206" s="12">
        <v>443117</v>
      </c>
      <c r="E206" s="35">
        <f>VLOOKUP(B206,'2015'!$B$2:$G$338,6,FALSE)</f>
        <v>0</v>
      </c>
      <c r="F206" s="18">
        <f t="shared" si="3"/>
        <v>0</v>
      </c>
      <c r="G206" s="18">
        <f>SUM(D206,F206)</f>
        <v>443117</v>
      </c>
    </row>
    <row r="207" spans="1:7" x14ac:dyDescent="0.2">
      <c r="A207">
        <v>2017</v>
      </c>
      <c r="B207" s="34">
        <v>5171</v>
      </c>
      <c r="C207" s="3" t="s">
        <v>213</v>
      </c>
      <c r="D207" s="12">
        <v>236462</v>
      </c>
      <c r="E207" s="35">
        <f>VLOOKUP(B207,'2015'!$B$2:$G$338,6,FALSE)</f>
        <v>0</v>
      </c>
      <c r="F207" s="18">
        <f t="shared" si="3"/>
        <v>0</v>
      </c>
      <c r="G207" s="18">
        <f>SUM(D207,F207)</f>
        <v>236462</v>
      </c>
    </row>
    <row r="208" spans="1:7" x14ac:dyDescent="0.2">
      <c r="A208">
        <v>2017</v>
      </c>
      <c r="B208" s="34">
        <v>5172</v>
      </c>
      <c r="C208" s="3" t="s">
        <v>214</v>
      </c>
      <c r="D208" s="12">
        <v>582036</v>
      </c>
      <c r="E208" s="35">
        <f>VLOOKUP(B208,'2015'!$B$2:$G$338,6,FALSE)</f>
        <v>0</v>
      </c>
      <c r="F208" s="18">
        <f t="shared" si="3"/>
        <v>0</v>
      </c>
      <c r="G208" s="18">
        <f>SUM(D208,F208)</f>
        <v>582036</v>
      </c>
    </row>
    <row r="209" spans="1:7" x14ac:dyDescent="0.2">
      <c r="A209">
        <v>2017</v>
      </c>
      <c r="B209" s="34">
        <v>5173</v>
      </c>
      <c r="C209" s="3" t="s">
        <v>215</v>
      </c>
      <c r="D209" s="12">
        <v>357043</v>
      </c>
      <c r="E209" s="35">
        <f>VLOOKUP(B209,'2015'!$B$2:$G$338,6,FALSE)</f>
        <v>0</v>
      </c>
      <c r="F209" s="18">
        <f t="shared" si="3"/>
        <v>0</v>
      </c>
      <c r="G209" s="18">
        <f>SUM(D209,F209)</f>
        <v>357043</v>
      </c>
    </row>
    <row r="210" spans="1:7" x14ac:dyDescent="0.2">
      <c r="A210">
        <v>2017</v>
      </c>
      <c r="B210" s="34">
        <v>5174</v>
      </c>
      <c r="C210" s="3" t="s">
        <v>216</v>
      </c>
      <c r="D210" s="12">
        <v>458338</v>
      </c>
      <c r="E210" s="35">
        <f>VLOOKUP(B210,'2015'!$B$2:$G$338,6,FALSE)</f>
        <v>0</v>
      </c>
      <c r="F210" s="18">
        <f t="shared" si="3"/>
        <v>0</v>
      </c>
      <c r="G210" s="18">
        <f>SUM(D210,F210)</f>
        <v>458338</v>
      </c>
    </row>
    <row r="211" spans="1:7" x14ac:dyDescent="0.2">
      <c r="A211">
        <v>2017</v>
      </c>
      <c r="B211" s="34">
        <v>5175</v>
      </c>
      <c r="C211" s="3" t="s">
        <v>217</v>
      </c>
      <c r="D211" s="12">
        <v>249684</v>
      </c>
      <c r="E211" s="35">
        <f>VLOOKUP(B211,'2015'!$B$2:$G$338,6,FALSE)</f>
        <v>0</v>
      </c>
      <c r="F211" s="18">
        <f t="shared" si="3"/>
        <v>0</v>
      </c>
      <c r="G211" s="18">
        <f>SUM(D211,F211)</f>
        <v>249684</v>
      </c>
    </row>
    <row r="212" spans="1:7" x14ac:dyDescent="0.2">
      <c r="A212">
        <v>2017</v>
      </c>
      <c r="B212" s="34">
        <v>5176</v>
      </c>
      <c r="C212" s="3" t="s">
        <v>218</v>
      </c>
      <c r="D212" s="12">
        <v>1831488</v>
      </c>
      <c r="E212" s="35">
        <f>VLOOKUP(B212,'2015'!$B$2:$G$338,6,FALSE)</f>
        <v>0</v>
      </c>
      <c r="F212" s="18">
        <f t="shared" si="3"/>
        <v>0</v>
      </c>
      <c r="G212" s="18">
        <f>SUM(D212,F212)</f>
        <v>1831488</v>
      </c>
    </row>
    <row r="213" spans="1:7" x14ac:dyDescent="0.2">
      <c r="A213">
        <v>2017</v>
      </c>
      <c r="B213" s="34">
        <v>5185</v>
      </c>
      <c r="C213" s="3" t="s">
        <v>219</v>
      </c>
      <c r="D213" s="12">
        <v>15560230</v>
      </c>
      <c r="E213" s="35">
        <f>VLOOKUP(B213,'2015'!$B$2:$G$338,6,FALSE)</f>
        <v>0</v>
      </c>
      <c r="F213" s="18">
        <f t="shared" si="3"/>
        <v>0</v>
      </c>
      <c r="G213" s="18">
        <f>SUM(D213,F213)</f>
        <v>15560230</v>
      </c>
    </row>
    <row r="214" spans="1:7" x14ac:dyDescent="0.2">
      <c r="A214">
        <v>2017</v>
      </c>
      <c r="B214" s="34">
        <v>5186</v>
      </c>
      <c r="C214" s="3" t="s">
        <v>220</v>
      </c>
      <c r="D214" s="12">
        <v>291953</v>
      </c>
      <c r="E214" s="35">
        <f>VLOOKUP(B214,'2015'!$B$2:$G$338,6,FALSE)</f>
        <v>0</v>
      </c>
      <c r="F214" s="18">
        <f t="shared" si="3"/>
        <v>0</v>
      </c>
      <c r="G214" s="18">
        <f>SUM(D214,F214)</f>
        <v>291953</v>
      </c>
    </row>
    <row r="215" spans="1:7" x14ac:dyDescent="0.2">
      <c r="A215">
        <v>2017</v>
      </c>
      <c r="B215" s="34">
        <v>5187</v>
      </c>
      <c r="C215" s="3" t="s">
        <v>221</v>
      </c>
      <c r="D215" s="12">
        <v>363124</v>
      </c>
      <c r="E215" s="35">
        <f>VLOOKUP(B215,'2015'!$B$2:$G$338,6,FALSE)</f>
        <v>0</v>
      </c>
      <c r="F215" s="18">
        <f t="shared" si="3"/>
        <v>0</v>
      </c>
      <c r="G215" s="18">
        <f>SUM(D215,F215)</f>
        <v>363124</v>
      </c>
    </row>
    <row r="216" spans="1:7" x14ac:dyDescent="0.2">
      <c r="A216">
        <v>2017</v>
      </c>
      <c r="B216" s="34">
        <v>5188</v>
      </c>
      <c r="C216" s="3" t="s">
        <v>222</v>
      </c>
      <c r="D216" s="12">
        <v>192883</v>
      </c>
      <c r="E216" s="35">
        <f>VLOOKUP(B216,'2015'!$B$2:$G$338,6,FALSE)</f>
        <v>0</v>
      </c>
      <c r="F216" s="18">
        <f t="shared" si="3"/>
        <v>0</v>
      </c>
      <c r="G216" s="18">
        <f>SUM(D216,F216)</f>
        <v>192883</v>
      </c>
    </row>
    <row r="217" spans="1:7" x14ac:dyDescent="0.2">
      <c r="A217">
        <v>2017</v>
      </c>
      <c r="B217" s="34">
        <v>5189</v>
      </c>
      <c r="C217" s="3" t="s">
        <v>223</v>
      </c>
      <c r="D217" s="12">
        <v>83983</v>
      </c>
      <c r="E217" s="35">
        <f>VLOOKUP(B217,'2015'!$B$2:$G$338,6,FALSE)</f>
        <v>0</v>
      </c>
      <c r="F217" s="18">
        <f t="shared" si="3"/>
        <v>0</v>
      </c>
      <c r="G217" s="18">
        <f>SUM(D217,F217)</f>
        <v>83983</v>
      </c>
    </row>
    <row r="218" spans="1:7" x14ac:dyDescent="0.2">
      <c r="A218">
        <v>2017</v>
      </c>
      <c r="B218" s="34">
        <v>5190</v>
      </c>
      <c r="C218" s="3" t="s">
        <v>224</v>
      </c>
      <c r="D218" s="12">
        <v>213909</v>
      </c>
      <c r="E218" s="35">
        <f>VLOOKUP(B218,'2015'!$B$2:$G$338,6,FALSE)</f>
        <v>0</v>
      </c>
      <c r="F218" s="18">
        <f t="shared" si="3"/>
        <v>0</v>
      </c>
      <c r="G218" s="18">
        <f>SUM(D218,F218)</f>
        <v>213909</v>
      </c>
    </row>
    <row r="219" spans="1:7" x14ac:dyDescent="0.2">
      <c r="A219">
        <v>2017</v>
      </c>
      <c r="B219" s="34">
        <v>5191</v>
      </c>
      <c r="C219" s="3" t="s">
        <v>225</v>
      </c>
      <c r="D219" s="12">
        <v>719034</v>
      </c>
      <c r="E219" s="35">
        <f>VLOOKUP(B219,'2015'!$B$2:$G$338,6,FALSE)</f>
        <v>0</v>
      </c>
      <c r="F219" s="18">
        <f t="shared" si="3"/>
        <v>0</v>
      </c>
      <c r="G219" s="18">
        <f>SUM(D219,F219)</f>
        <v>719034</v>
      </c>
    </row>
    <row r="220" spans="1:7" x14ac:dyDescent="0.2">
      <c r="A220">
        <v>2017</v>
      </c>
      <c r="B220" s="34">
        <v>5192</v>
      </c>
      <c r="C220" s="3" t="s">
        <v>226</v>
      </c>
      <c r="D220" s="12">
        <v>254519</v>
      </c>
      <c r="E220" s="35">
        <f>VLOOKUP(B220,'2015'!$B$2:$G$338,6,FALSE)</f>
        <v>0</v>
      </c>
      <c r="F220" s="18">
        <f t="shared" si="3"/>
        <v>0</v>
      </c>
      <c r="G220" s="18">
        <f>SUM(D220,F220)</f>
        <v>254519</v>
      </c>
    </row>
    <row r="221" spans="1:7" x14ac:dyDescent="0.2">
      <c r="A221">
        <v>2017</v>
      </c>
      <c r="B221" s="34">
        <v>5193</v>
      </c>
      <c r="C221" s="3" t="s">
        <v>227</v>
      </c>
      <c r="D221" s="12">
        <v>1255729</v>
      </c>
      <c r="E221" s="35">
        <f>VLOOKUP(B221,'2015'!$B$2:$G$338,6,FALSE)</f>
        <v>0</v>
      </c>
      <c r="F221" s="18">
        <f t="shared" si="3"/>
        <v>0</v>
      </c>
      <c r="G221" s="18">
        <f>SUM(D221,F221)</f>
        <v>1255729</v>
      </c>
    </row>
    <row r="222" spans="1:7" x14ac:dyDescent="0.2">
      <c r="A222">
        <v>2017</v>
      </c>
      <c r="B222" s="34">
        <v>5195</v>
      </c>
      <c r="C222" s="3" t="s">
        <v>228</v>
      </c>
      <c r="D222" s="12">
        <v>537147</v>
      </c>
      <c r="E222" s="35">
        <f>VLOOKUP(B222,'2015'!$B$2:$G$338,6,FALSE)</f>
        <v>0</v>
      </c>
      <c r="F222" s="18">
        <f t="shared" si="3"/>
        <v>0</v>
      </c>
      <c r="G222" s="18">
        <f>SUM(D222,F222)</f>
        <v>537147</v>
      </c>
    </row>
    <row r="223" spans="1:7" x14ac:dyDescent="0.2">
      <c r="A223">
        <v>2017</v>
      </c>
      <c r="B223" s="34">
        <v>5196</v>
      </c>
      <c r="C223" s="3" t="s">
        <v>229</v>
      </c>
      <c r="D223" s="12">
        <v>434129</v>
      </c>
      <c r="E223" s="35">
        <f>VLOOKUP(B223,'2015'!$B$2:$G$338,6,FALSE)</f>
        <v>0</v>
      </c>
      <c r="F223" s="18">
        <f t="shared" si="3"/>
        <v>0</v>
      </c>
      <c r="G223" s="18">
        <f>SUM(D223,F223)</f>
        <v>434129</v>
      </c>
    </row>
    <row r="224" spans="1:7" x14ac:dyDescent="0.2">
      <c r="A224">
        <v>2017</v>
      </c>
      <c r="B224" s="34">
        <v>5197</v>
      </c>
      <c r="C224" s="3" t="s">
        <v>230</v>
      </c>
      <c r="D224" s="12">
        <v>241353</v>
      </c>
      <c r="E224" s="35">
        <f>VLOOKUP(B224,'2015'!$B$2:$G$338,6,FALSE)</f>
        <v>0</v>
      </c>
      <c r="F224" s="18">
        <f t="shared" si="3"/>
        <v>0</v>
      </c>
      <c r="G224" s="18">
        <f>SUM(D224,F224)</f>
        <v>241353</v>
      </c>
    </row>
    <row r="225" spans="1:7" x14ac:dyDescent="0.2">
      <c r="A225">
        <v>2017</v>
      </c>
      <c r="B225" s="34">
        <v>5198</v>
      </c>
      <c r="C225" s="3" t="s">
        <v>231</v>
      </c>
      <c r="D225" s="12">
        <v>1044403</v>
      </c>
      <c r="E225" s="35">
        <f>VLOOKUP(B225,'2015'!$B$2:$G$338,6,FALSE)</f>
        <v>0</v>
      </c>
      <c r="F225" s="18">
        <f t="shared" si="3"/>
        <v>0</v>
      </c>
      <c r="G225" s="18">
        <f>SUM(D225,F225)</f>
        <v>1044403</v>
      </c>
    </row>
    <row r="226" spans="1:7" x14ac:dyDescent="0.2">
      <c r="A226">
        <v>2017</v>
      </c>
      <c r="B226" s="34">
        <v>5199</v>
      </c>
      <c r="C226" s="3" t="s">
        <v>232</v>
      </c>
      <c r="D226" s="12">
        <v>314574</v>
      </c>
      <c r="E226" s="35">
        <f>VLOOKUP(B226,'2015'!$B$2:$G$338,6,FALSE)</f>
        <v>0</v>
      </c>
      <c r="F226" s="18">
        <f t="shared" si="3"/>
        <v>0</v>
      </c>
      <c r="G226" s="18">
        <f>SUM(D226,F226)</f>
        <v>314574</v>
      </c>
    </row>
    <row r="227" spans="1:7" x14ac:dyDescent="0.2">
      <c r="A227">
        <v>2017</v>
      </c>
      <c r="B227" s="34">
        <v>5200</v>
      </c>
      <c r="C227" s="3" t="s">
        <v>233</v>
      </c>
      <c r="D227" s="12">
        <v>704306</v>
      </c>
      <c r="E227" s="35">
        <f>VLOOKUP(B227,'2015'!$B$2:$G$338,6,FALSE)</f>
        <v>0</v>
      </c>
      <c r="F227" s="18">
        <f t="shared" si="3"/>
        <v>0</v>
      </c>
      <c r="G227" s="18">
        <f>SUM(D227,F227)</f>
        <v>704306</v>
      </c>
    </row>
    <row r="228" spans="1:7" x14ac:dyDescent="0.2">
      <c r="A228">
        <v>2017</v>
      </c>
      <c r="B228" s="34">
        <v>5201</v>
      </c>
      <c r="C228" s="3" t="s">
        <v>234</v>
      </c>
      <c r="D228" s="12">
        <v>166715</v>
      </c>
      <c r="E228" s="35">
        <f>VLOOKUP(B228,'2015'!$B$2:$G$338,6,FALSE)</f>
        <v>0</v>
      </c>
      <c r="F228" s="18">
        <f t="shared" si="3"/>
        <v>0</v>
      </c>
      <c r="G228" s="18">
        <f>SUM(D228,F228)</f>
        <v>166715</v>
      </c>
    </row>
    <row r="229" spans="1:7" x14ac:dyDescent="0.2">
      <c r="A229">
        <v>2017</v>
      </c>
      <c r="B229" s="34">
        <v>5202</v>
      </c>
      <c r="C229" s="3" t="s">
        <v>235</v>
      </c>
      <c r="D229" s="12">
        <v>179726</v>
      </c>
      <c r="E229" s="35">
        <f>VLOOKUP(B229,'2015'!$B$2:$G$338,6,FALSE)</f>
        <v>0</v>
      </c>
      <c r="F229" s="18">
        <f t="shared" si="3"/>
        <v>0</v>
      </c>
      <c r="G229" s="18">
        <f>SUM(D229,F229)</f>
        <v>179726</v>
      </c>
    </row>
    <row r="230" spans="1:7" x14ac:dyDescent="0.2">
      <c r="A230">
        <v>2017</v>
      </c>
      <c r="B230" s="34">
        <v>5203</v>
      </c>
      <c r="C230" s="3" t="s">
        <v>236</v>
      </c>
      <c r="D230" s="12">
        <v>558201</v>
      </c>
      <c r="E230" s="35">
        <f>VLOOKUP(B230,'2015'!$B$2:$G$338,6,FALSE)</f>
        <v>0</v>
      </c>
      <c r="F230" s="18">
        <f t="shared" si="3"/>
        <v>0</v>
      </c>
      <c r="G230" s="18">
        <f>SUM(D230,F230)</f>
        <v>558201</v>
      </c>
    </row>
    <row r="231" spans="1:7" x14ac:dyDescent="0.2">
      <c r="A231">
        <v>2017</v>
      </c>
      <c r="B231" s="34">
        <v>5204</v>
      </c>
      <c r="C231" s="3" t="s">
        <v>237</v>
      </c>
      <c r="D231" s="12">
        <v>875927</v>
      </c>
      <c r="E231" s="35">
        <f>VLOOKUP(B231,'2015'!$B$2:$G$338,6,FALSE)</f>
        <v>0</v>
      </c>
      <c r="F231" s="18">
        <f t="shared" si="3"/>
        <v>0</v>
      </c>
      <c r="G231" s="18">
        <f>SUM(D231,F231)</f>
        <v>875927</v>
      </c>
    </row>
    <row r="232" spans="1:7" x14ac:dyDescent="0.2">
      <c r="A232">
        <v>2017</v>
      </c>
      <c r="B232" s="34">
        <v>5205</v>
      </c>
      <c r="C232" s="3" t="s">
        <v>238</v>
      </c>
      <c r="D232" s="12">
        <v>344458</v>
      </c>
      <c r="E232" s="35">
        <f>VLOOKUP(B232,'2015'!$B$2:$G$338,6,FALSE)</f>
        <v>0</v>
      </c>
      <c r="F232" s="18">
        <f t="shared" si="3"/>
        <v>0</v>
      </c>
      <c r="G232" s="18">
        <f>SUM(D232,F232)</f>
        <v>344458</v>
      </c>
    </row>
    <row r="233" spans="1:7" x14ac:dyDescent="0.2">
      <c r="A233">
        <v>2017</v>
      </c>
      <c r="B233" s="34">
        <v>5206</v>
      </c>
      <c r="C233" s="3" t="s">
        <v>239</v>
      </c>
      <c r="D233" s="12">
        <v>358309</v>
      </c>
      <c r="E233" s="35">
        <f>VLOOKUP(B233,'2015'!$B$2:$G$338,6,FALSE)</f>
        <v>0</v>
      </c>
      <c r="F233" s="18">
        <f t="shared" si="3"/>
        <v>0</v>
      </c>
      <c r="G233" s="18">
        <f>SUM(D233,F233)</f>
        <v>358309</v>
      </c>
    </row>
    <row r="234" spans="1:7" x14ac:dyDescent="0.2">
      <c r="A234">
        <v>2017</v>
      </c>
      <c r="B234" s="34">
        <v>5207</v>
      </c>
      <c r="C234" s="3" t="s">
        <v>240</v>
      </c>
      <c r="D234" s="12">
        <v>796004</v>
      </c>
      <c r="E234" s="35">
        <f>VLOOKUP(B234,'2015'!$B$2:$G$338,6,FALSE)</f>
        <v>0</v>
      </c>
      <c r="F234" s="18">
        <f t="shared" si="3"/>
        <v>0</v>
      </c>
      <c r="G234" s="18">
        <f>SUM(D234,F234)</f>
        <v>796004</v>
      </c>
    </row>
    <row r="235" spans="1:7" x14ac:dyDescent="0.2">
      <c r="A235">
        <v>2017</v>
      </c>
      <c r="B235" s="34">
        <v>5208</v>
      </c>
      <c r="C235" s="3" t="s">
        <v>241</v>
      </c>
      <c r="D235" s="12">
        <v>250734</v>
      </c>
      <c r="E235" s="35">
        <f>VLOOKUP(B235,'2015'!$B$2:$G$338,6,FALSE)</f>
        <v>0</v>
      </c>
      <c r="F235" s="18">
        <f t="shared" si="3"/>
        <v>0</v>
      </c>
      <c r="G235" s="18">
        <f>SUM(D235,F235)</f>
        <v>250734</v>
      </c>
    </row>
    <row r="236" spans="1:7" x14ac:dyDescent="0.2">
      <c r="A236">
        <v>2017</v>
      </c>
      <c r="B236" s="34">
        <v>5210</v>
      </c>
      <c r="C236" s="3" t="s">
        <v>242</v>
      </c>
      <c r="D236" s="12">
        <v>2675897</v>
      </c>
      <c r="E236" s="35">
        <f>VLOOKUP(B236,'2015'!$B$2:$G$338,6,FALSE)</f>
        <v>0</v>
      </c>
      <c r="F236" s="18">
        <f t="shared" si="3"/>
        <v>0</v>
      </c>
      <c r="G236" s="18">
        <f>SUM(D236,F236)</f>
        <v>2675897</v>
      </c>
    </row>
    <row r="237" spans="1:7" x14ac:dyDescent="0.2">
      <c r="A237">
        <v>2017</v>
      </c>
      <c r="B237" s="34">
        <v>5212</v>
      </c>
      <c r="C237" s="3" t="s">
        <v>243</v>
      </c>
      <c r="D237" s="12">
        <v>589658</v>
      </c>
      <c r="E237" s="35">
        <f>VLOOKUP(B237,'2015'!$B$2:$G$338,6,FALSE)</f>
        <v>0</v>
      </c>
      <c r="F237" s="18">
        <f t="shared" si="3"/>
        <v>0</v>
      </c>
      <c r="G237" s="18">
        <f>SUM(D237,F237)</f>
        <v>589658</v>
      </c>
    </row>
    <row r="238" spans="1:7" x14ac:dyDescent="0.2">
      <c r="A238">
        <v>2017</v>
      </c>
      <c r="B238" s="34">
        <v>5213</v>
      </c>
      <c r="C238" s="3" t="s">
        <v>244</v>
      </c>
      <c r="D238" s="12">
        <v>467876</v>
      </c>
      <c r="E238" s="35">
        <f>VLOOKUP(B238,'2015'!$B$2:$G$338,6,FALSE)</f>
        <v>0</v>
      </c>
      <c r="F238" s="18">
        <f t="shared" si="3"/>
        <v>0</v>
      </c>
      <c r="G238" s="18">
        <f>SUM(D238,F238)</f>
        <v>467876</v>
      </c>
    </row>
    <row r="239" spans="1:7" x14ac:dyDescent="0.2">
      <c r="A239">
        <v>2017</v>
      </c>
      <c r="B239" s="34">
        <v>5214</v>
      </c>
      <c r="C239" s="3" t="s">
        <v>245</v>
      </c>
      <c r="D239" s="12">
        <v>2361660</v>
      </c>
      <c r="E239" s="35">
        <f>VLOOKUP(B239,'2015'!$B$2:$G$338,6,FALSE)</f>
        <v>0</v>
      </c>
      <c r="F239" s="18">
        <f t="shared" si="3"/>
        <v>0</v>
      </c>
      <c r="G239" s="18">
        <f>SUM(D239,F239)</f>
        <v>2361660</v>
      </c>
    </row>
    <row r="240" spans="1:7" x14ac:dyDescent="0.2">
      <c r="A240">
        <v>2017</v>
      </c>
      <c r="B240" s="34">
        <v>5215</v>
      </c>
      <c r="C240" s="3" t="s">
        <v>246</v>
      </c>
      <c r="D240" s="12">
        <v>571662</v>
      </c>
      <c r="E240" s="35">
        <f>VLOOKUP(B240,'2015'!$B$2:$G$338,6,FALSE)</f>
        <v>0</v>
      </c>
      <c r="F240" s="18">
        <f t="shared" si="3"/>
        <v>0</v>
      </c>
      <c r="G240" s="18">
        <f>SUM(D240,F240)</f>
        <v>571662</v>
      </c>
    </row>
    <row r="241" spans="1:7" x14ac:dyDescent="0.2">
      <c r="A241">
        <v>2017</v>
      </c>
      <c r="B241" s="34">
        <v>5216</v>
      </c>
      <c r="C241" s="3" t="s">
        <v>299</v>
      </c>
      <c r="D241" s="12">
        <v>783800</v>
      </c>
      <c r="E241" s="35">
        <f>VLOOKUP(B241,'2015'!$B$2:$G$338,6,FALSE)</f>
        <v>0</v>
      </c>
      <c r="F241" s="18">
        <f t="shared" si="3"/>
        <v>0</v>
      </c>
      <c r="G241" s="18">
        <f>SUM(D241,F241)</f>
        <v>783800</v>
      </c>
    </row>
    <row r="242" spans="1:7" x14ac:dyDescent="0.2">
      <c r="A242">
        <v>2017</v>
      </c>
      <c r="B242" s="34">
        <v>5217</v>
      </c>
      <c r="C242" s="3" t="s">
        <v>248</v>
      </c>
      <c r="D242" s="12">
        <v>100110</v>
      </c>
      <c r="E242" s="35">
        <f>VLOOKUP(B242,'2015'!$B$2:$G$338,6,FALSE)</f>
        <v>0</v>
      </c>
      <c r="F242" s="18">
        <f t="shared" si="3"/>
        <v>0</v>
      </c>
      <c r="G242" s="18">
        <f>SUM(D242,F242)</f>
        <v>100110</v>
      </c>
    </row>
    <row r="243" spans="1:7" x14ac:dyDescent="0.2">
      <c r="A243">
        <v>2017</v>
      </c>
      <c r="B243" s="34">
        <v>5218</v>
      </c>
      <c r="C243" s="3" t="s">
        <v>249</v>
      </c>
      <c r="D243" s="12">
        <v>213149</v>
      </c>
      <c r="E243" s="35">
        <f>VLOOKUP(B243,'2015'!$B$2:$G$338,6,FALSE)</f>
        <v>0</v>
      </c>
      <c r="F243" s="18">
        <f t="shared" si="3"/>
        <v>0</v>
      </c>
      <c r="G243" s="18">
        <f>SUM(D243,F243)</f>
        <v>213149</v>
      </c>
    </row>
    <row r="244" spans="1:7" x14ac:dyDescent="0.2">
      <c r="A244">
        <v>2017</v>
      </c>
      <c r="B244" s="34">
        <v>5219</v>
      </c>
      <c r="C244" s="3" t="s">
        <v>250</v>
      </c>
      <c r="D244" s="12">
        <v>162745</v>
      </c>
      <c r="E244" s="35">
        <f>VLOOKUP(B244,'2015'!$B$2:$G$338,6,FALSE)</f>
        <v>0</v>
      </c>
      <c r="F244" s="18">
        <f t="shared" si="3"/>
        <v>0</v>
      </c>
      <c r="G244" s="18">
        <f>SUM(D244,F244)</f>
        <v>162745</v>
      </c>
    </row>
    <row r="245" spans="1:7" x14ac:dyDescent="0.2">
      <c r="A245">
        <v>2017</v>
      </c>
      <c r="B245" s="34">
        <v>5220</v>
      </c>
      <c r="C245" s="3" t="s">
        <v>251</v>
      </c>
      <c r="D245" s="12">
        <v>347256</v>
      </c>
      <c r="E245" s="35">
        <f>VLOOKUP(B245,'2015'!$B$2:$G$338,6,FALSE)</f>
        <v>0</v>
      </c>
      <c r="F245" s="18">
        <f t="shared" si="3"/>
        <v>0</v>
      </c>
      <c r="G245" s="18">
        <f>SUM(D245,F245)</f>
        <v>347256</v>
      </c>
    </row>
    <row r="246" spans="1:7" x14ac:dyDescent="0.2">
      <c r="A246">
        <v>2017</v>
      </c>
      <c r="B246" s="34">
        <v>5222</v>
      </c>
      <c r="C246" s="3" t="s">
        <v>252</v>
      </c>
      <c r="D246" s="12">
        <v>288184</v>
      </c>
      <c r="E246" s="35">
        <f>VLOOKUP(B246,'2015'!$B$2:$G$338,6,FALSE)</f>
        <v>0</v>
      </c>
      <c r="F246" s="18">
        <f t="shared" si="3"/>
        <v>0</v>
      </c>
      <c r="G246" s="18">
        <f>SUM(D246,F246)</f>
        <v>288184</v>
      </c>
    </row>
    <row r="247" spans="1:7" x14ac:dyDescent="0.2">
      <c r="A247">
        <v>2017</v>
      </c>
      <c r="B247" s="34">
        <v>5223</v>
      </c>
      <c r="C247" s="3" t="s">
        <v>253</v>
      </c>
      <c r="D247" s="12">
        <v>299678</v>
      </c>
      <c r="E247" s="35">
        <f>VLOOKUP(B247,'2015'!$B$2:$G$338,6,FALSE)</f>
        <v>0</v>
      </c>
      <c r="F247" s="18">
        <f t="shared" si="3"/>
        <v>0</v>
      </c>
      <c r="G247" s="18">
        <f>SUM(D247,F247)</f>
        <v>299678</v>
      </c>
    </row>
    <row r="248" spans="1:7" x14ac:dyDescent="0.2">
      <c r="A248">
        <v>2017</v>
      </c>
      <c r="B248" s="34">
        <v>5226</v>
      </c>
      <c r="C248" s="3" t="s">
        <v>254</v>
      </c>
      <c r="D248" s="12">
        <v>144551</v>
      </c>
      <c r="E248" s="35">
        <f>VLOOKUP(B248,'2015'!$B$2:$G$338,6,FALSE)</f>
        <v>0</v>
      </c>
      <c r="F248" s="18">
        <f t="shared" si="3"/>
        <v>0</v>
      </c>
      <c r="G248" s="18">
        <f>SUM(D248,F248)</f>
        <v>144551</v>
      </c>
    </row>
    <row r="249" spans="1:7" x14ac:dyDescent="0.2">
      <c r="A249">
        <v>2017</v>
      </c>
      <c r="B249" s="34">
        <v>5227</v>
      </c>
      <c r="C249" s="3" t="s">
        <v>255</v>
      </c>
      <c r="D249" s="12">
        <v>64087</v>
      </c>
      <c r="E249" s="35">
        <f>VLOOKUP(B249,'2015'!$B$2:$G$338,6,FALSE)</f>
        <v>0</v>
      </c>
      <c r="F249" s="18">
        <f t="shared" si="3"/>
        <v>0</v>
      </c>
      <c r="G249" s="18">
        <f>SUM(D249,F249)</f>
        <v>64087</v>
      </c>
    </row>
    <row r="250" spans="1:7" x14ac:dyDescent="0.2">
      <c r="A250">
        <v>2017</v>
      </c>
      <c r="B250" s="34">
        <v>5228</v>
      </c>
      <c r="C250" s="3" t="s">
        <v>256</v>
      </c>
      <c r="D250" s="12">
        <v>107542</v>
      </c>
      <c r="E250" s="35">
        <f>VLOOKUP(B250,'2015'!$B$2:$G$338,6,FALSE)</f>
        <v>0</v>
      </c>
      <c r="F250" s="18">
        <f t="shared" si="3"/>
        <v>0</v>
      </c>
      <c r="G250" s="18">
        <f>SUM(D250,F250)</f>
        <v>107542</v>
      </c>
    </row>
    <row r="251" spans="1:7" x14ac:dyDescent="0.2">
      <c r="A251">
        <v>2017</v>
      </c>
      <c r="B251" s="34">
        <v>5229</v>
      </c>
      <c r="C251" s="3" t="s">
        <v>257</v>
      </c>
      <c r="D251" s="12">
        <v>272890</v>
      </c>
      <c r="E251" s="35">
        <f>VLOOKUP(B251,'2015'!$B$2:$G$338,6,FALSE)</f>
        <v>0</v>
      </c>
      <c r="F251" s="18">
        <f t="shared" si="3"/>
        <v>0</v>
      </c>
      <c r="G251" s="18">
        <f>SUM(D251,F251)</f>
        <v>272890</v>
      </c>
    </row>
    <row r="252" spans="1:7" x14ac:dyDescent="0.2">
      <c r="A252">
        <v>2017</v>
      </c>
      <c r="B252" s="34">
        <v>5230</v>
      </c>
      <c r="C252" s="3" t="s">
        <v>258</v>
      </c>
      <c r="D252" s="12">
        <v>568686</v>
      </c>
      <c r="E252" s="35">
        <f>VLOOKUP(B252,'2015'!$B$2:$G$338,6,FALSE)</f>
        <v>0</v>
      </c>
      <c r="F252" s="18">
        <f t="shared" si="3"/>
        <v>0</v>
      </c>
      <c r="G252" s="18">
        <f>SUM(D252,F252)</f>
        <v>568686</v>
      </c>
    </row>
    <row r="253" spans="1:7" x14ac:dyDescent="0.2">
      <c r="A253">
        <v>2017</v>
      </c>
      <c r="B253" s="34">
        <v>5231</v>
      </c>
      <c r="C253" s="3" t="s">
        <v>259</v>
      </c>
      <c r="D253" s="12">
        <v>1221112</v>
      </c>
      <c r="E253" s="35">
        <f>VLOOKUP(B253,'2015'!$B$2:$G$338,6,FALSE)</f>
        <v>0</v>
      </c>
      <c r="F253" s="18">
        <f t="shared" si="3"/>
        <v>0</v>
      </c>
      <c r="G253" s="18">
        <f>SUM(D253,F253)</f>
        <v>1221112</v>
      </c>
    </row>
    <row r="254" spans="1:7" x14ac:dyDescent="0.2">
      <c r="A254">
        <v>2017</v>
      </c>
      <c r="B254" s="34">
        <v>5233</v>
      </c>
      <c r="C254" s="3" t="s">
        <v>260</v>
      </c>
      <c r="D254" s="12">
        <v>3950774</v>
      </c>
      <c r="E254" s="35">
        <f>VLOOKUP(B254,'2015'!$B$2:$G$338,6,FALSE)</f>
        <v>0</v>
      </c>
      <c r="F254" s="18">
        <f t="shared" si="3"/>
        <v>0</v>
      </c>
      <c r="G254" s="18">
        <f>SUM(D254,F254)</f>
        <v>3950774</v>
      </c>
    </row>
    <row r="255" spans="1:7" x14ac:dyDescent="0.2">
      <c r="A255">
        <v>2017</v>
      </c>
      <c r="B255" s="34">
        <v>5235</v>
      </c>
      <c r="C255" s="3" t="s">
        <v>261</v>
      </c>
      <c r="D255" s="12">
        <v>168428</v>
      </c>
      <c r="E255" s="35">
        <f>VLOOKUP(B255,'2015'!$B$2:$G$338,6,FALSE)</f>
        <v>0</v>
      </c>
      <c r="F255" s="18">
        <f t="shared" si="3"/>
        <v>0</v>
      </c>
      <c r="G255" s="18">
        <f>SUM(D255,F255)</f>
        <v>168428</v>
      </c>
    </row>
    <row r="256" spans="1:7" x14ac:dyDescent="0.2">
      <c r="A256">
        <v>2017</v>
      </c>
      <c r="B256" s="34">
        <v>5236</v>
      </c>
      <c r="C256" s="3" t="s">
        <v>262</v>
      </c>
      <c r="D256" s="12">
        <v>415877</v>
      </c>
      <c r="E256" s="35">
        <f>VLOOKUP(B256,'2015'!$B$2:$G$338,6,FALSE)</f>
        <v>0</v>
      </c>
      <c r="F256" s="18">
        <f t="shared" si="3"/>
        <v>0</v>
      </c>
      <c r="G256" s="18">
        <f>SUM(D256,F256)</f>
        <v>415877</v>
      </c>
    </row>
    <row r="257" spans="1:7" x14ac:dyDescent="0.2">
      <c r="A257">
        <v>2017</v>
      </c>
      <c r="B257" s="34">
        <v>5237</v>
      </c>
      <c r="C257" s="3" t="s">
        <v>263</v>
      </c>
      <c r="D257" s="12">
        <v>185277</v>
      </c>
      <c r="E257" s="35">
        <f>VLOOKUP(B257,'2015'!$B$2:$G$338,6,FALSE)</f>
        <v>0</v>
      </c>
      <c r="F257" s="18">
        <f t="shared" si="3"/>
        <v>0</v>
      </c>
      <c r="G257" s="18">
        <f>SUM(D257,F257)</f>
        <v>185277</v>
      </c>
    </row>
    <row r="258" spans="1:7" x14ac:dyDescent="0.2">
      <c r="A258">
        <v>2017</v>
      </c>
      <c r="B258" s="34">
        <v>5238</v>
      </c>
      <c r="C258" s="3" t="s">
        <v>264</v>
      </c>
      <c r="D258" s="12">
        <v>161223</v>
      </c>
      <c r="E258" s="35">
        <f>VLOOKUP(B258,'2015'!$B$2:$G$338,6,FALSE)</f>
        <v>0</v>
      </c>
      <c r="F258" s="18">
        <f t="shared" si="3"/>
        <v>0</v>
      </c>
      <c r="G258" s="18">
        <f>SUM(D258,F258)</f>
        <v>161223</v>
      </c>
    </row>
    <row r="259" spans="1:7" x14ac:dyDescent="0.2">
      <c r="A259">
        <v>2017</v>
      </c>
      <c r="B259" s="34">
        <v>5239</v>
      </c>
      <c r="C259" s="3" t="s">
        <v>265</v>
      </c>
      <c r="D259" s="12">
        <v>135898</v>
      </c>
      <c r="E259" s="35">
        <f>VLOOKUP(B259,'2015'!$B$2:$G$338,6,FALSE)</f>
        <v>0</v>
      </c>
      <c r="F259" s="18">
        <f t="shared" ref="F259:F322" si="4">E259*$D$341</f>
        <v>0</v>
      </c>
      <c r="G259" s="18">
        <f>SUM(D259,F259)</f>
        <v>135898</v>
      </c>
    </row>
    <row r="260" spans="1:7" x14ac:dyDescent="0.2">
      <c r="A260">
        <v>2017</v>
      </c>
      <c r="B260" s="34">
        <v>5240</v>
      </c>
      <c r="C260" s="3" t="s">
        <v>266</v>
      </c>
      <c r="D260" s="12">
        <v>285104</v>
      </c>
      <c r="E260" s="35">
        <f>VLOOKUP(B260,'2015'!$B$2:$G$338,6,FALSE)</f>
        <v>0</v>
      </c>
      <c r="F260" s="18">
        <f t="shared" si="4"/>
        <v>0</v>
      </c>
      <c r="G260" s="18">
        <f>SUM(D260,F260)</f>
        <v>285104</v>
      </c>
    </row>
    <row r="261" spans="1:7" x14ac:dyDescent="0.2">
      <c r="A261">
        <v>2017</v>
      </c>
      <c r="B261" s="34">
        <v>5241</v>
      </c>
      <c r="C261" s="3" t="s">
        <v>362</v>
      </c>
      <c r="D261" s="12">
        <v>171440</v>
      </c>
      <c r="E261" s="35">
        <f>VLOOKUP(B261,'2015'!$B$2:$G$338,6,FALSE)</f>
        <v>0</v>
      </c>
      <c r="F261" s="18">
        <f t="shared" si="4"/>
        <v>0</v>
      </c>
      <c r="G261" s="18">
        <f>SUM(D261,F261)</f>
        <v>171440</v>
      </c>
    </row>
    <row r="262" spans="1:7" x14ac:dyDescent="0.2">
      <c r="A262">
        <v>2017</v>
      </c>
      <c r="B262" s="34">
        <v>5250</v>
      </c>
      <c r="C262" s="3" t="s">
        <v>268</v>
      </c>
      <c r="D262" s="12">
        <v>463854</v>
      </c>
      <c r="E262" s="35">
        <f>VLOOKUP(B262,'2015'!$B$2:$G$338,6,FALSE)</f>
        <v>0</v>
      </c>
      <c r="F262" s="18">
        <f t="shared" si="4"/>
        <v>0</v>
      </c>
      <c r="G262" s="18">
        <f>SUM(D262,F262)</f>
        <v>463854</v>
      </c>
    </row>
    <row r="263" spans="1:7" x14ac:dyDescent="0.2">
      <c r="A263">
        <v>2017</v>
      </c>
      <c r="B263" s="34">
        <v>5251</v>
      </c>
      <c r="C263" s="3" t="s">
        <v>269</v>
      </c>
      <c r="D263" s="12">
        <v>150858</v>
      </c>
      <c r="E263" s="35">
        <f>VLOOKUP(B263,'2015'!$B$2:$G$338,6,FALSE)</f>
        <v>0</v>
      </c>
      <c r="F263" s="18">
        <f t="shared" si="4"/>
        <v>0</v>
      </c>
      <c r="G263" s="18">
        <f>SUM(D263,F263)</f>
        <v>150858</v>
      </c>
    </row>
    <row r="264" spans="1:7" x14ac:dyDescent="0.2">
      <c r="A264">
        <v>2017</v>
      </c>
      <c r="B264" s="34">
        <v>5267</v>
      </c>
      <c r="C264" s="3" t="s">
        <v>270</v>
      </c>
      <c r="D264" s="12">
        <v>166931</v>
      </c>
      <c r="E264" s="35">
        <f>VLOOKUP(B264,'2015'!$B$2:$G$338,6,FALSE)</f>
        <v>0</v>
      </c>
      <c r="F264" s="18">
        <f t="shared" si="4"/>
        <v>0</v>
      </c>
      <c r="G264" s="18">
        <f>SUM(D264,F264)</f>
        <v>166931</v>
      </c>
    </row>
    <row r="265" spans="1:7" x14ac:dyDescent="0.2">
      <c r="A265">
        <v>2017</v>
      </c>
      <c r="B265" s="34">
        <v>5268</v>
      </c>
      <c r="C265" s="3" t="s">
        <v>271</v>
      </c>
      <c r="D265" s="12">
        <v>168756</v>
      </c>
      <c r="E265" s="35">
        <f>VLOOKUP(B265,'2015'!$B$2:$G$338,6,FALSE)</f>
        <v>0</v>
      </c>
      <c r="F265" s="18">
        <f t="shared" si="4"/>
        <v>0</v>
      </c>
      <c r="G265" s="18">
        <f>SUM(D265,F265)</f>
        <v>168756</v>
      </c>
    </row>
    <row r="266" spans="1:7" x14ac:dyDescent="0.2">
      <c r="A266">
        <v>2017</v>
      </c>
      <c r="B266" s="34">
        <v>5270</v>
      </c>
      <c r="C266" s="3" t="s">
        <v>272</v>
      </c>
      <c r="D266" s="12">
        <v>233751</v>
      </c>
      <c r="E266" s="35">
        <f>VLOOKUP(B266,'2015'!$B$2:$G$338,6,FALSE)</f>
        <v>0</v>
      </c>
      <c r="F266" s="18">
        <f t="shared" si="4"/>
        <v>0</v>
      </c>
      <c r="G266" s="18">
        <f>SUM(D266,F266)</f>
        <v>233751</v>
      </c>
    </row>
    <row r="267" spans="1:7" x14ac:dyDescent="0.2">
      <c r="A267">
        <v>2017</v>
      </c>
      <c r="B267" s="34">
        <v>5271</v>
      </c>
      <c r="C267" s="3" t="s">
        <v>273</v>
      </c>
      <c r="D267" s="12">
        <v>123358</v>
      </c>
      <c r="E267" s="35">
        <f>VLOOKUP(B267,'2015'!$B$2:$G$338,6,FALSE)</f>
        <v>0</v>
      </c>
      <c r="F267" s="18">
        <f t="shared" si="4"/>
        <v>0</v>
      </c>
      <c r="G267" s="18">
        <f>SUM(D267,F267)</f>
        <v>123358</v>
      </c>
    </row>
    <row r="268" spans="1:7" x14ac:dyDescent="0.2">
      <c r="A268">
        <v>2017</v>
      </c>
      <c r="B268" s="34">
        <v>5272</v>
      </c>
      <c r="C268" s="3" t="s">
        <v>274</v>
      </c>
      <c r="D268" s="12">
        <v>1947803</v>
      </c>
      <c r="E268" s="35">
        <f>VLOOKUP(B268,'2015'!$B$2:$G$338,6,FALSE)</f>
        <v>0</v>
      </c>
      <c r="F268" s="18">
        <f t="shared" si="4"/>
        <v>0</v>
      </c>
      <c r="G268" s="18">
        <f>SUM(D268,F268)</f>
        <v>1947803</v>
      </c>
    </row>
    <row r="269" spans="1:7" x14ac:dyDescent="0.2">
      <c r="A269">
        <v>2017</v>
      </c>
      <c r="B269" s="34">
        <v>5274</v>
      </c>
      <c r="C269" s="3" t="s">
        <v>275</v>
      </c>
      <c r="D269" s="12">
        <v>525689</v>
      </c>
      <c r="E269" s="35">
        <f>VLOOKUP(B269,'2015'!$B$2:$G$338,6,FALSE)</f>
        <v>0</v>
      </c>
      <c r="F269" s="18">
        <f t="shared" si="4"/>
        <v>0</v>
      </c>
      <c r="G269" s="18">
        <f>SUM(D269,F269)</f>
        <v>525689</v>
      </c>
    </row>
    <row r="270" spans="1:7" x14ac:dyDescent="0.2">
      <c r="A270">
        <v>2017</v>
      </c>
      <c r="B270" s="34">
        <v>5275</v>
      </c>
      <c r="C270" s="3" t="s">
        <v>276</v>
      </c>
      <c r="D270" s="12">
        <v>1222749</v>
      </c>
      <c r="E270" s="35">
        <f>VLOOKUP(B270,'2015'!$B$2:$G$338,6,FALSE)</f>
        <v>0</v>
      </c>
      <c r="F270" s="18">
        <f t="shared" si="4"/>
        <v>0</v>
      </c>
      <c r="G270" s="18">
        <f>SUM(D270,F270)</f>
        <v>1222749</v>
      </c>
    </row>
    <row r="271" spans="1:7" x14ac:dyDescent="0.2">
      <c r="A271">
        <v>2017</v>
      </c>
      <c r="B271" s="34">
        <v>5276</v>
      </c>
      <c r="C271" s="3" t="s">
        <v>277</v>
      </c>
      <c r="D271" s="12">
        <v>662553</v>
      </c>
      <c r="E271" s="35">
        <f>VLOOKUP(B271,'2015'!$B$2:$G$338,6,FALSE)</f>
        <v>0</v>
      </c>
      <c r="F271" s="18">
        <f t="shared" si="4"/>
        <v>0</v>
      </c>
      <c r="G271" s="18">
        <f>SUM(D271,F271)</f>
        <v>662553</v>
      </c>
    </row>
    <row r="272" spans="1:7" x14ac:dyDescent="0.2">
      <c r="A272">
        <v>2017</v>
      </c>
      <c r="B272" s="34">
        <v>5278</v>
      </c>
      <c r="C272" s="3" t="s">
        <v>278</v>
      </c>
      <c r="D272" s="12">
        <v>190242</v>
      </c>
      <c r="E272" s="35">
        <f>VLOOKUP(B272,'2015'!$B$2:$G$338,6,FALSE)</f>
        <v>0</v>
      </c>
      <c r="F272" s="18">
        <f t="shared" si="4"/>
        <v>0</v>
      </c>
      <c r="G272" s="18">
        <f>SUM(D272,F272)</f>
        <v>190242</v>
      </c>
    </row>
    <row r="273" spans="1:7" x14ac:dyDescent="0.2">
      <c r="A273">
        <v>2017</v>
      </c>
      <c r="B273" s="34">
        <v>5280</v>
      </c>
      <c r="C273" s="3" t="s">
        <v>279</v>
      </c>
      <c r="D273" s="12">
        <v>3505298</v>
      </c>
      <c r="E273" s="35">
        <f>VLOOKUP(B273,'2015'!$B$2:$G$338,6,FALSE)</f>
        <v>0</v>
      </c>
      <c r="F273" s="18">
        <f t="shared" si="4"/>
        <v>0</v>
      </c>
      <c r="G273" s="18">
        <f>SUM(D273,F273)</f>
        <v>3505298</v>
      </c>
    </row>
    <row r="274" spans="1:7" x14ac:dyDescent="0.2">
      <c r="A274">
        <v>2017</v>
      </c>
      <c r="B274" s="34">
        <v>5281</v>
      </c>
      <c r="C274" s="3" t="s">
        <v>280</v>
      </c>
      <c r="D274" s="12">
        <v>148437</v>
      </c>
      <c r="E274" s="35">
        <f>VLOOKUP(B274,'2015'!$B$2:$G$338,6,FALSE)</f>
        <v>0</v>
      </c>
      <c r="F274" s="18">
        <f t="shared" si="4"/>
        <v>0</v>
      </c>
      <c r="G274" s="18">
        <f>SUM(D274,F274)</f>
        <v>148437</v>
      </c>
    </row>
    <row r="275" spans="1:7" x14ac:dyDescent="0.2">
      <c r="A275">
        <v>2017</v>
      </c>
      <c r="B275" s="34">
        <v>5283</v>
      </c>
      <c r="C275" s="3" t="s">
        <v>281</v>
      </c>
      <c r="D275" s="12">
        <v>355014</v>
      </c>
      <c r="E275" s="35">
        <f>VLOOKUP(B275,'2015'!$B$2:$G$338,6,FALSE)</f>
        <v>0</v>
      </c>
      <c r="F275" s="18">
        <f t="shared" si="4"/>
        <v>0</v>
      </c>
      <c r="G275" s="18">
        <f>SUM(D275,F275)</f>
        <v>355014</v>
      </c>
    </row>
    <row r="276" spans="1:7" x14ac:dyDescent="0.2">
      <c r="A276">
        <v>2017</v>
      </c>
      <c r="B276" s="34">
        <v>5284</v>
      </c>
      <c r="C276" s="3" t="s">
        <v>282</v>
      </c>
      <c r="D276" s="12">
        <v>490735</v>
      </c>
      <c r="E276" s="35">
        <f>VLOOKUP(B276,'2015'!$B$2:$G$338,6,FALSE)</f>
        <v>0</v>
      </c>
      <c r="F276" s="18">
        <f t="shared" si="4"/>
        <v>0</v>
      </c>
      <c r="G276" s="18">
        <f>SUM(D276,F276)</f>
        <v>490735</v>
      </c>
    </row>
    <row r="277" spans="1:7" x14ac:dyDescent="0.2">
      <c r="A277">
        <v>2017</v>
      </c>
      <c r="B277" s="34">
        <v>5285</v>
      </c>
      <c r="C277" s="3" t="s">
        <v>283</v>
      </c>
      <c r="D277" s="12">
        <v>271697</v>
      </c>
      <c r="E277" s="35">
        <f>VLOOKUP(B277,'2015'!$B$2:$G$338,6,FALSE)</f>
        <v>0</v>
      </c>
      <c r="F277" s="18">
        <f t="shared" si="4"/>
        <v>0</v>
      </c>
      <c r="G277" s="18">
        <f>SUM(D277,F277)</f>
        <v>271697</v>
      </c>
    </row>
    <row r="278" spans="1:7" x14ac:dyDescent="0.2">
      <c r="A278">
        <v>2017</v>
      </c>
      <c r="B278" s="34">
        <v>5286</v>
      </c>
      <c r="C278" s="3" t="s">
        <v>284</v>
      </c>
      <c r="D278" s="12">
        <v>234437</v>
      </c>
      <c r="E278" s="35">
        <f>VLOOKUP(B278,'2015'!$B$2:$G$338,6,FALSE)</f>
        <v>0</v>
      </c>
      <c r="F278" s="18">
        <f t="shared" si="4"/>
        <v>0</v>
      </c>
      <c r="G278" s="18">
        <f>SUM(D278,F278)</f>
        <v>234437</v>
      </c>
    </row>
    <row r="279" spans="1:7" x14ac:dyDescent="0.2">
      <c r="A279">
        <v>2017</v>
      </c>
      <c r="B279" s="34">
        <v>5287</v>
      </c>
      <c r="C279" s="3" t="s">
        <v>285</v>
      </c>
      <c r="D279" s="12">
        <v>392425</v>
      </c>
      <c r="E279" s="35">
        <f>VLOOKUP(B279,'2015'!$B$2:$G$338,6,FALSE)</f>
        <v>0</v>
      </c>
      <c r="F279" s="18">
        <f t="shared" si="4"/>
        <v>0</v>
      </c>
      <c r="G279" s="18">
        <f>SUM(D279,F279)</f>
        <v>392425</v>
      </c>
    </row>
    <row r="280" spans="1:7" x14ac:dyDescent="0.2">
      <c r="A280">
        <v>2017</v>
      </c>
      <c r="B280" s="34">
        <v>5288</v>
      </c>
      <c r="C280" s="3" t="s">
        <v>286</v>
      </c>
      <c r="D280" s="12">
        <v>233377</v>
      </c>
      <c r="E280" s="35">
        <f>VLOOKUP(B280,'2015'!$B$2:$G$338,6,FALSE)</f>
        <v>0</v>
      </c>
      <c r="F280" s="18">
        <f t="shared" si="4"/>
        <v>0</v>
      </c>
      <c r="G280" s="18">
        <f>SUM(D280,F280)</f>
        <v>233377</v>
      </c>
    </row>
    <row r="281" spans="1:7" x14ac:dyDescent="0.2">
      <c r="A281">
        <v>2017</v>
      </c>
      <c r="B281" s="34">
        <v>5289</v>
      </c>
      <c r="C281" s="3" t="s">
        <v>287</v>
      </c>
      <c r="D281" s="12">
        <v>313874</v>
      </c>
      <c r="E281" s="35">
        <f>VLOOKUP(B281,'2015'!$B$2:$G$338,6,FALSE)</f>
        <v>0</v>
      </c>
      <c r="F281" s="18">
        <f t="shared" si="4"/>
        <v>0</v>
      </c>
      <c r="G281" s="18">
        <f>SUM(D281,F281)</f>
        <v>313874</v>
      </c>
    </row>
    <row r="282" spans="1:7" x14ac:dyDescent="0.2">
      <c r="A282">
        <v>2017</v>
      </c>
      <c r="B282" s="34">
        <v>5291</v>
      </c>
      <c r="C282" s="3" t="s">
        <v>288</v>
      </c>
      <c r="D282" s="12">
        <v>433803</v>
      </c>
      <c r="E282" s="35">
        <f>VLOOKUP(B282,'2015'!$B$2:$G$338,6,FALSE)</f>
        <v>0</v>
      </c>
      <c r="F282" s="18">
        <f t="shared" si="4"/>
        <v>0</v>
      </c>
      <c r="G282" s="18">
        <f>SUM(D282,F282)</f>
        <v>433803</v>
      </c>
    </row>
    <row r="283" spans="1:7" x14ac:dyDescent="0.2">
      <c r="A283">
        <v>2017</v>
      </c>
      <c r="B283" s="34">
        <v>5292</v>
      </c>
      <c r="C283" s="3" t="s">
        <v>289</v>
      </c>
      <c r="D283" s="12">
        <v>1134310</v>
      </c>
      <c r="E283" s="35">
        <f>VLOOKUP(B283,'2015'!$B$2:$G$338,6,FALSE)</f>
        <v>0</v>
      </c>
      <c r="F283" s="18">
        <f t="shared" si="4"/>
        <v>0</v>
      </c>
      <c r="G283" s="18">
        <f>SUM(D283,F283)</f>
        <v>1134310</v>
      </c>
    </row>
    <row r="284" spans="1:7" x14ac:dyDescent="0.2">
      <c r="A284">
        <v>2017</v>
      </c>
      <c r="B284" s="34">
        <v>5293</v>
      </c>
      <c r="C284" s="3" t="s">
        <v>290</v>
      </c>
      <c r="D284" s="12">
        <v>266478</v>
      </c>
      <c r="E284" s="35">
        <f>VLOOKUP(B284,'2015'!$B$2:$G$338,6,FALSE)</f>
        <v>0</v>
      </c>
      <c r="F284" s="18">
        <f t="shared" si="4"/>
        <v>0</v>
      </c>
      <c r="G284" s="18">
        <f>SUM(D284,F284)</f>
        <v>266478</v>
      </c>
    </row>
    <row r="285" spans="1:7" x14ac:dyDescent="0.2">
      <c r="A285">
        <v>2017</v>
      </c>
      <c r="B285" s="34">
        <v>5294</v>
      </c>
      <c r="C285" s="3" t="s">
        <v>291</v>
      </c>
      <c r="D285" s="12">
        <v>593203</v>
      </c>
      <c r="E285" s="35">
        <f>VLOOKUP(B285,'2015'!$B$2:$G$338,6,FALSE)</f>
        <v>0</v>
      </c>
      <c r="F285" s="18">
        <f t="shared" si="4"/>
        <v>0</v>
      </c>
      <c r="G285" s="18">
        <f>SUM(D285,F285)</f>
        <v>593203</v>
      </c>
    </row>
    <row r="286" spans="1:7" x14ac:dyDescent="0.2">
      <c r="A286">
        <v>2017</v>
      </c>
      <c r="B286" s="34">
        <v>5295</v>
      </c>
      <c r="C286" s="3" t="s">
        <v>292</v>
      </c>
      <c r="D286" s="12">
        <v>184912</v>
      </c>
      <c r="E286" s="35">
        <f>VLOOKUP(B286,'2015'!$B$2:$G$338,6,FALSE)</f>
        <v>0</v>
      </c>
      <c r="F286" s="18">
        <f t="shared" si="4"/>
        <v>0</v>
      </c>
      <c r="G286" s="18">
        <f>SUM(D286,F286)</f>
        <v>184912</v>
      </c>
    </row>
    <row r="287" spans="1:7" x14ac:dyDescent="0.2">
      <c r="A287">
        <v>2017</v>
      </c>
      <c r="B287" s="34">
        <v>5296</v>
      </c>
      <c r="C287" s="3" t="s">
        <v>293</v>
      </c>
      <c r="D287" s="12">
        <v>946174</v>
      </c>
      <c r="E287" s="35">
        <f>VLOOKUP(B287,'2015'!$B$2:$G$338,6,FALSE)</f>
        <v>0</v>
      </c>
      <c r="F287" s="18">
        <f t="shared" si="4"/>
        <v>0</v>
      </c>
      <c r="G287" s="18">
        <f>SUM(D287,F287)</f>
        <v>946174</v>
      </c>
    </row>
    <row r="288" spans="1:7" x14ac:dyDescent="0.2">
      <c r="A288">
        <v>2017</v>
      </c>
      <c r="B288" s="34">
        <v>5297</v>
      </c>
      <c r="C288" s="3" t="s">
        <v>294</v>
      </c>
      <c r="D288" s="12">
        <v>466792</v>
      </c>
      <c r="E288" s="35">
        <f>VLOOKUP(B288,'2015'!$B$2:$G$338,6,FALSE)</f>
        <v>0</v>
      </c>
      <c r="F288" s="18">
        <f t="shared" si="4"/>
        <v>0</v>
      </c>
      <c r="G288" s="18">
        <f>SUM(D288,F288)</f>
        <v>466792</v>
      </c>
    </row>
    <row r="289" spans="1:7" x14ac:dyDescent="0.2">
      <c r="A289">
        <v>2017</v>
      </c>
      <c r="B289" s="34">
        <v>5298</v>
      </c>
      <c r="C289" s="3" t="s">
        <v>295</v>
      </c>
      <c r="D289" s="12">
        <v>67323</v>
      </c>
      <c r="E289" s="35">
        <f>VLOOKUP(B289,'2015'!$B$2:$G$338,6,FALSE)</f>
        <v>0</v>
      </c>
      <c r="F289" s="18">
        <f t="shared" si="4"/>
        <v>0</v>
      </c>
      <c r="G289" s="18">
        <f>SUM(D289,F289)</f>
        <v>67323</v>
      </c>
    </row>
    <row r="290" spans="1:7" x14ac:dyDescent="0.2">
      <c r="A290">
        <v>2017</v>
      </c>
      <c r="B290" s="34">
        <v>5299</v>
      </c>
      <c r="C290" s="3" t="s">
        <v>296</v>
      </c>
      <c r="D290" s="12">
        <v>115536</v>
      </c>
      <c r="E290" s="35">
        <f>VLOOKUP(B290,'2015'!$B$2:$G$338,6,FALSE)</f>
        <v>0</v>
      </c>
      <c r="F290" s="18">
        <f t="shared" si="4"/>
        <v>0</v>
      </c>
      <c r="G290" s="18">
        <f>SUM(D290,F290)</f>
        <v>115536</v>
      </c>
    </row>
    <row r="291" spans="1:7" x14ac:dyDescent="0.2">
      <c r="A291">
        <v>2017</v>
      </c>
      <c r="B291" s="34">
        <v>5300</v>
      </c>
      <c r="C291" s="3" t="s">
        <v>297</v>
      </c>
      <c r="D291" s="12">
        <v>427109</v>
      </c>
      <c r="E291" s="35">
        <f>VLOOKUP(B291,'2015'!$B$2:$G$338,6,FALSE)</f>
        <v>0</v>
      </c>
      <c r="F291" s="18">
        <f t="shared" si="4"/>
        <v>0</v>
      </c>
      <c r="G291" s="18">
        <f>SUM(D291,F291)</f>
        <v>427109</v>
      </c>
    </row>
    <row r="292" spans="1:7" x14ac:dyDescent="0.2">
      <c r="A292">
        <v>2017</v>
      </c>
      <c r="B292" s="34">
        <v>5302</v>
      </c>
      <c r="C292" s="3" t="s">
        <v>298</v>
      </c>
      <c r="D292" s="12">
        <v>2056201</v>
      </c>
      <c r="E292" s="35">
        <f>VLOOKUP(B292,'2015'!$B$2:$G$338,6,FALSE)</f>
        <v>0</v>
      </c>
      <c r="F292" s="18">
        <f t="shared" si="4"/>
        <v>0</v>
      </c>
      <c r="G292" s="18">
        <f>SUM(D292,F292)</f>
        <v>2056201</v>
      </c>
    </row>
    <row r="293" spans="1:7" x14ac:dyDescent="0.2">
      <c r="A293">
        <v>2017</v>
      </c>
      <c r="B293" s="34">
        <v>5303</v>
      </c>
      <c r="C293" s="3" t="s">
        <v>345</v>
      </c>
      <c r="D293" s="12">
        <v>1145944</v>
      </c>
      <c r="E293" s="35">
        <f>VLOOKUP(B293,'2015'!$B$2:$G$338,6,FALSE)</f>
        <v>0</v>
      </c>
      <c r="F293" s="18">
        <f t="shared" si="4"/>
        <v>0</v>
      </c>
      <c r="G293" s="18">
        <f>SUM(D293,F293)</f>
        <v>1145944</v>
      </c>
    </row>
    <row r="294" spans="1:7" x14ac:dyDescent="0.2">
      <c r="A294">
        <v>2017</v>
      </c>
      <c r="B294" s="34">
        <v>5304</v>
      </c>
      <c r="C294" s="3" t="s">
        <v>300</v>
      </c>
      <c r="D294" s="12">
        <v>938191</v>
      </c>
      <c r="E294" s="35">
        <f>VLOOKUP(B294,'2015'!$B$2:$G$338,6,FALSE)</f>
        <v>0</v>
      </c>
      <c r="F294" s="18">
        <f t="shared" si="4"/>
        <v>0</v>
      </c>
      <c r="G294" s="18">
        <f>SUM(D294,F294)</f>
        <v>938191</v>
      </c>
    </row>
    <row r="295" spans="1:7" x14ac:dyDescent="0.2">
      <c r="A295">
        <v>2017</v>
      </c>
      <c r="B295" s="34">
        <v>5305</v>
      </c>
      <c r="C295" s="3" t="s">
        <v>301</v>
      </c>
      <c r="D295" s="12">
        <v>205383</v>
      </c>
      <c r="E295" s="35">
        <f>VLOOKUP(B295,'2015'!$B$2:$G$338,6,FALSE)</f>
        <v>0</v>
      </c>
      <c r="F295" s="18">
        <f t="shared" si="4"/>
        <v>0</v>
      </c>
      <c r="G295" s="18">
        <f>SUM(D295,F295)</f>
        <v>205383</v>
      </c>
    </row>
    <row r="296" spans="1:7" x14ac:dyDescent="0.2">
      <c r="A296">
        <v>2017</v>
      </c>
      <c r="B296" s="34">
        <v>5306</v>
      </c>
      <c r="C296" s="3" t="s">
        <v>302</v>
      </c>
      <c r="D296" s="12">
        <v>847180</v>
      </c>
      <c r="E296" s="35">
        <f>VLOOKUP(B296,'2015'!$B$2:$G$338,6,FALSE)</f>
        <v>0</v>
      </c>
      <c r="F296" s="18">
        <f t="shared" si="4"/>
        <v>0</v>
      </c>
      <c r="G296" s="18">
        <f>SUM(D296,F296)</f>
        <v>847180</v>
      </c>
    </row>
    <row r="297" spans="1:7" x14ac:dyDescent="0.2">
      <c r="A297">
        <v>2017</v>
      </c>
      <c r="B297" s="34">
        <v>5307</v>
      </c>
      <c r="C297" s="3" t="s">
        <v>303</v>
      </c>
      <c r="D297" s="12">
        <v>122028</v>
      </c>
      <c r="E297" s="35">
        <f>VLOOKUP(B297,'2015'!$B$2:$G$338,6,FALSE)</f>
        <v>0</v>
      </c>
      <c r="F297" s="18">
        <f t="shared" si="4"/>
        <v>0</v>
      </c>
      <c r="G297" s="18">
        <f>SUM(D297,F297)</f>
        <v>122028</v>
      </c>
    </row>
    <row r="298" spans="1:7" x14ac:dyDescent="0.2">
      <c r="A298">
        <v>2017</v>
      </c>
      <c r="B298" s="34">
        <v>5308</v>
      </c>
      <c r="C298" s="3" t="s">
        <v>304</v>
      </c>
      <c r="D298" s="12">
        <v>7012565</v>
      </c>
      <c r="E298" s="35">
        <f>VLOOKUP(B298,'2015'!$B$2:$G$338,6,FALSE)</f>
        <v>0</v>
      </c>
      <c r="F298" s="18">
        <f t="shared" si="4"/>
        <v>0</v>
      </c>
      <c r="G298" s="18">
        <f>SUM(D298,F298)</f>
        <v>7012565</v>
      </c>
    </row>
    <row r="299" spans="1:7" x14ac:dyDescent="0.2">
      <c r="A299">
        <v>2017</v>
      </c>
      <c r="B299" s="34">
        <v>5309</v>
      </c>
      <c r="C299" s="3" t="s">
        <v>305</v>
      </c>
      <c r="D299" s="12">
        <v>547604</v>
      </c>
      <c r="E299" s="35">
        <f>VLOOKUP(B299,'2015'!$B$2:$G$338,6,FALSE)</f>
        <v>0</v>
      </c>
      <c r="F299" s="18">
        <f t="shared" si="4"/>
        <v>0</v>
      </c>
      <c r="G299" s="18">
        <f>SUM(D299,F299)</f>
        <v>547604</v>
      </c>
    </row>
    <row r="300" spans="1:7" x14ac:dyDescent="0.2">
      <c r="A300">
        <v>2017</v>
      </c>
      <c r="B300" s="34">
        <v>5310</v>
      </c>
      <c r="C300" s="3" t="s">
        <v>306</v>
      </c>
      <c r="D300" s="12">
        <v>78001</v>
      </c>
      <c r="E300" s="35">
        <f>VLOOKUP(B300,'2015'!$B$2:$G$338,6,FALSE)</f>
        <v>0</v>
      </c>
      <c r="F300" s="18">
        <f t="shared" si="4"/>
        <v>0</v>
      </c>
      <c r="G300" s="18">
        <f>SUM(D300,F300)</f>
        <v>78001</v>
      </c>
    </row>
    <row r="301" spans="1:7" x14ac:dyDescent="0.2">
      <c r="A301">
        <v>2017</v>
      </c>
      <c r="B301" s="34">
        <v>5312</v>
      </c>
      <c r="C301" s="3" t="s">
        <v>307</v>
      </c>
      <c r="D301" s="12">
        <v>2727114</v>
      </c>
      <c r="E301" s="35">
        <f>VLOOKUP(B301,'2015'!$B$2:$G$338,6,FALSE)</f>
        <v>0</v>
      </c>
      <c r="F301" s="18">
        <f t="shared" si="4"/>
        <v>0</v>
      </c>
      <c r="G301" s="18">
        <f>SUM(D301,F301)</f>
        <v>2727114</v>
      </c>
    </row>
    <row r="302" spans="1:7" x14ac:dyDescent="0.2">
      <c r="A302">
        <v>2017</v>
      </c>
      <c r="B302" s="34">
        <v>5313</v>
      </c>
      <c r="C302" s="3" t="s">
        <v>308</v>
      </c>
      <c r="D302" s="12">
        <v>233383</v>
      </c>
      <c r="E302" s="35">
        <f>VLOOKUP(B302,'2015'!$B$2:$G$338,6,FALSE)</f>
        <v>0</v>
      </c>
      <c r="F302" s="18">
        <f t="shared" si="4"/>
        <v>0</v>
      </c>
      <c r="G302" s="18">
        <f>SUM(D302,F302)</f>
        <v>233383</v>
      </c>
    </row>
    <row r="303" spans="1:7" x14ac:dyDescent="0.2">
      <c r="A303">
        <v>2017</v>
      </c>
      <c r="B303" s="34">
        <v>5314</v>
      </c>
      <c r="C303" s="3" t="s">
        <v>309</v>
      </c>
      <c r="D303" s="12">
        <v>11052967</v>
      </c>
      <c r="E303" s="35">
        <f>VLOOKUP(B303,'2015'!$B$2:$G$338,6,FALSE)</f>
        <v>0</v>
      </c>
      <c r="F303" s="18">
        <f t="shared" si="4"/>
        <v>0</v>
      </c>
      <c r="G303" s="18">
        <f>SUM(D303,F303)</f>
        <v>11052967</v>
      </c>
    </row>
    <row r="304" spans="1:7" x14ac:dyDescent="0.2">
      <c r="A304">
        <v>2017</v>
      </c>
      <c r="B304" s="34">
        <v>5316</v>
      </c>
      <c r="C304" s="3" t="s">
        <v>310</v>
      </c>
      <c r="D304" s="12">
        <v>276678</v>
      </c>
      <c r="E304" s="35">
        <f>VLOOKUP(B304,'2015'!$B$2:$G$338,6,FALSE)</f>
        <v>0</v>
      </c>
      <c r="F304" s="18">
        <f t="shared" si="4"/>
        <v>0</v>
      </c>
      <c r="G304" s="18">
        <f>SUM(D304,F304)</f>
        <v>276678</v>
      </c>
    </row>
    <row r="305" spans="1:7" x14ac:dyDescent="0.2">
      <c r="A305">
        <v>2017</v>
      </c>
      <c r="B305" s="34">
        <v>5317</v>
      </c>
      <c r="C305" s="3" t="s">
        <v>311</v>
      </c>
      <c r="D305" s="12">
        <v>367258</v>
      </c>
      <c r="E305" s="35">
        <f>VLOOKUP(B305,'2015'!$B$2:$G$338,6,FALSE)</f>
        <v>0</v>
      </c>
      <c r="F305" s="18">
        <f t="shared" si="4"/>
        <v>0</v>
      </c>
      <c r="G305" s="18">
        <f>SUM(D305,F305)</f>
        <v>367258</v>
      </c>
    </row>
    <row r="306" spans="1:7" x14ac:dyDescent="0.2">
      <c r="A306">
        <v>2017</v>
      </c>
      <c r="B306" s="34">
        <v>5318</v>
      </c>
      <c r="C306" s="3" t="s">
        <v>312</v>
      </c>
      <c r="D306" s="12">
        <v>453117</v>
      </c>
      <c r="E306" s="35">
        <f>VLOOKUP(B306,'2015'!$B$2:$G$338,6,FALSE)</f>
        <v>0</v>
      </c>
      <c r="F306" s="18">
        <f t="shared" si="4"/>
        <v>0</v>
      </c>
      <c r="G306" s="18">
        <f>SUM(D306,F306)</f>
        <v>453117</v>
      </c>
    </row>
    <row r="307" spans="1:7" x14ac:dyDescent="0.2">
      <c r="A307">
        <v>2017</v>
      </c>
      <c r="B307" s="34">
        <v>5319</v>
      </c>
      <c r="C307" s="3" t="s">
        <v>313</v>
      </c>
      <c r="D307" s="12">
        <v>633739</v>
      </c>
      <c r="E307" s="35">
        <f>VLOOKUP(B307,'2015'!$B$2:$G$338,6,FALSE)</f>
        <v>0</v>
      </c>
      <c r="F307" s="18">
        <f t="shared" si="4"/>
        <v>0</v>
      </c>
      <c r="G307" s="18">
        <f>SUM(D307,F307)</f>
        <v>633739</v>
      </c>
    </row>
    <row r="308" spans="1:7" x14ac:dyDescent="0.2">
      <c r="A308">
        <v>2017</v>
      </c>
      <c r="B308" s="34">
        <v>5320</v>
      </c>
      <c r="C308" s="3" t="s">
        <v>314</v>
      </c>
      <c r="D308" s="12">
        <v>176888</v>
      </c>
      <c r="E308" s="35">
        <f>VLOOKUP(B308,'2015'!$B$2:$G$338,6,FALSE)</f>
        <v>0</v>
      </c>
      <c r="F308" s="18">
        <f t="shared" si="4"/>
        <v>0</v>
      </c>
      <c r="G308" s="18">
        <f>SUM(D308,F308)</f>
        <v>176888</v>
      </c>
    </row>
    <row r="309" spans="1:7" x14ac:dyDescent="0.2">
      <c r="A309">
        <v>2017</v>
      </c>
      <c r="B309" s="34">
        <v>5321</v>
      </c>
      <c r="C309" s="3" t="s">
        <v>315</v>
      </c>
      <c r="D309" s="12">
        <v>323988</v>
      </c>
      <c r="E309" s="35">
        <f>VLOOKUP(B309,'2015'!$B$2:$G$338,6,FALSE)</f>
        <v>0</v>
      </c>
      <c r="F309" s="18">
        <f t="shared" si="4"/>
        <v>0</v>
      </c>
      <c r="G309" s="18">
        <f>SUM(D309,F309)</f>
        <v>323988</v>
      </c>
    </row>
    <row r="310" spans="1:7" x14ac:dyDescent="0.2">
      <c r="A310">
        <v>2017</v>
      </c>
      <c r="B310" s="34">
        <v>5322</v>
      </c>
      <c r="C310" s="3" t="s">
        <v>316</v>
      </c>
      <c r="D310" s="12">
        <v>347319</v>
      </c>
      <c r="E310" s="35">
        <f>VLOOKUP(B310,'2015'!$B$2:$G$338,6,FALSE)</f>
        <v>0</v>
      </c>
      <c r="F310" s="18">
        <f t="shared" si="4"/>
        <v>0</v>
      </c>
      <c r="G310" s="18">
        <f>SUM(D310,F310)</f>
        <v>347319</v>
      </c>
    </row>
    <row r="311" spans="1:7" x14ac:dyDescent="0.2">
      <c r="A311">
        <v>2017</v>
      </c>
      <c r="B311" s="34">
        <v>5324</v>
      </c>
      <c r="C311" s="3" t="s">
        <v>317</v>
      </c>
      <c r="D311" s="12">
        <v>20218416</v>
      </c>
      <c r="E311" s="35">
        <f>VLOOKUP(B311,'2015'!$B$2:$G$338,6,FALSE)</f>
        <v>0</v>
      </c>
      <c r="F311" s="18">
        <f t="shared" si="4"/>
        <v>0</v>
      </c>
      <c r="G311" s="18">
        <f>SUM(D311,F311)</f>
        <v>20218416</v>
      </c>
    </row>
    <row r="312" spans="1:7" x14ac:dyDescent="0.2">
      <c r="A312">
        <v>2017</v>
      </c>
      <c r="B312" s="34">
        <v>5329</v>
      </c>
      <c r="C312" s="3" t="s">
        <v>318</v>
      </c>
      <c r="D312" s="12">
        <v>143428</v>
      </c>
      <c r="E312" s="35">
        <f>VLOOKUP(B312,'2015'!$B$2:$G$338,6,FALSE)</f>
        <v>0</v>
      </c>
      <c r="F312" s="18">
        <f t="shared" si="4"/>
        <v>0</v>
      </c>
      <c r="G312" s="18">
        <f>SUM(D312,F312)</f>
        <v>143428</v>
      </c>
    </row>
    <row r="313" spans="1:7" x14ac:dyDescent="0.2">
      <c r="A313">
        <v>2017</v>
      </c>
      <c r="B313" s="34">
        <v>5330</v>
      </c>
      <c r="C313" s="3" t="s">
        <v>319</v>
      </c>
      <c r="D313" s="12">
        <v>807724</v>
      </c>
      <c r="E313" s="35">
        <f>VLOOKUP(B313,'2015'!$B$2:$G$338,6,FALSE)</f>
        <v>0</v>
      </c>
      <c r="F313" s="18">
        <f t="shared" si="4"/>
        <v>0</v>
      </c>
      <c r="G313" s="18">
        <f>SUM(D313,F313)</f>
        <v>807724</v>
      </c>
    </row>
    <row r="314" spans="1:7" x14ac:dyDescent="0.2">
      <c r="A314">
        <v>2017</v>
      </c>
      <c r="B314" s="34">
        <v>5331</v>
      </c>
      <c r="C314" s="3" t="s">
        <v>320</v>
      </c>
      <c r="D314" s="12">
        <v>823027</v>
      </c>
      <c r="E314" s="35">
        <f>VLOOKUP(B314,'2015'!$B$2:$G$338,6,FALSE)</f>
        <v>0</v>
      </c>
      <c r="F314" s="18">
        <f t="shared" si="4"/>
        <v>0</v>
      </c>
      <c r="G314" s="18">
        <f>SUM(D314,F314)</f>
        <v>823027</v>
      </c>
    </row>
    <row r="315" spans="1:7" x14ac:dyDescent="0.2">
      <c r="A315">
        <v>2017</v>
      </c>
      <c r="B315" s="34">
        <v>5332</v>
      </c>
      <c r="C315" s="3" t="s">
        <v>321</v>
      </c>
      <c r="D315" s="12">
        <v>920473</v>
      </c>
      <c r="E315" s="35">
        <f>VLOOKUP(B315,'2015'!$B$2:$G$338,6,FALSE)</f>
        <v>0</v>
      </c>
      <c r="F315" s="18">
        <f t="shared" si="4"/>
        <v>0</v>
      </c>
      <c r="G315" s="18">
        <f>SUM(D315,F315)</f>
        <v>920473</v>
      </c>
    </row>
    <row r="316" spans="1:7" x14ac:dyDescent="0.2">
      <c r="A316">
        <v>2017</v>
      </c>
      <c r="B316" s="34">
        <v>5333</v>
      </c>
      <c r="C316" s="3" t="s">
        <v>322</v>
      </c>
      <c r="D316" s="12">
        <v>311697</v>
      </c>
      <c r="E316" s="35">
        <f>VLOOKUP(B316,'2015'!$B$2:$G$338,6,FALSE)</f>
        <v>0</v>
      </c>
      <c r="F316" s="18">
        <f t="shared" si="4"/>
        <v>0</v>
      </c>
      <c r="G316" s="18">
        <f>SUM(D316,F316)</f>
        <v>311697</v>
      </c>
    </row>
    <row r="317" spans="1:7" x14ac:dyDescent="0.2">
      <c r="A317">
        <v>2017</v>
      </c>
      <c r="B317" s="34">
        <v>5337</v>
      </c>
      <c r="C317" s="3" t="s">
        <v>323</v>
      </c>
      <c r="D317" s="12">
        <v>1248509</v>
      </c>
      <c r="E317" s="35">
        <f>VLOOKUP(B317,'2015'!$B$2:$G$338,6,FALSE)</f>
        <v>0</v>
      </c>
      <c r="F317" s="18">
        <f t="shared" si="4"/>
        <v>0</v>
      </c>
      <c r="G317" s="18">
        <f>SUM(D317,F317)</f>
        <v>1248509</v>
      </c>
    </row>
    <row r="318" spans="1:7" x14ac:dyDescent="0.2">
      <c r="A318">
        <v>2017</v>
      </c>
      <c r="B318" s="34">
        <v>5366</v>
      </c>
      <c r="C318" s="3" t="s">
        <v>324</v>
      </c>
      <c r="D318" s="12">
        <v>628837</v>
      </c>
      <c r="E318" s="35">
        <f>VLOOKUP(B318,'2015'!$B$2:$G$338,6,FALSE)</f>
        <v>0</v>
      </c>
      <c r="F318" s="18">
        <f t="shared" si="4"/>
        <v>0</v>
      </c>
      <c r="G318" s="18">
        <f>SUM(D318,F318)</f>
        <v>628837</v>
      </c>
    </row>
    <row r="319" spans="1:7" x14ac:dyDescent="0.2">
      <c r="A319">
        <v>2017</v>
      </c>
      <c r="B319" s="34">
        <v>5367</v>
      </c>
      <c r="C319" s="3" t="s">
        <v>325</v>
      </c>
      <c r="D319" s="12">
        <v>263614</v>
      </c>
      <c r="E319" s="35">
        <f>VLOOKUP(B319,'2015'!$B$2:$G$338,6,FALSE)</f>
        <v>0</v>
      </c>
      <c r="F319" s="18">
        <f t="shared" si="4"/>
        <v>0</v>
      </c>
      <c r="G319" s="18">
        <f>SUM(D319,F319)</f>
        <v>263614</v>
      </c>
    </row>
    <row r="320" spans="1:7" x14ac:dyDescent="0.2">
      <c r="A320">
        <v>2017</v>
      </c>
      <c r="B320" s="34">
        <v>5368</v>
      </c>
      <c r="C320" s="3" t="s">
        <v>326</v>
      </c>
      <c r="D320" s="12">
        <v>375747</v>
      </c>
      <c r="E320" s="35">
        <f>VLOOKUP(B320,'2015'!$B$2:$G$338,6,FALSE)</f>
        <v>0</v>
      </c>
      <c r="F320" s="18">
        <f t="shared" si="4"/>
        <v>0</v>
      </c>
      <c r="G320" s="18">
        <f>SUM(D320,F320)</f>
        <v>375747</v>
      </c>
    </row>
    <row r="321" spans="1:7" x14ac:dyDescent="0.2">
      <c r="A321">
        <v>2017</v>
      </c>
      <c r="B321" s="34">
        <v>5405</v>
      </c>
      <c r="C321" s="3" t="s">
        <v>327</v>
      </c>
      <c r="D321" s="12">
        <v>137053</v>
      </c>
      <c r="E321" s="35">
        <f>VLOOKUP(B321,'2015'!$B$2:$G$338,6,FALSE)</f>
        <v>0</v>
      </c>
      <c r="F321" s="18">
        <f t="shared" si="4"/>
        <v>0</v>
      </c>
      <c r="G321" s="18">
        <f>SUM(D321,F321)</f>
        <v>137053</v>
      </c>
    </row>
    <row r="322" spans="1:7" x14ac:dyDescent="0.2">
      <c r="A322">
        <v>2017</v>
      </c>
      <c r="B322" s="34">
        <v>5409</v>
      </c>
      <c r="C322" s="3" t="s">
        <v>328</v>
      </c>
      <c r="D322" s="12">
        <v>183536</v>
      </c>
      <c r="E322" s="35">
        <f>VLOOKUP(B322,'2015'!$B$2:$G$338,6,FALSE)</f>
        <v>0</v>
      </c>
      <c r="F322" s="18">
        <f t="shared" si="4"/>
        <v>0</v>
      </c>
      <c r="G322" s="18">
        <f>SUM(D322,F322)</f>
        <v>183536</v>
      </c>
    </row>
    <row r="323" spans="1:7" x14ac:dyDescent="0.2">
      <c r="A323">
        <v>2017</v>
      </c>
      <c r="B323" s="34">
        <v>5410</v>
      </c>
      <c r="C323" s="3" t="s">
        <v>329</v>
      </c>
      <c r="D323" s="12">
        <v>137457</v>
      </c>
      <c r="E323" s="35">
        <f>VLOOKUP(B323,'2015'!$B$2:$G$338,6,FALSE)</f>
        <v>0</v>
      </c>
      <c r="F323" s="18">
        <f t="shared" ref="F323:F338" si="5">E323*$D$341</f>
        <v>0</v>
      </c>
      <c r="G323" s="18">
        <f>SUM(D323,F323)</f>
        <v>137457</v>
      </c>
    </row>
    <row r="324" spans="1:7" x14ac:dyDescent="0.2">
      <c r="A324">
        <v>2017</v>
      </c>
      <c r="B324" s="34">
        <v>5430</v>
      </c>
      <c r="C324" s="3" t="s">
        <v>330</v>
      </c>
      <c r="D324" s="12">
        <v>18461587</v>
      </c>
      <c r="E324" s="35">
        <f>VLOOKUP(B324,'2015'!$B$2:$G$338,6,FALSE)</f>
        <v>0</v>
      </c>
      <c r="F324" s="18">
        <f t="shared" si="5"/>
        <v>0</v>
      </c>
      <c r="G324" s="18">
        <f>SUM(D324,F324)</f>
        <v>18461587</v>
      </c>
    </row>
    <row r="325" spans="1:7" x14ac:dyDescent="0.2">
      <c r="A325">
        <v>2017</v>
      </c>
      <c r="B325" s="34">
        <v>5436</v>
      </c>
      <c r="C325" s="3" t="s">
        <v>331</v>
      </c>
      <c r="D325" s="12">
        <v>399970</v>
      </c>
      <c r="E325" s="35">
        <f>VLOOKUP(B325,'2015'!$B$2:$G$338,6,FALSE)</f>
        <v>0</v>
      </c>
      <c r="F325" s="18">
        <f t="shared" si="5"/>
        <v>0</v>
      </c>
      <c r="G325" s="18">
        <f>SUM(D325,F325)</f>
        <v>399970</v>
      </c>
    </row>
    <row r="326" spans="1:7" x14ac:dyDescent="0.2">
      <c r="A326">
        <v>2017</v>
      </c>
      <c r="B326" s="34">
        <v>5590</v>
      </c>
      <c r="C326" s="3" t="s">
        <v>332</v>
      </c>
      <c r="D326" s="12">
        <v>109304</v>
      </c>
      <c r="E326" s="35">
        <f>VLOOKUP(B326,'2015'!$B$2:$G$338,6,FALSE)</f>
        <v>0</v>
      </c>
      <c r="F326" s="18">
        <f t="shared" si="5"/>
        <v>0</v>
      </c>
      <c r="G326" s="18">
        <f>SUM(D326,F326)</f>
        <v>109304</v>
      </c>
    </row>
    <row r="327" spans="1:7" x14ac:dyDescent="0.2">
      <c r="A327">
        <v>2017</v>
      </c>
      <c r="B327" s="34">
        <v>5696</v>
      </c>
      <c r="C327" s="3" t="s">
        <v>333</v>
      </c>
      <c r="D327" s="12">
        <v>180801</v>
      </c>
      <c r="E327" s="35">
        <f>VLOOKUP(B327,'2015'!$B$2:$G$338,6,FALSE)</f>
        <v>0</v>
      </c>
      <c r="F327" s="18">
        <f t="shared" si="5"/>
        <v>0</v>
      </c>
      <c r="G327" s="18">
        <f>SUM(D327,F327)</f>
        <v>180801</v>
      </c>
    </row>
    <row r="328" spans="1:7" x14ac:dyDescent="0.2">
      <c r="A328">
        <v>2017</v>
      </c>
      <c r="B328" s="34">
        <v>9291</v>
      </c>
      <c r="C328" s="3" t="s">
        <v>334</v>
      </c>
      <c r="D328" s="12">
        <v>219313</v>
      </c>
      <c r="E328" s="35">
        <f>VLOOKUP(B328,'2015'!$B$2:$G$338,6,FALSE)</f>
        <v>0</v>
      </c>
      <c r="F328" s="18">
        <f t="shared" si="5"/>
        <v>0</v>
      </c>
      <c r="G328" s="18">
        <f>SUM(D328,F328)</f>
        <v>219313</v>
      </c>
    </row>
    <row r="329" spans="1:7" x14ac:dyDescent="0.2">
      <c r="A329">
        <v>2017</v>
      </c>
      <c r="B329" s="34">
        <v>9302</v>
      </c>
      <c r="C329" s="3" t="s">
        <v>335</v>
      </c>
      <c r="D329" s="12">
        <v>134841</v>
      </c>
      <c r="E329" s="35">
        <f>VLOOKUP(B329,'2015'!$B$2:$G$338,6,FALSE)</f>
        <v>0</v>
      </c>
      <c r="F329" s="18">
        <f t="shared" si="5"/>
        <v>0</v>
      </c>
      <c r="G329" s="18">
        <f>SUM(D329,F329)</f>
        <v>134841</v>
      </c>
    </row>
    <row r="330" spans="1:7" x14ac:dyDescent="0.2">
      <c r="A330">
        <v>2017</v>
      </c>
      <c r="B330" s="34">
        <v>9332</v>
      </c>
      <c r="C330" s="3" t="s">
        <v>336</v>
      </c>
      <c r="D330" s="12">
        <v>207503</v>
      </c>
      <c r="E330" s="35">
        <f>VLOOKUP(B330,'2015'!$B$2:$G$338,6,FALSE)</f>
        <v>0</v>
      </c>
      <c r="F330" s="18">
        <f t="shared" si="5"/>
        <v>0</v>
      </c>
      <c r="G330" s="18">
        <f>SUM(D330,F330)</f>
        <v>207503</v>
      </c>
    </row>
    <row r="331" spans="1:7" x14ac:dyDescent="0.2">
      <c r="A331">
        <v>2017</v>
      </c>
      <c r="B331" s="34">
        <v>9333</v>
      </c>
      <c r="C331" s="3" t="s">
        <v>337</v>
      </c>
      <c r="D331" s="12">
        <v>224452</v>
      </c>
      <c r="E331" s="35">
        <f>VLOOKUP(B331,'2015'!$B$2:$G$338,6,FALSE)</f>
        <v>0</v>
      </c>
      <c r="F331" s="18">
        <f t="shared" si="5"/>
        <v>0</v>
      </c>
      <c r="G331" s="18">
        <f>SUM(D331,F331)</f>
        <v>224452</v>
      </c>
    </row>
    <row r="332" spans="1:7" x14ac:dyDescent="0.2">
      <c r="A332">
        <v>2017</v>
      </c>
      <c r="B332" s="34">
        <v>9335</v>
      </c>
      <c r="C332" s="3" t="s">
        <v>338</v>
      </c>
      <c r="D332" s="12">
        <v>301267</v>
      </c>
      <c r="E332" s="35">
        <f>VLOOKUP(B332,'2015'!$B$2:$G$338,6,FALSE)</f>
        <v>0</v>
      </c>
      <c r="F332" s="18">
        <f t="shared" si="5"/>
        <v>0</v>
      </c>
      <c r="G332" s="18">
        <f>SUM(D332,F332)</f>
        <v>301267</v>
      </c>
    </row>
    <row r="333" spans="1:7" x14ac:dyDescent="0.2">
      <c r="A333">
        <v>2017</v>
      </c>
      <c r="B333" s="34">
        <v>9389</v>
      </c>
      <c r="C333" s="3" t="s">
        <v>339</v>
      </c>
      <c r="D333" s="12">
        <v>194366</v>
      </c>
      <c r="E333" s="35">
        <f>VLOOKUP(B333,'2015'!$B$2:$G$338,6,FALSE)</f>
        <v>0</v>
      </c>
      <c r="F333" s="18">
        <f t="shared" si="5"/>
        <v>0</v>
      </c>
      <c r="G333" s="18">
        <f>SUM(D333,F333)</f>
        <v>194366</v>
      </c>
    </row>
    <row r="334" spans="1:7" x14ac:dyDescent="0.2">
      <c r="A334">
        <v>2017</v>
      </c>
      <c r="B334" s="34">
        <v>9410</v>
      </c>
      <c r="C334" s="3" t="s">
        <v>340</v>
      </c>
      <c r="D334" s="12">
        <v>252450</v>
      </c>
      <c r="E334" s="35">
        <f>VLOOKUP(B334,'2015'!$B$2:$G$338,6,FALSE)</f>
        <v>0</v>
      </c>
      <c r="F334" s="18">
        <f t="shared" si="5"/>
        <v>0</v>
      </c>
      <c r="G334" s="18">
        <f>SUM(D334,F334)</f>
        <v>252450</v>
      </c>
    </row>
    <row r="335" spans="1:7" x14ac:dyDescent="0.2">
      <c r="A335">
        <v>2017</v>
      </c>
      <c r="B335" s="34">
        <v>9444</v>
      </c>
      <c r="C335" s="3" t="s">
        <v>341</v>
      </c>
      <c r="D335" s="12">
        <v>451374</v>
      </c>
      <c r="E335" s="35">
        <f>VLOOKUP(B335,'2015'!$B$2:$G$338,6,FALSE)</f>
        <v>0</v>
      </c>
      <c r="F335" s="18">
        <f t="shared" si="5"/>
        <v>0</v>
      </c>
      <c r="G335" s="18">
        <f>SUM(D335,F335)</f>
        <v>451374</v>
      </c>
    </row>
    <row r="336" spans="1:7" x14ac:dyDescent="0.2">
      <c r="A336">
        <v>2017</v>
      </c>
      <c r="B336" s="34">
        <v>9445</v>
      </c>
      <c r="C336" s="3" t="s">
        <v>342</v>
      </c>
      <c r="D336" s="12">
        <v>456026</v>
      </c>
      <c r="E336" s="35">
        <f>VLOOKUP(B336,'2015'!$B$2:$G$338,6,FALSE)</f>
        <v>0</v>
      </c>
      <c r="F336" s="18">
        <f t="shared" si="5"/>
        <v>0</v>
      </c>
      <c r="G336" s="18">
        <f>SUM(D336,F336)</f>
        <v>456026</v>
      </c>
    </row>
    <row r="337" spans="1:7" x14ac:dyDescent="0.2">
      <c r="A337">
        <v>2017</v>
      </c>
      <c r="B337" s="34">
        <v>9446</v>
      </c>
      <c r="C337" s="3" t="s">
        <v>343</v>
      </c>
      <c r="D337" s="12">
        <v>698345</v>
      </c>
      <c r="E337" s="35">
        <f>VLOOKUP(B337,'2015'!$B$2:$G$338,6,FALSE)</f>
        <v>0</v>
      </c>
      <c r="F337" s="18">
        <f t="shared" si="5"/>
        <v>0</v>
      </c>
      <c r="G337" s="18">
        <f>SUM(D337,F337)</f>
        <v>698345</v>
      </c>
    </row>
    <row r="338" spans="1:7" x14ac:dyDescent="0.2">
      <c r="A338">
        <v>2017</v>
      </c>
      <c r="B338" s="34">
        <v>9461</v>
      </c>
      <c r="C338" s="3" t="s">
        <v>344</v>
      </c>
      <c r="D338" s="12">
        <v>473607</v>
      </c>
      <c r="E338" s="35">
        <f>VLOOKUP(B338,'2015'!$B$2:$G$338,6,FALSE)</f>
        <v>0</v>
      </c>
      <c r="F338" s="18">
        <f t="shared" si="5"/>
        <v>0</v>
      </c>
      <c r="G338" s="18">
        <f>SUM(D338,F338)</f>
        <v>473607</v>
      </c>
    </row>
    <row r="340" spans="1:7" x14ac:dyDescent="0.2">
      <c r="C340" s="12" t="s">
        <v>346</v>
      </c>
      <c r="D340" s="7">
        <f>SUM(D2:D338)</f>
        <v>337957088</v>
      </c>
      <c r="E340" s="1">
        <f>SUM(E2:E338)</f>
        <v>0.99999999999999978</v>
      </c>
    </row>
    <row r="341" spans="1:7" x14ac:dyDescent="0.2">
      <c r="C341" s="12" t="s">
        <v>347</v>
      </c>
      <c r="D341" s="7">
        <v>41563030.337975003</v>
      </c>
    </row>
    <row r="342" spans="1:7" x14ac:dyDescent="0.2">
      <c r="C342" s="3"/>
      <c r="D342" s="7"/>
    </row>
    <row r="343" spans="1:7" x14ac:dyDescent="0.2">
      <c r="C343" s="3" t="s">
        <v>348</v>
      </c>
      <c r="D343" s="7">
        <v>337957088</v>
      </c>
    </row>
    <row r="344" spans="1:7" x14ac:dyDescent="0.2">
      <c r="C344" s="3" t="s">
        <v>347</v>
      </c>
      <c r="D344" s="7">
        <v>41563030.337975003</v>
      </c>
    </row>
    <row r="345" spans="1:7" x14ac:dyDescent="0.2">
      <c r="C345" s="3"/>
    </row>
    <row r="346" spans="1:7" x14ac:dyDescent="0.2">
      <c r="C346" s="13" t="s">
        <v>349</v>
      </c>
      <c r="D346" s="14">
        <f>D340-D343</f>
        <v>0</v>
      </c>
    </row>
    <row r="347" spans="1:7" x14ac:dyDescent="0.2">
      <c r="D347" s="14">
        <f>D341-D344</f>
        <v>0</v>
      </c>
    </row>
    <row r="350" spans="1:7" x14ac:dyDescent="0.2">
      <c r="D350">
        <v>0.21192749999999999</v>
      </c>
    </row>
    <row r="351" spans="1:7" x14ac:dyDescent="0.2">
      <c r="D351" s="6">
        <f>D344*D350</f>
        <v>8808349.1119511966</v>
      </c>
    </row>
    <row r="352" spans="1:7" x14ac:dyDescent="0.2">
      <c r="D352" s="6">
        <f>D344-D351</f>
        <v>32754681.226023808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2E825-F225-0048-A362-AEBFC5196CB5}">
  <sheetPr>
    <tabColor rgb="FFFFFF00"/>
  </sheetPr>
  <dimension ref="A1:K354"/>
  <sheetViews>
    <sheetView workbookViewId="0">
      <selection activeCell="J2" sqref="J2:J338"/>
    </sheetView>
  </sheetViews>
  <sheetFormatPr baseColWidth="10" defaultRowHeight="16" x14ac:dyDescent="0.2"/>
  <cols>
    <col min="3" max="3" width="50.83203125" bestFit="1" customWidth="1"/>
    <col min="4" max="4" width="18.83203125" bestFit="1" customWidth="1"/>
    <col min="5" max="6" width="16.83203125" bestFit="1" customWidth="1"/>
    <col min="7" max="8" width="25.83203125" bestFit="1" customWidth="1"/>
    <col min="9" max="10" width="25.83203125" customWidth="1"/>
    <col min="11" max="11" width="18.83203125" customWidth="1"/>
  </cols>
  <sheetData>
    <row r="1" spans="1:11" x14ac:dyDescent="0.2">
      <c r="A1" t="s">
        <v>1</v>
      </c>
      <c r="B1" s="3" t="s">
        <v>5</v>
      </c>
      <c r="C1" s="3" t="s">
        <v>4</v>
      </c>
      <c r="D1" s="3" t="s">
        <v>350</v>
      </c>
      <c r="E1" s="3" t="s">
        <v>368</v>
      </c>
      <c r="F1" s="3" t="s">
        <v>351</v>
      </c>
      <c r="G1" s="3" t="s">
        <v>374</v>
      </c>
      <c r="H1" s="3" t="s">
        <v>375</v>
      </c>
      <c r="I1" s="3"/>
      <c r="J1" s="3" t="s">
        <v>351</v>
      </c>
    </row>
    <row r="2" spans="1:11" x14ac:dyDescent="0.2">
      <c r="A2">
        <v>2016</v>
      </c>
      <c r="B2" s="34">
        <v>4930</v>
      </c>
      <c r="C2" s="3" t="s">
        <v>9</v>
      </c>
      <c r="D2" s="12">
        <v>3003</v>
      </c>
      <c r="E2" s="12">
        <v>6430</v>
      </c>
      <c r="F2" s="12">
        <f t="shared" ref="F2:F65" si="0">SUM(D2:E2)</f>
        <v>9433</v>
      </c>
      <c r="G2">
        <f>VLOOKUP(B2,'2015'!$B$2:$G$338,6,FALSE)</f>
        <v>8.169597553666752E-3</v>
      </c>
      <c r="H2">
        <f>G2*$H$340</f>
        <v>1290864.6541277126</v>
      </c>
      <c r="I2" s="2">
        <f>SUM(E2,H2)</f>
        <v>1297294.6541277126</v>
      </c>
      <c r="J2" s="2">
        <f>SUM(H2,D2:E2)</f>
        <v>1300297.6541277126</v>
      </c>
      <c r="K2" s="2"/>
    </row>
    <row r="3" spans="1:11" x14ac:dyDescent="0.2">
      <c r="A3">
        <v>2016</v>
      </c>
      <c r="B3" s="34">
        <v>4931</v>
      </c>
      <c r="C3" s="3" t="s">
        <v>10</v>
      </c>
      <c r="D3" s="12">
        <v>14091</v>
      </c>
      <c r="E3" s="12">
        <v>30150</v>
      </c>
      <c r="F3" s="12">
        <f t="shared" si="0"/>
        <v>44241</v>
      </c>
      <c r="G3">
        <f>VLOOKUP(B3,'2015'!$B$2:$G$338,6,FALSE)</f>
        <v>6.4531547540516718E-3</v>
      </c>
      <c r="H3">
        <f t="shared" ref="H3:H66" si="1">G3*$H$340</f>
        <v>1019652.3543418248</v>
      </c>
      <c r="I3" s="2">
        <f t="shared" ref="I3:I66" si="2">SUM(E3,H3)</f>
        <v>1049802.3543418248</v>
      </c>
      <c r="J3" s="2">
        <f t="shared" ref="J3:J66" si="3">SUM(H3,D3:E3)</f>
        <v>1063893.3543418248</v>
      </c>
      <c r="K3" s="2"/>
    </row>
    <row r="4" spans="1:11" x14ac:dyDescent="0.2">
      <c r="A4">
        <v>2016</v>
      </c>
      <c r="B4" s="34">
        <v>5045</v>
      </c>
      <c r="C4" s="3" t="s">
        <v>11</v>
      </c>
      <c r="D4" s="12">
        <v>2750</v>
      </c>
      <c r="E4" s="12">
        <v>5880</v>
      </c>
      <c r="F4" s="12">
        <f t="shared" si="0"/>
        <v>8630</v>
      </c>
      <c r="G4">
        <f>VLOOKUP(B4,'2015'!$B$2:$G$338,6,FALSE)</f>
        <v>1.0105484222096495E-2</v>
      </c>
      <c r="H4">
        <f t="shared" si="1"/>
        <v>1596750.9182009534</v>
      </c>
      <c r="I4" s="2">
        <f t="shared" si="2"/>
        <v>1602630.9182009534</v>
      </c>
      <c r="J4" s="2">
        <f t="shared" si="3"/>
        <v>1605380.9182009534</v>
      </c>
      <c r="K4" s="2"/>
    </row>
    <row r="5" spans="1:11" x14ac:dyDescent="0.2">
      <c r="A5">
        <v>2016</v>
      </c>
      <c r="B5" s="34">
        <v>5046</v>
      </c>
      <c r="C5" s="3" t="s">
        <v>12</v>
      </c>
      <c r="D5" s="3">
        <v>0</v>
      </c>
      <c r="E5" s="3">
        <v>0</v>
      </c>
      <c r="F5" s="12">
        <f t="shared" si="0"/>
        <v>0</v>
      </c>
      <c r="G5">
        <f>VLOOKUP(B5,'2015'!$B$2:$G$338,6,FALSE)</f>
        <v>1.3630219751289424E-2</v>
      </c>
      <c r="H5">
        <f t="shared" si="1"/>
        <v>2153688.5739293112</v>
      </c>
      <c r="I5" s="2">
        <f t="shared" si="2"/>
        <v>2153688.5739293112</v>
      </c>
      <c r="J5" s="2">
        <f t="shared" si="3"/>
        <v>2153688.5739293112</v>
      </c>
      <c r="K5" s="2"/>
    </row>
    <row r="6" spans="1:11" x14ac:dyDescent="0.2">
      <c r="A6">
        <v>2016</v>
      </c>
      <c r="B6" s="34">
        <v>5047</v>
      </c>
      <c r="C6" s="3" t="s">
        <v>13</v>
      </c>
      <c r="D6" s="12">
        <v>1460</v>
      </c>
      <c r="E6" s="12">
        <v>3120</v>
      </c>
      <c r="F6" s="12">
        <f t="shared" si="0"/>
        <v>4580</v>
      </c>
      <c r="G6">
        <f>VLOOKUP(B6,'2015'!$B$2:$G$338,6,FALSE)</f>
        <v>2.189607160505451E-2</v>
      </c>
      <c r="H6">
        <f t="shared" si="1"/>
        <v>3459762.2114847293</v>
      </c>
      <c r="I6" s="2">
        <f t="shared" si="2"/>
        <v>3462882.2114847293</v>
      </c>
      <c r="J6" s="2">
        <f t="shared" si="3"/>
        <v>3464342.2114847293</v>
      </c>
      <c r="K6" s="2"/>
    </row>
    <row r="7" spans="1:11" x14ac:dyDescent="0.2">
      <c r="A7">
        <v>2016</v>
      </c>
      <c r="B7" s="34">
        <v>5048</v>
      </c>
      <c r="C7" s="3" t="s">
        <v>14</v>
      </c>
      <c r="D7" s="12">
        <v>27378</v>
      </c>
      <c r="E7" s="12">
        <v>58580</v>
      </c>
      <c r="F7" s="12">
        <f t="shared" si="0"/>
        <v>85958</v>
      </c>
      <c r="G7">
        <f>VLOOKUP(B7,'2015'!$B$2:$G$338,6,FALSE)</f>
        <v>4.4505872497202836E-2</v>
      </c>
      <c r="H7">
        <f t="shared" si="1"/>
        <v>7032299.6121110171</v>
      </c>
      <c r="I7" s="2">
        <f t="shared" si="2"/>
        <v>7090879.6121110171</v>
      </c>
      <c r="J7" s="2">
        <f t="shared" si="3"/>
        <v>7118257.6121110171</v>
      </c>
      <c r="K7" s="2"/>
    </row>
    <row r="8" spans="1:11" x14ac:dyDescent="0.2">
      <c r="A8">
        <v>2016</v>
      </c>
      <c r="B8" s="34">
        <v>5049</v>
      </c>
      <c r="C8" s="3" t="s">
        <v>15</v>
      </c>
      <c r="D8" s="12">
        <v>164240</v>
      </c>
      <c r="E8" s="12">
        <v>351430</v>
      </c>
      <c r="F8" s="12">
        <f t="shared" si="0"/>
        <v>515670</v>
      </c>
      <c r="G8">
        <f>VLOOKUP(B8,'2015'!$B$2:$G$338,6,FALSE)</f>
        <v>6.3574471270304675E-2</v>
      </c>
      <c r="H8">
        <f t="shared" si="1"/>
        <v>10045297.49826666</v>
      </c>
      <c r="I8" s="2">
        <f t="shared" si="2"/>
        <v>10396727.49826666</v>
      </c>
      <c r="J8" s="2">
        <f t="shared" si="3"/>
        <v>10560967.49826666</v>
      </c>
      <c r="K8" s="2"/>
    </row>
    <row r="9" spans="1:11" x14ac:dyDescent="0.2">
      <c r="A9">
        <v>2016</v>
      </c>
      <c r="B9" s="34">
        <v>5050</v>
      </c>
      <c r="C9" s="3" t="s">
        <v>16</v>
      </c>
      <c r="D9" s="12">
        <v>16225</v>
      </c>
      <c r="E9" s="12">
        <v>34720</v>
      </c>
      <c r="F9" s="12">
        <f t="shared" si="0"/>
        <v>50945</v>
      </c>
      <c r="G9">
        <f>VLOOKUP(B9,'2015'!$B$2:$G$338,6,FALSE)</f>
        <v>1.5153357180231053E-2</v>
      </c>
      <c r="H9">
        <f t="shared" si="1"/>
        <v>2394357.0104690329</v>
      </c>
      <c r="I9" s="2">
        <f t="shared" si="2"/>
        <v>2429077.0104690329</v>
      </c>
      <c r="J9" s="2">
        <f t="shared" si="3"/>
        <v>2445302.0104690329</v>
      </c>
      <c r="K9" s="2"/>
    </row>
    <row r="10" spans="1:11" x14ac:dyDescent="0.2">
      <c r="A10">
        <v>2016</v>
      </c>
      <c r="B10" s="34">
        <v>5107</v>
      </c>
      <c r="C10" s="3" t="s">
        <v>17</v>
      </c>
      <c r="D10" s="12">
        <v>17649</v>
      </c>
      <c r="E10" s="12">
        <v>37760</v>
      </c>
      <c r="F10" s="12">
        <f t="shared" si="0"/>
        <v>55409</v>
      </c>
      <c r="G10">
        <f>VLOOKUP(B10,'2015'!$B$2:$G$338,6,FALSE)</f>
        <v>2.4280916304639615E-2</v>
      </c>
      <c r="H10">
        <f t="shared" si="1"/>
        <v>3836587.594626952</v>
      </c>
      <c r="I10" s="2">
        <f t="shared" si="2"/>
        <v>3874347.594626952</v>
      </c>
      <c r="J10" s="2">
        <f t="shared" si="3"/>
        <v>3891996.594626952</v>
      </c>
      <c r="K10" s="2"/>
    </row>
    <row r="11" spans="1:11" x14ac:dyDescent="0.2">
      <c r="A11">
        <v>2016</v>
      </c>
      <c r="B11" s="34">
        <v>5108</v>
      </c>
      <c r="C11" s="3" t="s">
        <v>18</v>
      </c>
      <c r="D11" s="12">
        <v>8984</v>
      </c>
      <c r="E11" s="12">
        <v>19220</v>
      </c>
      <c r="F11" s="12">
        <f t="shared" si="0"/>
        <v>28204</v>
      </c>
      <c r="G11">
        <f>VLOOKUP(B11,'2015'!$B$2:$G$338,6,FALSE)</f>
        <v>3.1695507434012407E-2</v>
      </c>
      <c r="H11">
        <f t="shared" si="1"/>
        <v>5008154.927147557</v>
      </c>
      <c r="I11" s="2">
        <f t="shared" si="2"/>
        <v>5027374.927147557</v>
      </c>
      <c r="J11" s="2">
        <f t="shared" si="3"/>
        <v>5036358.927147557</v>
      </c>
      <c r="K11" s="2"/>
    </row>
    <row r="12" spans="1:11" x14ac:dyDescent="0.2">
      <c r="A12">
        <v>2016</v>
      </c>
      <c r="B12" s="34">
        <v>5109</v>
      </c>
      <c r="C12" s="3" t="s">
        <v>19</v>
      </c>
      <c r="D12" s="12">
        <v>27995</v>
      </c>
      <c r="E12" s="12">
        <v>59900</v>
      </c>
      <c r="F12" s="12">
        <f t="shared" si="0"/>
        <v>87895</v>
      </c>
      <c r="G12">
        <f>VLOOKUP(B12,'2015'!$B$2:$G$338,6,FALSE)</f>
        <v>5.1177098904248042E-2</v>
      </c>
      <c r="H12">
        <f t="shared" si="1"/>
        <v>8086409.1091783382</v>
      </c>
      <c r="I12" s="2">
        <f t="shared" si="2"/>
        <v>8146309.1091783382</v>
      </c>
      <c r="J12" s="2">
        <f t="shared" si="3"/>
        <v>8174304.1091783382</v>
      </c>
      <c r="K12" s="2"/>
    </row>
    <row r="13" spans="1:11" x14ac:dyDescent="0.2">
      <c r="A13">
        <v>2016</v>
      </c>
      <c r="B13" s="34">
        <v>5110</v>
      </c>
      <c r="C13" s="3" t="s">
        <v>20</v>
      </c>
      <c r="D13" s="12">
        <v>17059</v>
      </c>
      <c r="E13" s="12">
        <v>36500</v>
      </c>
      <c r="F13" s="12">
        <f t="shared" si="0"/>
        <v>53559</v>
      </c>
      <c r="G13">
        <f>VLOOKUP(B13,'2015'!$B$2:$G$338,6,FALSE)</f>
        <v>1.0333360578457136E-2</v>
      </c>
      <c r="H13">
        <f t="shared" si="1"/>
        <v>1632757.2859571395</v>
      </c>
      <c r="I13" s="2">
        <f t="shared" si="2"/>
        <v>1669257.2859571395</v>
      </c>
      <c r="J13" s="2">
        <f t="shared" si="3"/>
        <v>1686316.2859571395</v>
      </c>
      <c r="K13" s="2"/>
    </row>
    <row r="14" spans="1:11" x14ac:dyDescent="0.2">
      <c r="A14">
        <v>2016</v>
      </c>
      <c r="B14" s="34">
        <v>5111</v>
      </c>
      <c r="C14" s="3" t="s">
        <v>21</v>
      </c>
      <c r="D14" s="12">
        <v>9876</v>
      </c>
      <c r="E14" s="12">
        <v>21130</v>
      </c>
      <c r="F14" s="12">
        <f t="shared" si="0"/>
        <v>31006</v>
      </c>
      <c r="G14">
        <f>VLOOKUP(B14,'2015'!$B$2:$G$338,6,FALSE)</f>
        <v>1.0645672472843794E-2</v>
      </c>
      <c r="H14">
        <f t="shared" si="1"/>
        <v>1682105.1740114852</v>
      </c>
      <c r="I14" s="2">
        <f t="shared" si="2"/>
        <v>1703235.1740114852</v>
      </c>
      <c r="J14" s="2">
        <f t="shared" si="3"/>
        <v>1713111.1740114852</v>
      </c>
      <c r="K14" s="2"/>
    </row>
    <row r="15" spans="1:11" x14ac:dyDescent="0.2">
      <c r="A15">
        <v>2016</v>
      </c>
      <c r="B15" s="34">
        <v>5112</v>
      </c>
      <c r="C15" s="3" t="s">
        <v>22</v>
      </c>
      <c r="D15" s="12">
        <v>3251</v>
      </c>
      <c r="E15" s="12">
        <v>6960</v>
      </c>
      <c r="F15" s="12">
        <f t="shared" si="0"/>
        <v>10211</v>
      </c>
      <c r="G15">
        <f>VLOOKUP(B15,'2015'!$B$2:$G$338,6,FALSE)</f>
        <v>1.26711958199119E-2</v>
      </c>
      <c r="H15">
        <f t="shared" si="1"/>
        <v>2002154.7820447639</v>
      </c>
      <c r="I15" s="2">
        <f t="shared" si="2"/>
        <v>2009114.7820447639</v>
      </c>
      <c r="J15" s="2">
        <f t="shared" si="3"/>
        <v>2012365.7820447639</v>
      </c>
      <c r="K15" s="2"/>
    </row>
    <row r="16" spans="1:11" x14ac:dyDescent="0.2">
      <c r="A16">
        <v>2016</v>
      </c>
      <c r="B16" s="34">
        <v>5113</v>
      </c>
      <c r="C16" s="3" t="s">
        <v>23</v>
      </c>
      <c r="D16" s="12">
        <v>7911</v>
      </c>
      <c r="E16" s="12">
        <v>16930</v>
      </c>
      <c r="F16" s="12">
        <f t="shared" si="0"/>
        <v>24841</v>
      </c>
      <c r="G16">
        <f>VLOOKUP(B16,'2015'!$B$2:$G$338,6,FALSE)</f>
        <v>1.1491975514269418E-2</v>
      </c>
      <c r="H16">
        <f t="shared" si="1"/>
        <v>1815828.1237260387</v>
      </c>
      <c r="I16" s="2">
        <f t="shared" si="2"/>
        <v>1832758.1237260387</v>
      </c>
      <c r="J16" s="2">
        <f t="shared" si="3"/>
        <v>1840669.1237260387</v>
      </c>
      <c r="K16" s="2"/>
    </row>
    <row r="17" spans="1:11" x14ac:dyDescent="0.2">
      <c r="A17">
        <v>2016</v>
      </c>
      <c r="B17" s="34">
        <v>5177</v>
      </c>
      <c r="C17" s="3" t="s">
        <v>24</v>
      </c>
      <c r="D17" s="12">
        <v>2336</v>
      </c>
      <c r="E17" s="12">
        <v>5000</v>
      </c>
      <c r="F17" s="12">
        <f t="shared" si="0"/>
        <v>7336</v>
      </c>
      <c r="G17">
        <f>VLOOKUP(B17,'2015'!$B$2:$G$338,6,FALSE)</f>
        <v>1.3302968410463039E-2</v>
      </c>
      <c r="H17">
        <f t="shared" si="1"/>
        <v>2101980.1285482929</v>
      </c>
      <c r="I17" s="2">
        <f t="shared" si="2"/>
        <v>2106980.1285482929</v>
      </c>
      <c r="J17" s="2">
        <f t="shared" si="3"/>
        <v>2109316.1285482929</v>
      </c>
      <c r="K17" s="2"/>
    </row>
    <row r="18" spans="1:11" x14ac:dyDescent="0.2">
      <c r="A18">
        <v>2016</v>
      </c>
      <c r="B18" s="34">
        <v>5178</v>
      </c>
      <c r="C18" s="3" t="s">
        <v>25</v>
      </c>
      <c r="D18" s="12">
        <v>11645</v>
      </c>
      <c r="E18" s="12">
        <v>24920</v>
      </c>
      <c r="F18" s="12">
        <f t="shared" si="0"/>
        <v>36565</v>
      </c>
      <c r="G18">
        <f>VLOOKUP(B18,'2015'!$B$2:$G$338,6,FALSE)</f>
        <v>2.1732025416889681E-2</v>
      </c>
      <c r="H18">
        <f t="shared" si="1"/>
        <v>3433841.5434768768</v>
      </c>
      <c r="I18" s="2">
        <f t="shared" si="2"/>
        <v>3458761.5434768768</v>
      </c>
      <c r="J18" s="2">
        <f t="shared" si="3"/>
        <v>3470406.5434768768</v>
      </c>
      <c r="K18" s="2"/>
    </row>
    <row r="19" spans="1:11" x14ac:dyDescent="0.2">
      <c r="A19">
        <v>2016</v>
      </c>
      <c r="B19" s="34">
        <v>5179</v>
      </c>
      <c r="C19" s="3" t="s">
        <v>26</v>
      </c>
      <c r="D19" s="12">
        <v>23521</v>
      </c>
      <c r="E19" s="12">
        <v>50330</v>
      </c>
      <c r="F19" s="12">
        <f t="shared" si="0"/>
        <v>73851</v>
      </c>
      <c r="G19">
        <f>VLOOKUP(B19,'2015'!$B$2:$G$338,6,FALSE)</f>
        <v>1.1857958753272873E-2</v>
      </c>
      <c r="H19">
        <f t="shared" si="1"/>
        <v>1873656.5325465801</v>
      </c>
      <c r="I19" s="2">
        <f t="shared" si="2"/>
        <v>1923986.5325465801</v>
      </c>
      <c r="J19" s="2">
        <f t="shared" si="3"/>
        <v>1947507.5325465801</v>
      </c>
      <c r="K19" s="2"/>
    </row>
    <row r="20" spans="1:11" x14ac:dyDescent="0.2">
      <c r="A20">
        <v>2016</v>
      </c>
      <c r="B20" s="34">
        <v>5180</v>
      </c>
      <c r="C20" s="3" t="s">
        <v>27</v>
      </c>
      <c r="D20" s="12">
        <v>1850</v>
      </c>
      <c r="E20" s="12">
        <v>3960</v>
      </c>
      <c r="F20" s="12">
        <f t="shared" si="0"/>
        <v>5810</v>
      </c>
      <c r="G20">
        <f>VLOOKUP(B20,'2015'!$B$2:$G$338,6,FALSE)</f>
        <v>1.6155185392222552E-2</v>
      </c>
      <c r="H20">
        <f t="shared" si="1"/>
        <v>2552654.2362347445</v>
      </c>
      <c r="I20" s="2">
        <f t="shared" si="2"/>
        <v>2556614.2362347445</v>
      </c>
      <c r="J20" s="2">
        <f t="shared" si="3"/>
        <v>2558464.2362347445</v>
      </c>
      <c r="K20" s="2"/>
    </row>
    <row r="21" spans="1:11" x14ac:dyDescent="0.2">
      <c r="A21">
        <v>2016</v>
      </c>
      <c r="B21" s="34">
        <v>5404</v>
      </c>
      <c r="C21" s="3" t="s">
        <v>364</v>
      </c>
      <c r="D21" s="3">
        <v>217</v>
      </c>
      <c r="E21" s="3">
        <v>460</v>
      </c>
      <c r="F21" s="12">
        <f t="shared" si="0"/>
        <v>677</v>
      </c>
      <c r="G21">
        <f>VLOOKUP(B21,'2015'!$B$2:$G$338,6,FALSE)</f>
        <v>1.896247337209666E-2</v>
      </c>
      <c r="H21">
        <f t="shared" si="1"/>
        <v>2996229.1863313494</v>
      </c>
      <c r="I21" s="2">
        <f t="shared" si="2"/>
        <v>2996689.1863313494</v>
      </c>
      <c r="J21" s="2">
        <f t="shared" si="3"/>
        <v>2996906.1863313494</v>
      </c>
      <c r="K21" s="2"/>
    </row>
    <row r="22" spans="1:11" x14ac:dyDescent="0.2">
      <c r="A22">
        <v>2016</v>
      </c>
      <c r="B22" s="34">
        <v>5406</v>
      </c>
      <c r="C22" s="3" t="s">
        <v>29</v>
      </c>
      <c r="D22" s="12">
        <v>71472</v>
      </c>
      <c r="E22" s="12">
        <v>152930</v>
      </c>
      <c r="F22" s="12">
        <f t="shared" si="0"/>
        <v>224402</v>
      </c>
      <c r="G22">
        <f>VLOOKUP(B22,'2015'!$B$2:$G$338,6,FALSE)</f>
        <v>0.18385655811930474</v>
      </c>
      <c r="H22">
        <f t="shared" si="1"/>
        <v>29050871.936680119</v>
      </c>
      <c r="I22" s="2">
        <f t="shared" si="2"/>
        <v>29203801.936680119</v>
      </c>
      <c r="J22" s="2">
        <f t="shared" si="3"/>
        <v>29275273.936680119</v>
      </c>
      <c r="K22" s="2"/>
    </row>
    <row r="23" spans="1:11" x14ac:dyDescent="0.2">
      <c r="A23">
        <v>2016</v>
      </c>
      <c r="B23" s="34">
        <v>5596</v>
      </c>
      <c r="C23" s="3" t="s">
        <v>30</v>
      </c>
      <c r="D23" s="12">
        <v>82505</v>
      </c>
      <c r="E23" s="12">
        <v>176540</v>
      </c>
      <c r="F23" s="12">
        <f t="shared" si="0"/>
        <v>259045</v>
      </c>
      <c r="G23">
        <f>VLOOKUP(B23,'2015'!$B$2:$G$338,6,FALSE)</f>
        <v>1.6026551225248188E-2</v>
      </c>
      <c r="H23">
        <f t="shared" si="1"/>
        <v>2532328.9633715982</v>
      </c>
      <c r="I23" s="2">
        <f t="shared" si="2"/>
        <v>2708868.9633715982</v>
      </c>
      <c r="J23" s="2">
        <f t="shared" si="3"/>
        <v>2791373.9633715982</v>
      </c>
      <c r="K23" s="2"/>
    </row>
    <row r="24" spans="1:11" x14ac:dyDescent="0.2">
      <c r="A24">
        <v>2016</v>
      </c>
      <c r="B24" s="34">
        <v>5600</v>
      </c>
      <c r="C24" s="3" t="s">
        <v>31</v>
      </c>
      <c r="D24" s="12">
        <v>105961</v>
      </c>
      <c r="E24" s="12">
        <v>226730</v>
      </c>
      <c r="F24" s="12">
        <f t="shared" si="0"/>
        <v>332691</v>
      </c>
      <c r="G24">
        <f>VLOOKUP(B24,'2015'!$B$2:$G$338,6,FALSE)</f>
        <v>1.8681545381490052E-2</v>
      </c>
      <c r="H24">
        <f t="shared" si="1"/>
        <v>2951840.217224</v>
      </c>
      <c r="I24" s="2">
        <f t="shared" si="2"/>
        <v>3178570.217224</v>
      </c>
      <c r="J24" s="2">
        <f t="shared" si="3"/>
        <v>3284531.217224</v>
      </c>
      <c r="K24" s="2"/>
    </row>
    <row r="25" spans="1:11" x14ac:dyDescent="0.2">
      <c r="A25">
        <v>2016</v>
      </c>
      <c r="B25" s="34">
        <v>5604</v>
      </c>
      <c r="C25" s="3" t="s">
        <v>32</v>
      </c>
      <c r="D25" s="12">
        <v>75995</v>
      </c>
      <c r="E25" s="12">
        <v>162610</v>
      </c>
      <c r="F25" s="12">
        <f t="shared" si="0"/>
        <v>238605</v>
      </c>
      <c r="G25">
        <f>VLOOKUP(B25,'2015'!$B$2:$G$338,6,FALSE)</f>
        <v>1.7146633455502592E-2</v>
      </c>
      <c r="H25">
        <f t="shared" si="1"/>
        <v>2709311.3117986633</v>
      </c>
      <c r="I25" s="2">
        <f t="shared" si="2"/>
        <v>2871921.3117986633</v>
      </c>
      <c r="J25" s="2">
        <f t="shared" si="3"/>
        <v>2947916.3117986633</v>
      </c>
      <c r="K25" s="2"/>
    </row>
    <row r="26" spans="1:11" x14ac:dyDescent="0.2">
      <c r="A26">
        <v>2016</v>
      </c>
      <c r="B26" s="34">
        <v>5608</v>
      </c>
      <c r="C26" s="3" t="s">
        <v>33</v>
      </c>
      <c r="D26" s="12">
        <v>6308</v>
      </c>
      <c r="E26" s="12">
        <v>13500</v>
      </c>
      <c r="F26" s="12">
        <f t="shared" si="0"/>
        <v>19808</v>
      </c>
      <c r="G26">
        <f>VLOOKUP(B26,'2015'!$B$2:$G$338,6,FALSE)</f>
        <v>1.6119618443439378E-2</v>
      </c>
      <c r="H26">
        <f t="shared" si="1"/>
        <v>2547034.3612362798</v>
      </c>
      <c r="I26" s="2">
        <f t="shared" si="2"/>
        <v>2560534.3612362798</v>
      </c>
      <c r="J26" s="2">
        <f t="shared" si="3"/>
        <v>2566842.3612362798</v>
      </c>
      <c r="K26" s="2"/>
    </row>
    <row r="27" spans="1:11" x14ac:dyDescent="0.2">
      <c r="A27">
        <v>2016</v>
      </c>
      <c r="B27" s="34">
        <v>5609</v>
      </c>
      <c r="C27" s="3" t="s">
        <v>365</v>
      </c>
      <c r="D27" s="12">
        <v>73980</v>
      </c>
      <c r="E27" s="12">
        <v>158300</v>
      </c>
      <c r="F27" s="12">
        <f t="shared" si="0"/>
        <v>232280</v>
      </c>
      <c r="G27">
        <f>VLOOKUP(B27,'2015'!$B$2:$G$338,6,FALSE)</f>
        <v>1.7566288039122847E-2</v>
      </c>
      <c r="H27">
        <f t="shared" si="1"/>
        <v>2775620.2413854008</v>
      </c>
      <c r="I27" s="2">
        <f t="shared" si="2"/>
        <v>2933920.2413854008</v>
      </c>
      <c r="J27" s="2">
        <f t="shared" si="3"/>
        <v>3007900.2413854008</v>
      </c>
      <c r="K27" s="2"/>
    </row>
    <row r="28" spans="1:11" x14ac:dyDescent="0.2">
      <c r="A28">
        <v>2016</v>
      </c>
      <c r="B28" s="34">
        <v>5612</v>
      </c>
      <c r="C28" s="3" t="s">
        <v>35</v>
      </c>
      <c r="D28" s="12">
        <v>174198</v>
      </c>
      <c r="E28" s="12">
        <v>372740</v>
      </c>
      <c r="F28" s="12">
        <f t="shared" si="0"/>
        <v>546938</v>
      </c>
      <c r="G28">
        <f>VLOOKUP(B28,'2015'!$B$2:$G$338,6,FALSE)</f>
        <v>3.6267907610125244E-2</v>
      </c>
      <c r="H28">
        <f t="shared" si="1"/>
        <v>5730632.348232056</v>
      </c>
      <c r="I28" s="2">
        <f t="shared" si="2"/>
        <v>6103372.348232056</v>
      </c>
      <c r="J28" s="2">
        <f t="shared" si="3"/>
        <v>6277570.348232056</v>
      </c>
      <c r="K28" s="2"/>
    </row>
    <row r="29" spans="1:11" x14ac:dyDescent="0.2">
      <c r="A29">
        <v>2016</v>
      </c>
      <c r="B29" s="34">
        <v>5624</v>
      </c>
      <c r="C29" s="3" t="s">
        <v>36</v>
      </c>
      <c r="D29" s="12">
        <v>49856</v>
      </c>
      <c r="E29" s="12">
        <v>106680</v>
      </c>
      <c r="F29" s="12">
        <f t="shared" si="0"/>
        <v>156536</v>
      </c>
      <c r="G29">
        <f>VLOOKUP(B29,'2015'!$B$2:$G$338,6,FALSE)</f>
        <v>1.2935059642807353E-2</v>
      </c>
      <c r="H29">
        <f t="shared" si="1"/>
        <v>2043847.4701167583</v>
      </c>
      <c r="I29" s="2">
        <f t="shared" si="2"/>
        <v>2150527.4701167583</v>
      </c>
      <c r="J29" s="2">
        <f t="shared" si="3"/>
        <v>2200383.4701167583</v>
      </c>
      <c r="K29" s="2"/>
    </row>
    <row r="30" spans="1:11" x14ac:dyDescent="0.2">
      <c r="A30">
        <v>2016</v>
      </c>
      <c r="B30" s="34">
        <v>5626</v>
      </c>
      <c r="C30" s="3" t="s">
        <v>37</v>
      </c>
      <c r="D30" s="12">
        <v>53167</v>
      </c>
      <c r="E30" s="12">
        <v>113760</v>
      </c>
      <c r="F30" s="12">
        <f t="shared" si="0"/>
        <v>166927</v>
      </c>
      <c r="G30">
        <f>VLOOKUP(B30,'2015'!$B$2:$G$338,6,FALSE)</f>
        <v>1.5028308480402224E-2</v>
      </c>
      <c r="H30">
        <f t="shared" si="1"/>
        <v>2374598.2713642879</v>
      </c>
      <c r="I30" s="2">
        <f t="shared" si="2"/>
        <v>2488358.2713642879</v>
      </c>
      <c r="J30" s="2">
        <f t="shared" si="3"/>
        <v>2541525.2713642879</v>
      </c>
      <c r="K30" s="2"/>
    </row>
    <row r="31" spans="1:11" x14ac:dyDescent="0.2">
      <c r="A31">
        <v>2016</v>
      </c>
      <c r="B31" s="34">
        <v>5634</v>
      </c>
      <c r="C31" s="3" t="s">
        <v>38</v>
      </c>
      <c r="D31" s="12">
        <v>45289</v>
      </c>
      <c r="E31" s="12">
        <v>96910</v>
      </c>
      <c r="F31" s="12">
        <f t="shared" si="0"/>
        <v>142199</v>
      </c>
      <c r="G31">
        <f>VLOOKUP(B31,'2015'!$B$2:$G$338,6,FALSE)</f>
        <v>2.1955563800654488E-2</v>
      </c>
      <c r="H31">
        <f t="shared" si="1"/>
        <v>3469162.4753278359</v>
      </c>
      <c r="I31" s="2">
        <f t="shared" si="2"/>
        <v>3566072.4753278359</v>
      </c>
      <c r="J31" s="2">
        <f t="shared" si="3"/>
        <v>3611361.4753278359</v>
      </c>
      <c r="K31" s="2"/>
    </row>
    <row r="32" spans="1:11" x14ac:dyDescent="0.2">
      <c r="A32">
        <v>2016</v>
      </c>
      <c r="B32" s="34">
        <v>5638</v>
      </c>
      <c r="C32" s="3" t="s">
        <v>39</v>
      </c>
      <c r="D32" s="12">
        <v>31384</v>
      </c>
      <c r="E32" s="12">
        <v>67150</v>
      </c>
      <c r="F32" s="12">
        <f t="shared" si="0"/>
        <v>98534</v>
      </c>
      <c r="G32">
        <f>VLOOKUP(B32,'2015'!$B$2:$G$338,6,FALSE)</f>
        <v>1.1550715204419101E-2</v>
      </c>
      <c r="H32">
        <f t="shared" si="1"/>
        <v>1825109.4854223204</v>
      </c>
      <c r="I32" s="2">
        <f t="shared" si="2"/>
        <v>1892259.4854223204</v>
      </c>
      <c r="J32" s="2">
        <f t="shared" si="3"/>
        <v>1923643.4854223204</v>
      </c>
      <c r="K32" s="2"/>
    </row>
    <row r="33" spans="1:11" x14ac:dyDescent="0.2">
      <c r="A33">
        <v>2016</v>
      </c>
      <c r="B33" s="34">
        <v>5655</v>
      </c>
      <c r="C33" s="3" t="s">
        <v>40</v>
      </c>
      <c r="D33" s="12">
        <v>5518</v>
      </c>
      <c r="E33" s="12">
        <v>11810</v>
      </c>
      <c r="F33" s="12">
        <f t="shared" si="0"/>
        <v>17328</v>
      </c>
      <c r="G33">
        <f>VLOOKUP(B33,'2015'!$B$2:$G$338,6,FALSE)</f>
        <v>5.1934606302538574E-3</v>
      </c>
      <c r="H33">
        <f t="shared" si="1"/>
        <v>820610.16055675398</v>
      </c>
      <c r="I33" s="2">
        <f t="shared" si="2"/>
        <v>832420.16055675398</v>
      </c>
      <c r="J33" s="2">
        <f t="shared" si="3"/>
        <v>837938.16055675398</v>
      </c>
      <c r="K33" s="2"/>
    </row>
    <row r="34" spans="1:11" x14ac:dyDescent="0.2">
      <c r="A34">
        <v>2016</v>
      </c>
      <c r="B34" s="34">
        <v>5657</v>
      </c>
      <c r="C34" s="3" t="s">
        <v>41</v>
      </c>
      <c r="D34" s="12">
        <v>38594</v>
      </c>
      <c r="E34" s="12">
        <v>82580</v>
      </c>
      <c r="F34" s="12">
        <f t="shared" si="0"/>
        <v>121174</v>
      </c>
      <c r="G34">
        <f>VLOOKUP(B34,'2015'!$B$2:$G$338,6,FALSE)</f>
        <v>2.8683294514011727E-3</v>
      </c>
      <c r="H34">
        <f t="shared" si="1"/>
        <v>453220.01247729285</v>
      </c>
      <c r="I34" s="2">
        <f t="shared" si="2"/>
        <v>535800.01247729291</v>
      </c>
      <c r="J34" s="2">
        <f t="shared" si="3"/>
        <v>574394.01247729291</v>
      </c>
      <c r="K34" s="2"/>
    </row>
    <row r="35" spans="1:11" x14ac:dyDescent="0.2">
      <c r="A35">
        <v>2016</v>
      </c>
      <c r="B35" s="34">
        <v>5671</v>
      </c>
      <c r="C35" s="3" t="s">
        <v>42</v>
      </c>
      <c r="D35" s="12">
        <v>22770</v>
      </c>
      <c r="E35" s="12">
        <v>48720</v>
      </c>
      <c r="F35" s="12">
        <f t="shared" si="0"/>
        <v>71490</v>
      </c>
      <c r="G35">
        <f>VLOOKUP(B35,'2015'!$B$2:$G$338,6,FALSE)</f>
        <v>6.9584842964396064E-3</v>
      </c>
      <c r="H35">
        <f t="shared" si="1"/>
        <v>1099498.6430567859</v>
      </c>
      <c r="I35" s="2">
        <f t="shared" si="2"/>
        <v>1148218.6430567859</v>
      </c>
      <c r="J35" s="2">
        <f t="shared" si="3"/>
        <v>1170988.6430567859</v>
      </c>
      <c r="K35" s="2"/>
    </row>
    <row r="36" spans="1:11" x14ac:dyDescent="0.2">
      <c r="A36">
        <v>2016</v>
      </c>
      <c r="B36" s="34">
        <v>5682</v>
      </c>
      <c r="C36" s="3" t="s">
        <v>43</v>
      </c>
      <c r="D36" s="12">
        <v>136713</v>
      </c>
      <c r="E36" s="12">
        <v>292530</v>
      </c>
      <c r="F36" s="12">
        <f t="shared" si="0"/>
        <v>429243</v>
      </c>
      <c r="G36">
        <f>VLOOKUP(B36,'2015'!$B$2:$G$338,6,FALSE)</f>
        <v>4.9492217068518966E-2</v>
      </c>
      <c r="H36">
        <f t="shared" si="1"/>
        <v>7820183.7053151699</v>
      </c>
      <c r="I36" s="2">
        <f t="shared" si="2"/>
        <v>8112713.7053151699</v>
      </c>
      <c r="J36" s="2">
        <f t="shared" si="3"/>
        <v>8249426.7053151699</v>
      </c>
      <c r="K36" s="2"/>
    </row>
    <row r="37" spans="1:11" x14ac:dyDescent="0.2">
      <c r="A37">
        <v>2016</v>
      </c>
      <c r="B37" s="34">
        <v>5688</v>
      </c>
      <c r="C37" s="3" t="s">
        <v>44</v>
      </c>
      <c r="D37" s="12">
        <v>13997</v>
      </c>
      <c r="E37" s="12">
        <v>29950</v>
      </c>
      <c r="F37" s="12">
        <f t="shared" si="0"/>
        <v>43947</v>
      </c>
      <c r="G37">
        <f>VLOOKUP(B37,'2015'!$B$2:$G$338,6,FALSE)</f>
        <v>5.5749366285281409E-3</v>
      </c>
      <c r="H37">
        <f t="shared" si="1"/>
        <v>880886.55475310434</v>
      </c>
      <c r="I37" s="2">
        <f t="shared" si="2"/>
        <v>910836.55475310434</v>
      </c>
      <c r="J37" s="2">
        <f t="shared" si="3"/>
        <v>924833.55475310434</v>
      </c>
      <c r="K37" s="2"/>
    </row>
    <row r="38" spans="1:11" x14ac:dyDescent="0.2">
      <c r="A38">
        <v>2016</v>
      </c>
      <c r="B38" s="34">
        <v>9034</v>
      </c>
      <c r="C38" s="3" t="s">
        <v>45</v>
      </c>
      <c r="D38" s="12">
        <v>32289</v>
      </c>
      <c r="E38" s="12">
        <v>69090</v>
      </c>
      <c r="F38" s="12">
        <f t="shared" si="0"/>
        <v>101379</v>
      </c>
      <c r="G38">
        <f>VLOOKUP(B38,'2015'!$B$2:$G$338,6,FALSE)</f>
        <v>1.0344603895185109E-2</v>
      </c>
      <c r="H38">
        <f t="shared" si="1"/>
        <v>1634533.8239155838</v>
      </c>
      <c r="I38" s="2">
        <f t="shared" si="2"/>
        <v>1703623.8239155838</v>
      </c>
      <c r="J38" s="2">
        <f t="shared" si="3"/>
        <v>1735912.8239155838</v>
      </c>
      <c r="K38" s="2"/>
    </row>
    <row r="39" spans="1:11" x14ac:dyDescent="0.2">
      <c r="A39">
        <v>2016</v>
      </c>
      <c r="B39" s="34">
        <v>9042</v>
      </c>
      <c r="C39" s="3" t="s">
        <v>46</v>
      </c>
      <c r="D39" s="12">
        <v>18362</v>
      </c>
      <c r="E39" s="12">
        <v>39290</v>
      </c>
      <c r="F39" s="12">
        <f t="shared" si="0"/>
        <v>57652</v>
      </c>
      <c r="G39">
        <f>VLOOKUP(B39,'2015'!$B$2:$G$338,6,FALSE)</f>
        <v>6.7431128100618474E-3</v>
      </c>
      <c r="H39">
        <f t="shared" si="1"/>
        <v>1065468.1492110742</v>
      </c>
      <c r="I39" s="2">
        <f t="shared" si="2"/>
        <v>1104758.1492110742</v>
      </c>
      <c r="J39" s="2">
        <f t="shared" si="3"/>
        <v>1123120.1492110742</v>
      </c>
      <c r="K39" s="2"/>
    </row>
    <row r="40" spans="1:11" x14ac:dyDescent="0.2">
      <c r="A40">
        <v>2016</v>
      </c>
      <c r="B40" s="34">
        <v>9047</v>
      </c>
      <c r="C40" s="3" t="s">
        <v>47</v>
      </c>
      <c r="D40" s="12">
        <v>44604</v>
      </c>
      <c r="E40" s="12">
        <v>95440</v>
      </c>
      <c r="F40" s="12">
        <f t="shared" si="0"/>
        <v>140044</v>
      </c>
      <c r="G40">
        <f>VLOOKUP(B40,'2015'!$B$2:$G$338,6,FALSE)</f>
        <v>5.8226437167554438E-3</v>
      </c>
      <c r="H40">
        <f t="shared" si="1"/>
        <v>920026.34379032615</v>
      </c>
      <c r="I40" s="2">
        <f t="shared" si="2"/>
        <v>1015466.3437903262</v>
      </c>
      <c r="J40" s="2">
        <f t="shared" si="3"/>
        <v>1060070.3437903263</v>
      </c>
      <c r="K40" s="2"/>
    </row>
    <row r="41" spans="1:11" x14ac:dyDescent="0.2">
      <c r="A41">
        <v>2016</v>
      </c>
      <c r="B41" s="34">
        <v>9053</v>
      </c>
      <c r="C41" s="3" t="s">
        <v>48</v>
      </c>
      <c r="D41" s="3">
        <v>0</v>
      </c>
      <c r="E41" s="3">
        <v>0</v>
      </c>
      <c r="F41" s="12">
        <f t="shared" si="0"/>
        <v>0</v>
      </c>
      <c r="G41">
        <f>VLOOKUP(B41,'2015'!$B$2:$G$338,6,FALSE)</f>
        <v>3.2831370146209815E-4</v>
      </c>
      <c r="H41">
        <f t="shared" si="1"/>
        <v>51876.307235359818</v>
      </c>
      <c r="I41" s="2">
        <f t="shared" si="2"/>
        <v>51876.307235359818</v>
      </c>
      <c r="J41" s="2">
        <f t="shared" si="3"/>
        <v>51876.307235359818</v>
      </c>
      <c r="K41" s="2"/>
    </row>
    <row r="42" spans="1:11" x14ac:dyDescent="0.2">
      <c r="A42">
        <v>2016</v>
      </c>
      <c r="B42" s="34">
        <v>9055</v>
      </c>
      <c r="C42" s="3" t="s">
        <v>49</v>
      </c>
      <c r="D42" s="12">
        <v>38922</v>
      </c>
      <c r="E42" s="12">
        <v>83280</v>
      </c>
      <c r="F42" s="12">
        <f t="shared" si="0"/>
        <v>122202</v>
      </c>
      <c r="G42">
        <f>VLOOKUP(B42,'2015'!$B$2:$G$338,6,FALSE)</f>
        <v>6.5073794114995712E-3</v>
      </c>
      <c r="H42">
        <f t="shared" si="1"/>
        <v>1028220.3031571564</v>
      </c>
      <c r="I42" s="2">
        <f t="shared" si="2"/>
        <v>1111500.3031571563</v>
      </c>
      <c r="J42" s="2">
        <f t="shared" si="3"/>
        <v>1150422.3031571563</v>
      </c>
      <c r="K42" s="2"/>
    </row>
    <row r="43" spans="1:11" x14ac:dyDescent="0.2">
      <c r="A43">
        <v>2016</v>
      </c>
      <c r="B43" s="34">
        <v>9056</v>
      </c>
      <c r="C43" s="3" t="s">
        <v>50</v>
      </c>
      <c r="D43" s="12">
        <v>10381</v>
      </c>
      <c r="E43" s="12">
        <v>22210</v>
      </c>
      <c r="F43" s="12">
        <f t="shared" si="0"/>
        <v>32591</v>
      </c>
      <c r="G43">
        <f>VLOOKUP(B43,'2015'!$B$2:$G$338,6,FALSE)</f>
        <v>5.467107024003175E-3</v>
      </c>
      <c r="H43">
        <f t="shared" si="1"/>
        <v>863848.57653747313</v>
      </c>
      <c r="I43" s="2">
        <f t="shared" si="2"/>
        <v>886058.57653747313</v>
      </c>
      <c r="J43" s="2">
        <f t="shared" si="3"/>
        <v>896439.57653747313</v>
      </c>
      <c r="K43" s="2"/>
    </row>
    <row r="44" spans="1:11" x14ac:dyDescent="0.2">
      <c r="A44">
        <v>2016</v>
      </c>
      <c r="B44" s="34">
        <v>9273</v>
      </c>
      <c r="C44" s="3" t="s">
        <v>51</v>
      </c>
      <c r="D44" s="12">
        <v>11386</v>
      </c>
      <c r="E44" s="12">
        <v>24360</v>
      </c>
      <c r="F44" s="12">
        <f t="shared" si="0"/>
        <v>35746</v>
      </c>
      <c r="G44">
        <f>VLOOKUP(B44,'2015'!$B$2:$G$338,6,FALSE)</f>
        <v>1.0952362708866464E-2</v>
      </c>
      <c r="H44">
        <f t="shared" si="1"/>
        <v>1730564.7930866084</v>
      </c>
      <c r="I44" s="2">
        <f t="shared" si="2"/>
        <v>1754924.7930866084</v>
      </c>
      <c r="J44" s="2">
        <f t="shared" si="3"/>
        <v>1766310.7930866084</v>
      </c>
      <c r="K44" s="2"/>
    </row>
    <row r="45" spans="1:11" x14ac:dyDescent="0.2">
      <c r="A45">
        <v>2016</v>
      </c>
      <c r="B45" s="34">
        <v>9274</v>
      </c>
      <c r="C45" s="3" t="s">
        <v>52</v>
      </c>
      <c r="D45" s="12">
        <v>63111</v>
      </c>
      <c r="E45" s="12">
        <v>135040</v>
      </c>
      <c r="F45" s="12">
        <f t="shared" si="0"/>
        <v>198151</v>
      </c>
      <c r="G45">
        <f>VLOOKUP(B45,'2015'!$B$2:$G$338,6,FALSE)</f>
        <v>2.9805855585749469E-2</v>
      </c>
      <c r="H45">
        <f t="shared" si="1"/>
        <v>4709574.1508601243</v>
      </c>
      <c r="I45" s="2">
        <f t="shared" si="2"/>
        <v>4844614.1508601243</v>
      </c>
      <c r="J45" s="2">
        <f t="shared" si="3"/>
        <v>4907725.1508601243</v>
      </c>
      <c r="K45" s="2"/>
    </row>
    <row r="46" spans="1:11" x14ac:dyDescent="0.2">
      <c r="A46">
        <v>2016</v>
      </c>
      <c r="B46" s="34">
        <v>9303</v>
      </c>
      <c r="C46" s="3" t="s">
        <v>363</v>
      </c>
      <c r="D46" s="12">
        <v>18200</v>
      </c>
      <c r="E46" s="12">
        <v>38940</v>
      </c>
      <c r="F46" s="12">
        <f t="shared" si="0"/>
        <v>57140</v>
      </c>
      <c r="G46">
        <f>VLOOKUP(B46,'2015'!$B$2:$G$338,6,FALSE)</f>
        <v>2.0704036574243728E-2</v>
      </c>
      <c r="H46">
        <f t="shared" si="1"/>
        <v>3271410.7195480135</v>
      </c>
      <c r="I46" s="2">
        <f t="shared" si="2"/>
        <v>3310350.7195480135</v>
      </c>
      <c r="J46" s="2">
        <f t="shared" si="3"/>
        <v>3328550.7195480135</v>
      </c>
      <c r="K46" s="2"/>
    </row>
    <row r="47" spans="1:11" x14ac:dyDescent="0.2">
      <c r="A47">
        <v>2016</v>
      </c>
      <c r="B47" s="34">
        <v>9304</v>
      </c>
      <c r="C47" s="3" t="s">
        <v>54</v>
      </c>
      <c r="D47" s="3">
        <v>0</v>
      </c>
      <c r="E47" s="3">
        <v>0</v>
      </c>
      <c r="F47" s="12">
        <f t="shared" si="0"/>
        <v>0</v>
      </c>
      <c r="G47">
        <f>VLOOKUP(B47,'2015'!$B$2:$G$338,6,FALSE)</f>
        <v>6.982210350637218E-3</v>
      </c>
      <c r="H47">
        <f t="shared" si="1"/>
        <v>1103247.5578037393</v>
      </c>
      <c r="I47" s="2">
        <f t="shared" si="2"/>
        <v>1103247.5578037393</v>
      </c>
      <c r="J47" s="2">
        <f t="shared" si="3"/>
        <v>1103247.5578037393</v>
      </c>
      <c r="K47" s="2"/>
    </row>
    <row r="48" spans="1:11" x14ac:dyDescent="0.2">
      <c r="A48">
        <v>2016</v>
      </c>
      <c r="B48" s="34">
        <v>9305</v>
      </c>
      <c r="C48" s="3" t="s">
        <v>55</v>
      </c>
      <c r="D48" s="12">
        <v>29576</v>
      </c>
      <c r="E48" s="12">
        <v>63290</v>
      </c>
      <c r="F48" s="12">
        <f t="shared" si="0"/>
        <v>92866</v>
      </c>
      <c r="G48">
        <f>VLOOKUP(B48,'2015'!$B$2:$G$338,6,FALSE)</f>
        <v>8.0967373200673699E-3</v>
      </c>
      <c r="H48">
        <f t="shared" si="1"/>
        <v>1279352.128617479</v>
      </c>
      <c r="I48" s="2">
        <f t="shared" si="2"/>
        <v>1342642.128617479</v>
      </c>
      <c r="J48" s="2">
        <f t="shared" si="3"/>
        <v>1372218.128617479</v>
      </c>
      <c r="K48" s="2"/>
    </row>
    <row r="49" spans="1:11" x14ac:dyDescent="0.2">
      <c r="A49">
        <v>2016</v>
      </c>
      <c r="B49" s="34">
        <v>9395</v>
      </c>
      <c r="C49" s="3" t="s">
        <v>56</v>
      </c>
      <c r="D49" s="12">
        <v>2163</v>
      </c>
      <c r="E49" s="12">
        <v>4630</v>
      </c>
      <c r="F49" s="12">
        <f t="shared" si="0"/>
        <v>6793</v>
      </c>
      <c r="G49">
        <f>VLOOKUP(B49,'2015'!$B$2:$G$338,6,FALSE)</f>
        <v>5.0036743291862092E-3</v>
      </c>
      <c r="H49">
        <f t="shared" si="1"/>
        <v>790622.3397030927</v>
      </c>
      <c r="I49" s="2">
        <f t="shared" si="2"/>
        <v>795252.3397030927</v>
      </c>
      <c r="J49" s="2">
        <f t="shared" si="3"/>
        <v>797415.3397030927</v>
      </c>
      <c r="K49" s="2"/>
    </row>
    <row r="50" spans="1:11" x14ac:dyDescent="0.2">
      <c r="A50">
        <v>2016</v>
      </c>
      <c r="B50" s="34">
        <v>9487</v>
      </c>
      <c r="C50" s="3" t="s">
        <v>57</v>
      </c>
      <c r="D50" s="12">
        <v>14394</v>
      </c>
      <c r="E50" s="12">
        <v>30800</v>
      </c>
      <c r="F50" s="12">
        <f t="shared" si="0"/>
        <v>45194</v>
      </c>
      <c r="G50">
        <f>VLOOKUP(B50,'2015'!$B$2:$G$338,6,FALSE)</f>
        <v>5.106634780797486E-4</v>
      </c>
      <c r="H50">
        <f t="shared" si="1"/>
        <v>80689.095108632682</v>
      </c>
      <c r="I50" s="2">
        <f t="shared" si="2"/>
        <v>111489.09510863268</v>
      </c>
      <c r="J50" s="2">
        <f t="shared" si="3"/>
        <v>125883.09510863268</v>
      </c>
      <c r="K50" s="2"/>
    </row>
    <row r="51" spans="1:11" x14ac:dyDescent="0.2">
      <c r="A51">
        <v>2016</v>
      </c>
      <c r="B51" s="34">
        <v>9507</v>
      </c>
      <c r="C51" s="3" t="s">
        <v>58</v>
      </c>
      <c r="D51" s="12">
        <v>77780</v>
      </c>
      <c r="E51" s="12">
        <v>166430</v>
      </c>
      <c r="F51" s="12">
        <f t="shared" si="0"/>
        <v>244210</v>
      </c>
      <c r="G51">
        <f>VLOOKUP(B51,'2015'!$B$2:$G$338,6,FALSE)</f>
        <v>2.7714554409320073E-2</v>
      </c>
      <c r="H51">
        <f t="shared" si="1"/>
        <v>4379131.0963455522</v>
      </c>
      <c r="I51" s="2">
        <f t="shared" si="2"/>
        <v>4545561.0963455522</v>
      </c>
      <c r="J51" s="2">
        <f t="shared" si="3"/>
        <v>4623341.0963455522</v>
      </c>
      <c r="K51" s="2"/>
    </row>
    <row r="52" spans="1:11" x14ac:dyDescent="0.2">
      <c r="A52">
        <v>2016</v>
      </c>
      <c r="B52" s="34">
        <v>4828</v>
      </c>
      <c r="C52" s="3" t="s">
        <v>59</v>
      </c>
      <c r="D52" s="12">
        <v>2755756</v>
      </c>
      <c r="E52" s="12">
        <v>5896620</v>
      </c>
      <c r="F52" s="12">
        <f t="shared" si="0"/>
        <v>8652376</v>
      </c>
      <c r="G52">
        <f>VLOOKUP(B52,'2015'!$B$2:$G$338,6,FALSE)</f>
        <v>0</v>
      </c>
      <c r="H52">
        <f t="shared" si="1"/>
        <v>0</v>
      </c>
      <c r="I52" s="2">
        <f t="shared" si="2"/>
        <v>5896620</v>
      </c>
      <c r="J52" s="2">
        <f t="shared" si="3"/>
        <v>8652376</v>
      </c>
      <c r="K52" s="2"/>
    </row>
    <row r="53" spans="1:11" x14ac:dyDescent="0.2">
      <c r="A53">
        <v>2016</v>
      </c>
      <c r="B53" s="34">
        <v>4829</v>
      </c>
      <c r="C53" s="3" t="s">
        <v>60</v>
      </c>
      <c r="D53" s="12">
        <v>1065379</v>
      </c>
      <c r="E53" s="12">
        <v>2279640</v>
      </c>
      <c r="F53" s="12">
        <f t="shared" si="0"/>
        <v>3345019</v>
      </c>
      <c r="G53">
        <f>VLOOKUP(B53,'2015'!$B$2:$G$338,6,FALSE)</f>
        <v>0</v>
      </c>
      <c r="H53">
        <f t="shared" si="1"/>
        <v>0</v>
      </c>
      <c r="I53" s="2">
        <f t="shared" si="2"/>
        <v>2279640</v>
      </c>
      <c r="J53" s="2">
        <f t="shared" si="3"/>
        <v>3345019</v>
      </c>
      <c r="K53" s="2"/>
    </row>
    <row r="54" spans="1:11" x14ac:dyDescent="0.2">
      <c r="A54">
        <v>2016</v>
      </c>
      <c r="B54" s="34">
        <v>4871</v>
      </c>
      <c r="C54" s="3" t="s">
        <v>61</v>
      </c>
      <c r="D54" s="12">
        <v>305950</v>
      </c>
      <c r="E54" s="12">
        <v>654660</v>
      </c>
      <c r="F54" s="12">
        <f t="shared" si="0"/>
        <v>960610</v>
      </c>
      <c r="G54">
        <f>VLOOKUP(B54,'2015'!$B$2:$G$338,6,FALSE)</f>
        <v>0</v>
      </c>
      <c r="H54">
        <f t="shared" si="1"/>
        <v>0</v>
      </c>
      <c r="I54" s="2">
        <f t="shared" si="2"/>
        <v>654660</v>
      </c>
      <c r="J54" s="2">
        <f t="shared" si="3"/>
        <v>960610</v>
      </c>
      <c r="K54" s="2"/>
    </row>
    <row r="55" spans="1:11" x14ac:dyDescent="0.2">
      <c r="A55">
        <v>2016</v>
      </c>
      <c r="B55" s="34">
        <v>4882</v>
      </c>
      <c r="C55" s="3" t="s">
        <v>62</v>
      </c>
      <c r="D55" s="12">
        <v>1785915</v>
      </c>
      <c r="E55" s="12">
        <v>3821410</v>
      </c>
      <c r="F55" s="12">
        <f t="shared" si="0"/>
        <v>5607325</v>
      </c>
      <c r="G55">
        <f>VLOOKUP(B55,'2015'!$B$2:$G$338,6,FALSE)</f>
        <v>0</v>
      </c>
      <c r="H55">
        <f t="shared" si="1"/>
        <v>0</v>
      </c>
      <c r="I55" s="2">
        <f t="shared" si="2"/>
        <v>3821410</v>
      </c>
      <c r="J55" s="2">
        <f t="shared" si="3"/>
        <v>5607325</v>
      </c>
      <c r="K55" s="2"/>
    </row>
    <row r="56" spans="1:11" x14ac:dyDescent="0.2">
      <c r="A56">
        <v>2016</v>
      </c>
      <c r="B56" s="34">
        <v>4912</v>
      </c>
      <c r="C56" s="3" t="s">
        <v>63</v>
      </c>
      <c r="D56" s="12">
        <v>337386</v>
      </c>
      <c r="E56" s="12">
        <v>721920</v>
      </c>
      <c r="F56" s="12">
        <f t="shared" si="0"/>
        <v>1059306</v>
      </c>
      <c r="G56">
        <f>VLOOKUP(B56,'2015'!$B$2:$G$338,6,FALSE)</f>
        <v>0</v>
      </c>
      <c r="H56">
        <f t="shared" si="1"/>
        <v>0</v>
      </c>
      <c r="I56" s="2">
        <f t="shared" si="2"/>
        <v>721920</v>
      </c>
      <c r="J56" s="2">
        <f t="shared" si="3"/>
        <v>1059306</v>
      </c>
      <c r="K56" s="2"/>
    </row>
    <row r="57" spans="1:11" x14ac:dyDescent="0.2">
      <c r="A57">
        <v>2016</v>
      </c>
      <c r="B57" s="34">
        <v>4977</v>
      </c>
      <c r="C57" s="3" t="s">
        <v>64</v>
      </c>
      <c r="D57" s="12">
        <v>169963</v>
      </c>
      <c r="E57" s="12">
        <v>363680</v>
      </c>
      <c r="F57" s="12">
        <f t="shared" si="0"/>
        <v>533643</v>
      </c>
      <c r="G57">
        <f>VLOOKUP(B57,'2015'!$B$2:$G$338,6,FALSE)</f>
        <v>0</v>
      </c>
      <c r="H57">
        <f t="shared" si="1"/>
        <v>0</v>
      </c>
      <c r="I57" s="2">
        <f t="shared" si="2"/>
        <v>363680</v>
      </c>
      <c r="J57" s="2">
        <f t="shared" si="3"/>
        <v>533643</v>
      </c>
      <c r="K57" s="2"/>
    </row>
    <row r="58" spans="1:11" x14ac:dyDescent="0.2">
      <c r="A58">
        <v>2016</v>
      </c>
      <c r="B58" s="34">
        <v>4978</v>
      </c>
      <c r="C58" s="3" t="s">
        <v>65</v>
      </c>
      <c r="D58" s="12">
        <v>19593235</v>
      </c>
      <c r="E58" s="12">
        <v>41924580</v>
      </c>
      <c r="F58" s="12">
        <f t="shared" si="0"/>
        <v>61517815</v>
      </c>
      <c r="G58">
        <f>VLOOKUP(B58,'2015'!$B$2:$G$338,6,FALSE)</f>
        <v>0</v>
      </c>
      <c r="H58">
        <f t="shared" si="1"/>
        <v>0</v>
      </c>
      <c r="I58" s="2">
        <f t="shared" si="2"/>
        <v>41924580</v>
      </c>
      <c r="J58" s="2">
        <f t="shared" si="3"/>
        <v>61517815</v>
      </c>
      <c r="K58" s="2"/>
    </row>
    <row r="59" spans="1:11" x14ac:dyDescent="0.2">
      <c r="A59">
        <v>2016</v>
      </c>
      <c r="B59" s="34">
        <v>4979</v>
      </c>
      <c r="C59" s="3" t="s">
        <v>66</v>
      </c>
      <c r="D59" s="12">
        <v>74463</v>
      </c>
      <c r="E59" s="12">
        <v>159330</v>
      </c>
      <c r="F59" s="12">
        <f t="shared" si="0"/>
        <v>233793</v>
      </c>
      <c r="G59">
        <f>VLOOKUP(B59,'2015'!$B$2:$G$338,6,FALSE)</f>
        <v>0</v>
      </c>
      <c r="H59">
        <f t="shared" si="1"/>
        <v>0</v>
      </c>
      <c r="I59" s="2">
        <f t="shared" si="2"/>
        <v>159330</v>
      </c>
      <c r="J59" s="2">
        <f t="shared" si="3"/>
        <v>233793</v>
      </c>
      <c r="K59" s="2"/>
    </row>
    <row r="60" spans="1:11" x14ac:dyDescent="0.2">
      <c r="A60">
        <v>2016</v>
      </c>
      <c r="B60" s="34">
        <v>4980</v>
      </c>
      <c r="C60" s="3" t="s">
        <v>67</v>
      </c>
      <c r="D60" s="12">
        <v>1679237</v>
      </c>
      <c r="E60" s="12">
        <v>3593140</v>
      </c>
      <c r="F60" s="12">
        <f t="shared" si="0"/>
        <v>5272377</v>
      </c>
      <c r="G60">
        <f>VLOOKUP(B60,'2015'!$B$2:$G$338,6,FALSE)</f>
        <v>0</v>
      </c>
      <c r="H60">
        <f t="shared" si="1"/>
        <v>0</v>
      </c>
      <c r="I60" s="2">
        <f t="shared" si="2"/>
        <v>3593140</v>
      </c>
      <c r="J60" s="2">
        <f t="shared" si="3"/>
        <v>5272377</v>
      </c>
      <c r="K60" s="2"/>
    </row>
    <row r="61" spans="1:11" x14ac:dyDescent="0.2">
      <c r="A61">
        <v>2016</v>
      </c>
      <c r="B61" s="34">
        <v>4981</v>
      </c>
      <c r="C61" s="3" t="s">
        <v>68</v>
      </c>
      <c r="D61" s="12">
        <v>3467121</v>
      </c>
      <c r="E61" s="12">
        <v>7418760</v>
      </c>
      <c r="F61" s="12">
        <f t="shared" si="0"/>
        <v>10885881</v>
      </c>
      <c r="G61">
        <f>VLOOKUP(B61,'2015'!$B$2:$G$338,6,FALSE)</f>
        <v>0</v>
      </c>
      <c r="H61">
        <f t="shared" si="1"/>
        <v>0</v>
      </c>
      <c r="I61" s="2">
        <f t="shared" si="2"/>
        <v>7418760</v>
      </c>
      <c r="J61" s="2">
        <f t="shared" si="3"/>
        <v>10885881</v>
      </c>
      <c r="K61" s="2"/>
    </row>
    <row r="62" spans="1:11" x14ac:dyDescent="0.2">
      <c r="A62">
        <v>2016</v>
      </c>
      <c r="B62" s="34">
        <v>4982</v>
      </c>
      <c r="C62" s="3" t="s">
        <v>69</v>
      </c>
      <c r="D62" s="12">
        <v>30921995</v>
      </c>
      <c r="E62" s="12">
        <v>66165270</v>
      </c>
      <c r="F62" s="12">
        <f t="shared" si="0"/>
        <v>97087265</v>
      </c>
      <c r="G62">
        <f>VLOOKUP(B62,'2015'!$B$2:$G$338,6,FALSE)</f>
        <v>0</v>
      </c>
      <c r="H62">
        <f t="shared" si="1"/>
        <v>0</v>
      </c>
      <c r="I62" s="2">
        <f t="shared" si="2"/>
        <v>66165270</v>
      </c>
      <c r="J62" s="2">
        <f t="shared" si="3"/>
        <v>97087265</v>
      </c>
      <c r="K62" s="2"/>
    </row>
    <row r="63" spans="1:11" x14ac:dyDescent="0.2">
      <c r="A63">
        <v>2016</v>
      </c>
      <c r="B63" s="34">
        <v>4983</v>
      </c>
      <c r="C63" s="3" t="s">
        <v>70</v>
      </c>
      <c r="D63" s="12">
        <v>4437659</v>
      </c>
      <c r="E63" s="12">
        <v>9495470</v>
      </c>
      <c r="F63" s="12">
        <f t="shared" si="0"/>
        <v>13933129</v>
      </c>
      <c r="G63">
        <f>VLOOKUP(B63,'2015'!$B$2:$G$338,6,FALSE)</f>
        <v>0</v>
      </c>
      <c r="H63">
        <f t="shared" si="1"/>
        <v>0</v>
      </c>
      <c r="I63" s="2">
        <f t="shared" si="2"/>
        <v>9495470</v>
      </c>
      <c r="J63" s="2">
        <f t="shared" si="3"/>
        <v>13933129</v>
      </c>
      <c r="K63" s="2"/>
    </row>
    <row r="64" spans="1:11" x14ac:dyDescent="0.2">
      <c r="A64">
        <v>2016</v>
      </c>
      <c r="B64" s="34">
        <v>4984</v>
      </c>
      <c r="C64" s="3" t="s">
        <v>71</v>
      </c>
      <c r="D64" s="12">
        <v>1347854</v>
      </c>
      <c r="E64" s="12">
        <v>2884070</v>
      </c>
      <c r="F64" s="12">
        <f t="shared" si="0"/>
        <v>4231924</v>
      </c>
      <c r="G64">
        <f>VLOOKUP(B64,'2015'!$B$2:$G$338,6,FALSE)</f>
        <v>0</v>
      </c>
      <c r="H64">
        <f t="shared" si="1"/>
        <v>0</v>
      </c>
      <c r="I64" s="2">
        <f t="shared" si="2"/>
        <v>2884070</v>
      </c>
      <c r="J64" s="2">
        <f t="shared" si="3"/>
        <v>4231924</v>
      </c>
      <c r="K64" s="2"/>
    </row>
    <row r="65" spans="1:11" x14ac:dyDescent="0.2">
      <c r="A65">
        <v>2016</v>
      </c>
      <c r="B65" s="34">
        <v>4985</v>
      </c>
      <c r="C65" s="3" t="s">
        <v>72</v>
      </c>
      <c r="D65" s="12">
        <v>2793409</v>
      </c>
      <c r="E65" s="12">
        <v>5977190</v>
      </c>
      <c r="F65" s="12">
        <f t="shared" si="0"/>
        <v>8770599</v>
      </c>
      <c r="G65">
        <f>VLOOKUP(B65,'2015'!$B$2:$G$338,6,FALSE)</f>
        <v>0</v>
      </c>
      <c r="H65">
        <f t="shared" si="1"/>
        <v>0</v>
      </c>
      <c r="I65" s="2">
        <f t="shared" si="2"/>
        <v>5977190</v>
      </c>
      <c r="J65" s="2">
        <f t="shared" si="3"/>
        <v>8770599</v>
      </c>
      <c r="K65" s="2"/>
    </row>
    <row r="66" spans="1:11" x14ac:dyDescent="0.2">
      <c r="A66">
        <v>2016</v>
      </c>
      <c r="B66" s="34">
        <v>4986</v>
      </c>
      <c r="C66" s="3" t="s">
        <v>73</v>
      </c>
      <c r="D66" s="12">
        <v>2908628</v>
      </c>
      <c r="E66" s="12">
        <v>6223730</v>
      </c>
      <c r="F66" s="12">
        <f t="shared" ref="F66:F129" si="4">SUM(D66:E66)</f>
        <v>9132358</v>
      </c>
      <c r="G66">
        <f>VLOOKUP(B66,'2015'!$B$2:$G$338,6,FALSE)</f>
        <v>0</v>
      </c>
      <c r="H66">
        <f t="shared" si="1"/>
        <v>0</v>
      </c>
      <c r="I66" s="2">
        <f t="shared" si="2"/>
        <v>6223730</v>
      </c>
      <c r="J66" s="2">
        <f t="shared" si="3"/>
        <v>9132358</v>
      </c>
      <c r="K66" s="2"/>
    </row>
    <row r="67" spans="1:11" x14ac:dyDescent="0.2">
      <c r="A67">
        <v>2016</v>
      </c>
      <c r="B67" s="34">
        <v>4987</v>
      </c>
      <c r="C67" s="3" t="s">
        <v>74</v>
      </c>
      <c r="D67" s="12">
        <v>453816</v>
      </c>
      <c r="E67" s="12">
        <v>971050</v>
      </c>
      <c r="F67" s="12">
        <f t="shared" si="4"/>
        <v>1424866</v>
      </c>
      <c r="G67">
        <f>VLOOKUP(B67,'2015'!$B$2:$G$338,6,FALSE)</f>
        <v>0</v>
      </c>
      <c r="H67">
        <f t="shared" ref="H67:H130" si="5">G67*$H$340</f>
        <v>0</v>
      </c>
      <c r="I67" s="2">
        <f t="shared" ref="I67:I130" si="6">SUM(E67,H67)</f>
        <v>971050</v>
      </c>
      <c r="J67" s="2">
        <f t="shared" ref="J67:J130" si="7">SUM(H67,D67:E67)</f>
        <v>1424866</v>
      </c>
      <c r="K67" s="2"/>
    </row>
    <row r="68" spans="1:11" x14ac:dyDescent="0.2">
      <c r="A68">
        <v>2016</v>
      </c>
      <c r="B68" s="34">
        <v>4988</v>
      </c>
      <c r="C68" s="3" t="s">
        <v>75</v>
      </c>
      <c r="D68" s="12">
        <v>1670926</v>
      </c>
      <c r="E68" s="12">
        <v>3575360</v>
      </c>
      <c r="F68" s="12">
        <f t="shared" si="4"/>
        <v>5246286</v>
      </c>
      <c r="G68">
        <f>VLOOKUP(B68,'2015'!$B$2:$G$338,6,FALSE)</f>
        <v>0</v>
      </c>
      <c r="H68">
        <f t="shared" si="5"/>
        <v>0</v>
      </c>
      <c r="I68" s="2">
        <f t="shared" si="6"/>
        <v>3575360</v>
      </c>
      <c r="J68" s="2">
        <f t="shared" si="7"/>
        <v>5246286</v>
      </c>
      <c r="K68" s="2"/>
    </row>
    <row r="69" spans="1:11" x14ac:dyDescent="0.2">
      <c r="A69">
        <v>2016</v>
      </c>
      <c r="B69" s="34">
        <v>4990</v>
      </c>
      <c r="C69" s="3" t="s">
        <v>76</v>
      </c>
      <c r="D69" s="12">
        <v>89067</v>
      </c>
      <c r="E69" s="12">
        <v>190580</v>
      </c>
      <c r="F69" s="12">
        <f t="shared" si="4"/>
        <v>279647</v>
      </c>
      <c r="G69">
        <f>VLOOKUP(B69,'2015'!$B$2:$G$338,6,FALSE)</f>
        <v>0</v>
      </c>
      <c r="H69">
        <f t="shared" si="5"/>
        <v>0</v>
      </c>
      <c r="I69" s="2">
        <f t="shared" si="6"/>
        <v>190580</v>
      </c>
      <c r="J69" s="2">
        <f t="shared" si="7"/>
        <v>279647</v>
      </c>
      <c r="K69" s="2"/>
    </row>
    <row r="70" spans="1:11" x14ac:dyDescent="0.2">
      <c r="A70">
        <v>2016</v>
      </c>
      <c r="B70" s="34">
        <v>4991</v>
      </c>
      <c r="C70" s="3" t="s">
        <v>77</v>
      </c>
      <c r="D70" s="12">
        <v>721540</v>
      </c>
      <c r="E70" s="12">
        <v>1543910</v>
      </c>
      <c r="F70" s="12">
        <f t="shared" si="4"/>
        <v>2265450</v>
      </c>
      <c r="G70">
        <f>VLOOKUP(B70,'2015'!$B$2:$G$338,6,FALSE)</f>
        <v>0</v>
      </c>
      <c r="H70">
        <f t="shared" si="5"/>
        <v>0</v>
      </c>
      <c r="I70" s="2">
        <f t="shared" si="6"/>
        <v>1543910</v>
      </c>
      <c r="J70" s="2">
        <f t="shared" si="7"/>
        <v>2265450</v>
      </c>
      <c r="K70" s="2"/>
    </row>
    <row r="71" spans="1:11" x14ac:dyDescent="0.2">
      <c r="A71">
        <v>2016</v>
      </c>
      <c r="B71" s="34">
        <v>4992</v>
      </c>
      <c r="C71" s="3" t="s">
        <v>78</v>
      </c>
      <c r="D71" s="12">
        <v>171527</v>
      </c>
      <c r="E71" s="12">
        <v>367020</v>
      </c>
      <c r="F71" s="12">
        <f t="shared" si="4"/>
        <v>538547</v>
      </c>
      <c r="G71">
        <f>VLOOKUP(B71,'2015'!$B$2:$G$338,6,FALSE)</f>
        <v>0</v>
      </c>
      <c r="H71">
        <f t="shared" si="5"/>
        <v>0</v>
      </c>
      <c r="I71" s="2">
        <f t="shared" si="6"/>
        <v>367020</v>
      </c>
      <c r="J71" s="2">
        <f t="shared" si="7"/>
        <v>538547</v>
      </c>
      <c r="K71" s="2"/>
    </row>
    <row r="72" spans="1:11" x14ac:dyDescent="0.2">
      <c r="A72">
        <v>2016</v>
      </c>
      <c r="B72" s="34">
        <v>4993</v>
      </c>
      <c r="C72" s="3" t="s">
        <v>79</v>
      </c>
      <c r="D72" s="12">
        <v>585315</v>
      </c>
      <c r="E72" s="12">
        <v>1252430</v>
      </c>
      <c r="F72" s="12">
        <f t="shared" si="4"/>
        <v>1837745</v>
      </c>
      <c r="G72">
        <f>VLOOKUP(B72,'2015'!$B$2:$G$338,6,FALSE)</f>
        <v>0</v>
      </c>
      <c r="H72">
        <f t="shared" si="5"/>
        <v>0</v>
      </c>
      <c r="I72" s="2">
        <f t="shared" si="6"/>
        <v>1252430</v>
      </c>
      <c r="J72" s="2">
        <f t="shared" si="7"/>
        <v>1837745</v>
      </c>
      <c r="K72" s="2"/>
    </row>
    <row r="73" spans="1:11" x14ac:dyDescent="0.2">
      <c r="A73">
        <v>2016</v>
      </c>
      <c r="B73" s="34">
        <v>4994</v>
      </c>
      <c r="C73" s="3" t="s">
        <v>80</v>
      </c>
      <c r="D73" s="12">
        <v>136607</v>
      </c>
      <c r="E73" s="12">
        <v>292300</v>
      </c>
      <c r="F73" s="12">
        <f t="shared" si="4"/>
        <v>428907</v>
      </c>
      <c r="G73">
        <f>VLOOKUP(B73,'2015'!$B$2:$G$338,6,FALSE)</f>
        <v>0</v>
      </c>
      <c r="H73">
        <f t="shared" si="5"/>
        <v>0</v>
      </c>
      <c r="I73" s="2">
        <f t="shared" si="6"/>
        <v>292300</v>
      </c>
      <c r="J73" s="2">
        <f t="shared" si="7"/>
        <v>428907</v>
      </c>
      <c r="K73" s="2"/>
    </row>
    <row r="74" spans="1:11" x14ac:dyDescent="0.2">
      <c r="A74">
        <v>2016</v>
      </c>
      <c r="B74" s="34">
        <v>4995</v>
      </c>
      <c r="C74" s="3" t="s">
        <v>81</v>
      </c>
      <c r="D74" s="12">
        <v>569155</v>
      </c>
      <c r="E74" s="12">
        <v>1217850</v>
      </c>
      <c r="F74" s="12">
        <f t="shared" si="4"/>
        <v>1787005</v>
      </c>
      <c r="G74">
        <f>VLOOKUP(B74,'2015'!$B$2:$G$338,6,FALSE)</f>
        <v>0</v>
      </c>
      <c r="H74">
        <f t="shared" si="5"/>
        <v>0</v>
      </c>
      <c r="I74" s="2">
        <f t="shared" si="6"/>
        <v>1217850</v>
      </c>
      <c r="J74" s="2">
        <f t="shared" si="7"/>
        <v>1787005</v>
      </c>
      <c r="K74" s="2"/>
    </row>
    <row r="75" spans="1:11" x14ac:dyDescent="0.2">
      <c r="A75">
        <v>2016</v>
      </c>
      <c r="B75" s="34">
        <v>4996</v>
      </c>
      <c r="C75" s="3" t="s">
        <v>82</v>
      </c>
      <c r="D75" s="12">
        <v>180364</v>
      </c>
      <c r="E75" s="12">
        <v>385930</v>
      </c>
      <c r="F75" s="12">
        <f t="shared" si="4"/>
        <v>566294</v>
      </c>
      <c r="G75">
        <f>VLOOKUP(B75,'2015'!$B$2:$G$338,6,FALSE)</f>
        <v>0</v>
      </c>
      <c r="H75">
        <f t="shared" si="5"/>
        <v>0</v>
      </c>
      <c r="I75" s="2">
        <f t="shared" si="6"/>
        <v>385930</v>
      </c>
      <c r="J75" s="2">
        <f t="shared" si="7"/>
        <v>566294</v>
      </c>
      <c r="K75" s="2"/>
    </row>
    <row r="76" spans="1:11" x14ac:dyDescent="0.2">
      <c r="A76">
        <v>2016</v>
      </c>
      <c r="B76" s="34">
        <v>4997</v>
      </c>
      <c r="C76" s="3" t="s">
        <v>83</v>
      </c>
      <c r="D76" s="12">
        <v>2478737</v>
      </c>
      <c r="E76" s="12">
        <v>5303870</v>
      </c>
      <c r="F76" s="12">
        <f t="shared" si="4"/>
        <v>7782607</v>
      </c>
      <c r="G76">
        <f>VLOOKUP(B76,'2015'!$B$2:$G$338,6,FALSE)</f>
        <v>0</v>
      </c>
      <c r="H76">
        <f t="shared" si="5"/>
        <v>0</v>
      </c>
      <c r="I76" s="2">
        <f t="shared" si="6"/>
        <v>5303870</v>
      </c>
      <c r="J76" s="2">
        <f t="shared" si="7"/>
        <v>7782607</v>
      </c>
      <c r="K76" s="2"/>
    </row>
    <row r="77" spans="1:11" x14ac:dyDescent="0.2">
      <c r="A77">
        <v>2016</v>
      </c>
      <c r="B77" s="34">
        <v>4998</v>
      </c>
      <c r="C77" s="3" t="s">
        <v>84</v>
      </c>
      <c r="D77" s="12">
        <v>352150</v>
      </c>
      <c r="E77" s="12">
        <v>753510</v>
      </c>
      <c r="F77" s="12">
        <f t="shared" si="4"/>
        <v>1105660</v>
      </c>
      <c r="G77">
        <f>VLOOKUP(B77,'2015'!$B$2:$G$338,6,FALSE)</f>
        <v>0</v>
      </c>
      <c r="H77">
        <f t="shared" si="5"/>
        <v>0</v>
      </c>
      <c r="I77" s="2">
        <f t="shared" si="6"/>
        <v>753510</v>
      </c>
      <c r="J77" s="2">
        <f t="shared" si="7"/>
        <v>1105660</v>
      </c>
      <c r="K77" s="2"/>
    </row>
    <row r="78" spans="1:11" x14ac:dyDescent="0.2">
      <c r="A78">
        <v>2016</v>
      </c>
      <c r="B78" s="34">
        <v>4999</v>
      </c>
      <c r="C78" s="3" t="s">
        <v>352</v>
      </c>
      <c r="D78" s="12">
        <v>4401566</v>
      </c>
      <c r="E78" s="12">
        <v>9418240</v>
      </c>
      <c r="F78" s="12">
        <f t="shared" si="4"/>
        <v>13819806</v>
      </c>
      <c r="G78">
        <f>VLOOKUP(B78,'2015'!$B$2:$G$338,6,FALSE)</f>
        <v>0</v>
      </c>
      <c r="H78">
        <f t="shared" si="5"/>
        <v>0</v>
      </c>
      <c r="I78" s="2">
        <f t="shared" si="6"/>
        <v>9418240</v>
      </c>
      <c r="J78" s="2">
        <f t="shared" si="7"/>
        <v>13819806</v>
      </c>
      <c r="K78" s="2"/>
    </row>
    <row r="79" spans="1:11" x14ac:dyDescent="0.2">
      <c r="A79">
        <v>2016</v>
      </c>
      <c r="B79" s="34">
        <v>5000</v>
      </c>
      <c r="C79" s="3" t="s">
        <v>86</v>
      </c>
      <c r="D79" s="12">
        <v>2661740</v>
      </c>
      <c r="E79" s="12">
        <v>5695450</v>
      </c>
      <c r="F79" s="12">
        <f t="shared" si="4"/>
        <v>8357190</v>
      </c>
      <c r="G79">
        <f>VLOOKUP(B79,'2015'!$B$2:$G$338,6,FALSE)</f>
        <v>0</v>
      </c>
      <c r="H79">
        <f t="shared" si="5"/>
        <v>0</v>
      </c>
      <c r="I79" s="2">
        <f t="shared" si="6"/>
        <v>5695450</v>
      </c>
      <c r="J79" s="2">
        <f t="shared" si="7"/>
        <v>8357190</v>
      </c>
      <c r="K79" s="2"/>
    </row>
    <row r="80" spans="1:11" x14ac:dyDescent="0.2">
      <c r="A80">
        <v>2016</v>
      </c>
      <c r="B80" s="34">
        <v>5001</v>
      </c>
      <c r="C80" s="3" t="s">
        <v>87</v>
      </c>
      <c r="D80" s="12">
        <v>152855</v>
      </c>
      <c r="E80" s="12">
        <v>327070</v>
      </c>
      <c r="F80" s="12">
        <f t="shared" si="4"/>
        <v>479925</v>
      </c>
      <c r="G80">
        <f>VLOOKUP(B80,'2015'!$B$2:$G$338,6,FALSE)</f>
        <v>0</v>
      </c>
      <c r="H80">
        <f t="shared" si="5"/>
        <v>0</v>
      </c>
      <c r="I80" s="2">
        <f t="shared" si="6"/>
        <v>327070</v>
      </c>
      <c r="J80" s="2">
        <f t="shared" si="7"/>
        <v>479925</v>
      </c>
      <c r="K80" s="2"/>
    </row>
    <row r="81" spans="1:11" x14ac:dyDescent="0.2">
      <c r="A81">
        <v>2016</v>
      </c>
      <c r="B81" s="34">
        <v>5002</v>
      </c>
      <c r="C81" s="3" t="s">
        <v>88</v>
      </c>
      <c r="D81" s="12">
        <v>74931</v>
      </c>
      <c r="E81" s="12">
        <v>160330</v>
      </c>
      <c r="F81" s="12">
        <f t="shared" si="4"/>
        <v>235261</v>
      </c>
      <c r="G81">
        <f>VLOOKUP(B81,'2015'!$B$2:$G$338,6,FALSE)</f>
        <v>0</v>
      </c>
      <c r="H81">
        <f t="shared" si="5"/>
        <v>0</v>
      </c>
      <c r="I81" s="2">
        <f t="shared" si="6"/>
        <v>160330</v>
      </c>
      <c r="J81" s="2">
        <f t="shared" si="7"/>
        <v>235261</v>
      </c>
      <c r="K81" s="2"/>
    </row>
    <row r="82" spans="1:11" x14ac:dyDescent="0.2">
      <c r="A82">
        <v>2016</v>
      </c>
      <c r="B82" s="34">
        <v>5004</v>
      </c>
      <c r="C82" s="3" t="s">
        <v>89</v>
      </c>
      <c r="D82" s="12">
        <v>851996</v>
      </c>
      <c r="E82" s="12">
        <v>1823060</v>
      </c>
      <c r="F82" s="12">
        <f t="shared" si="4"/>
        <v>2675056</v>
      </c>
      <c r="G82">
        <f>VLOOKUP(B82,'2015'!$B$2:$G$338,6,FALSE)</f>
        <v>0</v>
      </c>
      <c r="H82">
        <f t="shared" si="5"/>
        <v>0</v>
      </c>
      <c r="I82" s="2">
        <f t="shared" si="6"/>
        <v>1823060</v>
      </c>
      <c r="J82" s="2">
        <f t="shared" si="7"/>
        <v>2675056</v>
      </c>
      <c r="K82" s="2"/>
    </row>
    <row r="83" spans="1:11" x14ac:dyDescent="0.2">
      <c r="A83">
        <v>2016</v>
      </c>
      <c r="B83" s="34">
        <v>5005</v>
      </c>
      <c r="C83" s="3" t="s">
        <v>90</v>
      </c>
      <c r="D83" s="12">
        <v>438898</v>
      </c>
      <c r="E83" s="12">
        <v>939130</v>
      </c>
      <c r="F83" s="12">
        <f t="shared" si="4"/>
        <v>1378028</v>
      </c>
      <c r="G83">
        <f>VLOOKUP(B83,'2015'!$B$2:$G$338,6,FALSE)</f>
        <v>0</v>
      </c>
      <c r="H83">
        <f t="shared" si="5"/>
        <v>0</v>
      </c>
      <c r="I83" s="2">
        <f t="shared" si="6"/>
        <v>939130</v>
      </c>
      <c r="J83" s="2">
        <f t="shared" si="7"/>
        <v>1378028</v>
      </c>
      <c r="K83" s="2"/>
    </row>
    <row r="84" spans="1:11" x14ac:dyDescent="0.2">
      <c r="A84">
        <v>2016</v>
      </c>
      <c r="B84" s="34">
        <v>5006</v>
      </c>
      <c r="C84" s="3" t="s">
        <v>91</v>
      </c>
      <c r="D84" s="12">
        <v>187796</v>
      </c>
      <c r="E84" s="12">
        <v>401840</v>
      </c>
      <c r="F84" s="12">
        <f t="shared" si="4"/>
        <v>589636</v>
      </c>
      <c r="G84">
        <f>VLOOKUP(B84,'2015'!$B$2:$G$338,6,FALSE)</f>
        <v>0</v>
      </c>
      <c r="H84">
        <f t="shared" si="5"/>
        <v>0</v>
      </c>
      <c r="I84" s="2">
        <f t="shared" si="6"/>
        <v>401840</v>
      </c>
      <c r="J84" s="2">
        <f t="shared" si="7"/>
        <v>589636</v>
      </c>
      <c r="K84" s="2"/>
    </row>
    <row r="85" spans="1:11" x14ac:dyDescent="0.2">
      <c r="A85">
        <v>2016</v>
      </c>
      <c r="B85" s="34">
        <v>5007</v>
      </c>
      <c r="C85" s="3" t="s">
        <v>143</v>
      </c>
      <c r="D85" s="12">
        <v>115900</v>
      </c>
      <c r="E85" s="12">
        <v>248000</v>
      </c>
      <c r="F85" s="12">
        <f t="shared" si="4"/>
        <v>363900</v>
      </c>
      <c r="G85">
        <f>VLOOKUP(B85,'2015'!$B$2:$G$338,6,FALSE)</f>
        <v>0</v>
      </c>
      <c r="H85">
        <f t="shared" si="5"/>
        <v>0</v>
      </c>
      <c r="I85" s="2">
        <f t="shared" si="6"/>
        <v>248000</v>
      </c>
      <c r="J85" s="2">
        <f t="shared" si="7"/>
        <v>363900</v>
      </c>
      <c r="K85" s="2"/>
    </row>
    <row r="86" spans="1:11" x14ac:dyDescent="0.2">
      <c r="A86">
        <v>2016</v>
      </c>
      <c r="B86" s="34">
        <v>5008</v>
      </c>
      <c r="C86" s="3" t="s">
        <v>92</v>
      </c>
      <c r="D86" s="12">
        <v>497109</v>
      </c>
      <c r="E86" s="12">
        <v>1063690</v>
      </c>
      <c r="F86" s="12">
        <f t="shared" si="4"/>
        <v>1560799</v>
      </c>
      <c r="G86">
        <f>VLOOKUP(B86,'2015'!$B$2:$G$338,6,FALSE)</f>
        <v>0</v>
      </c>
      <c r="H86">
        <f t="shared" si="5"/>
        <v>0</v>
      </c>
      <c r="I86" s="2">
        <f t="shared" si="6"/>
        <v>1063690</v>
      </c>
      <c r="J86" s="2">
        <f t="shared" si="7"/>
        <v>1560799</v>
      </c>
      <c r="K86" s="2"/>
    </row>
    <row r="87" spans="1:11" x14ac:dyDescent="0.2">
      <c r="A87">
        <v>2016</v>
      </c>
      <c r="B87" s="34">
        <v>5010</v>
      </c>
      <c r="C87" s="3" t="s">
        <v>93</v>
      </c>
      <c r="D87" s="12">
        <v>1173508</v>
      </c>
      <c r="E87" s="12">
        <v>2511010</v>
      </c>
      <c r="F87" s="12">
        <f t="shared" si="4"/>
        <v>3684518</v>
      </c>
      <c r="G87">
        <f>VLOOKUP(B87,'2015'!$B$2:$G$338,6,FALSE)</f>
        <v>0</v>
      </c>
      <c r="H87">
        <f t="shared" si="5"/>
        <v>0</v>
      </c>
      <c r="I87" s="2">
        <f t="shared" si="6"/>
        <v>2511010</v>
      </c>
      <c r="J87" s="2">
        <f t="shared" si="7"/>
        <v>3684518</v>
      </c>
      <c r="K87" s="2"/>
    </row>
    <row r="88" spans="1:11" x14ac:dyDescent="0.2">
      <c r="A88">
        <v>2016</v>
      </c>
      <c r="B88" s="34">
        <v>5011</v>
      </c>
      <c r="C88" s="3" t="s">
        <v>94</v>
      </c>
      <c r="D88" s="12">
        <v>381275</v>
      </c>
      <c r="E88" s="12">
        <v>815830</v>
      </c>
      <c r="F88" s="12">
        <f t="shared" si="4"/>
        <v>1197105</v>
      </c>
      <c r="G88">
        <f>VLOOKUP(B88,'2015'!$B$2:$G$338,6,FALSE)</f>
        <v>0</v>
      </c>
      <c r="H88">
        <f t="shared" si="5"/>
        <v>0</v>
      </c>
      <c r="I88" s="2">
        <f t="shared" si="6"/>
        <v>815830</v>
      </c>
      <c r="J88" s="2">
        <f t="shared" si="7"/>
        <v>1197105</v>
      </c>
      <c r="K88" s="2"/>
    </row>
    <row r="89" spans="1:11" x14ac:dyDescent="0.2">
      <c r="A89">
        <v>2016</v>
      </c>
      <c r="B89" s="34">
        <v>5012</v>
      </c>
      <c r="C89" s="3" t="s">
        <v>95</v>
      </c>
      <c r="D89" s="12">
        <v>232768</v>
      </c>
      <c r="E89" s="12">
        <v>498060</v>
      </c>
      <c r="F89" s="12">
        <f t="shared" si="4"/>
        <v>730828</v>
      </c>
      <c r="G89">
        <f>VLOOKUP(B89,'2015'!$B$2:$G$338,6,FALSE)</f>
        <v>0</v>
      </c>
      <c r="H89">
        <f t="shared" si="5"/>
        <v>0</v>
      </c>
      <c r="I89" s="2">
        <f t="shared" si="6"/>
        <v>498060</v>
      </c>
      <c r="J89" s="2">
        <f t="shared" si="7"/>
        <v>730828</v>
      </c>
      <c r="K89" s="2"/>
    </row>
    <row r="90" spans="1:11" x14ac:dyDescent="0.2">
      <c r="A90">
        <v>2016</v>
      </c>
      <c r="B90" s="34">
        <v>5013</v>
      </c>
      <c r="C90" s="3" t="s">
        <v>96</v>
      </c>
      <c r="D90" s="12">
        <v>4785134</v>
      </c>
      <c r="E90" s="12">
        <v>10238980</v>
      </c>
      <c r="F90" s="12">
        <f t="shared" si="4"/>
        <v>15024114</v>
      </c>
      <c r="G90">
        <f>VLOOKUP(B90,'2015'!$B$2:$G$338,6,FALSE)</f>
        <v>0</v>
      </c>
      <c r="H90">
        <f t="shared" si="5"/>
        <v>0</v>
      </c>
      <c r="I90" s="2">
        <f t="shared" si="6"/>
        <v>10238980</v>
      </c>
      <c r="J90" s="2">
        <f t="shared" si="7"/>
        <v>15024114</v>
      </c>
      <c r="K90" s="2"/>
    </row>
    <row r="91" spans="1:11" x14ac:dyDescent="0.2">
      <c r="A91">
        <v>2016</v>
      </c>
      <c r="B91" s="34">
        <v>5014</v>
      </c>
      <c r="C91" s="3" t="s">
        <v>97</v>
      </c>
      <c r="D91" s="12">
        <v>1132261</v>
      </c>
      <c r="E91" s="12">
        <v>2422750</v>
      </c>
      <c r="F91" s="12">
        <f t="shared" si="4"/>
        <v>3555011</v>
      </c>
      <c r="G91">
        <f>VLOOKUP(B91,'2015'!$B$2:$G$338,6,FALSE)</f>
        <v>0</v>
      </c>
      <c r="H91">
        <f t="shared" si="5"/>
        <v>0</v>
      </c>
      <c r="I91" s="2">
        <f t="shared" si="6"/>
        <v>2422750</v>
      </c>
      <c r="J91" s="2">
        <f t="shared" si="7"/>
        <v>3555011</v>
      </c>
      <c r="K91" s="2"/>
    </row>
    <row r="92" spans="1:11" x14ac:dyDescent="0.2">
      <c r="A92">
        <v>2016</v>
      </c>
      <c r="B92" s="34">
        <v>5015</v>
      </c>
      <c r="C92" s="3" t="s">
        <v>98</v>
      </c>
      <c r="D92" s="12">
        <v>264405</v>
      </c>
      <c r="E92" s="12">
        <v>565760</v>
      </c>
      <c r="F92" s="12">
        <f t="shared" si="4"/>
        <v>830165</v>
      </c>
      <c r="G92">
        <f>VLOOKUP(B92,'2015'!$B$2:$G$338,6,FALSE)</f>
        <v>0</v>
      </c>
      <c r="H92">
        <f t="shared" si="5"/>
        <v>0</v>
      </c>
      <c r="I92" s="2">
        <f t="shared" si="6"/>
        <v>565760</v>
      </c>
      <c r="J92" s="2">
        <f t="shared" si="7"/>
        <v>830165</v>
      </c>
      <c r="K92" s="2"/>
    </row>
    <row r="93" spans="1:11" x14ac:dyDescent="0.2">
      <c r="A93">
        <v>2016</v>
      </c>
      <c r="B93" s="34">
        <v>5016</v>
      </c>
      <c r="C93" s="3" t="s">
        <v>99</v>
      </c>
      <c r="D93" s="12">
        <v>407650</v>
      </c>
      <c r="E93" s="12">
        <v>872270</v>
      </c>
      <c r="F93" s="12">
        <f t="shared" si="4"/>
        <v>1279920</v>
      </c>
      <c r="G93">
        <f>VLOOKUP(B93,'2015'!$B$2:$G$338,6,FALSE)</f>
        <v>0</v>
      </c>
      <c r="H93">
        <f t="shared" si="5"/>
        <v>0</v>
      </c>
      <c r="I93" s="2">
        <f t="shared" si="6"/>
        <v>872270</v>
      </c>
      <c r="J93" s="2">
        <f t="shared" si="7"/>
        <v>1279920</v>
      </c>
      <c r="K93" s="2"/>
    </row>
    <row r="94" spans="1:11" x14ac:dyDescent="0.2">
      <c r="A94">
        <v>2016</v>
      </c>
      <c r="B94" s="34">
        <v>5017</v>
      </c>
      <c r="C94" s="3" t="s">
        <v>100</v>
      </c>
      <c r="D94" s="12">
        <v>2556996</v>
      </c>
      <c r="E94" s="12">
        <v>5471330</v>
      </c>
      <c r="F94" s="12">
        <f t="shared" si="4"/>
        <v>8028326</v>
      </c>
      <c r="G94">
        <f>VLOOKUP(B94,'2015'!$B$2:$G$338,6,FALSE)</f>
        <v>0</v>
      </c>
      <c r="H94">
        <f t="shared" si="5"/>
        <v>0</v>
      </c>
      <c r="I94" s="2">
        <f t="shared" si="6"/>
        <v>5471330</v>
      </c>
      <c r="J94" s="2">
        <f t="shared" si="7"/>
        <v>8028326</v>
      </c>
      <c r="K94" s="2"/>
    </row>
    <row r="95" spans="1:11" x14ac:dyDescent="0.2">
      <c r="A95">
        <v>2016</v>
      </c>
      <c r="B95" s="34">
        <v>5018</v>
      </c>
      <c r="C95" s="3" t="s">
        <v>101</v>
      </c>
      <c r="D95" s="12">
        <v>194268</v>
      </c>
      <c r="E95" s="12">
        <v>415680</v>
      </c>
      <c r="F95" s="12">
        <f t="shared" si="4"/>
        <v>609948</v>
      </c>
      <c r="G95">
        <f>VLOOKUP(B95,'2015'!$B$2:$G$338,6,FALSE)</f>
        <v>0</v>
      </c>
      <c r="H95">
        <f t="shared" si="5"/>
        <v>0</v>
      </c>
      <c r="I95" s="2">
        <f t="shared" si="6"/>
        <v>415680</v>
      </c>
      <c r="J95" s="2">
        <f t="shared" si="7"/>
        <v>609948</v>
      </c>
      <c r="K95" s="2"/>
    </row>
    <row r="96" spans="1:11" x14ac:dyDescent="0.2">
      <c r="A96">
        <v>2016</v>
      </c>
      <c r="B96" s="34">
        <v>5019</v>
      </c>
      <c r="C96" s="3" t="s">
        <v>102</v>
      </c>
      <c r="D96" s="12">
        <v>1733778</v>
      </c>
      <c r="E96" s="12">
        <v>3709850</v>
      </c>
      <c r="F96" s="12">
        <f t="shared" si="4"/>
        <v>5443628</v>
      </c>
      <c r="G96">
        <f>VLOOKUP(B96,'2015'!$B$2:$G$338,6,FALSE)</f>
        <v>0</v>
      </c>
      <c r="H96">
        <f t="shared" si="5"/>
        <v>0</v>
      </c>
      <c r="I96" s="2">
        <f t="shared" si="6"/>
        <v>3709850</v>
      </c>
      <c r="J96" s="2">
        <f t="shared" si="7"/>
        <v>5443628</v>
      </c>
      <c r="K96" s="2"/>
    </row>
    <row r="97" spans="1:11" x14ac:dyDescent="0.2">
      <c r="A97">
        <v>2016</v>
      </c>
      <c r="B97" s="34">
        <v>5020</v>
      </c>
      <c r="C97" s="3" t="s">
        <v>103</v>
      </c>
      <c r="D97" s="16">
        <v>5666089</v>
      </c>
      <c r="E97" s="16">
        <v>12124000</v>
      </c>
      <c r="F97" s="12">
        <f t="shared" si="4"/>
        <v>17790089</v>
      </c>
      <c r="G97">
        <f>VLOOKUP(B97,'2015'!$B$2:$G$338,6,FALSE)</f>
        <v>0</v>
      </c>
      <c r="H97">
        <f t="shared" si="5"/>
        <v>0</v>
      </c>
      <c r="I97" s="2">
        <f t="shared" si="6"/>
        <v>12124000</v>
      </c>
      <c r="J97" s="2">
        <f t="shared" si="7"/>
        <v>17790089</v>
      </c>
      <c r="K97" s="2"/>
    </row>
    <row r="98" spans="1:11" x14ac:dyDescent="0.2">
      <c r="A98">
        <v>2016</v>
      </c>
      <c r="B98" s="34">
        <v>5021</v>
      </c>
      <c r="C98" s="3" t="s">
        <v>104</v>
      </c>
      <c r="D98" s="12">
        <v>204756</v>
      </c>
      <c r="E98" s="12">
        <v>438130</v>
      </c>
      <c r="F98" s="12">
        <f t="shared" si="4"/>
        <v>642886</v>
      </c>
      <c r="G98">
        <f>VLOOKUP(B98,'2015'!$B$2:$G$338,6,FALSE)</f>
        <v>0</v>
      </c>
      <c r="H98">
        <f t="shared" si="5"/>
        <v>0</v>
      </c>
      <c r="I98" s="2">
        <f t="shared" si="6"/>
        <v>438130</v>
      </c>
      <c r="J98" s="2">
        <f t="shared" si="7"/>
        <v>642886</v>
      </c>
      <c r="K98" s="2"/>
    </row>
    <row r="99" spans="1:11" x14ac:dyDescent="0.2">
      <c r="A99">
        <v>2016</v>
      </c>
      <c r="B99" s="34">
        <v>5022</v>
      </c>
      <c r="C99" s="3" t="s">
        <v>105</v>
      </c>
      <c r="D99" s="12">
        <v>3191528</v>
      </c>
      <c r="E99" s="12">
        <v>6829070</v>
      </c>
      <c r="F99" s="12">
        <f t="shared" si="4"/>
        <v>10020598</v>
      </c>
      <c r="G99">
        <f>VLOOKUP(B99,'2015'!$B$2:$G$338,6,FALSE)</f>
        <v>0</v>
      </c>
      <c r="H99">
        <f t="shared" si="5"/>
        <v>0</v>
      </c>
      <c r="I99" s="2">
        <f t="shared" si="6"/>
        <v>6829070</v>
      </c>
      <c r="J99" s="2">
        <f t="shared" si="7"/>
        <v>10020598</v>
      </c>
      <c r="K99" s="2"/>
    </row>
    <row r="100" spans="1:11" x14ac:dyDescent="0.2">
      <c r="A100">
        <v>2016</v>
      </c>
      <c r="B100" s="34">
        <v>5024</v>
      </c>
      <c r="C100" s="3" t="s">
        <v>106</v>
      </c>
      <c r="D100" s="12">
        <v>442856</v>
      </c>
      <c r="E100" s="12">
        <v>947600</v>
      </c>
      <c r="F100" s="12">
        <f t="shared" si="4"/>
        <v>1390456</v>
      </c>
      <c r="G100">
        <f>VLOOKUP(B100,'2015'!$B$2:$G$338,6,FALSE)</f>
        <v>0</v>
      </c>
      <c r="H100">
        <f t="shared" si="5"/>
        <v>0</v>
      </c>
      <c r="I100" s="2">
        <f t="shared" si="6"/>
        <v>947600</v>
      </c>
      <c r="J100" s="2">
        <f t="shared" si="7"/>
        <v>1390456</v>
      </c>
      <c r="K100" s="2"/>
    </row>
    <row r="101" spans="1:11" x14ac:dyDescent="0.2">
      <c r="A101">
        <v>2016</v>
      </c>
      <c r="B101" s="34">
        <v>5025</v>
      </c>
      <c r="C101" s="3" t="s">
        <v>107</v>
      </c>
      <c r="D101" s="12">
        <v>1279687</v>
      </c>
      <c r="E101" s="12">
        <v>2738210</v>
      </c>
      <c r="F101" s="12">
        <f t="shared" si="4"/>
        <v>4017897</v>
      </c>
      <c r="G101">
        <f>VLOOKUP(B101,'2015'!$B$2:$G$338,6,FALSE)</f>
        <v>0</v>
      </c>
      <c r="H101">
        <f t="shared" si="5"/>
        <v>0</v>
      </c>
      <c r="I101" s="2">
        <f t="shared" si="6"/>
        <v>2738210</v>
      </c>
      <c r="J101" s="2">
        <f t="shared" si="7"/>
        <v>4017897</v>
      </c>
      <c r="K101" s="2"/>
    </row>
    <row r="102" spans="1:11" x14ac:dyDescent="0.2">
      <c r="A102">
        <v>2016</v>
      </c>
      <c r="B102" s="34">
        <v>5026</v>
      </c>
      <c r="C102" s="3" t="s">
        <v>108</v>
      </c>
      <c r="D102" s="12">
        <v>320419</v>
      </c>
      <c r="E102" s="12">
        <v>685620</v>
      </c>
      <c r="F102" s="12">
        <f t="shared" si="4"/>
        <v>1006039</v>
      </c>
      <c r="G102">
        <f>VLOOKUP(B102,'2015'!$B$2:$G$338,6,FALSE)</f>
        <v>0</v>
      </c>
      <c r="H102">
        <f t="shared" si="5"/>
        <v>0</v>
      </c>
      <c r="I102" s="2">
        <f t="shared" si="6"/>
        <v>685620</v>
      </c>
      <c r="J102" s="2">
        <f t="shared" si="7"/>
        <v>1006039</v>
      </c>
      <c r="K102" s="2"/>
    </row>
    <row r="103" spans="1:11" x14ac:dyDescent="0.2">
      <c r="A103">
        <v>2016</v>
      </c>
      <c r="B103" s="34">
        <v>5027</v>
      </c>
      <c r="C103" s="3" t="s">
        <v>109</v>
      </c>
      <c r="D103" s="12">
        <v>3493148</v>
      </c>
      <c r="E103" s="12">
        <v>7474460</v>
      </c>
      <c r="F103" s="12">
        <f t="shared" si="4"/>
        <v>10967608</v>
      </c>
      <c r="G103">
        <f>VLOOKUP(B103,'2015'!$B$2:$G$338,6,FALSE)</f>
        <v>0</v>
      </c>
      <c r="H103">
        <f t="shared" si="5"/>
        <v>0</v>
      </c>
      <c r="I103" s="2">
        <f t="shared" si="6"/>
        <v>7474460</v>
      </c>
      <c r="J103" s="2">
        <f t="shared" si="7"/>
        <v>10967608</v>
      </c>
      <c r="K103" s="2"/>
    </row>
    <row r="104" spans="1:11" x14ac:dyDescent="0.2">
      <c r="A104">
        <v>2016</v>
      </c>
      <c r="B104" s="34">
        <v>5028</v>
      </c>
      <c r="C104" s="3" t="s">
        <v>110</v>
      </c>
      <c r="D104" s="12">
        <v>902353</v>
      </c>
      <c r="E104" s="12">
        <v>1930810</v>
      </c>
      <c r="F104" s="12">
        <f t="shared" si="4"/>
        <v>2833163</v>
      </c>
      <c r="G104">
        <f>VLOOKUP(B104,'2015'!$B$2:$G$338,6,FALSE)</f>
        <v>0</v>
      </c>
      <c r="H104">
        <f t="shared" si="5"/>
        <v>0</v>
      </c>
      <c r="I104" s="2">
        <f t="shared" si="6"/>
        <v>1930810</v>
      </c>
      <c r="J104" s="2">
        <f t="shared" si="7"/>
        <v>2833163</v>
      </c>
      <c r="K104" s="2"/>
    </row>
    <row r="105" spans="1:11" x14ac:dyDescent="0.2">
      <c r="A105">
        <v>2016</v>
      </c>
      <c r="B105" s="34">
        <v>5029</v>
      </c>
      <c r="C105" s="3" t="s">
        <v>111</v>
      </c>
      <c r="D105" s="12">
        <v>372965</v>
      </c>
      <c r="E105" s="12">
        <v>798050</v>
      </c>
      <c r="F105" s="12">
        <f t="shared" si="4"/>
        <v>1171015</v>
      </c>
      <c r="G105">
        <f>VLOOKUP(B105,'2015'!$B$2:$G$338,6,FALSE)</f>
        <v>0</v>
      </c>
      <c r="H105">
        <f t="shared" si="5"/>
        <v>0</v>
      </c>
      <c r="I105" s="2">
        <f t="shared" si="6"/>
        <v>798050</v>
      </c>
      <c r="J105" s="2">
        <f t="shared" si="7"/>
        <v>1171015</v>
      </c>
      <c r="K105" s="2"/>
    </row>
    <row r="106" spans="1:11" x14ac:dyDescent="0.2">
      <c r="A106">
        <v>2016</v>
      </c>
      <c r="B106" s="34">
        <v>5031</v>
      </c>
      <c r="C106" s="3" t="s">
        <v>112</v>
      </c>
      <c r="D106" s="12">
        <v>6373406</v>
      </c>
      <c r="E106" s="12">
        <v>13637480</v>
      </c>
      <c r="F106" s="12">
        <f t="shared" si="4"/>
        <v>20010886</v>
      </c>
      <c r="G106">
        <f>VLOOKUP(B106,'2015'!$B$2:$G$338,6,FALSE)</f>
        <v>0</v>
      </c>
      <c r="H106">
        <f t="shared" si="5"/>
        <v>0</v>
      </c>
      <c r="I106" s="2">
        <f t="shared" si="6"/>
        <v>13637480</v>
      </c>
      <c r="J106" s="2">
        <f t="shared" si="7"/>
        <v>20010886</v>
      </c>
      <c r="K106" s="2"/>
    </row>
    <row r="107" spans="1:11" x14ac:dyDescent="0.2">
      <c r="A107">
        <v>2016</v>
      </c>
      <c r="B107" s="34">
        <v>5032</v>
      </c>
      <c r="C107" s="3" t="s">
        <v>359</v>
      </c>
      <c r="D107" s="12">
        <v>582931</v>
      </c>
      <c r="E107" s="12">
        <v>1247330</v>
      </c>
      <c r="F107" s="12">
        <f t="shared" si="4"/>
        <v>1830261</v>
      </c>
      <c r="G107">
        <f>VLOOKUP(B107,'2015'!$B$2:$G$338,6,FALSE)</f>
        <v>0</v>
      </c>
      <c r="H107">
        <f t="shared" si="5"/>
        <v>0</v>
      </c>
      <c r="I107" s="2">
        <f t="shared" si="6"/>
        <v>1247330</v>
      </c>
      <c r="J107" s="2">
        <f t="shared" si="7"/>
        <v>1830261</v>
      </c>
      <c r="K107" s="2"/>
    </row>
    <row r="108" spans="1:11" x14ac:dyDescent="0.2">
      <c r="A108">
        <v>2016</v>
      </c>
      <c r="B108" s="34">
        <v>5033</v>
      </c>
      <c r="C108" s="3" t="s">
        <v>114</v>
      </c>
      <c r="D108" s="12">
        <v>392132</v>
      </c>
      <c r="E108" s="12">
        <v>839060</v>
      </c>
      <c r="F108" s="12">
        <f t="shared" si="4"/>
        <v>1231192</v>
      </c>
      <c r="G108">
        <f>VLOOKUP(B108,'2015'!$B$2:$G$338,6,FALSE)</f>
        <v>0</v>
      </c>
      <c r="H108">
        <f t="shared" si="5"/>
        <v>0</v>
      </c>
      <c r="I108" s="2">
        <f t="shared" si="6"/>
        <v>839060</v>
      </c>
      <c r="J108" s="2">
        <f t="shared" si="7"/>
        <v>1231192</v>
      </c>
      <c r="K108" s="2"/>
    </row>
    <row r="109" spans="1:11" x14ac:dyDescent="0.2">
      <c r="A109">
        <v>2016</v>
      </c>
      <c r="B109" s="34">
        <v>5034</v>
      </c>
      <c r="C109" s="3" t="s">
        <v>115</v>
      </c>
      <c r="D109" s="12">
        <v>174052</v>
      </c>
      <c r="E109" s="12">
        <v>372430</v>
      </c>
      <c r="F109" s="12">
        <f t="shared" si="4"/>
        <v>546482</v>
      </c>
      <c r="G109">
        <f>VLOOKUP(B109,'2015'!$B$2:$G$338,6,FALSE)</f>
        <v>0</v>
      </c>
      <c r="H109">
        <f t="shared" si="5"/>
        <v>0</v>
      </c>
      <c r="I109" s="2">
        <f t="shared" si="6"/>
        <v>372430</v>
      </c>
      <c r="J109" s="2">
        <f t="shared" si="7"/>
        <v>546482</v>
      </c>
      <c r="K109" s="2"/>
    </row>
    <row r="110" spans="1:11" x14ac:dyDescent="0.2">
      <c r="A110">
        <v>2016</v>
      </c>
      <c r="B110" s="34">
        <v>5035</v>
      </c>
      <c r="C110" s="3" t="s">
        <v>116</v>
      </c>
      <c r="D110" s="12">
        <v>1016037</v>
      </c>
      <c r="E110" s="12">
        <v>2174060</v>
      </c>
      <c r="F110" s="12">
        <f t="shared" si="4"/>
        <v>3190097</v>
      </c>
      <c r="G110">
        <f>VLOOKUP(B110,'2015'!$B$2:$G$338,6,FALSE)</f>
        <v>0</v>
      </c>
      <c r="H110">
        <f t="shared" si="5"/>
        <v>0</v>
      </c>
      <c r="I110" s="2">
        <f t="shared" si="6"/>
        <v>2174060</v>
      </c>
      <c r="J110" s="2">
        <f t="shared" si="7"/>
        <v>3190097</v>
      </c>
      <c r="K110" s="2"/>
    </row>
    <row r="111" spans="1:11" x14ac:dyDescent="0.2">
      <c r="A111">
        <v>2016</v>
      </c>
      <c r="B111" s="34">
        <v>5036</v>
      </c>
      <c r="C111" s="3" t="s">
        <v>117</v>
      </c>
      <c r="D111" s="12">
        <v>525844</v>
      </c>
      <c r="E111" s="12">
        <v>1125170</v>
      </c>
      <c r="F111" s="12">
        <f t="shared" si="4"/>
        <v>1651014</v>
      </c>
      <c r="G111">
        <f>VLOOKUP(B111,'2015'!$B$2:$G$338,6,FALSE)</f>
        <v>0</v>
      </c>
      <c r="H111">
        <f t="shared" si="5"/>
        <v>0</v>
      </c>
      <c r="I111" s="2">
        <f t="shared" si="6"/>
        <v>1125170</v>
      </c>
      <c r="J111" s="2">
        <f t="shared" si="7"/>
        <v>1651014</v>
      </c>
      <c r="K111" s="2"/>
    </row>
    <row r="112" spans="1:11" x14ac:dyDescent="0.2">
      <c r="A112">
        <v>2016</v>
      </c>
      <c r="B112" s="34">
        <v>5037</v>
      </c>
      <c r="C112" s="3" t="s">
        <v>118</v>
      </c>
      <c r="D112" s="12">
        <v>1999870</v>
      </c>
      <c r="E112" s="12">
        <v>4279220</v>
      </c>
      <c r="F112" s="12">
        <f t="shared" si="4"/>
        <v>6279090</v>
      </c>
      <c r="G112">
        <f>VLOOKUP(B112,'2015'!$B$2:$G$338,6,FALSE)</f>
        <v>0</v>
      </c>
      <c r="H112">
        <f t="shared" si="5"/>
        <v>0</v>
      </c>
      <c r="I112" s="2">
        <f t="shared" si="6"/>
        <v>4279220</v>
      </c>
      <c r="J112" s="2">
        <f t="shared" si="7"/>
        <v>6279090</v>
      </c>
      <c r="K112" s="2"/>
    </row>
    <row r="113" spans="1:11" x14ac:dyDescent="0.2">
      <c r="A113">
        <v>2016</v>
      </c>
      <c r="B113" s="34">
        <v>5038</v>
      </c>
      <c r="C113" s="3" t="s">
        <v>119</v>
      </c>
      <c r="D113" s="12">
        <v>244055</v>
      </c>
      <c r="E113" s="12">
        <v>522220</v>
      </c>
      <c r="F113" s="12">
        <f t="shared" si="4"/>
        <v>766275</v>
      </c>
      <c r="G113">
        <f>VLOOKUP(B113,'2015'!$B$2:$G$338,6,FALSE)</f>
        <v>0</v>
      </c>
      <c r="H113">
        <f t="shared" si="5"/>
        <v>0</v>
      </c>
      <c r="I113" s="2">
        <f t="shared" si="6"/>
        <v>522220</v>
      </c>
      <c r="J113" s="2">
        <f t="shared" si="7"/>
        <v>766275</v>
      </c>
      <c r="K113" s="2"/>
    </row>
    <row r="114" spans="1:11" x14ac:dyDescent="0.2">
      <c r="A114">
        <v>2016</v>
      </c>
      <c r="B114" s="34">
        <v>5039</v>
      </c>
      <c r="C114" s="3" t="s">
        <v>120</v>
      </c>
      <c r="D114" s="12">
        <v>266134</v>
      </c>
      <c r="E114" s="12">
        <v>569460</v>
      </c>
      <c r="F114" s="12">
        <f t="shared" si="4"/>
        <v>835594</v>
      </c>
      <c r="G114">
        <f>VLOOKUP(B114,'2015'!$B$2:$G$338,6,FALSE)</f>
        <v>0</v>
      </c>
      <c r="H114">
        <f t="shared" si="5"/>
        <v>0</v>
      </c>
      <c r="I114" s="2">
        <f t="shared" si="6"/>
        <v>569460</v>
      </c>
      <c r="J114" s="2">
        <f t="shared" si="7"/>
        <v>835594</v>
      </c>
      <c r="K114" s="2"/>
    </row>
    <row r="115" spans="1:11" x14ac:dyDescent="0.2">
      <c r="A115">
        <v>2016</v>
      </c>
      <c r="B115" s="34">
        <v>5040</v>
      </c>
      <c r="C115" s="3" t="s">
        <v>121</v>
      </c>
      <c r="D115" s="12">
        <v>954856</v>
      </c>
      <c r="E115" s="12">
        <v>2043150</v>
      </c>
      <c r="F115" s="12">
        <f t="shared" si="4"/>
        <v>2998006</v>
      </c>
      <c r="G115">
        <f>VLOOKUP(B115,'2015'!$B$2:$G$338,6,FALSE)</f>
        <v>0</v>
      </c>
      <c r="H115">
        <f t="shared" si="5"/>
        <v>0</v>
      </c>
      <c r="I115" s="2">
        <f t="shared" si="6"/>
        <v>2043150</v>
      </c>
      <c r="J115" s="2">
        <f t="shared" si="7"/>
        <v>2998006</v>
      </c>
      <c r="K115" s="2"/>
    </row>
    <row r="116" spans="1:11" x14ac:dyDescent="0.2">
      <c r="A116">
        <v>2016</v>
      </c>
      <c r="B116" s="34">
        <v>5041</v>
      </c>
      <c r="C116" s="3" t="s">
        <v>122</v>
      </c>
      <c r="D116" s="12">
        <v>5052945</v>
      </c>
      <c r="E116" s="12">
        <v>10812030</v>
      </c>
      <c r="F116" s="12">
        <f t="shared" si="4"/>
        <v>15864975</v>
      </c>
      <c r="G116">
        <f>VLOOKUP(B116,'2015'!$B$2:$G$338,6,FALSE)</f>
        <v>0</v>
      </c>
      <c r="H116">
        <f t="shared" si="5"/>
        <v>0</v>
      </c>
      <c r="I116" s="2">
        <f t="shared" si="6"/>
        <v>10812030</v>
      </c>
      <c r="J116" s="2">
        <f t="shared" si="7"/>
        <v>15864975</v>
      </c>
      <c r="K116" s="2"/>
    </row>
    <row r="117" spans="1:11" x14ac:dyDescent="0.2">
      <c r="A117">
        <v>2016</v>
      </c>
      <c r="B117" s="34">
        <v>5042</v>
      </c>
      <c r="C117" s="3" t="s">
        <v>123</v>
      </c>
      <c r="D117" s="12">
        <v>1390985</v>
      </c>
      <c r="E117" s="12">
        <v>2976360</v>
      </c>
      <c r="F117" s="12">
        <f t="shared" si="4"/>
        <v>4367345</v>
      </c>
      <c r="G117">
        <f>VLOOKUP(B117,'2015'!$B$2:$G$338,6,FALSE)</f>
        <v>0</v>
      </c>
      <c r="H117">
        <f t="shared" si="5"/>
        <v>0</v>
      </c>
      <c r="I117" s="2">
        <f t="shared" si="6"/>
        <v>2976360</v>
      </c>
      <c r="J117" s="2">
        <f t="shared" si="7"/>
        <v>4367345</v>
      </c>
      <c r="K117" s="2"/>
    </row>
    <row r="118" spans="1:11" x14ac:dyDescent="0.2">
      <c r="A118">
        <v>2016</v>
      </c>
      <c r="B118" s="34">
        <v>5043</v>
      </c>
      <c r="C118" s="3" t="s">
        <v>124</v>
      </c>
      <c r="D118" s="12">
        <v>2003914</v>
      </c>
      <c r="E118" s="12">
        <v>4287870</v>
      </c>
      <c r="F118" s="12">
        <f t="shared" si="4"/>
        <v>6291784</v>
      </c>
      <c r="G118">
        <f>VLOOKUP(B118,'2015'!$B$2:$G$338,6,FALSE)</f>
        <v>0</v>
      </c>
      <c r="H118">
        <f t="shared" si="5"/>
        <v>0</v>
      </c>
      <c r="I118" s="2">
        <f t="shared" si="6"/>
        <v>4287870</v>
      </c>
      <c r="J118" s="2">
        <f t="shared" si="7"/>
        <v>6291784</v>
      </c>
      <c r="K118" s="2"/>
    </row>
    <row r="119" spans="1:11" x14ac:dyDescent="0.2">
      <c r="A119">
        <v>2016</v>
      </c>
      <c r="B119" s="34">
        <v>5056</v>
      </c>
      <c r="C119" s="3" t="s">
        <v>125</v>
      </c>
      <c r="D119" s="12">
        <v>254480</v>
      </c>
      <c r="E119" s="12">
        <v>544520</v>
      </c>
      <c r="F119" s="12">
        <f t="shared" si="4"/>
        <v>799000</v>
      </c>
      <c r="G119">
        <f>VLOOKUP(B119,'2015'!$B$2:$G$338,6,FALSE)</f>
        <v>0</v>
      </c>
      <c r="H119">
        <f t="shared" si="5"/>
        <v>0</v>
      </c>
      <c r="I119" s="2">
        <f t="shared" si="6"/>
        <v>544520</v>
      </c>
      <c r="J119" s="2">
        <f t="shared" si="7"/>
        <v>799000</v>
      </c>
      <c r="K119" s="2"/>
    </row>
    <row r="120" spans="1:11" x14ac:dyDescent="0.2">
      <c r="A120">
        <v>2016</v>
      </c>
      <c r="B120" s="34">
        <v>5057</v>
      </c>
      <c r="C120" s="3" t="s">
        <v>126</v>
      </c>
      <c r="D120" s="12">
        <v>393745</v>
      </c>
      <c r="E120" s="12">
        <v>842520</v>
      </c>
      <c r="F120" s="12">
        <f t="shared" si="4"/>
        <v>1236265</v>
      </c>
      <c r="G120">
        <f>VLOOKUP(B120,'2015'!$B$2:$G$338,6,FALSE)</f>
        <v>0</v>
      </c>
      <c r="H120">
        <f t="shared" si="5"/>
        <v>0</v>
      </c>
      <c r="I120" s="2">
        <f t="shared" si="6"/>
        <v>842520</v>
      </c>
      <c r="J120" s="2">
        <f t="shared" si="7"/>
        <v>1236265</v>
      </c>
      <c r="K120" s="2"/>
    </row>
    <row r="121" spans="1:11" x14ac:dyDescent="0.2">
      <c r="A121">
        <v>2016</v>
      </c>
      <c r="B121" s="34">
        <v>5058</v>
      </c>
      <c r="C121" s="3" t="s">
        <v>127</v>
      </c>
      <c r="D121" s="12">
        <v>877512</v>
      </c>
      <c r="E121" s="12">
        <v>1877650</v>
      </c>
      <c r="F121" s="12">
        <f t="shared" si="4"/>
        <v>2755162</v>
      </c>
      <c r="G121">
        <f>VLOOKUP(B121,'2015'!$B$2:$G$338,6,FALSE)</f>
        <v>0</v>
      </c>
      <c r="H121">
        <f t="shared" si="5"/>
        <v>0</v>
      </c>
      <c r="I121" s="2">
        <f t="shared" si="6"/>
        <v>1877650</v>
      </c>
      <c r="J121" s="2">
        <f t="shared" si="7"/>
        <v>2755162</v>
      </c>
      <c r="K121" s="2"/>
    </row>
    <row r="122" spans="1:11" x14ac:dyDescent="0.2">
      <c r="A122">
        <v>2016</v>
      </c>
      <c r="B122" s="34">
        <v>5059</v>
      </c>
      <c r="C122" s="3" t="s">
        <v>128</v>
      </c>
      <c r="D122" s="12">
        <v>253520</v>
      </c>
      <c r="E122" s="12">
        <v>542470</v>
      </c>
      <c r="F122" s="12">
        <f t="shared" si="4"/>
        <v>795990</v>
      </c>
      <c r="G122">
        <f>VLOOKUP(B122,'2015'!$B$2:$G$338,6,FALSE)</f>
        <v>0</v>
      </c>
      <c r="H122">
        <f t="shared" si="5"/>
        <v>0</v>
      </c>
      <c r="I122" s="2">
        <f t="shared" si="6"/>
        <v>542470</v>
      </c>
      <c r="J122" s="2">
        <f t="shared" si="7"/>
        <v>795990</v>
      </c>
      <c r="K122" s="2"/>
    </row>
    <row r="123" spans="1:11" x14ac:dyDescent="0.2">
      <c r="A123">
        <v>2016</v>
      </c>
      <c r="B123" s="34">
        <v>5060</v>
      </c>
      <c r="C123" s="3" t="s">
        <v>129</v>
      </c>
      <c r="D123" s="12">
        <v>103533</v>
      </c>
      <c r="E123" s="12">
        <v>221530</v>
      </c>
      <c r="F123" s="12">
        <f t="shared" si="4"/>
        <v>325063</v>
      </c>
      <c r="G123">
        <f>VLOOKUP(B123,'2015'!$B$2:$G$338,6,FALSE)</f>
        <v>0</v>
      </c>
      <c r="H123">
        <f t="shared" si="5"/>
        <v>0</v>
      </c>
      <c r="I123" s="2">
        <f t="shared" si="6"/>
        <v>221530</v>
      </c>
      <c r="J123" s="2">
        <f t="shared" si="7"/>
        <v>325063</v>
      </c>
      <c r="K123" s="2"/>
    </row>
    <row r="124" spans="1:11" x14ac:dyDescent="0.2">
      <c r="A124">
        <v>2016</v>
      </c>
      <c r="B124" s="34">
        <v>5061</v>
      </c>
      <c r="C124" s="3" t="s">
        <v>130</v>
      </c>
      <c r="D124" s="12">
        <v>238603</v>
      </c>
      <c r="E124" s="12">
        <v>510550</v>
      </c>
      <c r="F124" s="12">
        <f t="shared" si="4"/>
        <v>749153</v>
      </c>
      <c r="G124">
        <f>VLOOKUP(B124,'2015'!$B$2:$G$338,6,FALSE)</f>
        <v>0</v>
      </c>
      <c r="H124">
        <f t="shared" si="5"/>
        <v>0</v>
      </c>
      <c r="I124" s="2">
        <f t="shared" si="6"/>
        <v>510550</v>
      </c>
      <c r="J124" s="2">
        <f t="shared" si="7"/>
        <v>749153</v>
      </c>
      <c r="K124" s="2"/>
    </row>
    <row r="125" spans="1:11" x14ac:dyDescent="0.2">
      <c r="A125">
        <v>2016</v>
      </c>
      <c r="B125" s="34">
        <v>5062</v>
      </c>
      <c r="C125" s="3" t="s">
        <v>131</v>
      </c>
      <c r="D125" s="12">
        <v>369752</v>
      </c>
      <c r="E125" s="12">
        <v>791180</v>
      </c>
      <c r="F125" s="12">
        <f t="shared" si="4"/>
        <v>1160932</v>
      </c>
      <c r="G125">
        <f>VLOOKUP(B125,'2015'!$B$2:$G$338,6,FALSE)</f>
        <v>0</v>
      </c>
      <c r="H125">
        <f t="shared" si="5"/>
        <v>0</v>
      </c>
      <c r="I125" s="2">
        <f t="shared" si="6"/>
        <v>791180</v>
      </c>
      <c r="J125" s="2">
        <f t="shared" si="7"/>
        <v>1160932</v>
      </c>
      <c r="K125" s="2"/>
    </row>
    <row r="126" spans="1:11" x14ac:dyDescent="0.2">
      <c r="A126">
        <v>2016</v>
      </c>
      <c r="B126" s="34">
        <v>5063</v>
      </c>
      <c r="C126" s="3" t="s">
        <v>132</v>
      </c>
      <c r="D126" s="12">
        <v>360311</v>
      </c>
      <c r="E126" s="12">
        <v>770970</v>
      </c>
      <c r="F126" s="12">
        <f t="shared" si="4"/>
        <v>1131281</v>
      </c>
      <c r="G126">
        <f>VLOOKUP(B126,'2015'!$B$2:$G$338,6,FALSE)</f>
        <v>0</v>
      </c>
      <c r="H126">
        <f t="shared" si="5"/>
        <v>0</v>
      </c>
      <c r="I126" s="2">
        <f t="shared" si="6"/>
        <v>770970</v>
      </c>
      <c r="J126" s="2">
        <f t="shared" si="7"/>
        <v>1131281</v>
      </c>
      <c r="K126" s="2"/>
    </row>
    <row r="127" spans="1:11" x14ac:dyDescent="0.2">
      <c r="A127">
        <v>2016</v>
      </c>
      <c r="B127" s="34">
        <v>5064</v>
      </c>
      <c r="C127" s="3" t="s">
        <v>133</v>
      </c>
      <c r="D127" s="12">
        <v>244408</v>
      </c>
      <c r="E127" s="12">
        <v>522970</v>
      </c>
      <c r="F127" s="12">
        <f t="shared" si="4"/>
        <v>767378</v>
      </c>
      <c r="G127">
        <f>VLOOKUP(B127,'2015'!$B$2:$G$338,6,FALSE)</f>
        <v>0</v>
      </c>
      <c r="H127">
        <f t="shared" si="5"/>
        <v>0</v>
      </c>
      <c r="I127" s="2">
        <f t="shared" si="6"/>
        <v>522970</v>
      </c>
      <c r="J127" s="2">
        <f t="shared" si="7"/>
        <v>767378</v>
      </c>
      <c r="K127" s="2"/>
    </row>
    <row r="128" spans="1:11" x14ac:dyDescent="0.2">
      <c r="A128">
        <v>2016</v>
      </c>
      <c r="B128" s="34">
        <v>5065</v>
      </c>
      <c r="C128" s="3" t="s">
        <v>134</v>
      </c>
      <c r="D128" s="12">
        <v>275487</v>
      </c>
      <c r="E128" s="12">
        <v>589470</v>
      </c>
      <c r="F128" s="12">
        <f t="shared" si="4"/>
        <v>864957</v>
      </c>
      <c r="G128">
        <f>VLOOKUP(B128,'2015'!$B$2:$G$338,6,FALSE)</f>
        <v>0</v>
      </c>
      <c r="H128">
        <f t="shared" si="5"/>
        <v>0</v>
      </c>
      <c r="I128" s="2">
        <f t="shared" si="6"/>
        <v>589470</v>
      </c>
      <c r="J128" s="2">
        <f t="shared" si="7"/>
        <v>864957</v>
      </c>
      <c r="K128" s="2"/>
    </row>
    <row r="129" spans="1:11" x14ac:dyDescent="0.2">
      <c r="A129">
        <v>2016</v>
      </c>
      <c r="B129" s="34">
        <v>5066</v>
      </c>
      <c r="C129" s="3" t="s">
        <v>135</v>
      </c>
      <c r="D129" s="12">
        <v>338264</v>
      </c>
      <c r="E129" s="12">
        <v>723800</v>
      </c>
      <c r="F129" s="12">
        <f t="shared" si="4"/>
        <v>1062064</v>
      </c>
      <c r="G129">
        <f>VLOOKUP(B129,'2015'!$B$2:$G$338,6,FALSE)</f>
        <v>0</v>
      </c>
      <c r="H129">
        <f t="shared" si="5"/>
        <v>0</v>
      </c>
      <c r="I129" s="2">
        <f t="shared" si="6"/>
        <v>723800</v>
      </c>
      <c r="J129" s="2">
        <f t="shared" si="7"/>
        <v>1062064</v>
      </c>
      <c r="K129" s="2"/>
    </row>
    <row r="130" spans="1:11" x14ac:dyDescent="0.2">
      <c r="A130">
        <v>2016</v>
      </c>
      <c r="B130" s="34">
        <v>5067</v>
      </c>
      <c r="C130" s="3" t="s">
        <v>136</v>
      </c>
      <c r="D130" s="12">
        <v>460957</v>
      </c>
      <c r="E130" s="12">
        <v>986330</v>
      </c>
      <c r="F130" s="12">
        <f t="shared" ref="F130:F193" si="8">SUM(D130:E130)</f>
        <v>1447287</v>
      </c>
      <c r="G130">
        <f>VLOOKUP(B130,'2015'!$B$2:$G$338,6,FALSE)</f>
        <v>0</v>
      </c>
      <c r="H130">
        <f t="shared" si="5"/>
        <v>0</v>
      </c>
      <c r="I130" s="2">
        <f t="shared" si="6"/>
        <v>986330</v>
      </c>
      <c r="J130" s="2">
        <f t="shared" si="7"/>
        <v>1447287</v>
      </c>
      <c r="K130" s="2"/>
    </row>
    <row r="131" spans="1:11" x14ac:dyDescent="0.2">
      <c r="A131">
        <v>2016</v>
      </c>
      <c r="B131" s="34">
        <v>5068</v>
      </c>
      <c r="C131" s="3" t="s">
        <v>137</v>
      </c>
      <c r="D131" s="12">
        <v>465598</v>
      </c>
      <c r="E131" s="12">
        <v>996260</v>
      </c>
      <c r="F131" s="12">
        <f t="shared" si="8"/>
        <v>1461858</v>
      </c>
      <c r="G131">
        <f>VLOOKUP(B131,'2015'!$B$2:$G$338,6,FALSE)</f>
        <v>0</v>
      </c>
      <c r="H131">
        <f t="shared" ref="H131:H194" si="9">G131*$H$340</f>
        <v>0</v>
      </c>
      <c r="I131" s="2">
        <f t="shared" ref="I131:I194" si="10">SUM(E131,H131)</f>
        <v>996260</v>
      </c>
      <c r="J131" s="2">
        <f t="shared" ref="J131:J194" si="11">SUM(H131,D131:E131)</f>
        <v>1461858</v>
      </c>
      <c r="K131" s="2"/>
    </row>
    <row r="132" spans="1:11" x14ac:dyDescent="0.2">
      <c r="A132">
        <v>2016</v>
      </c>
      <c r="B132" s="34">
        <v>5069</v>
      </c>
      <c r="C132" s="3" t="s">
        <v>138</v>
      </c>
      <c r="D132" s="12">
        <v>445774</v>
      </c>
      <c r="E132" s="12">
        <v>953840</v>
      </c>
      <c r="F132" s="12">
        <f t="shared" si="8"/>
        <v>1399614</v>
      </c>
      <c r="G132">
        <f>VLOOKUP(B132,'2015'!$B$2:$G$338,6,FALSE)</f>
        <v>0</v>
      </c>
      <c r="H132">
        <f t="shared" si="9"/>
        <v>0</v>
      </c>
      <c r="I132" s="2">
        <f t="shared" si="10"/>
        <v>953840</v>
      </c>
      <c r="J132" s="2">
        <f t="shared" si="11"/>
        <v>1399614</v>
      </c>
      <c r="K132" s="2"/>
    </row>
    <row r="133" spans="1:11" x14ac:dyDescent="0.2">
      <c r="A133">
        <v>2016</v>
      </c>
      <c r="B133" s="34">
        <v>5070</v>
      </c>
      <c r="C133" s="3" t="s">
        <v>139</v>
      </c>
      <c r="D133" s="12">
        <v>1110280</v>
      </c>
      <c r="E133" s="12">
        <v>2375720</v>
      </c>
      <c r="F133" s="12">
        <f t="shared" si="8"/>
        <v>3486000</v>
      </c>
      <c r="G133">
        <f>VLOOKUP(B133,'2015'!$B$2:$G$338,6,FALSE)</f>
        <v>0</v>
      </c>
      <c r="H133">
        <f t="shared" si="9"/>
        <v>0</v>
      </c>
      <c r="I133" s="2">
        <f t="shared" si="10"/>
        <v>2375720</v>
      </c>
      <c r="J133" s="2">
        <f t="shared" si="11"/>
        <v>3486000</v>
      </c>
      <c r="K133" s="2"/>
    </row>
    <row r="134" spans="1:11" x14ac:dyDescent="0.2">
      <c r="A134">
        <v>2016</v>
      </c>
      <c r="B134" s="34">
        <v>5072</v>
      </c>
      <c r="C134" s="3" t="s">
        <v>140</v>
      </c>
      <c r="D134" s="12">
        <v>138019</v>
      </c>
      <c r="E134" s="12">
        <v>295330</v>
      </c>
      <c r="F134" s="12">
        <f t="shared" si="8"/>
        <v>433349</v>
      </c>
      <c r="G134">
        <f>VLOOKUP(B134,'2015'!$B$2:$G$338,6,FALSE)</f>
        <v>0</v>
      </c>
      <c r="H134">
        <f t="shared" si="9"/>
        <v>0</v>
      </c>
      <c r="I134" s="2">
        <f t="shared" si="10"/>
        <v>295330</v>
      </c>
      <c r="J134" s="2">
        <f t="shared" si="11"/>
        <v>433349</v>
      </c>
      <c r="K134" s="2"/>
    </row>
    <row r="135" spans="1:11" x14ac:dyDescent="0.2">
      <c r="A135">
        <v>2016</v>
      </c>
      <c r="B135" s="34">
        <v>5073</v>
      </c>
      <c r="C135" s="3" t="s">
        <v>141</v>
      </c>
      <c r="D135" s="12">
        <v>307310</v>
      </c>
      <c r="E135" s="12">
        <v>657570</v>
      </c>
      <c r="F135" s="12">
        <f t="shared" si="8"/>
        <v>964880</v>
      </c>
      <c r="G135">
        <f>VLOOKUP(B135,'2015'!$B$2:$G$338,6,FALSE)</f>
        <v>0</v>
      </c>
      <c r="H135">
        <f t="shared" si="9"/>
        <v>0</v>
      </c>
      <c r="I135" s="2">
        <f t="shared" si="10"/>
        <v>657570</v>
      </c>
      <c r="J135" s="2">
        <f t="shared" si="11"/>
        <v>964880</v>
      </c>
      <c r="K135" s="2"/>
    </row>
    <row r="136" spans="1:11" x14ac:dyDescent="0.2">
      <c r="A136">
        <v>2016</v>
      </c>
      <c r="B136" s="34">
        <v>5076</v>
      </c>
      <c r="C136" s="3" t="s">
        <v>142</v>
      </c>
      <c r="D136" s="12">
        <v>165014</v>
      </c>
      <c r="E136" s="12">
        <v>353090</v>
      </c>
      <c r="F136" s="12">
        <f t="shared" si="8"/>
        <v>518104</v>
      </c>
      <c r="G136">
        <f>VLOOKUP(B136,'2015'!$B$2:$G$338,6,FALSE)</f>
        <v>0</v>
      </c>
      <c r="H136">
        <f t="shared" si="9"/>
        <v>0</v>
      </c>
      <c r="I136" s="2">
        <f t="shared" si="10"/>
        <v>353090</v>
      </c>
      <c r="J136" s="2">
        <f t="shared" si="11"/>
        <v>518104</v>
      </c>
      <c r="K136" s="2"/>
    </row>
    <row r="137" spans="1:11" x14ac:dyDescent="0.2">
      <c r="A137">
        <v>2016</v>
      </c>
      <c r="B137" s="34">
        <v>5077</v>
      </c>
      <c r="C137" s="3" t="s">
        <v>195</v>
      </c>
      <c r="D137" s="12">
        <v>366151</v>
      </c>
      <c r="E137" s="12">
        <v>783470</v>
      </c>
      <c r="F137" s="12">
        <f t="shared" si="8"/>
        <v>1149621</v>
      </c>
      <c r="G137">
        <f>VLOOKUP(B137,'2015'!$B$2:$G$338,6,FALSE)</f>
        <v>0</v>
      </c>
      <c r="H137">
        <f t="shared" si="9"/>
        <v>0</v>
      </c>
      <c r="I137" s="2">
        <f t="shared" si="10"/>
        <v>783470</v>
      </c>
      <c r="J137" s="2">
        <f t="shared" si="11"/>
        <v>1149621</v>
      </c>
      <c r="K137" s="2"/>
    </row>
    <row r="138" spans="1:11" x14ac:dyDescent="0.2">
      <c r="A138">
        <v>2016</v>
      </c>
      <c r="B138" s="34">
        <v>5078</v>
      </c>
      <c r="C138" s="3" t="s">
        <v>144</v>
      </c>
      <c r="D138" s="12">
        <v>246139</v>
      </c>
      <c r="E138" s="12">
        <v>526680</v>
      </c>
      <c r="F138" s="12">
        <f t="shared" si="8"/>
        <v>772819</v>
      </c>
      <c r="G138">
        <f>VLOOKUP(B138,'2015'!$B$2:$G$338,6,FALSE)</f>
        <v>0</v>
      </c>
      <c r="H138">
        <f t="shared" si="9"/>
        <v>0</v>
      </c>
      <c r="I138" s="2">
        <f t="shared" si="10"/>
        <v>526680</v>
      </c>
      <c r="J138" s="2">
        <f t="shared" si="11"/>
        <v>772819</v>
      </c>
      <c r="K138" s="2"/>
    </row>
    <row r="139" spans="1:11" x14ac:dyDescent="0.2">
      <c r="A139">
        <v>2016</v>
      </c>
      <c r="B139" s="34">
        <v>5079</v>
      </c>
      <c r="C139" s="3" t="s">
        <v>145</v>
      </c>
      <c r="D139" s="12">
        <v>350962</v>
      </c>
      <c r="E139" s="12">
        <v>750970</v>
      </c>
      <c r="F139" s="12">
        <f t="shared" si="8"/>
        <v>1101932</v>
      </c>
      <c r="G139">
        <f>VLOOKUP(B139,'2015'!$B$2:$G$338,6,FALSE)</f>
        <v>0</v>
      </c>
      <c r="H139">
        <f t="shared" si="9"/>
        <v>0</v>
      </c>
      <c r="I139" s="2">
        <f t="shared" si="10"/>
        <v>750970</v>
      </c>
      <c r="J139" s="2">
        <f t="shared" si="11"/>
        <v>1101932</v>
      </c>
      <c r="K139" s="2"/>
    </row>
    <row r="140" spans="1:11" x14ac:dyDescent="0.2">
      <c r="A140">
        <v>2016</v>
      </c>
      <c r="B140" s="34">
        <v>5080</v>
      </c>
      <c r="C140" s="3" t="s">
        <v>146</v>
      </c>
      <c r="D140" s="12">
        <v>317392</v>
      </c>
      <c r="E140" s="12">
        <v>679140</v>
      </c>
      <c r="F140" s="12">
        <f t="shared" si="8"/>
        <v>996532</v>
      </c>
      <c r="G140">
        <f>VLOOKUP(B140,'2015'!$B$2:$G$338,6,FALSE)</f>
        <v>0</v>
      </c>
      <c r="H140">
        <f t="shared" si="9"/>
        <v>0</v>
      </c>
      <c r="I140" s="2">
        <f t="shared" si="10"/>
        <v>679140</v>
      </c>
      <c r="J140" s="2">
        <f t="shared" si="11"/>
        <v>996532</v>
      </c>
      <c r="K140" s="2"/>
    </row>
    <row r="141" spans="1:11" x14ac:dyDescent="0.2">
      <c r="A141">
        <v>2016</v>
      </c>
      <c r="B141" s="34">
        <v>5081</v>
      </c>
      <c r="C141" s="3" t="s">
        <v>147</v>
      </c>
      <c r="D141" s="12">
        <v>295008</v>
      </c>
      <c r="E141" s="12">
        <v>631240</v>
      </c>
      <c r="F141" s="12">
        <f t="shared" si="8"/>
        <v>926248</v>
      </c>
      <c r="G141">
        <f>VLOOKUP(B141,'2015'!$B$2:$G$338,6,FALSE)</f>
        <v>0</v>
      </c>
      <c r="H141">
        <f t="shared" si="9"/>
        <v>0</v>
      </c>
      <c r="I141" s="2">
        <f t="shared" si="10"/>
        <v>631240</v>
      </c>
      <c r="J141" s="2">
        <f t="shared" si="11"/>
        <v>926248</v>
      </c>
      <c r="K141" s="2"/>
    </row>
    <row r="142" spans="1:11" x14ac:dyDescent="0.2">
      <c r="A142">
        <v>2016</v>
      </c>
      <c r="B142" s="34">
        <v>5082</v>
      </c>
      <c r="C142" s="3" t="s">
        <v>148</v>
      </c>
      <c r="D142" s="12">
        <v>113916</v>
      </c>
      <c r="E142" s="12">
        <v>243750</v>
      </c>
      <c r="F142" s="12">
        <f t="shared" si="8"/>
        <v>357666</v>
      </c>
      <c r="G142">
        <f>VLOOKUP(B142,'2015'!$B$2:$G$338,6,FALSE)</f>
        <v>0</v>
      </c>
      <c r="H142">
        <f t="shared" si="9"/>
        <v>0</v>
      </c>
      <c r="I142" s="2">
        <f t="shared" si="10"/>
        <v>243750</v>
      </c>
      <c r="J142" s="2">
        <f t="shared" si="11"/>
        <v>357666</v>
      </c>
      <c r="K142" s="2"/>
    </row>
    <row r="143" spans="1:11" x14ac:dyDescent="0.2">
      <c r="A143">
        <v>2016</v>
      </c>
      <c r="B143" s="34">
        <v>5083</v>
      </c>
      <c r="C143" s="3" t="s">
        <v>149</v>
      </c>
      <c r="D143" s="12">
        <v>241794</v>
      </c>
      <c r="E143" s="12">
        <v>517380</v>
      </c>
      <c r="F143" s="12">
        <f t="shared" si="8"/>
        <v>759174</v>
      </c>
      <c r="G143">
        <f>VLOOKUP(B143,'2015'!$B$2:$G$338,6,FALSE)</f>
        <v>0</v>
      </c>
      <c r="H143">
        <f t="shared" si="9"/>
        <v>0</v>
      </c>
      <c r="I143" s="2">
        <f t="shared" si="10"/>
        <v>517380</v>
      </c>
      <c r="J143" s="2">
        <f t="shared" si="11"/>
        <v>759174</v>
      </c>
      <c r="K143" s="2"/>
    </row>
    <row r="144" spans="1:11" x14ac:dyDescent="0.2">
      <c r="A144">
        <v>2016</v>
      </c>
      <c r="B144" s="34">
        <v>5087</v>
      </c>
      <c r="C144" s="3" t="s">
        <v>360</v>
      </c>
      <c r="D144" s="12">
        <v>251501</v>
      </c>
      <c r="E144" s="12">
        <v>538150</v>
      </c>
      <c r="F144" s="12">
        <f t="shared" si="8"/>
        <v>789651</v>
      </c>
      <c r="G144">
        <f>VLOOKUP(B144,'2015'!$B$2:$G$338,6,FALSE)</f>
        <v>0</v>
      </c>
      <c r="H144">
        <f t="shared" si="9"/>
        <v>0</v>
      </c>
      <c r="I144" s="2">
        <f t="shared" si="10"/>
        <v>538150</v>
      </c>
      <c r="J144" s="2">
        <f t="shared" si="11"/>
        <v>789651</v>
      </c>
      <c r="K144" s="2"/>
    </row>
    <row r="145" spans="1:11" x14ac:dyDescent="0.2">
      <c r="A145">
        <v>2016</v>
      </c>
      <c r="B145" s="34">
        <v>5088</v>
      </c>
      <c r="C145" s="3" t="s">
        <v>151</v>
      </c>
      <c r="D145" s="12">
        <v>459902</v>
      </c>
      <c r="E145" s="12">
        <v>984070</v>
      </c>
      <c r="F145" s="12">
        <f t="shared" si="8"/>
        <v>1443972</v>
      </c>
      <c r="G145">
        <f>VLOOKUP(B145,'2015'!$B$2:$G$338,6,FALSE)</f>
        <v>0</v>
      </c>
      <c r="H145">
        <f t="shared" si="9"/>
        <v>0</v>
      </c>
      <c r="I145" s="2">
        <f t="shared" si="10"/>
        <v>984070</v>
      </c>
      <c r="J145" s="2">
        <f t="shared" si="11"/>
        <v>1443972</v>
      </c>
      <c r="K145" s="2"/>
    </row>
    <row r="146" spans="1:11" x14ac:dyDescent="0.2">
      <c r="A146">
        <v>2016</v>
      </c>
      <c r="B146" s="34">
        <v>5089</v>
      </c>
      <c r="C146" s="3" t="s">
        <v>152</v>
      </c>
      <c r="D146" s="12">
        <v>251906</v>
      </c>
      <c r="E146" s="12">
        <v>539020</v>
      </c>
      <c r="F146" s="12">
        <f t="shared" si="8"/>
        <v>790926</v>
      </c>
      <c r="G146">
        <f>VLOOKUP(B146,'2015'!$B$2:$G$338,6,FALSE)</f>
        <v>0</v>
      </c>
      <c r="H146">
        <f t="shared" si="9"/>
        <v>0</v>
      </c>
      <c r="I146" s="2">
        <f t="shared" si="10"/>
        <v>539020</v>
      </c>
      <c r="J146" s="2">
        <f t="shared" si="11"/>
        <v>790926</v>
      </c>
      <c r="K146" s="2"/>
    </row>
    <row r="147" spans="1:11" x14ac:dyDescent="0.2">
      <c r="A147">
        <v>2016</v>
      </c>
      <c r="B147" s="34">
        <v>5090</v>
      </c>
      <c r="C147" s="3" t="s">
        <v>153</v>
      </c>
      <c r="D147" s="12">
        <v>177248</v>
      </c>
      <c r="E147" s="12">
        <v>379270</v>
      </c>
      <c r="F147" s="12">
        <f t="shared" si="8"/>
        <v>556518</v>
      </c>
      <c r="G147">
        <f>VLOOKUP(B147,'2015'!$B$2:$G$338,6,FALSE)</f>
        <v>0</v>
      </c>
      <c r="H147">
        <f t="shared" si="9"/>
        <v>0</v>
      </c>
      <c r="I147" s="2">
        <f t="shared" si="10"/>
        <v>379270</v>
      </c>
      <c r="J147" s="2">
        <f t="shared" si="11"/>
        <v>556518</v>
      </c>
      <c r="K147" s="2"/>
    </row>
    <row r="148" spans="1:11" x14ac:dyDescent="0.2">
      <c r="A148">
        <v>2016</v>
      </c>
      <c r="B148" s="34">
        <v>5092</v>
      </c>
      <c r="C148" s="3" t="s">
        <v>154</v>
      </c>
      <c r="D148" s="12">
        <v>890519</v>
      </c>
      <c r="E148" s="12">
        <v>1905490</v>
      </c>
      <c r="F148" s="12">
        <f t="shared" si="8"/>
        <v>2796009</v>
      </c>
      <c r="G148">
        <f>VLOOKUP(B148,'2015'!$B$2:$G$338,6,FALSE)</f>
        <v>0</v>
      </c>
      <c r="H148">
        <f t="shared" si="9"/>
        <v>0</v>
      </c>
      <c r="I148" s="2">
        <f t="shared" si="10"/>
        <v>1905490</v>
      </c>
      <c r="J148" s="2">
        <f t="shared" si="11"/>
        <v>2796009</v>
      </c>
      <c r="K148" s="2"/>
    </row>
    <row r="149" spans="1:11" x14ac:dyDescent="0.2">
      <c r="A149">
        <v>2016</v>
      </c>
      <c r="B149" s="34">
        <v>5093</v>
      </c>
      <c r="C149" s="3" t="s">
        <v>155</v>
      </c>
      <c r="D149" s="12">
        <v>185126</v>
      </c>
      <c r="E149" s="12">
        <v>396120</v>
      </c>
      <c r="F149" s="12">
        <f t="shared" si="8"/>
        <v>581246</v>
      </c>
      <c r="G149">
        <f>VLOOKUP(B149,'2015'!$B$2:$G$338,6,FALSE)</f>
        <v>0</v>
      </c>
      <c r="H149">
        <f t="shared" si="9"/>
        <v>0</v>
      </c>
      <c r="I149" s="2">
        <f t="shared" si="10"/>
        <v>396120</v>
      </c>
      <c r="J149" s="2">
        <f t="shared" si="11"/>
        <v>581246</v>
      </c>
      <c r="K149" s="2"/>
    </row>
    <row r="150" spans="1:11" x14ac:dyDescent="0.2">
      <c r="A150">
        <v>2016</v>
      </c>
      <c r="B150" s="34">
        <v>5095</v>
      </c>
      <c r="C150" s="3" t="s">
        <v>156</v>
      </c>
      <c r="D150" s="12">
        <v>398029</v>
      </c>
      <c r="E150" s="12">
        <v>851680</v>
      </c>
      <c r="F150" s="12">
        <f t="shared" si="8"/>
        <v>1249709</v>
      </c>
      <c r="G150">
        <f>VLOOKUP(B150,'2015'!$B$2:$G$338,6,FALSE)</f>
        <v>0</v>
      </c>
      <c r="H150">
        <f t="shared" si="9"/>
        <v>0</v>
      </c>
      <c r="I150" s="2">
        <f t="shared" si="10"/>
        <v>851680</v>
      </c>
      <c r="J150" s="2">
        <f t="shared" si="11"/>
        <v>1249709</v>
      </c>
      <c r="K150" s="2"/>
    </row>
    <row r="151" spans="1:11" x14ac:dyDescent="0.2">
      <c r="A151">
        <v>2016</v>
      </c>
      <c r="B151" s="34">
        <v>5096</v>
      </c>
      <c r="C151" s="3" t="s">
        <v>157</v>
      </c>
      <c r="D151" s="12">
        <v>345210</v>
      </c>
      <c r="E151" s="12">
        <v>738660</v>
      </c>
      <c r="F151" s="12">
        <f t="shared" si="8"/>
        <v>1083870</v>
      </c>
      <c r="G151">
        <f>VLOOKUP(B151,'2015'!$B$2:$G$338,6,FALSE)</f>
        <v>0</v>
      </c>
      <c r="H151">
        <f t="shared" si="9"/>
        <v>0</v>
      </c>
      <c r="I151" s="2">
        <f t="shared" si="10"/>
        <v>738660</v>
      </c>
      <c r="J151" s="2">
        <f t="shared" si="11"/>
        <v>1083870</v>
      </c>
      <c r="K151" s="2"/>
    </row>
    <row r="152" spans="1:11" x14ac:dyDescent="0.2">
      <c r="A152">
        <v>2016</v>
      </c>
      <c r="B152" s="34">
        <v>5098</v>
      </c>
      <c r="C152" s="3" t="s">
        <v>158</v>
      </c>
      <c r="D152" s="12">
        <v>189719</v>
      </c>
      <c r="E152" s="12">
        <v>405950</v>
      </c>
      <c r="F152" s="12">
        <f t="shared" si="8"/>
        <v>595669</v>
      </c>
      <c r="G152">
        <f>VLOOKUP(B152,'2015'!$B$2:$G$338,6,FALSE)</f>
        <v>0</v>
      </c>
      <c r="H152">
        <f t="shared" si="9"/>
        <v>0</v>
      </c>
      <c r="I152" s="2">
        <f t="shared" si="10"/>
        <v>405950</v>
      </c>
      <c r="J152" s="2">
        <f t="shared" si="11"/>
        <v>595669</v>
      </c>
      <c r="K152" s="2"/>
    </row>
    <row r="153" spans="1:11" x14ac:dyDescent="0.2">
      <c r="A153">
        <v>2016</v>
      </c>
      <c r="B153" s="34">
        <v>5099</v>
      </c>
      <c r="C153" s="3" t="s">
        <v>159</v>
      </c>
      <c r="D153" s="12">
        <v>654532</v>
      </c>
      <c r="E153" s="12">
        <v>1400530</v>
      </c>
      <c r="F153" s="12">
        <f t="shared" si="8"/>
        <v>2055062</v>
      </c>
      <c r="G153">
        <f>VLOOKUP(B153,'2015'!$B$2:$G$338,6,FALSE)</f>
        <v>0</v>
      </c>
      <c r="H153">
        <f t="shared" si="9"/>
        <v>0</v>
      </c>
      <c r="I153" s="2">
        <f t="shared" si="10"/>
        <v>1400530</v>
      </c>
      <c r="J153" s="2">
        <f t="shared" si="11"/>
        <v>2055062</v>
      </c>
      <c r="K153" s="2"/>
    </row>
    <row r="154" spans="1:11" x14ac:dyDescent="0.2">
      <c r="A154">
        <v>2016</v>
      </c>
      <c r="B154" s="34">
        <v>5100</v>
      </c>
      <c r="C154" s="3" t="s">
        <v>160</v>
      </c>
      <c r="D154" s="12">
        <v>748687</v>
      </c>
      <c r="E154" s="12">
        <v>1602000</v>
      </c>
      <c r="F154" s="12">
        <f t="shared" si="8"/>
        <v>2350687</v>
      </c>
      <c r="G154">
        <f>VLOOKUP(B154,'2015'!$B$2:$G$338,6,FALSE)</f>
        <v>0</v>
      </c>
      <c r="H154">
        <f t="shared" si="9"/>
        <v>0</v>
      </c>
      <c r="I154" s="2">
        <f t="shared" si="10"/>
        <v>1602000</v>
      </c>
      <c r="J154" s="2">
        <f t="shared" si="11"/>
        <v>2350687</v>
      </c>
      <c r="K154" s="2"/>
    </row>
    <row r="155" spans="1:11" x14ac:dyDescent="0.2">
      <c r="A155">
        <v>2016</v>
      </c>
      <c r="B155" s="34">
        <v>5101</v>
      </c>
      <c r="C155" s="3" t="s">
        <v>161</v>
      </c>
      <c r="D155" s="16">
        <v>497683</v>
      </c>
      <c r="E155" s="16">
        <v>1064920</v>
      </c>
      <c r="F155" s="12">
        <f t="shared" si="8"/>
        <v>1562603</v>
      </c>
      <c r="G155">
        <f>VLOOKUP(B155,'2015'!$B$2:$G$338,6,FALSE)</f>
        <v>0</v>
      </c>
      <c r="H155">
        <f t="shared" si="9"/>
        <v>0</v>
      </c>
      <c r="I155" s="2">
        <f t="shared" si="10"/>
        <v>1064920</v>
      </c>
      <c r="J155" s="2">
        <f t="shared" si="11"/>
        <v>1562603</v>
      </c>
      <c r="K155" s="2"/>
    </row>
    <row r="156" spans="1:11" x14ac:dyDescent="0.2">
      <c r="A156">
        <v>2016</v>
      </c>
      <c r="B156" s="34">
        <v>5102</v>
      </c>
      <c r="C156" s="3" t="s">
        <v>162</v>
      </c>
      <c r="D156" s="12">
        <v>1128894</v>
      </c>
      <c r="E156" s="12">
        <v>2415550</v>
      </c>
      <c r="F156" s="12">
        <f t="shared" si="8"/>
        <v>3544444</v>
      </c>
      <c r="G156">
        <f>VLOOKUP(B156,'2015'!$B$2:$G$338,6,FALSE)</f>
        <v>0</v>
      </c>
      <c r="H156">
        <f t="shared" si="9"/>
        <v>0</v>
      </c>
      <c r="I156" s="2">
        <f t="shared" si="10"/>
        <v>2415550</v>
      </c>
      <c r="J156" s="2">
        <f t="shared" si="11"/>
        <v>3544444</v>
      </c>
      <c r="K156" s="2"/>
    </row>
    <row r="157" spans="1:11" x14ac:dyDescent="0.2">
      <c r="A157">
        <v>2016</v>
      </c>
      <c r="B157" s="34">
        <v>5103</v>
      </c>
      <c r="C157" s="3" t="s">
        <v>163</v>
      </c>
      <c r="D157" s="12">
        <v>568687</v>
      </c>
      <c r="E157" s="12">
        <v>1216850</v>
      </c>
      <c r="F157" s="12">
        <f t="shared" si="8"/>
        <v>1785537</v>
      </c>
      <c r="G157">
        <f>VLOOKUP(B157,'2015'!$B$2:$G$338,6,FALSE)</f>
        <v>0</v>
      </c>
      <c r="H157">
        <f t="shared" si="9"/>
        <v>0</v>
      </c>
      <c r="I157" s="2">
        <f t="shared" si="10"/>
        <v>1216850</v>
      </c>
      <c r="J157" s="2">
        <f t="shared" si="11"/>
        <v>1785537</v>
      </c>
      <c r="K157" s="2"/>
    </row>
    <row r="158" spans="1:11" x14ac:dyDescent="0.2">
      <c r="A158">
        <v>2016</v>
      </c>
      <c r="B158" s="34">
        <v>5104</v>
      </c>
      <c r="C158" s="3" t="s">
        <v>164</v>
      </c>
      <c r="D158" s="12">
        <v>279258</v>
      </c>
      <c r="E158" s="12">
        <v>597540</v>
      </c>
      <c r="F158" s="12">
        <f t="shared" si="8"/>
        <v>876798</v>
      </c>
      <c r="G158">
        <f>VLOOKUP(B158,'2015'!$B$2:$G$338,6,FALSE)</f>
        <v>0</v>
      </c>
      <c r="H158">
        <f t="shared" si="9"/>
        <v>0</v>
      </c>
      <c r="I158" s="2">
        <f t="shared" si="10"/>
        <v>597540</v>
      </c>
      <c r="J158" s="2">
        <f t="shared" si="11"/>
        <v>876798</v>
      </c>
      <c r="K158" s="2"/>
    </row>
    <row r="159" spans="1:11" x14ac:dyDescent="0.2">
      <c r="A159">
        <v>2016</v>
      </c>
      <c r="B159" s="34">
        <v>5105</v>
      </c>
      <c r="C159" s="3" t="s">
        <v>165</v>
      </c>
      <c r="D159" s="12">
        <v>153025</v>
      </c>
      <c r="E159" s="12">
        <v>327430</v>
      </c>
      <c r="F159" s="12">
        <f t="shared" si="8"/>
        <v>480455</v>
      </c>
      <c r="G159">
        <f>VLOOKUP(B159,'2015'!$B$2:$G$338,6,FALSE)</f>
        <v>0</v>
      </c>
      <c r="H159">
        <f t="shared" si="9"/>
        <v>0</v>
      </c>
      <c r="I159" s="2">
        <f t="shared" si="10"/>
        <v>327430</v>
      </c>
      <c r="J159" s="2">
        <f t="shared" si="11"/>
        <v>480455</v>
      </c>
      <c r="K159" s="2"/>
    </row>
    <row r="160" spans="1:11" x14ac:dyDescent="0.2">
      <c r="A160">
        <v>2016</v>
      </c>
      <c r="B160" s="34">
        <v>5106</v>
      </c>
      <c r="C160" s="3" t="s">
        <v>166</v>
      </c>
      <c r="D160" s="12">
        <v>530972</v>
      </c>
      <c r="E160" s="12">
        <v>1136150</v>
      </c>
      <c r="F160" s="12">
        <f t="shared" si="8"/>
        <v>1667122</v>
      </c>
      <c r="G160">
        <f>VLOOKUP(B160,'2015'!$B$2:$G$338,6,FALSE)</f>
        <v>0</v>
      </c>
      <c r="H160">
        <f t="shared" si="9"/>
        <v>0</v>
      </c>
      <c r="I160" s="2">
        <f t="shared" si="10"/>
        <v>1136150</v>
      </c>
      <c r="J160" s="2">
        <f t="shared" si="11"/>
        <v>1667122</v>
      </c>
      <c r="K160" s="2"/>
    </row>
    <row r="161" spans="1:11" x14ac:dyDescent="0.2">
      <c r="A161">
        <v>2016</v>
      </c>
      <c r="B161" s="34">
        <v>5116</v>
      </c>
      <c r="C161" s="3" t="s">
        <v>167</v>
      </c>
      <c r="D161" s="12">
        <v>694138</v>
      </c>
      <c r="E161" s="12">
        <v>1485280</v>
      </c>
      <c r="F161" s="12">
        <f t="shared" si="8"/>
        <v>2179418</v>
      </c>
      <c r="G161">
        <f>VLOOKUP(B161,'2015'!$B$2:$G$338,6,FALSE)</f>
        <v>0</v>
      </c>
      <c r="H161">
        <f t="shared" si="9"/>
        <v>0</v>
      </c>
      <c r="I161" s="2">
        <f t="shared" si="10"/>
        <v>1485280</v>
      </c>
      <c r="J161" s="2">
        <f t="shared" si="11"/>
        <v>2179418</v>
      </c>
      <c r="K161" s="2"/>
    </row>
    <row r="162" spans="1:11" x14ac:dyDescent="0.2">
      <c r="A162">
        <v>2016</v>
      </c>
      <c r="B162" s="34">
        <v>5117</v>
      </c>
      <c r="C162" s="3" t="s">
        <v>168</v>
      </c>
      <c r="D162" s="12">
        <v>157042</v>
      </c>
      <c r="E162" s="12">
        <v>336030</v>
      </c>
      <c r="F162" s="12">
        <f t="shared" si="8"/>
        <v>493072</v>
      </c>
      <c r="G162">
        <f>VLOOKUP(B162,'2015'!$B$2:$G$338,6,FALSE)</f>
        <v>0</v>
      </c>
      <c r="H162">
        <f t="shared" si="9"/>
        <v>0</v>
      </c>
      <c r="I162" s="2">
        <f t="shared" si="10"/>
        <v>336030</v>
      </c>
      <c r="J162" s="2">
        <f t="shared" si="11"/>
        <v>493072</v>
      </c>
      <c r="K162" s="2"/>
    </row>
    <row r="163" spans="1:11" x14ac:dyDescent="0.2">
      <c r="A163">
        <v>2016</v>
      </c>
      <c r="B163" s="34">
        <v>5118</v>
      </c>
      <c r="C163" s="3" t="s">
        <v>169</v>
      </c>
      <c r="D163" s="12">
        <v>1018154</v>
      </c>
      <c r="E163" s="12">
        <v>2178590</v>
      </c>
      <c r="F163" s="12">
        <f t="shared" si="8"/>
        <v>3196744</v>
      </c>
      <c r="G163">
        <f>VLOOKUP(B163,'2015'!$B$2:$G$338,6,FALSE)</f>
        <v>0</v>
      </c>
      <c r="H163">
        <f t="shared" si="9"/>
        <v>0</v>
      </c>
      <c r="I163" s="2">
        <f t="shared" si="10"/>
        <v>2178590</v>
      </c>
      <c r="J163" s="2">
        <f t="shared" si="11"/>
        <v>3196744</v>
      </c>
      <c r="K163" s="2"/>
    </row>
    <row r="164" spans="1:11" x14ac:dyDescent="0.2">
      <c r="A164">
        <v>2016</v>
      </c>
      <c r="B164" s="34">
        <v>5119</v>
      </c>
      <c r="C164" s="3" t="s">
        <v>170</v>
      </c>
      <c r="D164" s="12">
        <v>190689</v>
      </c>
      <c r="E164" s="12">
        <v>408030</v>
      </c>
      <c r="F164" s="12">
        <f t="shared" si="8"/>
        <v>598719</v>
      </c>
      <c r="G164">
        <f>VLOOKUP(B164,'2015'!$B$2:$G$338,6,FALSE)</f>
        <v>0</v>
      </c>
      <c r="H164">
        <f t="shared" si="9"/>
        <v>0</v>
      </c>
      <c r="I164" s="2">
        <f t="shared" si="10"/>
        <v>408030</v>
      </c>
      <c r="J164" s="2">
        <f t="shared" si="11"/>
        <v>598719</v>
      </c>
      <c r="K164" s="2"/>
    </row>
    <row r="165" spans="1:11" x14ac:dyDescent="0.2">
      <c r="A165">
        <v>2016</v>
      </c>
      <c r="B165" s="34">
        <v>5120</v>
      </c>
      <c r="C165" s="3" t="s">
        <v>366</v>
      </c>
      <c r="D165" s="12">
        <v>3835627</v>
      </c>
      <c r="E165" s="12">
        <v>8207270</v>
      </c>
      <c r="F165" s="12">
        <f t="shared" si="8"/>
        <v>12042897</v>
      </c>
      <c r="G165">
        <f>VLOOKUP(B165,'2015'!$B$2:$G$338,6,FALSE)</f>
        <v>0</v>
      </c>
      <c r="H165">
        <f t="shared" si="9"/>
        <v>0</v>
      </c>
      <c r="I165" s="2">
        <f t="shared" si="10"/>
        <v>8207270</v>
      </c>
      <c r="J165" s="2">
        <f t="shared" si="11"/>
        <v>12042897</v>
      </c>
      <c r="K165" s="2"/>
    </row>
    <row r="166" spans="1:11" x14ac:dyDescent="0.2">
      <c r="A166">
        <v>2016</v>
      </c>
      <c r="B166" s="34">
        <v>5122</v>
      </c>
      <c r="C166" s="3" t="s">
        <v>172</v>
      </c>
      <c r="D166" s="12">
        <v>176849</v>
      </c>
      <c r="E166" s="12">
        <v>378410</v>
      </c>
      <c r="F166" s="12">
        <f t="shared" si="8"/>
        <v>555259</v>
      </c>
      <c r="G166">
        <f>VLOOKUP(B166,'2015'!$B$2:$G$338,6,FALSE)</f>
        <v>0</v>
      </c>
      <c r="H166">
        <f t="shared" si="9"/>
        <v>0</v>
      </c>
      <c r="I166" s="2">
        <f t="shared" si="10"/>
        <v>378410</v>
      </c>
      <c r="J166" s="2">
        <f t="shared" si="11"/>
        <v>555259</v>
      </c>
      <c r="K166" s="2"/>
    </row>
    <row r="167" spans="1:11" x14ac:dyDescent="0.2">
      <c r="A167">
        <v>2016</v>
      </c>
      <c r="B167" s="34">
        <v>5123</v>
      </c>
      <c r="C167" s="3" t="s">
        <v>173</v>
      </c>
      <c r="D167" s="12">
        <v>176700</v>
      </c>
      <c r="E167" s="12">
        <v>378090</v>
      </c>
      <c r="F167" s="12">
        <f t="shared" si="8"/>
        <v>554790</v>
      </c>
      <c r="G167">
        <f>VLOOKUP(B167,'2015'!$B$2:$G$338,6,FALSE)</f>
        <v>0</v>
      </c>
      <c r="H167">
        <f t="shared" si="9"/>
        <v>0</v>
      </c>
      <c r="I167" s="2">
        <f t="shared" si="10"/>
        <v>378090</v>
      </c>
      <c r="J167" s="2">
        <f t="shared" si="11"/>
        <v>554790</v>
      </c>
      <c r="K167" s="2"/>
    </row>
    <row r="168" spans="1:11" x14ac:dyDescent="0.2">
      <c r="A168">
        <v>2016</v>
      </c>
      <c r="B168" s="34">
        <v>5125</v>
      </c>
      <c r="C168" s="3" t="s">
        <v>174</v>
      </c>
      <c r="D168" s="12">
        <v>1202682</v>
      </c>
      <c r="E168" s="12">
        <v>2573440</v>
      </c>
      <c r="F168" s="12">
        <f t="shared" si="8"/>
        <v>3776122</v>
      </c>
      <c r="G168">
        <f>VLOOKUP(B168,'2015'!$B$2:$G$338,6,FALSE)</f>
        <v>0</v>
      </c>
      <c r="H168">
        <f t="shared" si="9"/>
        <v>0</v>
      </c>
      <c r="I168" s="2">
        <f t="shared" si="10"/>
        <v>2573440</v>
      </c>
      <c r="J168" s="2">
        <f t="shared" si="11"/>
        <v>3776122</v>
      </c>
      <c r="K168" s="2"/>
    </row>
    <row r="169" spans="1:11" x14ac:dyDescent="0.2">
      <c r="A169">
        <v>2016</v>
      </c>
      <c r="B169" s="34">
        <v>5127</v>
      </c>
      <c r="C169" s="3" t="s">
        <v>175</v>
      </c>
      <c r="D169" s="12">
        <v>150682</v>
      </c>
      <c r="E169" s="12">
        <v>322420</v>
      </c>
      <c r="F169" s="12">
        <f t="shared" si="8"/>
        <v>473102</v>
      </c>
      <c r="G169">
        <f>VLOOKUP(B169,'2015'!$B$2:$G$338,6,FALSE)</f>
        <v>0</v>
      </c>
      <c r="H169">
        <f t="shared" si="9"/>
        <v>0</v>
      </c>
      <c r="I169" s="2">
        <f t="shared" si="10"/>
        <v>322420</v>
      </c>
      <c r="J169" s="2">
        <f t="shared" si="11"/>
        <v>473102</v>
      </c>
      <c r="K169" s="2"/>
    </row>
    <row r="170" spans="1:11" x14ac:dyDescent="0.2">
      <c r="A170">
        <v>2016</v>
      </c>
      <c r="B170" s="34">
        <v>5128</v>
      </c>
      <c r="C170" s="3" t="s">
        <v>176</v>
      </c>
      <c r="D170" s="12">
        <v>222327</v>
      </c>
      <c r="E170" s="12">
        <v>475720</v>
      </c>
      <c r="F170" s="12">
        <f t="shared" si="8"/>
        <v>698047</v>
      </c>
      <c r="G170">
        <f>VLOOKUP(B170,'2015'!$B$2:$G$338,6,FALSE)</f>
        <v>0</v>
      </c>
      <c r="H170">
        <f t="shared" si="9"/>
        <v>0</v>
      </c>
      <c r="I170" s="2">
        <f t="shared" si="10"/>
        <v>475720</v>
      </c>
      <c r="J170" s="2">
        <f t="shared" si="11"/>
        <v>698047</v>
      </c>
      <c r="K170" s="2"/>
    </row>
    <row r="171" spans="1:11" x14ac:dyDescent="0.2">
      <c r="A171">
        <v>2016</v>
      </c>
      <c r="B171" s="34">
        <v>5129</v>
      </c>
      <c r="C171" s="3" t="s">
        <v>177</v>
      </c>
      <c r="D171" s="12">
        <v>593718</v>
      </c>
      <c r="E171" s="12">
        <v>1270410</v>
      </c>
      <c r="F171" s="12">
        <f t="shared" si="8"/>
        <v>1864128</v>
      </c>
      <c r="G171">
        <f>VLOOKUP(B171,'2015'!$B$2:$G$338,6,FALSE)</f>
        <v>0</v>
      </c>
      <c r="H171">
        <f t="shared" si="9"/>
        <v>0</v>
      </c>
      <c r="I171" s="2">
        <f t="shared" si="10"/>
        <v>1270410</v>
      </c>
      <c r="J171" s="2">
        <f t="shared" si="11"/>
        <v>1864128</v>
      </c>
      <c r="K171" s="2"/>
    </row>
    <row r="172" spans="1:11" x14ac:dyDescent="0.2">
      <c r="A172">
        <v>2016</v>
      </c>
      <c r="B172" s="34">
        <v>5130</v>
      </c>
      <c r="C172" s="3" t="s">
        <v>178</v>
      </c>
      <c r="D172" s="12">
        <v>491091</v>
      </c>
      <c r="E172" s="12">
        <v>1050810</v>
      </c>
      <c r="F172" s="12">
        <f t="shared" si="8"/>
        <v>1541901</v>
      </c>
      <c r="G172">
        <f>VLOOKUP(B172,'2015'!$B$2:$G$338,6,FALSE)</f>
        <v>0</v>
      </c>
      <c r="H172">
        <f t="shared" si="9"/>
        <v>0</v>
      </c>
      <c r="I172" s="2">
        <f t="shared" si="10"/>
        <v>1050810</v>
      </c>
      <c r="J172" s="2">
        <f t="shared" si="11"/>
        <v>1541901</v>
      </c>
      <c r="K172" s="2"/>
    </row>
    <row r="173" spans="1:11" x14ac:dyDescent="0.2">
      <c r="A173">
        <v>2016</v>
      </c>
      <c r="B173" s="34">
        <v>5131</v>
      </c>
      <c r="C173" s="3" t="s">
        <v>179</v>
      </c>
      <c r="D173" s="12">
        <v>575785</v>
      </c>
      <c r="E173" s="12">
        <v>1232030</v>
      </c>
      <c r="F173" s="12">
        <f t="shared" si="8"/>
        <v>1807815</v>
      </c>
      <c r="G173">
        <f>VLOOKUP(B173,'2015'!$B$2:$G$338,6,FALSE)</f>
        <v>0</v>
      </c>
      <c r="H173">
        <f t="shared" si="9"/>
        <v>0</v>
      </c>
      <c r="I173" s="2">
        <f t="shared" si="10"/>
        <v>1232030</v>
      </c>
      <c r="J173" s="2">
        <f t="shared" si="11"/>
        <v>1807815</v>
      </c>
      <c r="K173" s="2"/>
    </row>
    <row r="174" spans="1:11" x14ac:dyDescent="0.2">
      <c r="A174">
        <v>2016</v>
      </c>
      <c r="B174" s="34">
        <v>5132</v>
      </c>
      <c r="C174" s="3" t="s">
        <v>180</v>
      </c>
      <c r="D174" s="12">
        <v>2157444</v>
      </c>
      <c r="E174" s="12">
        <v>4616390</v>
      </c>
      <c r="F174" s="12">
        <f t="shared" si="8"/>
        <v>6773834</v>
      </c>
      <c r="G174">
        <f>VLOOKUP(B174,'2015'!$B$2:$G$338,6,FALSE)</f>
        <v>0</v>
      </c>
      <c r="H174">
        <f t="shared" si="9"/>
        <v>0</v>
      </c>
      <c r="I174" s="2">
        <f t="shared" si="10"/>
        <v>4616390</v>
      </c>
      <c r="J174" s="2">
        <f t="shared" si="11"/>
        <v>6773834</v>
      </c>
      <c r="K174" s="2"/>
    </row>
    <row r="175" spans="1:11" x14ac:dyDescent="0.2">
      <c r="A175">
        <v>2016</v>
      </c>
      <c r="B175" s="34">
        <v>5133</v>
      </c>
      <c r="C175" s="3" t="s">
        <v>361</v>
      </c>
      <c r="D175" s="12">
        <v>220478</v>
      </c>
      <c r="E175" s="12">
        <v>471770</v>
      </c>
      <c r="F175" s="12">
        <f t="shared" si="8"/>
        <v>692248</v>
      </c>
      <c r="G175">
        <f>VLOOKUP(B175,'2015'!$B$2:$G$338,6,FALSE)</f>
        <v>0</v>
      </c>
      <c r="H175">
        <f t="shared" si="9"/>
        <v>0</v>
      </c>
      <c r="I175" s="2">
        <f t="shared" si="10"/>
        <v>471770</v>
      </c>
      <c r="J175" s="2">
        <f t="shared" si="11"/>
        <v>692248</v>
      </c>
      <c r="K175" s="2"/>
    </row>
    <row r="176" spans="1:11" x14ac:dyDescent="0.2">
      <c r="A176">
        <v>2016</v>
      </c>
      <c r="B176" s="34">
        <v>5134</v>
      </c>
      <c r="C176" s="3" t="s">
        <v>182</v>
      </c>
      <c r="D176" s="12">
        <v>210463</v>
      </c>
      <c r="E176" s="12">
        <v>450340</v>
      </c>
      <c r="F176" s="12">
        <f t="shared" si="8"/>
        <v>660803</v>
      </c>
      <c r="G176">
        <f>VLOOKUP(B176,'2015'!$B$2:$G$338,6,FALSE)</f>
        <v>0</v>
      </c>
      <c r="H176">
        <f t="shared" si="9"/>
        <v>0</v>
      </c>
      <c r="I176" s="2">
        <f t="shared" si="10"/>
        <v>450340</v>
      </c>
      <c r="J176" s="2">
        <f t="shared" si="11"/>
        <v>660803</v>
      </c>
      <c r="K176" s="2"/>
    </row>
    <row r="177" spans="1:11" x14ac:dyDescent="0.2">
      <c r="A177">
        <v>2016</v>
      </c>
      <c r="B177" s="34">
        <v>5135</v>
      </c>
      <c r="C177" s="3" t="s">
        <v>183</v>
      </c>
      <c r="D177" s="12">
        <v>1122560</v>
      </c>
      <c r="E177" s="12">
        <v>2402000</v>
      </c>
      <c r="F177" s="12">
        <f t="shared" si="8"/>
        <v>3524560</v>
      </c>
      <c r="G177">
        <f>VLOOKUP(B177,'2015'!$B$2:$G$338,6,FALSE)</f>
        <v>0</v>
      </c>
      <c r="H177">
        <f t="shared" si="9"/>
        <v>0</v>
      </c>
      <c r="I177" s="2">
        <f t="shared" si="10"/>
        <v>2402000</v>
      </c>
      <c r="J177" s="2">
        <f t="shared" si="11"/>
        <v>3524560</v>
      </c>
      <c r="K177" s="2"/>
    </row>
    <row r="178" spans="1:11" x14ac:dyDescent="0.2">
      <c r="A178">
        <v>2016</v>
      </c>
      <c r="B178" s="34">
        <v>5137</v>
      </c>
      <c r="C178" s="3" t="s">
        <v>184</v>
      </c>
      <c r="D178" s="12">
        <v>148655</v>
      </c>
      <c r="E178" s="12">
        <v>318080</v>
      </c>
      <c r="F178" s="12">
        <f t="shared" si="8"/>
        <v>466735</v>
      </c>
      <c r="G178">
        <f>VLOOKUP(B178,'2015'!$B$2:$G$338,6,FALSE)</f>
        <v>0</v>
      </c>
      <c r="H178">
        <f t="shared" si="9"/>
        <v>0</v>
      </c>
      <c r="I178" s="2">
        <f t="shared" si="10"/>
        <v>318080</v>
      </c>
      <c r="J178" s="2">
        <f t="shared" si="11"/>
        <v>466735</v>
      </c>
      <c r="K178" s="2"/>
    </row>
    <row r="179" spans="1:11" x14ac:dyDescent="0.2">
      <c r="A179">
        <v>2016</v>
      </c>
      <c r="B179" s="34">
        <v>5138</v>
      </c>
      <c r="C179" s="3" t="s">
        <v>185</v>
      </c>
      <c r="D179" s="12">
        <v>198091</v>
      </c>
      <c r="E179" s="12">
        <v>423860</v>
      </c>
      <c r="F179" s="12">
        <f t="shared" si="8"/>
        <v>621951</v>
      </c>
      <c r="G179">
        <f>VLOOKUP(B179,'2015'!$B$2:$G$338,6,FALSE)</f>
        <v>0</v>
      </c>
      <c r="H179">
        <f t="shared" si="9"/>
        <v>0</v>
      </c>
      <c r="I179" s="2">
        <f t="shared" si="10"/>
        <v>423860</v>
      </c>
      <c r="J179" s="2">
        <f t="shared" si="11"/>
        <v>621951</v>
      </c>
      <c r="K179" s="2"/>
    </row>
    <row r="180" spans="1:11" x14ac:dyDescent="0.2">
      <c r="A180">
        <v>2016</v>
      </c>
      <c r="B180" s="34">
        <v>5140</v>
      </c>
      <c r="C180" s="3" t="s">
        <v>186</v>
      </c>
      <c r="D180" s="12">
        <v>235609</v>
      </c>
      <c r="E180" s="12">
        <v>504140</v>
      </c>
      <c r="F180" s="12">
        <f t="shared" si="8"/>
        <v>739749</v>
      </c>
      <c r="G180">
        <f>VLOOKUP(B180,'2015'!$B$2:$G$338,6,FALSE)</f>
        <v>0</v>
      </c>
      <c r="H180">
        <f t="shared" si="9"/>
        <v>0</v>
      </c>
      <c r="I180" s="2">
        <f t="shared" si="10"/>
        <v>504140</v>
      </c>
      <c r="J180" s="2">
        <f t="shared" si="11"/>
        <v>739749</v>
      </c>
      <c r="K180" s="2"/>
    </row>
    <row r="181" spans="1:11" x14ac:dyDescent="0.2">
      <c r="A181">
        <v>2016</v>
      </c>
      <c r="B181" s="34">
        <v>5141</v>
      </c>
      <c r="C181" s="3" t="s">
        <v>187</v>
      </c>
      <c r="D181" s="12">
        <v>295341</v>
      </c>
      <c r="E181" s="12">
        <v>631960</v>
      </c>
      <c r="F181" s="12">
        <f t="shared" si="8"/>
        <v>927301</v>
      </c>
      <c r="G181">
        <f>VLOOKUP(B181,'2015'!$B$2:$G$338,6,FALSE)</f>
        <v>0</v>
      </c>
      <c r="H181">
        <f t="shared" si="9"/>
        <v>0</v>
      </c>
      <c r="I181" s="2">
        <f t="shared" si="10"/>
        <v>631960</v>
      </c>
      <c r="J181" s="2">
        <f t="shared" si="11"/>
        <v>927301</v>
      </c>
      <c r="K181" s="2"/>
    </row>
    <row r="182" spans="1:11" x14ac:dyDescent="0.2">
      <c r="A182">
        <v>2016</v>
      </c>
      <c r="B182" s="34">
        <v>5142</v>
      </c>
      <c r="C182" s="3" t="s">
        <v>188</v>
      </c>
      <c r="D182" s="12">
        <v>67685</v>
      </c>
      <c r="E182" s="12">
        <v>144830</v>
      </c>
      <c r="F182" s="12">
        <f t="shared" si="8"/>
        <v>212515</v>
      </c>
      <c r="G182">
        <f>VLOOKUP(B182,'2015'!$B$2:$G$338,6,FALSE)</f>
        <v>0</v>
      </c>
      <c r="H182">
        <f t="shared" si="9"/>
        <v>0</v>
      </c>
      <c r="I182" s="2">
        <f t="shared" si="10"/>
        <v>144830</v>
      </c>
      <c r="J182" s="2">
        <f t="shared" si="11"/>
        <v>212515</v>
      </c>
      <c r="K182" s="2"/>
    </row>
    <row r="183" spans="1:11" x14ac:dyDescent="0.2">
      <c r="A183">
        <v>2016</v>
      </c>
      <c r="B183" s="34">
        <v>5143</v>
      </c>
      <c r="C183" s="3" t="s">
        <v>189</v>
      </c>
      <c r="D183" s="12">
        <v>431746</v>
      </c>
      <c r="E183" s="12">
        <v>923830</v>
      </c>
      <c r="F183" s="12">
        <f t="shared" si="8"/>
        <v>1355576</v>
      </c>
      <c r="G183">
        <f>VLOOKUP(B183,'2015'!$B$2:$G$338,6,FALSE)</f>
        <v>0</v>
      </c>
      <c r="H183">
        <f t="shared" si="9"/>
        <v>0</v>
      </c>
      <c r="I183" s="2">
        <f t="shared" si="10"/>
        <v>923830</v>
      </c>
      <c r="J183" s="2">
        <f t="shared" si="11"/>
        <v>1355576</v>
      </c>
      <c r="K183" s="2"/>
    </row>
    <row r="184" spans="1:11" x14ac:dyDescent="0.2">
      <c r="A184">
        <v>2016</v>
      </c>
      <c r="B184" s="34">
        <v>5144</v>
      </c>
      <c r="C184" s="3" t="s">
        <v>190</v>
      </c>
      <c r="D184" s="12">
        <v>214529</v>
      </c>
      <c r="E184" s="12">
        <v>459040</v>
      </c>
      <c r="F184" s="12">
        <f t="shared" si="8"/>
        <v>673569</v>
      </c>
      <c r="G184">
        <f>VLOOKUP(B184,'2015'!$B$2:$G$338,6,FALSE)</f>
        <v>0</v>
      </c>
      <c r="H184">
        <f t="shared" si="9"/>
        <v>0</v>
      </c>
      <c r="I184" s="2">
        <f t="shared" si="10"/>
        <v>459040</v>
      </c>
      <c r="J184" s="2">
        <f t="shared" si="11"/>
        <v>673569</v>
      </c>
      <c r="K184" s="2"/>
    </row>
    <row r="185" spans="1:11" x14ac:dyDescent="0.2">
      <c r="A185">
        <v>2016</v>
      </c>
      <c r="B185" s="34">
        <v>5145</v>
      </c>
      <c r="C185" s="3" t="s">
        <v>191</v>
      </c>
      <c r="D185" s="12">
        <v>203022</v>
      </c>
      <c r="E185" s="12">
        <v>434420</v>
      </c>
      <c r="F185" s="12">
        <f t="shared" si="8"/>
        <v>637442</v>
      </c>
      <c r="G185">
        <f>VLOOKUP(B185,'2015'!$B$2:$G$338,6,FALSE)</f>
        <v>0</v>
      </c>
      <c r="H185">
        <f t="shared" si="9"/>
        <v>0</v>
      </c>
      <c r="I185" s="2">
        <f t="shared" si="10"/>
        <v>434420</v>
      </c>
      <c r="J185" s="2">
        <f t="shared" si="11"/>
        <v>637442</v>
      </c>
      <c r="K185" s="2"/>
    </row>
    <row r="186" spans="1:11" x14ac:dyDescent="0.2">
      <c r="A186">
        <v>2016</v>
      </c>
      <c r="B186" s="34">
        <v>5147</v>
      </c>
      <c r="C186" s="3" t="s">
        <v>192</v>
      </c>
      <c r="D186" s="12">
        <v>4120865</v>
      </c>
      <c r="E186" s="12">
        <v>8817610</v>
      </c>
      <c r="F186" s="12">
        <f t="shared" si="8"/>
        <v>12938475</v>
      </c>
      <c r="G186">
        <f>VLOOKUP(B186,'2015'!$B$2:$G$338,6,FALSE)</f>
        <v>0</v>
      </c>
      <c r="H186">
        <f t="shared" si="9"/>
        <v>0</v>
      </c>
      <c r="I186" s="2">
        <f t="shared" si="10"/>
        <v>8817610</v>
      </c>
      <c r="J186" s="2">
        <f t="shared" si="11"/>
        <v>12938475</v>
      </c>
      <c r="K186" s="2"/>
    </row>
    <row r="187" spans="1:11" x14ac:dyDescent="0.2">
      <c r="A187">
        <v>2016</v>
      </c>
      <c r="B187" s="34">
        <v>5148</v>
      </c>
      <c r="C187" s="3" t="s">
        <v>193</v>
      </c>
      <c r="D187" s="12">
        <v>412262</v>
      </c>
      <c r="E187" s="12">
        <v>882140</v>
      </c>
      <c r="F187" s="12">
        <f t="shared" si="8"/>
        <v>1294402</v>
      </c>
      <c r="G187">
        <f>VLOOKUP(B187,'2015'!$B$2:$G$338,6,FALSE)</f>
        <v>0</v>
      </c>
      <c r="H187">
        <f t="shared" si="9"/>
        <v>0</v>
      </c>
      <c r="I187" s="2">
        <f t="shared" si="10"/>
        <v>882140</v>
      </c>
      <c r="J187" s="2">
        <f t="shared" si="11"/>
        <v>1294402</v>
      </c>
      <c r="K187" s="2"/>
    </row>
    <row r="188" spans="1:11" x14ac:dyDescent="0.2">
      <c r="A188">
        <v>2016</v>
      </c>
      <c r="B188" s="34">
        <v>5149</v>
      </c>
      <c r="C188" s="3" t="s">
        <v>194</v>
      </c>
      <c r="D188" s="12">
        <v>732328</v>
      </c>
      <c r="E188" s="12">
        <v>1567000</v>
      </c>
      <c r="F188" s="12">
        <f t="shared" si="8"/>
        <v>2299328</v>
      </c>
      <c r="G188">
        <f>VLOOKUP(B188,'2015'!$B$2:$G$338,6,FALSE)</f>
        <v>0</v>
      </c>
      <c r="H188">
        <f t="shared" si="9"/>
        <v>0</v>
      </c>
      <c r="I188" s="2">
        <f t="shared" si="10"/>
        <v>1567000</v>
      </c>
      <c r="J188" s="2">
        <f t="shared" si="11"/>
        <v>2299328</v>
      </c>
      <c r="K188" s="2"/>
    </row>
    <row r="189" spans="1:11" x14ac:dyDescent="0.2">
      <c r="A189">
        <v>2016</v>
      </c>
      <c r="B189" s="34">
        <v>5150</v>
      </c>
      <c r="C189" s="3" t="s">
        <v>247</v>
      </c>
      <c r="D189" s="12">
        <v>789613</v>
      </c>
      <c r="E189" s="12">
        <v>1689570</v>
      </c>
      <c r="F189" s="12">
        <f t="shared" si="8"/>
        <v>2479183</v>
      </c>
      <c r="G189">
        <f>VLOOKUP(B189,'2015'!$B$2:$G$338,6,FALSE)</f>
        <v>0</v>
      </c>
      <c r="H189">
        <f t="shared" si="9"/>
        <v>0</v>
      </c>
      <c r="I189" s="2">
        <f t="shared" si="10"/>
        <v>1689570</v>
      </c>
      <c r="J189" s="2">
        <f t="shared" si="11"/>
        <v>2479183</v>
      </c>
      <c r="K189" s="2"/>
    </row>
    <row r="190" spans="1:11" x14ac:dyDescent="0.2">
      <c r="A190">
        <v>2016</v>
      </c>
      <c r="B190" s="34">
        <v>5151</v>
      </c>
      <c r="C190" s="3" t="s">
        <v>196</v>
      </c>
      <c r="D190" s="12">
        <v>254306</v>
      </c>
      <c r="E190" s="12">
        <v>544150</v>
      </c>
      <c r="F190" s="12">
        <f t="shared" si="8"/>
        <v>798456</v>
      </c>
      <c r="G190">
        <f>VLOOKUP(B190,'2015'!$B$2:$G$338,6,FALSE)</f>
        <v>0</v>
      </c>
      <c r="H190">
        <f t="shared" si="9"/>
        <v>0</v>
      </c>
      <c r="I190" s="2">
        <f t="shared" si="10"/>
        <v>544150</v>
      </c>
      <c r="J190" s="2">
        <f t="shared" si="11"/>
        <v>798456</v>
      </c>
      <c r="K190" s="2"/>
    </row>
    <row r="191" spans="1:11" x14ac:dyDescent="0.2">
      <c r="A191">
        <v>2016</v>
      </c>
      <c r="B191" s="34">
        <v>5152</v>
      </c>
      <c r="C191" s="3" t="s">
        <v>197</v>
      </c>
      <c r="D191" s="12">
        <v>401807</v>
      </c>
      <c r="E191" s="12">
        <v>859770</v>
      </c>
      <c r="F191" s="12">
        <f t="shared" si="8"/>
        <v>1261577</v>
      </c>
      <c r="G191">
        <f>VLOOKUP(B191,'2015'!$B$2:$G$338,6,FALSE)</f>
        <v>0</v>
      </c>
      <c r="H191">
        <f t="shared" si="9"/>
        <v>0</v>
      </c>
      <c r="I191" s="2">
        <f t="shared" si="10"/>
        <v>859770</v>
      </c>
      <c r="J191" s="2">
        <f t="shared" si="11"/>
        <v>1261577</v>
      </c>
      <c r="K191" s="2"/>
    </row>
    <row r="192" spans="1:11" x14ac:dyDescent="0.2">
      <c r="A192">
        <v>2016</v>
      </c>
      <c r="B192" s="34">
        <v>5153</v>
      </c>
      <c r="C192" s="3" t="s">
        <v>198</v>
      </c>
      <c r="D192" s="12">
        <v>108743</v>
      </c>
      <c r="E192" s="12">
        <v>232680</v>
      </c>
      <c r="F192" s="12">
        <f t="shared" si="8"/>
        <v>341423</v>
      </c>
      <c r="G192">
        <f>VLOOKUP(B192,'2015'!$B$2:$G$338,6,FALSE)</f>
        <v>0</v>
      </c>
      <c r="H192">
        <f t="shared" si="9"/>
        <v>0</v>
      </c>
      <c r="I192" s="2">
        <f t="shared" si="10"/>
        <v>232680</v>
      </c>
      <c r="J192" s="2">
        <f t="shared" si="11"/>
        <v>341423</v>
      </c>
      <c r="K192" s="2"/>
    </row>
    <row r="193" spans="1:11" x14ac:dyDescent="0.2">
      <c r="A193">
        <v>2016</v>
      </c>
      <c r="B193" s="34">
        <v>5154</v>
      </c>
      <c r="C193" s="3" t="s">
        <v>199</v>
      </c>
      <c r="D193" s="12">
        <v>164041</v>
      </c>
      <c r="E193" s="12">
        <v>351010</v>
      </c>
      <c r="F193" s="12">
        <f t="shared" si="8"/>
        <v>515051</v>
      </c>
      <c r="G193">
        <f>VLOOKUP(B193,'2015'!$B$2:$G$338,6,FALSE)</f>
        <v>0</v>
      </c>
      <c r="H193">
        <f t="shared" si="9"/>
        <v>0</v>
      </c>
      <c r="I193" s="2">
        <f t="shared" si="10"/>
        <v>351010</v>
      </c>
      <c r="J193" s="2">
        <f t="shared" si="11"/>
        <v>515051</v>
      </c>
      <c r="K193" s="2"/>
    </row>
    <row r="194" spans="1:11" x14ac:dyDescent="0.2">
      <c r="A194">
        <v>2016</v>
      </c>
      <c r="B194" s="34">
        <v>5155</v>
      </c>
      <c r="C194" s="3" t="s">
        <v>200</v>
      </c>
      <c r="D194" s="12">
        <v>173279</v>
      </c>
      <c r="E194" s="12">
        <v>370770</v>
      </c>
      <c r="F194" s="12">
        <f t="shared" ref="F194:F257" si="12">SUM(D194:E194)</f>
        <v>544049</v>
      </c>
      <c r="G194">
        <f>VLOOKUP(B194,'2015'!$B$2:$G$338,6,FALSE)</f>
        <v>0</v>
      </c>
      <c r="H194">
        <f t="shared" si="9"/>
        <v>0</v>
      </c>
      <c r="I194" s="2">
        <f t="shared" si="10"/>
        <v>370770</v>
      </c>
      <c r="J194" s="2">
        <f t="shared" si="11"/>
        <v>544049</v>
      </c>
      <c r="K194" s="2"/>
    </row>
    <row r="195" spans="1:11" x14ac:dyDescent="0.2">
      <c r="A195">
        <v>2016</v>
      </c>
      <c r="B195" s="34">
        <v>5156</v>
      </c>
      <c r="C195" s="3" t="s">
        <v>201</v>
      </c>
      <c r="D195" s="12">
        <v>520317</v>
      </c>
      <c r="E195" s="12">
        <v>1113350</v>
      </c>
      <c r="F195" s="12">
        <f t="shared" si="12"/>
        <v>1633667</v>
      </c>
      <c r="G195">
        <f>VLOOKUP(B195,'2015'!$B$2:$G$338,6,FALSE)</f>
        <v>0</v>
      </c>
      <c r="H195">
        <f t="shared" ref="H195:H258" si="13">G195*$H$340</f>
        <v>0</v>
      </c>
      <c r="I195" s="2">
        <f t="shared" ref="I195:I258" si="14">SUM(E195,H195)</f>
        <v>1113350</v>
      </c>
      <c r="J195" s="2">
        <f t="shared" ref="J195:J258" si="15">SUM(H195,D195:E195)</f>
        <v>1633667</v>
      </c>
      <c r="K195" s="2"/>
    </row>
    <row r="196" spans="1:11" x14ac:dyDescent="0.2">
      <c r="A196">
        <v>2016</v>
      </c>
      <c r="B196" s="34">
        <v>5157</v>
      </c>
      <c r="C196" s="3" t="s">
        <v>202</v>
      </c>
      <c r="D196" s="12">
        <v>123838</v>
      </c>
      <c r="E196" s="12">
        <v>264980</v>
      </c>
      <c r="F196" s="12">
        <f t="shared" si="12"/>
        <v>388818</v>
      </c>
      <c r="G196">
        <f>VLOOKUP(B196,'2015'!$B$2:$G$338,6,FALSE)</f>
        <v>0</v>
      </c>
      <c r="H196">
        <f t="shared" si="13"/>
        <v>0</v>
      </c>
      <c r="I196" s="2">
        <f t="shared" si="14"/>
        <v>264980</v>
      </c>
      <c r="J196" s="2">
        <f t="shared" si="15"/>
        <v>388818</v>
      </c>
      <c r="K196" s="2"/>
    </row>
    <row r="197" spans="1:11" x14ac:dyDescent="0.2">
      <c r="A197">
        <v>2016</v>
      </c>
      <c r="B197" s="34">
        <v>5158</v>
      </c>
      <c r="C197" s="3" t="s">
        <v>203</v>
      </c>
      <c r="D197" s="12">
        <v>548554</v>
      </c>
      <c r="E197" s="12">
        <v>1173770</v>
      </c>
      <c r="F197" s="12">
        <f t="shared" si="12"/>
        <v>1722324</v>
      </c>
      <c r="G197">
        <f>VLOOKUP(B197,'2015'!$B$2:$G$338,6,FALSE)</f>
        <v>0</v>
      </c>
      <c r="H197">
        <f t="shared" si="13"/>
        <v>0</v>
      </c>
      <c r="I197" s="2">
        <f t="shared" si="14"/>
        <v>1173770</v>
      </c>
      <c r="J197" s="2">
        <f t="shared" si="15"/>
        <v>1722324</v>
      </c>
      <c r="K197" s="2"/>
    </row>
    <row r="198" spans="1:11" x14ac:dyDescent="0.2">
      <c r="A198">
        <v>2016</v>
      </c>
      <c r="B198" s="34">
        <v>5159</v>
      </c>
      <c r="C198" s="3" t="s">
        <v>204</v>
      </c>
      <c r="D198" s="12">
        <v>802864</v>
      </c>
      <c r="E198" s="12">
        <v>1717930</v>
      </c>
      <c r="F198" s="12">
        <f t="shared" si="12"/>
        <v>2520794</v>
      </c>
      <c r="G198">
        <f>VLOOKUP(B198,'2015'!$B$2:$G$338,6,FALSE)</f>
        <v>0</v>
      </c>
      <c r="H198">
        <f t="shared" si="13"/>
        <v>0</v>
      </c>
      <c r="I198" s="2">
        <f t="shared" si="14"/>
        <v>1717930</v>
      </c>
      <c r="J198" s="2">
        <f t="shared" si="15"/>
        <v>2520794</v>
      </c>
      <c r="K198" s="2"/>
    </row>
    <row r="199" spans="1:11" x14ac:dyDescent="0.2">
      <c r="A199">
        <v>2016</v>
      </c>
      <c r="B199" s="34">
        <v>5160</v>
      </c>
      <c r="C199" s="3" t="s">
        <v>205</v>
      </c>
      <c r="D199" s="12">
        <v>235933</v>
      </c>
      <c r="E199" s="12">
        <v>504840</v>
      </c>
      <c r="F199" s="12">
        <f t="shared" si="12"/>
        <v>740773</v>
      </c>
      <c r="G199">
        <f>VLOOKUP(B199,'2015'!$B$2:$G$338,6,FALSE)</f>
        <v>0</v>
      </c>
      <c r="H199">
        <f t="shared" si="13"/>
        <v>0</v>
      </c>
      <c r="I199" s="2">
        <f t="shared" si="14"/>
        <v>504840</v>
      </c>
      <c r="J199" s="2">
        <f t="shared" si="15"/>
        <v>740773</v>
      </c>
      <c r="K199" s="2"/>
    </row>
    <row r="200" spans="1:11" x14ac:dyDescent="0.2">
      <c r="A200">
        <v>2016</v>
      </c>
      <c r="B200" s="34">
        <v>5161</v>
      </c>
      <c r="C200" s="3" t="s">
        <v>206</v>
      </c>
      <c r="D200" s="12">
        <v>306532</v>
      </c>
      <c r="E200" s="12">
        <v>655900</v>
      </c>
      <c r="F200" s="12">
        <f t="shared" si="12"/>
        <v>962432</v>
      </c>
      <c r="G200">
        <f>VLOOKUP(B200,'2015'!$B$2:$G$338,6,FALSE)</f>
        <v>0</v>
      </c>
      <c r="H200">
        <f t="shared" si="13"/>
        <v>0</v>
      </c>
      <c r="I200" s="2">
        <f t="shared" si="14"/>
        <v>655900</v>
      </c>
      <c r="J200" s="2">
        <f t="shared" si="15"/>
        <v>962432</v>
      </c>
      <c r="K200" s="2"/>
    </row>
    <row r="201" spans="1:11" x14ac:dyDescent="0.2">
      <c r="A201">
        <v>2016</v>
      </c>
      <c r="B201" s="34">
        <v>5162</v>
      </c>
      <c r="C201" s="3" t="s">
        <v>207</v>
      </c>
      <c r="D201" s="12">
        <v>364704</v>
      </c>
      <c r="E201" s="12">
        <v>780370</v>
      </c>
      <c r="F201" s="12">
        <f t="shared" si="12"/>
        <v>1145074</v>
      </c>
      <c r="G201">
        <f>VLOOKUP(B201,'2015'!$B$2:$G$338,6,FALSE)</f>
        <v>0</v>
      </c>
      <c r="H201">
        <f t="shared" si="13"/>
        <v>0</v>
      </c>
      <c r="I201" s="2">
        <f t="shared" si="14"/>
        <v>780370</v>
      </c>
      <c r="J201" s="2">
        <f t="shared" si="15"/>
        <v>1145074</v>
      </c>
      <c r="K201" s="2"/>
    </row>
    <row r="202" spans="1:11" x14ac:dyDescent="0.2">
      <c r="A202">
        <v>2016</v>
      </c>
      <c r="B202" s="34">
        <v>5163</v>
      </c>
      <c r="C202" s="3" t="s">
        <v>208</v>
      </c>
      <c r="D202" s="12">
        <v>214976</v>
      </c>
      <c r="E202" s="12">
        <v>459990</v>
      </c>
      <c r="F202" s="12">
        <f t="shared" si="12"/>
        <v>674966</v>
      </c>
      <c r="G202">
        <f>VLOOKUP(B202,'2015'!$B$2:$G$338,6,FALSE)</f>
        <v>0</v>
      </c>
      <c r="H202">
        <f t="shared" si="13"/>
        <v>0</v>
      </c>
      <c r="I202" s="2">
        <f t="shared" si="14"/>
        <v>459990</v>
      </c>
      <c r="J202" s="2">
        <f t="shared" si="15"/>
        <v>674966</v>
      </c>
      <c r="K202" s="2"/>
    </row>
    <row r="203" spans="1:11" x14ac:dyDescent="0.2">
      <c r="A203">
        <v>2016</v>
      </c>
      <c r="B203" s="34">
        <v>5164</v>
      </c>
      <c r="C203" s="3" t="s">
        <v>209</v>
      </c>
      <c r="D203" s="12">
        <v>224877</v>
      </c>
      <c r="E203" s="12">
        <v>481180</v>
      </c>
      <c r="F203" s="12">
        <f t="shared" si="12"/>
        <v>706057</v>
      </c>
      <c r="G203">
        <f>VLOOKUP(B203,'2015'!$B$2:$G$338,6,FALSE)</f>
        <v>0</v>
      </c>
      <c r="H203">
        <f t="shared" si="13"/>
        <v>0</v>
      </c>
      <c r="I203" s="2">
        <f t="shared" si="14"/>
        <v>481180</v>
      </c>
      <c r="J203" s="2">
        <f t="shared" si="15"/>
        <v>706057</v>
      </c>
      <c r="K203" s="2"/>
    </row>
    <row r="204" spans="1:11" x14ac:dyDescent="0.2">
      <c r="A204">
        <v>2016</v>
      </c>
      <c r="B204" s="34">
        <v>5166</v>
      </c>
      <c r="C204" s="3" t="s">
        <v>210</v>
      </c>
      <c r="D204" s="12">
        <v>221623</v>
      </c>
      <c r="E204" s="12">
        <v>474220</v>
      </c>
      <c r="F204" s="12">
        <f t="shared" si="12"/>
        <v>695843</v>
      </c>
      <c r="G204">
        <f>VLOOKUP(B204,'2015'!$B$2:$G$338,6,FALSE)</f>
        <v>0</v>
      </c>
      <c r="H204">
        <f t="shared" si="13"/>
        <v>0</v>
      </c>
      <c r="I204" s="2">
        <f t="shared" si="14"/>
        <v>474220</v>
      </c>
      <c r="J204" s="2">
        <f t="shared" si="15"/>
        <v>695843</v>
      </c>
      <c r="K204" s="2"/>
    </row>
    <row r="205" spans="1:11" x14ac:dyDescent="0.2">
      <c r="A205">
        <v>2016</v>
      </c>
      <c r="B205" s="34">
        <v>5167</v>
      </c>
      <c r="C205" s="3" t="s">
        <v>211</v>
      </c>
      <c r="D205" s="12">
        <v>426931</v>
      </c>
      <c r="E205" s="12">
        <v>913520</v>
      </c>
      <c r="F205" s="12">
        <f t="shared" si="12"/>
        <v>1340451</v>
      </c>
      <c r="G205">
        <f>VLOOKUP(B205,'2015'!$B$2:$G$338,6,FALSE)</f>
        <v>0</v>
      </c>
      <c r="H205">
        <f t="shared" si="13"/>
        <v>0</v>
      </c>
      <c r="I205" s="2">
        <f t="shared" si="14"/>
        <v>913520</v>
      </c>
      <c r="J205" s="2">
        <f t="shared" si="15"/>
        <v>1340451</v>
      </c>
      <c r="K205" s="2"/>
    </row>
    <row r="206" spans="1:11" x14ac:dyDescent="0.2">
      <c r="A206">
        <v>2016</v>
      </c>
      <c r="B206" s="34">
        <v>5168</v>
      </c>
      <c r="C206" s="3" t="s">
        <v>212</v>
      </c>
      <c r="D206" s="12">
        <v>428118</v>
      </c>
      <c r="E206" s="12">
        <v>916060</v>
      </c>
      <c r="F206" s="12">
        <f t="shared" si="12"/>
        <v>1344178</v>
      </c>
      <c r="G206">
        <f>VLOOKUP(B206,'2015'!$B$2:$G$338,6,FALSE)</f>
        <v>0</v>
      </c>
      <c r="H206">
        <f t="shared" si="13"/>
        <v>0</v>
      </c>
      <c r="I206" s="2">
        <f t="shared" si="14"/>
        <v>916060</v>
      </c>
      <c r="J206" s="2">
        <f t="shared" si="15"/>
        <v>1344178</v>
      </c>
      <c r="K206" s="2"/>
    </row>
    <row r="207" spans="1:11" x14ac:dyDescent="0.2">
      <c r="A207">
        <v>2016</v>
      </c>
      <c r="B207" s="34">
        <v>5171</v>
      </c>
      <c r="C207" s="3" t="s">
        <v>213</v>
      </c>
      <c r="D207" s="12">
        <v>240994</v>
      </c>
      <c r="E207" s="12">
        <v>515670</v>
      </c>
      <c r="F207" s="12">
        <f t="shared" si="12"/>
        <v>756664</v>
      </c>
      <c r="G207">
        <f>VLOOKUP(B207,'2015'!$B$2:$G$338,6,FALSE)</f>
        <v>0</v>
      </c>
      <c r="H207">
        <f t="shared" si="13"/>
        <v>0</v>
      </c>
      <c r="I207" s="2">
        <f t="shared" si="14"/>
        <v>515670</v>
      </c>
      <c r="J207" s="2">
        <f t="shared" si="15"/>
        <v>756664</v>
      </c>
      <c r="K207" s="2"/>
    </row>
    <row r="208" spans="1:11" x14ac:dyDescent="0.2">
      <c r="A208">
        <v>2016</v>
      </c>
      <c r="B208" s="34">
        <v>5172</v>
      </c>
      <c r="C208" s="3" t="s">
        <v>214</v>
      </c>
      <c r="D208" s="12">
        <v>541052</v>
      </c>
      <c r="E208" s="12">
        <v>1157710</v>
      </c>
      <c r="F208" s="12">
        <f t="shared" si="12"/>
        <v>1698762</v>
      </c>
      <c r="G208">
        <f>VLOOKUP(B208,'2015'!$B$2:$G$338,6,FALSE)</f>
        <v>0</v>
      </c>
      <c r="H208">
        <f t="shared" si="13"/>
        <v>0</v>
      </c>
      <c r="I208" s="2">
        <f t="shared" si="14"/>
        <v>1157710</v>
      </c>
      <c r="J208" s="2">
        <f t="shared" si="15"/>
        <v>1698762</v>
      </c>
      <c r="K208" s="2"/>
    </row>
    <row r="209" spans="1:11" x14ac:dyDescent="0.2">
      <c r="A209">
        <v>2016</v>
      </c>
      <c r="B209" s="34">
        <v>5173</v>
      </c>
      <c r="C209" s="3" t="s">
        <v>215</v>
      </c>
      <c r="D209" s="12">
        <v>296955</v>
      </c>
      <c r="E209" s="12">
        <v>635410</v>
      </c>
      <c r="F209" s="12">
        <f t="shared" si="12"/>
        <v>932365</v>
      </c>
      <c r="G209">
        <f>VLOOKUP(B209,'2015'!$B$2:$G$338,6,FALSE)</f>
        <v>0</v>
      </c>
      <c r="H209">
        <f t="shared" si="13"/>
        <v>0</v>
      </c>
      <c r="I209" s="2">
        <f t="shared" si="14"/>
        <v>635410</v>
      </c>
      <c r="J209" s="2">
        <f t="shared" si="15"/>
        <v>932365</v>
      </c>
      <c r="K209" s="2"/>
    </row>
    <row r="210" spans="1:11" x14ac:dyDescent="0.2">
      <c r="A210">
        <v>2016</v>
      </c>
      <c r="B210" s="34">
        <v>5174</v>
      </c>
      <c r="C210" s="3" t="s">
        <v>216</v>
      </c>
      <c r="D210" s="12">
        <v>443921</v>
      </c>
      <c r="E210" s="12">
        <v>949880</v>
      </c>
      <c r="F210" s="12">
        <f t="shared" si="12"/>
        <v>1393801</v>
      </c>
      <c r="G210">
        <f>VLOOKUP(B210,'2015'!$B$2:$G$338,6,FALSE)</f>
        <v>0</v>
      </c>
      <c r="H210">
        <f t="shared" si="13"/>
        <v>0</v>
      </c>
      <c r="I210" s="2">
        <f t="shared" si="14"/>
        <v>949880</v>
      </c>
      <c r="J210" s="2">
        <f t="shared" si="15"/>
        <v>1393801</v>
      </c>
      <c r="K210" s="2"/>
    </row>
    <row r="211" spans="1:11" x14ac:dyDescent="0.2">
      <c r="A211">
        <v>2016</v>
      </c>
      <c r="B211" s="34">
        <v>5175</v>
      </c>
      <c r="C211" s="3" t="s">
        <v>217</v>
      </c>
      <c r="D211" s="12">
        <v>238066</v>
      </c>
      <c r="E211" s="12">
        <v>509400</v>
      </c>
      <c r="F211" s="12">
        <f t="shared" si="12"/>
        <v>747466</v>
      </c>
      <c r="G211">
        <f>VLOOKUP(B211,'2015'!$B$2:$G$338,6,FALSE)</f>
        <v>0</v>
      </c>
      <c r="H211">
        <f t="shared" si="13"/>
        <v>0</v>
      </c>
      <c r="I211" s="2">
        <f t="shared" si="14"/>
        <v>509400</v>
      </c>
      <c r="J211" s="2">
        <f t="shared" si="15"/>
        <v>747466</v>
      </c>
      <c r="K211" s="2"/>
    </row>
    <row r="212" spans="1:11" x14ac:dyDescent="0.2">
      <c r="A212">
        <v>2016</v>
      </c>
      <c r="B212" s="34">
        <v>5176</v>
      </c>
      <c r="C212" s="3" t="s">
        <v>218</v>
      </c>
      <c r="D212" s="12">
        <v>1795652</v>
      </c>
      <c r="E212" s="12">
        <v>3842240</v>
      </c>
      <c r="F212" s="12">
        <f t="shared" si="12"/>
        <v>5637892</v>
      </c>
      <c r="G212">
        <f>VLOOKUP(B212,'2015'!$B$2:$G$338,6,FALSE)</f>
        <v>0</v>
      </c>
      <c r="H212">
        <f t="shared" si="13"/>
        <v>0</v>
      </c>
      <c r="I212" s="2">
        <f t="shared" si="14"/>
        <v>3842240</v>
      </c>
      <c r="J212" s="2">
        <f t="shared" si="15"/>
        <v>5637892</v>
      </c>
      <c r="K212" s="2"/>
    </row>
    <row r="213" spans="1:11" x14ac:dyDescent="0.2">
      <c r="A213">
        <v>2016</v>
      </c>
      <c r="B213" s="34">
        <v>5185</v>
      </c>
      <c r="C213" s="3" t="s">
        <v>219</v>
      </c>
      <c r="D213" s="16">
        <v>14836864</v>
      </c>
      <c r="E213" s="16">
        <v>31747150</v>
      </c>
      <c r="F213" s="12">
        <f t="shared" si="12"/>
        <v>46584014</v>
      </c>
      <c r="G213">
        <f>VLOOKUP(B213,'2015'!$B$2:$G$338,6,FALSE)</f>
        <v>0</v>
      </c>
      <c r="H213">
        <f t="shared" si="13"/>
        <v>0</v>
      </c>
      <c r="I213" s="2">
        <f t="shared" si="14"/>
        <v>31747150</v>
      </c>
      <c r="J213" s="2">
        <f t="shared" si="15"/>
        <v>46584014</v>
      </c>
      <c r="K213" s="2"/>
    </row>
    <row r="214" spans="1:11" x14ac:dyDescent="0.2">
      <c r="A214">
        <v>2016</v>
      </c>
      <c r="B214" s="34">
        <v>5186</v>
      </c>
      <c r="C214" s="3" t="s">
        <v>220</v>
      </c>
      <c r="D214" s="12">
        <v>263973</v>
      </c>
      <c r="E214" s="12">
        <v>564840</v>
      </c>
      <c r="F214" s="12">
        <f t="shared" si="12"/>
        <v>828813</v>
      </c>
      <c r="G214">
        <f>VLOOKUP(B214,'2015'!$B$2:$G$338,6,FALSE)</f>
        <v>0</v>
      </c>
      <c r="H214">
        <f t="shared" si="13"/>
        <v>0</v>
      </c>
      <c r="I214" s="2">
        <f t="shared" si="14"/>
        <v>564840</v>
      </c>
      <c r="J214" s="2">
        <f t="shared" si="15"/>
        <v>828813</v>
      </c>
      <c r="K214" s="2"/>
    </row>
    <row r="215" spans="1:11" x14ac:dyDescent="0.2">
      <c r="A215">
        <v>2016</v>
      </c>
      <c r="B215" s="34">
        <v>5187</v>
      </c>
      <c r="C215" s="3" t="s">
        <v>221</v>
      </c>
      <c r="D215" s="12">
        <v>353825</v>
      </c>
      <c r="E215" s="12">
        <v>757100</v>
      </c>
      <c r="F215" s="12">
        <f t="shared" si="12"/>
        <v>1110925</v>
      </c>
      <c r="G215">
        <f>VLOOKUP(B215,'2015'!$B$2:$G$338,6,FALSE)</f>
        <v>0</v>
      </c>
      <c r="H215">
        <f t="shared" si="13"/>
        <v>0</v>
      </c>
      <c r="I215" s="2">
        <f t="shared" si="14"/>
        <v>757100</v>
      </c>
      <c r="J215" s="2">
        <f t="shared" si="15"/>
        <v>1110925</v>
      </c>
      <c r="K215" s="2"/>
    </row>
    <row r="216" spans="1:11" x14ac:dyDescent="0.2">
      <c r="A216">
        <v>2016</v>
      </c>
      <c r="B216" s="34">
        <v>5188</v>
      </c>
      <c r="C216" s="3" t="s">
        <v>222</v>
      </c>
      <c r="D216" s="12">
        <v>178380</v>
      </c>
      <c r="E216" s="12">
        <v>381690</v>
      </c>
      <c r="F216" s="12">
        <f t="shared" si="12"/>
        <v>560070</v>
      </c>
      <c r="G216">
        <f>VLOOKUP(B216,'2015'!$B$2:$G$338,6,FALSE)</f>
        <v>0</v>
      </c>
      <c r="H216">
        <f t="shared" si="13"/>
        <v>0</v>
      </c>
      <c r="I216" s="2">
        <f t="shared" si="14"/>
        <v>381690</v>
      </c>
      <c r="J216" s="2">
        <f t="shared" si="15"/>
        <v>560070</v>
      </c>
      <c r="K216" s="2"/>
    </row>
    <row r="217" spans="1:11" x14ac:dyDescent="0.2">
      <c r="A217">
        <v>2016</v>
      </c>
      <c r="B217" s="34">
        <v>5189</v>
      </c>
      <c r="C217" s="3" t="s">
        <v>223</v>
      </c>
      <c r="D217" s="12">
        <v>74216</v>
      </c>
      <c r="E217" s="12">
        <v>158800</v>
      </c>
      <c r="F217" s="12">
        <f t="shared" si="12"/>
        <v>233016</v>
      </c>
      <c r="G217">
        <f>VLOOKUP(B217,'2015'!$B$2:$G$338,6,FALSE)</f>
        <v>0</v>
      </c>
      <c r="H217">
        <f t="shared" si="13"/>
        <v>0</v>
      </c>
      <c r="I217" s="2">
        <f t="shared" si="14"/>
        <v>158800</v>
      </c>
      <c r="J217" s="2">
        <f t="shared" si="15"/>
        <v>233016</v>
      </c>
      <c r="K217" s="2"/>
    </row>
    <row r="218" spans="1:11" x14ac:dyDescent="0.2">
      <c r="A218">
        <v>2016</v>
      </c>
      <c r="B218" s="34">
        <v>5190</v>
      </c>
      <c r="C218" s="3" t="s">
        <v>224</v>
      </c>
      <c r="D218" s="12">
        <v>208648</v>
      </c>
      <c r="E218" s="12">
        <v>446450</v>
      </c>
      <c r="F218" s="12">
        <f t="shared" si="12"/>
        <v>655098</v>
      </c>
      <c r="G218">
        <f>VLOOKUP(B218,'2015'!$B$2:$G$338,6,FALSE)</f>
        <v>0</v>
      </c>
      <c r="H218">
        <f t="shared" si="13"/>
        <v>0</v>
      </c>
      <c r="I218" s="2">
        <f t="shared" si="14"/>
        <v>446450</v>
      </c>
      <c r="J218" s="2">
        <f t="shared" si="15"/>
        <v>655098</v>
      </c>
      <c r="K218" s="2"/>
    </row>
    <row r="219" spans="1:11" x14ac:dyDescent="0.2">
      <c r="A219">
        <v>2016</v>
      </c>
      <c r="B219" s="34">
        <v>5191</v>
      </c>
      <c r="C219" s="3" t="s">
        <v>225</v>
      </c>
      <c r="D219" s="12">
        <v>697011</v>
      </c>
      <c r="E219" s="12">
        <v>1491430</v>
      </c>
      <c r="F219" s="12">
        <f t="shared" si="12"/>
        <v>2188441</v>
      </c>
      <c r="G219">
        <f>VLOOKUP(B219,'2015'!$B$2:$G$338,6,FALSE)</f>
        <v>0</v>
      </c>
      <c r="H219">
        <f t="shared" si="13"/>
        <v>0</v>
      </c>
      <c r="I219" s="2">
        <f t="shared" si="14"/>
        <v>1491430</v>
      </c>
      <c r="J219" s="2">
        <f t="shared" si="15"/>
        <v>2188441</v>
      </c>
      <c r="K219" s="2"/>
    </row>
    <row r="220" spans="1:11" x14ac:dyDescent="0.2">
      <c r="A220">
        <v>2016</v>
      </c>
      <c r="B220" s="34">
        <v>5192</v>
      </c>
      <c r="C220" s="3" t="s">
        <v>226</v>
      </c>
      <c r="D220" s="12">
        <v>242538</v>
      </c>
      <c r="E220" s="12">
        <v>518970</v>
      </c>
      <c r="F220" s="12">
        <f t="shared" si="12"/>
        <v>761508</v>
      </c>
      <c r="G220">
        <f>VLOOKUP(B220,'2015'!$B$2:$G$338,6,FALSE)</f>
        <v>0</v>
      </c>
      <c r="H220">
        <f t="shared" si="13"/>
        <v>0</v>
      </c>
      <c r="I220" s="2">
        <f t="shared" si="14"/>
        <v>518970</v>
      </c>
      <c r="J220" s="2">
        <f t="shared" si="15"/>
        <v>761508</v>
      </c>
      <c r="K220" s="2"/>
    </row>
    <row r="221" spans="1:11" x14ac:dyDescent="0.2">
      <c r="A221">
        <v>2016</v>
      </c>
      <c r="B221" s="34">
        <v>5193</v>
      </c>
      <c r="C221" s="3" t="s">
        <v>227</v>
      </c>
      <c r="D221" s="12">
        <v>1219713</v>
      </c>
      <c r="E221" s="12">
        <v>2609880</v>
      </c>
      <c r="F221" s="12">
        <f t="shared" si="12"/>
        <v>3829593</v>
      </c>
      <c r="G221">
        <f>VLOOKUP(B221,'2015'!$B$2:$G$338,6,FALSE)</f>
        <v>0</v>
      </c>
      <c r="H221">
        <f t="shared" si="13"/>
        <v>0</v>
      </c>
      <c r="I221" s="2">
        <f t="shared" si="14"/>
        <v>2609880</v>
      </c>
      <c r="J221" s="2">
        <f t="shared" si="15"/>
        <v>3829593</v>
      </c>
      <c r="K221" s="2"/>
    </row>
    <row r="222" spans="1:11" x14ac:dyDescent="0.2">
      <c r="A222">
        <v>2016</v>
      </c>
      <c r="B222" s="34">
        <v>5195</v>
      </c>
      <c r="C222" s="3" t="s">
        <v>228</v>
      </c>
      <c r="D222" s="12">
        <v>519310</v>
      </c>
      <c r="E222" s="12">
        <v>1111190</v>
      </c>
      <c r="F222" s="12">
        <f t="shared" si="12"/>
        <v>1630500</v>
      </c>
      <c r="G222">
        <f>VLOOKUP(B222,'2015'!$B$2:$G$338,6,FALSE)</f>
        <v>0</v>
      </c>
      <c r="H222">
        <f t="shared" si="13"/>
        <v>0</v>
      </c>
      <c r="I222" s="2">
        <f t="shared" si="14"/>
        <v>1111190</v>
      </c>
      <c r="J222" s="2">
        <f t="shared" si="15"/>
        <v>1630500</v>
      </c>
      <c r="K222" s="2"/>
    </row>
    <row r="223" spans="1:11" x14ac:dyDescent="0.2">
      <c r="A223">
        <v>2016</v>
      </c>
      <c r="B223" s="34">
        <v>5196</v>
      </c>
      <c r="C223" s="3" t="s">
        <v>229</v>
      </c>
      <c r="D223" s="12">
        <v>336492</v>
      </c>
      <c r="E223" s="12">
        <v>720010</v>
      </c>
      <c r="F223" s="12">
        <f t="shared" si="12"/>
        <v>1056502</v>
      </c>
      <c r="G223">
        <f>VLOOKUP(B223,'2015'!$B$2:$G$338,6,FALSE)</f>
        <v>0</v>
      </c>
      <c r="H223">
        <f t="shared" si="13"/>
        <v>0</v>
      </c>
      <c r="I223" s="2">
        <f t="shared" si="14"/>
        <v>720010</v>
      </c>
      <c r="J223" s="2">
        <f t="shared" si="15"/>
        <v>1056502</v>
      </c>
      <c r="K223" s="2"/>
    </row>
    <row r="224" spans="1:11" x14ac:dyDescent="0.2">
      <c r="A224">
        <v>2016</v>
      </c>
      <c r="B224" s="34">
        <v>5197</v>
      </c>
      <c r="C224" s="3" t="s">
        <v>230</v>
      </c>
      <c r="D224" s="12">
        <v>229918</v>
      </c>
      <c r="E224" s="12">
        <v>491970</v>
      </c>
      <c r="F224" s="12">
        <f t="shared" si="12"/>
        <v>721888</v>
      </c>
      <c r="G224">
        <f>VLOOKUP(B224,'2015'!$B$2:$G$338,6,FALSE)</f>
        <v>0</v>
      </c>
      <c r="H224">
        <f t="shared" si="13"/>
        <v>0</v>
      </c>
      <c r="I224" s="2">
        <f t="shared" si="14"/>
        <v>491970</v>
      </c>
      <c r="J224" s="2">
        <f t="shared" si="15"/>
        <v>721888</v>
      </c>
      <c r="K224" s="2"/>
    </row>
    <row r="225" spans="1:11" x14ac:dyDescent="0.2">
      <c r="A225">
        <v>2016</v>
      </c>
      <c r="B225" s="34">
        <v>5198</v>
      </c>
      <c r="C225" s="3" t="s">
        <v>231</v>
      </c>
      <c r="D225" s="12">
        <v>905856</v>
      </c>
      <c r="E225" s="12">
        <v>1938300</v>
      </c>
      <c r="F225" s="12">
        <f t="shared" si="12"/>
        <v>2844156</v>
      </c>
      <c r="G225">
        <f>VLOOKUP(B225,'2015'!$B$2:$G$338,6,FALSE)</f>
        <v>0</v>
      </c>
      <c r="H225">
        <f t="shared" si="13"/>
        <v>0</v>
      </c>
      <c r="I225" s="2">
        <f t="shared" si="14"/>
        <v>1938300</v>
      </c>
      <c r="J225" s="2">
        <f t="shared" si="15"/>
        <v>2844156</v>
      </c>
      <c r="K225" s="2"/>
    </row>
    <row r="226" spans="1:11" x14ac:dyDescent="0.2">
      <c r="A226">
        <v>2016</v>
      </c>
      <c r="B226" s="34">
        <v>5199</v>
      </c>
      <c r="C226" s="3" t="s">
        <v>232</v>
      </c>
      <c r="D226" s="12">
        <v>265593</v>
      </c>
      <c r="E226" s="12">
        <v>568300</v>
      </c>
      <c r="F226" s="12">
        <f t="shared" si="12"/>
        <v>833893</v>
      </c>
      <c r="G226">
        <f>VLOOKUP(B226,'2015'!$B$2:$G$338,6,FALSE)</f>
        <v>0</v>
      </c>
      <c r="H226">
        <f t="shared" si="13"/>
        <v>0</v>
      </c>
      <c r="I226" s="2">
        <f t="shared" si="14"/>
        <v>568300</v>
      </c>
      <c r="J226" s="2">
        <f t="shared" si="15"/>
        <v>833893</v>
      </c>
      <c r="K226" s="2"/>
    </row>
    <row r="227" spans="1:11" x14ac:dyDescent="0.2">
      <c r="A227">
        <v>2016</v>
      </c>
      <c r="B227" s="34">
        <v>5200</v>
      </c>
      <c r="C227" s="3" t="s">
        <v>233</v>
      </c>
      <c r="D227" s="12">
        <v>640201</v>
      </c>
      <c r="E227" s="12">
        <v>1369870</v>
      </c>
      <c r="F227" s="12">
        <f t="shared" si="12"/>
        <v>2010071</v>
      </c>
      <c r="G227">
        <f>VLOOKUP(B227,'2015'!$B$2:$G$338,6,FALSE)</f>
        <v>0</v>
      </c>
      <c r="H227">
        <f t="shared" si="13"/>
        <v>0</v>
      </c>
      <c r="I227" s="2">
        <f t="shared" si="14"/>
        <v>1369870</v>
      </c>
      <c r="J227" s="2">
        <f t="shared" si="15"/>
        <v>2010071</v>
      </c>
      <c r="K227" s="2"/>
    </row>
    <row r="228" spans="1:11" x14ac:dyDescent="0.2">
      <c r="A228">
        <v>2016</v>
      </c>
      <c r="B228" s="34">
        <v>5201</v>
      </c>
      <c r="C228" s="3" t="s">
        <v>234</v>
      </c>
      <c r="D228" s="12">
        <v>179801</v>
      </c>
      <c r="E228" s="12">
        <v>384730</v>
      </c>
      <c r="F228" s="12">
        <f t="shared" si="12"/>
        <v>564531</v>
      </c>
      <c r="G228">
        <f>VLOOKUP(B228,'2015'!$B$2:$G$338,6,FALSE)</f>
        <v>0</v>
      </c>
      <c r="H228">
        <f t="shared" si="13"/>
        <v>0</v>
      </c>
      <c r="I228" s="2">
        <f t="shared" si="14"/>
        <v>384730</v>
      </c>
      <c r="J228" s="2">
        <f t="shared" si="15"/>
        <v>564531</v>
      </c>
      <c r="K228" s="2"/>
    </row>
    <row r="229" spans="1:11" x14ac:dyDescent="0.2">
      <c r="A229">
        <v>2016</v>
      </c>
      <c r="B229" s="34">
        <v>5202</v>
      </c>
      <c r="C229" s="3" t="s">
        <v>235</v>
      </c>
      <c r="D229" s="12">
        <v>179055</v>
      </c>
      <c r="E229" s="12">
        <v>383130</v>
      </c>
      <c r="F229" s="12">
        <f t="shared" si="12"/>
        <v>562185</v>
      </c>
      <c r="G229">
        <f>VLOOKUP(B229,'2015'!$B$2:$G$338,6,FALSE)</f>
        <v>0</v>
      </c>
      <c r="H229">
        <f t="shared" si="13"/>
        <v>0</v>
      </c>
      <c r="I229" s="2">
        <f t="shared" si="14"/>
        <v>383130</v>
      </c>
      <c r="J229" s="2">
        <f t="shared" si="15"/>
        <v>562185</v>
      </c>
      <c r="K229" s="2"/>
    </row>
    <row r="230" spans="1:11" x14ac:dyDescent="0.2">
      <c r="A230">
        <v>2016</v>
      </c>
      <c r="B230" s="34">
        <v>5203</v>
      </c>
      <c r="C230" s="3" t="s">
        <v>236</v>
      </c>
      <c r="D230" s="12">
        <v>543563</v>
      </c>
      <c r="E230" s="12">
        <v>1163090</v>
      </c>
      <c r="F230" s="12">
        <f t="shared" si="12"/>
        <v>1706653</v>
      </c>
      <c r="G230">
        <f>VLOOKUP(B230,'2015'!$B$2:$G$338,6,FALSE)</f>
        <v>0</v>
      </c>
      <c r="H230">
        <f t="shared" si="13"/>
        <v>0</v>
      </c>
      <c r="I230" s="2">
        <f t="shared" si="14"/>
        <v>1163090</v>
      </c>
      <c r="J230" s="2">
        <f t="shared" si="15"/>
        <v>1706653</v>
      </c>
      <c r="K230" s="2"/>
    </row>
    <row r="231" spans="1:11" x14ac:dyDescent="0.2">
      <c r="A231">
        <v>2016</v>
      </c>
      <c r="B231" s="34">
        <v>5204</v>
      </c>
      <c r="C231" s="3" t="s">
        <v>237</v>
      </c>
      <c r="D231" s="12">
        <v>865936</v>
      </c>
      <c r="E231" s="12">
        <v>1852880</v>
      </c>
      <c r="F231" s="12">
        <f t="shared" si="12"/>
        <v>2718816</v>
      </c>
      <c r="G231">
        <f>VLOOKUP(B231,'2015'!$B$2:$G$338,6,FALSE)</f>
        <v>0</v>
      </c>
      <c r="H231">
        <f t="shared" si="13"/>
        <v>0</v>
      </c>
      <c r="I231" s="2">
        <f t="shared" si="14"/>
        <v>1852880</v>
      </c>
      <c r="J231" s="2">
        <f t="shared" si="15"/>
        <v>2718816</v>
      </c>
      <c r="K231" s="2"/>
    </row>
    <row r="232" spans="1:11" x14ac:dyDescent="0.2">
      <c r="A232">
        <v>2016</v>
      </c>
      <c r="B232" s="34">
        <v>5205</v>
      </c>
      <c r="C232" s="3" t="s">
        <v>238</v>
      </c>
      <c r="D232" s="12">
        <v>323097</v>
      </c>
      <c r="E232" s="12">
        <v>691350</v>
      </c>
      <c r="F232" s="12">
        <f t="shared" si="12"/>
        <v>1014447</v>
      </c>
      <c r="G232">
        <f>VLOOKUP(B232,'2015'!$B$2:$G$338,6,FALSE)</f>
        <v>0</v>
      </c>
      <c r="H232">
        <f t="shared" si="13"/>
        <v>0</v>
      </c>
      <c r="I232" s="2">
        <f t="shared" si="14"/>
        <v>691350</v>
      </c>
      <c r="J232" s="2">
        <f t="shared" si="15"/>
        <v>1014447</v>
      </c>
      <c r="K232" s="2"/>
    </row>
    <row r="233" spans="1:11" x14ac:dyDescent="0.2">
      <c r="A233">
        <v>2016</v>
      </c>
      <c r="B233" s="34">
        <v>5206</v>
      </c>
      <c r="C233" s="3" t="s">
        <v>239</v>
      </c>
      <c r="D233" s="12">
        <v>386969</v>
      </c>
      <c r="E233" s="12">
        <v>828020</v>
      </c>
      <c r="F233" s="12">
        <f t="shared" si="12"/>
        <v>1214989</v>
      </c>
      <c r="G233">
        <f>VLOOKUP(B233,'2015'!$B$2:$G$338,6,FALSE)</f>
        <v>0</v>
      </c>
      <c r="H233">
        <f t="shared" si="13"/>
        <v>0</v>
      </c>
      <c r="I233" s="2">
        <f t="shared" si="14"/>
        <v>828020</v>
      </c>
      <c r="J233" s="2">
        <f t="shared" si="15"/>
        <v>1214989</v>
      </c>
      <c r="K233" s="2"/>
    </row>
    <row r="234" spans="1:11" x14ac:dyDescent="0.2">
      <c r="A234">
        <v>2016</v>
      </c>
      <c r="B234" s="34">
        <v>5207</v>
      </c>
      <c r="C234" s="3" t="s">
        <v>240</v>
      </c>
      <c r="D234" s="12">
        <v>775315</v>
      </c>
      <c r="E234" s="12">
        <v>1658980</v>
      </c>
      <c r="F234" s="12">
        <f t="shared" si="12"/>
        <v>2434295</v>
      </c>
      <c r="G234">
        <f>VLOOKUP(B234,'2015'!$B$2:$G$338,6,FALSE)</f>
        <v>0</v>
      </c>
      <c r="H234">
        <f t="shared" si="13"/>
        <v>0</v>
      </c>
      <c r="I234" s="2">
        <f t="shared" si="14"/>
        <v>1658980</v>
      </c>
      <c r="J234" s="2">
        <f t="shared" si="15"/>
        <v>2434295</v>
      </c>
      <c r="K234" s="2"/>
    </row>
    <row r="235" spans="1:11" x14ac:dyDescent="0.2">
      <c r="A235">
        <v>2016</v>
      </c>
      <c r="B235" s="34">
        <v>5208</v>
      </c>
      <c r="C235" s="3" t="s">
        <v>241</v>
      </c>
      <c r="D235" s="12">
        <v>238554</v>
      </c>
      <c r="E235" s="12">
        <v>510450</v>
      </c>
      <c r="F235" s="12">
        <f t="shared" si="12"/>
        <v>749004</v>
      </c>
      <c r="G235">
        <f>VLOOKUP(B235,'2015'!$B$2:$G$338,6,FALSE)</f>
        <v>0</v>
      </c>
      <c r="H235">
        <f t="shared" si="13"/>
        <v>0</v>
      </c>
      <c r="I235" s="2">
        <f t="shared" si="14"/>
        <v>510450</v>
      </c>
      <c r="J235" s="2">
        <f t="shared" si="15"/>
        <v>749004</v>
      </c>
      <c r="K235" s="2"/>
    </row>
    <row r="236" spans="1:11" x14ac:dyDescent="0.2">
      <c r="A236">
        <v>2016</v>
      </c>
      <c r="B236" s="34">
        <v>5210</v>
      </c>
      <c r="C236" s="3" t="s">
        <v>242</v>
      </c>
      <c r="D236" s="12">
        <v>2620859</v>
      </c>
      <c r="E236" s="12">
        <v>5607980</v>
      </c>
      <c r="F236" s="12">
        <f t="shared" si="12"/>
        <v>8228839</v>
      </c>
      <c r="G236">
        <f>VLOOKUP(B236,'2015'!$B$2:$G$338,6,FALSE)</f>
        <v>0</v>
      </c>
      <c r="H236">
        <f t="shared" si="13"/>
        <v>0</v>
      </c>
      <c r="I236" s="2">
        <f t="shared" si="14"/>
        <v>5607980</v>
      </c>
      <c r="J236" s="2">
        <f t="shared" si="15"/>
        <v>8228839</v>
      </c>
      <c r="K236" s="2"/>
    </row>
    <row r="237" spans="1:11" x14ac:dyDescent="0.2">
      <c r="A237">
        <v>2016</v>
      </c>
      <c r="B237" s="34">
        <v>5212</v>
      </c>
      <c r="C237" s="3" t="s">
        <v>243</v>
      </c>
      <c r="D237" s="12">
        <v>551710</v>
      </c>
      <c r="E237" s="12">
        <v>1180520</v>
      </c>
      <c r="F237" s="12">
        <f t="shared" si="12"/>
        <v>1732230</v>
      </c>
      <c r="G237">
        <f>VLOOKUP(B237,'2015'!$B$2:$G$338,6,FALSE)</f>
        <v>0</v>
      </c>
      <c r="H237">
        <f t="shared" si="13"/>
        <v>0</v>
      </c>
      <c r="I237" s="2">
        <f t="shared" si="14"/>
        <v>1180520</v>
      </c>
      <c r="J237" s="2">
        <f t="shared" si="15"/>
        <v>1732230</v>
      </c>
      <c r="K237" s="2"/>
    </row>
    <row r="238" spans="1:11" x14ac:dyDescent="0.2">
      <c r="A238">
        <v>2016</v>
      </c>
      <c r="B238" s="34">
        <v>5213</v>
      </c>
      <c r="C238" s="3" t="s">
        <v>244</v>
      </c>
      <c r="D238" s="12">
        <v>477057</v>
      </c>
      <c r="E238" s="12">
        <v>1020780</v>
      </c>
      <c r="F238" s="12">
        <f t="shared" si="12"/>
        <v>1497837</v>
      </c>
      <c r="G238">
        <f>VLOOKUP(B238,'2015'!$B$2:$G$338,6,FALSE)</f>
        <v>0</v>
      </c>
      <c r="H238">
        <f t="shared" si="13"/>
        <v>0</v>
      </c>
      <c r="I238" s="2">
        <f t="shared" si="14"/>
        <v>1020780</v>
      </c>
      <c r="J238" s="2">
        <f t="shared" si="15"/>
        <v>1497837</v>
      </c>
      <c r="K238" s="2"/>
    </row>
    <row r="239" spans="1:11" x14ac:dyDescent="0.2">
      <c r="A239">
        <v>2016</v>
      </c>
      <c r="B239" s="34">
        <v>5214</v>
      </c>
      <c r="C239" s="3" t="s">
        <v>245</v>
      </c>
      <c r="D239" s="12">
        <v>2289254</v>
      </c>
      <c r="E239" s="12">
        <v>4898430</v>
      </c>
      <c r="F239" s="12">
        <f t="shared" si="12"/>
        <v>7187684</v>
      </c>
      <c r="G239">
        <f>VLOOKUP(B239,'2015'!$B$2:$G$338,6,FALSE)</f>
        <v>0</v>
      </c>
      <c r="H239">
        <f t="shared" si="13"/>
        <v>0</v>
      </c>
      <c r="I239" s="2">
        <f t="shared" si="14"/>
        <v>4898430</v>
      </c>
      <c r="J239" s="2">
        <f t="shared" si="15"/>
        <v>7187684</v>
      </c>
      <c r="K239" s="2"/>
    </row>
    <row r="240" spans="1:11" x14ac:dyDescent="0.2">
      <c r="A240">
        <v>2016</v>
      </c>
      <c r="B240" s="34">
        <v>5215</v>
      </c>
      <c r="C240" s="3" t="s">
        <v>246</v>
      </c>
      <c r="D240" s="12">
        <v>520880</v>
      </c>
      <c r="E240" s="12">
        <v>1114550</v>
      </c>
      <c r="F240" s="12">
        <f t="shared" si="12"/>
        <v>1635430</v>
      </c>
      <c r="G240">
        <f>VLOOKUP(B240,'2015'!$B$2:$G$338,6,FALSE)</f>
        <v>0</v>
      </c>
      <c r="H240">
        <f t="shared" si="13"/>
        <v>0</v>
      </c>
      <c r="I240" s="2">
        <f t="shared" si="14"/>
        <v>1114550</v>
      </c>
      <c r="J240" s="2">
        <f t="shared" si="15"/>
        <v>1635430</v>
      </c>
      <c r="K240" s="2"/>
    </row>
    <row r="241" spans="1:11" x14ac:dyDescent="0.2">
      <c r="A241">
        <v>2016</v>
      </c>
      <c r="B241" s="34">
        <v>5216</v>
      </c>
      <c r="C241" s="3" t="s">
        <v>299</v>
      </c>
      <c r="D241" s="12">
        <v>736708</v>
      </c>
      <c r="E241" s="12">
        <v>1576370</v>
      </c>
      <c r="F241" s="12">
        <f t="shared" si="12"/>
        <v>2313078</v>
      </c>
      <c r="G241">
        <f>VLOOKUP(B241,'2015'!$B$2:$G$338,6,FALSE)</f>
        <v>0</v>
      </c>
      <c r="H241">
        <f t="shared" si="13"/>
        <v>0</v>
      </c>
      <c r="I241" s="2">
        <f t="shared" si="14"/>
        <v>1576370</v>
      </c>
      <c r="J241" s="2">
        <f t="shared" si="15"/>
        <v>2313078</v>
      </c>
      <c r="K241" s="2"/>
    </row>
    <row r="242" spans="1:11" x14ac:dyDescent="0.2">
      <c r="A242">
        <v>2016</v>
      </c>
      <c r="B242" s="34">
        <v>5217</v>
      </c>
      <c r="C242" s="3" t="s">
        <v>248</v>
      </c>
      <c r="D242" s="12">
        <v>94538</v>
      </c>
      <c r="E242" s="12">
        <v>202290</v>
      </c>
      <c r="F242" s="12">
        <f t="shared" si="12"/>
        <v>296828</v>
      </c>
      <c r="G242">
        <f>VLOOKUP(B242,'2015'!$B$2:$G$338,6,FALSE)</f>
        <v>0</v>
      </c>
      <c r="H242">
        <f t="shared" si="13"/>
        <v>0</v>
      </c>
      <c r="I242" s="2">
        <f t="shared" si="14"/>
        <v>202290</v>
      </c>
      <c r="J242" s="2">
        <f t="shared" si="15"/>
        <v>296828</v>
      </c>
      <c r="K242" s="2"/>
    </row>
    <row r="243" spans="1:11" x14ac:dyDescent="0.2">
      <c r="A243">
        <v>2016</v>
      </c>
      <c r="B243" s="34">
        <v>5218</v>
      </c>
      <c r="C243" s="3" t="s">
        <v>249</v>
      </c>
      <c r="D243" s="12">
        <v>231696</v>
      </c>
      <c r="E243" s="12">
        <v>495770</v>
      </c>
      <c r="F243" s="12">
        <f t="shared" si="12"/>
        <v>727466</v>
      </c>
      <c r="G243">
        <f>VLOOKUP(B243,'2015'!$B$2:$G$338,6,FALSE)</f>
        <v>0</v>
      </c>
      <c r="H243">
        <f t="shared" si="13"/>
        <v>0</v>
      </c>
      <c r="I243" s="2">
        <f t="shared" si="14"/>
        <v>495770</v>
      </c>
      <c r="J243" s="2">
        <f t="shared" si="15"/>
        <v>727466</v>
      </c>
      <c r="K243" s="2"/>
    </row>
    <row r="244" spans="1:11" x14ac:dyDescent="0.2">
      <c r="A244">
        <v>2016</v>
      </c>
      <c r="B244" s="34">
        <v>5219</v>
      </c>
      <c r="C244" s="3" t="s">
        <v>250</v>
      </c>
      <c r="D244" s="12">
        <v>130147</v>
      </c>
      <c r="E244" s="12">
        <v>278480</v>
      </c>
      <c r="F244" s="12">
        <f t="shared" si="12"/>
        <v>408627</v>
      </c>
      <c r="G244">
        <f>VLOOKUP(B244,'2015'!$B$2:$G$338,6,FALSE)</f>
        <v>0</v>
      </c>
      <c r="H244">
        <f t="shared" si="13"/>
        <v>0</v>
      </c>
      <c r="I244" s="2">
        <f t="shared" si="14"/>
        <v>278480</v>
      </c>
      <c r="J244" s="2">
        <f t="shared" si="15"/>
        <v>408627</v>
      </c>
      <c r="K244" s="2"/>
    </row>
    <row r="245" spans="1:11" x14ac:dyDescent="0.2">
      <c r="A245">
        <v>2016</v>
      </c>
      <c r="B245" s="34">
        <v>5220</v>
      </c>
      <c r="C245" s="3" t="s">
        <v>251</v>
      </c>
      <c r="D245" s="12">
        <v>302054</v>
      </c>
      <c r="E245" s="12">
        <v>646320</v>
      </c>
      <c r="F245" s="12">
        <f t="shared" si="12"/>
        <v>948374</v>
      </c>
      <c r="G245">
        <f>VLOOKUP(B245,'2015'!$B$2:$G$338,6,FALSE)</f>
        <v>0</v>
      </c>
      <c r="H245">
        <f t="shared" si="13"/>
        <v>0</v>
      </c>
      <c r="I245" s="2">
        <f t="shared" si="14"/>
        <v>646320</v>
      </c>
      <c r="J245" s="2">
        <f t="shared" si="15"/>
        <v>948374</v>
      </c>
      <c r="K245" s="2"/>
    </row>
    <row r="246" spans="1:11" x14ac:dyDescent="0.2">
      <c r="A246">
        <v>2016</v>
      </c>
      <c r="B246" s="34">
        <v>5222</v>
      </c>
      <c r="C246" s="3" t="s">
        <v>252</v>
      </c>
      <c r="D246" s="12">
        <v>274345</v>
      </c>
      <c r="E246" s="12">
        <v>587030</v>
      </c>
      <c r="F246" s="12">
        <f t="shared" si="12"/>
        <v>861375</v>
      </c>
      <c r="G246">
        <f>VLOOKUP(B246,'2015'!$B$2:$G$338,6,FALSE)</f>
        <v>0</v>
      </c>
      <c r="H246">
        <f t="shared" si="13"/>
        <v>0</v>
      </c>
      <c r="I246" s="2">
        <f t="shared" si="14"/>
        <v>587030</v>
      </c>
      <c r="J246" s="2">
        <f t="shared" si="15"/>
        <v>861375</v>
      </c>
      <c r="K246" s="2"/>
    </row>
    <row r="247" spans="1:11" x14ac:dyDescent="0.2">
      <c r="A247">
        <v>2016</v>
      </c>
      <c r="B247" s="34">
        <v>5223</v>
      </c>
      <c r="C247" s="3" t="s">
        <v>253</v>
      </c>
      <c r="D247" s="12">
        <v>291222</v>
      </c>
      <c r="E247" s="12">
        <v>623140</v>
      </c>
      <c r="F247" s="12">
        <f t="shared" si="12"/>
        <v>914362</v>
      </c>
      <c r="G247">
        <f>VLOOKUP(B247,'2015'!$B$2:$G$338,6,FALSE)</f>
        <v>0</v>
      </c>
      <c r="H247">
        <f t="shared" si="13"/>
        <v>0</v>
      </c>
      <c r="I247" s="2">
        <f t="shared" si="14"/>
        <v>623140</v>
      </c>
      <c r="J247" s="2">
        <f t="shared" si="15"/>
        <v>914362</v>
      </c>
      <c r="K247" s="2"/>
    </row>
    <row r="248" spans="1:11" x14ac:dyDescent="0.2">
      <c r="A248">
        <v>2016</v>
      </c>
      <c r="B248" s="34">
        <v>5226</v>
      </c>
      <c r="C248" s="3" t="s">
        <v>254</v>
      </c>
      <c r="D248" s="12">
        <v>150779</v>
      </c>
      <c r="E248" s="12">
        <v>322630</v>
      </c>
      <c r="F248" s="12">
        <f t="shared" si="12"/>
        <v>473409</v>
      </c>
      <c r="G248">
        <f>VLOOKUP(B248,'2015'!$B$2:$G$338,6,FALSE)</f>
        <v>0</v>
      </c>
      <c r="H248">
        <f t="shared" si="13"/>
        <v>0</v>
      </c>
      <c r="I248" s="2">
        <f t="shared" si="14"/>
        <v>322630</v>
      </c>
      <c r="J248" s="2">
        <f t="shared" si="15"/>
        <v>473409</v>
      </c>
      <c r="K248" s="2"/>
    </row>
    <row r="249" spans="1:11" x14ac:dyDescent="0.2">
      <c r="A249">
        <v>2016</v>
      </c>
      <c r="B249" s="34">
        <v>5227</v>
      </c>
      <c r="C249" s="3" t="s">
        <v>255</v>
      </c>
      <c r="D249" s="12">
        <v>57095</v>
      </c>
      <c r="E249" s="12">
        <v>122170</v>
      </c>
      <c r="F249" s="12">
        <f t="shared" si="12"/>
        <v>179265</v>
      </c>
      <c r="G249">
        <f>VLOOKUP(B249,'2015'!$B$2:$G$338,6,FALSE)</f>
        <v>0</v>
      </c>
      <c r="H249">
        <f t="shared" si="13"/>
        <v>0</v>
      </c>
      <c r="I249" s="2">
        <f t="shared" si="14"/>
        <v>122170</v>
      </c>
      <c r="J249" s="2">
        <f t="shared" si="15"/>
        <v>179265</v>
      </c>
      <c r="K249" s="2"/>
    </row>
    <row r="250" spans="1:11" x14ac:dyDescent="0.2">
      <c r="A250">
        <v>2016</v>
      </c>
      <c r="B250" s="34">
        <v>5228</v>
      </c>
      <c r="C250" s="3" t="s">
        <v>256</v>
      </c>
      <c r="D250" s="12">
        <v>94168</v>
      </c>
      <c r="E250" s="12">
        <v>201500</v>
      </c>
      <c r="F250" s="12">
        <f t="shared" si="12"/>
        <v>295668</v>
      </c>
      <c r="G250">
        <f>VLOOKUP(B250,'2015'!$B$2:$G$338,6,FALSE)</f>
        <v>0</v>
      </c>
      <c r="H250">
        <f t="shared" si="13"/>
        <v>0</v>
      </c>
      <c r="I250" s="2">
        <f t="shared" si="14"/>
        <v>201500</v>
      </c>
      <c r="J250" s="2">
        <f t="shared" si="15"/>
        <v>295668</v>
      </c>
      <c r="K250" s="2"/>
    </row>
    <row r="251" spans="1:11" x14ac:dyDescent="0.2">
      <c r="A251">
        <v>2016</v>
      </c>
      <c r="B251" s="34">
        <v>5229</v>
      </c>
      <c r="C251" s="3" t="s">
        <v>257</v>
      </c>
      <c r="D251" s="12">
        <v>266943</v>
      </c>
      <c r="E251" s="12">
        <v>571190</v>
      </c>
      <c r="F251" s="12">
        <f t="shared" si="12"/>
        <v>838133</v>
      </c>
      <c r="G251">
        <f>VLOOKUP(B251,'2015'!$B$2:$G$338,6,FALSE)</f>
        <v>0</v>
      </c>
      <c r="H251">
        <f t="shared" si="13"/>
        <v>0</v>
      </c>
      <c r="I251" s="2">
        <f t="shared" si="14"/>
        <v>571190</v>
      </c>
      <c r="J251" s="2">
        <f t="shared" si="15"/>
        <v>838133</v>
      </c>
      <c r="K251" s="2"/>
    </row>
    <row r="252" spans="1:11" x14ac:dyDescent="0.2">
      <c r="A252">
        <v>2016</v>
      </c>
      <c r="B252" s="34">
        <v>5230</v>
      </c>
      <c r="C252" s="3" t="s">
        <v>258</v>
      </c>
      <c r="D252" s="12">
        <v>549528</v>
      </c>
      <c r="E252" s="12">
        <v>1175850</v>
      </c>
      <c r="F252" s="12">
        <f t="shared" si="12"/>
        <v>1725378</v>
      </c>
      <c r="G252">
        <f>VLOOKUP(B252,'2015'!$B$2:$G$338,6,FALSE)</f>
        <v>0</v>
      </c>
      <c r="H252">
        <f t="shared" si="13"/>
        <v>0</v>
      </c>
      <c r="I252" s="2">
        <f t="shared" si="14"/>
        <v>1175850</v>
      </c>
      <c r="J252" s="2">
        <f t="shared" si="15"/>
        <v>1725378</v>
      </c>
      <c r="K252" s="2"/>
    </row>
    <row r="253" spans="1:11" x14ac:dyDescent="0.2">
      <c r="A253">
        <v>2016</v>
      </c>
      <c r="B253" s="34">
        <v>5231</v>
      </c>
      <c r="C253" s="3" t="s">
        <v>259</v>
      </c>
      <c r="D253" s="12">
        <v>1037709</v>
      </c>
      <c r="E253" s="12">
        <v>2220440</v>
      </c>
      <c r="F253" s="12">
        <f t="shared" si="12"/>
        <v>3258149</v>
      </c>
      <c r="G253">
        <f>VLOOKUP(B253,'2015'!$B$2:$G$338,6,FALSE)</f>
        <v>0</v>
      </c>
      <c r="H253">
        <f t="shared" si="13"/>
        <v>0</v>
      </c>
      <c r="I253" s="2">
        <f t="shared" si="14"/>
        <v>2220440</v>
      </c>
      <c r="J253" s="2">
        <f t="shared" si="15"/>
        <v>3258149</v>
      </c>
      <c r="K253" s="2"/>
    </row>
    <row r="254" spans="1:11" x14ac:dyDescent="0.2">
      <c r="A254">
        <v>2016</v>
      </c>
      <c r="B254" s="34">
        <v>5233</v>
      </c>
      <c r="C254" s="3" t="s">
        <v>260</v>
      </c>
      <c r="D254" s="12">
        <v>3714996</v>
      </c>
      <c r="E254" s="12">
        <v>7949150</v>
      </c>
      <c r="F254" s="12">
        <f t="shared" si="12"/>
        <v>11664146</v>
      </c>
      <c r="G254">
        <f>VLOOKUP(B254,'2015'!$B$2:$G$338,6,FALSE)</f>
        <v>0</v>
      </c>
      <c r="H254">
        <f t="shared" si="13"/>
        <v>0</v>
      </c>
      <c r="I254" s="2">
        <f t="shared" si="14"/>
        <v>7949150</v>
      </c>
      <c r="J254" s="2">
        <f t="shared" si="15"/>
        <v>11664146</v>
      </c>
      <c r="K254" s="2"/>
    </row>
    <row r="255" spans="1:11" x14ac:dyDescent="0.2">
      <c r="A255">
        <v>2016</v>
      </c>
      <c r="B255" s="34">
        <v>5235</v>
      </c>
      <c r="C255" s="3" t="s">
        <v>261</v>
      </c>
      <c r="D255" s="12">
        <v>145521</v>
      </c>
      <c r="E255" s="12">
        <v>311380</v>
      </c>
      <c r="F255" s="12">
        <f t="shared" si="12"/>
        <v>456901</v>
      </c>
      <c r="G255">
        <f>VLOOKUP(B255,'2015'!$B$2:$G$338,6,FALSE)</f>
        <v>0</v>
      </c>
      <c r="H255">
        <f t="shared" si="13"/>
        <v>0</v>
      </c>
      <c r="I255" s="2">
        <f t="shared" si="14"/>
        <v>311380</v>
      </c>
      <c r="J255" s="2">
        <f t="shared" si="15"/>
        <v>456901</v>
      </c>
      <c r="K255" s="2"/>
    </row>
    <row r="256" spans="1:11" x14ac:dyDescent="0.2">
      <c r="A256">
        <v>2016</v>
      </c>
      <c r="B256" s="34">
        <v>5236</v>
      </c>
      <c r="C256" s="3" t="s">
        <v>262</v>
      </c>
      <c r="D256" s="12">
        <v>404642</v>
      </c>
      <c r="E256" s="12">
        <v>865830</v>
      </c>
      <c r="F256" s="12">
        <f t="shared" si="12"/>
        <v>1270472</v>
      </c>
      <c r="G256">
        <f>VLOOKUP(B256,'2015'!$B$2:$G$338,6,FALSE)</f>
        <v>0</v>
      </c>
      <c r="H256">
        <f t="shared" si="13"/>
        <v>0</v>
      </c>
      <c r="I256" s="2">
        <f t="shared" si="14"/>
        <v>865830</v>
      </c>
      <c r="J256" s="2">
        <f t="shared" si="15"/>
        <v>1270472</v>
      </c>
      <c r="K256" s="2"/>
    </row>
    <row r="257" spans="1:11" x14ac:dyDescent="0.2">
      <c r="A257">
        <v>2016</v>
      </c>
      <c r="B257" s="34">
        <v>5237</v>
      </c>
      <c r="C257" s="3" t="s">
        <v>263</v>
      </c>
      <c r="D257" s="12">
        <v>183103</v>
      </c>
      <c r="E257" s="12">
        <v>391790</v>
      </c>
      <c r="F257" s="12">
        <f t="shared" si="12"/>
        <v>574893</v>
      </c>
      <c r="G257">
        <f>VLOOKUP(B257,'2015'!$B$2:$G$338,6,FALSE)</f>
        <v>0</v>
      </c>
      <c r="H257">
        <f t="shared" si="13"/>
        <v>0</v>
      </c>
      <c r="I257" s="2">
        <f t="shared" si="14"/>
        <v>391790</v>
      </c>
      <c r="J257" s="2">
        <f t="shared" si="15"/>
        <v>574893</v>
      </c>
      <c r="K257" s="2"/>
    </row>
    <row r="258" spans="1:11" x14ac:dyDescent="0.2">
      <c r="A258">
        <v>2016</v>
      </c>
      <c r="B258" s="34">
        <v>5238</v>
      </c>
      <c r="C258" s="3" t="s">
        <v>264</v>
      </c>
      <c r="D258" s="12">
        <v>148284</v>
      </c>
      <c r="E258" s="12">
        <v>317290</v>
      </c>
      <c r="F258" s="12">
        <f t="shared" ref="F258:F321" si="16">SUM(D258:E258)</f>
        <v>465574</v>
      </c>
      <c r="G258">
        <f>VLOOKUP(B258,'2015'!$B$2:$G$338,6,FALSE)</f>
        <v>0</v>
      </c>
      <c r="H258">
        <f t="shared" si="13"/>
        <v>0</v>
      </c>
      <c r="I258" s="2">
        <f t="shared" si="14"/>
        <v>317290</v>
      </c>
      <c r="J258" s="2">
        <f t="shared" si="15"/>
        <v>465574</v>
      </c>
      <c r="K258" s="2"/>
    </row>
    <row r="259" spans="1:11" x14ac:dyDescent="0.2">
      <c r="A259">
        <v>2016</v>
      </c>
      <c r="B259" s="34">
        <v>5239</v>
      </c>
      <c r="C259" s="3" t="s">
        <v>265</v>
      </c>
      <c r="D259" s="12">
        <v>146088</v>
      </c>
      <c r="E259" s="12">
        <v>312590</v>
      </c>
      <c r="F259" s="12">
        <f t="shared" si="16"/>
        <v>458678</v>
      </c>
      <c r="G259">
        <f>VLOOKUP(B259,'2015'!$B$2:$G$338,6,FALSE)</f>
        <v>0</v>
      </c>
      <c r="H259">
        <f t="shared" ref="H259:H322" si="17">G259*$H$340</f>
        <v>0</v>
      </c>
      <c r="I259" s="2">
        <f t="shared" ref="I259:I322" si="18">SUM(E259,H259)</f>
        <v>312590</v>
      </c>
      <c r="J259" s="2">
        <f t="shared" ref="J259:J322" si="19">SUM(H259,D259:E259)</f>
        <v>458678</v>
      </c>
      <c r="K259" s="2"/>
    </row>
    <row r="260" spans="1:11" x14ac:dyDescent="0.2">
      <c r="A260">
        <v>2016</v>
      </c>
      <c r="B260" s="34">
        <v>5240</v>
      </c>
      <c r="C260" s="3" t="s">
        <v>266</v>
      </c>
      <c r="D260" s="12">
        <v>298848</v>
      </c>
      <c r="E260" s="12">
        <v>639460</v>
      </c>
      <c r="F260" s="12">
        <f t="shared" si="16"/>
        <v>938308</v>
      </c>
      <c r="G260">
        <f>VLOOKUP(B260,'2015'!$B$2:$G$338,6,FALSE)</f>
        <v>0</v>
      </c>
      <c r="H260">
        <f t="shared" si="17"/>
        <v>0</v>
      </c>
      <c r="I260" s="2">
        <f t="shared" si="18"/>
        <v>639460</v>
      </c>
      <c r="J260" s="2">
        <f t="shared" si="19"/>
        <v>938308</v>
      </c>
      <c r="K260" s="2"/>
    </row>
    <row r="261" spans="1:11" x14ac:dyDescent="0.2">
      <c r="A261">
        <v>2016</v>
      </c>
      <c r="B261" s="34">
        <v>5241</v>
      </c>
      <c r="C261" s="3" t="s">
        <v>362</v>
      </c>
      <c r="D261" s="12">
        <v>180270</v>
      </c>
      <c r="E261" s="12">
        <v>385730</v>
      </c>
      <c r="F261" s="12">
        <f t="shared" si="16"/>
        <v>566000</v>
      </c>
      <c r="G261">
        <f>VLOOKUP(B261,'2015'!$B$2:$G$338,6,FALSE)</f>
        <v>0</v>
      </c>
      <c r="H261">
        <f t="shared" si="17"/>
        <v>0</v>
      </c>
      <c r="I261" s="2">
        <f t="shared" si="18"/>
        <v>385730</v>
      </c>
      <c r="J261" s="2">
        <f t="shared" si="19"/>
        <v>566000</v>
      </c>
      <c r="K261" s="2"/>
    </row>
    <row r="262" spans="1:11" x14ac:dyDescent="0.2">
      <c r="A262">
        <v>2016</v>
      </c>
      <c r="B262" s="34">
        <v>5250</v>
      </c>
      <c r="C262" s="3" t="s">
        <v>268</v>
      </c>
      <c r="D262" s="12">
        <v>444151</v>
      </c>
      <c r="E262" s="12">
        <v>950370</v>
      </c>
      <c r="F262" s="12">
        <f t="shared" si="16"/>
        <v>1394521</v>
      </c>
      <c r="G262">
        <f>VLOOKUP(B262,'2015'!$B$2:$G$338,6,FALSE)</f>
        <v>0</v>
      </c>
      <c r="H262">
        <f t="shared" si="17"/>
        <v>0</v>
      </c>
      <c r="I262" s="2">
        <f t="shared" si="18"/>
        <v>950370</v>
      </c>
      <c r="J262" s="2">
        <f t="shared" si="19"/>
        <v>1394521</v>
      </c>
      <c r="K262" s="2"/>
    </row>
    <row r="263" spans="1:11" x14ac:dyDescent="0.2">
      <c r="A263">
        <v>2016</v>
      </c>
      <c r="B263" s="34">
        <v>5251</v>
      </c>
      <c r="C263" s="3" t="s">
        <v>269</v>
      </c>
      <c r="D263" s="12">
        <v>145628</v>
      </c>
      <c r="E263" s="12">
        <v>311610</v>
      </c>
      <c r="F263" s="12">
        <f t="shared" si="16"/>
        <v>457238</v>
      </c>
      <c r="G263">
        <f>VLOOKUP(B263,'2015'!$B$2:$G$338,6,FALSE)</f>
        <v>0</v>
      </c>
      <c r="H263">
        <f t="shared" si="17"/>
        <v>0</v>
      </c>
      <c r="I263" s="2">
        <f t="shared" si="18"/>
        <v>311610</v>
      </c>
      <c r="J263" s="2">
        <f t="shared" si="19"/>
        <v>457238</v>
      </c>
      <c r="K263" s="2"/>
    </row>
    <row r="264" spans="1:11" x14ac:dyDescent="0.2">
      <c r="A264">
        <v>2016</v>
      </c>
      <c r="B264" s="34">
        <v>5267</v>
      </c>
      <c r="C264" s="3" t="s">
        <v>270</v>
      </c>
      <c r="D264" s="12">
        <v>171075</v>
      </c>
      <c r="E264" s="12">
        <v>366060</v>
      </c>
      <c r="F264" s="12">
        <f t="shared" si="16"/>
        <v>537135</v>
      </c>
      <c r="G264">
        <f>VLOOKUP(B264,'2015'!$B$2:$G$338,6,FALSE)</f>
        <v>0</v>
      </c>
      <c r="H264">
        <f t="shared" si="17"/>
        <v>0</v>
      </c>
      <c r="I264" s="2">
        <f t="shared" si="18"/>
        <v>366060</v>
      </c>
      <c r="J264" s="2">
        <f t="shared" si="19"/>
        <v>537135</v>
      </c>
      <c r="K264" s="2"/>
    </row>
    <row r="265" spans="1:11" x14ac:dyDescent="0.2">
      <c r="A265">
        <v>2016</v>
      </c>
      <c r="B265" s="34">
        <v>5268</v>
      </c>
      <c r="C265" s="3" t="s">
        <v>271</v>
      </c>
      <c r="D265" s="12">
        <v>170067</v>
      </c>
      <c r="E265" s="12">
        <v>363900</v>
      </c>
      <c r="F265" s="12">
        <f t="shared" si="16"/>
        <v>533967</v>
      </c>
      <c r="G265">
        <f>VLOOKUP(B265,'2015'!$B$2:$G$338,6,FALSE)</f>
        <v>0</v>
      </c>
      <c r="H265">
        <f t="shared" si="17"/>
        <v>0</v>
      </c>
      <c r="I265" s="2">
        <f t="shared" si="18"/>
        <v>363900</v>
      </c>
      <c r="J265" s="2">
        <f t="shared" si="19"/>
        <v>533967</v>
      </c>
      <c r="K265" s="2"/>
    </row>
    <row r="266" spans="1:11" x14ac:dyDescent="0.2">
      <c r="A266">
        <v>2016</v>
      </c>
      <c r="B266" s="34">
        <v>5270</v>
      </c>
      <c r="C266" s="3" t="s">
        <v>272</v>
      </c>
      <c r="D266" s="12">
        <v>222977</v>
      </c>
      <c r="E266" s="12">
        <v>477110</v>
      </c>
      <c r="F266" s="12">
        <f t="shared" si="16"/>
        <v>700087</v>
      </c>
      <c r="G266">
        <f>VLOOKUP(B266,'2015'!$B$2:$G$338,6,FALSE)</f>
        <v>0</v>
      </c>
      <c r="H266">
        <f t="shared" si="17"/>
        <v>0</v>
      </c>
      <c r="I266" s="2">
        <f t="shared" si="18"/>
        <v>477110</v>
      </c>
      <c r="J266" s="2">
        <f t="shared" si="19"/>
        <v>700087</v>
      </c>
      <c r="K266" s="2"/>
    </row>
    <row r="267" spans="1:11" x14ac:dyDescent="0.2">
      <c r="A267">
        <v>2016</v>
      </c>
      <c r="B267" s="34">
        <v>5271</v>
      </c>
      <c r="C267" s="3" t="s">
        <v>273</v>
      </c>
      <c r="D267" s="12">
        <v>125337</v>
      </c>
      <c r="E267" s="12">
        <v>268190</v>
      </c>
      <c r="F267" s="12">
        <f t="shared" si="16"/>
        <v>393527</v>
      </c>
      <c r="G267">
        <f>VLOOKUP(B267,'2015'!$B$2:$G$338,6,FALSE)</f>
        <v>0</v>
      </c>
      <c r="H267">
        <f t="shared" si="17"/>
        <v>0</v>
      </c>
      <c r="I267" s="2">
        <f t="shared" si="18"/>
        <v>268190</v>
      </c>
      <c r="J267" s="2">
        <f t="shared" si="19"/>
        <v>393527</v>
      </c>
      <c r="K267" s="2"/>
    </row>
    <row r="268" spans="1:11" x14ac:dyDescent="0.2">
      <c r="A268">
        <v>2016</v>
      </c>
      <c r="B268" s="34">
        <v>5272</v>
      </c>
      <c r="C268" s="3" t="s">
        <v>274</v>
      </c>
      <c r="D268" s="12">
        <v>1788720</v>
      </c>
      <c r="E268" s="12">
        <v>3827410</v>
      </c>
      <c r="F268" s="12">
        <f t="shared" si="16"/>
        <v>5616130</v>
      </c>
      <c r="G268">
        <f>VLOOKUP(B268,'2015'!$B$2:$G$338,6,FALSE)</f>
        <v>0</v>
      </c>
      <c r="H268">
        <f t="shared" si="17"/>
        <v>0</v>
      </c>
      <c r="I268" s="2">
        <f t="shared" si="18"/>
        <v>3827410</v>
      </c>
      <c r="J268" s="2">
        <f t="shared" si="19"/>
        <v>5616130</v>
      </c>
      <c r="K268" s="2"/>
    </row>
    <row r="269" spans="1:11" x14ac:dyDescent="0.2">
      <c r="A269">
        <v>2016</v>
      </c>
      <c r="B269" s="34">
        <v>5274</v>
      </c>
      <c r="C269" s="3" t="s">
        <v>275</v>
      </c>
      <c r="D269" s="12">
        <v>475101</v>
      </c>
      <c r="E269" s="12">
        <v>1016600</v>
      </c>
      <c r="F269" s="12">
        <f t="shared" si="16"/>
        <v>1491701</v>
      </c>
      <c r="G269">
        <f>VLOOKUP(B269,'2015'!$B$2:$G$338,6,FALSE)</f>
        <v>0</v>
      </c>
      <c r="H269">
        <f t="shared" si="17"/>
        <v>0</v>
      </c>
      <c r="I269" s="2">
        <f t="shared" si="18"/>
        <v>1016600</v>
      </c>
      <c r="J269" s="2">
        <f t="shared" si="19"/>
        <v>1491701</v>
      </c>
      <c r="K269" s="2"/>
    </row>
    <row r="270" spans="1:11" x14ac:dyDescent="0.2">
      <c r="A270">
        <v>2016</v>
      </c>
      <c r="B270" s="34">
        <v>5275</v>
      </c>
      <c r="C270" s="3" t="s">
        <v>276</v>
      </c>
      <c r="D270" s="12">
        <v>1132608</v>
      </c>
      <c r="E270" s="12">
        <v>2423500</v>
      </c>
      <c r="F270" s="12">
        <f t="shared" si="16"/>
        <v>3556108</v>
      </c>
      <c r="G270">
        <f>VLOOKUP(B270,'2015'!$B$2:$G$338,6,FALSE)</f>
        <v>0</v>
      </c>
      <c r="H270">
        <f t="shared" si="17"/>
        <v>0</v>
      </c>
      <c r="I270" s="2">
        <f t="shared" si="18"/>
        <v>2423500</v>
      </c>
      <c r="J270" s="2">
        <f t="shared" si="19"/>
        <v>3556108</v>
      </c>
      <c r="K270" s="2"/>
    </row>
    <row r="271" spans="1:11" x14ac:dyDescent="0.2">
      <c r="A271">
        <v>2016</v>
      </c>
      <c r="B271" s="34">
        <v>5276</v>
      </c>
      <c r="C271" s="3" t="s">
        <v>277</v>
      </c>
      <c r="D271" s="16">
        <v>624653</v>
      </c>
      <c r="E271" s="16">
        <v>1336600</v>
      </c>
      <c r="F271" s="12">
        <f t="shared" si="16"/>
        <v>1961253</v>
      </c>
      <c r="G271">
        <f>VLOOKUP(B271,'2015'!$B$2:$G$338,6,FALSE)</f>
        <v>0</v>
      </c>
      <c r="H271">
        <f t="shared" si="17"/>
        <v>0</v>
      </c>
      <c r="I271" s="2">
        <f t="shared" si="18"/>
        <v>1336600</v>
      </c>
      <c r="J271" s="2">
        <f t="shared" si="19"/>
        <v>1961253</v>
      </c>
      <c r="K271" s="2"/>
    </row>
    <row r="272" spans="1:11" x14ac:dyDescent="0.2">
      <c r="A272">
        <v>2016</v>
      </c>
      <c r="B272" s="34">
        <v>5278</v>
      </c>
      <c r="C272" s="3" t="s">
        <v>278</v>
      </c>
      <c r="D272" s="12">
        <v>161128</v>
      </c>
      <c r="E272" s="12">
        <v>344770</v>
      </c>
      <c r="F272" s="12">
        <f t="shared" si="16"/>
        <v>505898</v>
      </c>
      <c r="G272">
        <f>VLOOKUP(B272,'2015'!$B$2:$G$338,6,FALSE)</f>
        <v>0</v>
      </c>
      <c r="H272">
        <f t="shared" si="17"/>
        <v>0</v>
      </c>
      <c r="I272" s="2">
        <f t="shared" si="18"/>
        <v>344770</v>
      </c>
      <c r="J272" s="2">
        <f t="shared" si="19"/>
        <v>505898</v>
      </c>
      <c r="K272" s="2"/>
    </row>
    <row r="273" spans="1:11" x14ac:dyDescent="0.2">
      <c r="A273">
        <v>2016</v>
      </c>
      <c r="B273" s="34">
        <v>5280</v>
      </c>
      <c r="C273" s="3" t="s">
        <v>279</v>
      </c>
      <c r="D273" s="12">
        <v>3424293</v>
      </c>
      <c r="E273" s="12">
        <v>7327120</v>
      </c>
      <c r="F273" s="12">
        <f t="shared" si="16"/>
        <v>10751413</v>
      </c>
      <c r="G273">
        <f>VLOOKUP(B273,'2015'!$B$2:$G$338,6,FALSE)</f>
        <v>0</v>
      </c>
      <c r="H273">
        <f t="shared" si="17"/>
        <v>0</v>
      </c>
      <c r="I273" s="2">
        <f t="shared" si="18"/>
        <v>7327120</v>
      </c>
      <c r="J273" s="2">
        <f t="shared" si="19"/>
        <v>10751413</v>
      </c>
      <c r="K273" s="2"/>
    </row>
    <row r="274" spans="1:11" x14ac:dyDescent="0.2">
      <c r="A274">
        <v>2016</v>
      </c>
      <c r="B274" s="34">
        <v>5281</v>
      </c>
      <c r="C274" s="3" t="s">
        <v>280</v>
      </c>
      <c r="D274" s="12">
        <v>147741</v>
      </c>
      <c r="E274" s="12">
        <v>316130</v>
      </c>
      <c r="F274" s="12">
        <f t="shared" si="16"/>
        <v>463871</v>
      </c>
      <c r="G274">
        <f>VLOOKUP(B274,'2015'!$B$2:$G$338,6,FALSE)</f>
        <v>0</v>
      </c>
      <c r="H274">
        <f t="shared" si="17"/>
        <v>0</v>
      </c>
      <c r="I274" s="2">
        <f t="shared" si="18"/>
        <v>316130</v>
      </c>
      <c r="J274" s="2">
        <f t="shared" si="19"/>
        <v>463871</v>
      </c>
      <c r="K274" s="2"/>
    </row>
    <row r="275" spans="1:11" x14ac:dyDescent="0.2">
      <c r="A275">
        <v>2016</v>
      </c>
      <c r="B275" s="34">
        <v>5283</v>
      </c>
      <c r="C275" s="3" t="s">
        <v>281</v>
      </c>
      <c r="D275" s="12">
        <v>334369</v>
      </c>
      <c r="E275" s="12">
        <v>715470</v>
      </c>
      <c r="F275" s="12">
        <f t="shared" si="16"/>
        <v>1049839</v>
      </c>
      <c r="G275">
        <f>VLOOKUP(B275,'2015'!$B$2:$G$338,6,FALSE)</f>
        <v>0</v>
      </c>
      <c r="H275">
        <f t="shared" si="17"/>
        <v>0</v>
      </c>
      <c r="I275" s="2">
        <f t="shared" si="18"/>
        <v>715470</v>
      </c>
      <c r="J275" s="2">
        <f t="shared" si="19"/>
        <v>1049839</v>
      </c>
      <c r="K275" s="2"/>
    </row>
    <row r="276" spans="1:11" x14ac:dyDescent="0.2">
      <c r="A276">
        <v>2016</v>
      </c>
      <c r="B276" s="34">
        <v>5284</v>
      </c>
      <c r="C276" s="3" t="s">
        <v>282</v>
      </c>
      <c r="D276" s="12">
        <v>451109</v>
      </c>
      <c r="E276" s="12">
        <v>965260</v>
      </c>
      <c r="F276" s="12">
        <f t="shared" si="16"/>
        <v>1416369</v>
      </c>
      <c r="G276">
        <f>VLOOKUP(B276,'2015'!$B$2:$G$338,6,FALSE)</f>
        <v>0</v>
      </c>
      <c r="H276">
        <f t="shared" si="17"/>
        <v>0</v>
      </c>
      <c r="I276" s="2">
        <f t="shared" si="18"/>
        <v>965260</v>
      </c>
      <c r="J276" s="2">
        <f t="shared" si="19"/>
        <v>1416369</v>
      </c>
      <c r="K276" s="2"/>
    </row>
    <row r="277" spans="1:11" x14ac:dyDescent="0.2">
      <c r="A277">
        <v>2016</v>
      </c>
      <c r="B277" s="34">
        <v>5285</v>
      </c>
      <c r="C277" s="3" t="s">
        <v>283</v>
      </c>
      <c r="D277" s="12">
        <v>257211</v>
      </c>
      <c r="E277" s="12">
        <v>550370</v>
      </c>
      <c r="F277" s="12">
        <f t="shared" si="16"/>
        <v>807581</v>
      </c>
      <c r="G277">
        <f>VLOOKUP(B277,'2015'!$B$2:$G$338,6,FALSE)</f>
        <v>0</v>
      </c>
      <c r="H277">
        <f t="shared" si="17"/>
        <v>0</v>
      </c>
      <c r="I277" s="2">
        <f t="shared" si="18"/>
        <v>550370</v>
      </c>
      <c r="J277" s="2">
        <f t="shared" si="19"/>
        <v>807581</v>
      </c>
      <c r="K277" s="2"/>
    </row>
    <row r="278" spans="1:11" x14ac:dyDescent="0.2">
      <c r="A278">
        <v>2016</v>
      </c>
      <c r="B278" s="34">
        <v>5286</v>
      </c>
      <c r="C278" s="3" t="s">
        <v>284</v>
      </c>
      <c r="D278" s="12">
        <v>239461</v>
      </c>
      <c r="E278" s="12">
        <v>512390</v>
      </c>
      <c r="F278" s="12">
        <f t="shared" si="16"/>
        <v>751851</v>
      </c>
      <c r="G278">
        <f>VLOOKUP(B278,'2015'!$B$2:$G$338,6,FALSE)</f>
        <v>0</v>
      </c>
      <c r="H278">
        <f t="shared" si="17"/>
        <v>0</v>
      </c>
      <c r="I278" s="2">
        <f t="shared" si="18"/>
        <v>512390</v>
      </c>
      <c r="J278" s="2">
        <f t="shared" si="19"/>
        <v>751851</v>
      </c>
      <c r="K278" s="2"/>
    </row>
    <row r="279" spans="1:11" x14ac:dyDescent="0.2">
      <c r="A279">
        <v>2016</v>
      </c>
      <c r="B279" s="34">
        <v>5287</v>
      </c>
      <c r="C279" s="3" t="s">
        <v>285</v>
      </c>
      <c r="D279" s="12">
        <v>385186</v>
      </c>
      <c r="E279" s="12">
        <v>824200</v>
      </c>
      <c r="F279" s="12">
        <f t="shared" si="16"/>
        <v>1209386</v>
      </c>
      <c r="G279">
        <f>VLOOKUP(B279,'2015'!$B$2:$G$338,6,FALSE)</f>
        <v>0</v>
      </c>
      <c r="H279">
        <f t="shared" si="17"/>
        <v>0</v>
      </c>
      <c r="I279" s="2">
        <f t="shared" si="18"/>
        <v>824200</v>
      </c>
      <c r="J279" s="2">
        <f t="shared" si="19"/>
        <v>1209386</v>
      </c>
      <c r="K279" s="2"/>
    </row>
    <row r="280" spans="1:11" x14ac:dyDescent="0.2">
      <c r="A280">
        <v>2016</v>
      </c>
      <c r="B280" s="34">
        <v>5288</v>
      </c>
      <c r="C280" s="3" t="s">
        <v>286</v>
      </c>
      <c r="D280" s="12">
        <v>225823</v>
      </c>
      <c r="E280" s="12">
        <v>483200</v>
      </c>
      <c r="F280" s="12">
        <f t="shared" si="16"/>
        <v>709023</v>
      </c>
      <c r="G280">
        <f>VLOOKUP(B280,'2015'!$B$2:$G$338,6,FALSE)</f>
        <v>0</v>
      </c>
      <c r="H280">
        <f t="shared" si="17"/>
        <v>0</v>
      </c>
      <c r="I280" s="2">
        <f t="shared" si="18"/>
        <v>483200</v>
      </c>
      <c r="J280" s="2">
        <f t="shared" si="19"/>
        <v>709023</v>
      </c>
      <c r="K280" s="2"/>
    </row>
    <row r="281" spans="1:11" x14ac:dyDescent="0.2">
      <c r="A281">
        <v>2016</v>
      </c>
      <c r="B281" s="34">
        <v>5289</v>
      </c>
      <c r="C281" s="3" t="s">
        <v>287</v>
      </c>
      <c r="D281" s="12">
        <v>289417</v>
      </c>
      <c r="E281" s="12">
        <v>619280</v>
      </c>
      <c r="F281" s="12">
        <f t="shared" si="16"/>
        <v>908697</v>
      </c>
      <c r="G281">
        <f>VLOOKUP(B281,'2015'!$B$2:$G$338,6,FALSE)</f>
        <v>0</v>
      </c>
      <c r="H281">
        <f t="shared" si="17"/>
        <v>0</v>
      </c>
      <c r="I281" s="2">
        <f t="shared" si="18"/>
        <v>619280</v>
      </c>
      <c r="J281" s="2">
        <f t="shared" si="19"/>
        <v>908697</v>
      </c>
      <c r="K281" s="2"/>
    </row>
    <row r="282" spans="1:11" x14ac:dyDescent="0.2">
      <c r="A282">
        <v>2016</v>
      </c>
      <c r="B282" s="34">
        <v>5291</v>
      </c>
      <c r="C282" s="3" t="s">
        <v>288</v>
      </c>
      <c r="D282" s="12">
        <v>415029</v>
      </c>
      <c r="E282" s="12">
        <v>888060</v>
      </c>
      <c r="F282" s="12">
        <f t="shared" si="16"/>
        <v>1303089</v>
      </c>
      <c r="G282">
        <f>VLOOKUP(B282,'2015'!$B$2:$G$338,6,FALSE)</f>
        <v>0</v>
      </c>
      <c r="H282">
        <f t="shared" si="17"/>
        <v>0</v>
      </c>
      <c r="I282" s="2">
        <f t="shared" si="18"/>
        <v>888060</v>
      </c>
      <c r="J282" s="2">
        <f t="shared" si="19"/>
        <v>1303089</v>
      </c>
      <c r="K282" s="2"/>
    </row>
    <row r="283" spans="1:11" x14ac:dyDescent="0.2">
      <c r="A283">
        <v>2016</v>
      </c>
      <c r="B283" s="34">
        <v>5292</v>
      </c>
      <c r="C283" s="3" t="s">
        <v>289</v>
      </c>
      <c r="D283" s="12">
        <v>1078110</v>
      </c>
      <c r="E283" s="12">
        <v>2306880</v>
      </c>
      <c r="F283" s="12">
        <f t="shared" si="16"/>
        <v>3384990</v>
      </c>
      <c r="G283">
        <f>VLOOKUP(B283,'2015'!$B$2:$G$338,6,FALSE)</f>
        <v>0</v>
      </c>
      <c r="H283">
        <f t="shared" si="17"/>
        <v>0</v>
      </c>
      <c r="I283" s="2">
        <f t="shared" si="18"/>
        <v>2306880</v>
      </c>
      <c r="J283" s="2">
        <f t="shared" si="19"/>
        <v>3384990</v>
      </c>
      <c r="K283" s="2"/>
    </row>
    <row r="284" spans="1:11" x14ac:dyDescent="0.2">
      <c r="A284">
        <v>2016</v>
      </c>
      <c r="B284" s="34">
        <v>5293</v>
      </c>
      <c r="C284" s="3" t="s">
        <v>290</v>
      </c>
      <c r="D284" s="12">
        <v>234913</v>
      </c>
      <c r="E284" s="12">
        <v>502650</v>
      </c>
      <c r="F284" s="12">
        <f t="shared" si="16"/>
        <v>737563</v>
      </c>
      <c r="G284">
        <f>VLOOKUP(B284,'2015'!$B$2:$G$338,6,FALSE)</f>
        <v>0</v>
      </c>
      <c r="H284">
        <f t="shared" si="17"/>
        <v>0</v>
      </c>
      <c r="I284" s="2">
        <f t="shared" si="18"/>
        <v>502650</v>
      </c>
      <c r="J284" s="2">
        <f t="shared" si="19"/>
        <v>737563</v>
      </c>
      <c r="K284" s="2"/>
    </row>
    <row r="285" spans="1:11" x14ac:dyDescent="0.2">
      <c r="A285">
        <v>2016</v>
      </c>
      <c r="B285" s="34">
        <v>5294</v>
      </c>
      <c r="C285" s="3" t="s">
        <v>291</v>
      </c>
      <c r="D285" s="12">
        <v>565546</v>
      </c>
      <c r="E285" s="12">
        <v>1210130</v>
      </c>
      <c r="F285" s="12">
        <f t="shared" si="16"/>
        <v>1775676</v>
      </c>
      <c r="G285">
        <f>VLOOKUP(B285,'2015'!$B$2:$G$338,6,FALSE)</f>
        <v>0</v>
      </c>
      <c r="H285">
        <f t="shared" si="17"/>
        <v>0</v>
      </c>
      <c r="I285" s="2">
        <f t="shared" si="18"/>
        <v>1210130</v>
      </c>
      <c r="J285" s="2">
        <f t="shared" si="19"/>
        <v>1775676</v>
      </c>
      <c r="K285" s="2"/>
    </row>
    <row r="286" spans="1:11" x14ac:dyDescent="0.2">
      <c r="A286">
        <v>2016</v>
      </c>
      <c r="B286" s="34">
        <v>5295</v>
      </c>
      <c r="C286" s="3" t="s">
        <v>292</v>
      </c>
      <c r="D286" s="12">
        <v>167586</v>
      </c>
      <c r="E286" s="12">
        <v>358590</v>
      </c>
      <c r="F286" s="12">
        <f t="shared" si="16"/>
        <v>526176</v>
      </c>
      <c r="G286">
        <f>VLOOKUP(B286,'2015'!$B$2:$G$338,6,FALSE)</f>
        <v>0</v>
      </c>
      <c r="H286">
        <f t="shared" si="17"/>
        <v>0</v>
      </c>
      <c r="I286" s="2">
        <f t="shared" si="18"/>
        <v>358590</v>
      </c>
      <c r="J286" s="2">
        <f t="shared" si="19"/>
        <v>526176</v>
      </c>
      <c r="K286" s="2"/>
    </row>
    <row r="287" spans="1:11" x14ac:dyDescent="0.2">
      <c r="A287">
        <v>2016</v>
      </c>
      <c r="B287" s="34">
        <v>5296</v>
      </c>
      <c r="C287" s="3" t="s">
        <v>293</v>
      </c>
      <c r="D287" s="12">
        <v>888454</v>
      </c>
      <c r="E287" s="12">
        <v>1901070</v>
      </c>
      <c r="F287" s="12">
        <f t="shared" si="16"/>
        <v>2789524</v>
      </c>
      <c r="G287">
        <f>VLOOKUP(B287,'2015'!$B$2:$G$338,6,FALSE)</f>
        <v>0</v>
      </c>
      <c r="H287">
        <f t="shared" si="17"/>
        <v>0</v>
      </c>
      <c r="I287" s="2">
        <f t="shared" si="18"/>
        <v>1901070</v>
      </c>
      <c r="J287" s="2">
        <f t="shared" si="19"/>
        <v>2789524</v>
      </c>
      <c r="K287" s="2"/>
    </row>
    <row r="288" spans="1:11" x14ac:dyDescent="0.2">
      <c r="A288">
        <v>2016</v>
      </c>
      <c r="B288" s="34">
        <v>5297</v>
      </c>
      <c r="C288" s="3" t="s">
        <v>294</v>
      </c>
      <c r="D288" s="12">
        <v>449027</v>
      </c>
      <c r="E288" s="12">
        <v>960800</v>
      </c>
      <c r="F288" s="12">
        <f t="shared" si="16"/>
        <v>1409827</v>
      </c>
      <c r="G288">
        <f>VLOOKUP(B288,'2015'!$B$2:$G$338,6,FALSE)</f>
        <v>0</v>
      </c>
      <c r="H288">
        <f t="shared" si="17"/>
        <v>0</v>
      </c>
      <c r="I288" s="2">
        <f t="shared" si="18"/>
        <v>960800</v>
      </c>
      <c r="J288" s="2">
        <f t="shared" si="19"/>
        <v>1409827</v>
      </c>
      <c r="K288" s="2"/>
    </row>
    <row r="289" spans="1:11" x14ac:dyDescent="0.2">
      <c r="A289">
        <v>2016</v>
      </c>
      <c r="B289" s="34">
        <v>5298</v>
      </c>
      <c r="C289" s="3" t="s">
        <v>295</v>
      </c>
      <c r="D289" s="12">
        <v>66940</v>
      </c>
      <c r="E289" s="12">
        <v>143230</v>
      </c>
      <c r="F289" s="12">
        <f t="shared" si="16"/>
        <v>210170</v>
      </c>
      <c r="G289">
        <f>VLOOKUP(B289,'2015'!$B$2:$G$338,6,FALSE)</f>
        <v>0</v>
      </c>
      <c r="H289">
        <f t="shared" si="17"/>
        <v>0</v>
      </c>
      <c r="I289" s="2">
        <f t="shared" si="18"/>
        <v>143230</v>
      </c>
      <c r="J289" s="2">
        <f t="shared" si="19"/>
        <v>210170</v>
      </c>
      <c r="K289" s="2"/>
    </row>
    <row r="290" spans="1:11" x14ac:dyDescent="0.2">
      <c r="A290">
        <v>2016</v>
      </c>
      <c r="B290" s="34">
        <v>5299</v>
      </c>
      <c r="C290" s="3" t="s">
        <v>296</v>
      </c>
      <c r="D290" s="12">
        <v>117010</v>
      </c>
      <c r="E290" s="12">
        <v>250370</v>
      </c>
      <c r="F290" s="12">
        <f t="shared" si="16"/>
        <v>367380</v>
      </c>
      <c r="G290">
        <f>VLOOKUP(B290,'2015'!$B$2:$G$338,6,FALSE)</f>
        <v>0</v>
      </c>
      <c r="H290">
        <f t="shared" si="17"/>
        <v>0</v>
      </c>
      <c r="I290" s="2">
        <f t="shared" si="18"/>
        <v>250370</v>
      </c>
      <c r="J290" s="2">
        <f t="shared" si="19"/>
        <v>367380</v>
      </c>
      <c r="K290" s="2"/>
    </row>
    <row r="291" spans="1:11" x14ac:dyDescent="0.2">
      <c r="A291">
        <v>2016</v>
      </c>
      <c r="B291" s="34">
        <v>5300</v>
      </c>
      <c r="C291" s="3" t="s">
        <v>297</v>
      </c>
      <c r="D291" s="12">
        <v>400280</v>
      </c>
      <c r="E291" s="12">
        <v>856500</v>
      </c>
      <c r="F291" s="12">
        <f t="shared" si="16"/>
        <v>1256780</v>
      </c>
      <c r="G291">
        <f>VLOOKUP(B291,'2015'!$B$2:$G$338,6,FALSE)</f>
        <v>0</v>
      </c>
      <c r="H291">
        <f t="shared" si="17"/>
        <v>0</v>
      </c>
      <c r="I291" s="2">
        <f t="shared" si="18"/>
        <v>856500</v>
      </c>
      <c r="J291" s="2">
        <f t="shared" si="19"/>
        <v>1256780</v>
      </c>
      <c r="K291" s="2"/>
    </row>
    <row r="292" spans="1:11" x14ac:dyDescent="0.2">
      <c r="A292">
        <v>2016</v>
      </c>
      <c r="B292" s="34">
        <v>5302</v>
      </c>
      <c r="C292" s="3" t="s">
        <v>298</v>
      </c>
      <c r="D292" s="12">
        <v>2009709</v>
      </c>
      <c r="E292" s="12">
        <v>4300270</v>
      </c>
      <c r="F292" s="12">
        <f t="shared" si="16"/>
        <v>6309979</v>
      </c>
      <c r="G292">
        <f>VLOOKUP(B292,'2015'!$B$2:$G$338,6,FALSE)</f>
        <v>0</v>
      </c>
      <c r="H292">
        <f t="shared" si="17"/>
        <v>0</v>
      </c>
      <c r="I292" s="2">
        <f t="shared" si="18"/>
        <v>4300270</v>
      </c>
      <c r="J292" s="2">
        <f t="shared" si="19"/>
        <v>6309979</v>
      </c>
      <c r="K292" s="2"/>
    </row>
    <row r="293" spans="1:11" x14ac:dyDescent="0.2">
      <c r="A293">
        <v>2016</v>
      </c>
      <c r="B293" s="34">
        <v>5303</v>
      </c>
      <c r="C293" s="3" t="s">
        <v>345</v>
      </c>
      <c r="D293" s="12">
        <v>1075548</v>
      </c>
      <c r="E293" s="12">
        <v>2301400</v>
      </c>
      <c r="F293" s="12">
        <f t="shared" si="16"/>
        <v>3376948</v>
      </c>
      <c r="G293">
        <f>VLOOKUP(B293,'2015'!$B$2:$G$338,6,FALSE)</f>
        <v>0</v>
      </c>
      <c r="H293">
        <f t="shared" si="17"/>
        <v>0</v>
      </c>
      <c r="I293" s="2">
        <f t="shared" si="18"/>
        <v>2301400</v>
      </c>
      <c r="J293" s="2">
        <f t="shared" si="19"/>
        <v>3376948</v>
      </c>
      <c r="K293" s="2"/>
    </row>
    <row r="294" spans="1:11" x14ac:dyDescent="0.2">
      <c r="A294">
        <v>2016</v>
      </c>
      <c r="B294" s="34">
        <v>5304</v>
      </c>
      <c r="C294" s="3" t="s">
        <v>300</v>
      </c>
      <c r="D294" s="12">
        <v>879113</v>
      </c>
      <c r="E294" s="12">
        <v>1881080</v>
      </c>
      <c r="F294" s="12">
        <f t="shared" si="16"/>
        <v>2760193</v>
      </c>
      <c r="G294">
        <f>VLOOKUP(B294,'2015'!$B$2:$G$338,6,FALSE)</f>
        <v>0</v>
      </c>
      <c r="H294">
        <f t="shared" si="17"/>
        <v>0</v>
      </c>
      <c r="I294" s="2">
        <f t="shared" si="18"/>
        <v>1881080</v>
      </c>
      <c r="J294" s="2">
        <f t="shared" si="19"/>
        <v>2760193</v>
      </c>
      <c r="K294" s="2"/>
    </row>
    <row r="295" spans="1:11" x14ac:dyDescent="0.2">
      <c r="A295">
        <v>2016</v>
      </c>
      <c r="B295" s="34">
        <v>5305</v>
      </c>
      <c r="C295" s="3" t="s">
        <v>301</v>
      </c>
      <c r="D295" s="12">
        <v>201643</v>
      </c>
      <c r="E295" s="12">
        <v>431470</v>
      </c>
      <c r="F295" s="12">
        <f t="shared" si="16"/>
        <v>633113</v>
      </c>
      <c r="G295">
        <f>VLOOKUP(B295,'2015'!$B$2:$G$338,6,FALSE)</f>
        <v>0</v>
      </c>
      <c r="H295">
        <f t="shared" si="17"/>
        <v>0</v>
      </c>
      <c r="I295" s="2">
        <f t="shared" si="18"/>
        <v>431470</v>
      </c>
      <c r="J295" s="2">
        <f t="shared" si="19"/>
        <v>633113</v>
      </c>
      <c r="K295" s="2"/>
    </row>
    <row r="296" spans="1:11" x14ac:dyDescent="0.2">
      <c r="A296">
        <v>2016</v>
      </c>
      <c r="B296" s="34">
        <v>5306</v>
      </c>
      <c r="C296" s="3" t="s">
        <v>302</v>
      </c>
      <c r="D296" s="12">
        <v>859725</v>
      </c>
      <c r="E296" s="12">
        <v>1839590</v>
      </c>
      <c r="F296" s="12">
        <f t="shared" si="16"/>
        <v>2699315</v>
      </c>
      <c r="G296">
        <f>VLOOKUP(B296,'2015'!$B$2:$G$338,6,FALSE)</f>
        <v>0</v>
      </c>
      <c r="H296">
        <f t="shared" si="17"/>
        <v>0</v>
      </c>
      <c r="I296" s="2">
        <f t="shared" si="18"/>
        <v>1839590</v>
      </c>
      <c r="J296" s="2">
        <f t="shared" si="19"/>
        <v>2699315</v>
      </c>
      <c r="K296" s="2"/>
    </row>
    <row r="297" spans="1:11" x14ac:dyDescent="0.2">
      <c r="A297">
        <v>2016</v>
      </c>
      <c r="B297" s="34">
        <v>5307</v>
      </c>
      <c r="C297" s="3" t="s">
        <v>303</v>
      </c>
      <c r="D297" s="12">
        <v>116916</v>
      </c>
      <c r="E297" s="12">
        <v>250170</v>
      </c>
      <c r="F297" s="12">
        <f t="shared" si="16"/>
        <v>367086</v>
      </c>
      <c r="G297">
        <f>VLOOKUP(B297,'2015'!$B$2:$G$338,6,FALSE)</f>
        <v>0</v>
      </c>
      <c r="H297">
        <f t="shared" si="17"/>
        <v>0</v>
      </c>
      <c r="I297" s="2">
        <f t="shared" si="18"/>
        <v>250170</v>
      </c>
      <c r="J297" s="2">
        <f t="shared" si="19"/>
        <v>367086</v>
      </c>
      <c r="K297" s="2"/>
    </row>
    <row r="298" spans="1:11" x14ac:dyDescent="0.2">
      <c r="A298">
        <v>2016</v>
      </c>
      <c r="B298" s="34">
        <v>5308</v>
      </c>
      <c r="C298" s="3" t="s">
        <v>304</v>
      </c>
      <c r="D298" s="12">
        <v>8009102</v>
      </c>
      <c r="E298" s="12">
        <v>17137460</v>
      </c>
      <c r="F298" s="12">
        <f t="shared" si="16"/>
        <v>25146562</v>
      </c>
      <c r="G298">
        <f>VLOOKUP(B298,'2015'!$B$2:$G$338,6,FALSE)</f>
        <v>0</v>
      </c>
      <c r="H298">
        <f t="shared" si="17"/>
        <v>0</v>
      </c>
      <c r="I298" s="2">
        <f t="shared" si="18"/>
        <v>17137460</v>
      </c>
      <c r="J298" s="2">
        <f t="shared" si="19"/>
        <v>25146562</v>
      </c>
      <c r="K298" s="2"/>
    </row>
    <row r="299" spans="1:11" x14ac:dyDescent="0.2">
      <c r="A299">
        <v>2016</v>
      </c>
      <c r="B299" s="34">
        <v>5309</v>
      </c>
      <c r="C299" s="3" t="s">
        <v>305</v>
      </c>
      <c r="D299" s="12">
        <v>538162</v>
      </c>
      <c r="E299" s="12">
        <v>1151530</v>
      </c>
      <c r="F299" s="12">
        <f t="shared" si="16"/>
        <v>1689692</v>
      </c>
      <c r="G299">
        <f>VLOOKUP(B299,'2015'!$B$2:$G$338,6,FALSE)</f>
        <v>0</v>
      </c>
      <c r="H299">
        <f t="shared" si="17"/>
        <v>0</v>
      </c>
      <c r="I299" s="2">
        <f t="shared" si="18"/>
        <v>1151530</v>
      </c>
      <c r="J299" s="2">
        <f t="shared" si="19"/>
        <v>1689692</v>
      </c>
      <c r="K299" s="2"/>
    </row>
    <row r="300" spans="1:11" x14ac:dyDescent="0.2">
      <c r="A300">
        <v>2016</v>
      </c>
      <c r="B300" s="34">
        <v>5310</v>
      </c>
      <c r="C300" s="3" t="s">
        <v>306</v>
      </c>
      <c r="D300" s="12">
        <v>76070</v>
      </c>
      <c r="E300" s="12">
        <v>162770</v>
      </c>
      <c r="F300" s="12">
        <f t="shared" si="16"/>
        <v>238840</v>
      </c>
      <c r="G300">
        <f>VLOOKUP(B300,'2015'!$B$2:$G$338,6,FALSE)</f>
        <v>0</v>
      </c>
      <c r="H300">
        <f t="shared" si="17"/>
        <v>0</v>
      </c>
      <c r="I300" s="2">
        <f t="shared" si="18"/>
        <v>162770</v>
      </c>
      <c r="J300" s="2">
        <f t="shared" si="19"/>
        <v>238840</v>
      </c>
      <c r="K300" s="2"/>
    </row>
    <row r="301" spans="1:11" x14ac:dyDescent="0.2">
      <c r="A301">
        <v>2016</v>
      </c>
      <c r="B301" s="34">
        <v>5312</v>
      </c>
      <c r="C301" s="3" t="s">
        <v>307</v>
      </c>
      <c r="D301" s="12">
        <v>2628103</v>
      </c>
      <c r="E301" s="12">
        <v>5623480</v>
      </c>
      <c r="F301" s="12">
        <f t="shared" si="16"/>
        <v>8251583</v>
      </c>
      <c r="G301">
        <f>VLOOKUP(B301,'2015'!$B$2:$G$338,6,FALSE)</f>
        <v>0</v>
      </c>
      <c r="H301">
        <f t="shared" si="17"/>
        <v>0</v>
      </c>
      <c r="I301" s="2">
        <f t="shared" si="18"/>
        <v>5623480</v>
      </c>
      <c r="J301" s="2">
        <f t="shared" si="19"/>
        <v>8251583</v>
      </c>
      <c r="K301" s="2"/>
    </row>
    <row r="302" spans="1:11" x14ac:dyDescent="0.2">
      <c r="A302">
        <v>2016</v>
      </c>
      <c r="B302" s="34">
        <v>5313</v>
      </c>
      <c r="C302" s="3" t="s">
        <v>308</v>
      </c>
      <c r="D302" s="12">
        <v>201642</v>
      </c>
      <c r="E302" s="12">
        <v>431460</v>
      </c>
      <c r="F302" s="12">
        <f t="shared" si="16"/>
        <v>633102</v>
      </c>
      <c r="G302">
        <f>VLOOKUP(B302,'2015'!$B$2:$G$338,6,FALSE)</f>
        <v>0</v>
      </c>
      <c r="H302">
        <f t="shared" si="17"/>
        <v>0</v>
      </c>
      <c r="I302" s="2">
        <f t="shared" si="18"/>
        <v>431460</v>
      </c>
      <c r="J302" s="2">
        <f t="shared" si="19"/>
        <v>633102</v>
      </c>
      <c r="K302" s="2"/>
    </row>
    <row r="303" spans="1:11" x14ac:dyDescent="0.2">
      <c r="A303">
        <v>2016</v>
      </c>
      <c r="B303" s="34">
        <v>5314</v>
      </c>
      <c r="C303" s="3" t="s">
        <v>309</v>
      </c>
      <c r="D303" s="12">
        <v>10575662</v>
      </c>
      <c r="E303" s="12">
        <v>22629250</v>
      </c>
      <c r="F303" s="12">
        <f t="shared" si="16"/>
        <v>33204912</v>
      </c>
      <c r="G303">
        <f>VLOOKUP(B303,'2015'!$B$2:$G$338,6,FALSE)</f>
        <v>0</v>
      </c>
      <c r="H303">
        <f t="shared" si="17"/>
        <v>0</v>
      </c>
      <c r="I303" s="2">
        <f t="shared" si="18"/>
        <v>22629250</v>
      </c>
      <c r="J303" s="2">
        <f t="shared" si="19"/>
        <v>33204912</v>
      </c>
      <c r="K303" s="2"/>
    </row>
    <row r="304" spans="1:11" x14ac:dyDescent="0.2">
      <c r="A304">
        <v>2016</v>
      </c>
      <c r="B304" s="34">
        <v>5316</v>
      </c>
      <c r="C304" s="3" t="s">
        <v>310</v>
      </c>
      <c r="D304" s="12">
        <v>278661</v>
      </c>
      <c r="E304" s="12">
        <v>596260</v>
      </c>
      <c r="F304" s="12">
        <f t="shared" si="16"/>
        <v>874921</v>
      </c>
      <c r="G304">
        <f>VLOOKUP(B304,'2015'!$B$2:$G$338,6,FALSE)</f>
        <v>0</v>
      </c>
      <c r="H304">
        <f t="shared" si="17"/>
        <v>0</v>
      </c>
      <c r="I304" s="2">
        <f t="shared" si="18"/>
        <v>596260</v>
      </c>
      <c r="J304" s="2">
        <f t="shared" si="19"/>
        <v>874921</v>
      </c>
      <c r="K304" s="2"/>
    </row>
    <row r="305" spans="1:11" x14ac:dyDescent="0.2">
      <c r="A305">
        <v>2016</v>
      </c>
      <c r="B305" s="34">
        <v>5317</v>
      </c>
      <c r="C305" s="3" t="s">
        <v>311</v>
      </c>
      <c r="D305" s="12">
        <v>349954</v>
      </c>
      <c r="E305" s="12">
        <v>748810</v>
      </c>
      <c r="F305" s="12">
        <f t="shared" si="16"/>
        <v>1098764</v>
      </c>
      <c r="G305">
        <f>VLOOKUP(B305,'2015'!$B$2:$G$338,6,FALSE)</f>
        <v>0</v>
      </c>
      <c r="H305">
        <f t="shared" si="17"/>
        <v>0</v>
      </c>
      <c r="I305" s="2">
        <f t="shared" si="18"/>
        <v>748810</v>
      </c>
      <c r="J305" s="2">
        <f t="shared" si="19"/>
        <v>1098764</v>
      </c>
      <c r="K305" s="2"/>
    </row>
    <row r="306" spans="1:11" x14ac:dyDescent="0.2">
      <c r="A306">
        <v>2016</v>
      </c>
      <c r="B306" s="34">
        <v>5318</v>
      </c>
      <c r="C306" s="3" t="s">
        <v>312</v>
      </c>
      <c r="D306" s="12">
        <v>445996</v>
      </c>
      <c r="E306" s="12">
        <v>954320</v>
      </c>
      <c r="F306" s="12">
        <f t="shared" si="16"/>
        <v>1400316</v>
      </c>
      <c r="G306">
        <f>VLOOKUP(B306,'2015'!$B$2:$G$338,6,FALSE)</f>
        <v>0</v>
      </c>
      <c r="H306">
        <f t="shared" si="17"/>
        <v>0</v>
      </c>
      <c r="I306" s="2">
        <f t="shared" si="18"/>
        <v>954320</v>
      </c>
      <c r="J306" s="2">
        <f t="shared" si="19"/>
        <v>1400316</v>
      </c>
      <c r="K306" s="2"/>
    </row>
    <row r="307" spans="1:11" x14ac:dyDescent="0.2">
      <c r="A307">
        <v>2016</v>
      </c>
      <c r="B307" s="34">
        <v>5319</v>
      </c>
      <c r="C307" s="3" t="s">
        <v>313</v>
      </c>
      <c r="D307" s="12">
        <v>557739</v>
      </c>
      <c r="E307" s="12">
        <v>1193420</v>
      </c>
      <c r="F307" s="12">
        <f t="shared" si="16"/>
        <v>1751159</v>
      </c>
      <c r="G307">
        <f>VLOOKUP(B307,'2015'!$B$2:$G$338,6,FALSE)</f>
        <v>0</v>
      </c>
      <c r="H307">
        <f t="shared" si="17"/>
        <v>0</v>
      </c>
      <c r="I307" s="2">
        <f t="shared" si="18"/>
        <v>1193420</v>
      </c>
      <c r="J307" s="2">
        <f t="shared" si="19"/>
        <v>1751159</v>
      </c>
      <c r="K307" s="2"/>
    </row>
    <row r="308" spans="1:11" x14ac:dyDescent="0.2">
      <c r="A308">
        <v>2016</v>
      </c>
      <c r="B308" s="34">
        <v>5320</v>
      </c>
      <c r="C308" s="3" t="s">
        <v>314</v>
      </c>
      <c r="D308" s="12">
        <v>176718</v>
      </c>
      <c r="E308" s="12">
        <v>378130</v>
      </c>
      <c r="F308" s="12">
        <f t="shared" si="16"/>
        <v>554848</v>
      </c>
      <c r="G308">
        <f>VLOOKUP(B308,'2015'!$B$2:$G$338,6,FALSE)</f>
        <v>0</v>
      </c>
      <c r="H308">
        <f t="shared" si="17"/>
        <v>0</v>
      </c>
      <c r="I308" s="2">
        <f t="shared" si="18"/>
        <v>378130</v>
      </c>
      <c r="J308" s="2">
        <f t="shared" si="19"/>
        <v>554848</v>
      </c>
      <c r="K308" s="2"/>
    </row>
    <row r="309" spans="1:11" x14ac:dyDescent="0.2">
      <c r="A309">
        <v>2016</v>
      </c>
      <c r="B309" s="34">
        <v>5321</v>
      </c>
      <c r="C309" s="3" t="s">
        <v>315</v>
      </c>
      <c r="D309" s="12">
        <v>292980</v>
      </c>
      <c r="E309" s="12">
        <v>626900</v>
      </c>
      <c r="F309" s="12">
        <f t="shared" si="16"/>
        <v>919880</v>
      </c>
      <c r="G309">
        <f>VLOOKUP(B309,'2015'!$B$2:$G$338,6,FALSE)</f>
        <v>0</v>
      </c>
      <c r="H309">
        <f t="shared" si="17"/>
        <v>0</v>
      </c>
      <c r="I309" s="2">
        <f t="shared" si="18"/>
        <v>626900</v>
      </c>
      <c r="J309" s="2">
        <f t="shared" si="19"/>
        <v>919880</v>
      </c>
      <c r="K309" s="2"/>
    </row>
    <row r="310" spans="1:11" x14ac:dyDescent="0.2">
      <c r="A310">
        <v>2016</v>
      </c>
      <c r="B310" s="34">
        <v>5322</v>
      </c>
      <c r="C310" s="3" t="s">
        <v>316</v>
      </c>
      <c r="D310" s="12">
        <v>322193</v>
      </c>
      <c r="E310" s="12">
        <v>689410</v>
      </c>
      <c r="F310" s="12">
        <f t="shared" si="16"/>
        <v>1011603</v>
      </c>
      <c r="G310">
        <f>VLOOKUP(B310,'2015'!$B$2:$G$338,6,FALSE)</f>
        <v>0</v>
      </c>
      <c r="H310">
        <f t="shared" si="17"/>
        <v>0</v>
      </c>
      <c r="I310" s="2">
        <f t="shared" si="18"/>
        <v>689410</v>
      </c>
      <c r="J310" s="2">
        <f t="shared" si="19"/>
        <v>1011603</v>
      </c>
      <c r="K310" s="2"/>
    </row>
    <row r="311" spans="1:11" x14ac:dyDescent="0.2">
      <c r="A311">
        <v>2016</v>
      </c>
      <c r="B311" s="34">
        <v>5324</v>
      </c>
      <c r="C311" s="3" t="s">
        <v>317</v>
      </c>
      <c r="D311" s="12">
        <v>15563333</v>
      </c>
      <c r="E311" s="12">
        <v>33301610</v>
      </c>
      <c r="F311" s="12">
        <f t="shared" si="16"/>
        <v>48864943</v>
      </c>
      <c r="G311">
        <f>VLOOKUP(B311,'2015'!$B$2:$G$338,6,FALSE)</f>
        <v>0</v>
      </c>
      <c r="H311">
        <f t="shared" si="17"/>
        <v>0</v>
      </c>
      <c r="I311" s="2">
        <f t="shared" si="18"/>
        <v>33301610</v>
      </c>
      <c r="J311" s="2">
        <f t="shared" si="19"/>
        <v>48864943</v>
      </c>
      <c r="K311" s="2"/>
    </row>
    <row r="312" spans="1:11" x14ac:dyDescent="0.2">
      <c r="A312">
        <v>2016</v>
      </c>
      <c r="B312" s="34">
        <v>5329</v>
      </c>
      <c r="C312" s="3" t="s">
        <v>318</v>
      </c>
      <c r="D312" s="12">
        <v>119223</v>
      </c>
      <c r="E312" s="12">
        <v>255110</v>
      </c>
      <c r="F312" s="12">
        <f t="shared" si="16"/>
        <v>374333</v>
      </c>
      <c r="G312">
        <f>VLOOKUP(B312,'2015'!$B$2:$G$338,6,FALSE)</f>
        <v>0</v>
      </c>
      <c r="H312">
        <f t="shared" si="17"/>
        <v>0</v>
      </c>
      <c r="I312" s="2">
        <f t="shared" si="18"/>
        <v>255110</v>
      </c>
      <c r="J312" s="2">
        <f t="shared" si="19"/>
        <v>374333</v>
      </c>
      <c r="K312" s="2"/>
    </row>
    <row r="313" spans="1:11" x14ac:dyDescent="0.2">
      <c r="A313">
        <v>2016</v>
      </c>
      <c r="B313" s="34">
        <v>5330</v>
      </c>
      <c r="C313" s="3" t="s">
        <v>319</v>
      </c>
      <c r="D313" s="12">
        <v>779184</v>
      </c>
      <c r="E313" s="12">
        <v>1667260</v>
      </c>
      <c r="F313" s="12">
        <f t="shared" si="16"/>
        <v>2446444</v>
      </c>
      <c r="G313">
        <f>VLOOKUP(B313,'2015'!$B$2:$G$338,6,FALSE)</f>
        <v>0</v>
      </c>
      <c r="H313">
        <f t="shared" si="17"/>
        <v>0</v>
      </c>
      <c r="I313" s="2">
        <f t="shared" si="18"/>
        <v>1667260</v>
      </c>
      <c r="J313" s="2">
        <f t="shared" si="19"/>
        <v>2446444</v>
      </c>
      <c r="K313" s="2"/>
    </row>
    <row r="314" spans="1:11" x14ac:dyDescent="0.2">
      <c r="A314">
        <v>2016</v>
      </c>
      <c r="B314" s="34">
        <v>5331</v>
      </c>
      <c r="C314" s="3" t="s">
        <v>320</v>
      </c>
      <c r="D314" s="12">
        <v>799962</v>
      </c>
      <c r="E314" s="12">
        <v>1711720</v>
      </c>
      <c r="F314" s="12">
        <f t="shared" si="16"/>
        <v>2511682</v>
      </c>
      <c r="G314">
        <f>VLOOKUP(B314,'2015'!$B$2:$G$338,6,FALSE)</f>
        <v>0</v>
      </c>
      <c r="H314">
        <f t="shared" si="17"/>
        <v>0</v>
      </c>
      <c r="I314" s="2">
        <f t="shared" si="18"/>
        <v>1711720</v>
      </c>
      <c r="J314" s="2">
        <f t="shared" si="19"/>
        <v>2511682</v>
      </c>
      <c r="K314" s="2"/>
    </row>
    <row r="315" spans="1:11" x14ac:dyDescent="0.2">
      <c r="A315">
        <v>2016</v>
      </c>
      <c r="B315" s="34">
        <v>5332</v>
      </c>
      <c r="C315" s="3" t="s">
        <v>321</v>
      </c>
      <c r="D315" s="12">
        <v>898048</v>
      </c>
      <c r="E315" s="12">
        <v>1921600</v>
      </c>
      <c r="F315" s="12">
        <f t="shared" si="16"/>
        <v>2819648</v>
      </c>
      <c r="G315">
        <f>VLOOKUP(B315,'2015'!$B$2:$G$338,6,FALSE)</f>
        <v>0</v>
      </c>
      <c r="H315">
        <f t="shared" si="17"/>
        <v>0</v>
      </c>
      <c r="I315" s="2">
        <f t="shared" si="18"/>
        <v>1921600</v>
      </c>
      <c r="J315" s="2">
        <f t="shared" si="19"/>
        <v>2819648</v>
      </c>
      <c r="K315" s="2"/>
    </row>
    <row r="316" spans="1:11" x14ac:dyDescent="0.2">
      <c r="A316">
        <v>2016</v>
      </c>
      <c r="B316" s="34">
        <v>5333</v>
      </c>
      <c r="C316" s="3" t="s">
        <v>322</v>
      </c>
      <c r="D316" s="12">
        <v>305588</v>
      </c>
      <c r="E316" s="12">
        <v>653880</v>
      </c>
      <c r="F316" s="12">
        <f t="shared" si="16"/>
        <v>959468</v>
      </c>
      <c r="G316">
        <f>VLOOKUP(B316,'2015'!$B$2:$G$338,6,FALSE)</f>
        <v>0</v>
      </c>
      <c r="H316">
        <f t="shared" si="17"/>
        <v>0</v>
      </c>
      <c r="I316" s="2">
        <f t="shared" si="18"/>
        <v>653880</v>
      </c>
      <c r="J316" s="2">
        <f t="shared" si="19"/>
        <v>959468</v>
      </c>
      <c r="K316" s="2"/>
    </row>
    <row r="317" spans="1:11" x14ac:dyDescent="0.2">
      <c r="A317">
        <v>2016</v>
      </c>
      <c r="B317" s="34">
        <v>5337</v>
      </c>
      <c r="C317" s="3" t="s">
        <v>323</v>
      </c>
      <c r="D317" s="12">
        <v>1216904</v>
      </c>
      <c r="E317" s="12">
        <v>2603870</v>
      </c>
      <c r="F317" s="12">
        <f t="shared" si="16"/>
        <v>3820774</v>
      </c>
      <c r="G317">
        <f>VLOOKUP(B317,'2015'!$B$2:$G$338,6,FALSE)</f>
        <v>0</v>
      </c>
      <c r="H317">
        <f t="shared" si="17"/>
        <v>0</v>
      </c>
      <c r="I317" s="2">
        <f t="shared" si="18"/>
        <v>2603870</v>
      </c>
      <c r="J317" s="2">
        <f t="shared" si="19"/>
        <v>3820774</v>
      </c>
      <c r="K317" s="2"/>
    </row>
    <row r="318" spans="1:11" x14ac:dyDescent="0.2">
      <c r="A318">
        <v>2016</v>
      </c>
      <c r="B318" s="34">
        <v>5366</v>
      </c>
      <c r="C318" s="3" t="s">
        <v>324</v>
      </c>
      <c r="D318" s="12">
        <v>615581</v>
      </c>
      <c r="E318" s="12">
        <v>1317190</v>
      </c>
      <c r="F318" s="12">
        <f t="shared" si="16"/>
        <v>1932771</v>
      </c>
      <c r="G318">
        <f>VLOOKUP(B318,'2015'!$B$2:$G$338,6,FALSE)</f>
        <v>0</v>
      </c>
      <c r="H318">
        <f t="shared" si="17"/>
        <v>0</v>
      </c>
      <c r="I318" s="2">
        <f t="shared" si="18"/>
        <v>1317190</v>
      </c>
      <c r="J318" s="2">
        <f t="shared" si="19"/>
        <v>1932771</v>
      </c>
      <c r="K318" s="2"/>
    </row>
    <row r="319" spans="1:11" x14ac:dyDescent="0.2">
      <c r="A319">
        <v>2016</v>
      </c>
      <c r="B319" s="34">
        <v>5367</v>
      </c>
      <c r="C319" s="3" t="s">
        <v>325</v>
      </c>
      <c r="D319" s="12">
        <v>255798</v>
      </c>
      <c r="E319" s="12">
        <v>547340</v>
      </c>
      <c r="F319" s="12">
        <f t="shared" si="16"/>
        <v>803138</v>
      </c>
      <c r="G319">
        <f>VLOOKUP(B319,'2015'!$B$2:$G$338,6,FALSE)</f>
        <v>0</v>
      </c>
      <c r="H319">
        <f t="shared" si="17"/>
        <v>0</v>
      </c>
      <c r="I319" s="2">
        <f t="shared" si="18"/>
        <v>547340</v>
      </c>
      <c r="J319" s="2">
        <f t="shared" si="19"/>
        <v>803138</v>
      </c>
      <c r="K319" s="2"/>
    </row>
    <row r="320" spans="1:11" x14ac:dyDescent="0.2">
      <c r="A320">
        <v>2016</v>
      </c>
      <c r="B320" s="34">
        <v>5368</v>
      </c>
      <c r="C320" s="3" t="s">
        <v>326</v>
      </c>
      <c r="D320" s="12">
        <v>338950</v>
      </c>
      <c r="E320" s="12">
        <v>725270</v>
      </c>
      <c r="F320" s="12">
        <f t="shared" si="16"/>
        <v>1064220</v>
      </c>
      <c r="G320">
        <f>VLOOKUP(B320,'2015'!$B$2:$G$338,6,FALSE)</f>
        <v>0</v>
      </c>
      <c r="H320">
        <f t="shared" si="17"/>
        <v>0</v>
      </c>
      <c r="I320" s="2">
        <f t="shared" si="18"/>
        <v>725270</v>
      </c>
      <c r="J320" s="2">
        <f t="shared" si="19"/>
        <v>1064220</v>
      </c>
      <c r="K320" s="2"/>
    </row>
    <row r="321" spans="1:11" x14ac:dyDescent="0.2">
      <c r="A321">
        <v>2016</v>
      </c>
      <c r="B321" s="34">
        <v>5405</v>
      </c>
      <c r="C321" s="3" t="s">
        <v>327</v>
      </c>
      <c r="D321" s="12">
        <v>120066</v>
      </c>
      <c r="E321" s="12">
        <v>256910</v>
      </c>
      <c r="F321" s="12">
        <f t="shared" si="16"/>
        <v>376976</v>
      </c>
      <c r="G321">
        <f>VLOOKUP(B321,'2015'!$B$2:$G$338,6,FALSE)</f>
        <v>0</v>
      </c>
      <c r="H321">
        <f t="shared" si="17"/>
        <v>0</v>
      </c>
      <c r="I321" s="2">
        <f t="shared" si="18"/>
        <v>256910</v>
      </c>
      <c r="J321" s="2">
        <f t="shared" si="19"/>
        <v>376976</v>
      </c>
      <c r="K321" s="2"/>
    </row>
    <row r="322" spans="1:11" x14ac:dyDescent="0.2">
      <c r="A322">
        <v>2016</v>
      </c>
      <c r="B322" s="34">
        <v>5409</v>
      </c>
      <c r="C322" s="3" t="s">
        <v>328</v>
      </c>
      <c r="D322" s="12">
        <v>161478</v>
      </c>
      <c r="E322" s="12">
        <v>345520</v>
      </c>
      <c r="F322" s="12">
        <f t="shared" ref="F322:F338" si="20">SUM(D322:E322)</f>
        <v>506998</v>
      </c>
      <c r="G322">
        <f>VLOOKUP(B322,'2015'!$B$2:$G$338,6,FALSE)</f>
        <v>0</v>
      </c>
      <c r="H322">
        <f t="shared" si="17"/>
        <v>0</v>
      </c>
      <c r="I322" s="2">
        <f t="shared" si="18"/>
        <v>345520</v>
      </c>
      <c r="J322" s="2">
        <f t="shared" si="19"/>
        <v>506998</v>
      </c>
      <c r="K322" s="2"/>
    </row>
    <row r="323" spans="1:11" x14ac:dyDescent="0.2">
      <c r="A323">
        <v>2016</v>
      </c>
      <c r="B323" s="34">
        <v>5410</v>
      </c>
      <c r="C323" s="3" t="s">
        <v>329</v>
      </c>
      <c r="D323" s="12">
        <v>106184</v>
      </c>
      <c r="E323" s="12">
        <v>227210</v>
      </c>
      <c r="F323" s="12">
        <f t="shared" si="20"/>
        <v>333394</v>
      </c>
      <c r="G323">
        <f>VLOOKUP(B323,'2015'!$B$2:$G$338,6,FALSE)</f>
        <v>0</v>
      </c>
      <c r="H323">
        <f t="shared" ref="H323:H338" si="21">G323*$H$340</f>
        <v>0</v>
      </c>
      <c r="I323" s="2">
        <f t="shared" ref="I323:I338" si="22">SUM(E323,H323)</f>
        <v>227210</v>
      </c>
      <c r="J323" s="2">
        <f t="shared" ref="J323:J338" si="23">SUM(H323,D323:E323)</f>
        <v>333394</v>
      </c>
      <c r="K323" s="2"/>
    </row>
    <row r="324" spans="1:11" x14ac:dyDescent="0.2">
      <c r="A324">
        <v>2016</v>
      </c>
      <c r="B324" s="34">
        <v>5430</v>
      </c>
      <c r="C324" s="3" t="s">
        <v>330</v>
      </c>
      <c r="D324" s="12">
        <v>15704339</v>
      </c>
      <c r="E324" s="12">
        <v>33603330</v>
      </c>
      <c r="F324" s="12">
        <f t="shared" si="20"/>
        <v>49307669</v>
      </c>
      <c r="G324">
        <f>VLOOKUP(B324,'2015'!$B$2:$G$338,6,FALSE)</f>
        <v>0</v>
      </c>
      <c r="H324">
        <f t="shared" si="21"/>
        <v>0</v>
      </c>
      <c r="I324" s="2">
        <f t="shared" si="22"/>
        <v>33603330</v>
      </c>
      <c r="J324" s="2">
        <f t="shared" si="23"/>
        <v>49307669</v>
      </c>
      <c r="K324" s="2"/>
    </row>
    <row r="325" spans="1:11" x14ac:dyDescent="0.2">
      <c r="A325">
        <v>2016</v>
      </c>
      <c r="B325" s="34">
        <v>5436</v>
      </c>
      <c r="C325" s="3" t="s">
        <v>331</v>
      </c>
      <c r="D325" s="12">
        <v>416607</v>
      </c>
      <c r="E325" s="12">
        <v>891430</v>
      </c>
      <c r="F325" s="12">
        <f t="shared" si="20"/>
        <v>1308037</v>
      </c>
      <c r="G325">
        <f>VLOOKUP(B325,'2015'!$B$2:$G$338,6,FALSE)</f>
        <v>0</v>
      </c>
      <c r="H325">
        <f t="shared" si="21"/>
        <v>0</v>
      </c>
      <c r="I325" s="2">
        <f t="shared" si="22"/>
        <v>891430</v>
      </c>
      <c r="J325" s="2">
        <f t="shared" si="23"/>
        <v>1308037</v>
      </c>
      <c r="K325" s="2"/>
    </row>
    <row r="326" spans="1:11" x14ac:dyDescent="0.2">
      <c r="A326">
        <v>2016</v>
      </c>
      <c r="B326" s="34">
        <v>5590</v>
      </c>
      <c r="C326" s="3" t="s">
        <v>332</v>
      </c>
      <c r="D326" s="12">
        <v>96961</v>
      </c>
      <c r="E326" s="12">
        <v>207470</v>
      </c>
      <c r="F326" s="12">
        <f t="shared" si="20"/>
        <v>304431</v>
      </c>
      <c r="G326">
        <f>VLOOKUP(B326,'2015'!$B$2:$G$338,6,FALSE)</f>
        <v>0</v>
      </c>
      <c r="H326">
        <f t="shared" si="21"/>
        <v>0</v>
      </c>
      <c r="I326" s="2">
        <f t="shared" si="22"/>
        <v>207470</v>
      </c>
      <c r="J326" s="2">
        <f t="shared" si="23"/>
        <v>304431</v>
      </c>
      <c r="K326" s="2"/>
    </row>
    <row r="327" spans="1:11" x14ac:dyDescent="0.2">
      <c r="A327">
        <v>2016</v>
      </c>
      <c r="B327" s="34">
        <v>5696</v>
      </c>
      <c r="C327" s="3" t="s">
        <v>333</v>
      </c>
      <c r="D327" s="12">
        <v>170897</v>
      </c>
      <c r="E327" s="12">
        <v>365680</v>
      </c>
      <c r="F327" s="12">
        <f t="shared" si="20"/>
        <v>536577</v>
      </c>
      <c r="G327">
        <f>VLOOKUP(B327,'2015'!$B$2:$G$338,6,FALSE)</f>
        <v>0</v>
      </c>
      <c r="H327">
        <f t="shared" si="21"/>
        <v>0</v>
      </c>
      <c r="I327" s="2">
        <f t="shared" si="22"/>
        <v>365680</v>
      </c>
      <c r="J327" s="2">
        <f t="shared" si="23"/>
        <v>536577</v>
      </c>
      <c r="K327" s="2"/>
    </row>
    <row r="328" spans="1:11" x14ac:dyDescent="0.2">
      <c r="A328">
        <v>2016</v>
      </c>
      <c r="B328" s="34">
        <v>9291</v>
      </c>
      <c r="C328" s="3" t="s">
        <v>334</v>
      </c>
      <c r="D328" s="12">
        <v>237125</v>
      </c>
      <c r="E328" s="12">
        <v>507390</v>
      </c>
      <c r="F328" s="12">
        <f t="shared" si="20"/>
        <v>744515</v>
      </c>
      <c r="G328">
        <f>VLOOKUP(B328,'2015'!$B$2:$G$338,6,FALSE)</f>
        <v>0</v>
      </c>
      <c r="H328">
        <f t="shared" si="21"/>
        <v>0</v>
      </c>
      <c r="I328" s="2">
        <f t="shared" si="22"/>
        <v>507390</v>
      </c>
      <c r="J328" s="2">
        <f t="shared" si="23"/>
        <v>744515</v>
      </c>
      <c r="K328" s="2"/>
    </row>
    <row r="329" spans="1:11" x14ac:dyDescent="0.2">
      <c r="A329">
        <v>2016</v>
      </c>
      <c r="B329" s="34">
        <v>9302</v>
      </c>
      <c r="C329" s="3" t="s">
        <v>335</v>
      </c>
      <c r="D329" s="12">
        <v>128118</v>
      </c>
      <c r="E329" s="12">
        <v>274140</v>
      </c>
      <c r="F329" s="12">
        <f t="shared" si="20"/>
        <v>402258</v>
      </c>
      <c r="G329">
        <f>VLOOKUP(B329,'2015'!$B$2:$G$338,6,FALSE)</f>
        <v>0</v>
      </c>
      <c r="H329">
        <f t="shared" si="21"/>
        <v>0</v>
      </c>
      <c r="I329" s="2">
        <f t="shared" si="22"/>
        <v>274140</v>
      </c>
      <c r="J329" s="2">
        <f t="shared" si="23"/>
        <v>402258</v>
      </c>
      <c r="K329" s="2"/>
    </row>
    <row r="330" spans="1:11" x14ac:dyDescent="0.2">
      <c r="A330">
        <v>2016</v>
      </c>
      <c r="B330" s="34">
        <v>9332</v>
      </c>
      <c r="C330" s="3" t="s">
        <v>336</v>
      </c>
      <c r="D330" s="12">
        <v>229416</v>
      </c>
      <c r="E330" s="12">
        <v>490890</v>
      </c>
      <c r="F330" s="12">
        <f t="shared" si="20"/>
        <v>720306</v>
      </c>
      <c r="G330">
        <f>VLOOKUP(B330,'2015'!$B$2:$G$338,6,FALSE)</f>
        <v>0</v>
      </c>
      <c r="H330">
        <f t="shared" si="21"/>
        <v>0</v>
      </c>
      <c r="I330" s="2">
        <f t="shared" si="22"/>
        <v>490890</v>
      </c>
      <c r="J330" s="2">
        <f t="shared" si="23"/>
        <v>720306</v>
      </c>
      <c r="K330" s="2"/>
    </row>
    <row r="331" spans="1:11" x14ac:dyDescent="0.2">
      <c r="A331">
        <v>2016</v>
      </c>
      <c r="B331" s="34">
        <v>9333</v>
      </c>
      <c r="C331" s="3" t="s">
        <v>337</v>
      </c>
      <c r="D331" s="12">
        <v>220961</v>
      </c>
      <c r="E331" s="12">
        <v>472800</v>
      </c>
      <c r="F331" s="12">
        <f t="shared" si="20"/>
        <v>693761</v>
      </c>
      <c r="G331">
        <f>VLOOKUP(B331,'2015'!$B$2:$G$338,6,FALSE)</f>
        <v>0</v>
      </c>
      <c r="H331">
        <f t="shared" si="21"/>
        <v>0</v>
      </c>
      <c r="I331" s="2">
        <f t="shared" si="22"/>
        <v>472800</v>
      </c>
      <c r="J331" s="2">
        <f t="shared" si="23"/>
        <v>693761</v>
      </c>
      <c r="K331" s="2"/>
    </row>
    <row r="332" spans="1:11" x14ac:dyDescent="0.2">
      <c r="A332">
        <v>2016</v>
      </c>
      <c r="B332" s="34">
        <v>9335</v>
      </c>
      <c r="C332" s="3" t="s">
        <v>338</v>
      </c>
      <c r="D332" s="12">
        <v>292262</v>
      </c>
      <c r="E332" s="12">
        <v>625370</v>
      </c>
      <c r="F332" s="12">
        <f t="shared" si="20"/>
        <v>917632</v>
      </c>
      <c r="G332">
        <f>VLOOKUP(B332,'2015'!$B$2:$G$338,6,FALSE)</f>
        <v>0</v>
      </c>
      <c r="H332">
        <f t="shared" si="21"/>
        <v>0</v>
      </c>
      <c r="I332" s="2">
        <f t="shared" si="22"/>
        <v>625370</v>
      </c>
      <c r="J332" s="2">
        <f t="shared" si="23"/>
        <v>917632</v>
      </c>
      <c r="K332" s="2"/>
    </row>
    <row r="333" spans="1:11" x14ac:dyDescent="0.2">
      <c r="A333">
        <v>2016</v>
      </c>
      <c r="B333" s="34">
        <v>9389</v>
      </c>
      <c r="C333" s="3" t="s">
        <v>339</v>
      </c>
      <c r="D333" s="12">
        <v>179823</v>
      </c>
      <c r="E333" s="12">
        <v>384780</v>
      </c>
      <c r="F333" s="12">
        <f t="shared" si="20"/>
        <v>564603</v>
      </c>
      <c r="G333">
        <f>VLOOKUP(B333,'2015'!$B$2:$G$338,6,FALSE)</f>
        <v>0</v>
      </c>
      <c r="H333">
        <f t="shared" si="21"/>
        <v>0</v>
      </c>
      <c r="I333" s="2">
        <f t="shared" si="22"/>
        <v>384780</v>
      </c>
      <c r="J333" s="2">
        <f t="shared" si="23"/>
        <v>564603</v>
      </c>
      <c r="K333" s="2"/>
    </row>
    <row r="334" spans="1:11" x14ac:dyDescent="0.2">
      <c r="A334">
        <v>2016</v>
      </c>
      <c r="B334" s="34">
        <v>9410</v>
      </c>
      <c r="C334" s="3" t="s">
        <v>340</v>
      </c>
      <c r="D334" s="12">
        <v>255732</v>
      </c>
      <c r="E334" s="12">
        <v>547200</v>
      </c>
      <c r="F334" s="12">
        <f t="shared" si="20"/>
        <v>802932</v>
      </c>
      <c r="G334">
        <f>VLOOKUP(B334,'2015'!$B$2:$G$338,6,FALSE)</f>
        <v>0</v>
      </c>
      <c r="H334">
        <f t="shared" si="21"/>
        <v>0</v>
      </c>
      <c r="I334" s="2">
        <f t="shared" si="22"/>
        <v>547200</v>
      </c>
      <c r="J334" s="2">
        <f t="shared" si="23"/>
        <v>802932</v>
      </c>
      <c r="K334" s="2"/>
    </row>
    <row r="335" spans="1:11" x14ac:dyDescent="0.2">
      <c r="A335">
        <v>2016</v>
      </c>
      <c r="B335" s="34">
        <v>9444</v>
      </c>
      <c r="C335" s="3" t="s">
        <v>341</v>
      </c>
      <c r="D335" s="12">
        <v>398755</v>
      </c>
      <c r="E335" s="12">
        <v>853240</v>
      </c>
      <c r="F335" s="12">
        <f t="shared" si="20"/>
        <v>1251995</v>
      </c>
      <c r="G335">
        <f>VLOOKUP(B335,'2015'!$B$2:$G$338,6,FALSE)</f>
        <v>0</v>
      </c>
      <c r="H335">
        <f t="shared" si="21"/>
        <v>0</v>
      </c>
      <c r="I335" s="2">
        <f t="shared" si="22"/>
        <v>853240</v>
      </c>
      <c r="J335" s="2">
        <f t="shared" si="23"/>
        <v>1251995</v>
      </c>
      <c r="K335" s="2"/>
    </row>
    <row r="336" spans="1:11" x14ac:dyDescent="0.2">
      <c r="A336">
        <v>2016</v>
      </c>
      <c r="B336" s="34">
        <v>9445</v>
      </c>
      <c r="C336" s="3" t="s">
        <v>342</v>
      </c>
      <c r="D336" s="12">
        <v>438036</v>
      </c>
      <c r="E336" s="12">
        <v>937290</v>
      </c>
      <c r="F336" s="12">
        <f t="shared" si="20"/>
        <v>1375326</v>
      </c>
      <c r="G336">
        <f>VLOOKUP(B336,'2015'!$B$2:$G$338,6,FALSE)</f>
        <v>0</v>
      </c>
      <c r="H336">
        <f t="shared" si="21"/>
        <v>0</v>
      </c>
      <c r="I336" s="2">
        <f t="shared" si="22"/>
        <v>937290</v>
      </c>
      <c r="J336" s="2">
        <f t="shared" si="23"/>
        <v>1375326</v>
      </c>
      <c r="K336" s="2"/>
    </row>
    <row r="337" spans="1:11" x14ac:dyDescent="0.2">
      <c r="A337">
        <v>2016</v>
      </c>
      <c r="B337" s="34">
        <v>9446</v>
      </c>
      <c r="C337" s="3" t="s">
        <v>343</v>
      </c>
      <c r="D337" s="12">
        <v>670520</v>
      </c>
      <c r="E337" s="12">
        <v>1434740</v>
      </c>
      <c r="F337" s="12">
        <f t="shared" si="20"/>
        <v>2105260</v>
      </c>
      <c r="G337">
        <f>VLOOKUP(B337,'2015'!$B$2:$G$338,6,FALSE)</f>
        <v>0</v>
      </c>
      <c r="H337">
        <f t="shared" si="21"/>
        <v>0</v>
      </c>
      <c r="I337" s="2">
        <f t="shared" si="22"/>
        <v>1434740</v>
      </c>
      <c r="J337" s="2">
        <f t="shared" si="23"/>
        <v>2105260</v>
      </c>
      <c r="K337" s="2"/>
    </row>
    <row r="338" spans="1:11" x14ac:dyDescent="0.2">
      <c r="A338">
        <v>2016</v>
      </c>
      <c r="B338" s="34">
        <v>9461</v>
      </c>
      <c r="C338" s="3" t="s">
        <v>344</v>
      </c>
      <c r="D338" s="12">
        <v>464679</v>
      </c>
      <c r="E338" s="12">
        <v>994350</v>
      </c>
      <c r="F338" s="12">
        <f t="shared" si="20"/>
        <v>1459029</v>
      </c>
      <c r="G338">
        <f>VLOOKUP(B338,'2015'!$B$2:$G$338,6,FALSE)</f>
        <v>0</v>
      </c>
      <c r="H338">
        <f t="shared" si="21"/>
        <v>0</v>
      </c>
      <c r="I338" s="2">
        <f t="shared" si="22"/>
        <v>994350</v>
      </c>
      <c r="J338" s="2">
        <f t="shared" si="23"/>
        <v>1459029</v>
      </c>
      <c r="K338" s="2"/>
    </row>
    <row r="340" spans="1:11" x14ac:dyDescent="0.2">
      <c r="C340" s="12" t="s">
        <v>346</v>
      </c>
      <c r="D340" s="2">
        <f>SUM(D2:D338)</f>
        <v>315170739</v>
      </c>
      <c r="E340" s="2">
        <f t="shared" ref="E340:F340" si="24">SUM(E2:E338)</f>
        <v>674385940</v>
      </c>
      <c r="F340" s="2">
        <f t="shared" si="24"/>
        <v>989556679</v>
      </c>
      <c r="G340">
        <f>SUM(G2:G338)</f>
        <v>0.99999999999999978</v>
      </c>
      <c r="H340" s="2">
        <v>158008353</v>
      </c>
      <c r="I340" s="2"/>
      <c r="J340" s="2">
        <f>SUM(J2:J338)</f>
        <v>1147565032</v>
      </c>
      <c r="K340" s="2"/>
    </row>
    <row r="341" spans="1:11" x14ac:dyDescent="0.2">
      <c r="C341" s="12" t="s">
        <v>369</v>
      </c>
      <c r="D341" s="2">
        <v>123915728</v>
      </c>
      <c r="K341" s="2"/>
    </row>
    <row r="342" spans="1:11" x14ac:dyDescent="0.2">
      <c r="C342" s="3"/>
    </row>
    <row r="343" spans="1:11" x14ac:dyDescent="0.2">
      <c r="C343" s="3" t="s">
        <v>348</v>
      </c>
      <c r="D343" s="2">
        <v>315170739</v>
      </c>
      <c r="E343" s="2">
        <v>674385940</v>
      </c>
      <c r="F343" s="2">
        <f>SUM(D343:E343)</f>
        <v>989556679</v>
      </c>
      <c r="H343" s="17"/>
      <c r="I343" s="17"/>
      <c r="J343" s="17"/>
      <c r="K343" s="14"/>
    </row>
    <row r="344" spans="1:11" x14ac:dyDescent="0.2">
      <c r="C344" s="12" t="s">
        <v>369</v>
      </c>
      <c r="D344" s="2">
        <f>D341</f>
        <v>123915728</v>
      </c>
    </row>
    <row r="345" spans="1:11" x14ac:dyDescent="0.2">
      <c r="C345" s="3"/>
    </row>
    <row r="346" spans="1:11" x14ac:dyDescent="0.2">
      <c r="C346" s="13" t="s">
        <v>349</v>
      </c>
      <c r="D346" s="14">
        <f>D340-D343</f>
        <v>0</v>
      </c>
      <c r="E346" s="14">
        <f t="shared" ref="E346:F346" si="25">E340-E343</f>
        <v>0</v>
      </c>
      <c r="F346" s="14">
        <f t="shared" si="25"/>
        <v>0</v>
      </c>
    </row>
    <row r="347" spans="1:11" x14ac:dyDescent="0.2">
      <c r="D347" s="14">
        <f>D341-D344</f>
        <v>0</v>
      </c>
      <c r="E347" s="14"/>
      <c r="F347" s="14"/>
    </row>
    <row r="349" spans="1:11" x14ac:dyDescent="0.2">
      <c r="D349" s="7"/>
    </row>
    <row r="350" spans="1:11" x14ac:dyDescent="0.2">
      <c r="C350" s="23"/>
      <c r="D350" s="2"/>
    </row>
    <row r="351" spans="1:11" x14ac:dyDescent="0.2">
      <c r="C351" s="23"/>
    </row>
    <row r="352" spans="1:11" x14ac:dyDescent="0.2">
      <c r="C352" s="23"/>
      <c r="D352" s="2"/>
    </row>
    <row r="353" spans="3:4" x14ac:dyDescent="0.2">
      <c r="C353" s="23"/>
      <c r="D353" s="2"/>
    </row>
    <row r="354" spans="3:4" x14ac:dyDescent="0.2">
      <c r="C354" s="17"/>
      <c r="D354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562C8-663F-CE4C-9845-917DF2E2F826}">
  <sheetPr>
    <tabColor rgb="FFFFFF00"/>
  </sheetPr>
  <dimension ref="A1:M347"/>
  <sheetViews>
    <sheetView topLeftCell="A291" workbookViewId="0">
      <selection activeCell="D16" sqref="D16"/>
    </sheetView>
  </sheetViews>
  <sheetFormatPr baseColWidth="10" defaultRowHeight="16" x14ac:dyDescent="0.2"/>
  <cols>
    <col min="2" max="2" width="13.5" bestFit="1" customWidth="1"/>
    <col min="3" max="3" width="43.6640625" style="3" bestFit="1" customWidth="1"/>
    <col min="4" max="4" width="18.83203125" style="3" bestFit="1" customWidth="1"/>
    <col min="5" max="5" width="17.1640625" style="3" bestFit="1" customWidth="1"/>
    <col min="6" max="6" width="16.83203125" style="3" bestFit="1" customWidth="1"/>
  </cols>
  <sheetData>
    <row r="1" spans="1:13" x14ac:dyDescent="0.2">
      <c r="A1" t="s">
        <v>1</v>
      </c>
      <c r="B1" t="s">
        <v>373</v>
      </c>
      <c r="C1" s="3" t="s">
        <v>4</v>
      </c>
      <c r="D1" s="3" t="s">
        <v>350</v>
      </c>
      <c r="E1" s="3" t="s">
        <v>368</v>
      </c>
      <c r="F1" s="3" t="s">
        <v>351</v>
      </c>
    </row>
    <row r="2" spans="1:13" x14ac:dyDescent="0.2">
      <c r="A2">
        <v>2015</v>
      </c>
      <c r="B2" s="29">
        <v>4930</v>
      </c>
      <c r="C2" s="3" t="s">
        <v>9</v>
      </c>
      <c r="D2" s="16">
        <v>2669</v>
      </c>
      <c r="E2" s="16">
        <v>369122</v>
      </c>
      <c r="F2" s="16">
        <v>371791</v>
      </c>
      <c r="G2" s="29">
        <f>E2/$E$340</f>
        <v>8.169597553666752E-3</v>
      </c>
      <c r="H2" s="25"/>
      <c r="I2" s="27"/>
      <c r="J2" s="25"/>
      <c r="K2" s="27"/>
      <c r="L2" s="25"/>
      <c r="M2" s="27"/>
    </row>
    <row r="3" spans="1:13" x14ac:dyDescent="0.2">
      <c r="A3">
        <v>2015</v>
      </c>
      <c r="B3" s="29">
        <v>4931</v>
      </c>
      <c r="C3" s="3" t="s">
        <v>10</v>
      </c>
      <c r="D3" s="12">
        <v>13981</v>
      </c>
      <c r="E3" s="12">
        <v>291569</v>
      </c>
      <c r="F3" s="12">
        <v>305550</v>
      </c>
      <c r="G3" s="29">
        <f t="shared" ref="G3:G66" si="0">E3/$E$340</f>
        <v>6.4531547540516718E-3</v>
      </c>
      <c r="H3" s="28"/>
      <c r="I3" s="24"/>
      <c r="J3" s="28"/>
      <c r="K3" s="24"/>
      <c r="L3" s="28"/>
      <c r="M3" s="24"/>
    </row>
    <row r="4" spans="1:13" x14ac:dyDescent="0.2">
      <c r="A4">
        <v>2015</v>
      </c>
      <c r="B4" s="29">
        <v>5045</v>
      </c>
      <c r="C4" s="3" t="s">
        <v>11</v>
      </c>
      <c r="D4" s="3">
        <v>0</v>
      </c>
      <c r="E4" s="12">
        <v>456590</v>
      </c>
      <c r="F4" s="12">
        <v>456590</v>
      </c>
      <c r="G4" s="29">
        <f t="shared" si="0"/>
        <v>1.0105484222096495E-2</v>
      </c>
      <c r="H4" s="28"/>
      <c r="I4" s="24"/>
      <c r="J4" s="24"/>
      <c r="K4" s="24"/>
      <c r="L4" s="28"/>
      <c r="M4" s="24"/>
    </row>
    <row r="5" spans="1:13" x14ac:dyDescent="0.2">
      <c r="A5">
        <v>2015</v>
      </c>
      <c r="B5" s="29">
        <v>5046</v>
      </c>
      <c r="C5" s="3" t="s">
        <v>12</v>
      </c>
      <c r="D5" s="3">
        <v>0</v>
      </c>
      <c r="E5" s="12">
        <v>615846</v>
      </c>
      <c r="F5" s="12">
        <v>615846</v>
      </c>
      <c r="G5" s="29">
        <f t="shared" si="0"/>
        <v>1.3630219751289424E-2</v>
      </c>
      <c r="H5" s="28"/>
      <c r="I5" s="24"/>
      <c r="J5" s="24"/>
      <c r="K5" s="24"/>
      <c r="L5" s="28"/>
      <c r="M5" s="24"/>
    </row>
    <row r="6" spans="1:13" x14ac:dyDescent="0.2">
      <c r="A6">
        <v>2015</v>
      </c>
      <c r="B6" s="29">
        <v>5047</v>
      </c>
      <c r="C6" s="3" t="s">
        <v>13</v>
      </c>
      <c r="D6" s="12">
        <v>9418</v>
      </c>
      <c r="E6" s="12">
        <v>989317</v>
      </c>
      <c r="F6" s="12">
        <v>998735</v>
      </c>
      <c r="G6" s="29">
        <f t="shared" si="0"/>
        <v>2.189607160505451E-2</v>
      </c>
      <c r="H6" s="28"/>
      <c r="I6" s="24"/>
      <c r="J6" s="28"/>
      <c r="K6" s="24"/>
      <c r="L6" s="28"/>
      <c r="M6" s="24"/>
    </row>
    <row r="7" spans="1:13" x14ac:dyDescent="0.2">
      <c r="A7">
        <v>2015</v>
      </c>
      <c r="B7" s="29">
        <v>5048</v>
      </c>
      <c r="C7" s="3" t="s">
        <v>14</v>
      </c>
      <c r="D7" s="12">
        <v>24530</v>
      </c>
      <c r="E7" s="12">
        <v>2010882</v>
      </c>
      <c r="F7" s="12">
        <v>2035412</v>
      </c>
      <c r="G7" s="29">
        <f t="shared" si="0"/>
        <v>4.4505872497202836E-2</v>
      </c>
      <c r="H7" s="28"/>
      <c r="I7" s="24"/>
      <c r="J7" s="28"/>
      <c r="K7" s="24"/>
      <c r="L7" s="28"/>
      <c r="M7" s="24"/>
    </row>
    <row r="8" spans="1:13" x14ac:dyDescent="0.2">
      <c r="A8">
        <v>2015</v>
      </c>
      <c r="B8" s="29">
        <v>5049</v>
      </c>
      <c r="C8" s="3" t="s">
        <v>15</v>
      </c>
      <c r="D8" s="12">
        <v>116108</v>
      </c>
      <c r="E8" s="12">
        <v>2872447</v>
      </c>
      <c r="F8" s="12">
        <v>2988555</v>
      </c>
      <c r="G8" s="29">
        <f t="shared" si="0"/>
        <v>6.3574471270304675E-2</v>
      </c>
      <c r="H8" s="28"/>
      <c r="I8" s="24"/>
      <c r="J8" s="28"/>
      <c r="K8" s="24"/>
      <c r="L8" s="28"/>
      <c r="M8" s="24"/>
    </row>
    <row r="9" spans="1:13" x14ac:dyDescent="0.2">
      <c r="A9">
        <v>2015</v>
      </c>
      <c r="B9" s="29">
        <v>5050</v>
      </c>
      <c r="C9" s="3" t="s">
        <v>16</v>
      </c>
      <c r="D9" s="12">
        <v>14712</v>
      </c>
      <c r="E9" s="12">
        <v>684665</v>
      </c>
      <c r="F9" s="12">
        <v>699377</v>
      </c>
      <c r="G9" s="29">
        <f t="shared" si="0"/>
        <v>1.5153357180231053E-2</v>
      </c>
      <c r="H9" s="28"/>
      <c r="I9" s="24"/>
      <c r="J9" s="28"/>
      <c r="K9" s="24"/>
      <c r="L9" s="28"/>
      <c r="M9" s="24"/>
    </row>
    <row r="10" spans="1:13" x14ac:dyDescent="0.2">
      <c r="A10">
        <v>2015</v>
      </c>
      <c r="B10" s="29">
        <v>5107</v>
      </c>
      <c r="C10" s="3" t="s">
        <v>17</v>
      </c>
      <c r="D10" s="12">
        <v>4325</v>
      </c>
      <c r="E10" s="12">
        <v>1097070</v>
      </c>
      <c r="F10" s="12">
        <v>1101395</v>
      </c>
      <c r="G10" s="29">
        <f t="shared" si="0"/>
        <v>2.4280916304639615E-2</v>
      </c>
      <c r="H10" s="28"/>
      <c r="I10" s="24"/>
      <c r="J10" s="28"/>
      <c r="K10" s="24"/>
      <c r="L10" s="28"/>
      <c r="M10" s="24"/>
    </row>
    <row r="11" spans="1:13" x14ac:dyDescent="0.2">
      <c r="A11">
        <v>2015</v>
      </c>
      <c r="B11" s="29">
        <v>5108</v>
      </c>
      <c r="C11" s="3" t="s">
        <v>18</v>
      </c>
      <c r="D11" s="12">
        <v>5903</v>
      </c>
      <c r="E11" s="12">
        <v>1432079</v>
      </c>
      <c r="F11" s="12">
        <v>1437982</v>
      </c>
      <c r="G11" s="29">
        <f t="shared" si="0"/>
        <v>3.1695507434012407E-2</v>
      </c>
      <c r="H11" s="28"/>
      <c r="I11" s="24"/>
      <c r="J11" s="28"/>
      <c r="K11" s="24"/>
      <c r="L11" s="28"/>
      <c r="M11" s="24"/>
    </row>
    <row r="12" spans="1:13" x14ac:dyDescent="0.2">
      <c r="A12">
        <v>2015</v>
      </c>
      <c r="B12" s="29">
        <v>5109</v>
      </c>
      <c r="C12" s="3" t="s">
        <v>19</v>
      </c>
      <c r="D12" s="12">
        <v>40876</v>
      </c>
      <c r="E12" s="12">
        <v>2312304</v>
      </c>
      <c r="F12" s="12">
        <v>2353180</v>
      </c>
      <c r="G12" s="29">
        <f t="shared" si="0"/>
        <v>5.1177098904248042E-2</v>
      </c>
      <c r="H12" s="28"/>
      <c r="I12" s="24"/>
      <c r="J12" s="28"/>
      <c r="K12" s="24"/>
      <c r="L12" s="28"/>
      <c r="M12" s="24"/>
    </row>
    <row r="13" spans="1:13" x14ac:dyDescent="0.2">
      <c r="A13">
        <v>2015</v>
      </c>
      <c r="B13" s="29">
        <v>5110</v>
      </c>
      <c r="C13" s="3" t="s">
        <v>20</v>
      </c>
      <c r="D13" s="12">
        <v>15587</v>
      </c>
      <c r="E13" s="12">
        <v>466886</v>
      </c>
      <c r="F13" s="12">
        <v>482473</v>
      </c>
      <c r="G13" s="29">
        <f t="shared" si="0"/>
        <v>1.0333360578457136E-2</v>
      </c>
      <c r="H13" s="28"/>
      <c r="I13" s="24"/>
      <c r="J13" s="28"/>
      <c r="K13" s="24"/>
      <c r="L13" s="28"/>
      <c r="M13" s="24"/>
    </row>
    <row r="14" spans="1:13" x14ac:dyDescent="0.2">
      <c r="A14">
        <v>2015</v>
      </c>
      <c r="B14" s="29">
        <v>5111</v>
      </c>
      <c r="C14" s="3" t="s">
        <v>21</v>
      </c>
      <c r="D14" s="12">
        <v>19187</v>
      </c>
      <c r="E14" s="12">
        <v>480997</v>
      </c>
      <c r="F14" s="12">
        <v>500184</v>
      </c>
      <c r="G14" s="29">
        <f t="shared" si="0"/>
        <v>1.0645672472843794E-2</v>
      </c>
      <c r="H14" s="28"/>
      <c r="I14" s="24"/>
      <c r="J14" s="28"/>
      <c r="K14" s="24"/>
      <c r="L14" s="28"/>
      <c r="M14" s="24"/>
    </row>
    <row r="15" spans="1:13" x14ac:dyDescent="0.2">
      <c r="A15">
        <v>2015</v>
      </c>
      <c r="B15" s="29">
        <v>5112</v>
      </c>
      <c r="C15" s="3" t="s">
        <v>22</v>
      </c>
      <c r="D15" s="12">
        <v>1936</v>
      </c>
      <c r="E15" s="12">
        <v>572515</v>
      </c>
      <c r="F15" s="12">
        <v>574451</v>
      </c>
      <c r="G15" s="29">
        <f t="shared" si="0"/>
        <v>1.26711958199119E-2</v>
      </c>
      <c r="H15" s="28"/>
      <c r="I15" s="24"/>
      <c r="J15" s="28"/>
      <c r="K15" s="24"/>
      <c r="L15" s="28"/>
      <c r="M15" s="24"/>
    </row>
    <row r="16" spans="1:13" x14ac:dyDescent="0.2">
      <c r="A16">
        <v>2015</v>
      </c>
      <c r="B16" s="29">
        <v>5113</v>
      </c>
      <c r="C16" s="3" t="s">
        <v>23</v>
      </c>
      <c r="D16" s="12">
        <v>10086</v>
      </c>
      <c r="E16" s="12">
        <v>519235</v>
      </c>
      <c r="F16" s="12">
        <v>529321</v>
      </c>
      <c r="G16" s="29">
        <f t="shared" si="0"/>
        <v>1.1491975514269418E-2</v>
      </c>
      <c r="H16" s="28"/>
      <c r="I16" s="24"/>
      <c r="J16" s="28"/>
      <c r="K16" s="24"/>
      <c r="L16" s="28"/>
      <c r="M16" s="24"/>
    </row>
    <row r="17" spans="1:13" x14ac:dyDescent="0.2">
      <c r="A17">
        <v>2015</v>
      </c>
      <c r="B17" s="29">
        <v>5177</v>
      </c>
      <c r="C17" s="3" t="s">
        <v>24</v>
      </c>
      <c r="D17" s="12">
        <v>1371</v>
      </c>
      <c r="E17" s="12">
        <v>601060</v>
      </c>
      <c r="F17" s="12">
        <v>602431</v>
      </c>
      <c r="G17" s="29">
        <f t="shared" si="0"/>
        <v>1.3302968410463039E-2</v>
      </c>
      <c r="H17" s="28"/>
      <c r="I17" s="24"/>
      <c r="J17" s="28"/>
      <c r="K17" s="24"/>
      <c r="L17" s="28"/>
      <c r="M17" s="24"/>
    </row>
    <row r="18" spans="1:13" x14ac:dyDescent="0.2">
      <c r="A18">
        <v>2015</v>
      </c>
      <c r="B18" s="29">
        <v>5178</v>
      </c>
      <c r="C18" s="3" t="s">
        <v>25</v>
      </c>
      <c r="D18" s="12">
        <v>8900</v>
      </c>
      <c r="E18" s="12">
        <v>981905</v>
      </c>
      <c r="F18" s="12">
        <v>990805</v>
      </c>
      <c r="G18" s="29">
        <f t="shared" si="0"/>
        <v>2.1732025416889681E-2</v>
      </c>
      <c r="H18" s="28"/>
      <c r="I18" s="24"/>
      <c r="J18" s="28"/>
      <c r="K18" s="24"/>
      <c r="L18" s="28"/>
      <c r="M18" s="24"/>
    </row>
    <row r="19" spans="1:13" x14ac:dyDescent="0.2">
      <c r="A19">
        <v>2015</v>
      </c>
      <c r="B19" s="29">
        <v>5179</v>
      </c>
      <c r="C19" s="3" t="s">
        <v>26</v>
      </c>
      <c r="D19" s="12">
        <v>25527</v>
      </c>
      <c r="E19" s="12">
        <v>535771</v>
      </c>
      <c r="F19" s="12">
        <v>561298</v>
      </c>
      <c r="G19" s="29">
        <f t="shared" si="0"/>
        <v>1.1857958753272873E-2</v>
      </c>
      <c r="H19" s="28"/>
      <c r="I19" s="24"/>
      <c r="J19" s="28"/>
      <c r="K19" s="24"/>
      <c r="L19" s="28"/>
      <c r="M19" s="24"/>
    </row>
    <row r="20" spans="1:13" x14ac:dyDescent="0.2">
      <c r="A20">
        <v>2015</v>
      </c>
      <c r="B20" s="29">
        <v>5180</v>
      </c>
      <c r="C20" s="3" t="s">
        <v>27</v>
      </c>
      <c r="D20" s="12">
        <v>7714</v>
      </c>
      <c r="E20" s="12">
        <v>729930</v>
      </c>
      <c r="F20" s="12">
        <v>737644</v>
      </c>
      <c r="G20" s="29">
        <f t="shared" si="0"/>
        <v>1.6155185392222552E-2</v>
      </c>
      <c r="H20" s="28"/>
      <c r="I20" s="24"/>
      <c r="J20" s="28"/>
      <c r="K20" s="24"/>
      <c r="L20" s="28"/>
      <c r="M20" s="24"/>
    </row>
    <row r="21" spans="1:13" x14ac:dyDescent="0.2">
      <c r="A21">
        <v>2015</v>
      </c>
      <c r="B21" s="29">
        <v>5404</v>
      </c>
      <c r="C21" s="3" t="s">
        <v>364</v>
      </c>
      <c r="D21" s="12">
        <v>1415</v>
      </c>
      <c r="E21" s="12">
        <v>856770</v>
      </c>
      <c r="F21" s="12">
        <v>858185</v>
      </c>
      <c r="G21" s="29">
        <f t="shared" si="0"/>
        <v>1.896247337209666E-2</v>
      </c>
      <c r="H21" s="28"/>
      <c r="I21" s="24"/>
      <c r="J21" s="28"/>
      <c r="K21" s="24"/>
      <c r="L21" s="28"/>
      <c r="M21" s="24"/>
    </row>
    <row r="22" spans="1:13" x14ac:dyDescent="0.2">
      <c r="A22">
        <v>2015</v>
      </c>
      <c r="B22" s="29">
        <v>5406</v>
      </c>
      <c r="C22" s="3" t="s">
        <v>29</v>
      </c>
      <c r="D22" s="12">
        <v>48934</v>
      </c>
      <c r="E22" s="12">
        <v>8307080</v>
      </c>
      <c r="F22" s="12">
        <v>8356014</v>
      </c>
      <c r="G22" s="29">
        <f t="shared" si="0"/>
        <v>0.18385655811930474</v>
      </c>
      <c r="H22" s="28"/>
      <c r="I22" s="24"/>
      <c r="J22" s="28"/>
      <c r="K22" s="24"/>
      <c r="L22" s="28"/>
      <c r="M22" s="24"/>
    </row>
    <row r="23" spans="1:13" x14ac:dyDescent="0.2">
      <c r="A23">
        <v>2015</v>
      </c>
      <c r="B23" s="29">
        <v>5596</v>
      </c>
      <c r="C23" s="3" t="s">
        <v>30</v>
      </c>
      <c r="D23" s="12">
        <v>84472</v>
      </c>
      <c r="E23" s="12">
        <v>724118</v>
      </c>
      <c r="F23" s="12">
        <v>808590</v>
      </c>
      <c r="G23" s="29">
        <f t="shared" si="0"/>
        <v>1.6026551225248188E-2</v>
      </c>
      <c r="H23" s="28"/>
      <c r="I23" s="24"/>
      <c r="J23" s="28"/>
      <c r="K23" s="24"/>
      <c r="L23" s="28"/>
      <c r="M23" s="24"/>
    </row>
    <row r="24" spans="1:13" x14ac:dyDescent="0.2">
      <c r="A24">
        <v>2015</v>
      </c>
      <c r="B24" s="29">
        <v>5600</v>
      </c>
      <c r="C24" s="3" t="s">
        <v>31</v>
      </c>
      <c r="D24" s="12">
        <v>96770</v>
      </c>
      <c r="E24" s="12">
        <v>844077</v>
      </c>
      <c r="F24" s="12">
        <v>940847</v>
      </c>
      <c r="G24" s="29">
        <f t="shared" si="0"/>
        <v>1.8681545381490052E-2</v>
      </c>
      <c r="H24" s="28"/>
      <c r="I24" s="24"/>
      <c r="J24" s="28"/>
      <c r="K24" s="24"/>
      <c r="L24" s="28"/>
      <c r="M24" s="24"/>
    </row>
    <row r="25" spans="1:13" x14ac:dyDescent="0.2">
      <c r="A25">
        <v>2015</v>
      </c>
      <c r="B25" s="29">
        <v>5604</v>
      </c>
      <c r="C25" s="3" t="s">
        <v>32</v>
      </c>
      <c r="D25" s="12">
        <v>87410</v>
      </c>
      <c r="E25" s="12">
        <v>774726</v>
      </c>
      <c r="F25" s="12">
        <v>862136</v>
      </c>
      <c r="G25" s="29">
        <f t="shared" si="0"/>
        <v>1.7146633455502592E-2</v>
      </c>
      <c r="H25" s="28"/>
      <c r="I25" s="24"/>
      <c r="J25" s="28"/>
      <c r="K25" s="24"/>
      <c r="L25" s="28"/>
      <c r="M25" s="24"/>
    </row>
    <row r="26" spans="1:13" x14ac:dyDescent="0.2">
      <c r="A26">
        <v>2015</v>
      </c>
      <c r="B26" s="29">
        <v>5608</v>
      </c>
      <c r="C26" s="3" t="s">
        <v>33</v>
      </c>
      <c r="D26" s="12">
        <v>33289</v>
      </c>
      <c r="E26" s="12">
        <v>728323</v>
      </c>
      <c r="F26" s="12">
        <v>761612</v>
      </c>
      <c r="G26" s="29">
        <f t="shared" si="0"/>
        <v>1.6119618443439378E-2</v>
      </c>
      <c r="H26" s="28"/>
      <c r="I26" s="24"/>
      <c r="J26" s="28"/>
      <c r="K26" s="24"/>
      <c r="L26" s="28"/>
      <c r="M26" s="24"/>
    </row>
    <row r="27" spans="1:13" x14ac:dyDescent="0.2">
      <c r="A27">
        <v>2015</v>
      </c>
      <c r="B27" s="29">
        <v>5609</v>
      </c>
      <c r="C27" s="3" t="s">
        <v>365</v>
      </c>
      <c r="D27" s="12">
        <v>82411</v>
      </c>
      <c r="E27" s="12">
        <v>793687</v>
      </c>
      <c r="F27" s="12">
        <v>876098</v>
      </c>
      <c r="G27" s="29">
        <f t="shared" si="0"/>
        <v>1.7566288039122847E-2</v>
      </c>
      <c r="H27" s="28"/>
      <c r="I27" s="24"/>
      <c r="J27" s="28"/>
      <c r="K27" s="24"/>
      <c r="L27" s="28"/>
      <c r="M27" s="24"/>
    </row>
    <row r="28" spans="1:13" x14ac:dyDescent="0.2">
      <c r="A28">
        <v>2015</v>
      </c>
      <c r="B28" s="29">
        <v>5612</v>
      </c>
      <c r="C28" s="3" t="s">
        <v>35</v>
      </c>
      <c r="D28" s="12">
        <v>153230</v>
      </c>
      <c r="E28" s="12">
        <v>1638671</v>
      </c>
      <c r="F28" s="12">
        <v>1791901</v>
      </c>
      <c r="G28" s="29">
        <f t="shared" si="0"/>
        <v>3.6267907610125244E-2</v>
      </c>
      <c r="H28" s="28"/>
      <c r="I28" s="24"/>
      <c r="J28" s="28"/>
      <c r="K28" s="24"/>
      <c r="L28" s="28"/>
      <c r="M28" s="24"/>
    </row>
    <row r="29" spans="1:13" x14ac:dyDescent="0.2">
      <c r="A29">
        <v>2015</v>
      </c>
      <c r="B29" s="29">
        <v>5624</v>
      </c>
      <c r="C29" s="3" t="s">
        <v>36</v>
      </c>
      <c r="D29" s="12">
        <v>55479</v>
      </c>
      <c r="E29" s="12">
        <v>584437</v>
      </c>
      <c r="F29" s="12">
        <v>639916</v>
      </c>
      <c r="G29" s="29">
        <f t="shared" si="0"/>
        <v>1.2935059642807353E-2</v>
      </c>
      <c r="H29" s="28"/>
      <c r="I29" s="24"/>
      <c r="J29" s="28"/>
      <c r="K29" s="24"/>
      <c r="L29" s="28"/>
      <c r="M29" s="24"/>
    </row>
    <row r="30" spans="1:13" x14ac:dyDescent="0.2">
      <c r="A30">
        <v>2015</v>
      </c>
      <c r="B30" s="29">
        <v>5626</v>
      </c>
      <c r="C30" s="3" t="s">
        <v>37</v>
      </c>
      <c r="D30" s="12">
        <v>58458</v>
      </c>
      <c r="E30" s="12">
        <v>679015</v>
      </c>
      <c r="F30" s="12">
        <v>737473</v>
      </c>
      <c r="G30" s="29">
        <f t="shared" si="0"/>
        <v>1.5028308480402224E-2</v>
      </c>
      <c r="H30" s="28"/>
      <c r="I30" s="24"/>
      <c r="J30" s="28"/>
      <c r="K30" s="24"/>
      <c r="L30" s="28"/>
      <c r="M30" s="24"/>
    </row>
    <row r="31" spans="1:13" x14ac:dyDescent="0.2">
      <c r="A31">
        <v>2015</v>
      </c>
      <c r="B31" s="29">
        <v>5634</v>
      </c>
      <c r="C31" s="3" t="s">
        <v>38</v>
      </c>
      <c r="D31" s="12">
        <v>45115</v>
      </c>
      <c r="E31" s="12">
        <v>992005</v>
      </c>
      <c r="F31" s="12">
        <v>1037120</v>
      </c>
      <c r="G31" s="29">
        <f t="shared" si="0"/>
        <v>2.1955563800654488E-2</v>
      </c>
      <c r="H31" s="28"/>
      <c r="I31" s="24"/>
      <c r="J31" s="28"/>
      <c r="K31" s="24"/>
      <c r="L31" s="28"/>
      <c r="M31" s="24"/>
    </row>
    <row r="32" spans="1:13" x14ac:dyDescent="0.2">
      <c r="A32">
        <v>2015</v>
      </c>
      <c r="B32" s="29">
        <v>5638</v>
      </c>
      <c r="C32" s="3" t="s">
        <v>39</v>
      </c>
      <c r="D32" s="12">
        <v>44320</v>
      </c>
      <c r="E32" s="12">
        <v>521889</v>
      </c>
      <c r="F32" s="12">
        <v>566209</v>
      </c>
      <c r="G32" s="29">
        <f t="shared" si="0"/>
        <v>1.1550715204419101E-2</v>
      </c>
      <c r="H32" s="28"/>
      <c r="I32" s="24"/>
      <c r="J32" s="28"/>
      <c r="K32" s="24"/>
      <c r="L32" s="28"/>
      <c r="M32" s="24"/>
    </row>
    <row r="33" spans="1:13" x14ac:dyDescent="0.2">
      <c r="A33">
        <v>2015</v>
      </c>
      <c r="B33" s="29">
        <v>5655</v>
      </c>
      <c r="C33" s="3" t="s">
        <v>40</v>
      </c>
      <c r="D33" s="12">
        <v>2450</v>
      </c>
      <c r="E33" s="12">
        <v>234653</v>
      </c>
      <c r="F33" s="12">
        <v>237103</v>
      </c>
      <c r="G33" s="29">
        <f t="shared" si="0"/>
        <v>5.1934606302538574E-3</v>
      </c>
      <c r="H33" s="28"/>
      <c r="I33" s="24"/>
      <c r="J33" s="28"/>
      <c r="K33" s="24"/>
      <c r="L33" s="28"/>
      <c r="M33" s="24"/>
    </row>
    <row r="34" spans="1:13" x14ac:dyDescent="0.2">
      <c r="A34">
        <v>2015</v>
      </c>
      <c r="B34" s="29">
        <v>5657</v>
      </c>
      <c r="C34" s="3" t="s">
        <v>41</v>
      </c>
      <c r="D34" s="12">
        <v>35341</v>
      </c>
      <c r="E34" s="12">
        <v>129598</v>
      </c>
      <c r="F34" s="12">
        <v>164939</v>
      </c>
      <c r="G34" s="29">
        <f t="shared" si="0"/>
        <v>2.8683294514011727E-3</v>
      </c>
      <c r="H34" s="28"/>
      <c r="I34" s="24"/>
      <c r="J34" s="28"/>
      <c r="K34" s="24"/>
      <c r="L34" s="28"/>
      <c r="M34" s="24"/>
    </row>
    <row r="35" spans="1:13" x14ac:dyDescent="0.2">
      <c r="A35">
        <v>2015</v>
      </c>
      <c r="B35" s="29">
        <v>5671</v>
      </c>
      <c r="C35" s="3" t="s">
        <v>42</v>
      </c>
      <c r="D35" s="12">
        <v>32795</v>
      </c>
      <c r="E35" s="12">
        <v>314401</v>
      </c>
      <c r="F35" s="12">
        <v>347196</v>
      </c>
      <c r="G35" s="29">
        <f t="shared" si="0"/>
        <v>6.9584842964396064E-3</v>
      </c>
      <c r="H35" s="28"/>
      <c r="I35" s="24"/>
      <c r="J35" s="28"/>
      <c r="K35" s="24"/>
      <c r="L35" s="28"/>
      <c r="M35" s="24"/>
    </row>
    <row r="36" spans="1:13" x14ac:dyDescent="0.2">
      <c r="A36">
        <v>2015</v>
      </c>
      <c r="B36" s="29">
        <v>5682</v>
      </c>
      <c r="C36" s="3" t="s">
        <v>43</v>
      </c>
      <c r="D36" s="12">
        <v>131823</v>
      </c>
      <c r="E36" s="12">
        <v>2236177</v>
      </c>
      <c r="F36" s="12">
        <v>2368000</v>
      </c>
      <c r="G36" s="29">
        <f t="shared" si="0"/>
        <v>4.9492217068518966E-2</v>
      </c>
      <c r="H36" s="28"/>
      <c r="I36" s="24"/>
      <c r="J36" s="28"/>
      <c r="K36" s="24"/>
      <c r="L36" s="28"/>
      <c r="M36" s="24"/>
    </row>
    <row r="37" spans="1:13" x14ac:dyDescent="0.2">
      <c r="A37">
        <v>2015</v>
      </c>
      <c r="B37" s="29">
        <v>5688</v>
      </c>
      <c r="C37" s="3" t="s">
        <v>44</v>
      </c>
      <c r="D37" s="12">
        <v>20893</v>
      </c>
      <c r="E37" s="12">
        <v>251889</v>
      </c>
      <c r="F37" s="12">
        <v>272782</v>
      </c>
      <c r="G37" s="29">
        <f t="shared" si="0"/>
        <v>5.5749366285281409E-3</v>
      </c>
      <c r="H37" s="28"/>
      <c r="I37" s="24"/>
      <c r="J37" s="28"/>
      <c r="K37" s="24"/>
      <c r="L37" s="28"/>
      <c r="M37" s="24"/>
    </row>
    <row r="38" spans="1:13" x14ac:dyDescent="0.2">
      <c r="A38">
        <v>2015</v>
      </c>
      <c r="B38" s="29">
        <v>9034</v>
      </c>
      <c r="C38" s="3" t="s">
        <v>45</v>
      </c>
      <c r="D38" s="12">
        <v>31508</v>
      </c>
      <c r="E38" s="12">
        <v>467394</v>
      </c>
      <c r="F38" s="12">
        <v>498902</v>
      </c>
      <c r="G38" s="29">
        <f t="shared" si="0"/>
        <v>1.0344603895185109E-2</v>
      </c>
      <c r="H38" s="28"/>
      <c r="I38" s="24"/>
      <c r="J38" s="28"/>
      <c r="K38" s="24"/>
      <c r="L38" s="28"/>
      <c r="M38" s="24"/>
    </row>
    <row r="39" spans="1:13" x14ac:dyDescent="0.2">
      <c r="A39">
        <v>2015</v>
      </c>
      <c r="B39" s="29">
        <v>9042</v>
      </c>
      <c r="C39" s="3" t="s">
        <v>46</v>
      </c>
      <c r="D39" s="12">
        <v>28993</v>
      </c>
      <c r="E39" s="12">
        <v>304670</v>
      </c>
      <c r="F39" s="12">
        <v>333663</v>
      </c>
      <c r="G39" s="29">
        <f t="shared" si="0"/>
        <v>6.7431128100618474E-3</v>
      </c>
      <c r="H39" s="28"/>
      <c r="I39" s="24"/>
      <c r="J39" s="28"/>
      <c r="K39" s="24"/>
      <c r="L39" s="28"/>
      <c r="M39" s="24"/>
    </row>
    <row r="40" spans="1:13" x14ac:dyDescent="0.2">
      <c r="A40">
        <v>2015</v>
      </c>
      <c r="B40" s="29">
        <v>9047</v>
      </c>
      <c r="C40" s="3" t="s">
        <v>47</v>
      </c>
      <c r="D40" s="12">
        <v>64514</v>
      </c>
      <c r="E40" s="12">
        <v>263081</v>
      </c>
      <c r="F40" s="12">
        <v>327595</v>
      </c>
      <c r="G40" s="29">
        <f t="shared" si="0"/>
        <v>5.8226437167554438E-3</v>
      </c>
      <c r="H40" s="28"/>
      <c r="I40" s="24"/>
      <c r="J40" s="28"/>
      <c r="K40" s="24"/>
      <c r="L40" s="28"/>
      <c r="M40" s="24"/>
    </row>
    <row r="41" spans="1:13" x14ac:dyDescent="0.2">
      <c r="A41">
        <v>2015</v>
      </c>
      <c r="B41" s="29">
        <v>9053</v>
      </c>
      <c r="C41" s="3" t="s">
        <v>48</v>
      </c>
      <c r="D41" s="3">
        <v>0</v>
      </c>
      <c r="E41" s="12">
        <v>14834</v>
      </c>
      <c r="F41" s="12">
        <v>14834</v>
      </c>
      <c r="G41" s="29">
        <f t="shared" si="0"/>
        <v>3.2831370146209815E-4</v>
      </c>
      <c r="H41" s="28"/>
      <c r="I41" s="24"/>
      <c r="J41" s="24"/>
      <c r="K41" s="24"/>
      <c r="L41" s="28"/>
      <c r="M41" s="24"/>
    </row>
    <row r="42" spans="1:13" x14ac:dyDescent="0.2">
      <c r="A42">
        <v>2015</v>
      </c>
      <c r="B42" s="29">
        <v>9055</v>
      </c>
      <c r="C42" s="3" t="s">
        <v>49</v>
      </c>
      <c r="D42" s="12">
        <v>36426</v>
      </c>
      <c r="E42" s="12">
        <v>294019</v>
      </c>
      <c r="F42" s="12">
        <v>330445</v>
      </c>
      <c r="G42" s="29">
        <f t="shared" si="0"/>
        <v>6.5073794114995712E-3</v>
      </c>
      <c r="H42" s="28"/>
      <c r="I42" s="24"/>
      <c r="J42" s="28"/>
      <c r="K42" s="24"/>
      <c r="L42" s="28"/>
      <c r="M42" s="24"/>
    </row>
    <row r="43" spans="1:13" x14ac:dyDescent="0.2">
      <c r="A43">
        <v>2015</v>
      </c>
      <c r="B43" s="29">
        <v>9056</v>
      </c>
      <c r="C43" s="3" t="s">
        <v>50</v>
      </c>
      <c r="D43" s="12">
        <v>13816</v>
      </c>
      <c r="E43" s="12">
        <v>247017</v>
      </c>
      <c r="F43" s="12">
        <v>260833</v>
      </c>
      <c r="G43" s="29">
        <f t="shared" si="0"/>
        <v>5.467107024003175E-3</v>
      </c>
      <c r="H43" s="28"/>
      <c r="I43" s="24"/>
      <c r="J43" s="28"/>
      <c r="K43" s="24"/>
      <c r="L43" s="28"/>
      <c r="M43" s="24"/>
    </row>
    <row r="44" spans="1:13" x14ac:dyDescent="0.2">
      <c r="A44">
        <v>2015</v>
      </c>
      <c r="B44" s="29">
        <v>9273</v>
      </c>
      <c r="C44" s="3" t="s">
        <v>51</v>
      </c>
      <c r="D44" s="12">
        <v>13729</v>
      </c>
      <c r="E44" s="12">
        <v>494854</v>
      </c>
      <c r="F44" s="12">
        <v>508583</v>
      </c>
      <c r="G44" s="29">
        <f t="shared" si="0"/>
        <v>1.0952362708866464E-2</v>
      </c>
      <c r="H44" s="28"/>
      <c r="I44" s="24"/>
      <c r="J44" s="28"/>
      <c r="K44" s="24"/>
      <c r="L44" s="28"/>
      <c r="M44" s="24"/>
    </row>
    <row r="45" spans="1:13" x14ac:dyDescent="0.2">
      <c r="A45">
        <v>2015</v>
      </c>
      <c r="B45" s="29">
        <v>9274</v>
      </c>
      <c r="C45" s="3" t="s">
        <v>52</v>
      </c>
      <c r="D45" s="12">
        <v>46187</v>
      </c>
      <c r="E45" s="12">
        <v>1346700</v>
      </c>
      <c r="F45" s="12">
        <v>1392887</v>
      </c>
      <c r="G45" s="29">
        <f t="shared" si="0"/>
        <v>2.9805855585749469E-2</v>
      </c>
      <c r="H45" s="28"/>
      <c r="I45" s="24"/>
      <c r="J45" s="28"/>
      <c r="K45" s="24"/>
      <c r="L45" s="28"/>
      <c r="M45" s="24"/>
    </row>
    <row r="46" spans="1:13" x14ac:dyDescent="0.2">
      <c r="A46">
        <v>2015</v>
      </c>
      <c r="B46" s="29">
        <v>9303</v>
      </c>
      <c r="C46" s="3" t="s">
        <v>363</v>
      </c>
      <c r="D46" s="12">
        <v>8209</v>
      </c>
      <c r="E46" s="12">
        <v>935458</v>
      </c>
      <c r="F46" s="12">
        <v>943667</v>
      </c>
      <c r="G46" s="29">
        <f t="shared" si="0"/>
        <v>2.0704036574243728E-2</v>
      </c>
      <c r="H46" s="28"/>
      <c r="I46" s="24"/>
      <c r="J46" s="28"/>
      <c r="K46" s="24"/>
      <c r="L46" s="28"/>
      <c r="M46" s="24"/>
    </row>
    <row r="47" spans="1:13" x14ac:dyDescent="0.2">
      <c r="A47">
        <v>2015</v>
      </c>
      <c r="B47" s="29">
        <v>9304</v>
      </c>
      <c r="C47" s="3" t="s">
        <v>54</v>
      </c>
      <c r="D47" s="3">
        <v>0</v>
      </c>
      <c r="E47" s="12">
        <v>315473</v>
      </c>
      <c r="F47" s="12">
        <v>315473</v>
      </c>
      <c r="G47" s="29">
        <f t="shared" si="0"/>
        <v>6.982210350637218E-3</v>
      </c>
      <c r="H47" s="28"/>
      <c r="I47" s="24"/>
      <c r="J47" s="24"/>
      <c r="K47" s="24"/>
      <c r="L47" s="28"/>
      <c r="M47" s="24"/>
    </row>
    <row r="48" spans="1:13" x14ac:dyDescent="0.2">
      <c r="A48">
        <v>2015</v>
      </c>
      <c r="B48" s="29">
        <v>9305</v>
      </c>
      <c r="C48" s="3" t="s">
        <v>55</v>
      </c>
      <c r="D48" s="12">
        <v>27633</v>
      </c>
      <c r="E48" s="12">
        <v>365830</v>
      </c>
      <c r="F48" s="12">
        <v>393463</v>
      </c>
      <c r="G48" s="29">
        <f t="shared" si="0"/>
        <v>8.0967373200673699E-3</v>
      </c>
      <c r="H48" s="28"/>
      <c r="I48" s="24"/>
      <c r="J48" s="28"/>
      <c r="K48" s="24"/>
      <c r="L48" s="28"/>
      <c r="M48" s="24"/>
    </row>
    <row r="49" spans="1:13" x14ac:dyDescent="0.2">
      <c r="A49">
        <v>2015</v>
      </c>
      <c r="B49" s="29">
        <v>9395</v>
      </c>
      <c r="C49" s="3" t="s">
        <v>56</v>
      </c>
      <c r="D49" s="3">
        <v>0</v>
      </c>
      <c r="E49" s="12">
        <v>226078</v>
      </c>
      <c r="F49" s="12">
        <v>226078</v>
      </c>
      <c r="G49" s="29">
        <f t="shared" si="0"/>
        <v>5.0036743291862092E-3</v>
      </c>
      <c r="H49" s="28"/>
      <c r="I49" s="24"/>
      <c r="J49" s="24"/>
      <c r="K49" s="24"/>
      <c r="L49" s="28"/>
      <c r="M49" s="24"/>
    </row>
    <row r="50" spans="1:13" x14ac:dyDescent="0.2">
      <c r="A50">
        <v>2015</v>
      </c>
      <c r="B50" s="29">
        <v>9487</v>
      </c>
      <c r="C50" s="3" t="s">
        <v>57</v>
      </c>
      <c r="D50" s="12">
        <v>13157</v>
      </c>
      <c r="E50" s="12">
        <v>23073</v>
      </c>
      <c r="F50" s="12">
        <v>36230</v>
      </c>
      <c r="G50" s="29">
        <f t="shared" si="0"/>
        <v>5.106634780797486E-4</v>
      </c>
      <c r="H50" s="28"/>
      <c r="I50" s="24"/>
      <c r="J50" s="28"/>
      <c r="K50" s="24"/>
      <c r="L50" s="28"/>
      <c r="M50" s="24"/>
    </row>
    <row r="51" spans="1:13" x14ac:dyDescent="0.2">
      <c r="A51">
        <v>2015</v>
      </c>
      <c r="B51" s="29">
        <v>9507</v>
      </c>
      <c r="C51" s="3" t="s">
        <v>58</v>
      </c>
      <c r="D51" s="12">
        <v>71037</v>
      </c>
      <c r="E51" s="12">
        <v>1252210</v>
      </c>
      <c r="F51" s="12">
        <v>1323247</v>
      </c>
      <c r="G51" s="29">
        <f t="shared" si="0"/>
        <v>2.7714554409320073E-2</v>
      </c>
      <c r="H51" s="28"/>
      <c r="I51" s="24"/>
      <c r="J51" s="28"/>
      <c r="K51" s="24"/>
      <c r="L51" s="28"/>
      <c r="M51" s="24"/>
    </row>
    <row r="52" spans="1:13" x14ac:dyDescent="0.2">
      <c r="A52">
        <v>2015</v>
      </c>
      <c r="B52" s="29">
        <v>4828</v>
      </c>
      <c r="C52" s="3" t="s">
        <v>59</v>
      </c>
      <c r="D52" s="16">
        <v>2378336</v>
      </c>
      <c r="E52" s="31">
        <v>0</v>
      </c>
      <c r="F52" s="30">
        <f>SUM(D52:E52)</f>
        <v>2378336</v>
      </c>
      <c r="G52" s="29">
        <f t="shared" si="0"/>
        <v>0</v>
      </c>
    </row>
    <row r="53" spans="1:13" x14ac:dyDescent="0.2">
      <c r="A53">
        <v>2015</v>
      </c>
      <c r="B53" s="29">
        <v>4829</v>
      </c>
      <c r="C53" s="3" t="s">
        <v>60</v>
      </c>
      <c r="D53" s="12">
        <v>772397</v>
      </c>
      <c r="E53" s="31">
        <v>0</v>
      </c>
      <c r="F53" s="30">
        <f t="shared" ref="F53:F84" si="1">SUM(D53:E53)</f>
        <v>772397</v>
      </c>
      <c r="G53" s="29">
        <f t="shared" si="0"/>
        <v>0</v>
      </c>
    </row>
    <row r="54" spans="1:13" x14ac:dyDescent="0.2">
      <c r="A54">
        <v>2015</v>
      </c>
      <c r="B54" s="29">
        <v>4871</v>
      </c>
      <c r="C54" s="3" t="s">
        <v>61</v>
      </c>
      <c r="D54" s="12">
        <v>324409</v>
      </c>
      <c r="E54" s="31">
        <v>0</v>
      </c>
      <c r="F54" s="30">
        <f t="shared" si="1"/>
        <v>324409</v>
      </c>
      <c r="G54" s="29">
        <f t="shared" si="0"/>
        <v>0</v>
      </c>
    </row>
    <row r="55" spans="1:13" x14ac:dyDescent="0.2">
      <c r="A55">
        <v>2015</v>
      </c>
      <c r="B55" s="29">
        <v>4882</v>
      </c>
      <c r="C55" s="3" t="s">
        <v>62</v>
      </c>
      <c r="D55" s="12">
        <v>1504400</v>
      </c>
      <c r="E55" s="31">
        <v>0</v>
      </c>
      <c r="F55" s="30">
        <f t="shared" si="1"/>
        <v>1504400</v>
      </c>
      <c r="G55" s="29">
        <f t="shared" si="0"/>
        <v>0</v>
      </c>
    </row>
    <row r="56" spans="1:13" x14ac:dyDescent="0.2">
      <c r="A56">
        <v>2015</v>
      </c>
      <c r="B56" s="29">
        <v>4912</v>
      </c>
      <c r="C56" s="3" t="s">
        <v>63</v>
      </c>
      <c r="D56" s="12">
        <v>273028</v>
      </c>
      <c r="E56" s="31">
        <v>0</v>
      </c>
      <c r="F56" s="30">
        <f t="shared" si="1"/>
        <v>273028</v>
      </c>
      <c r="G56" s="29">
        <f t="shared" si="0"/>
        <v>0</v>
      </c>
    </row>
    <row r="57" spans="1:13" x14ac:dyDescent="0.2">
      <c r="A57">
        <v>2015</v>
      </c>
      <c r="B57" s="29">
        <v>4977</v>
      </c>
      <c r="C57" s="3" t="s">
        <v>64</v>
      </c>
      <c r="D57" s="12">
        <v>172942</v>
      </c>
      <c r="E57" s="31">
        <v>0</v>
      </c>
      <c r="F57" s="30">
        <f t="shared" si="1"/>
        <v>172942</v>
      </c>
      <c r="G57" s="29">
        <f t="shared" si="0"/>
        <v>0</v>
      </c>
    </row>
    <row r="58" spans="1:13" x14ac:dyDescent="0.2">
      <c r="A58">
        <v>2015</v>
      </c>
      <c r="B58" s="29">
        <v>4978</v>
      </c>
      <c r="C58" s="3" t="s">
        <v>65</v>
      </c>
      <c r="D58" s="12">
        <v>17911502</v>
      </c>
      <c r="E58" s="31">
        <v>0</v>
      </c>
      <c r="F58" s="30">
        <f t="shared" si="1"/>
        <v>17911502</v>
      </c>
      <c r="G58" s="29">
        <f t="shared" si="0"/>
        <v>0</v>
      </c>
    </row>
    <row r="59" spans="1:13" x14ac:dyDescent="0.2">
      <c r="A59">
        <v>2015</v>
      </c>
      <c r="B59" s="29">
        <v>4979</v>
      </c>
      <c r="C59" s="3" t="s">
        <v>66</v>
      </c>
      <c r="D59" s="12">
        <v>73865</v>
      </c>
      <c r="E59" s="31">
        <v>0</v>
      </c>
      <c r="F59" s="30">
        <f t="shared" si="1"/>
        <v>73865</v>
      </c>
      <c r="G59" s="29">
        <f t="shared" si="0"/>
        <v>0</v>
      </c>
    </row>
    <row r="60" spans="1:13" x14ac:dyDescent="0.2">
      <c r="A60">
        <v>2015</v>
      </c>
      <c r="B60" s="29">
        <v>4980</v>
      </c>
      <c r="C60" s="3" t="s">
        <v>67</v>
      </c>
      <c r="D60" s="12">
        <v>1524185</v>
      </c>
      <c r="E60" s="31">
        <v>0</v>
      </c>
      <c r="F60" s="30">
        <f t="shared" si="1"/>
        <v>1524185</v>
      </c>
      <c r="G60" s="29">
        <f t="shared" si="0"/>
        <v>0</v>
      </c>
    </row>
    <row r="61" spans="1:13" x14ac:dyDescent="0.2">
      <c r="A61">
        <v>2015</v>
      </c>
      <c r="B61" s="29">
        <v>4981</v>
      </c>
      <c r="C61" s="3" t="s">
        <v>68</v>
      </c>
      <c r="D61" s="12">
        <v>3323093</v>
      </c>
      <c r="E61" s="31">
        <v>0</v>
      </c>
      <c r="F61" s="30">
        <f t="shared" si="1"/>
        <v>3323093</v>
      </c>
      <c r="G61" s="29">
        <f t="shared" si="0"/>
        <v>0</v>
      </c>
    </row>
    <row r="62" spans="1:13" x14ac:dyDescent="0.2">
      <c r="A62">
        <v>2015</v>
      </c>
      <c r="B62" s="29">
        <v>4982</v>
      </c>
      <c r="C62" s="3" t="s">
        <v>69</v>
      </c>
      <c r="D62" s="12">
        <v>31321265</v>
      </c>
      <c r="E62" s="31">
        <v>0</v>
      </c>
      <c r="F62" s="30">
        <f t="shared" si="1"/>
        <v>31321265</v>
      </c>
      <c r="G62" s="29">
        <f t="shared" si="0"/>
        <v>0</v>
      </c>
    </row>
    <row r="63" spans="1:13" x14ac:dyDescent="0.2">
      <c r="A63">
        <v>2015</v>
      </c>
      <c r="B63" s="29">
        <v>4983</v>
      </c>
      <c r="C63" s="3" t="s">
        <v>70</v>
      </c>
      <c r="D63" s="12">
        <v>3193477</v>
      </c>
      <c r="E63" s="31">
        <v>0</v>
      </c>
      <c r="F63" s="30">
        <f t="shared" si="1"/>
        <v>3193477</v>
      </c>
      <c r="G63" s="29">
        <f t="shared" si="0"/>
        <v>0</v>
      </c>
    </row>
    <row r="64" spans="1:13" x14ac:dyDescent="0.2">
      <c r="A64">
        <v>2015</v>
      </c>
      <c r="B64" s="29">
        <v>4984</v>
      </c>
      <c r="C64" s="3" t="s">
        <v>71</v>
      </c>
      <c r="D64" s="12">
        <v>1247830</v>
      </c>
      <c r="E64" s="31">
        <v>0</v>
      </c>
      <c r="F64" s="30">
        <f t="shared" si="1"/>
        <v>1247830</v>
      </c>
      <c r="G64" s="29">
        <f t="shared" si="0"/>
        <v>0</v>
      </c>
    </row>
    <row r="65" spans="1:7" x14ac:dyDescent="0.2">
      <c r="A65">
        <v>2015</v>
      </c>
      <c r="B65" s="29">
        <v>4985</v>
      </c>
      <c r="C65" s="3" t="s">
        <v>72</v>
      </c>
      <c r="D65" s="12">
        <v>2666809</v>
      </c>
      <c r="E65" s="31">
        <v>0</v>
      </c>
      <c r="F65" s="30">
        <f t="shared" si="1"/>
        <v>2666809</v>
      </c>
      <c r="G65" s="29">
        <f t="shared" si="0"/>
        <v>0</v>
      </c>
    </row>
    <row r="66" spans="1:7" x14ac:dyDescent="0.2">
      <c r="A66">
        <v>2015</v>
      </c>
      <c r="B66" s="29">
        <v>4986</v>
      </c>
      <c r="C66" s="3" t="s">
        <v>73</v>
      </c>
      <c r="D66" s="12">
        <v>3112879</v>
      </c>
      <c r="E66" s="31">
        <v>0</v>
      </c>
      <c r="F66" s="30">
        <f t="shared" si="1"/>
        <v>3112879</v>
      </c>
      <c r="G66" s="29">
        <f t="shared" si="0"/>
        <v>0</v>
      </c>
    </row>
    <row r="67" spans="1:7" x14ac:dyDescent="0.2">
      <c r="A67">
        <v>2015</v>
      </c>
      <c r="B67" s="29">
        <v>4987</v>
      </c>
      <c r="C67" s="3" t="s">
        <v>74</v>
      </c>
      <c r="D67" s="12">
        <v>428601</v>
      </c>
      <c r="E67" s="31">
        <v>0</v>
      </c>
      <c r="F67" s="30">
        <f t="shared" si="1"/>
        <v>428601</v>
      </c>
      <c r="G67" s="29">
        <f t="shared" ref="G67:G130" si="2">E67/$E$340</f>
        <v>0</v>
      </c>
    </row>
    <row r="68" spans="1:7" x14ac:dyDescent="0.2">
      <c r="A68">
        <v>2015</v>
      </c>
      <c r="B68" s="29">
        <v>4988</v>
      </c>
      <c r="C68" s="3" t="s">
        <v>75</v>
      </c>
      <c r="D68" s="12">
        <v>1505056</v>
      </c>
      <c r="E68" s="31">
        <v>0</v>
      </c>
      <c r="F68" s="30">
        <f t="shared" si="1"/>
        <v>1505056</v>
      </c>
      <c r="G68" s="29">
        <f t="shared" si="2"/>
        <v>0</v>
      </c>
    </row>
    <row r="69" spans="1:7" x14ac:dyDescent="0.2">
      <c r="A69">
        <v>2015</v>
      </c>
      <c r="B69" s="29">
        <v>4990</v>
      </c>
      <c r="C69" s="3" t="s">
        <v>76</v>
      </c>
      <c r="D69" s="12">
        <v>67172</v>
      </c>
      <c r="E69" s="31">
        <v>0</v>
      </c>
      <c r="F69" s="30">
        <f t="shared" si="1"/>
        <v>67172</v>
      </c>
      <c r="G69" s="29">
        <f t="shared" si="2"/>
        <v>0</v>
      </c>
    </row>
    <row r="70" spans="1:7" x14ac:dyDescent="0.2">
      <c r="A70">
        <v>2015</v>
      </c>
      <c r="B70" s="29">
        <v>4991</v>
      </c>
      <c r="C70" s="3" t="s">
        <v>77</v>
      </c>
      <c r="D70" s="12">
        <v>656120</v>
      </c>
      <c r="E70" s="31">
        <v>0</v>
      </c>
      <c r="F70" s="30">
        <f t="shared" si="1"/>
        <v>656120</v>
      </c>
      <c r="G70" s="29">
        <f t="shared" si="2"/>
        <v>0</v>
      </c>
    </row>
    <row r="71" spans="1:7" x14ac:dyDescent="0.2">
      <c r="A71">
        <v>2015</v>
      </c>
      <c r="B71" s="29">
        <v>4992</v>
      </c>
      <c r="C71" s="3" t="s">
        <v>78</v>
      </c>
      <c r="D71" s="12">
        <v>158666</v>
      </c>
      <c r="E71" s="31">
        <v>0</v>
      </c>
      <c r="F71" s="30">
        <f t="shared" si="1"/>
        <v>158666</v>
      </c>
      <c r="G71" s="29">
        <f t="shared" si="2"/>
        <v>0</v>
      </c>
    </row>
    <row r="72" spans="1:7" x14ac:dyDescent="0.2">
      <c r="A72">
        <v>2015</v>
      </c>
      <c r="B72" s="29">
        <v>4993</v>
      </c>
      <c r="C72" s="3" t="s">
        <v>79</v>
      </c>
      <c r="D72" s="12">
        <v>534321</v>
      </c>
      <c r="E72" s="31">
        <v>0</v>
      </c>
      <c r="F72" s="30">
        <f t="shared" si="1"/>
        <v>534321</v>
      </c>
      <c r="G72" s="29">
        <f t="shared" si="2"/>
        <v>0</v>
      </c>
    </row>
    <row r="73" spans="1:7" x14ac:dyDescent="0.2">
      <c r="A73">
        <v>2015</v>
      </c>
      <c r="B73" s="29">
        <v>4994</v>
      </c>
      <c r="C73" s="3" t="s">
        <v>80</v>
      </c>
      <c r="D73" s="12">
        <v>116172</v>
      </c>
      <c r="E73" s="31">
        <v>0</v>
      </c>
      <c r="F73" s="30">
        <f t="shared" si="1"/>
        <v>116172</v>
      </c>
      <c r="G73" s="29">
        <f t="shared" si="2"/>
        <v>0</v>
      </c>
    </row>
    <row r="74" spans="1:7" x14ac:dyDescent="0.2">
      <c r="A74">
        <v>2015</v>
      </c>
      <c r="B74" s="29">
        <v>4995</v>
      </c>
      <c r="C74" s="3" t="s">
        <v>81</v>
      </c>
      <c r="D74" s="12">
        <v>552857</v>
      </c>
      <c r="E74" s="31">
        <v>0</v>
      </c>
      <c r="F74" s="30">
        <f t="shared" si="1"/>
        <v>552857</v>
      </c>
      <c r="G74" s="29">
        <f t="shared" si="2"/>
        <v>0</v>
      </c>
    </row>
    <row r="75" spans="1:7" x14ac:dyDescent="0.2">
      <c r="A75">
        <v>2015</v>
      </c>
      <c r="B75" s="29">
        <v>4996</v>
      </c>
      <c r="C75" s="3" t="s">
        <v>82</v>
      </c>
      <c r="D75" s="12">
        <v>174982</v>
      </c>
      <c r="E75" s="31">
        <v>0</v>
      </c>
      <c r="F75" s="30">
        <f t="shared" si="1"/>
        <v>174982</v>
      </c>
      <c r="G75" s="29">
        <f t="shared" si="2"/>
        <v>0</v>
      </c>
    </row>
    <row r="76" spans="1:7" x14ac:dyDescent="0.2">
      <c r="A76">
        <v>2015</v>
      </c>
      <c r="B76" s="29">
        <v>4997</v>
      </c>
      <c r="C76" s="3" t="s">
        <v>83</v>
      </c>
      <c r="D76" s="12">
        <v>2365919</v>
      </c>
      <c r="E76" s="31">
        <v>0</v>
      </c>
      <c r="F76" s="30">
        <f t="shared" si="1"/>
        <v>2365919</v>
      </c>
      <c r="G76" s="29">
        <f t="shared" si="2"/>
        <v>0</v>
      </c>
    </row>
    <row r="77" spans="1:7" x14ac:dyDescent="0.2">
      <c r="A77">
        <v>2015</v>
      </c>
      <c r="B77" s="29">
        <v>4998</v>
      </c>
      <c r="C77" s="3" t="s">
        <v>84</v>
      </c>
      <c r="D77" s="12">
        <v>285658</v>
      </c>
      <c r="E77" s="31">
        <v>0</v>
      </c>
      <c r="F77" s="30">
        <f t="shared" si="1"/>
        <v>285658</v>
      </c>
      <c r="G77" s="29">
        <f t="shared" si="2"/>
        <v>0</v>
      </c>
    </row>
    <row r="78" spans="1:7" x14ac:dyDescent="0.2">
      <c r="A78">
        <v>2015</v>
      </c>
      <c r="B78" s="29">
        <v>4999</v>
      </c>
      <c r="C78" s="3" t="s">
        <v>352</v>
      </c>
      <c r="D78" s="12">
        <v>3365446</v>
      </c>
      <c r="E78" s="31">
        <v>0</v>
      </c>
      <c r="F78" s="30">
        <f t="shared" si="1"/>
        <v>3365446</v>
      </c>
      <c r="G78" s="29">
        <f t="shared" si="2"/>
        <v>0</v>
      </c>
    </row>
    <row r="79" spans="1:7" x14ac:dyDescent="0.2">
      <c r="A79">
        <v>2015</v>
      </c>
      <c r="B79" s="29">
        <v>5000</v>
      </c>
      <c r="C79" s="3" t="s">
        <v>86</v>
      </c>
      <c r="D79" s="12">
        <v>2596464</v>
      </c>
      <c r="E79" s="31">
        <v>0</v>
      </c>
      <c r="F79" s="30">
        <f t="shared" si="1"/>
        <v>2596464</v>
      </c>
      <c r="G79" s="29">
        <f t="shared" si="2"/>
        <v>0</v>
      </c>
    </row>
    <row r="80" spans="1:7" x14ac:dyDescent="0.2">
      <c r="A80">
        <v>2015</v>
      </c>
      <c r="B80" s="29">
        <v>5001</v>
      </c>
      <c r="C80" s="3" t="s">
        <v>87</v>
      </c>
      <c r="D80" s="12">
        <v>180461</v>
      </c>
      <c r="E80" s="31">
        <v>0</v>
      </c>
      <c r="F80" s="30">
        <f t="shared" si="1"/>
        <v>180461</v>
      </c>
      <c r="G80" s="29">
        <f t="shared" si="2"/>
        <v>0</v>
      </c>
    </row>
    <row r="81" spans="1:7" x14ac:dyDescent="0.2">
      <c r="A81">
        <v>2015</v>
      </c>
      <c r="B81" s="29">
        <v>5002</v>
      </c>
      <c r="C81" s="3" t="s">
        <v>88</v>
      </c>
      <c r="D81" s="12">
        <v>67440</v>
      </c>
      <c r="E81" s="31">
        <v>0</v>
      </c>
      <c r="F81" s="30">
        <f t="shared" si="1"/>
        <v>67440</v>
      </c>
      <c r="G81" s="29">
        <f t="shared" si="2"/>
        <v>0</v>
      </c>
    </row>
    <row r="82" spans="1:7" x14ac:dyDescent="0.2">
      <c r="A82">
        <v>2015</v>
      </c>
      <c r="B82" s="29">
        <v>5004</v>
      </c>
      <c r="C82" s="3" t="s">
        <v>89</v>
      </c>
      <c r="D82" s="12">
        <v>708787</v>
      </c>
      <c r="E82" s="31">
        <v>0</v>
      </c>
      <c r="F82" s="30">
        <f t="shared" si="1"/>
        <v>708787</v>
      </c>
      <c r="G82" s="29">
        <f t="shared" si="2"/>
        <v>0</v>
      </c>
    </row>
    <row r="83" spans="1:7" x14ac:dyDescent="0.2">
      <c r="A83">
        <v>2015</v>
      </c>
      <c r="B83" s="29">
        <v>5005</v>
      </c>
      <c r="C83" s="3" t="s">
        <v>90</v>
      </c>
      <c r="D83" s="12">
        <v>394178</v>
      </c>
      <c r="E83" s="31">
        <v>0</v>
      </c>
      <c r="F83" s="30">
        <f t="shared" si="1"/>
        <v>394178</v>
      </c>
      <c r="G83" s="29">
        <f t="shared" si="2"/>
        <v>0</v>
      </c>
    </row>
    <row r="84" spans="1:7" x14ac:dyDescent="0.2">
      <c r="A84">
        <v>2015</v>
      </c>
      <c r="B84" s="29">
        <v>5006</v>
      </c>
      <c r="C84" s="3" t="s">
        <v>91</v>
      </c>
      <c r="D84" s="12">
        <v>174067</v>
      </c>
      <c r="E84" s="31">
        <v>0</v>
      </c>
      <c r="F84" s="30">
        <f t="shared" si="1"/>
        <v>174067</v>
      </c>
      <c r="G84" s="29">
        <f t="shared" si="2"/>
        <v>0</v>
      </c>
    </row>
    <row r="85" spans="1:7" x14ac:dyDescent="0.2">
      <c r="A85">
        <v>2015</v>
      </c>
      <c r="B85" s="29">
        <v>5007</v>
      </c>
      <c r="C85" s="3" t="s">
        <v>143</v>
      </c>
      <c r="D85" s="16">
        <v>108005</v>
      </c>
      <c r="E85" s="31">
        <v>0</v>
      </c>
      <c r="F85" s="30">
        <f t="shared" ref="F85:F148" si="3">SUM(D85:E85)</f>
        <v>108005</v>
      </c>
      <c r="G85" s="29">
        <f t="shared" si="2"/>
        <v>0</v>
      </c>
    </row>
    <row r="86" spans="1:7" x14ac:dyDescent="0.2">
      <c r="A86">
        <v>2015</v>
      </c>
      <c r="B86" s="29">
        <v>5008</v>
      </c>
      <c r="C86" s="3" t="s">
        <v>92</v>
      </c>
      <c r="D86" s="12">
        <v>455875</v>
      </c>
      <c r="E86" s="31">
        <v>0</v>
      </c>
      <c r="F86" s="30">
        <f t="shared" si="3"/>
        <v>455875</v>
      </c>
      <c r="G86" s="29">
        <f t="shared" si="2"/>
        <v>0</v>
      </c>
    </row>
    <row r="87" spans="1:7" x14ac:dyDescent="0.2">
      <c r="A87">
        <v>2015</v>
      </c>
      <c r="B87" s="29">
        <v>5010</v>
      </c>
      <c r="C87" s="3" t="s">
        <v>93</v>
      </c>
      <c r="D87" s="12">
        <v>1013440</v>
      </c>
      <c r="E87" s="31">
        <v>0</v>
      </c>
      <c r="F87" s="30">
        <f t="shared" si="3"/>
        <v>1013440</v>
      </c>
      <c r="G87" s="29">
        <f t="shared" si="2"/>
        <v>0</v>
      </c>
    </row>
    <row r="88" spans="1:7" x14ac:dyDescent="0.2">
      <c r="A88">
        <v>2015</v>
      </c>
      <c r="B88" s="29">
        <v>5011</v>
      </c>
      <c r="C88" s="3" t="s">
        <v>94</v>
      </c>
      <c r="D88" s="12">
        <v>292495</v>
      </c>
      <c r="E88" s="31">
        <v>0</v>
      </c>
      <c r="F88" s="30">
        <f t="shared" si="3"/>
        <v>292495</v>
      </c>
      <c r="G88" s="29">
        <f t="shared" si="2"/>
        <v>0</v>
      </c>
    </row>
    <row r="89" spans="1:7" x14ac:dyDescent="0.2">
      <c r="A89">
        <v>2015</v>
      </c>
      <c r="B89" s="29">
        <v>5012</v>
      </c>
      <c r="C89" s="3" t="s">
        <v>95</v>
      </c>
      <c r="D89" s="12">
        <v>216871</v>
      </c>
      <c r="E89" s="31">
        <v>0</v>
      </c>
      <c r="F89" s="30">
        <f t="shared" si="3"/>
        <v>216871</v>
      </c>
      <c r="G89" s="29">
        <f t="shared" si="2"/>
        <v>0</v>
      </c>
    </row>
    <row r="90" spans="1:7" x14ac:dyDescent="0.2">
      <c r="A90">
        <v>2015</v>
      </c>
      <c r="B90" s="29">
        <v>5013</v>
      </c>
      <c r="C90" s="3" t="s">
        <v>96</v>
      </c>
      <c r="D90" s="12">
        <v>4068536</v>
      </c>
      <c r="E90" s="31">
        <v>0</v>
      </c>
      <c r="F90" s="30">
        <f t="shared" si="3"/>
        <v>4068536</v>
      </c>
      <c r="G90" s="29">
        <f t="shared" si="2"/>
        <v>0</v>
      </c>
    </row>
    <row r="91" spans="1:7" x14ac:dyDescent="0.2">
      <c r="A91">
        <v>2015</v>
      </c>
      <c r="B91" s="29">
        <v>5014</v>
      </c>
      <c r="C91" s="3" t="s">
        <v>97</v>
      </c>
      <c r="D91" s="12">
        <v>1046996</v>
      </c>
      <c r="E91" s="31">
        <v>0</v>
      </c>
      <c r="F91" s="30">
        <f t="shared" si="3"/>
        <v>1046996</v>
      </c>
      <c r="G91" s="29">
        <f t="shared" si="2"/>
        <v>0</v>
      </c>
    </row>
    <row r="92" spans="1:7" x14ac:dyDescent="0.2">
      <c r="A92">
        <v>2015</v>
      </c>
      <c r="B92" s="29">
        <v>5015</v>
      </c>
      <c r="C92" s="3" t="s">
        <v>98</v>
      </c>
      <c r="D92" s="12">
        <v>281374</v>
      </c>
      <c r="E92" s="31">
        <v>0</v>
      </c>
      <c r="F92" s="30">
        <f t="shared" si="3"/>
        <v>281374</v>
      </c>
      <c r="G92" s="29">
        <f t="shared" si="2"/>
        <v>0</v>
      </c>
    </row>
    <row r="93" spans="1:7" x14ac:dyDescent="0.2">
      <c r="A93">
        <v>2015</v>
      </c>
      <c r="B93" s="29">
        <v>5016</v>
      </c>
      <c r="C93" s="3" t="s">
        <v>99</v>
      </c>
      <c r="D93" s="12">
        <v>366770</v>
      </c>
      <c r="E93" s="31">
        <v>0</v>
      </c>
      <c r="F93" s="30">
        <f t="shared" si="3"/>
        <v>366770</v>
      </c>
      <c r="G93" s="29">
        <f t="shared" si="2"/>
        <v>0</v>
      </c>
    </row>
    <row r="94" spans="1:7" x14ac:dyDescent="0.2">
      <c r="A94">
        <v>2015</v>
      </c>
      <c r="B94" s="29">
        <v>5017</v>
      </c>
      <c r="C94" s="3" t="s">
        <v>100</v>
      </c>
      <c r="D94" s="12">
        <v>2510305</v>
      </c>
      <c r="E94" s="31">
        <v>0</v>
      </c>
      <c r="F94" s="30">
        <f t="shared" si="3"/>
        <v>2510305</v>
      </c>
      <c r="G94" s="29">
        <f t="shared" si="2"/>
        <v>0</v>
      </c>
    </row>
    <row r="95" spans="1:7" x14ac:dyDescent="0.2">
      <c r="A95">
        <v>2015</v>
      </c>
      <c r="B95" s="29">
        <v>5018</v>
      </c>
      <c r="C95" s="3" t="s">
        <v>101</v>
      </c>
      <c r="D95" s="12">
        <v>191095</v>
      </c>
      <c r="E95" s="31">
        <v>0</v>
      </c>
      <c r="F95" s="30">
        <f t="shared" si="3"/>
        <v>191095</v>
      </c>
      <c r="G95" s="29">
        <f t="shared" si="2"/>
        <v>0</v>
      </c>
    </row>
    <row r="96" spans="1:7" x14ac:dyDescent="0.2">
      <c r="A96">
        <v>2015</v>
      </c>
      <c r="B96" s="29">
        <v>5019</v>
      </c>
      <c r="C96" s="3" t="s">
        <v>102</v>
      </c>
      <c r="D96" s="12">
        <v>1531446</v>
      </c>
      <c r="E96" s="31">
        <v>0</v>
      </c>
      <c r="F96" s="30">
        <f t="shared" si="3"/>
        <v>1531446</v>
      </c>
      <c r="G96" s="29">
        <f t="shared" si="2"/>
        <v>0</v>
      </c>
    </row>
    <row r="97" spans="1:7" x14ac:dyDescent="0.2">
      <c r="A97">
        <v>2015</v>
      </c>
      <c r="B97" s="29">
        <v>5020</v>
      </c>
      <c r="C97" s="3" t="s">
        <v>103</v>
      </c>
      <c r="D97" s="12">
        <v>4813107</v>
      </c>
      <c r="E97" s="31">
        <v>0</v>
      </c>
      <c r="F97" s="30">
        <f t="shared" si="3"/>
        <v>4813107</v>
      </c>
      <c r="G97" s="29">
        <f t="shared" si="2"/>
        <v>0</v>
      </c>
    </row>
    <row r="98" spans="1:7" x14ac:dyDescent="0.2">
      <c r="A98">
        <v>2015</v>
      </c>
      <c r="B98" s="29">
        <v>5021</v>
      </c>
      <c r="C98" s="3" t="s">
        <v>104</v>
      </c>
      <c r="D98" s="12">
        <v>198054</v>
      </c>
      <c r="E98" s="31">
        <v>0</v>
      </c>
      <c r="F98" s="30">
        <f t="shared" si="3"/>
        <v>198054</v>
      </c>
      <c r="G98" s="29">
        <f t="shared" si="2"/>
        <v>0</v>
      </c>
    </row>
    <row r="99" spans="1:7" x14ac:dyDescent="0.2">
      <c r="A99">
        <v>2015</v>
      </c>
      <c r="B99" s="29">
        <v>5022</v>
      </c>
      <c r="C99" s="3" t="s">
        <v>105</v>
      </c>
      <c r="D99" s="12">
        <v>2865935</v>
      </c>
      <c r="E99" s="31">
        <v>0</v>
      </c>
      <c r="F99" s="30">
        <f t="shared" si="3"/>
        <v>2865935</v>
      </c>
      <c r="G99" s="29">
        <f t="shared" si="2"/>
        <v>0</v>
      </c>
    </row>
    <row r="100" spans="1:7" x14ac:dyDescent="0.2">
      <c r="A100">
        <v>2015</v>
      </c>
      <c r="B100" s="29">
        <v>5024</v>
      </c>
      <c r="C100" s="3" t="s">
        <v>106</v>
      </c>
      <c r="D100" s="12">
        <v>410937</v>
      </c>
      <c r="E100" s="31">
        <v>0</v>
      </c>
      <c r="F100" s="30">
        <f t="shared" si="3"/>
        <v>410937</v>
      </c>
      <c r="G100" s="29">
        <f t="shared" si="2"/>
        <v>0</v>
      </c>
    </row>
    <row r="101" spans="1:7" x14ac:dyDescent="0.2">
      <c r="A101">
        <v>2015</v>
      </c>
      <c r="B101" s="29">
        <v>5025</v>
      </c>
      <c r="C101" s="3" t="s">
        <v>107</v>
      </c>
      <c r="D101" s="12">
        <v>1138246</v>
      </c>
      <c r="E101" s="31">
        <v>0</v>
      </c>
      <c r="F101" s="30">
        <f t="shared" si="3"/>
        <v>1138246</v>
      </c>
      <c r="G101" s="29">
        <f t="shared" si="2"/>
        <v>0</v>
      </c>
    </row>
    <row r="102" spans="1:7" x14ac:dyDescent="0.2">
      <c r="A102">
        <v>2015</v>
      </c>
      <c r="B102" s="29">
        <v>5026</v>
      </c>
      <c r="C102" s="3" t="s">
        <v>108</v>
      </c>
      <c r="D102" s="12">
        <v>310906</v>
      </c>
      <c r="E102" s="31">
        <v>0</v>
      </c>
      <c r="F102" s="30">
        <f t="shared" si="3"/>
        <v>310906</v>
      </c>
      <c r="G102" s="29">
        <f t="shared" si="2"/>
        <v>0</v>
      </c>
    </row>
    <row r="103" spans="1:7" x14ac:dyDescent="0.2">
      <c r="A103">
        <v>2015</v>
      </c>
      <c r="B103" s="29">
        <v>5027</v>
      </c>
      <c r="C103" s="3" t="s">
        <v>109</v>
      </c>
      <c r="D103" s="12">
        <v>3411987</v>
      </c>
      <c r="E103" s="31">
        <v>0</v>
      </c>
      <c r="F103" s="30">
        <f t="shared" si="3"/>
        <v>3411987</v>
      </c>
      <c r="G103" s="29">
        <f t="shared" si="2"/>
        <v>0</v>
      </c>
    </row>
    <row r="104" spans="1:7" x14ac:dyDescent="0.2">
      <c r="A104">
        <v>2015</v>
      </c>
      <c r="B104" s="29">
        <v>5028</v>
      </c>
      <c r="C104" s="3" t="s">
        <v>110</v>
      </c>
      <c r="D104" s="12">
        <v>820372</v>
      </c>
      <c r="E104" s="31">
        <v>0</v>
      </c>
      <c r="F104" s="30">
        <f t="shared" si="3"/>
        <v>820372</v>
      </c>
      <c r="G104" s="29">
        <f t="shared" si="2"/>
        <v>0</v>
      </c>
    </row>
    <row r="105" spans="1:7" x14ac:dyDescent="0.2">
      <c r="A105">
        <v>2015</v>
      </c>
      <c r="B105" s="29">
        <v>5029</v>
      </c>
      <c r="C105" s="3" t="s">
        <v>111</v>
      </c>
      <c r="D105" s="12">
        <v>389565</v>
      </c>
      <c r="E105" s="31">
        <v>0</v>
      </c>
      <c r="F105" s="30">
        <f t="shared" si="3"/>
        <v>389565</v>
      </c>
      <c r="G105" s="29">
        <f t="shared" si="2"/>
        <v>0</v>
      </c>
    </row>
    <row r="106" spans="1:7" x14ac:dyDescent="0.2">
      <c r="A106">
        <v>2015</v>
      </c>
      <c r="B106" s="29">
        <v>5031</v>
      </c>
      <c r="C106" s="3" t="s">
        <v>112</v>
      </c>
      <c r="D106" s="12">
        <v>5840097</v>
      </c>
      <c r="E106" s="31">
        <v>0</v>
      </c>
      <c r="F106" s="30">
        <f t="shared" si="3"/>
        <v>5840097</v>
      </c>
      <c r="G106" s="29">
        <f t="shared" si="2"/>
        <v>0</v>
      </c>
    </row>
    <row r="107" spans="1:7" x14ac:dyDescent="0.2">
      <c r="A107">
        <v>2015</v>
      </c>
      <c r="B107" s="29">
        <v>5032</v>
      </c>
      <c r="C107" s="3" t="s">
        <v>359</v>
      </c>
      <c r="D107" s="12">
        <v>502064</v>
      </c>
      <c r="E107" s="31">
        <v>0</v>
      </c>
      <c r="F107" s="30">
        <f t="shared" si="3"/>
        <v>502064</v>
      </c>
      <c r="G107" s="29">
        <f t="shared" si="2"/>
        <v>0</v>
      </c>
    </row>
    <row r="108" spans="1:7" x14ac:dyDescent="0.2">
      <c r="A108">
        <v>2015</v>
      </c>
      <c r="B108" s="29">
        <v>5033</v>
      </c>
      <c r="C108" s="3" t="s">
        <v>114</v>
      </c>
      <c r="D108" s="12">
        <v>353946</v>
      </c>
      <c r="E108" s="31">
        <v>0</v>
      </c>
      <c r="F108" s="30">
        <f t="shared" si="3"/>
        <v>353946</v>
      </c>
      <c r="G108" s="29">
        <f t="shared" si="2"/>
        <v>0</v>
      </c>
    </row>
    <row r="109" spans="1:7" x14ac:dyDescent="0.2">
      <c r="A109">
        <v>2015</v>
      </c>
      <c r="B109" s="29">
        <v>5034</v>
      </c>
      <c r="C109" s="3" t="s">
        <v>115</v>
      </c>
      <c r="D109" s="12">
        <v>188521</v>
      </c>
      <c r="E109" s="31">
        <v>0</v>
      </c>
      <c r="F109" s="30">
        <f t="shared" si="3"/>
        <v>188521</v>
      </c>
      <c r="G109" s="29">
        <f t="shared" si="2"/>
        <v>0</v>
      </c>
    </row>
    <row r="110" spans="1:7" x14ac:dyDescent="0.2">
      <c r="A110">
        <v>2015</v>
      </c>
      <c r="B110" s="29">
        <v>5035</v>
      </c>
      <c r="C110" s="3" t="s">
        <v>116</v>
      </c>
      <c r="D110" s="12">
        <v>933849</v>
      </c>
      <c r="E110" s="31">
        <v>0</v>
      </c>
      <c r="F110" s="30">
        <f t="shared" si="3"/>
        <v>933849</v>
      </c>
      <c r="G110" s="29">
        <f t="shared" si="2"/>
        <v>0</v>
      </c>
    </row>
    <row r="111" spans="1:7" x14ac:dyDescent="0.2">
      <c r="A111">
        <v>2015</v>
      </c>
      <c r="B111" s="29">
        <v>5036</v>
      </c>
      <c r="C111" s="3" t="s">
        <v>117</v>
      </c>
      <c r="D111" s="12">
        <v>484351</v>
      </c>
      <c r="E111" s="31">
        <v>0</v>
      </c>
      <c r="F111" s="30">
        <f t="shared" si="3"/>
        <v>484351</v>
      </c>
      <c r="G111" s="29">
        <f t="shared" si="2"/>
        <v>0</v>
      </c>
    </row>
    <row r="112" spans="1:7" x14ac:dyDescent="0.2">
      <c r="A112">
        <v>2015</v>
      </c>
      <c r="B112" s="29">
        <v>5037</v>
      </c>
      <c r="C112" s="3" t="s">
        <v>118</v>
      </c>
      <c r="D112" s="12">
        <v>1758445</v>
      </c>
      <c r="E112" s="31">
        <v>0</v>
      </c>
      <c r="F112" s="30">
        <f t="shared" si="3"/>
        <v>1758445</v>
      </c>
      <c r="G112" s="29">
        <f t="shared" si="2"/>
        <v>0</v>
      </c>
    </row>
    <row r="113" spans="1:7" x14ac:dyDescent="0.2">
      <c r="A113">
        <v>2015</v>
      </c>
      <c r="B113" s="29">
        <v>5038</v>
      </c>
      <c r="C113" s="3" t="s">
        <v>119</v>
      </c>
      <c r="D113" s="12">
        <v>271429</v>
      </c>
      <c r="E113" s="31">
        <v>0</v>
      </c>
      <c r="F113" s="30">
        <f t="shared" si="3"/>
        <v>271429</v>
      </c>
      <c r="G113" s="29">
        <f t="shared" si="2"/>
        <v>0</v>
      </c>
    </row>
    <row r="114" spans="1:7" x14ac:dyDescent="0.2">
      <c r="A114">
        <v>2015</v>
      </c>
      <c r="B114" s="29">
        <v>5039</v>
      </c>
      <c r="C114" s="3" t="s">
        <v>120</v>
      </c>
      <c r="D114" s="12">
        <v>272572</v>
      </c>
      <c r="E114" s="31">
        <v>0</v>
      </c>
      <c r="F114" s="30">
        <f t="shared" si="3"/>
        <v>272572</v>
      </c>
      <c r="G114" s="29">
        <f t="shared" si="2"/>
        <v>0</v>
      </c>
    </row>
    <row r="115" spans="1:7" x14ac:dyDescent="0.2">
      <c r="A115">
        <v>2015</v>
      </c>
      <c r="B115" s="29">
        <v>5040</v>
      </c>
      <c r="C115" s="3" t="s">
        <v>121</v>
      </c>
      <c r="D115" s="12">
        <v>878130</v>
      </c>
      <c r="E115" s="31">
        <v>0</v>
      </c>
      <c r="F115" s="30">
        <f t="shared" si="3"/>
        <v>878130</v>
      </c>
      <c r="G115" s="29">
        <f t="shared" si="2"/>
        <v>0</v>
      </c>
    </row>
    <row r="116" spans="1:7" x14ac:dyDescent="0.2">
      <c r="A116">
        <v>2015</v>
      </c>
      <c r="B116" s="29">
        <v>5041</v>
      </c>
      <c r="C116" s="3" t="s">
        <v>122</v>
      </c>
      <c r="D116" s="12">
        <v>4956202</v>
      </c>
      <c r="E116" s="31">
        <v>0</v>
      </c>
      <c r="F116" s="30">
        <f t="shared" si="3"/>
        <v>4956202</v>
      </c>
      <c r="G116" s="29">
        <f t="shared" si="2"/>
        <v>0</v>
      </c>
    </row>
    <row r="117" spans="1:7" x14ac:dyDescent="0.2">
      <c r="A117">
        <v>2015</v>
      </c>
      <c r="B117" s="29">
        <v>5042</v>
      </c>
      <c r="C117" s="3" t="s">
        <v>123</v>
      </c>
      <c r="D117" s="12">
        <v>1183756</v>
      </c>
      <c r="E117" s="31">
        <v>0</v>
      </c>
      <c r="F117" s="30">
        <f t="shared" si="3"/>
        <v>1183756</v>
      </c>
      <c r="G117" s="29">
        <f t="shared" si="2"/>
        <v>0</v>
      </c>
    </row>
    <row r="118" spans="1:7" x14ac:dyDescent="0.2">
      <c r="A118">
        <v>2015</v>
      </c>
      <c r="B118" s="29">
        <v>5043</v>
      </c>
      <c r="C118" s="3" t="s">
        <v>124</v>
      </c>
      <c r="D118" s="12">
        <v>1913068</v>
      </c>
      <c r="E118" s="31">
        <v>0</v>
      </c>
      <c r="F118" s="30">
        <f t="shared" si="3"/>
        <v>1913068</v>
      </c>
      <c r="G118" s="29">
        <f t="shared" si="2"/>
        <v>0</v>
      </c>
    </row>
    <row r="119" spans="1:7" x14ac:dyDescent="0.2">
      <c r="A119">
        <v>2015</v>
      </c>
      <c r="B119" s="29">
        <v>5056</v>
      </c>
      <c r="C119" s="3" t="s">
        <v>125</v>
      </c>
      <c r="D119" s="12">
        <v>233614</v>
      </c>
      <c r="E119" s="31">
        <v>0</v>
      </c>
      <c r="F119" s="30">
        <f t="shared" si="3"/>
        <v>233614</v>
      </c>
      <c r="G119" s="29">
        <f t="shared" si="2"/>
        <v>0</v>
      </c>
    </row>
    <row r="120" spans="1:7" x14ac:dyDescent="0.2">
      <c r="A120">
        <v>2015</v>
      </c>
      <c r="B120" s="29">
        <v>5057</v>
      </c>
      <c r="C120" s="3" t="s">
        <v>126</v>
      </c>
      <c r="D120" s="12">
        <v>379454</v>
      </c>
      <c r="E120" s="31">
        <v>0</v>
      </c>
      <c r="F120" s="30">
        <f t="shared" si="3"/>
        <v>379454</v>
      </c>
      <c r="G120" s="29">
        <f t="shared" si="2"/>
        <v>0</v>
      </c>
    </row>
    <row r="121" spans="1:7" x14ac:dyDescent="0.2">
      <c r="A121">
        <v>2015</v>
      </c>
      <c r="B121" s="29">
        <v>5058</v>
      </c>
      <c r="C121" s="3" t="s">
        <v>127</v>
      </c>
      <c r="D121" s="12">
        <v>811694</v>
      </c>
      <c r="E121" s="31">
        <v>0</v>
      </c>
      <c r="F121" s="30">
        <f t="shared" si="3"/>
        <v>811694</v>
      </c>
      <c r="G121" s="29">
        <f t="shared" si="2"/>
        <v>0</v>
      </c>
    </row>
    <row r="122" spans="1:7" x14ac:dyDescent="0.2">
      <c r="A122">
        <v>2015</v>
      </c>
      <c r="B122" s="29">
        <v>5059</v>
      </c>
      <c r="C122" s="3" t="s">
        <v>128</v>
      </c>
      <c r="D122" s="12">
        <v>246348</v>
      </c>
      <c r="E122" s="31">
        <v>0</v>
      </c>
      <c r="F122" s="30">
        <f t="shared" si="3"/>
        <v>246348</v>
      </c>
      <c r="G122" s="29">
        <f t="shared" si="2"/>
        <v>0</v>
      </c>
    </row>
    <row r="123" spans="1:7" x14ac:dyDescent="0.2">
      <c r="A123">
        <v>2015</v>
      </c>
      <c r="B123" s="29">
        <v>5060</v>
      </c>
      <c r="C123" s="3" t="s">
        <v>129</v>
      </c>
      <c r="D123" s="12">
        <v>90844</v>
      </c>
      <c r="E123" s="31">
        <v>0</v>
      </c>
      <c r="F123" s="30">
        <f t="shared" si="3"/>
        <v>90844</v>
      </c>
      <c r="G123" s="29">
        <f t="shared" si="2"/>
        <v>0</v>
      </c>
    </row>
    <row r="124" spans="1:7" x14ac:dyDescent="0.2">
      <c r="A124">
        <v>2015</v>
      </c>
      <c r="B124" s="29">
        <v>5061</v>
      </c>
      <c r="C124" s="3" t="s">
        <v>130</v>
      </c>
      <c r="D124" s="12">
        <v>228160</v>
      </c>
      <c r="E124" s="31">
        <v>0</v>
      </c>
      <c r="F124" s="30">
        <f t="shared" si="3"/>
        <v>228160</v>
      </c>
      <c r="G124" s="29">
        <f t="shared" si="2"/>
        <v>0</v>
      </c>
    </row>
    <row r="125" spans="1:7" x14ac:dyDescent="0.2">
      <c r="A125">
        <v>2015</v>
      </c>
      <c r="B125" s="29">
        <v>5062</v>
      </c>
      <c r="C125" s="3" t="s">
        <v>131</v>
      </c>
      <c r="D125" s="12">
        <v>397463</v>
      </c>
      <c r="E125" s="31">
        <v>0</v>
      </c>
      <c r="F125" s="30">
        <f t="shared" si="3"/>
        <v>397463</v>
      </c>
      <c r="G125" s="29">
        <f t="shared" si="2"/>
        <v>0</v>
      </c>
    </row>
    <row r="126" spans="1:7" x14ac:dyDescent="0.2">
      <c r="A126">
        <v>2015</v>
      </c>
      <c r="B126" s="29">
        <v>5063</v>
      </c>
      <c r="C126" s="3" t="s">
        <v>132</v>
      </c>
      <c r="D126" s="12">
        <v>332630</v>
      </c>
      <c r="E126" s="31">
        <v>0</v>
      </c>
      <c r="F126" s="30">
        <f t="shared" si="3"/>
        <v>332630</v>
      </c>
      <c r="G126" s="29">
        <f t="shared" si="2"/>
        <v>0</v>
      </c>
    </row>
    <row r="127" spans="1:7" x14ac:dyDescent="0.2">
      <c r="A127">
        <v>2015</v>
      </c>
      <c r="B127" s="29">
        <v>5064</v>
      </c>
      <c r="C127" s="3" t="s">
        <v>133</v>
      </c>
      <c r="D127" s="12">
        <v>242776</v>
      </c>
      <c r="E127" s="31">
        <v>0</v>
      </c>
      <c r="F127" s="30">
        <f t="shared" si="3"/>
        <v>242776</v>
      </c>
      <c r="G127" s="29">
        <f t="shared" si="2"/>
        <v>0</v>
      </c>
    </row>
    <row r="128" spans="1:7" x14ac:dyDescent="0.2">
      <c r="A128">
        <v>2015</v>
      </c>
      <c r="B128" s="29">
        <v>5065</v>
      </c>
      <c r="C128" s="3" t="s">
        <v>134</v>
      </c>
      <c r="D128" s="12">
        <v>245414</v>
      </c>
      <c r="E128" s="31">
        <v>0</v>
      </c>
      <c r="F128" s="30">
        <f t="shared" si="3"/>
        <v>245414</v>
      </c>
      <c r="G128" s="29">
        <f t="shared" si="2"/>
        <v>0</v>
      </c>
    </row>
    <row r="129" spans="1:7" x14ac:dyDescent="0.2">
      <c r="A129">
        <v>2015</v>
      </c>
      <c r="B129" s="29">
        <v>5066</v>
      </c>
      <c r="C129" s="3" t="s">
        <v>135</v>
      </c>
      <c r="D129" s="12">
        <v>335678</v>
      </c>
      <c r="E129" s="31">
        <v>0</v>
      </c>
      <c r="F129" s="30">
        <f t="shared" si="3"/>
        <v>335678</v>
      </c>
      <c r="G129" s="29">
        <f t="shared" si="2"/>
        <v>0</v>
      </c>
    </row>
    <row r="130" spans="1:7" x14ac:dyDescent="0.2">
      <c r="A130">
        <v>2015</v>
      </c>
      <c r="B130" s="29">
        <v>5067</v>
      </c>
      <c r="C130" s="3" t="s">
        <v>136</v>
      </c>
      <c r="D130" s="12">
        <v>480491</v>
      </c>
      <c r="E130" s="31">
        <v>0</v>
      </c>
      <c r="F130" s="30">
        <f t="shared" si="3"/>
        <v>480491</v>
      </c>
      <c r="G130" s="29">
        <f t="shared" si="2"/>
        <v>0</v>
      </c>
    </row>
    <row r="131" spans="1:7" x14ac:dyDescent="0.2">
      <c r="A131">
        <v>2015</v>
      </c>
      <c r="B131" s="29">
        <v>5068</v>
      </c>
      <c r="C131" s="3" t="s">
        <v>137</v>
      </c>
      <c r="D131" s="12">
        <v>364148</v>
      </c>
      <c r="E131" s="31">
        <v>0</v>
      </c>
      <c r="F131" s="30">
        <f t="shared" si="3"/>
        <v>364148</v>
      </c>
      <c r="G131" s="29">
        <f t="shared" ref="G131:G194" si="4">E131/$E$340</f>
        <v>0</v>
      </c>
    </row>
    <row r="132" spans="1:7" x14ac:dyDescent="0.2">
      <c r="A132">
        <v>2015</v>
      </c>
      <c r="B132" s="29">
        <v>5069</v>
      </c>
      <c r="C132" s="3" t="s">
        <v>138</v>
      </c>
      <c r="D132" s="12">
        <v>414398</v>
      </c>
      <c r="E132" s="31">
        <v>0</v>
      </c>
      <c r="F132" s="30">
        <f t="shared" si="3"/>
        <v>414398</v>
      </c>
      <c r="G132" s="29">
        <f t="shared" si="4"/>
        <v>0</v>
      </c>
    </row>
    <row r="133" spans="1:7" x14ac:dyDescent="0.2">
      <c r="A133">
        <v>2015</v>
      </c>
      <c r="B133" s="29">
        <v>5070</v>
      </c>
      <c r="C133" s="3" t="s">
        <v>139</v>
      </c>
      <c r="D133" s="12">
        <v>1020141</v>
      </c>
      <c r="E133" s="31">
        <v>0</v>
      </c>
      <c r="F133" s="30">
        <f t="shared" si="3"/>
        <v>1020141</v>
      </c>
      <c r="G133" s="29">
        <f t="shared" si="4"/>
        <v>0</v>
      </c>
    </row>
    <row r="134" spans="1:7" x14ac:dyDescent="0.2">
      <c r="A134">
        <v>2015</v>
      </c>
      <c r="B134" s="29">
        <v>5072</v>
      </c>
      <c r="C134" s="3" t="s">
        <v>140</v>
      </c>
      <c r="D134" s="12">
        <v>135455</v>
      </c>
      <c r="E134" s="31">
        <v>0</v>
      </c>
      <c r="F134" s="30">
        <f t="shared" si="3"/>
        <v>135455</v>
      </c>
      <c r="G134" s="29">
        <f t="shared" si="4"/>
        <v>0</v>
      </c>
    </row>
    <row r="135" spans="1:7" x14ac:dyDescent="0.2">
      <c r="A135">
        <v>2015</v>
      </c>
      <c r="B135" s="29">
        <v>5073</v>
      </c>
      <c r="C135" s="3" t="s">
        <v>141</v>
      </c>
      <c r="D135" s="12">
        <v>268593</v>
      </c>
      <c r="E135" s="31">
        <v>0</v>
      </c>
      <c r="F135" s="30">
        <f t="shared" si="3"/>
        <v>268593</v>
      </c>
      <c r="G135" s="29">
        <f t="shared" si="4"/>
        <v>0</v>
      </c>
    </row>
    <row r="136" spans="1:7" x14ac:dyDescent="0.2">
      <c r="A136">
        <v>2015</v>
      </c>
      <c r="B136" s="29">
        <v>5076</v>
      </c>
      <c r="C136" s="3" t="s">
        <v>142</v>
      </c>
      <c r="D136" s="12">
        <v>154212</v>
      </c>
      <c r="E136" s="31">
        <v>0</v>
      </c>
      <c r="F136" s="30">
        <f t="shared" si="3"/>
        <v>154212</v>
      </c>
      <c r="G136" s="29">
        <f t="shared" si="4"/>
        <v>0</v>
      </c>
    </row>
    <row r="137" spans="1:7" x14ac:dyDescent="0.2">
      <c r="A137">
        <v>2015</v>
      </c>
      <c r="B137" s="29">
        <v>5077</v>
      </c>
      <c r="C137" s="3" t="s">
        <v>195</v>
      </c>
      <c r="D137" s="12">
        <v>351302</v>
      </c>
      <c r="E137" s="31">
        <v>0</v>
      </c>
      <c r="F137" s="30">
        <f t="shared" si="3"/>
        <v>351302</v>
      </c>
      <c r="G137" s="29">
        <f t="shared" si="4"/>
        <v>0</v>
      </c>
    </row>
    <row r="138" spans="1:7" x14ac:dyDescent="0.2">
      <c r="A138">
        <v>2015</v>
      </c>
      <c r="B138" s="29">
        <v>5078</v>
      </c>
      <c r="C138" s="3" t="s">
        <v>144</v>
      </c>
      <c r="D138" s="12">
        <v>279143</v>
      </c>
      <c r="E138" s="31">
        <v>0</v>
      </c>
      <c r="F138" s="30">
        <f t="shared" si="3"/>
        <v>279143</v>
      </c>
      <c r="G138" s="29">
        <f t="shared" si="4"/>
        <v>0</v>
      </c>
    </row>
    <row r="139" spans="1:7" x14ac:dyDescent="0.2">
      <c r="A139">
        <v>2015</v>
      </c>
      <c r="B139" s="29">
        <v>5079</v>
      </c>
      <c r="C139" s="3" t="s">
        <v>145</v>
      </c>
      <c r="D139" s="12">
        <v>316333</v>
      </c>
      <c r="E139" s="31">
        <v>0</v>
      </c>
      <c r="F139" s="30">
        <f t="shared" si="3"/>
        <v>316333</v>
      </c>
      <c r="G139" s="29">
        <f t="shared" si="4"/>
        <v>0</v>
      </c>
    </row>
    <row r="140" spans="1:7" x14ac:dyDescent="0.2">
      <c r="A140">
        <v>2015</v>
      </c>
      <c r="B140" s="29">
        <v>5080</v>
      </c>
      <c r="C140" s="3" t="s">
        <v>146</v>
      </c>
      <c r="D140" s="16">
        <v>293224</v>
      </c>
      <c r="E140" s="31">
        <v>0</v>
      </c>
      <c r="F140" s="30">
        <f t="shared" si="3"/>
        <v>293224</v>
      </c>
      <c r="G140" s="29">
        <f t="shared" si="4"/>
        <v>0</v>
      </c>
    </row>
    <row r="141" spans="1:7" x14ac:dyDescent="0.2">
      <c r="A141">
        <v>2015</v>
      </c>
      <c r="B141" s="29">
        <v>5081</v>
      </c>
      <c r="C141" s="3" t="s">
        <v>147</v>
      </c>
      <c r="D141" s="12">
        <v>250613</v>
      </c>
      <c r="E141" s="31">
        <v>0</v>
      </c>
      <c r="F141" s="30">
        <f t="shared" si="3"/>
        <v>250613</v>
      </c>
      <c r="G141" s="29">
        <f t="shared" si="4"/>
        <v>0</v>
      </c>
    </row>
    <row r="142" spans="1:7" x14ac:dyDescent="0.2">
      <c r="A142">
        <v>2015</v>
      </c>
      <c r="B142" s="29">
        <v>5082</v>
      </c>
      <c r="C142" s="3" t="s">
        <v>148</v>
      </c>
      <c r="D142" s="12">
        <v>115636</v>
      </c>
      <c r="E142" s="31">
        <v>0</v>
      </c>
      <c r="F142" s="30">
        <f t="shared" si="3"/>
        <v>115636</v>
      </c>
      <c r="G142" s="29">
        <f t="shared" si="4"/>
        <v>0</v>
      </c>
    </row>
    <row r="143" spans="1:7" x14ac:dyDescent="0.2">
      <c r="A143">
        <v>2015</v>
      </c>
      <c r="B143" s="29">
        <v>5083</v>
      </c>
      <c r="C143" s="3" t="s">
        <v>149</v>
      </c>
      <c r="D143" s="12">
        <v>185711</v>
      </c>
      <c r="E143" s="31">
        <v>0</v>
      </c>
      <c r="F143" s="30">
        <f t="shared" si="3"/>
        <v>185711</v>
      </c>
      <c r="G143" s="29">
        <f t="shared" si="4"/>
        <v>0</v>
      </c>
    </row>
    <row r="144" spans="1:7" x14ac:dyDescent="0.2">
      <c r="A144">
        <v>2015</v>
      </c>
      <c r="B144" s="29">
        <v>5087</v>
      </c>
      <c r="C144" s="3" t="s">
        <v>360</v>
      </c>
      <c r="D144" s="12">
        <v>228802</v>
      </c>
      <c r="E144" s="31">
        <v>0</v>
      </c>
      <c r="F144" s="30">
        <f t="shared" si="3"/>
        <v>228802</v>
      </c>
      <c r="G144" s="29">
        <f t="shared" si="4"/>
        <v>0</v>
      </c>
    </row>
    <row r="145" spans="1:7" x14ac:dyDescent="0.2">
      <c r="A145">
        <v>2015</v>
      </c>
      <c r="B145" s="29">
        <v>5088</v>
      </c>
      <c r="C145" s="3" t="s">
        <v>151</v>
      </c>
      <c r="D145" s="12">
        <v>438187</v>
      </c>
      <c r="E145" s="31">
        <v>0</v>
      </c>
      <c r="F145" s="30">
        <f t="shared" si="3"/>
        <v>438187</v>
      </c>
      <c r="G145" s="29">
        <f t="shared" si="4"/>
        <v>0</v>
      </c>
    </row>
    <row r="146" spans="1:7" x14ac:dyDescent="0.2">
      <c r="A146">
        <v>2015</v>
      </c>
      <c r="B146" s="29">
        <v>5089</v>
      </c>
      <c r="C146" s="3" t="s">
        <v>152</v>
      </c>
      <c r="D146" s="12">
        <v>234870</v>
      </c>
      <c r="E146" s="31">
        <v>0</v>
      </c>
      <c r="F146" s="30">
        <f t="shared" si="3"/>
        <v>234870</v>
      </c>
      <c r="G146" s="29">
        <f t="shared" si="4"/>
        <v>0</v>
      </c>
    </row>
    <row r="147" spans="1:7" x14ac:dyDescent="0.2">
      <c r="A147">
        <v>2015</v>
      </c>
      <c r="B147" s="29">
        <v>5090</v>
      </c>
      <c r="C147" s="3" t="s">
        <v>153</v>
      </c>
      <c r="D147" s="12">
        <v>170906</v>
      </c>
      <c r="E147" s="31">
        <v>0</v>
      </c>
      <c r="F147" s="30">
        <f t="shared" si="3"/>
        <v>170906</v>
      </c>
      <c r="G147" s="29">
        <f t="shared" si="4"/>
        <v>0</v>
      </c>
    </row>
    <row r="148" spans="1:7" x14ac:dyDescent="0.2">
      <c r="A148">
        <v>2015</v>
      </c>
      <c r="B148" s="29">
        <v>5092</v>
      </c>
      <c r="C148" s="3" t="s">
        <v>154</v>
      </c>
      <c r="D148" s="12">
        <v>802217</v>
      </c>
      <c r="E148" s="31">
        <v>0</v>
      </c>
      <c r="F148" s="30">
        <f t="shared" si="3"/>
        <v>802217</v>
      </c>
      <c r="G148" s="29">
        <f t="shared" si="4"/>
        <v>0</v>
      </c>
    </row>
    <row r="149" spans="1:7" x14ac:dyDescent="0.2">
      <c r="A149">
        <v>2015</v>
      </c>
      <c r="B149" s="29">
        <v>5093</v>
      </c>
      <c r="C149" s="3" t="s">
        <v>155</v>
      </c>
      <c r="D149" s="12">
        <v>198890</v>
      </c>
      <c r="E149" s="31">
        <v>0</v>
      </c>
      <c r="F149" s="30">
        <f t="shared" ref="F149:F194" si="5">SUM(D149:E149)</f>
        <v>198890</v>
      </c>
      <c r="G149" s="29">
        <f t="shared" si="4"/>
        <v>0</v>
      </c>
    </row>
    <row r="150" spans="1:7" x14ac:dyDescent="0.2">
      <c r="A150">
        <v>2015</v>
      </c>
      <c r="B150" s="29">
        <v>5095</v>
      </c>
      <c r="C150" s="3" t="s">
        <v>156</v>
      </c>
      <c r="D150" s="12">
        <v>337355</v>
      </c>
      <c r="E150" s="31">
        <v>0</v>
      </c>
      <c r="F150" s="30">
        <f t="shared" si="5"/>
        <v>337355</v>
      </c>
      <c r="G150" s="29">
        <f t="shared" si="4"/>
        <v>0</v>
      </c>
    </row>
    <row r="151" spans="1:7" x14ac:dyDescent="0.2">
      <c r="A151">
        <v>2015</v>
      </c>
      <c r="B151" s="29">
        <v>5096</v>
      </c>
      <c r="C151" s="3" t="s">
        <v>157</v>
      </c>
      <c r="D151" s="12">
        <v>313123</v>
      </c>
      <c r="E151" s="31">
        <v>0</v>
      </c>
      <c r="F151" s="30">
        <f t="shared" si="5"/>
        <v>313123</v>
      </c>
      <c r="G151" s="29">
        <f t="shared" si="4"/>
        <v>0</v>
      </c>
    </row>
    <row r="152" spans="1:7" x14ac:dyDescent="0.2">
      <c r="A152">
        <v>2015</v>
      </c>
      <c r="B152" s="29">
        <v>5098</v>
      </c>
      <c r="C152" s="3" t="s">
        <v>158</v>
      </c>
      <c r="D152" s="12">
        <v>166297</v>
      </c>
      <c r="E152" s="31">
        <v>0</v>
      </c>
      <c r="F152" s="30">
        <f t="shared" si="5"/>
        <v>166297</v>
      </c>
      <c r="G152" s="29">
        <f t="shared" si="4"/>
        <v>0</v>
      </c>
    </row>
    <row r="153" spans="1:7" x14ac:dyDescent="0.2">
      <c r="A153">
        <v>2015</v>
      </c>
      <c r="B153" s="29">
        <v>5099</v>
      </c>
      <c r="C153" s="3" t="s">
        <v>159</v>
      </c>
      <c r="D153" s="12">
        <v>621022</v>
      </c>
      <c r="E153" s="31">
        <v>0</v>
      </c>
      <c r="F153" s="30">
        <f t="shared" si="5"/>
        <v>621022</v>
      </c>
      <c r="G153" s="29">
        <f t="shared" si="4"/>
        <v>0</v>
      </c>
    </row>
    <row r="154" spans="1:7" x14ac:dyDescent="0.2">
      <c r="A154">
        <v>2015</v>
      </c>
      <c r="B154" s="29">
        <v>5100</v>
      </c>
      <c r="C154" s="3" t="s">
        <v>160</v>
      </c>
      <c r="D154" s="12">
        <v>675914</v>
      </c>
      <c r="E154" s="31">
        <v>0</v>
      </c>
      <c r="F154" s="30">
        <f t="shared" si="5"/>
        <v>675914</v>
      </c>
      <c r="G154" s="29">
        <f t="shared" si="4"/>
        <v>0</v>
      </c>
    </row>
    <row r="155" spans="1:7" x14ac:dyDescent="0.2">
      <c r="A155">
        <v>2015</v>
      </c>
      <c r="B155" s="29">
        <v>5101</v>
      </c>
      <c r="C155" s="3" t="s">
        <v>161</v>
      </c>
      <c r="D155" s="12">
        <v>437151</v>
      </c>
      <c r="E155" s="31">
        <v>0</v>
      </c>
      <c r="F155" s="30">
        <f t="shared" si="5"/>
        <v>437151</v>
      </c>
      <c r="G155" s="29">
        <f t="shared" si="4"/>
        <v>0</v>
      </c>
    </row>
    <row r="156" spans="1:7" x14ac:dyDescent="0.2">
      <c r="A156">
        <v>2015</v>
      </c>
      <c r="B156" s="29">
        <v>5102</v>
      </c>
      <c r="C156" s="3" t="s">
        <v>162</v>
      </c>
      <c r="D156" s="12">
        <v>1005393</v>
      </c>
      <c r="E156" s="31">
        <v>0</v>
      </c>
      <c r="F156" s="30">
        <f t="shared" si="5"/>
        <v>1005393</v>
      </c>
      <c r="G156" s="29">
        <f t="shared" si="4"/>
        <v>0</v>
      </c>
    </row>
    <row r="157" spans="1:7" x14ac:dyDescent="0.2">
      <c r="A157">
        <v>2015</v>
      </c>
      <c r="B157" s="29">
        <v>5103</v>
      </c>
      <c r="C157" s="3" t="s">
        <v>163</v>
      </c>
      <c r="D157" s="12">
        <v>609234</v>
      </c>
      <c r="E157" s="31">
        <v>0</v>
      </c>
      <c r="F157" s="30">
        <f t="shared" si="5"/>
        <v>609234</v>
      </c>
      <c r="G157" s="29">
        <f t="shared" si="4"/>
        <v>0</v>
      </c>
    </row>
    <row r="158" spans="1:7" x14ac:dyDescent="0.2">
      <c r="A158">
        <v>2015</v>
      </c>
      <c r="B158" s="29">
        <v>5104</v>
      </c>
      <c r="C158" s="3" t="s">
        <v>164</v>
      </c>
      <c r="D158" s="12">
        <v>223641</v>
      </c>
      <c r="E158" s="31">
        <v>0</v>
      </c>
      <c r="F158" s="30">
        <f t="shared" si="5"/>
        <v>223641</v>
      </c>
      <c r="G158" s="29">
        <f t="shared" si="4"/>
        <v>0</v>
      </c>
    </row>
    <row r="159" spans="1:7" x14ac:dyDescent="0.2">
      <c r="A159">
        <v>2015</v>
      </c>
      <c r="B159" s="29">
        <v>5105</v>
      </c>
      <c r="C159" s="3" t="s">
        <v>165</v>
      </c>
      <c r="D159" s="12">
        <v>168872</v>
      </c>
      <c r="E159" s="31">
        <v>0</v>
      </c>
      <c r="F159" s="30">
        <f t="shared" si="5"/>
        <v>168872</v>
      </c>
      <c r="G159" s="29">
        <f t="shared" si="4"/>
        <v>0</v>
      </c>
    </row>
    <row r="160" spans="1:7" x14ac:dyDescent="0.2">
      <c r="A160">
        <v>2015</v>
      </c>
      <c r="B160" s="29">
        <v>5106</v>
      </c>
      <c r="C160" s="3" t="s">
        <v>166</v>
      </c>
      <c r="D160" s="12">
        <v>464511</v>
      </c>
      <c r="E160" s="31">
        <v>0</v>
      </c>
      <c r="F160" s="30">
        <f t="shared" si="5"/>
        <v>464511</v>
      </c>
      <c r="G160" s="29">
        <f t="shared" si="4"/>
        <v>0</v>
      </c>
    </row>
    <row r="161" spans="1:7" x14ac:dyDescent="0.2">
      <c r="A161">
        <v>2015</v>
      </c>
      <c r="B161" s="29">
        <v>5116</v>
      </c>
      <c r="C161" s="3" t="s">
        <v>167</v>
      </c>
      <c r="D161" s="12">
        <v>602453</v>
      </c>
      <c r="E161" s="31">
        <v>0</v>
      </c>
      <c r="F161" s="30">
        <f t="shared" si="5"/>
        <v>602453</v>
      </c>
      <c r="G161" s="29">
        <f t="shared" si="4"/>
        <v>0</v>
      </c>
    </row>
    <row r="162" spans="1:7" x14ac:dyDescent="0.2">
      <c r="A162">
        <v>2015</v>
      </c>
      <c r="B162" s="29">
        <v>5117</v>
      </c>
      <c r="C162" s="3" t="s">
        <v>168</v>
      </c>
      <c r="D162" s="12">
        <v>145072</v>
      </c>
      <c r="E162" s="31">
        <v>0</v>
      </c>
      <c r="F162" s="30">
        <f t="shared" si="5"/>
        <v>145072</v>
      </c>
      <c r="G162" s="29">
        <f t="shared" si="4"/>
        <v>0</v>
      </c>
    </row>
    <row r="163" spans="1:7" x14ac:dyDescent="0.2">
      <c r="A163">
        <v>2015</v>
      </c>
      <c r="B163" s="29">
        <v>5118</v>
      </c>
      <c r="C163" s="3" t="s">
        <v>169</v>
      </c>
      <c r="D163" s="12">
        <v>890700</v>
      </c>
      <c r="E163" s="31">
        <v>0</v>
      </c>
      <c r="F163" s="30">
        <f t="shared" si="5"/>
        <v>890700</v>
      </c>
      <c r="G163" s="29">
        <f t="shared" si="4"/>
        <v>0</v>
      </c>
    </row>
    <row r="164" spans="1:7" x14ac:dyDescent="0.2">
      <c r="A164">
        <v>2015</v>
      </c>
      <c r="B164" s="29">
        <v>5119</v>
      </c>
      <c r="C164" s="3" t="s">
        <v>170</v>
      </c>
      <c r="D164" s="12">
        <v>154073</v>
      </c>
      <c r="E164" s="31">
        <v>0</v>
      </c>
      <c r="F164" s="30">
        <f t="shared" si="5"/>
        <v>154073</v>
      </c>
      <c r="G164" s="29">
        <f t="shared" si="4"/>
        <v>0</v>
      </c>
    </row>
    <row r="165" spans="1:7" x14ac:dyDescent="0.2">
      <c r="A165">
        <v>2015</v>
      </c>
      <c r="B165" s="29">
        <v>5120</v>
      </c>
      <c r="C165" s="3" t="s">
        <v>366</v>
      </c>
      <c r="D165" s="12">
        <v>3264063</v>
      </c>
      <c r="E165" s="31">
        <v>0</v>
      </c>
      <c r="F165" s="30">
        <f t="shared" si="5"/>
        <v>3264063</v>
      </c>
      <c r="G165" s="29">
        <f t="shared" si="4"/>
        <v>0</v>
      </c>
    </row>
    <row r="166" spans="1:7" x14ac:dyDescent="0.2">
      <c r="A166">
        <v>2015</v>
      </c>
      <c r="B166" s="29">
        <v>5122</v>
      </c>
      <c r="C166" s="3" t="s">
        <v>172</v>
      </c>
      <c r="D166" s="12">
        <v>159902</v>
      </c>
      <c r="E166" s="31">
        <v>0</v>
      </c>
      <c r="F166" s="30">
        <f t="shared" si="5"/>
        <v>159902</v>
      </c>
      <c r="G166" s="29">
        <f t="shared" si="4"/>
        <v>0</v>
      </c>
    </row>
    <row r="167" spans="1:7" x14ac:dyDescent="0.2">
      <c r="A167">
        <v>2015</v>
      </c>
      <c r="B167" s="29">
        <v>5123</v>
      </c>
      <c r="C167" s="3" t="s">
        <v>173</v>
      </c>
      <c r="D167" s="12">
        <v>168090</v>
      </c>
      <c r="E167" s="31">
        <v>0</v>
      </c>
      <c r="F167" s="30">
        <f t="shared" si="5"/>
        <v>168090</v>
      </c>
      <c r="G167" s="29">
        <f t="shared" si="4"/>
        <v>0</v>
      </c>
    </row>
    <row r="168" spans="1:7" x14ac:dyDescent="0.2">
      <c r="A168">
        <v>2015</v>
      </c>
      <c r="B168" s="29">
        <v>5125</v>
      </c>
      <c r="C168" s="3" t="s">
        <v>174</v>
      </c>
      <c r="D168" s="12">
        <v>1137078</v>
      </c>
      <c r="E168" s="31">
        <v>0</v>
      </c>
      <c r="F168" s="30">
        <f t="shared" si="5"/>
        <v>1137078</v>
      </c>
      <c r="G168" s="29">
        <f t="shared" si="4"/>
        <v>0</v>
      </c>
    </row>
    <row r="169" spans="1:7" x14ac:dyDescent="0.2">
      <c r="A169">
        <v>2015</v>
      </c>
      <c r="B169" s="29">
        <v>5127</v>
      </c>
      <c r="C169" s="3" t="s">
        <v>175</v>
      </c>
      <c r="D169" s="12">
        <v>140638</v>
      </c>
      <c r="E169" s="31">
        <v>0</v>
      </c>
      <c r="F169" s="30">
        <f t="shared" si="5"/>
        <v>140638</v>
      </c>
      <c r="G169" s="29">
        <f t="shared" si="4"/>
        <v>0</v>
      </c>
    </row>
    <row r="170" spans="1:7" x14ac:dyDescent="0.2">
      <c r="A170">
        <v>2015</v>
      </c>
      <c r="B170" s="29">
        <v>5128</v>
      </c>
      <c r="C170" s="3" t="s">
        <v>176</v>
      </c>
      <c r="D170" s="12">
        <v>213771</v>
      </c>
      <c r="E170" s="31">
        <v>0</v>
      </c>
      <c r="F170" s="30">
        <f t="shared" si="5"/>
        <v>213771</v>
      </c>
      <c r="G170" s="29">
        <f t="shared" si="4"/>
        <v>0</v>
      </c>
    </row>
    <row r="171" spans="1:7" x14ac:dyDescent="0.2">
      <c r="A171">
        <v>2015</v>
      </c>
      <c r="B171" s="29">
        <v>5129</v>
      </c>
      <c r="C171" s="3" t="s">
        <v>177</v>
      </c>
      <c r="D171" s="12">
        <v>549795</v>
      </c>
      <c r="E171" s="31">
        <v>0</v>
      </c>
      <c r="F171" s="30">
        <f t="shared" si="5"/>
        <v>549795</v>
      </c>
      <c r="G171" s="29">
        <f t="shared" si="4"/>
        <v>0</v>
      </c>
    </row>
    <row r="172" spans="1:7" x14ac:dyDescent="0.2">
      <c r="A172">
        <v>2015</v>
      </c>
      <c r="B172" s="29">
        <v>5130</v>
      </c>
      <c r="C172" s="3" t="s">
        <v>178</v>
      </c>
      <c r="D172" s="12">
        <v>488148</v>
      </c>
      <c r="E172" s="31">
        <v>0</v>
      </c>
      <c r="F172" s="30">
        <f t="shared" si="5"/>
        <v>488148</v>
      </c>
      <c r="G172" s="29">
        <f t="shared" si="4"/>
        <v>0</v>
      </c>
    </row>
    <row r="173" spans="1:7" x14ac:dyDescent="0.2">
      <c r="A173">
        <v>2015</v>
      </c>
      <c r="B173" s="29">
        <v>5131</v>
      </c>
      <c r="C173" s="3" t="s">
        <v>179</v>
      </c>
      <c r="D173" s="12">
        <v>537277</v>
      </c>
      <c r="E173" s="31">
        <v>0</v>
      </c>
      <c r="F173" s="30">
        <f t="shared" si="5"/>
        <v>537277</v>
      </c>
      <c r="G173" s="29">
        <f t="shared" si="4"/>
        <v>0</v>
      </c>
    </row>
    <row r="174" spans="1:7" x14ac:dyDescent="0.2">
      <c r="A174">
        <v>2015</v>
      </c>
      <c r="B174" s="29">
        <v>5132</v>
      </c>
      <c r="C174" s="3" t="s">
        <v>180</v>
      </c>
      <c r="D174" s="12">
        <v>2015212</v>
      </c>
      <c r="E174" s="31">
        <v>0</v>
      </c>
      <c r="F174" s="30">
        <f t="shared" si="5"/>
        <v>2015212</v>
      </c>
      <c r="G174" s="29">
        <f t="shared" si="4"/>
        <v>0</v>
      </c>
    </row>
    <row r="175" spans="1:7" x14ac:dyDescent="0.2">
      <c r="A175">
        <v>2015</v>
      </c>
      <c r="B175" s="29">
        <v>5133</v>
      </c>
      <c r="C175" s="3" t="s">
        <v>361</v>
      </c>
      <c r="D175" s="12">
        <v>199660</v>
      </c>
      <c r="E175" s="31">
        <v>0</v>
      </c>
      <c r="F175" s="30">
        <f t="shared" si="5"/>
        <v>199660</v>
      </c>
      <c r="G175" s="29">
        <f t="shared" si="4"/>
        <v>0</v>
      </c>
    </row>
    <row r="176" spans="1:7" x14ac:dyDescent="0.2">
      <c r="A176">
        <v>2015</v>
      </c>
      <c r="B176" s="29">
        <v>5134</v>
      </c>
      <c r="C176" s="3" t="s">
        <v>182</v>
      </c>
      <c r="D176" s="12">
        <v>199868</v>
      </c>
      <c r="E176" s="31">
        <v>0</v>
      </c>
      <c r="F176" s="30">
        <f t="shared" si="5"/>
        <v>199868</v>
      </c>
      <c r="G176" s="29">
        <f t="shared" si="4"/>
        <v>0</v>
      </c>
    </row>
    <row r="177" spans="1:7" x14ac:dyDescent="0.2">
      <c r="A177">
        <v>2015</v>
      </c>
      <c r="B177" s="29">
        <v>5135</v>
      </c>
      <c r="C177" s="3" t="s">
        <v>183</v>
      </c>
      <c r="D177" s="12">
        <v>974157</v>
      </c>
      <c r="E177" s="31">
        <v>0</v>
      </c>
      <c r="F177" s="30">
        <f t="shared" si="5"/>
        <v>974157</v>
      </c>
      <c r="G177" s="29">
        <f t="shared" si="4"/>
        <v>0</v>
      </c>
    </row>
    <row r="178" spans="1:7" x14ac:dyDescent="0.2">
      <c r="A178">
        <v>2015</v>
      </c>
      <c r="B178" s="29">
        <v>5137</v>
      </c>
      <c r="C178" s="3" t="s">
        <v>184</v>
      </c>
      <c r="D178" s="12">
        <v>152976</v>
      </c>
      <c r="E178" s="31">
        <v>0</v>
      </c>
      <c r="F178" s="30">
        <f t="shared" si="5"/>
        <v>152976</v>
      </c>
      <c r="G178" s="29">
        <f t="shared" si="4"/>
        <v>0</v>
      </c>
    </row>
    <row r="179" spans="1:7" x14ac:dyDescent="0.2">
      <c r="A179">
        <v>2015</v>
      </c>
      <c r="B179" s="29">
        <v>5138</v>
      </c>
      <c r="C179" s="3" t="s">
        <v>185</v>
      </c>
      <c r="D179" s="12">
        <v>172732</v>
      </c>
      <c r="E179" s="31">
        <v>0</v>
      </c>
      <c r="F179" s="30">
        <f t="shared" si="5"/>
        <v>172732</v>
      </c>
      <c r="G179" s="29">
        <f t="shared" si="4"/>
        <v>0</v>
      </c>
    </row>
    <row r="180" spans="1:7" x14ac:dyDescent="0.2">
      <c r="A180">
        <v>2015</v>
      </c>
      <c r="B180" s="29">
        <v>5140</v>
      </c>
      <c r="C180" s="3" t="s">
        <v>186</v>
      </c>
      <c r="D180" s="12">
        <v>206320</v>
      </c>
      <c r="E180" s="31">
        <v>0</v>
      </c>
      <c r="F180" s="30">
        <f t="shared" si="5"/>
        <v>206320</v>
      </c>
      <c r="G180" s="29">
        <f t="shared" si="4"/>
        <v>0</v>
      </c>
    </row>
    <row r="181" spans="1:7" x14ac:dyDescent="0.2">
      <c r="A181">
        <v>2015</v>
      </c>
      <c r="B181" s="29">
        <v>5141</v>
      </c>
      <c r="C181" s="3" t="s">
        <v>187</v>
      </c>
      <c r="D181" s="12">
        <v>264112</v>
      </c>
      <c r="E181" s="31">
        <v>0</v>
      </c>
      <c r="F181" s="30">
        <f t="shared" si="5"/>
        <v>264112</v>
      </c>
      <c r="G181" s="29">
        <f t="shared" si="4"/>
        <v>0</v>
      </c>
    </row>
    <row r="182" spans="1:7" x14ac:dyDescent="0.2">
      <c r="A182">
        <v>2015</v>
      </c>
      <c r="B182" s="29">
        <v>5142</v>
      </c>
      <c r="C182" s="3" t="s">
        <v>188</v>
      </c>
      <c r="D182" s="12">
        <v>71804</v>
      </c>
      <c r="E182" s="31">
        <v>0</v>
      </c>
      <c r="F182" s="30">
        <f t="shared" si="5"/>
        <v>71804</v>
      </c>
      <c r="G182" s="29">
        <f t="shared" si="4"/>
        <v>0</v>
      </c>
    </row>
    <row r="183" spans="1:7" x14ac:dyDescent="0.2">
      <c r="A183">
        <v>2015</v>
      </c>
      <c r="B183" s="29">
        <v>5143</v>
      </c>
      <c r="C183" s="3" t="s">
        <v>189</v>
      </c>
      <c r="D183" s="12">
        <v>401111</v>
      </c>
      <c r="E183" s="31">
        <v>0</v>
      </c>
      <c r="F183" s="30">
        <f t="shared" si="5"/>
        <v>401111</v>
      </c>
      <c r="G183" s="29">
        <f t="shared" si="4"/>
        <v>0</v>
      </c>
    </row>
    <row r="184" spans="1:7" x14ac:dyDescent="0.2">
      <c r="A184">
        <v>2015</v>
      </c>
      <c r="B184" s="29">
        <v>5144</v>
      </c>
      <c r="C184" s="3" t="s">
        <v>190</v>
      </c>
      <c r="D184" s="12">
        <v>205555</v>
      </c>
      <c r="E184" s="31">
        <v>0</v>
      </c>
      <c r="F184" s="30">
        <f t="shared" si="5"/>
        <v>205555</v>
      </c>
      <c r="G184" s="29">
        <f t="shared" si="4"/>
        <v>0</v>
      </c>
    </row>
    <row r="185" spans="1:7" x14ac:dyDescent="0.2">
      <c r="A185">
        <v>2015</v>
      </c>
      <c r="B185" s="29">
        <v>5145</v>
      </c>
      <c r="C185" s="3" t="s">
        <v>191</v>
      </c>
      <c r="D185" s="12">
        <v>180266</v>
      </c>
      <c r="E185" s="31">
        <v>0</v>
      </c>
      <c r="F185" s="30">
        <f t="shared" si="5"/>
        <v>180266</v>
      </c>
      <c r="G185" s="29">
        <f t="shared" si="4"/>
        <v>0</v>
      </c>
    </row>
    <row r="186" spans="1:7" x14ac:dyDescent="0.2">
      <c r="A186">
        <v>2015</v>
      </c>
      <c r="B186" s="29">
        <v>5147</v>
      </c>
      <c r="C186" s="3" t="s">
        <v>192</v>
      </c>
      <c r="D186" s="12">
        <v>3704635</v>
      </c>
      <c r="E186" s="31">
        <v>0</v>
      </c>
      <c r="F186" s="30">
        <f t="shared" si="5"/>
        <v>3704635</v>
      </c>
      <c r="G186" s="29">
        <f t="shared" si="4"/>
        <v>0</v>
      </c>
    </row>
    <row r="187" spans="1:7" x14ac:dyDescent="0.2">
      <c r="A187">
        <v>2015</v>
      </c>
      <c r="B187" s="29">
        <v>5148</v>
      </c>
      <c r="C187" s="3" t="s">
        <v>193</v>
      </c>
      <c r="D187" s="12">
        <v>380123</v>
      </c>
      <c r="E187" s="31">
        <v>0</v>
      </c>
      <c r="F187" s="30">
        <f t="shared" si="5"/>
        <v>380123</v>
      </c>
      <c r="G187" s="29">
        <f t="shared" si="4"/>
        <v>0</v>
      </c>
    </row>
    <row r="188" spans="1:7" x14ac:dyDescent="0.2">
      <c r="A188">
        <v>2015</v>
      </c>
      <c r="B188" s="29">
        <v>5149</v>
      </c>
      <c r="C188" s="3" t="s">
        <v>194</v>
      </c>
      <c r="D188" s="12">
        <v>650256</v>
      </c>
      <c r="E188" s="31">
        <v>0</v>
      </c>
      <c r="F188" s="30">
        <f t="shared" si="5"/>
        <v>650256</v>
      </c>
      <c r="G188" s="29">
        <f t="shared" si="4"/>
        <v>0</v>
      </c>
    </row>
    <row r="189" spans="1:7" x14ac:dyDescent="0.2">
      <c r="A189">
        <v>2015</v>
      </c>
      <c r="B189" s="29">
        <v>5150</v>
      </c>
      <c r="C189" s="3" t="s">
        <v>247</v>
      </c>
      <c r="D189" s="12">
        <v>645864</v>
      </c>
      <c r="E189" s="31">
        <v>0</v>
      </c>
      <c r="F189" s="30">
        <f t="shared" si="5"/>
        <v>645864</v>
      </c>
      <c r="G189" s="29">
        <f t="shared" si="4"/>
        <v>0</v>
      </c>
    </row>
    <row r="190" spans="1:7" x14ac:dyDescent="0.2">
      <c r="A190">
        <v>2015</v>
      </c>
      <c r="B190" s="29">
        <v>5151</v>
      </c>
      <c r="C190" s="3" t="s">
        <v>196</v>
      </c>
      <c r="D190" s="12">
        <v>257556</v>
      </c>
      <c r="E190" s="31">
        <v>0</v>
      </c>
      <c r="F190" s="30">
        <f t="shared" si="5"/>
        <v>257556</v>
      </c>
      <c r="G190" s="29">
        <f t="shared" si="4"/>
        <v>0</v>
      </c>
    </row>
    <row r="191" spans="1:7" x14ac:dyDescent="0.2">
      <c r="A191">
        <v>2015</v>
      </c>
      <c r="B191" s="29">
        <v>5152</v>
      </c>
      <c r="C191" s="3" t="s">
        <v>197</v>
      </c>
      <c r="D191" s="12">
        <v>405764</v>
      </c>
      <c r="E191" s="31">
        <v>0</v>
      </c>
      <c r="F191" s="30">
        <f t="shared" si="5"/>
        <v>405764</v>
      </c>
      <c r="G191" s="29">
        <f t="shared" si="4"/>
        <v>0</v>
      </c>
    </row>
    <row r="192" spans="1:7" x14ac:dyDescent="0.2">
      <c r="A192">
        <v>2015</v>
      </c>
      <c r="B192" s="29">
        <v>5153</v>
      </c>
      <c r="C192" s="3" t="s">
        <v>198</v>
      </c>
      <c r="D192" s="12">
        <v>137786</v>
      </c>
      <c r="E192" s="31">
        <v>0</v>
      </c>
      <c r="F192" s="30">
        <f t="shared" si="5"/>
        <v>137786</v>
      </c>
      <c r="G192" s="29">
        <f t="shared" si="4"/>
        <v>0</v>
      </c>
    </row>
    <row r="193" spans="1:7" x14ac:dyDescent="0.2">
      <c r="A193">
        <v>2015</v>
      </c>
      <c r="B193" s="29">
        <v>5154</v>
      </c>
      <c r="C193" s="3" t="s">
        <v>199</v>
      </c>
      <c r="D193" s="12">
        <v>142385</v>
      </c>
      <c r="E193" s="31">
        <v>0</v>
      </c>
      <c r="F193" s="30">
        <f t="shared" si="5"/>
        <v>142385</v>
      </c>
      <c r="G193" s="29">
        <f t="shared" si="4"/>
        <v>0</v>
      </c>
    </row>
    <row r="194" spans="1:7" x14ac:dyDescent="0.2">
      <c r="A194">
        <v>2015</v>
      </c>
      <c r="B194" s="29">
        <v>5155</v>
      </c>
      <c r="C194" s="3" t="s">
        <v>200</v>
      </c>
      <c r="D194" s="12">
        <v>175569</v>
      </c>
      <c r="E194" s="31">
        <v>0</v>
      </c>
      <c r="F194" s="30">
        <f t="shared" si="5"/>
        <v>175569</v>
      </c>
      <c r="G194" s="29">
        <f t="shared" si="4"/>
        <v>0</v>
      </c>
    </row>
    <row r="195" spans="1:7" x14ac:dyDescent="0.2">
      <c r="A195">
        <v>2015</v>
      </c>
      <c r="B195" s="29">
        <v>5156</v>
      </c>
      <c r="C195" s="3" t="s">
        <v>201</v>
      </c>
      <c r="D195" s="16">
        <v>528383</v>
      </c>
      <c r="E195" s="31">
        <v>0</v>
      </c>
      <c r="F195" s="30">
        <f t="shared" ref="F195:F249" si="6">SUM(D195:E195)</f>
        <v>528383</v>
      </c>
      <c r="G195" s="29">
        <f t="shared" ref="G195:G258" si="7">E195/$E$340</f>
        <v>0</v>
      </c>
    </row>
    <row r="196" spans="1:7" x14ac:dyDescent="0.2">
      <c r="A196">
        <v>2015</v>
      </c>
      <c r="B196" s="29">
        <v>5157</v>
      </c>
      <c r="C196" s="3" t="s">
        <v>202</v>
      </c>
      <c r="D196" s="12">
        <v>114718</v>
      </c>
      <c r="E196" s="31">
        <v>0</v>
      </c>
      <c r="F196" s="30">
        <f t="shared" si="6"/>
        <v>114718</v>
      </c>
      <c r="G196" s="29">
        <f t="shared" si="7"/>
        <v>0</v>
      </c>
    </row>
    <row r="197" spans="1:7" x14ac:dyDescent="0.2">
      <c r="A197">
        <v>2015</v>
      </c>
      <c r="B197" s="29">
        <v>5158</v>
      </c>
      <c r="C197" s="3" t="s">
        <v>203</v>
      </c>
      <c r="D197" s="12">
        <v>533727</v>
      </c>
      <c r="E197" s="31">
        <v>0</v>
      </c>
      <c r="F197" s="30">
        <f t="shared" si="6"/>
        <v>533727</v>
      </c>
      <c r="G197" s="29">
        <f t="shared" si="7"/>
        <v>0</v>
      </c>
    </row>
    <row r="198" spans="1:7" x14ac:dyDescent="0.2">
      <c r="A198">
        <v>2015</v>
      </c>
      <c r="B198" s="29">
        <v>5159</v>
      </c>
      <c r="C198" s="3" t="s">
        <v>204</v>
      </c>
      <c r="D198" s="12">
        <v>755530</v>
      </c>
      <c r="E198" s="31">
        <v>0</v>
      </c>
      <c r="F198" s="30">
        <f t="shared" si="6"/>
        <v>755530</v>
      </c>
      <c r="G198" s="29">
        <f t="shared" si="7"/>
        <v>0</v>
      </c>
    </row>
    <row r="199" spans="1:7" x14ac:dyDescent="0.2">
      <c r="A199">
        <v>2015</v>
      </c>
      <c r="B199" s="29">
        <v>5160</v>
      </c>
      <c r="C199" s="3" t="s">
        <v>205</v>
      </c>
      <c r="D199" s="12">
        <v>245047</v>
      </c>
      <c r="E199" s="31">
        <v>0</v>
      </c>
      <c r="F199" s="30">
        <f t="shared" si="6"/>
        <v>245047</v>
      </c>
      <c r="G199" s="29">
        <f t="shared" si="7"/>
        <v>0</v>
      </c>
    </row>
    <row r="200" spans="1:7" x14ac:dyDescent="0.2">
      <c r="A200">
        <v>2015</v>
      </c>
      <c r="B200" s="29">
        <v>5161</v>
      </c>
      <c r="C200" s="3" t="s">
        <v>206</v>
      </c>
      <c r="D200" s="12">
        <v>285167</v>
      </c>
      <c r="E200" s="31">
        <v>0</v>
      </c>
      <c r="F200" s="30">
        <f t="shared" si="6"/>
        <v>285167</v>
      </c>
      <c r="G200" s="29">
        <f t="shared" si="7"/>
        <v>0</v>
      </c>
    </row>
    <row r="201" spans="1:7" x14ac:dyDescent="0.2">
      <c r="A201">
        <v>2015</v>
      </c>
      <c r="B201" s="29">
        <v>5162</v>
      </c>
      <c r="C201" s="3" t="s">
        <v>207</v>
      </c>
      <c r="D201" s="12">
        <v>332894</v>
      </c>
      <c r="E201" s="31">
        <v>0</v>
      </c>
      <c r="F201" s="30">
        <f t="shared" si="6"/>
        <v>332894</v>
      </c>
      <c r="G201" s="29">
        <f t="shared" si="7"/>
        <v>0</v>
      </c>
    </row>
    <row r="202" spans="1:7" x14ac:dyDescent="0.2">
      <c r="A202">
        <v>2015</v>
      </c>
      <c r="B202" s="29">
        <v>5163</v>
      </c>
      <c r="C202" s="3" t="s">
        <v>208</v>
      </c>
      <c r="D202" s="12">
        <v>199454</v>
      </c>
      <c r="E202" s="31">
        <v>0</v>
      </c>
      <c r="F202" s="30">
        <f t="shared" si="6"/>
        <v>199454</v>
      </c>
      <c r="G202" s="29">
        <f t="shared" si="7"/>
        <v>0</v>
      </c>
    </row>
    <row r="203" spans="1:7" x14ac:dyDescent="0.2">
      <c r="A203">
        <v>2015</v>
      </c>
      <c r="B203" s="29">
        <v>5164</v>
      </c>
      <c r="C203" s="3" t="s">
        <v>209</v>
      </c>
      <c r="D203" s="12">
        <v>192976</v>
      </c>
      <c r="E203" s="31">
        <v>0</v>
      </c>
      <c r="F203" s="30">
        <f t="shared" si="6"/>
        <v>192976</v>
      </c>
      <c r="G203" s="29">
        <f t="shared" si="7"/>
        <v>0</v>
      </c>
    </row>
    <row r="204" spans="1:7" x14ac:dyDescent="0.2">
      <c r="A204">
        <v>2015</v>
      </c>
      <c r="B204" s="29">
        <v>5166</v>
      </c>
      <c r="C204" s="3" t="s">
        <v>210</v>
      </c>
      <c r="D204" s="12">
        <v>135551</v>
      </c>
      <c r="E204" s="31">
        <v>0</v>
      </c>
      <c r="F204" s="30">
        <f t="shared" si="6"/>
        <v>135551</v>
      </c>
      <c r="G204" s="29">
        <f t="shared" si="7"/>
        <v>0</v>
      </c>
    </row>
    <row r="205" spans="1:7" x14ac:dyDescent="0.2">
      <c r="A205">
        <v>2015</v>
      </c>
      <c r="B205" s="29">
        <v>5167</v>
      </c>
      <c r="C205" s="3" t="s">
        <v>211</v>
      </c>
      <c r="D205" s="12">
        <v>406609</v>
      </c>
      <c r="E205" s="31">
        <v>0</v>
      </c>
      <c r="F205" s="30">
        <f t="shared" si="6"/>
        <v>406609</v>
      </c>
      <c r="G205" s="29">
        <f t="shared" si="7"/>
        <v>0</v>
      </c>
    </row>
    <row r="206" spans="1:7" x14ac:dyDescent="0.2">
      <c r="A206">
        <v>2015</v>
      </c>
      <c r="B206" s="29">
        <v>5168</v>
      </c>
      <c r="C206" s="3" t="s">
        <v>212</v>
      </c>
      <c r="D206" s="12">
        <v>408182</v>
      </c>
      <c r="E206" s="31">
        <v>0</v>
      </c>
      <c r="F206" s="30">
        <f t="shared" si="6"/>
        <v>408182</v>
      </c>
      <c r="G206" s="29">
        <f t="shared" si="7"/>
        <v>0</v>
      </c>
    </row>
    <row r="207" spans="1:7" x14ac:dyDescent="0.2">
      <c r="A207">
        <v>2015</v>
      </c>
      <c r="B207" s="29">
        <v>5171</v>
      </c>
      <c r="C207" s="3" t="s">
        <v>213</v>
      </c>
      <c r="D207" s="12">
        <v>221130</v>
      </c>
      <c r="E207" s="31">
        <v>0</v>
      </c>
      <c r="F207" s="30">
        <f t="shared" si="6"/>
        <v>221130</v>
      </c>
      <c r="G207" s="29">
        <f t="shared" si="7"/>
        <v>0</v>
      </c>
    </row>
    <row r="208" spans="1:7" x14ac:dyDescent="0.2">
      <c r="A208">
        <v>2015</v>
      </c>
      <c r="B208" s="29">
        <v>5172</v>
      </c>
      <c r="C208" s="3" t="s">
        <v>214</v>
      </c>
      <c r="D208" s="12">
        <v>510165</v>
      </c>
      <c r="E208" s="31">
        <v>0</v>
      </c>
      <c r="F208" s="30">
        <f t="shared" si="6"/>
        <v>510165</v>
      </c>
      <c r="G208" s="29">
        <f t="shared" si="7"/>
        <v>0</v>
      </c>
    </row>
    <row r="209" spans="1:7" x14ac:dyDescent="0.2">
      <c r="A209">
        <v>2015</v>
      </c>
      <c r="B209" s="29">
        <v>5173</v>
      </c>
      <c r="C209" s="3" t="s">
        <v>215</v>
      </c>
      <c r="D209" s="12">
        <v>272754</v>
      </c>
      <c r="E209" s="31">
        <v>0</v>
      </c>
      <c r="F209" s="30">
        <f t="shared" si="6"/>
        <v>272754</v>
      </c>
      <c r="G209" s="29">
        <f t="shared" si="7"/>
        <v>0</v>
      </c>
    </row>
    <row r="210" spans="1:7" x14ac:dyDescent="0.2">
      <c r="A210">
        <v>2015</v>
      </c>
      <c r="B210" s="29">
        <v>5174</v>
      </c>
      <c r="C210" s="3" t="s">
        <v>216</v>
      </c>
      <c r="D210" s="12">
        <v>377979</v>
      </c>
      <c r="E210" s="31">
        <v>0</v>
      </c>
      <c r="F210" s="30">
        <f t="shared" si="6"/>
        <v>377979</v>
      </c>
      <c r="G210" s="29">
        <f t="shared" si="7"/>
        <v>0</v>
      </c>
    </row>
    <row r="211" spans="1:7" x14ac:dyDescent="0.2">
      <c r="A211">
        <v>2015</v>
      </c>
      <c r="B211" s="29">
        <v>5175</v>
      </c>
      <c r="C211" s="3" t="s">
        <v>217</v>
      </c>
      <c r="D211" s="12">
        <v>229757</v>
      </c>
      <c r="E211" s="31">
        <v>0</v>
      </c>
      <c r="F211" s="30">
        <f t="shared" si="6"/>
        <v>229757</v>
      </c>
      <c r="G211" s="29">
        <f t="shared" si="7"/>
        <v>0</v>
      </c>
    </row>
    <row r="212" spans="1:7" x14ac:dyDescent="0.2">
      <c r="A212">
        <v>2015</v>
      </c>
      <c r="B212" s="29">
        <v>5176</v>
      </c>
      <c r="C212" s="3" t="s">
        <v>218</v>
      </c>
      <c r="D212" s="12">
        <v>1534816</v>
      </c>
      <c r="E212" s="31">
        <v>0</v>
      </c>
      <c r="F212" s="30">
        <f t="shared" si="6"/>
        <v>1534816</v>
      </c>
      <c r="G212" s="29">
        <f t="shared" si="7"/>
        <v>0</v>
      </c>
    </row>
    <row r="213" spans="1:7" x14ac:dyDescent="0.2">
      <c r="A213">
        <v>2015</v>
      </c>
      <c r="B213" s="29">
        <v>5185</v>
      </c>
      <c r="C213" s="3" t="s">
        <v>219</v>
      </c>
      <c r="D213" s="12">
        <v>13351573</v>
      </c>
      <c r="E213" s="31">
        <v>0</v>
      </c>
      <c r="F213" s="30">
        <f t="shared" si="6"/>
        <v>13351573</v>
      </c>
      <c r="G213" s="29">
        <f t="shared" si="7"/>
        <v>0</v>
      </c>
    </row>
    <row r="214" spans="1:7" x14ac:dyDescent="0.2">
      <c r="A214">
        <v>2015</v>
      </c>
      <c r="B214" s="29">
        <v>5186</v>
      </c>
      <c r="C214" s="3" t="s">
        <v>220</v>
      </c>
      <c r="D214" s="12">
        <v>232040</v>
      </c>
      <c r="E214" s="31">
        <v>0</v>
      </c>
      <c r="F214" s="30">
        <f t="shared" si="6"/>
        <v>232040</v>
      </c>
      <c r="G214" s="29">
        <f t="shared" si="7"/>
        <v>0</v>
      </c>
    </row>
    <row r="215" spans="1:7" x14ac:dyDescent="0.2">
      <c r="A215">
        <v>2015</v>
      </c>
      <c r="B215" s="29">
        <v>5187</v>
      </c>
      <c r="C215" s="3" t="s">
        <v>221</v>
      </c>
      <c r="D215" s="12">
        <v>335954</v>
      </c>
      <c r="E215" s="31">
        <v>0</v>
      </c>
      <c r="F215" s="30">
        <f t="shared" si="6"/>
        <v>335954</v>
      </c>
      <c r="G215" s="29">
        <f t="shared" si="7"/>
        <v>0</v>
      </c>
    </row>
    <row r="216" spans="1:7" x14ac:dyDescent="0.2">
      <c r="A216">
        <v>2015</v>
      </c>
      <c r="B216" s="29">
        <v>5188</v>
      </c>
      <c r="C216" s="3" t="s">
        <v>222</v>
      </c>
      <c r="D216" s="12">
        <v>176565</v>
      </c>
      <c r="E216" s="31">
        <v>0</v>
      </c>
      <c r="F216" s="30">
        <f t="shared" si="6"/>
        <v>176565</v>
      </c>
      <c r="G216" s="29">
        <f t="shared" si="7"/>
        <v>0</v>
      </c>
    </row>
    <row r="217" spans="1:7" x14ac:dyDescent="0.2">
      <c r="A217">
        <v>2015</v>
      </c>
      <c r="B217" s="29">
        <v>5189</v>
      </c>
      <c r="C217" s="3" t="s">
        <v>223</v>
      </c>
      <c r="D217" s="12">
        <v>56140</v>
      </c>
      <c r="E217" s="31">
        <v>0</v>
      </c>
      <c r="F217" s="30">
        <f t="shared" si="6"/>
        <v>56140</v>
      </c>
      <c r="G217" s="29">
        <f t="shared" si="7"/>
        <v>0</v>
      </c>
    </row>
    <row r="218" spans="1:7" x14ac:dyDescent="0.2">
      <c r="A218">
        <v>2015</v>
      </c>
      <c r="B218" s="29">
        <v>5190</v>
      </c>
      <c r="C218" s="3" t="s">
        <v>224</v>
      </c>
      <c r="D218" s="12">
        <v>193941</v>
      </c>
      <c r="E218" s="31">
        <v>0</v>
      </c>
      <c r="F218" s="30">
        <f t="shared" si="6"/>
        <v>193941</v>
      </c>
      <c r="G218" s="29">
        <f t="shared" si="7"/>
        <v>0</v>
      </c>
    </row>
    <row r="219" spans="1:7" x14ac:dyDescent="0.2">
      <c r="A219">
        <v>2015</v>
      </c>
      <c r="B219" s="29">
        <v>5191</v>
      </c>
      <c r="C219" s="3" t="s">
        <v>225</v>
      </c>
      <c r="D219" s="12">
        <v>669950</v>
      </c>
      <c r="E219" s="31">
        <v>0</v>
      </c>
      <c r="F219" s="30">
        <f t="shared" si="6"/>
        <v>669950</v>
      </c>
      <c r="G219" s="29">
        <f t="shared" si="7"/>
        <v>0</v>
      </c>
    </row>
    <row r="220" spans="1:7" x14ac:dyDescent="0.2">
      <c r="A220">
        <v>2015</v>
      </c>
      <c r="B220" s="29">
        <v>5192</v>
      </c>
      <c r="C220" s="3" t="s">
        <v>226</v>
      </c>
      <c r="D220" s="12">
        <v>215881</v>
      </c>
      <c r="E220" s="31">
        <v>0</v>
      </c>
      <c r="F220" s="30">
        <f t="shared" si="6"/>
        <v>215881</v>
      </c>
      <c r="G220" s="29">
        <f t="shared" si="7"/>
        <v>0</v>
      </c>
    </row>
    <row r="221" spans="1:7" x14ac:dyDescent="0.2">
      <c r="A221">
        <v>2015</v>
      </c>
      <c r="B221" s="29">
        <v>5193</v>
      </c>
      <c r="C221" s="3" t="s">
        <v>227</v>
      </c>
      <c r="D221" s="12">
        <v>1142511</v>
      </c>
      <c r="E221" s="31">
        <v>0</v>
      </c>
      <c r="F221" s="30">
        <f t="shared" si="6"/>
        <v>1142511</v>
      </c>
      <c r="G221" s="29">
        <f t="shared" si="7"/>
        <v>0</v>
      </c>
    </row>
    <row r="222" spans="1:7" x14ac:dyDescent="0.2">
      <c r="A222">
        <v>2015</v>
      </c>
      <c r="B222" s="29">
        <v>5195</v>
      </c>
      <c r="C222" s="3" t="s">
        <v>228</v>
      </c>
      <c r="D222" s="12">
        <v>465085</v>
      </c>
      <c r="E222" s="31">
        <v>0</v>
      </c>
      <c r="F222" s="30">
        <f t="shared" si="6"/>
        <v>465085</v>
      </c>
      <c r="G222" s="29">
        <f t="shared" si="7"/>
        <v>0</v>
      </c>
    </row>
    <row r="223" spans="1:7" x14ac:dyDescent="0.2">
      <c r="A223">
        <v>2015</v>
      </c>
      <c r="B223" s="29">
        <v>5196</v>
      </c>
      <c r="C223" s="3" t="s">
        <v>229</v>
      </c>
      <c r="D223" s="12">
        <v>413807</v>
      </c>
      <c r="E223" s="31">
        <v>0</v>
      </c>
      <c r="F223" s="30">
        <f t="shared" si="6"/>
        <v>413807</v>
      </c>
      <c r="G223" s="29">
        <f t="shared" si="7"/>
        <v>0</v>
      </c>
    </row>
    <row r="224" spans="1:7" x14ac:dyDescent="0.2">
      <c r="A224">
        <v>2015</v>
      </c>
      <c r="B224" s="29">
        <v>5197</v>
      </c>
      <c r="C224" s="3" t="s">
        <v>230</v>
      </c>
      <c r="D224" s="12">
        <v>193144</v>
      </c>
      <c r="E224" s="31">
        <v>0</v>
      </c>
      <c r="F224" s="30">
        <f t="shared" si="6"/>
        <v>193144</v>
      </c>
      <c r="G224" s="29">
        <f t="shared" si="7"/>
        <v>0</v>
      </c>
    </row>
    <row r="225" spans="1:7" x14ac:dyDescent="0.2">
      <c r="A225">
        <v>2015</v>
      </c>
      <c r="B225" s="29">
        <v>5198</v>
      </c>
      <c r="C225" s="3" t="s">
        <v>231</v>
      </c>
      <c r="D225" s="12">
        <v>1055976</v>
      </c>
      <c r="E225" s="31">
        <v>0</v>
      </c>
      <c r="F225" s="30">
        <f t="shared" si="6"/>
        <v>1055976</v>
      </c>
      <c r="G225" s="29">
        <f t="shared" si="7"/>
        <v>0</v>
      </c>
    </row>
    <row r="226" spans="1:7" x14ac:dyDescent="0.2">
      <c r="A226">
        <v>2015</v>
      </c>
      <c r="B226" s="29">
        <v>5199</v>
      </c>
      <c r="C226" s="3" t="s">
        <v>232</v>
      </c>
      <c r="D226" s="12">
        <v>321241</v>
      </c>
      <c r="E226" s="31">
        <v>0</v>
      </c>
      <c r="F226" s="30">
        <f t="shared" si="6"/>
        <v>321241</v>
      </c>
      <c r="G226" s="29">
        <f t="shared" si="7"/>
        <v>0</v>
      </c>
    </row>
    <row r="227" spans="1:7" x14ac:dyDescent="0.2">
      <c r="A227">
        <v>2015</v>
      </c>
      <c r="B227" s="29">
        <v>5200</v>
      </c>
      <c r="C227" s="3" t="s">
        <v>233</v>
      </c>
      <c r="D227" s="12">
        <v>577147</v>
      </c>
      <c r="E227" s="31">
        <v>0</v>
      </c>
      <c r="F227" s="30">
        <f t="shared" si="6"/>
        <v>577147</v>
      </c>
      <c r="G227" s="29">
        <f t="shared" si="7"/>
        <v>0</v>
      </c>
    </row>
    <row r="228" spans="1:7" x14ac:dyDescent="0.2">
      <c r="A228">
        <v>2015</v>
      </c>
      <c r="B228" s="29">
        <v>5201</v>
      </c>
      <c r="C228" s="3" t="s">
        <v>234</v>
      </c>
      <c r="D228" s="12">
        <v>191265</v>
      </c>
      <c r="E228" s="31">
        <v>0</v>
      </c>
      <c r="F228" s="30">
        <f t="shared" si="6"/>
        <v>191265</v>
      </c>
      <c r="G228" s="29">
        <f t="shared" si="7"/>
        <v>0</v>
      </c>
    </row>
    <row r="229" spans="1:7" x14ac:dyDescent="0.2">
      <c r="A229">
        <v>2015</v>
      </c>
      <c r="B229" s="29">
        <v>5202</v>
      </c>
      <c r="C229" s="3" t="s">
        <v>235</v>
      </c>
      <c r="D229" s="12">
        <v>161268</v>
      </c>
      <c r="E229" s="31">
        <v>0</v>
      </c>
      <c r="F229" s="30">
        <f t="shared" si="6"/>
        <v>161268</v>
      </c>
      <c r="G229" s="29">
        <f t="shared" si="7"/>
        <v>0</v>
      </c>
    </row>
    <row r="230" spans="1:7" x14ac:dyDescent="0.2">
      <c r="A230">
        <v>2015</v>
      </c>
      <c r="B230" s="29">
        <v>5203</v>
      </c>
      <c r="C230" s="3" t="s">
        <v>236</v>
      </c>
      <c r="D230" s="12">
        <v>498204</v>
      </c>
      <c r="E230" s="31">
        <v>0</v>
      </c>
      <c r="F230" s="30">
        <f t="shared" si="6"/>
        <v>498204</v>
      </c>
      <c r="G230" s="29">
        <f t="shared" si="7"/>
        <v>0</v>
      </c>
    </row>
    <row r="231" spans="1:7" x14ac:dyDescent="0.2">
      <c r="A231">
        <v>2015</v>
      </c>
      <c r="B231" s="29">
        <v>5204</v>
      </c>
      <c r="C231" s="3" t="s">
        <v>237</v>
      </c>
      <c r="D231" s="12">
        <v>760975</v>
      </c>
      <c r="E231" s="31">
        <v>0</v>
      </c>
      <c r="F231" s="30">
        <f t="shared" si="6"/>
        <v>760975</v>
      </c>
      <c r="G231" s="29">
        <f t="shared" si="7"/>
        <v>0</v>
      </c>
    </row>
    <row r="232" spans="1:7" x14ac:dyDescent="0.2">
      <c r="A232">
        <v>2015</v>
      </c>
      <c r="B232" s="29">
        <v>5205</v>
      </c>
      <c r="C232" s="3" t="s">
        <v>238</v>
      </c>
      <c r="D232" s="12">
        <v>308763</v>
      </c>
      <c r="E232" s="31">
        <v>0</v>
      </c>
      <c r="F232" s="30">
        <f t="shared" si="6"/>
        <v>308763</v>
      </c>
      <c r="G232" s="29">
        <f t="shared" si="7"/>
        <v>0</v>
      </c>
    </row>
    <row r="233" spans="1:7" x14ac:dyDescent="0.2">
      <c r="A233">
        <v>2015</v>
      </c>
      <c r="B233" s="29">
        <v>5206</v>
      </c>
      <c r="C233" s="3" t="s">
        <v>239</v>
      </c>
      <c r="D233" s="12">
        <v>319794</v>
      </c>
      <c r="E233" s="31">
        <v>0</v>
      </c>
      <c r="F233" s="30">
        <f t="shared" si="6"/>
        <v>319794</v>
      </c>
      <c r="G233" s="29">
        <f t="shared" si="7"/>
        <v>0</v>
      </c>
    </row>
    <row r="234" spans="1:7" x14ac:dyDescent="0.2">
      <c r="A234">
        <v>2015</v>
      </c>
      <c r="B234" s="29">
        <v>5207</v>
      </c>
      <c r="C234" s="3" t="s">
        <v>240</v>
      </c>
      <c r="D234" s="12">
        <v>718134</v>
      </c>
      <c r="E234" s="31">
        <v>0</v>
      </c>
      <c r="F234" s="30">
        <f t="shared" si="6"/>
        <v>718134</v>
      </c>
      <c r="G234" s="29">
        <f t="shared" si="7"/>
        <v>0</v>
      </c>
    </row>
    <row r="235" spans="1:7" x14ac:dyDescent="0.2">
      <c r="A235">
        <v>2015</v>
      </c>
      <c r="B235" s="29">
        <v>5208</v>
      </c>
      <c r="C235" s="3" t="s">
        <v>241</v>
      </c>
      <c r="D235" s="12">
        <v>157998</v>
      </c>
      <c r="E235" s="31">
        <v>0</v>
      </c>
      <c r="F235" s="30">
        <f t="shared" si="6"/>
        <v>157998</v>
      </c>
      <c r="G235" s="29">
        <f t="shared" si="7"/>
        <v>0</v>
      </c>
    </row>
    <row r="236" spans="1:7" x14ac:dyDescent="0.2">
      <c r="A236">
        <v>2015</v>
      </c>
      <c r="B236" s="29">
        <v>5210</v>
      </c>
      <c r="C236" s="3" t="s">
        <v>242</v>
      </c>
      <c r="D236" s="12">
        <v>2290490</v>
      </c>
      <c r="E236" s="31">
        <v>0</v>
      </c>
      <c r="F236" s="30">
        <f t="shared" si="6"/>
        <v>2290490</v>
      </c>
      <c r="G236" s="29">
        <f t="shared" si="7"/>
        <v>0</v>
      </c>
    </row>
    <row r="237" spans="1:7" x14ac:dyDescent="0.2">
      <c r="A237">
        <v>2015</v>
      </c>
      <c r="B237" s="29">
        <v>5212</v>
      </c>
      <c r="C237" s="3" t="s">
        <v>243</v>
      </c>
      <c r="D237" s="12">
        <v>519536</v>
      </c>
      <c r="E237" s="31">
        <v>0</v>
      </c>
      <c r="F237" s="30">
        <f t="shared" si="6"/>
        <v>519536</v>
      </c>
      <c r="G237" s="29">
        <f t="shared" si="7"/>
        <v>0</v>
      </c>
    </row>
    <row r="238" spans="1:7" x14ac:dyDescent="0.2">
      <c r="A238">
        <v>2015</v>
      </c>
      <c r="B238" s="29">
        <v>5213</v>
      </c>
      <c r="C238" s="3" t="s">
        <v>244</v>
      </c>
      <c r="D238" s="12">
        <v>438374</v>
      </c>
      <c r="E238" s="31">
        <v>0</v>
      </c>
      <c r="F238" s="30">
        <f t="shared" si="6"/>
        <v>438374</v>
      </c>
      <c r="G238" s="29">
        <f t="shared" si="7"/>
        <v>0</v>
      </c>
    </row>
    <row r="239" spans="1:7" x14ac:dyDescent="0.2">
      <c r="A239">
        <v>2015</v>
      </c>
      <c r="B239" s="29">
        <v>5214</v>
      </c>
      <c r="C239" s="3" t="s">
        <v>245</v>
      </c>
      <c r="D239" s="12">
        <v>2082033</v>
      </c>
      <c r="E239" s="31">
        <v>0</v>
      </c>
      <c r="F239" s="30">
        <f t="shared" si="6"/>
        <v>2082033</v>
      </c>
      <c r="G239" s="29">
        <f t="shared" si="7"/>
        <v>0</v>
      </c>
    </row>
    <row r="240" spans="1:7" x14ac:dyDescent="0.2">
      <c r="A240">
        <v>2015</v>
      </c>
      <c r="B240" s="29">
        <v>5215</v>
      </c>
      <c r="C240" s="3" t="s">
        <v>246</v>
      </c>
      <c r="D240" s="12">
        <v>474956</v>
      </c>
      <c r="E240" s="31">
        <v>0</v>
      </c>
      <c r="F240" s="30">
        <f t="shared" si="6"/>
        <v>474956</v>
      </c>
      <c r="G240" s="29">
        <f t="shared" si="7"/>
        <v>0</v>
      </c>
    </row>
    <row r="241" spans="1:7" x14ac:dyDescent="0.2">
      <c r="A241">
        <v>2015</v>
      </c>
      <c r="B241" s="29">
        <v>5216</v>
      </c>
      <c r="C241" s="3" t="s">
        <v>299</v>
      </c>
      <c r="D241" s="12">
        <v>675515</v>
      </c>
      <c r="E241" s="31">
        <v>0</v>
      </c>
      <c r="F241" s="30">
        <f t="shared" si="6"/>
        <v>675515</v>
      </c>
      <c r="G241" s="29">
        <f t="shared" si="7"/>
        <v>0</v>
      </c>
    </row>
    <row r="242" spans="1:7" x14ac:dyDescent="0.2">
      <c r="A242">
        <v>2015</v>
      </c>
      <c r="B242" s="29">
        <v>5217</v>
      </c>
      <c r="C242" s="3" t="s">
        <v>248</v>
      </c>
      <c r="D242" s="12">
        <v>89578</v>
      </c>
      <c r="E242" s="31">
        <v>0</v>
      </c>
      <c r="F242" s="30">
        <f t="shared" si="6"/>
        <v>89578</v>
      </c>
      <c r="G242" s="29">
        <f t="shared" si="7"/>
        <v>0</v>
      </c>
    </row>
    <row r="243" spans="1:7" x14ac:dyDescent="0.2">
      <c r="A243">
        <v>2015</v>
      </c>
      <c r="B243" s="29">
        <v>5218</v>
      </c>
      <c r="C243" s="3" t="s">
        <v>249</v>
      </c>
      <c r="D243" s="12">
        <v>189881</v>
      </c>
      <c r="E243" s="31">
        <v>0</v>
      </c>
      <c r="F243" s="30">
        <f t="shared" si="6"/>
        <v>189881</v>
      </c>
      <c r="G243" s="29">
        <f t="shared" si="7"/>
        <v>0</v>
      </c>
    </row>
    <row r="244" spans="1:7" x14ac:dyDescent="0.2">
      <c r="A244">
        <v>2015</v>
      </c>
      <c r="B244" s="29">
        <v>5219</v>
      </c>
      <c r="C244" s="3" t="s">
        <v>250</v>
      </c>
      <c r="D244" s="12">
        <v>152033</v>
      </c>
      <c r="E244" s="31">
        <v>0</v>
      </c>
      <c r="F244" s="30">
        <f t="shared" si="6"/>
        <v>152033</v>
      </c>
      <c r="G244" s="29">
        <f t="shared" si="7"/>
        <v>0</v>
      </c>
    </row>
    <row r="245" spans="1:7" x14ac:dyDescent="0.2">
      <c r="A245">
        <v>2015</v>
      </c>
      <c r="B245" s="29">
        <v>5220</v>
      </c>
      <c r="C245" s="3" t="s">
        <v>251</v>
      </c>
      <c r="D245" s="12">
        <v>440523</v>
      </c>
      <c r="E245" s="31">
        <v>0</v>
      </c>
      <c r="F245" s="30">
        <f t="shared" si="6"/>
        <v>440523</v>
      </c>
      <c r="G245" s="29">
        <f t="shared" si="7"/>
        <v>0</v>
      </c>
    </row>
    <row r="246" spans="1:7" x14ac:dyDescent="0.2">
      <c r="A246">
        <v>2015</v>
      </c>
      <c r="B246" s="29">
        <v>5222</v>
      </c>
      <c r="C246" s="3" t="s">
        <v>252</v>
      </c>
      <c r="D246" s="12">
        <v>263006</v>
      </c>
      <c r="E246" s="31">
        <v>0</v>
      </c>
      <c r="F246" s="30">
        <f t="shared" si="6"/>
        <v>263006</v>
      </c>
      <c r="G246" s="29">
        <f t="shared" si="7"/>
        <v>0</v>
      </c>
    </row>
    <row r="247" spans="1:7" x14ac:dyDescent="0.2">
      <c r="A247">
        <v>2015</v>
      </c>
      <c r="B247" s="29">
        <v>5223</v>
      </c>
      <c r="C247" s="3" t="s">
        <v>253</v>
      </c>
      <c r="D247" s="12">
        <v>283966</v>
      </c>
      <c r="E247" s="31">
        <v>0</v>
      </c>
      <c r="F247" s="30">
        <f t="shared" si="6"/>
        <v>283966</v>
      </c>
      <c r="G247" s="29">
        <f t="shared" si="7"/>
        <v>0</v>
      </c>
    </row>
    <row r="248" spans="1:7" x14ac:dyDescent="0.2">
      <c r="A248">
        <v>2015</v>
      </c>
      <c r="B248" s="29">
        <v>5226</v>
      </c>
      <c r="C248" s="3" t="s">
        <v>254</v>
      </c>
      <c r="D248" s="12">
        <v>175671</v>
      </c>
      <c r="E248" s="31">
        <v>0</v>
      </c>
      <c r="F248" s="30">
        <f t="shared" si="6"/>
        <v>175671</v>
      </c>
      <c r="G248" s="29">
        <f t="shared" si="7"/>
        <v>0</v>
      </c>
    </row>
    <row r="249" spans="1:7" x14ac:dyDescent="0.2">
      <c r="A249">
        <v>2015</v>
      </c>
      <c r="B249" s="29">
        <v>5227</v>
      </c>
      <c r="C249" s="3" t="s">
        <v>255</v>
      </c>
      <c r="D249" s="12">
        <v>60481</v>
      </c>
      <c r="E249" s="31">
        <v>0</v>
      </c>
      <c r="F249" s="30">
        <f t="shared" si="6"/>
        <v>60481</v>
      </c>
      <c r="G249" s="29">
        <f t="shared" si="7"/>
        <v>0</v>
      </c>
    </row>
    <row r="250" spans="1:7" x14ac:dyDescent="0.2">
      <c r="A250">
        <v>2015</v>
      </c>
      <c r="B250" s="29">
        <v>5228</v>
      </c>
      <c r="C250" s="3" t="s">
        <v>256</v>
      </c>
      <c r="D250" s="16">
        <v>93538</v>
      </c>
      <c r="E250" s="31">
        <v>0</v>
      </c>
      <c r="F250" s="30">
        <f t="shared" ref="F250:F304" si="8">SUM(D250:E250)</f>
        <v>93538</v>
      </c>
      <c r="G250" s="29">
        <f t="shared" si="7"/>
        <v>0</v>
      </c>
    </row>
    <row r="251" spans="1:7" x14ac:dyDescent="0.2">
      <c r="A251">
        <v>2015</v>
      </c>
      <c r="B251" s="29">
        <v>5229</v>
      </c>
      <c r="C251" s="3" t="s">
        <v>257</v>
      </c>
      <c r="D251" s="12">
        <v>253486</v>
      </c>
      <c r="E251" s="31">
        <v>0</v>
      </c>
      <c r="F251" s="30">
        <f t="shared" si="8"/>
        <v>253486</v>
      </c>
      <c r="G251" s="29">
        <f t="shared" si="7"/>
        <v>0</v>
      </c>
    </row>
    <row r="252" spans="1:7" x14ac:dyDescent="0.2">
      <c r="A252">
        <v>2015</v>
      </c>
      <c r="B252" s="29">
        <v>5230</v>
      </c>
      <c r="C252" s="3" t="s">
        <v>258</v>
      </c>
      <c r="D252" s="12">
        <v>572108</v>
      </c>
      <c r="E252" s="31">
        <v>0</v>
      </c>
      <c r="F252" s="30">
        <f t="shared" si="8"/>
        <v>572108</v>
      </c>
      <c r="G252" s="29">
        <f t="shared" si="7"/>
        <v>0</v>
      </c>
    </row>
    <row r="253" spans="1:7" x14ac:dyDescent="0.2">
      <c r="A253">
        <v>2015</v>
      </c>
      <c r="B253" s="29">
        <v>5231</v>
      </c>
      <c r="C253" s="3" t="s">
        <v>259</v>
      </c>
      <c r="D253" s="12">
        <v>1065109</v>
      </c>
      <c r="E253" s="31">
        <v>0</v>
      </c>
      <c r="F253" s="30">
        <f t="shared" si="8"/>
        <v>1065109</v>
      </c>
      <c r="G253" s="29">
        <f t="shared" si="7"/>
        <v>0</v>
      </c>
    </row>
    <row r="254" spans="1:7" x14ac:dyDescent="0.2">
      <c r="A254">
        <v>2015</v>
      </c>
      <c r="B254" s="29">
        <v>5233</v>
      </c>
      <c r="C254" s="3" t="s">
        <v>260</v>
      </c>
      <c r="D254" s="12">
        <v>3140264</v>
      </c>
      <c r="E254" s="31">
        <v>0</v>
      </c>
      <c r="F254" s="30">
        <f t="shared" si="8"/>
        <v>3140264</v>
      </c>
      <c r="G254" s="29">
        <f t="shared" si="7"/>
        <v>0</v>
      </c>
    </row>
    <row r="255" spans="1:7" x14ac:dyDescent="0.2">
      <c r="A255">
        <v>2015</v>
      </c>
      <c r="B255" s="29">
        <v>5235</v>
      </c>
      <c r="C255" s="3" t="s">
        <v>261</v>
      </c>
      <c r="D255" s="12">
        <v>151118</v>
      </c>
      <c r="E255" s="31">
        <v>0</v>
      </c>
      <c r="F255" s="30">
        <f t="shared" si="8"/>
        <v>151118</v>
      </c>
      <c r="G255" s="29">
        <f t="shared" si="7"/>
        <v>0</v>
      </c>
    </row>
    <row r="256" spans="1:7" x14ac:dyDescent="0.2">
      <c r="A256">
        <v>2015</v>
      </c>
      <c r="B256" s="29">
        <v>5236</v>
      </c>
      <c r="C256" s="3" t="s">
        <v>262</v>
      </c>
      <c r="D256" s="12">
        <v>373553</v>
      </c>
      <c r="E256" s="31">
        <v>0</v>
      </c>
      <c r="F256" s="30">
        <f t="shared" si="8"/>
        <v>373553</v>
      </c>
      <c r="G256" s="29">
        <f t="shared" si="7"/>
        <v>0</v>
      </c>
    </row>
    <row r="257" spans="1:7" x14ac:dyDescent="0.2">
      <c r="A257">
        <v>2015</v>
      </c>
      <c r="B257" s="29">
        <v>5237</v>
      </c>
      <c r="C257" s="3" t="s">
        <v>263</v>
      </c>
      <c r="D257" s="12">
        <v>182990</v>
      </c>
      <c r="E257" s="31">
        <v>0</v>
      </c>
      <c r="F257" s="30">
        <f t="shared" si="8"/>
        <v>182990</v>
      </c>
      <c r="G257" s="29">
        <f t="shared" si="7"/>
        <v>0</v>
      </c>
    </row>
    <row r="258" spans="1:7" x14ac:dyDescent="0.2">
      <c r="A258">
        <v>2015</v>
      </c>
      <c r="B258" s="29">
        <v>5238</v>
      </c>
      <c r="C258" s="3" t="s">
        <v>264</v>
      </c>
      <c r="D258" s="12">
        <v>147976</v>
      </c>
      <c r="E258" s="31">
        <v>0</v>
      </c>
      <c r="F258" s="30">
        <f t="shared" si="8"/>
        <v>147976</v>
      </c>
      <c r="G258" s="29">
        <f t="shared" si="7"/>
        <v>0</v>
      </c>
    </row>
    <row r="259" spans="1:7" x14ac:dyDescent="0.2">
      <c r="A259">
        <v>2015</v>
      </c>
      <c r="B259" s="29">
        <v>5239</v>
      </c>
      <c r="C259" s="3" t="s">
        <v>265</v>
      </c>
      <c r="D259" s="12">
        <v>133213</v>
      </c>
      <c r="E259" s="31">
        <v>0</v>
      </c>
      <c r="F259" s="30">
        <f t="shared" si="8"/>
        <v>133213</v>
      </c>
      <c r="G259" s="29">
        <f t="shared" ref="G259:G322" si="9">E259/$E$340</f>
        <v>0</v>
      </c>
    </row>
    <row r="260" spans="1:7" x14ac:dyDescent="0.2">
      <c r="A260">
        <v>2015</v>
      </c>
      <c r="B260" s="29">
        <v>5240</v>
      </c>
      <c r="C260" s="3" t="s">
        <v>266</v>
      </c>
      <c r="D260" s="12">
        <v>272656</v>
      </c>
      <c r="E260" s="31">
        <v>0</v>
      </c>
      <c r="F260" s="30">
        <f t="shared" si="8"/>
        <v>272656</v>
      </c>
      <c r="G260" s="29">
        <f t="shared" si="9"/>
        <v>0</v>
      </c>
    </row>
    <row r="261" spans="1:7" x14ac:dyDescent="0.2">
      <c r="A261">
        <v>2015</v>
      </c>
      <c r="B261" s="29">
        <v>5241</v>
      </c>
      <c r="C261" s="3" t="s">
        <v>362</v>
      </c>
      <c r="D261" s="12">
        <v>154576</v>
      </c>
      <c r="E261" s="31">
        <v>0</v>
      </c>
      <c r="F261" s="30">
        <f t="shared" si="8"/>
        <v>154576</v>
      </c>
      <c r="G261" s="29">
        <f t="shared" si="9"/>
        <v>0</v>
      </c>
    </row>
    <row r="262" spans="1:7" x14ac:dyDescent="0.2">
      <c r="A262">
        <v>2015</v>
      </c>
      <c r="B262" s="29">
        <v>5250</v>
      </c>
      <c r="C262" s="3" t="s">
        <v>268</v>
      </c>
      <c r="D262" s="12">
        <v>427270</v>
      </c>
      <c r="E262" s="31">
        <v>0</v>
      </c>
      <c r="F262" s="30">
        <f t="shared" si="8"/>
        <v>427270</v>
      </c>
      <c r="G262" s="29">
        <f t="shared" si="9"/>
        <v>0</v>
      </c>
    </row>
    <row r="263" spans="1:7" x14ac:dyDescent="0.2">
      <c r="A263">
        <v>2015</v>
      </c>
      <c r="B263" s="29">
        <v>5251</v>
      </c>
      <c r="C263" s="3" t="s">
        <v>269</v>
      </c>
      <c r="D263" s="12">
        <v>137719</v>
      </c>
      <c r="E263" s="31">
        <v>0</v>
      </c>
      <c r="F263" s="30">
        <f t="shared" si="8"/>
        <v>137719</v>
      </c>
      <c r="G263" s="29">
        <f t="shared" si="9"/>
        <v>0</v>
      </c>
    </row>
    <row r="264" spans="1:7" x14ac:dyDescent="0.2">
      <c r="A264">
        <v>2015</v>
      </c>
      <c r="B264" s="29">
        <v>5267</v>
      </c>
      <c r="C264" s="3" t="s">
        <v>270</v>
      </c>
      <c r="D264" s="12">
        <v>128395</v>
      </c>
      <c r="E264" s="31">
        <v>0</v>
      </c>
      <c r="F264" s="30">
        <f t="shared" si="8"/>
        <v>128395</v>
      </c>
      <c r="G264" s="29">
        <f t="shared" si="9"/>
        <v>0</v>
      </c>
    </row>
    <row r="265" spans="1:7" x14ac:dyDescent="0.2">
      <c r="A265">
        <v>2015</v>
      </c>
      <c r="B265" s="29">
        <v>5268</v>
      </c>
      <c r="C265" s="3" t="s">
        <v>271</v>
      </c>
      <c r="D265" s="12">
        <v>136481</v>
      </c>
      <c r="E265" s="31">
        <v>0</v>
      </c>
      <c r="F265" s="30">
        <f t="shared" si="8"/>
        <v>136481</v>
      </c>
      <c r="G265" s="29">
        <f t="shared" si="9"/>
        <v>0</v>
      </c>
    </row>
    <row r="266" spans="1:7" x14ac:dyDescent="0.2">
      <c r="A266">
        <v>2015</v>
      </c>
      <c r="B266" s="29">
        <v>5270</v>
      </c>
      <c r="C266" s="3" t="s">
        <v>272</v>
      </c>
      <c r="D266" s="12">
        <v>206713</v>
      </c>
      <c r="E266" s="31">
        <v>0</v>
      </c>
      <c r="F266" s="30">
        <f t="shared" si="8"/>
        <v>206713</v>
      </c>
      <c r="G266" s="29">
        <f t="shared" si="9"/>
        <v>0</v>
      </c>
    </row>
    <row r="267" spans="1:7" x14ac:dyDescent="0.2">
      <c r="A267">
        <v>2015</v>
      </c>
      <c r="B267" s="29">
        <v>5271</v>
      </c>
      <c r="C267" s="3" t="s">
        <v>273</v>
      </c>
      <c r="D267" s="12">
        <v>120965</v>
      </c>
      <c r="E267" s="31">
        <v>0</v>
      </c>
      <c r="F267" s="30">
        <f t="shared" si="8"/>
        <v>120965</v>
      </c>
      <c r="G267" s="29">
        <f t="shared" si="9"/>
        <v>0</v>
      </c>
    </row>
    <row r="268" spans="1:7" x14ac:dyDescent="0.2">
      <c r="A268">
        <v>2015</v>
      </c>
      <c r="B268" s="29">
        <v>5272</v>
      </c>
      <c r="C268" s="3" t="s">
        <v>274</v>
      </c>
      <c r="D268" s="12">
        <v>1642661</v>
      </c>
      <c r="E268" s="31">
        <v>0</v>
      </c>
      <c r="F268" s="30">
        <f t="shared" si="8"/>
        <v>1642661</v>
      </c>
      <c r="G268" s="29">
        <f t="shared" si="9"/>
        <v>0</v>
      </c>
    </row>
    <row r="269" spans="1:7" x14ac:dyDescent="0.2">
      <c r="A269">
        <v>2015</v>
      </c>
      <c r="B269" s="29">
        <v>5274</v>
      </c>
      <c r="C269" s="3" t="s">
        <v>275</v>
      </c>
      <c r="D269" s="12">
        <v>444716</v>
      </c>
      <c r="E269" s="31">
        <v>0</v>
      </c>
      <c r="F269" s="30">
        <f t="shared" si="8"/>
        <v>444716</v>
      </c>
      <c r="G269" s="29">
        <f t="shared" si="9"/>
        <v>0</v>
      </c>
    </row>
    <row r="270" spans="1:7" x14ac:dyDescent="0.2">
      <c r="A270">
        <v>2015</v>
      </c>
      <c r="B270" s="29">
        <v>5275</v>
      </c>
      <c r="C270" s="3" t="s">
        <v>276</v>
      </c>
      <c r="D270" s="12">
        <v>1066636</v>
      </c>
      <c r="E270" s="31">
        <v>0</v>
      </c>
      <c r="F270" s="30">
        <f t="shared" si="8"/>
        <v>1066636</v>
      </c>
      <c r="G270" s="29">
        <f t="shared" si="9"/>
        <v>0</v>
      </c>
    </row>
    <row r="271" spans="1:7" x14ac:dyDescent="0.2">
      <c r="A271">
        <v>2015</v>
      </c>
      <c r="B271" s="29">
        <v>5276</v>
      </c>
      <c r="C271" s="3" t="s">
        <v>277</v>
      </c>
      <c r="D271" s="12">
        <v>607026</v>
      </c>
      <c r="E271" s="31">
        <v>0</v>
      </c>
      <c r="F271" s="30">
        <f t="shared" si="8"/>
        <v>607026</v>
      </c>
      <c r="G271" s="29">
        <f t="shared" si="9"/>
        <v>0</v>
      </c>
    </row>
    <row r="272" spans="1:7" x14ac:dyDescent="0.2">
      <c r="A272">
        <v>2015</v>
      </c>
      <c r="B272" s="29">
        <v>5278</v>
      </c>
      <c r="C272" s="3" t="s">
        <v>278</v>
      </c>
      <c r="D272" s="12">
        <v>167721</v>
      </c>
      <c r="E272" s="31">
        <v>0</v>
      </c>
      <c r="F272" s="30">
        <f t="shared" si="8"/>
        <v>167721</v>
      </c>
      <c r="G272" s="29">
        <f t="shared" si="9"/>
        <v>0</v>
      </c>
    </row>
    <row r="273" spans="1:7" x14ac:dyDescent="0.2">
      <c r="A273">
        <v>2015</v>
      </c>
      <c r="B273" s="29">
        <v>5280</v>
      </c>
      <c r="C273" s="3" t="s">
        <v>279</v>
      </c>
      <c r="D273" s="12">
        <v>2793839</v>
      </c>
      <c r="E273" s="31">
        <v>0</v>
      </c>
      <c r="F273" s="30">
        <f t="shared" si="8"/>
        <v>2793839</v>
      </c>
      <c r="G273" s="29">
        <f t="shared" si="9"/>
        <v>0</v>
      </c>
    </row>
    <row r="274" spans="1:7" x14ac:dyDescent="0.2">
      <c r="A274">
        <v>2015</v>
      </c>
      <c r="B274" s="29">
        <v>5281</v>
      </c>
      <c r="C274" s="3" t="s">
        <v>280</v>
      </c>
      <c r="D274" s="12">
        <v>120345</v>
      </c>
      <c r="E274" s="31">
        <v>0</v>
      </c>
      <c r="F274" s="30">
        <f t="shared" si="8"/>
        <v>120345</v>
      </c>
      <c r="G274" s="29">
        <f t="shared" si="9"/>
        <v>0</v>
      </c>
    </row>
    <row r="275" spans="1:7" x14ac:dyDescent="0.2">
      <c r="A275">
        <v>2015</v>
      </c>
      <c r="B275" s="29">
        <v>5283</v>
      </c>
      <c r="C275" s="3" t="s">
        <v>281</v>
      </c>
      <c r="D275" s="12">
        <v>339359</v>
      </c>
      <c r="E275" s="31">
        <v>0</v>
      </c>
      <c r="F275" s="30">
        <f t="shared" si="8"/>
        <v>339359</v>
      </c>
      <c r="G275" s="29">
        <f t="shared" si="9"/>
        <v>0</v>
      </c>
    </row>
    <row r="276" spans="1:7" x14ac:dyDescent="0.2">
      <c r="A276">
        <v>2015</v>
      </c>
      <c r="B276" s="29">
        <v>5284</v>
      </c>
      <c r="C276" s="3" t="s">
        <v>282</v>
      </c>
      <c r="D276" s="12">
        <v>430609</v>
      </c>
      <c r="E276" s="31">
        <v>0</v>
      </c>
      <c r="F276" s="30">
        <f t="shared" si="8"/>
        <v>430609</v>
      </c>
      <c r="G276" s="29">
        <f t="shared" si="9"/>
        <v>0</v>
      </c>
    </row>
    <row r="277" spans="1:7" x14ac:dyDescent="0.2">
      <c r="A277">
        <v>2015</v>
      </c>
      <c r="B277" s="29">
        <v>5285</v>
      </c>
      <c r="C277" s="3" t="s">
        <v>283</v>
      </c>
      <c r="D277" s="12">
        <v>228601</v>
      </c>
      <c r="E277" s="31">
        <v>0</v>
      </c>
      <c r="F277" s="30">
        <f t="shared" si="8"/>
        <v>228601</v>
      </c>
      <c r="G277" s="29">
        <f t="shared" si="9"/>
        <v>0</v>
      </c>
    </row>
    <row r="278" spans="1:7" x14ac:dyDescent="0.2">
      <c r="A278">
        <v>2015</v>
      </c>
      <c r="B278" s="29">
        <v>5286</v>
      </c>
      <c r="C278" s="3" t="s">
        <v>284</v>
      </c>
      <c r="D278" s="12">
        <v>198668</v>
      </c>
      <c r="E278" s="31">
        <v>0</v>
      </c>
      <c r="F278" s="30">
        <f t="shared" si="8"/>
        <v>198668</v>
      </c>
      <c r="G278" s="29">
        <f t="shared" si="9"/>
        <v>0</v>
      </c>
    </row>
    <row r="279" spans="1:7" x14ac:dyDescent="0.2">
      <c r="A279">
        <v>2015</v>
      </c>
      <c r="B279" s="29">
        <v>5287</v>
      </c>
      <c r="C279" s="3" t="s">
        <v>285</v>
      </c>
      <c r="D279" s="12">
        <v>331294</v>
      </c>
      <c r="E279" s="31">
        <v>0</v>
      </c>
      <c r="F279" s="30">
        <f t="shared" si="8"/>
        <v>331294</v>
      </c>
      <c r="G279" s="29">
        <f t="shared" si="9"/>
        <v>0</v>
      </c>
    </row>
    <row r="280" spans="1:7" x14ac:dyDescent="0.2">
      <c r="A280">
        <v>2015</v>
      </c>
      <c r="B280" s="29">
        <v>5288</v>
      </c>
      <c r="C280" s="3" t="s">
        <v>286</v>
      </c>
      <c r="D280" s="12">
        <v>197088</v>
      </c>
      <c r="E280" s="31">
        <v>0</v>
      </c>
      <c r="F280" s="30">
        <f t="shared" si="8"/>
        <v>197088</v>
      </c>
      <c r="G280" s="29">
        <f t="shared" si="9"/>
        <v>0</v>
      </c>
    </row>
    <row r="281" spans="1:7" x14ac:dyDescent="0.2">
      <c r="A281">
        <v>2015</v>
      </c>
      <c r="B281" s="29">
        <v>5289</v>
      </c>
      <c r="C281" s="3" t="s">
        <v>287</v>
      </c>
      <c r="D281" s="12">
        <v>268098</v>
      </c>
      <c r="E281" s="31">
        <v>0</v>
      </c>
      <c r="F281" s="30">
        <f t="shared" si="8"/>
        <v>268098</v>
      </c>
      <c r="G281" s="29">
        <f t="shared" si="9"/>
        <v>0</v>
      </c>
    </row>
    <row r="282" spans="1:7" x14ac:dyDescent="0.2">
      <c r="A282">
        <v>2015</v>
      </c>
      <c r="B282" s="29">
        <v>5291</v>
      </c>
      <c r="C282" s="3" t="s">
        <v>288</v>
      </c>
      <c r="D282" s="12">
        <v>379095</v>
      </c>
      <c r="E282" s="31">
        <v>0</v>
      </c>
      <c r="F282" s="30">
        <f t="shared" si="8"/>
        <v>379095</v>
      </c>
      <c r="G282" s="29">
        <f t="shared" si="9"/>
        <v>0</v>
      </c>
    </row>
    <row r="283" spans="1:7" x14ac:dyDescent="0.2">
      <c r="A283">
        <v>2015</v>
      </c>
      <c r="B283" s="29">
        <v>5292</v>
      </c>
      <c r="C283" s="3" t="s">
        <v>289</v>
      </c>
      <c r="D283" s="12">
        <v>1007235</v>
      </c>
      <c r="E283" s="31">
        <v>0</v>
      </c>
      <c r="F283" s="30">
        <f t="shared" si="8"/>
        <v>1007235</v>
      </c>
      <c r="G283" s="29">
        <f t="shared" si="9"/>
        <v>0</v>
      </c>
    </row>
    <row r="284" spans="1:7" x14ac:dyDescent="0.2">
      <c r="A284">
        <v>2015</v>
      </c>
      <c r="B284" s="29">
        <v>5293</v>
      </c>
      <c r="C284" s="3" t="s">
        <v>290</v>
      </c>
      <c r="D284" s="12">
        <v>238867</v>
      </c>
      <c r="E284" s="31">
        <v>0</v>
      </c>
      <c r="F284" s="30">
        <f t="shared" si="8"/>
        <v>238867</v>
      </c>
      <c r="G284" s="29">
        <f t="shared" si="9"/>
        <v>0</v>
      </c>
    </row>
    <row r="285" spans="1:7" x14ac:dyDescent="0.2">
      <c r="A285">
        <v>2015</v>
      </c>
      <c r="B285" s="29">
        <v>5294</v>
      </c>
      <c r="C285" s="3" t="s">
        <v>291</v>
      </c>
      <c r="D285" s="12">
        <v>517595</v>
      </c>
      <c r="E285" s="31">
        <v>0</v>
      </c>
      <c r="F285" s="30">
        <f t="shared" si="8"/>
        <v>517595</v>
      </c>
      <c r="G285" s="29">
        <f t="shared" si="9"/>
        <v>0</v>
      </c>
    </row>
    <row r="286" spans="1:7" x14ac:dyDescent="0.2">
      <c r="A286">
        <v>2015</v>
      </c>
      <c r="B286" s="29">
        <v>5295</v>
      </c>
      <c r="C286" s="3" t="s">
        <v>292</v>
      </c>
      <c r="D286" s="12">
        <v>154310</v>
      </c>
      <c r="E286" s="31">
        <v>0</v>
      </c>
      <c r="F286" s="30">
        <f t="shared" si="8"/>
        <v>154310</v>
      </c>
      <c r="G286" s="29">
        <f t="shared" si="9"/>
        <v>0</v>
      </c>
    </row>
    <row r="287" spans="1:7" x14ac:dyDescent="0.2">
      <c r="A287">
        <v>2015</v>
      </c>
      <c r="B287" s="29">
        <v>5296</v>
      </c>
      <c r="C287" s="3" t="s">
        <v>293</v>
      </c>
      <c r="D287" s="12">
        <v>818457</v>
      </c>
      <c r="E287" s="31">
        <v>0</v>
      </c>
      <c r="F287" s="30">
        <f t="shared" si="8"/>
        <v>818457</v>
      </c>
      <c r="G287" s="29">
        <f t="shared" si="9"/>
        <v>0</v>
      </c>
    </row>
    <row r="288" spans="1:7" x14ac:dyDescent="0.2">
      <c r="A288">
        <v>2015</v>
      </c>
      <c r="B288" s="29">
        <v>5297</v>
      </c>
      <c r="C288" s="3" t="s">
        <v>294</v>
      </c>
      <c r="D288" s="12">
        <v>368475</v>
      </c>
      <c r="E288" s="31">
        <v>0</v>
      </c>
      <c r="F288" s="30">
        <f t="shared" si="8"/>
        <v>368475</v>
      </c>
      <c r="G288" s="29">
        <f t="shared" si="9"/>
        <v>0</v>
      </c>
    </row>
    <row r="289" spans="1:7" x14ac:dyDescent="0.2">
      <c r="A289">
        <v>2015</v>
      </c>
      <c r="B289" s="29">
        <v>5298</v>
      </c>
      <c r="C289" s="3" t="s">
        <v>295</v>
      </c>
      <c r="D289" s="12">
        <v>57945</v>
      </c>
      <c r="E289" s="31">
        <v>0</v>
      </c>
      <c r="F289" s="30">
        <f t="shared" si="8"/>
        <v>57945</v>
      </c>
      <c r="G289" s="29">
        <f t="shared" si="9"/>
        <v>0</v>
      </c>
    </row>
    <row r="290" spans="1:7" x14ac:dyDescent="0.2">
      <c r="A290">
        <v>2015</v>
      </c>
      <c r="B290" s="29">
        <v>5299</v>
      </c>
      <c r="C290" s="3" t="s">
        <v>296</v>
      </c>
      <c r="D290" s="12">
        <v>103661</v>
      </c>
      <c r="E290" s="31">
        <v>0</v>
      </c>
      <c r="F290" s="30">
        <f t="shared" si="8"/>
        <v>103661</v>
      </c>
      <c r="G290" s="29">
        <f t="shared" si="9"/>
        <v>0</v>
      </c>
    </row>
    <row r="291" spans="1:7" x14ac:dyDescent="0.2">
      <c r="A291">
        <v>2015</v>
      </c>
      <c r="B291" s="29">
        <v>5300</v>
      </c>
      <c r="C291" s="3" t="s">
        <v>297</v>
      </c>
      <c r="D291" s="12">
        <v>368587</v>
      </c>
      <c r="E291" s="31">
        <v>0</v>
      </c>
      <c r="F291" s="30">
        <f t="shared" si="8"/>
        <v>368587</v>
      </c>
      <c r="G291" s="29">
        <f t="shared" si="9"/>
        <v>0</v>
      </c>
    </row>
    <row r="292" spans="1:7" x14ac:dyDescent="0.2">
      <c r="A292">
        <v>2015</v>
      </c>
      <c r="B292" s="29">
        <v>5302</v>
      </c>
      <c r="C292" s="3" t="s">
        <v>298</v>
      </c>
      <c r="D292" s="12">
        <v>1895294</v>
      </c>
      <c r="E292" s="31">
        <v>0</v>
      </c>
      <c r="F292" s="30">
        <f t="shared" si="8"/>
        <v>1895294</v>
      </c>
      <c r="G292" s="29">
        <f t="shared" si="9"/>
        <v>0</v>
      </c>
    </row>
    <row r="293" spans="1:7" x14ac:dyDescent="0.2">
      <c r="A293">
        <v>2015</v>
      </c>
      <c r="B293" s="29">
        <v>5303</v>
      </c>
      <c r="C293" s="3" t="s">
        <v>345</v>
      </c>
      <c r="D293" s="12">
        <v>1180299</v>
      </c>
      <c r="E293" s="31">
        <v>0</v>
      </c>
      <c r="F293" s="30">
        <f t="shared" si="8"/>
        <v>1180299</v>
      </c>
      <c r="G293" s="29">
        <f t="shared" si="9"/>
        <v>0</v>
      </c>
    </row>
    <row r="294" spans="1:7" x14ac:dyDescent="0.2">
      <c r="A294">
        <v>2015</v>
      </c>
      <c r="B294" s="29">
        <v>5304</v>
      </c>
      <c r="C294" s="3" t="s">
        <v>300</v>
      </c>
      <c r="D294" s="12">
        <v>840832</v>
      </c>
      <c r="E294" s="31">
        <v>0</v>
      </c>
      <c r="F294" s="30">
        <f t="shared" si="8"/>
        <v>840832</v>
      </c>
      <c r="G294" s="29">
        <f t="shared" si="9"/>
        <v>0</v>
      </c>
    </row>
    <row r="295" spans="1:7" x14ac:dyDescent="0.2">
      <c r="A295">
        <v>2015</v>
      </c>
      <c r="B295" s="29">
        <v>5305</v>
      </c>
      <c r="C295" s="3" t="s">
        <v>301</v>
      </c>
      <c r="D295" s="12">
        <v>171801</v>
      </c>
      <c r="E295" s="31">
        <v>0</v>
      </c>
      <c r="F295" s="30">
        <f t="shared" si="8"/>
        <v>171801</v>
      </c>
      <c r="G295" s="29">
        <f t="shared" si="9"/>
        <v>0</v>
      </c>
    </row>
    <row r="296" spans="1:7" x14ac:dyDescent="0.2">
      <c r="A296">
        <v>2015</v>
      </c>
      <c r="B296" s="29">
        <v>5306</v>
      </c>
      <c r="C296" s="3" t="s">
        <v>302</v>
      </c>
      <c r="D296" s="12">
        <v>815782</v>
      </c>
      <c r="E296" s="31">
        <v>0</v>
      </c>
      <c r="F296" s="30">
        <f t="shared" si="8"/>
        <v>815782</v>
      </c>
      <c r="G296" s="29">
        <f t="shared" si="9"/>
        <v>0</v>
      </c>
    </row>
    <row r="297" spans="1:7" x14ac:dyDescent="0.2">
      <c r="A297">
        <v>2015</v>
      </c>
      <c r="B297" s="29">
        <v>5307</v>
      </c>
      <c r="C297" s="3" t="s">
        <v>303</v>
      </c>
      <c r="D297" s="12">
        <v>83246</v>
      </c>
      <c r="E297" s="31">
        <v>0</v>
      </c>
      <c r="F297" s="30">
        <f t="shared" si="8"/>
        <v>83246</v>
      </c>
      <c r="G297" s="29">
        <f t="shared" si="9"/>
        <v>0</v>
      </c>
    </row>
    <row r="298" spans="1:7" x14ac:dyDescent="0.2">
      <c r="A298">
        <v>2015</v>
      </c>
      <c r="B298" s="29">
        <v>5308</v>
      </c>
      <c r="C298" s="3" t="s">
        <v>304</v>
      </c>
      <c r="D298" s="12">
        <v>6601665</v>
      </c>
      <c r="E298" s="31">
        <v>0</v>
      </c>
      <c r="F298" s="30">
        <f t="shared" si="8"/>
        <v>6601665</v>
      </c>
      <c r="G298" s="29">
        <f t="shared" si="9"/>
        <v>0</v>
      </c>
    </row>
    <row r="299" spans="1:7" x14ac:dyDescent="0.2">
      <c r="A299">
        <v>2015</v>
      </c>
      <c r="B299" s="29">
        <v>5309</v>
      </c>
      <c r="C299" s="3" t="s">
        <v>305</v>
      </c>
      <c r="D299" s="12">
        <v>496098</v>
      </c>
      <c r="E299" s="31">
        <v>0</v>
      </c>
      <c r="F299" s="30">
        <f t="shared" si="8"/>
        <v>496098</v>
      </c>
      <c r="G299" s="29">
        <f t="shared" si="9"/>
        <v>0</v>
      </c>
    </row>
    <row r="300" spans="1:7" x14ac:dyDescent="0.2">
      <c r="A300">
        <v>2015</v>
      </c>
      <c r="B300" s="29">
        <v>5310</v>
      </c>
      <c r="C300" s="3" t="s">
        <v>306</v>
      </c>
      <c r="D300" s="12">
        <v>61333</v>
      </c>
      <c r="E300" s="31">
        <v>0</v>
      </c>
      <c r="F300" s="30">
        <f t="shared" si="8"/>
        <v>61333</v>
      </c>
      <c r="G300" s="29">
        <f t="shared" si="9"/>
        <v>0</v>
      </c>
    </row>
    <row r="301" spans="1:7" x14ac:dyDescent="0.2">
      <c r="A301">
        <v>2015</v>
      </c>
      <c r="B301" s="29">
        <v>5312</v>
      </c>
      <c r="C301" s="3" t="s">
        <v>307</v>
      </c>
      <c r="D301" s="12">
        <v>2344296</v>
      </c>
      <c r="E301" s="31">
        <v>0</v>
      </c>
      <c r="F301" s="30">
        <f t="shared" si="8"/>
        <v>2344296</v>
      </c>
      <c r="G301" s="29">
        <f t="shared" si="9"/>
        <v>0</v>
      </c>
    </row>
    <row r="302" spans="1:7" x14ac:dyDescent="0.2">
      <c r="A302">
        <v>2015</v>
      </c>
      <c r="B302" s="29">
        <v>5313</v>
      </c>
      <c r="C302" s="3" t="s">
        <v>308</v>
      </c>
      <c r="D302" s="12">
        <v>243566</v>
      </c>
      <c r="E302" s="31">
        <v>0</v>
      </c>
      <c r="F302" s="30">
        <f t="shared" si="8"/>
        <v>243566</v>
      </c>
      <c r="G302" s="29">
        <f t="shared" si="9"/>
        <v>0</v>
      </c>
    </row>
    <row r="303" spans="1:7" x14ac:dyDescent="0.2">
      <c r="A303">
        <v>2015</v>
      </c>
      <c r="B303" s="29">
        <v>5314</v>
      </c>
      <c r="C303" s="3" t="s">
        <v>309</v>
      </c>
      <c r="D303" s="12">
        <v>9206865</v>
      </c>
      <c r="E303" s="31">
        <v>0</v>
      </c>
      <c r="F303" s="30">
        <f t="shared" si="8"/>
        <v>9206865</v>
      </c>
      <c r="G303" s="29">
        <f t="shared" si="9"/>
        <v>0</v>
      </c>
    </row>
    <row r="304" spans="1:7" x14ac:dyDescent="0.2">
      <c r="A304">
        <v>2015</v>
      </c>
      <c r="B304" s="29">
        <v>5316</v>
      </c>
      <c r="C304" s="3" t="s">
        <v>310</v>
      </c>
      <c r="D304" s="12">
        <v>236020</v>
      </c>
      <c r="E304" s="31">
        <v>0</v>
      </c>
      <c r="F304" s="30">
        <f t="shared" si="8"/>
        <v>236020</v>
      </c>
      <c r="G304" s="29">
        <f t="shared" si="9"/>
        <v>0</v>
      </c>
    </row>
    <row r="305" spans="1:7" x14ac:dyDescent="0.2">
      <c r="A305">
        <v>2015</v>
      </c>
      <c r="B305" s="29">
        <v>5317</v>
      </c>
      <c r="C305" s="3" t="s">
        <v>311</v>
      </c>
      <c r="D305" s="16">
        <v>314881</v>
      </c>
      <c r="E305" s="31">
        <v>0</v>
      </c>
      <c r="F305" s="30">
        <f t="shared" ref="F305:F338" si="10">SUM(D305:E305)</f>
        <v>314881</v>
      </c>
      <c r="G305" s="29">
        <f t="shared" si="9"/>
        <v>0</v>
      </c>
    </row>
    <row r="306" spans="1:7" x14ac:dyDescent="0.2">
      <c r="A306">
        <v>2015</v>
      </c>
      <c r="B306" s="29">
        <v>5318</v>
      </c>
      <c r="C306" s="3" t="s">
        <v>312</v>
      </c>
      <c r="D306" s="12">
        <v>439303</v>
      </c>
      <c r="E306" s="31">
        <v>0</v>
      </c>
      <c r="F306" s="30">
        <f t="shared" si="10"/>
        <v>439303</v>
      </c>
      <c r="G306" s="29">
        <f t="shared" si="9"/>
        <v>0</v>
      </c>
    </row>
    <row r="307" spans="1:7" x14ac:dyDescent="0.2">
      <c r="A307">
        <v>2015</v>
      </c>
      <c r="B307" s="29">
        <v>5319</v>
      </c>
      <c r="C307" s="3" t="s">
        <v>313</v>
      </c>
      <c r="D307" s="12">
        <v>470074</v>
      </c>
      <c r="E307" s="31">
        <v>0</v>
      </c>
      <c r="F307" s="30">
        <f t="shared" si="10"/>
        <v>470074</v>
      </c>
      <c r="G307" s="29">
        <f t="shared" si="9"/>
        <v>0</v>
      </c>
    </row>
    <row r="308" spans="1:7" x14ac:dyDescent="0.2">
      <c r="A308">
        <v>2015</v>
      </c>
      <c r="B308" s="29">
        <v>5320</v>
      </c>
      <c r="C308" s="3" t="s">
        <v>314</v>
      </c>
      <c r="D308" s="12">
        <v>172862</v>
      </c>
      <c r="E308" s="31">
        <v>0</v>
      </c>
      <c r="F308" s="30">
        <f t="shared" si="10"/>
        <v>172862</v>
      </c>
      <c r="G308" s="29">
        <f t="shared" si="9"/>
        <v>0</v>
      </c>
    </row>
    <row r="309" spans="1:7" x14ac:dyDescent="0.2">
      <c r="A309">
        <v>2015</v>
      </c>
      <c r="B309" s="29">
        <v>5321</v>
      </c>
      <c r="C309" s="3" t="s">
        <v>315</v>
      </c>
      <c r="D309" s="12">
        <v>260917</v>
      </c>
      <c r="E309" s="31">
        <v>0</v>
      </c>
      <c r="F309" s="30">
        <f t="shared" si="10"/>
        <v>260917</v>
      </c>
      <c r="G309" s="29">
        <f t="shared" si="9"/>
        <v>0</v>
      </c>
    </row>
    <row r="310" spans="1:7" x14ac:dyDescent="0.2">
      <c r="A310">
        <v>2015</v>
      </c>
      <c r="B310" s="29">
        <v>5322</v>
      </c>
      <c r="C310" s="3" t="s">
        <v>316</v>
      </c>
      <c r="D310" s="12">
        <v>312424</v>
      </c>
      <c r="E310" s="31">
        <v>0</v>
      </c>
      <c r="F310" s="30">
        <f t="shared" si="10"/>
        <v>312424</v>
      </c>
      <c r="G310" s="29">
        <f t="shared" si="9"/>
        <v>0</v>
      </c>
    </row>
    <row r="311" spans="1:7" x14ac:dyDescent="0.2">
      <c r="A311">
        <v>2015</v>
      </c>
      <c r="B311" s="29">
        <v>5324</v>
      </c>
      <c r="C311" s="3" t="s">
        <v>317</v>
      </c>
      <c r="D311" s="12">
        <v>15565329</v>
      </c>
      <c r="E311" s="31">
        <v>0</v>
      </c>
      <c r="F311" s="30">
        <f t="shared" si="10"/>
        <v>15565329</v>
      </c>
      <c r="G311" s="29">
        <f t="shared" si="9"/>
        <v>0</v>
      </c>
    </row>
    <row r="312" spans="1:7" x14ac:dyDescent="0.2">
      <c r="A312">
        <v>2015</v>
      </c>
      <c r="B312" s="29">
        <v>5329</v>
      </c>
      <c r="C312" s="3" t="s">
        <v>318</v>
      </c>
      <c r="D312" s="12">
        <v>147512</v>
      </c>
      <c r="E312" s="31">
        <v>0</v>
      </c>
      <c r="F312" s="30">
        <f t="shared" si="10"/>
        <v>147512</v>
      </c>
      <c r="G312" s="29">
        <f t="shared" si="9"/>
        <v>0</v>
      </c>
    </row>
    <row r="313" spans="1:7" x14ac:dyDescent="0.2">
      <c r="A313">
        <v>2015</v>
      </c>
      <c r="B313" s="29">
        <v>5330</v>
      </c>
      <c r="C313" s="3" t="s">
        <v>319</v>
      </c>
      <c r="D313" s="12">
        <v>725639</v>
      </c>
      <c r="E313" s="31">
        <v>0</v>
      </c>
      <c r="F313" s="30">
        <f t="shared" si="10"/>
        <v>725639</v>
      </c>
      <c r="G313" s="29">
        <f t="shared" si="9"/>
        <v>0</v>
      </c>
    </row>
    <row r="314" spans="1:7" x14ac:dyDescent="0.2">
      <c r="A314">
        <v>2015</v>
      </c>
      <c r="B314" s="29">
        <v>5331</v>
      </c>
      <c r="C314" s="3" t="s">
        <v>320</v>
      </c>
      <c r="D314" s="12">
        <v>728905</v>
      </c>
      <c r="E314" s="31">
        <v>0</v>
      </c>
      <c r="F314" s="30">
        <f t="shared" si="10"/>
        <v>728905</v>
      </c>
      <c r="G314" s="29">
        <f t="shared" si="9"/>
        <v>0</v>
      </c>
    </row>
    <row r="315" spans="1:7" x14ac:dyDescent="0.2">
      <c r="A315">
        <v>2015</v>
      </c>
      <c r="B315" s="29">
        <v>5332</v>
      </c>
      <c r="C315" s="3" t="s">
        <v>321</v>
      </c>
      <c r="D315" s="12">
        <v>824439</v>
      </c>
      <c r="E315" s="31">
        <v>0</v>
      </c>
      <c r="F315" s="30">
        <f t="shared" si="10"/>
        <v>824439</v>
      </c>
      <c r="G315" s="29">
        <f t="shared" si="9"/>
        <v>0</v>
      </c>
    </row>
    <row r="316" spans="1:7" x14ac:dyDescent="0.2">
      <c r="A316">
        <v>2015</v>
      </c>
      <c r="B316" s="29">
        <v>5333</v>
      </c>
      <c r="C316" s="3" t="s">
        <v>322</v>
      </c>
      <c r="D316" s="12">
        <v>312160</v>
      </c>
      <c r="E316" s="31">
        <v>0</v>
      </c>
      <c r="F316" s="30">
        <f t="shared" si="10"/>
        <v>312160</v>
      </c>
      <c r="G316" s="29">
        <f t="shared" si="9"/>
        <v>0</v>
      </c>
    </row>
    <row r="317" spans="1:7" x14ac:dyDescent="0.2">
      <c r="A317">
        <v>2015</v>
      </c>
      <c r="B317" s="29">
        <v>5337</v>
      </c>
      <c r="C317" s="3" t="s">
        <v>323</v>
      </c>
      <c r="D317" s="12">
        <v>1074546</v>
      </c>
      <c r="E317" s="31">
        <v>0</v>
      </c>
      <c r="F317" s="30">
        <f t="shared" si="10"/>
        <v>1074546</v>
      </c>
      <c r="G317" s="29">
        <f t="shared" si="9"/>
        <v>0</v>
      </c>
    </row>
    <row r="318" spans="1:7" x14ac:dyDescent="0.2">
      <c r="A318">
        <v>2015</v>
      </c>
      <c r="B318" s="29">
        <v>5366</v>
      </c>
      <c r="C318" s="3" t="s">
        <v>324</v>
      </c>
      <c r="D318" s="12">
        <v>529714</v>
      </c>
      <c r="E318" s="31">
        <v>0</v>
      </c>
      <c r="F318" s="30">
        <f t="shared" si="10"/>
        <v>529714</v>
      </c>
      <c r="G318" s="29">
        <f t="shared" si="9"/>
        <v>0</v>
      </c>
    </row>
    <row r="319" spans="1:7" x14ac:dyDescent="0.2">
      <c r="A319">
        <v>2015</v>
      </c>
      <c r="B319" s="29">
        <v>5367</v>
      </c>
      <c r="C319" s="3" t="s">
        <v>325</v>
      </c>
      <c r="D319" s="12">
        <v>232773</v>
      </c>
      <c r="E319" s="31">
        <v>0</v>
      </c>
      <c r="F319" s="30">
        <f t="shared" si="10"/>
        <v>232773</v>
      </c>
      <c r="G319" s="29">
        <f t="shared" si="9"/>
        <v>0</v>
      </c>
    </row>
    <row r="320" spans="1:7" x14ac:dyDescent="0.2">
      <c r="A320">
        <v>2015</v>
      </c>
      <c r="B320" s="29">
        <v>5368</v>
      </c>
      <c r="C320" s="3" t="s">
        <v>326</v>
      </c>
      <c r="D320" s="12">
        <v>332971</v>
      </c>
      <c r="E320" s="31">
        <v>0</v>
      </c>
      <c r="F320" s="30">
        <f t="shared" si="10"/>
        <v>332971</v>
      </c>
      <c r="G320" s="29">
        <f t="shared" si="9"/>
        <v>0</v>
      </c>
    </row>
    <row r="321" spans="1:7" x14ac:dyDescent="0.2">
      <c r="A321">
        <v>2015</v>
      </c>
      <c r="B321" s="29">
        <v>5405</v>
      </c>
      <c r="C321" s="3" t="s">
        <v>327</v>
      </c>
      <c r="D321" s="12">
        <v>90347</v>
      </c>
      <c r="E321" s="31">
        <v>0</v>
      </c>
      <c r="F321" s="30">
        <f t="shared" si="10"/>
        <v>90347</v>
      </c>
      <c r="G321" s="29">
        <f t="shared" si="9"/>
        <v>0</v>
      </c>
    </row>
    <row r="322" spans="1:7" x14ac:dyDescent="0.2">
      <c r="A322">
        <v>2015</v>
      </c>
      <c r="B322" s="29">
        <v>5409</v>
      </c>
      <c r="C322" s="3" t="s">
        <v>328</v>
      </c>
      <c r="D322" s="12">
        <v>149265</v>
      </c>
      <c r="E322" s="31">
        <v>0</v>
      </c>
      <c r="F322" s="30">
        <f t="shared" si="10"/>
        <v>149265</v>
      </c>
      <c r="G322" s="29">
        <f t="shared" si="9"/>
        <v>0</v>
      </c>
    </row>
    <row r="323" spans="1:7" x14ac:dyDescent="0.2">
      <c r="A323">
        <v>2015</v>
      </c>
      <c r="B323" s="29">
        <v>5410</v>
      </c>
      <c r="C323" s="3" t="s">
        <v>329</v>
      </c>
      <c r="D323" s="12">
        <v>164055</v>
      </c>
      <c r="E323" s="31">
        <v>0</v>
      </c>
      <c r="F323" s="30">
        <f t="shared" si="10"/>
        <v>164055</v>
      </c>
      <c r="G323" s="29">
        <f t="shared" ref="G323:G338" si="11">E323/$E$340</f>
        <v>0</v>
      </c>
    </row>
    <row r="324" spans="1:7" x14ac:dyDescent="0.2">
      <c r="A324">
        <v>2015</v>
      </c>
      <c r="B324" s="29">
        <v>5430</v>
      </c>
      <c r="C324" s="3" t="s">
        <v>330</v>
      </c>
      <c r="D324" s="12">
        <v>16201599</v>
      </c>
      <c r="E324" s="31">
        <v>0</v>
      </c>
      <c r="F324" s="30">
        <f t="shared" si="10"/>
        <v>16201599</v>
      </c>
      <c r="G324" s="29">
        <f t="shared" si="11"/>
        <v>0</v>
      </c>
    </row>
    <row r="325" spans="1:7" x14ac:dyDescent="0.2">
      <c r="A325">
        <v>2015</v>
      </c>
      <c r="B325" s="29">
        <v>5436</v>
      </c>
      <c r="C325" s="3" t="s">
        <v>331</v>
      </c>
      <c r="D325" s="12">
        <v>378324</v>
      </c>
      <c r="E325" s="31">
        <v>0</v>
      </c>
      <c r="F325" s="30">
        <f t="shared" si="10"/>
        <v>378324</v>
      </c>
      <c r="G325" s="29">
        <f t="shared" si="11"/>
        <v>0</v>
      </c>
    </row>
    <row r="326" spans="1:7" x14ac:dyDescent="0.2">
      <c r="A326">
        <v>2015</v>
      </c>
      <c r="B326" s="29">
        <v>5590</v>
      </c>
      <c r="C326" s="3" t="s">
        <v>332</v>
      </c>
      <c r="D326" s="12">
        <v>85354</v>
      </c>
      <c r="E326" s="31">
        <v>0</v>
      </c>
      <c r="F326" s="30">
        <f t="shared" si="10"/>
        <v>85354</v>
      </c>
      <c r="G326" s="29">
        <f t="shared" si="11"/>
        <v>0</v>
      </c>
    </row>
    <row r="327" spans="1:7" x14ac:dyDescent="0.2">
      <c r="A327">
        <v>2015</v>
      </c>
      <c r="B327" s="29">
        <v>5696</v>
      </c>
      <c r="C327" s="3" t="s">
        <v>333</v>
      </c>
      <c r="D327" s="12">
        <v>174983</v>
      </c>
      <c r="E327" s="31">
        <v>0</v>
      </c>
      <c r="F327" s="30">
        <f t="shared" si="10"/>
        <v>174983</v>
      </c>
      <c r="G327" s="29">
        <f t="shared" si="11"/>
        <v>0</v>
      </c>
    </row>
    <row r="328" spans="1:7" x14ac:dyDescent="0.2">
      <c r="A328">
        <v>2015</v>
      </c>
      <c r="B328" s="29">
        <v>9291</v>
      </c>
      <c r="C328" s="3" t="s">
        <v>334</v>
      </c>
      <c r="D328" s="12">
        <v>221389</v>
      </c>
      <c r="E328" s="31">
        <v>0</v>
      </c>
      <c r="F328" s="30">
        <f t="shared" si="10"/>
        <v>221389</v>
      </c>
      <c r="G328" s="29">
        <f t="shared" si="11"/>
        <v>0</v>
      </c>
    </row>
    <row r="329" spans="1:7" x14ac:dyDescent="0.2">
      <c r="A329">
        <v>2015</v>
      </c>
      <c r="B329" s="29">
        <v>9302</v>
      </c>
      <c r="C329" s="3" t="s">
        <v>335</v>
      </c>
      <c r="D329" s="12">
        <v>100472</v>
      </c>
      <c r="E329" s="31">
        <v>0</v>
      </c>
      <c r="F329" s="30">
        <f t="shared" si="10"/>
        <v>100472</v>
      </c>
      <c r="G329" s="29">
        <f t="shared" si="11"/>
        <v>0</v>
      </c>
    </row>
    <row r="330" spans="1:7" x14ac:dyDescent="0.2">
      <c r="A330">
        <v>2015</v>
      </c>
      <c r="B330" s="29">
        <v>9332</v>
      </c>
      <c r="C330" s="3" t="s">
        <v>336</v>
      </c>
      <c r="D330" s="12">
        <v>197143</v>
      </c>
      <c r="E330" s="31">
        <v>0</v>
      </c>
      <c r="F330" s="30">
        <f t="shared" si="10"/>
        <v>197143</v>
      </c>
      <c r="G330" s="29">
        <f t="shared" si="11"/>
        <v>0</v>
      </c>
    </row>
    <row r="331" spans="1:7" x14ac:dyDescent="0.2">
      <c r="A331">
        <v>2015</v>
      </c>
      <c r="B331" s="29">
        <v>9333</v>
      </c>
      <c r="C331" s="3" t="s">
        <v>337</v>
      </c>
      <c r="D331" s="12">
        <v>230945</v>
      </c>
      <c r="E331" s="31">
        <v>0</v>
      </c>
      <c r="F331" s="30">
        <f t="shared" si="10"/>
        <v>230945</v>
      </c>
      <c r="G331" s="29">
        <f t="shared" si="11"/>
        <v>0</v>
      </c>
    </row>
    <row r="332" spans="1:7" x14ac:dyDescent="0.2">
      <c r="A332">
        <v>2015</v>
      </c>
      <c r="B332" s="29">
        <v>9335</v>
      </c>
      <c r="C332" s="3" t="s">
        <v>338</v>
      </c>
      <c r="D332" s="12">
        <v>249524</v>
      </c>
      <c r="E332" s="31">
        <v>0</v>
      </c>
      <c r="F332" s="30">
        <f t="shared" si="10"/>
        <v>249524</v>
      </c>
      <c r="G332" s="29">
        <f t="shared" si="11"/>
        <v>0</v>
      </c>
    </row>
    <row r="333" spans="1:7" x14ac:dyDescent="0.2">
      <c r="A333">
        <v>2015</v>
      </c>
      <c r="B333" s="29">
        <v>9389</v>
      </c>
      <c r="C333" s="3" t="s">
        <v>339</v>
      </c>
      <c r="D333" s="12">
        <v>185385</v>
      </c>
      <c r="E333" s="31">
        <v>0</v>
      </c>
      <c r="F333" s="30">
        <f t="shared" si="10"/>
        <v>185385</v>
      </c>
      <c r="G333" s="29">
        <f t="shared" si="11"/>
        <v>0</v>
      </c>
    </row>
    <row r="334" spans="1:7" x14ac:dyDescent="0.2">
      <c r="A334">
        <v>2015</v>
      </c>
      <c r="B334" s="29">
        <v>9410</v>
      </c>
      <c r="C334" s="3" t="s">
        <v>340</v>
      </c>
      <c r="D334" s="12">
        <v>237572</v>
      </c>
      <c r="E334" s="31">
        <v>0</v>
      </c>
      <c r="F334" s="30">
        <f t="shared" si="10"/>
        <v>237572</v>
      </c>
      <c r="G334" s="29">
        <f t="shared" si="11"/>
        <v>0</v>
      </c>
    </row>
    <row r="335" spans="1:7" x14ac:dyDescent="0.2">
      <c r="A335">
        <v>2015</v>
      </c>
      <c r="B335" s="29">
        <v>9444</v>
      </c>
      <c r="C335" s="3" t="s">
        <v>341</v>
      </c>
      <c r="D335" s="12">
        <v>373997</v>
      </c>
      <c r="E335" s="31">
        <v>0</v>
      </c>
      <c r="F335" s="30">
        <f t="shared" si="10"/>
        <v>373997</v>
      </c>
      <c r="G335" s="29">
        <f t="shared" si="11"/>
        <v>0</v>
      </c>
    </row>
    <row r="336" spans="1:7" x14ac:dyDescent="0.2">
      <c r="A336">
        <v>2015</v>
      </c>
      <c r="B336" s="29">
        <v>9445</v>
      </c>
      <c r="C336" s="3" t="s">
        <v>342</v>
      </c>
      <c r="D336" s="12">
        <v>393402</v>
      </c>
      <c r="E336" s="31">
        <v>0</v>
      </c>
      <c r="F336" s="30">
        <f t="shared" si="10"/>
        <v>393402</v>
      </c>
      <c r="G336" s="29">
        <f t="shared" si="11"/>
        <v>0</v>
      </c>
    </row>
    <row r="337" spans="1:7" x14ac:dyDescent="0.2">
      <c r="A337">
        <v>2015</v>
      </c>
      <c r="B337" s="29">
        <v>9446</v>
      </c>
      <c r="C337" s="3" t="s">
        <v>343</v>
      </c>
      <c r="D337" s="12">
        <v>654948</v>
      </c>
      <c r="E337" s="31">
        <v>0</v>
      </c>
      <c r="F337" s="30">
        <f t="shared" si="10"/>
        <v>654948</v>
      </c>
      <c r="G337" s="29">
        <f t="shared" si="11"/>
        <v>0</v>
      </c>
    </row>
    <row r="338" spans="1:7" x14ac:dyDescent="0.2">
      <c r="A338">
        <v>2015</v>
      </c>
      <c r="B338" s="29">
        <v>9461</v>
      </c>
      <c r="C338" s="3" t="s">
        <v>344</v>
      </c>
      <c r="D338" s="12">
        <v>441821</v>
      </c>
      <c r="E338" s="31">
        <v>0</v>
      </c>
      <c r="F338" s="30">
        <f t="shared" si="10"/>
        <v>441821</v>
      </c>
      <c r="G338" s="29">
        <f t="shared" si="11"/>
        <v>0</v>
      </c>
    </row>
    <row r="340" spans="1:7" x14ac:dyDescent="0.2">
      <c r="D340" s="16">
        <f>SUM(D2:D338)</f>
        <v>292708133</v>
      </c>
      <c r="E340" s="16" cm="1">
        <f t="array" ref="E340">SUM(+E2:E338)</f>
        <v>45182397</v>
      </c>
    </row>
    <row r="343" spans="1:7" x14ac:dyDescent="0.2">
      <c r="D343" s="12">
        <v>291015489</v>
      </c>
    </row>
    <row r="344" spans="1:7" x14ac:dyDescent="0.2">
      <c r="D344" s="12">
        <v>1692644</v>
      </c>
    </row>
    <row r="345" spans="1:7" x14ac:dyDescent="0.2">
      <c r="D345" s="12">
        <f>SUM(D343:D344)</f>
        <v>292708133</v>
      </c>
      <c r="E345" s="12">
        <v>45182397</v>
      </c>
    </row>
    <row r="346" spans="1:7" x14ac:dyDescent="0.2">
      <c r="E346" s="12"/>
    </row>
    <row r="347" spans="1:7" x14ac:dyDescent="0.2">
      <c r="C347" s="32" t="s">
        <v>349</v>
      </c>
      <c r="D347" s="13" t="b">
        <f>D340=D345</f>
        <v>1</v>
      </c>
      <c r="E347" s="33" t="b">
        <f>E340=E345</f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FE99B-FFAB-0F4B-ADE0-46BDF843DEEF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174D-F095-3B4F-A4A6-03DF1622F6C4}">
  <sheetPr>
    <tabColor rgb="FFFFFF00"/>
  </sheetPr>
  <dimension ref="A1:C2979"/>
  <sheetViews>
    <sheetView topLeftCell="A2932" workbookViewId="0">
      <selection activeCell="G2965" sqref="G2965"/>
    </sheetView>
  </sheetViews>
  <sheetFormatPr baseColWidth="10" defaultRowHeight="16" x14ac:dyDescent="0.2"/>
  <cols>
    <col min="1" max="1" width="12.33203125" bestFit="1" customWidth="1"/>
    <col min="2" max="2" width="48" bestFit="1" customWidth="1"/>
  </cols>
  <sheetData>
    <row r="1" spans="1:3" x14ac:dyDescent="0.2">
      <c r="A1" s="3" t="s">
        <v>5</v>
      </c>
      <c r="B1" s="3" t="s">
        <v>4</v>
      </c>
      <c r="C1" s="3" t="s">
        <v>0</v>
      </c>
    </row>
    <row r="2" spans="1:3" x14ac:dyDescent="0.2">
      <c r="A2" s="3">
        <v>4828</v>
      </c>
      <c r="B2" s="3" t="s">
        <v>59</v>
      </c>
      <c r="C2">
        <v>2012360</v>
      </c>
    </row>
    <row r="3" spans="1:3" x14ac:dyDescent="0.2">
      <c r="A3" s="3">
        <v>4828</v>
      </c>
      <c r="B3" s="3" t="s">
        <v>59</v>
      </c>
      <c r="C3">
        <v>2012360</v>
      </c>
    </row>
    <row r="4" spans="1:3" x14ac:dyDescent="0.2">
      <c r="A4" s="3">
        <v>4828</v>
      </c>
      <c r="B4" s="3" t="s">
        <v>59</v>
      </c>
      <c r="C4">
        <v>2012360</v>
      </c>
    </row>
    <row r="5" spans="1:3" x14ac:dyDescent="0.2">
      <c r="A5">
        <v>4828</v>
      </c>
      <c r="B5" t="s">
        <v>59</v>
      </c>
      <c r="C5">
        <v>2012360</v>
      </c>
    </row>
    <row r="6" spans="1:3" x14ac:dyDescent="0.2">
      <c r="A6">
        <v>4828</v>
      </c>
      <c r="B6" t="s">
        <v>59</v>
      </c>
      <c r="C6">
        <v>2012360</v>
      </c>
    </row>
    <row r="7" spans="1:3" x14ac:dyDescent="0.2">
      <c r="A7">
        <v>4828</v>
      </c>
      <c r="B7" t="s">
        <v>59</v>
      </c>
      <c r="C7">
        <v>2012360</v>
      </c>
    </row>
    <row r="8" spans="1:3" x14ac:dyDescent="0.2">
      <c r="A8">
        <v>4828</v>
      </c>
      <c r="B8" t="s">
        <v>59</v>
      </c>
      <c r="C8">
        <v>2012360</v>
      </c>
    </row>
    <row r="9" spans="1:3" x14ac:dyDescent="0.2">
      <c r="A9">
        <v>4828</v>
      </c>
      <c r="B9" t="s">
        <v>59</v>
      </c>
      <c r="C9">
        <v>2012360</v>
      </c>
    </row>
    <row r="10" spans="1:3" x14ac:dyDescent="0.2">
      <c r="A10">
        <v>4828</v>
      </c>
      <c r="B10" s="9" t="s">
        <v>59</v>
      </c>
      <c r="C10">
        <v>2012360</v>
      </c>
    </row>
    <row r="11" spans="1:3" x14ac:dyDescent="0.2">
      <c r="A11" s="3">
        <v>4829</v>
      </c>
      <c r="B11" s="3" t="s">
        <v>60</v>
      </c>
      <c r="C11">
        <v>2010680</v>
      </c>
    </row>
    <row r="12" spans="1:3" x14ac:dyDescent="0.2">
      <c r="A12" s="3">
        <v>4829</v>
      </c>
      <c r="B12" s="3" t="s">
        <v>60</v>
      </c>
      <c r="C12">
        <v>2010680</v>
      </c>
    </row>
    <row r="13" spans="1:3" x14ac:dyDescent="0.2">
      <c r="A13" s="3">
        <v>4829</v>
      </c>
      <c r="B13" s="3" t="s">
        <v>60</v>
      </c>
      <c r="C13">
        <v>2010680</v>
      </c>
    </row>
    <row r="14" spans="1:3" x14ac:dyDescent="0.2">
      <c r="A14">
        <v>4829</v>
      </c>
      <c r="B14" t="s">
        <v>60</v>
      </c>
      <c r="C14">
        <v>2010680</v>
      </c>
    </row>
    <row r="15" spans="1:3" x14ac:dyDescent="0.2">
      <c r="A15">
        <v>4829</v>
      </c>
      <c r="B15" t="s">
        <v>60</v>
      </c>
      <c r="C15">
        <v>2010680</v>
      </c>
    </row>
    <row r="16" spans="1:3" x14ac:dyDescent="0.2">
      <c r="A16">
        <v>4829</v>
      </c>
      <c r="B16" t="s">
        <v>60</v>
      </c>
      <c r="C16">
        <v>2010680</v>
      </c>
    </row>
    <row r="17" spans="1:3" x14ac:dyDescent="0.2">
      <c r="A17">
        <v>4829</v>
      </c>
      <c r="B17" t="s">
        <v>60</v>
      </c>
      <c r="C17">
        <v>2010680</v>
      </c>
    </row>
    <row r="18" spans="1:3" x14ac:dyDescent="0.2">
      <c r="A18">
        <v>4829</v>
      </c>
      <c r="B18" t="s">
        <v>60</v>
      </c>
      <c r="C18">
        <v>2010680</v>
      </c>
    </row>
    <row r="19" spans="1:3" x14ac:dyDescent="0.2">
      <c r="A19">
        <v>4829</v>
      </c>
      <c r="B19" s="9" t="s">
        <v>60</v>
      </c>
      <c r="C19">
        <v>2010680</v>
      </c>
    </row>
    <row r="20" spans="1:3" x14ac:dyDescent="0.2">
      <c r="A20" s="3">
        <v>4871</v>
      </c>
      <c r="B20" s="3" t="s">
        <v>61</v>
      </c>
      <c r="C20">
        <v>2008550</v>
      </c>
    </row>
    <row r="21" spans="1:3" x14ac:dyDescent="0.2">
      <c r="A21" s="3">
        <v>4871</v>
      </c>
      <c r="B21" s="3" t="s">
        <v>61</v>
      </c>
      <c r="C21">
        <v>2008550</v>
      </c>
    </row>
    <row r="22" spans="1:3" x14ac:dyDescent="0.2">
      <c r="A22" s="3">
        <v>4871</v>
      </c>
      <c r="B22" s="3" t="s">
        <v>61</v>
      </c>
      <c r="C22">
        <v>2008550</v>
      </c>
    </row>
    <row r="23" spans="1:3" x14ac:dyDescent="0.2">
      <c r="A23">
        <v>4871</v>
      </c>
      <c r="B23" t="s">
        <v>61</v>
      </c>
      <c r="C23">
        <v>2008550</v>
      </c>
    </row>
    <row r="24" spans="1:3" x14ac:dyDescent="0.2">
      <c r="A24">
        <v>4871</v>
      </c>
      <c r="B24" t="s">
        <v>61</v>
      </c>
      <c r="C24">
        <v>2008550</v>
      </c>
    </row>
    <row r="25" spans="1:3" x14ac:dyDescent="0.2">
      <c r="A25">
        <v>4871</v>
      </c>
      <c r="B25" t="s">
        <v>61</v>
      </c>
      <c r="C25">
        <v>2008550</v>
      </c>
    </row>
    <row r="26" spans="1:3" x14ac:dyDescent="0.2">
      <c r="A26">
        <v>4871</v>
      </c>
      <c r="B26" t="s">
        <v>61</v>
      </c>
      <c r="C26">
        <v>2008550</v>
      </c>
    </row>
    <row r="27" spans="1:3" x14ac:dyDescent="0.2">
      <c r="A27">
        <v>4871</v>
      </c>
      <c r="B27" t="s">
        <v>61</v>
      </c>
      <c r="C27">
        <v>2008550</v>
      </c>
    </row>
    <row r="28" spans="1:3" x14ac:dyDescent="0.2">
      <c r="A28">
        <v>4871</v>
      </c>
      <c r="B28" s="9" t="s">
        <v>61</v>
      </c>
      <c r="C28">
        <v>2008550</v>
      </c>
    </row>
    <row r="29" spans="1:3" x14ac:dyDescent="0.2">
      <c r="A29" s="3">
        <v>4882</v>
      </c>
      <c r="B29" s="3" t="s">
        <v>62</v>
      </c>
      <c r="C29">
        <v>2004050</v>
      </c>
    </row>
    <row r="30" spans="1:3" x14ac:dyDescent="0.2">
      <c r="A30" s="3">
        <v>4882</v>
      </c>
      <c r="B30" s="3" t="s">
        <v>62</v>
      </c>
      <c r="C30">
        <v>2004050</v>
      </c>
    </row>
    <row r="31" spans="1:3" x14ac:dyDescent="0.2">
      <c r="A31" s="3">
        <v>4882</v>
      </c>
      <c r="B31" s="3" t="s">
        <v>62</v>
      </c>
      <c r="C31">
        <v>2004050</v>
      </c>
    </row>
    <row r="32" spans="1:3" x14ac:dyDescent="0.2">
      <c r="A32">
        <v>4882</v>
      </c>
      <c r="B32" t="s">
        <v>62</v>
      </c>
      <c r="C32">
        <v>2004050</v>
      </c>
    </row>
    <row r="33" spans="1:3" x14ac:dyDescent="0.2">
      <c r="A33">
        <v>4882</v>
      </c>
      <c r="B33" t="s">
        <v>62</v>
      </c>
      <c r="C33">
        <v>2004050</v>
      </c>
    </row>
    <row r="34" spans="1:3" x14ac:dyDescent="0.2">
      <c r="A34">
        <v>4882</v>
      </c>
      <c r="B34" t="s">
        <v>62</v>
      </c>
      <c r="C34">
        <v>2004050</v>
      </c>
    </row>
    <row r="35" spans="1:3" x14ac:dyDescent="0.2">
      <c r="A35">
        <v>4882</v>
      </c>
      <c r="B35" t="s">
        <v>62</v>
      </c>
      <c r="C35">
        <v>2004050</v>
      </c>
    </row>
    <row r="36" spans="1:3" x14ac:dyDescent="0.2">
      <c r="A36">
        <v>4882</v>
      </c>
      <c r="B36" t="s">
        <v>62</v>
      </c>
      <c r="C36">
        <v>2004050</v>
      </c>
    </row>
    <row r="37" spans="1:3" x14ac:dyDescent="0.2">
      <c r="A37">
        <v>4882</v>
      </c>
      <c r="B37" s="9" t="s">
        <v>62</v>
      </c>
      <c r="C37">
        <v>2004050</v>
      </c>
    </row>
    <row r="38" spans="1:3" x14ac:dyDescent="0.2">
      <c r="A38" s="3">
        <v>4912</v>
      </c>
      <c r="B38" s="3" t="s">
        <v>63</v>
      </c>
      <c r="C38">
        <v>2006240</v>
      </c>
    </row>
    <row r="39" spans="1:3" x14ac:dyDescent="0.2">
      <c r="A39" s="3">
        <v>4912</v>
      </c>
      <c r="B39" s="3" t="s">
        <v>63</v>
      </c>
      <c r="C39">
        <v>2006240</v>
      </c>
    </row>
    <row r="40" spans="1:3" x14ac:dyDescent="0.2">
      <c r="A40" s="3">
        <v>4912</v>
      </c>
      <c r="B40" s="3" t="s">
        <v>63</v>
      </c>
      <c r="C40">
        <v>2006240</v>
      </c>
    </row>
    <row r="41" spans="1:3" x14ac:dyDescent="0.2">
      <c r="A41">
        <v>4912</v>
      </c>
      <c r="B41" t="s">
        <v>63</v>
      </c>
      <c r="C41">
        <v>2006240</v>
      </c>
    </row>
    <row r="42" spans="1:3" x14ac:dyDescent="0.2">
      <c r="A42">
        <v>4912</v>
      </c>
      <c r="B42" t="s">
        <v>63</v>
      </c>
      <c r="C42">
        <v>2006240</v>
      </c>
    </row>
    <row r="43" spans="1:3" x14ac:dyDescent="0.2">
      <c r="A43">
        <v>4912</v>
      </c>
      <c r="B43" t="s">
        <v>63</v>
      </c>
      <c r="C43">
        <v>2006240</v>
      </c>
    </row>
    <row r="44" spans="1:3" x14ac:dyDescent="0.2">
      <c r="A44">
        <v>4912</v>
      </c>
      <c r="B44" t="s">
        <v>63</v>
      </c>
      <c r="C44">
        <v>2006240</v>
      </c>
    </row>
    <row r="45" spans="1:3" x14ac:dyDescent="0.2">
      <c r="A45">
        <v>4912</v>
      </c>
      <c r="B45" t="s">
        <v>63</v>
      </c>
      <c r="C45">
        <v>2006240</v>
      </c>
    </row>
    <row r="46" spans="1:3" x14ac:dyDescent="0.2">
      <c r="A46">
        <v>4912</v>
      </c>
      <c r="B46" s="9" t="s">
        <v>63</v>
      </c>
      <c r="C46">
        <v>2006240</v>
      </c>
    </row>
    <row r="47" spans="1:3" x14ac:dyDescent="0.2">
      <c r="A47" s="3">
        <v>4930</v>
      </c>
      <c r="B47" s="3" t="s">
        <v>9</v>
      </c>
    </row>
    <row r="48" spans="1:3" x14ac:dyDescent="0.2">
      <c r="A48" s="3">
        <v>4930</v>
      </c>
      <c r="B48" s="3" t="s">
        <v>353</v>
      </c>
    </row>
    <row r="49" spans="1:3" x14ac:dyDescent="0.2">
      <c r="A49">
        <v>4930</v>
      </c>
      <c r="B49" t="s">
        <v>9</v>
      </c>
    </row>
    <row r="50" spans="1:3" x14ac:dyDescent="0.2">
      <c r="A50">
        <v>4930</v>
      </c>
      <c r="B50" t="s">
        <v>9</v>
      </c>
    </row>
    <row r="51" spans="1:3" x14ac:dyDescent="0.2">
      <c r="A51">
        <v>4930</v>
      </c>
      <c r="B51" t="s">
        <v>353</v>
      </c>
    </row>
    <row r="52" spans="1:3" x14ac:dyDescent="0.2">
      <c r="A52">
        <v>4930</v>
      </c>
      <c r="B52" t="s">
        <v>353</v>
      </c>
    </row>
    <row r="53" spans="1:3" x14ac:dyDescent="0.2">
      <c r="A53">
        <v>4930</v>
      </c>
      <c r="B53" t="s">
        <v>9</v>
      </c>
    </row>
    <row r="54" spans="1:3" x14ac:dyDescent="0.2">
      <c r="A54">
        <v>4930</v>
      </c>
      <c r="B54" s="9" t="s">
        <v>9</v>
      </c>
    </row>
    <row r="55" spans="1:3" x14ac:dyDescent="0.2">
      <c r="A55" s="3">
        <v>4931</v>
      </c>
      <c r="B55" s="3" t="s">
        <v>10</v>
      </c>
    </row>
    <row r="56" spans="1:3" x14ac:dyDescent="0.2">
      <c r="A56" s="3">
        <v>4931</v>
      </c>
      <c r="B56" s="3" t="s">
        <v>10</v>
      </c>
    </row>
    <row r="57" spans="1:3" x14ac:dyDescent="0.2">
      <c r="A57">
        <v>4931</v>
      </c>
      <c r="B57" t="s">
        <v>10</v>
      </c>
    </row>
    <row r="58" spans="1:3" x14ac:dyDescent="0.2">
      <c r="A58">
        <v>4931</v>
      </c>
      <c r="B58" t="s">
        <v>10</v>
      </c>
    </row>
    <row r="59" spans="1:3" x14ac:dyDescent="0.2">
      <c r="A59">
        <v>4931</v>
      </c>
      <c r="B59" t="s">
        <v>10</v>
      </c>
    </row>
    <row r="60" spans="1:3" x14ac:dyDescent="0.2">
      <c r="A60">
        <v>4931</v>
      </c>
      <c r="B60" t="s">
        <v>10</v>
      </c>
    </row>
    <row r="61" spans="1:3" x14ac:dyDescent="0.2">
      <c r="A61">
        <v>4931</v>
      </c>
      <c r="B61" t="s">
        <v>10</v>
      </c>
    </row>
    <row r="62" spans="1:3" x14ac:dyDescent="0.2">
      <c r="A62">
        <v>4931</v>
      </c>
      <c r="B62" s="9" t="s">
        <v>10</v>
      </c>
    </row>
    <row r="63" spans="1:3" x14ac:dyDescent="0.2">
      <c r="A63" s="3">
        <v>4977</v>
      </c>
      <c r="B63" s="3" t="s">
        <v>64</v>
      </c>
      <c r="C63">
        <v>2009720</v>
      </c>
    </row>
    <row r="64" spans="1:3" x14ac:dyDescent="0.2">
      <c r="A64" s="3">
        <v>4977</v>
      </c>
      <c r="B64" s="3" t="s">
        <v>64</v>
      </c>
      <c r="C64">
        <v>2009720</v>
      </c>
    </row>
    <row r="65" spans="1:3" x14ac:dyDescent="0.2">
      <c r="A65" s="3">
        <v>4977</v>
      </c>
      <c r="B65" s="3" t="s">
        <v>64</v>
      </c>
      <c r="C65">
        <v>2009720</v>
      </c>
    </row>
    <row r="66" spans="1:3" x14ac:dyDescent="0.2">
      <c r="A66">
        <v>4977</v>
      </c>
      <c r="B66" t="s">
        <v>64</v>
      </c>
      <c r="C66">
        <v>2009720</v>
      </c>
    </row>
    <row r="67" spans="1:3" x14ac:dyDescent="0.2">
      <c r="A67">
        <v>4977</v>
      </c>
      <c r="B67" t="s">
        <v>64</v>
      </c>
      <c r="C67">
        <v>2009720</v>
      </c>
    </row>
    <row r="68" spans="1:3" x14ac:dyDescent="0.2">
      <c r="A68">
        <v>4977</v>
      </c>
      <c r="B68" t="s">
        <v>64</v>
      </c>
      <c r="C68">
        <v>2009720</v>
      </c>
    </row>
    <row r="69" spans="1:3" x14ac:dyDescent="0.2">
      <c r="A69">
        <v>4977</v>
      </c>
      <c r="B69" t="s">
        <v>64</v>
      </c>
      <c r="C69">
        <v>2009720</v>
      </c>
    </row>
    <row r="70" spans="1:3" x14ac:dyDescent="0.2">
      <c r="A70">
        <v>4977</v>
      </c>
      <c r="B70" t="s">
        <v>64</v>
      </c>
      <c r="C70">
        <v>2009720</v>
      </c>
    </row>
    <row r="71" spans="1:3" x14ac:dyDescent="0.2">
      <c r="A71">
        <v>4977</v>
      </c>
      <c r="B71" s="9" t="s">
        <v>64</v>
      </c>
      <c r="C71">
        <v>2009720</v>
      </c>
    </row>
    <row r="72" spans="1:3" x14ac:dyDescent="0.2">
      <c r="A72" s="3">
        <v>4978</v>
      </c>
      <c r="B72" s="3" t="s">
        <v>65</v>
      </c>
      <c r="C72">
        <v>2010140</v>
      </c>
    </row>
    <row r="73" spans="1:3" x14ac:dyDescent="0.2">
      <c r="A73" s="3">
        <v>4978</v>
      </c>
      <c r="B73" s="3" t="s">
        <v>65</v>
      </c>
      <c r="C73">
        <v>2010140</v>
      </c>
    </row>
    <row r="74" spans="1:3" x14ac:dyDescent="0.2">
      <c r="A74" s="3">
        <v>4978</v>
      </c>
      <c r="B74" s="3" t="s">
        <v>65</v>
      </c>
      <c r="C74">
        <v>2010140</v>
      </c>
    </row>
    <row r="75" spans="1:3" x14ac:dyDescent="0.2">
      <c r="A75">
        <v>4978</v>
      </c>
      <c r="B75" t="s">
        <v>65</v>
      </c>
      <c r="C75">
        <v>2010140</v>
      </c>
    </row>
    <row r="76" spans="1:3" x14ac:dyDescent="0.2">
      <c r="A76">
        <v>4978</v>
      </c>
      <c r="B76" t="s">
        <v>65</v>
      </c>
      <c r="C76">
        <v>2010140</v>
      </c>
    </row>
    <row r="77" spans="1:3" x14ac:dyDescent="0.2">
      <c r="A77">
        <v>4978</v>
      </c>
      <c r="B77" t="s">
        <v>65</v>
      </c>
      <c r="C77">
        <v>2010140</v>
      </c>
    </row>
    <row r="78" spans="1:3" x14ac:dyDescent="0.2">
      <c r="A78">
        <v>4978</v>
      </c>
      <c r="B78" t="s">
        <v>65</v>
      </c>
      <c r="C78">
        <v>2010140</v>
      </c>
    </row>
    <row r="79" spans="1:3" x14ac:dyDescent="0.2">
      <c r="A79">
        <v>4978</v>
      </c>
      <c r="B79" t="s">
        <v>65</v>
      </c>
      <c r="C79">
        <v>2010140</v>
      </c>
    </row>
    <row r="80" spans="1:3" x14ac:dyDescent="0.2">
      <c r="A80">
        <v>4978</v>
      </c>
      <c r="B80" s="9" t="s">
        <v>65</v>
      </c>
      <c r="C80">
        <v>2010140</v>
      </c>
    </row>
    <row r="81" spans="1:3" x14ac:dyDescent="0.2">
      <c r="A81" s="3">
        <v>4979</v>
      </c>
      <c r="B81" s="3" t="s">
        <v>66</v>
      </c>
      <c r="C81">
        <v>2012900</v>
      </c>
    </row>
    <row r="82" spans="1:3" x14ac:dyDescent="0.2">
      <c r="A82" s="3">
        <v>4979</v>
      </c>
      <c r="B82" s="3" t="s">
        <v>66</v>
      </c>
      <c r="C82">
        <v>2012900</v>
      </c>
    </row>
    <row r="83" spans="1:3" x14ac:dyDescent="0.2">
      <c r="A83" s="3">
        <v>4979</v>
      </c>
      <c r="B83" s="3" t="s">
        <v>66</v>
      </c>
      <c r="C83">
        <v>2012900</v>
      </c>
    </row>
    <row r="84" spans="1:3" x14ac:dyDescent="0.2">
      <c r="A84">
        <v>4979</v>
      </c>
      <c r="B84" t="s">
        <v>66</v>
      </c>
      <c r="C84">
        <v>2012900</v>
      </c>
    </row>
    <row r="85" spans="1:3" x14ac:dyDescent="0.2">
      <c r="A85">
        <v>4979</v>
      </c>
      <c r="B85" t="s">
        <v>66</v>
      </c>
      <c r="C85">
        <v>2012900</v>
      </c>
    </row>
    <row r="86" spans="1:3" x14ac:dyDescent="0.2">
      <c r="A86">
        <v>4979</v>
      </c>
      <c r="B86" t="s">
        <v>66</v>
      </c>
      <c r="C86">
        <v>2012900</v>
      </c>
    </row>
    <row r="87" spans="1:3" x14ac:dyDescent="0.2">
      <c r="A87">
        <v>4979</v>
      </c>
      <c r="B87" t="s">
        <v>66</v>
      </c>
      <c r="C87">
        <v>2012900</v>
      </c>
    </row>
    <row r="88" spans="1:3" x14ac:dyDescent="0.2">
      <c r="A88">
        <v>4979</v>
      </c>
      <c r="B88" t="s">
        <v>66</v>
      </c>
      <c r="C88">
        <v>2012900</v>
      </c>
    </row>
    <row r="89" spans="1:3" x14ac:dyDescent="0.2">
      <c r="A89">
        <v>4979</v>
      </c>
      <c r="B89" s="9" t="s">
        <v>66</v>
      </c>
      <c r="C89">
        <v>2012900</v>
      </c>
    </row>
    <row r="90" spans="1:3" x14ac:dyDescent="0.2">
      <c r="A90" s="3">
        <v>4980</v>
      </c>
      <c r="B90" s="3" t="s">
        <v>67</v>
      </c>
      <c r="C90">
        <v>2010710</v>
      </c>
    </row>
    <row r="91" spans="1:3" x14ac:dyDescent="0.2">
      <c r="A91" s="3">
        <v>4980</v>
      </c>
      <c r="B91" s="3" t="s">
        <v>67</v>
      </c>
      <c r="C91">
        <v>2010710</v>
      </c>
    </row>
    <row r="92" spans="1:3" x14ac:dyDescent="0.2">
      <c r="A92" s="3">
        <v>4980</v>
      </c>
      <c r="B92" s="3" t="s">
        <v>67</v>
      </c>
      <c r="C92">
        <v>2010710</v>
      </c>
    </row>
    <row r="93" spans="1:3" x14ac:dyDescent="0.2">
      <c r="A93">
        <v>4980</v>
      </c>
      <c r="B93" t="s">
        <v>67</v>
      </c>
      <c r="C93">
        <v>2010710</v>
      </c>
    </row>
    <row r="94" spans="1:3" x14ac:dyDescent="0.2">
      <c r="A94">
        <v>4980</v>
      </c>
      <c r="B94" t="s">
        <v>67</v>
      </c>
      <c r="C94">
        <v>2010710</v>
      </c>
    </row>
    <row r="95" spans="1:3" x14ac:dyDescent="0.2">
      <c r="A95">
        <v>4980</v>
      </c>
      <c r="B95" t="s">
        <v>67</v>
      </c>
      <c r="C95">
        <v>2010710</v>
      </c>
    </row>
    <row r="96" spans="1:3" x14ac:dyDescent="0.2">
      <c r="A96">
        <v>4980</v>
      </c>
      <c r="B96" t="s">
        <v>67</v>
      </c>
      <c r="C96">
        <v>2010710</v>
      </c>
    </row>
    <row r="97" spans="1:3" x14ac:dyDescent="0.2">
      <c r="A97">
        <v>4980</v>
      </c>
      <c r="B97" t="s">
        <v>67</v>
      </c>
      <c r="C97">
        <v>2010710</v>
      </c>
    </row>
    <row r="98" spans="1:3" x14ac:dyDescent="0.2">
      <c r="A98">
        <v>4980</v>
      </c>
      <c r="B98" s="9" t="s">
        <v>67</v>
      </c>
      <c r="C98">
        <v>2010710</v>
      </c>
    </row>
    <row r="99" spans="1:3" x14ac:dyDescent="0.2">
      <c r="A99" s="3">
        <v>4981</v>
      </c>
      <c r="B99" s="3" t="s">
        <v>68</v>
      </c>
      <c r="C99">
        <v>2005940</v>
      </c>
    </row>
    <row r="100" spans="1:3" x14ac:dyDescent="0.2">
      <c r="A100" s="3">
        <v>4981</v>
      </c>
      <c r="B100" s="3" t="s">
        <v>68</v>
      </c>
      <c r="C100">
        <v>2005940</v>
      </c>
    </row>
    <row r="101" spans="1:3" x14ac:dyDescent="0.2">
      <c r="A101" s="3">
        <v>4981</v>
      </c>
      <c r="B101" s="3" t="s">
        <v>68</v>
      </c>
      <c r="C101">
        <v>2005940</v>
      </c>
    </row>
    <row r="102" spans="1:3" x14ac:dyDescent="0.2">
      <c r="A102">
        <v>4981</v>
      </c>
      <c r="B102" t="s">
        <v>68</v>
      </c>
      <c r="C102">
        <v>2005940</v>
      </c>
    </row>
    <row r="103" spans="1:3" x14ac:dyDescent="0.2">
      <c r="A103">
        <v>4981</v>
      </c>
      <c r="B103" t="s">
        <v>68</v>
      </c>
      <c r="C103">
        <v>2005940</v>
      </c>
    </row>
    <row r="104" spans="1:3" x14ac:dyDescent="0.2">
      <c r="A104">
        <v>4981</v>
      </c>
      <c r="B104" t="s">
        <v>68</v>
      </c>
      <c r="C104">
        <v>2005940</v>
      </c>
    </row>
    <row r="105" spans="1:3" x14ac:dyDescent="0.2">
      <c r="A105">
        <v>4981</v>
      </c>
      <c r="B105" t="s">
        <v>68</v>
      </c>
      <c r="C105">
        <v>2005940</v>
      </c>
    </row>
    <row r="106" spans="1:3" x14ac:dyDescent="0.2">
      <c r="A106">
        <v>4981</v>
      </c>
      <c r="B106" t="s">
        <v>68</v>
      </c>
      <c r="C106">
        <v>2005940</v>
      </c>
    </row>
    <row r="107" spans="1:3" x14ac:dyDescent="0.2">
      <c r="A107">
        <v>4981</v>
      </c>
      <c r="B107" s="9" t="s">
        <v>68</v>
      </c>
      <c r="C107">
        <v>2005940</v>
      </c>
    </row>
    <row r="108" spans="1:3" x14ac:dyDescent="0.2">
      <c r="A108" s="3">
        <v>4982</v>
      </c>
      <c r="B108" s="3" t="s">
        <v>69</v>
      </c>
      <c r="C108">
        <v>2012990</v>
      </c>
    </row>
    <row r="109" spans="1:3" x14ac:dyDescent="0.2">
      <c r="A109" s="3">
        <v>4982</v>
      </c>
      <c r="B109" s="3" t="s">
        <v>69</v>
      </c>
      <c r="C109">
        <v>2012990</v>
      </c>
    </row>
    <row r="110" spans="1:3" x14ac:dyDescent="0.2">
      <c r="A110" s="3">
        <v>4982</v>
      </c>
      <c r="B110" s="3" t="s">
        <v>69</v>
      </c>
      <c r="C110">
        <v>2012990</v>
      </c>
    </row>
    <row r="111" spans="1:3" x14ac:dyDescent="0.2">
      <c r="A111">
        <v>4982</v>
      </c>
      <c r="B111" t="s">
        <v>69</v>
      </c>
      <c r="C111">
        <v>2012990</v>
      </c>
    </row>
    <row r="112" spans="1:3" x14ac:dyDescent="0.2">
      <c r="A112">
        <v>4982</v>
      </c>
      <c r="B112" t="s">
        <v>69</v>
      </c>
      <c r="C112">
        <v>2012990</v>
      </c>
    </row>
    <row r="113" spans="1:3" x14ac:dyDescent="0.2">
      <c r="A113">
        <v>4982</v>
      </c>
      <c r="B113" t="s">
        <v>69</v>
      </c>
      <c r="C113">
        <v>2012990</v>
      </c>
    </row>
    <row r="114" spans="1:3" x14ac:dyDescent="0.2">
      <c r="A114">
        <v>4982</v>
      </c>
      <c r="B114" t="s">
        <v>69</v>
      </c>
      <c r="C114">
        <v>2012990</v>
      </c>
    </row>
    <row r="115" spans="1:3" x14ac:dyDescent="0.2">
      <c r="A115">
        <v>4982</v>
      </c>
      <c r="B115" t="s">
        <v>69</v>
      </c>
      <c r="C115">
        <v>2012990</v>
      </c>
    </row>
    <row r="116" spans="1:3" x14ac:dyDescent="0.2">
      <c r="A116">
        <v>4982</v>
      </c>
      <c r="B116" s="9" t="s">
        <v>69</v>
      </c>
      <c r="C116">
        <v>2012990</v>
      </c>
    </row>
    <row r="117" spans="1:3" x14ac:dyDescent="0.2">
      <c r="A117" s="3">
        <v>4983</v>
      </c>
      <c r="B117" s="3" t="s">
        <v>70</v>
      </c>
      <c r="C117">
        <v>2005460</v>
      </c>
    </row>
    <row r="118" spans="1:3" x14ac:dyDescent="0.2">
      <c r="A118" s="3">
        <v>4983</v>
      </c>
      <c r="B118" s="3" t="s">
        <v>70</v>
      </c>
      <c r="C118">
        <v>2005460</v>
      </c>
    </row>
    <row r="119" spans="1:3" x14ac:dyDescent="0.2">
      <c r="A119" s="3">
        <v>4983</v>
      </c>
      <c r="B119" s="3" t="s">
        <v>70</v>
      </c>
      <c r="C119">
        <v>2005460</v>
      </c>
    </row>
    <row r="120" spans="1:3" x14ac:dyDescent="0.2">
      <c r="A120">
        <v>4983</v>
      </c>
      <c r="B120" t="s">
        <v>70</v>
      </c>
      <c r="C120">
        <v>2005460</v>
      </c>
    </row>
    <row r="121" spans="1:3" x14ac:dyDescent="0.2">
      <c r="A121">
        <v>4983</v>
      </c>
      <c r="B121" t="s">
        <v>70</v>
      </c>
      <c r="C121">
        <v>2005460</v>
      </c>
    </row>
    <row r="122" spans="1:3" x14ac:dyDescent="0.2">
      <c r="A122">
        <v>4983</v>
      </c>
      <c r="B122" t="s">
        <v>70</v>
      </c>
      <c r="C122">
        <v>2005460</v>
      </c>
    </row>
    <row r="123" spans="1:3" x14ac:dyDescent="0.2">
      <c r="A123">
        <v>4983</v>
      </c>
      <c r="B123" t="s">
        <v>70</v>
      </c>
      <c r="C123">
        <v>2005460</v>
      </c>
    </row>
    <row r="124" spans="1:3" x14ac:dyDescent="0.2">
      <c r="A124">
        <v>4983</v>
      </c>
      <c r="B124" t="s">
        <v>70</v>
      </c>
      <c r="C124">
        <v>2005460</v>
      </c>
    </row>
    <row r="125" spans="1:3" x14ac:dyDescent="0.2">
      <c r="A125">
        <v>4983</v>
      </c>
      <c r="B125" s="9" t="s">
        <v>70</v>
      </c>
      <c r="C125">
        <v>2005460</v>
      </c>
    </row>
    <row r="126" spans="1:3" x14ac:dyDescent="0.2">
      <c r="A126" s="3">
        <v>4984</v>
      </c>
      <c r="B126" s="3" t="s">
        <v>71</v>
      </c>
      <c r="C126">
        <v>2012510</v>
      </c>
    </row>
    <row r="127" spans="1:3" x14ac:dyDescent="0.2">
      <c r="A127" s="3">
        <v>4984</v>
      </c>
      <c r="B127" s="3" t="s">
        <v>71</v>
      </c>
      <c r="C127">
        <v>2012510</v>
      </c>
    </row>
    <row r="128" spans="1:3" x14ac:dyDescent="0.2">
      <c r="A128" s="3">
        <v>4984</v>
      </c>
      <c r="B128" s="3" t="s">
        <v>71</v>
      </c>
      <c r="C128">
        <v>2012510</v>
      </c>
    </row>
    <row r="129" spans="1:3" x14ac:dyDescent="0.2">
      <c r="A129">
        <v>4984</v>
      </c>
      <c r="B129" t="s">
        <v>71</v>
      </c>
      <c r="C129">
        <v>2012510</v>
      </c>
    </row>
    <row r="130" spans="1:3" x14ac:dyDescent="0.2">
      <c r="A130">
        <v>4984</v>
      </c>
      <c r="B130" t="s">
        <v>71</v>
      </c>
      <c r="C130">
        <v>2012510</v>
      </c>
    </row>
    <row r="131" spans="1:3" x14ac:dyDescent="0.2">
      <c r="A131">
        <v>4984</v>
      </c>
      <c r="B131" t="s">
        <v>71</v>
      </c>
      <c r="C131">
        <v>2012510</v>
      </c>
    </row>
    <row r="132" spans="1:3" x14ac:dyDescent="0.2">
      <c r="A132">
        <v>4984</v>
      </c>
      <c r="B132" t="s">
        <v>71</v>
      </c>
      <c r="C132">
        <v>2012510</v>
      </c>
    </row>
    <row r="133" spans="1:3" x14ac:dyDescent="0.2">
      <c r="A133">
        <v>4984</v>
      </c>
      <c r="B133" t="s">
        <v>71</v>
      </c>
      <c r="C133">
        <v>2012510</v>
      </c>
    </row>
    <row r="134" spans="1:3" x14ac:dyDescent="0.2">
      <c r="A134">
        <v>4984</v>
      </c>
      <c r="B134" s="9" t="s">
        <v>71</v>
      </c>
      <c r="C134">
        <v>2012510</v>
      </c>
    </row>
    <row r="135" spans="1:3" x14ac:dyDescent="0.2">
      <c r="A135" s="3">
        <v>4985</v>
      </c>
      <c r="B135" s="3" t="s">
        <v>72</v>
      </c>
      <c r="C135">
        <v>2006540</v>
      </c>
    </row>
    <row r="136" spans="1:3" x14ac:dyDescent="0.2">
      <c r="A136" s="3">
        <v>4985</v>
      </c>
      <c r="B136" s="3" t="s">
        <v>72</v>
      </c>
      <c r="C136">
        <v>2006540</v>
      </c>
    </row>
    <row r="137" spans="1:3" x14ac:dyDescent="0.2">
      <c r="A137" s="3">
        <v>4985</v>
      </c>
      <c r="B137" s="3" t="s">
        <v>72</v>
      </c>
      <c r="C137">
        <v>2006540</v>
      </c>
    </row>
    <row r="138" spans="1:3" x14ac:dyDescent="0.2">
      <c r="A138">
        <v>4985</v>
      </c>
      <c r="B138" t="s">
        <v>72</v>
      </c>
      <c r="C138">
        <v>2006540</v>
      </c>
    </row>
    <row r="139" spans="1:3" x14ac:dyDescent="0.2">
      <c r="A139">
        <v>4985</v>
      </c>
      <c r="B139" t="s">
        <v>72</v>
      </c>
      <c r="C139">
        <v>2006540</v>
      </c>
    </row>
    <row r="140" spans="1:3" x14ac:dyDescent="0.2">
      <c r="A140">
        <v>4985</v>
      </c>
      <c r="B140" t="s">
        <v>72</v>
      </c>
      <c r="C140">
        <v>2006540</v>
      </c>
    </row>
    <row r="141" spans="1:3" x14ac:dyDescent="0.2">
      <c r="A141">
        <v>4985</v>
      </c>
      <c r="B141" t="s">
        <v>72</v>
      </c>
      <c r="C141">
        <v>2006540</v>
      </c>
    </row>
    <row r="142" spans="1:3" x14ac:dyDescent="0.2">
      <c r="A142">
        <v>4985</v>
      </c>
      <c r="B142" t="s">
        <v>72</v>
      </c>
      <c r="C142">
        <v>2006540</v>
      </c>
    </row>
    <row r="143" spans="1:3" x14ac:dyDescent="0.2">
      <c r="A143">
        <v>4985</v>
      </c>
      <c r="B143" s="9" t="s">
        <v>72</v>
      </c>
      <c r="C143">
        <v>2006540</v>
      </c>
    </row>
    <row r="144" spans="1:3" x14ac:dyDescent="0.2">
      <c r="A144" s="3">
        <v>4986</v>
      </c>
      <c r="B144" s="3" t="s">
        <v>73</v>
      </c>
      <c r="C144">
        <v>2009140</v>
      </c>
    </row>
    <row r="145" spans="1:3" x14ac:dyDescent="0.2">
      <c r="A145" s="3">
        <v>4986</v>
      </c>
      <c r="B145" s="3" t="s">
        <v>73</v>
      </c>
      <c r="C145">
        <v>2009140</v>
      </c>
    </row>
    <row r="146" spans="1:3" x14ac:dyDescent="0.2">
      <c r="A146" s="3">
        <v>4986</v>
      </c>
      <c r="B146" s="3" t="s">
        <v>73</v>
      </c>
      <c r="C146">
        <v>2009140</v>
      </c>
    </row>
    <row r="147" spans="1:3" x14ac:dyDescent="0.2">
      <c r="A147">
        <v>4986</v>
      </c>
      <c r="B147" t="s">
        <v>73</v>
      </c>
      <c r="C147">
        <v>2009140</v>
      </c>
    </row>
    <row r="148" spans="1:3" x14ac:dyDescent="0.2">
      <c r="A148">
        <v>4986</v>
      </c>
      <c r="B148" t="s">
        <v>73</v>
      </c>
      <c r="C148">
        <v>2009140</v>
      </c>
    </row>
    <row r="149" spans="1:3" x14ac:dyDescent="0.2">
      <c r="A149">
        <v>4986</v>
      </c>
      <c r="B149" t="s">
        <v>73</v>
      </c>
      <c r="C149">
        <v>2009140</v>
      </c>
    </row>
    <row r="150" spans="1:3" x14ac:dyDescent="0.2">
      <c r="A150">
        <v>4986</v>
      </c>
      <c r="B150" t="s">
        <v>73</v>
      </c>
      <c r="C150">
        <v>2009140</v>
      </c>
    </row>
    <row r="151" spans="1:3" x14ac:dyDescent="0.2">
      <c r="A151">
        <v>4986</v>
      </c>
      <c r="B151" t="s">
        <v>73</v>
      </c>
      <c r="C151">
        <v>2009140</v>
      </c>
    </row>
    <row r="152" spans="1:3" x14ac:dyDescent="0.2">
      <c r="A152">
        <v>4986</v>
      </c>
      <c r="B152" s="9" t="s">
        <v>73</v>
      </c>
      <c r="C152">
        <v>2009140</v>
      </c>
    </row>
    <row r="153" spans="1:3" x14ac:dyDescent="0.2">
      <c r="A153" s="3">
        <v>4987</v>
      </c>
      <c r="B153" s="3" t="s">
        <v>74</v>
      </c>
      <c r="C153">
        <v>2004670</v>
      </c>
    </row>
    <row r="154" spans="1:3" x14ac:dyDescent="0.2">
      <c r="A154" s="3">
        <v>4987</v>
      </c>
      <c r="B154" s="3" t="s">
        <v>74</v>
      </c>
      <c r="C154">
        <v>2004670</v>
      </c>
    </row>
    <row r="155" spans="1:3" x14ac:dyDescent="0.2">
      <c r="A155" s="3">
        <v>4987</v>
      </c>
      <c r="B155" s="3" t="s">
        <v>74</v>
      </c>
      <c r="C155">
        <v>2004670</v>
      </c>
    </row>
    <row r="156" spans="1:3" x14ac:dyDescent="0.2">
      <c r="A156">
        <v>4987</v>
      </c>
      <c r="B156" t="s">
        <v>74</v>
      </c>
      <c r="C156">
        <v>2004670</v>
      </c>
    </row>
    <row r="157" spans="1:3" x14ac:dyDescent="0.2">
      <c r="A157">
        <v>4987</v>
      </c>
      <c r="B157" t="s">
        <v>74</v>
      </c>
      <c r="C157">
        <v>2004670</v>
      </c>
    </row>
    <row r="158" spans="1:3" x14ac:dyDescent="0.2">
      <c r="A158">
        <v>4987</v>
      </c>
      <c r="B158" t="s">
        <v>74</v>
      </c>
      <c r="C158">
        <v>2004670</v>
      </c>
    </row>
    <row r="159" spans="1:3" x14ac:dyDescent="0.2">
      <c r="A159">
        <v>4987</v>
      </c>
      <c r="B159" t="s">
        <v>74</v>
      </c>
      <c r="C159">
        <v>2004670</v>
      </c>
    </row>
    <row r="160" spans="1:3" x14ac:dyDescent="0.2">
      <c r="A160">
        <v>4987</v>
      </c>
      <c r="B160" t="s">
        <v>74</v>
      </c>
      <c r="C160">
        <v>2004670</v>
      </c>
    </row>
    <row r="161" spans="1:3" x14ac:dyDescent="0.2">
      <c r="A161">
        <v>4987</v>
      </c>
      <c r="B161" s="9" t="s">
        <v>74</v>
      </c>
      <c r="C161">
        <v>2004670</v>
      </c>
    </row>
    <row r="162" spans="1:3" x14ac:dyDescent="0.2">
      <c r="A162" s="3">
        <v>4988</v>
      </c>
      <c r="B162" s="3" t="s">
        <v>75</v>
      </c>
      <c r="C162">
        <v>2000015</v>
      </c>
    </row>
    <row r="163" spans="1:3" x14ac:dyDescent="0.2">
      <c r="A163" s="3">
        <v>4988</v>
      </c>
      <c r="B163" s="3" t="s">
        <v>75</v>
      </c>
      <c r="C163">
        <v>2000015</v>
      </c>
    </row>
    <row r="164" spans="1:3" x14ac:dyDescent="0.2">
      <c r="A164" s="3">
        <v>4988</v>
      </c>
      <c r="B164" s="3" t="s">
        <v>75</v>
      </c>
      <c r="C164">
        <v>2000015</v>
      </c>
    </row>
    <row r="165" spans="1:3" x14ac:dyDescent="0.2">
      <c r="A165">
        <v>4988</v>
      </c>
      <c r="B165" t="s">
        <v>75</v>
      </c>
      <c r="C165">
        <v>2000015</v>
      </c>
    </row>
    <row r="166" spans="1:3" x14ac:dyDescent="0.2">
      <c r="A166">
        <v>4988</v>
      </c>
      <c r="B166" t="s">
        <v>75</v>
      </c>
      <c r="C166">
        <v>2000015</v>
      </c>
    </row>
    <row r="167" spans="1:3" x14ac:dyDescent="0.2">
      <c r="A167">
        <v>4988</v>
      </c>
      <c r="B167" t="s">
        <v>75</v>
      </c>
      <c r="C167">
        <v>2000015</v>
      </c>
    </row>
    <row r="168" spans="1:3" x14ac:dyDescent="0.2">
      <c r="A168">
        <v>4988</v>
      </c>
      <c r="B168" t="s">
        <v>75</v>
      </c>
      <c r="C168">
        <v>2000015</v>
      </c>
    </row>
    <row r="169" spans="1:3" x14ac:dyDescent="0.2">
      <c r="A169">
        <v>4988</v>
      </c>
      <c r="B169" t="s">
        <v>75</v>
      </c>
      <c r="C169">
        <v>2000015</v>
      </c>
    </row>
    <row r="170" spans="1:3" x14ac:dyDescent="0.2">
      <c r="A170">
        <v>4988</v>
      </c>
      <c r="B170" s="9" t="s">
        <v>75</v>
      </c>
      <c r="C170">
        <v>2000015</v>
      </c>
    </row>
    <row r="171" spans="1:3" x14ac:dyDescent="0.2">
      <c r="A171" s="3">
        <v>4990</v>
      </c>
      <c r="B171" s="3" t="s">
        <v>76</v>
      </c>
      <c r="C171">
        <v>2004080</v>
      </c>
    </row>
    <row r="172" spans="1:3" x14ac:dyDescent="0.2">
      <c r="A172" s="3">
        <v>4990</v>
      </c>
      <c r="B172" s="3" t="s">
        <v>76</v>
      </c>
      <c r="C172">
        <v>2004080</v>
      </c>
    </row>
    <row r="173" spans="1:3" x14ac:dyDescent="0.2">
      <c r="A173" s="3">
        <v>4990</v>
      </c>
      <c r="B173" s="3" t="s">
        <v>76</v>
      </c>
      <c r="C173">
        <v>2004080</v>
      </c>
    </row>
    <row r="174" spans="1:3" x14ac:dyDescent="0.2">
      <c r="A174">
        <v>4990</v>
      </c>
      <c r="B174" t="s">
        <v>76</v>
      </c>
      <c r="C174">
        <v>2004080</v>
      </c>
    </row>
    <row r="175" spans="1:3" x14ac:dyDescent="0.2">
      <c r="A175">
        <v>4990</v>
      </c>
      <c r="B175" t="s">
        <v>76</v>
      </c>
      <c r="C175">
        <v>2004080</v>
      </c>
    </row>
    <row r="176" spans="1:3" x14ac:dyDescent="0.2">
      <c r="A176">
        <v>4990</v>
      </c>
      <c r="B176" t="s">
        <v>76</v>
      </c>
      <c r="C176">
        <v>2004080</v>
      </c>
    </row>
    <row r="177" spans="1:3" x14ac:dyDescent="0.2">
      <c r="A177">
        <v>4990</v>
      </c>
      <c r="B177" t="s">
        <v>76</v>
      </c>
      <c r="C177">
        <v>2004080</v>
      </c>
    </row>
    <row r="178" spans="1:3" x14ac:dyDescent="0.2">
      <c r="A178">
        <v>4990</v>
      </c>
      <c r="B178" t="s">
        <v>76</v>
      </c>
      <c r="C178">
        <v>2004080</v>
      </c>
    </row>
    <row r="179" spans="1:3" x14ac:dyDescent="0.2">
      <c r="A179">
        <v>4990</v>
      </c>
      <c r="B179" s="9" t="s">
        <v>76</v>
      </c>
      <c r="C179">
        <v>2004080</v>
      </c>
    </row>
    <row r="180" spans="1:3" x14ac:dyDescent="0.2">
      <c r="A180" s="3">
        <v>4991</v>
      </c>
      <c r="B180" s="3" t="s">
        <v>77</v>
      </c>
      <c r="C180">
        <v>2003720</v>
      </c>
    </row>
    <row r="181" spans="1:3" x14ac:dyDescent="0.2">
      <c r="A181" s="3">
        <v>4991</v>
      </c>
      <c r="B181" s="3" t="s">
        <v>77</v>
      </c>
      <c r="C181">
        <v>2003720</v>
      </c>
    </row>
    <row r="182" spans="1:3" x14ac:dyDescent="0.2">
      <c r="A182" s="3">
        <v>4991</v>
      </c>
      <c r="B182" s="3" t="s">
        <v>77</v>
      </c>
      <c r="C182">
        <v>2003720</v>
      </c>
    </row>
    <row r="183" spans="1:3" x14ac:dyDescent="0.2">
      <c r="A183">
        <v>4991</v>
      </c>
      <c r="B183" t="s">
        <v>77</v>
      </c>
      <c r="C183">
        <v>2003720</v>
      </c>
    </row>
    <row r="184" spans="1:3" x14ac:dyDescent="0.2">
      <c r="A184">
        <v>4991</v>
      </c>
      <c r="B184" t="s">
        <v>77</v>
      </c>
      <c r="C184">
        <v>2003720</v>
      </c>
    </row>
    <row r="185" spans="1:3" x14ac:dyDescent="0.2">
      <c r="A185">
        <v>4991</v>
      </c>
      <c r="B185" t="s">
        <v>77</v>
      </c>
      <c r="C185">
        <v>2003720</v>
      </c>
    </row>
    <row r="186" spans="1:3" x14ac:dyDescent="0.2">
      <c r="A186">
        <v>4991</v>
      </c>
      <c r="B186" t="s">
        <v>77</v>
      </c>
      <c r="C186">
        <v>2003720</v>
      </c>
    </row>
    <row r="187" spans="1:3" x14ac:dyDescent="0.2">
      <c r="A187">
        <v>4991</v>
      </c>
      <c r="B187" t="s">
        <v>77</v>
      </c>
      <c r="C187">
        <v>2003720</v>
      </c>
    </row>
    <row r="188" spans="1:3" x14ac:dyDescent="0.2">
      <c r="A188">
        <v>4991</v>
      </c>
      <c r="B188" s="9" t="s">
        <v>77</v>
      </c>
      <c r="C188">
        <v>2003720</v>
      </c>
    </row>
    <row r="189" spans="1:3" x14ac:dyDescent="0.2">
      <c r="A189" s="3">
        <v>4992</v>
      </c>
      <c r="B189" s="3" t="s">
        <v>78</v>
      </c>
      <c r="C189">
        <v>2011970</v>
      </c>
    </row>
    <row r="190" spans="1:3" x14ac:dyDescent="0.2">
      <c r="A190" s="3">
        <v>4992</v>
      </c>
      <c r="B190" s="3" t="s">
        <v>78</v>
      </c>
      <c r="C190">
        <v>2011970</v>
      </c>
    </row>
    <row r="191" spans="1:3" x14ac:dyDescent="0.2">
      <c r="A191" s="3">
        <v>4992</v>
      </c>
      <c r="B191" s="3" t="s">
        <v>78</v>
      </c>
      <c r="C191">
        <v>2011970</v>
      </c>
    </row>
    <row r="192" spans="1:3" x14ac:dyDescent="0.2">
      <c r="A192">
        <v>4992</v>
      </c>
      <c r="B192" t="s">
        <v>78</v>
      </c>
      <c r="C192">
        <v>2011970</v>
      </c>
    </row>
    <row r="193" spans="1:3" x14ac:dyDescent="0.2">
      <c r="A193">
        <v>4992</v>
      </c>
      <c r="B193" t="s">
        <v>78</v>
      </c>
      <c r="C193">
        <v>2011970</v>
      </c>
    </row>
    <row r="194" spans="1:3" x14ac:dyDescent="0.2">
      <c r="A194">
        <v>4992</v>
      </c>
      <c r="B194" t="s">
        <v>78</v>
      </c>
      <c r="C194">
        <v>2011970</v>
      </c>
    </row>
    <row r="195" spans="1:3" x14ac:dyDescent="0.2">
      <c r="A195">
        <v>4992</v>
      </c>
      <c r="B195" t="s">
        <v>78</v>
      </c>
      <c r="C195">
        <v>2011970</v>
      </c>
    </row>
    <row r="196" spans="1:3" x14ac:dyDescent="0.2">
      <c r="A196">
        <v>4992</v>
      </c>
      <c r="B196" t="s">
        <v>78</v>
      </c>
      <c r="C196">
        <v>2011970</v>
      </c>
    </row>
    <row r="197" spans="1:3" x14ac:dyDescent="0.2">
      <c r="A197">
        <v>4992</v>
      </c>
      <c r="B197" s="9" t="s">
        <v>78</v>
      </c>
      <c r="C197">
        <v>2011970</v>
      </c>
    </row>
    <row r="198" spans="1:3" x14ac:dyDescent="0.2">
      <c r="A198" s="3">
        <v>4993</v>
      </c>
      <c r="B198" s="3" t="s">
        <v>79</v>
      </c>
      <c r="C198">
        <v>2006580</v>
      </c>
    </row>
    <row r="199" spans="1:3" x14ac:dyDescent="0.2">
      <c r="A199" s="3">
        <v>4993</v>
      </c>
      <c r="B199" s="3" t="s">
        <v>79</v>
      </c>
      <c r="C199">
        <v>2006580</v>
      </c>
    </row>
    <row r="200" spans="1:3" x14ac:dyDescent="0.2">
      <c r="A200" s="3">
        <v>4993</v>
      </c>
      <c r="B200" s="3" t="s">
        <v>79</v>
      </c>
      <c r="C200">
        <v>2006580</v>
      </c>
    </row>
    <row r="201" spans="1:3" x14ac:dyDescent="0.2">
      <c r="A201">
        <v>4993</v>
      </c>
      <c r="B201" t="s">
        <v>79</v>
      </c>
      <c r="C201">
        <v>2006580</v>
      </c>
    </row>
    <row r="202" spans="1:3" x14ac:dyDescent="0.2">
      <c r="A202">
        <v>4993</v>
      </c>
      <c r="B202" t="s">
        <v>79</v>
      </c>
      <c r="C202">
        <v>2006580</v>
      </c>
    </row>
    <row r="203" spans="1:3" x14ac:dyDescent="0.2">
      <c r="A203">
        <v>4993</v>
      </c>
      <c r="B203" t="s">
        <v>79</v>
      </c>
      <c r="C203">
        <v>2006580</v>
      </c>
    </row>
    <row r="204" spans="1:3" x14ac:dyDescent="0.2">
      <c r="A204">
        <v>4993</v>
      </c>
      <c r="B204" t="s">
        <v>79</v>
      </c>
      <c r="C204">
        <v>2006580</v>
      </c>
    </row>
    <row r="205" spans="1:3" x14ac:dyDescent="0.2">
      <c r="A205">
        <v>4993</v>
      </c>
      <c r="B205" t="s">
        <v>79</v>
      </c>
      <c r="C205">
        <v>2006580</v>
      </c>
    </row>
    <row r="206" spans="1:3" x14ac:dyDescent="0.2">
      <c r="A206">
        <v>4993</v>
      </c>
      <c r="B206" s="9" t="s">
        <v>79</v>
      </c>
      <c r="C206">
        <v>2006580</v>
      </c>
    </row>
    <row r="207" spans="1:3" x14ac:dyDescent="0.2">
      <c r="A207" s="3">
        <v>4994</v>
      </c>
      <c r="B207" s="3" t="s">
        <v>80</v>
      </c>
      <c r="C207">
        <v>2003430</v>
      </c>
    </row>
    <row r="208" spans="1:3" x14ac:dyDescent="0.2">
      <c r="A208" s="3">
        <v>4994</v>
      </c>
      <c r="B208" s="3" t="s">
        <v>80</v>
      </c>
      <c r="C208">
        <v>2003430</v>
      </c>
    </row>
    <row r="209" spans="1:3" x14ac:dyDescent="0.2">
      <c r="A209" s="3">
        <v>4994</v>
      </c>
      <c r="B209" s="3" t="s">
        <v>80</v>
      </c>
      <c r="C209">
        <v>2003430</v>
      </c>
    </row>
    <row r="210" spans="1:3" x14ac:dyDescent="0.2">
      <c r="A210">
        <v>4994</v>
      </c>
      <c r="B210" t="s">
        <v>80</v>
      </c>
      <c r="C210">
        <v>2003430</v>
      </c>
    </row>
    <row r="211" spans="1:3" x14ac:dyDescent="0.2">
      <c r="A211">
        <v>4994</v>
      </c>
      <c r="B211" t="s">
        <v>80</v>
      </c>
      <c r="C211">
        <v>2003430</v>
      </c>
    </row>
    <row r="212" spans="1:3" x14ac:dyDescent="0.2">
      <c r="A212">
        <v>4994</v>
      </c>
      <c r="B212" t="s">
        <v>80</v>
      </c>
      <c r="C212">
        <v>2003430</v>
      </c>
    </row>
    <row r="213" spans="1:3" x14ac:dyDescent="0.2">
      <c r="A213">
        <v>4994</v>
      </c>
      <c r="B213" t="s">
        <v>80</v>
      </c>
      <c r="C213">
        <v>2003430</v>
      </c>
    </row>
    <row r="214" spans="1:3" x14ac:dyDescent="0.2">
      <c r="A214">
        <v>4994</v>
      </c>
      <c r="B214" t="s">
        <v>80</v>
      </c>
      <c r="C214">
        <v>2003430</v>
      </c>
    </row>
    <row r="215" spans="1:3" x14ac:dyDescent="0.2">
      <c r="A215">
        <v>4994</v>
      </c>
      <c r="B215" s="9" t="s">
        <v>80</v>
      </c>
      <c r="C215">
        <v>2003430</v>
      </c>
    </row>
    <row r="216" spans="1:3" x14ac:dyDescent="0.2">
      <c r="A216" s="3">
        <v>4995</v>
      </c>
      <c r="B216" s="3" t="s">
        <v>81</v>
      </c>
      <c r="C216">
        <v>2007350</v>
      </c>
    </row>
    <row r="217" spans="1:3" x14ac:dyDescent="0.2">
      <c r="A217" s="3">
        <v>4995</v>
      </c>
      <c r="B217" s="3" t="s">
        <v>81</v>
      </c>
      <c r="C217">
        <v>2007350</v>
      </c>
    </row>
    <row r="218" spans="1:3" x14ac:dyDescent="0.2">
      <c r="A218" s="3">
        <v>4995</v>
      </c>
      <c r="B218" s="3" t="s">
        <v>81</v>
      </c>
      <c r="C218">
        <v>2007350</v>
      </c>
    </row>
    <row r="219" spans="1:3" x14ac:dyDescent="0.2">
      <c r="A219">
        <v>4995</v>
      </c>
      <c r="B219" t="s">
        <v>81</v>
      </c>
      <c r="C219">
        <v>2007350</v>
      </c>
    </row>
    <row r="220" spans="1:3" x14ac:dyDescent="0.2">
      <c r="A220">
        <v>4995</v>
      </c>
      <c r="B220" t="s">
        <v>81</v>
      </c>
      <c r="C220">
        <v>2007350</v>
      </c>
    </row>
    <row r="221" spans="1:3" x14ac:dyDescent="0.2">
      <c r="A221">
        <v>4995</v>
      </c>
      <c r="B221" t="s">
        <v>81</v>
      </c>
      <c r="C221">
        <v>2007350</v>
      </c>
    </row>
    <row r="222" spans="1:3" x14ac:dyDescent="0.2">
      <c r="A222">
        <v>4995</v>
      </c>
      <c r="B222" t="s">
        <v>81</v>
      </c>
      <c r="C222">
        <v>2007350</v>
      </c>
    </row>
    <row r="223" spans="1:3" x14ac:dyDescent="0.2">
      <c r="A223">
        <v>4995</v>
      </c>
      <c r="B223" t="s">
        <v>81</v>
      </c>
      <c r="C223">
        <v>2007350</v>
      </c>
    </row>
    <row r="224" spans="1:3" x14ac:dyDescent="0.2">
      <c r="A224">
        <v>4995</v>
      </c>
      <c r="B224" s="9" t="s">
        <v>81</v>
      </c>
      <c r="C224">
        <v>2007350</v>
      </c>
    </row>
    <row r="225" spans="1:3" x14ac:dyDescent="0.2">
      <c r="A225" s="3">
        <v>4996</v>
      </c>
      <c r="B225" s="3" t="s">
        <v>82</v>
      </c>
      <c r="C225">
        <v>2009630</v>
      </c>
    </row>
    <row r="226" spans="1:3" x14ac:dyDescent="0.2">
      <c r="A226" s="3">
        <v>4996</v>
      </c>
      <c r="B226" s="3" t="s">
        <v>82</v>
      </c>
      <c r="C226">
        <v>2009630</v>
      </c>
    </row>
    <row r="227" spans="1:3" x14ac:dyDescent="0.2">
      <c r="A227" s="3">
        <v>4996</v>
      </c>
      <c r="B227" s="3" t="s">
        <v>82</v>
      </c>
      <c r="C227">
        <v>2009630</v>
      </c>
    </row>
    <row r="228" spans="1:3" x14ac:dyDescent="0.2">
      <c r="A228">
        <v>4996</v>
      </c>
      <c r="B228" t="s">
        <v>82</v>
      </c>
      <c r="C228">
        <v>2009630</v>
      </c>
    </row>
    <row r="229" spans="1:3" x14ac:dyDescent="0.2">
      <c r="A229">
        <v>4996</v>
      </c>
      <c r="B229" t="s">
        <v>82</v>
      </c>
      <c r="C229">
        <v>2009630</v>
      </c>
    </row>
    <row r="230" spans="1:3" x14ac:dyDescent="0.2">
      <c r="A230">
        <v>4996</v>
      </c>
      <c r="B230" t="s">
        <v>82</v>
      </c>
      <c r="C230">
        <v>2009630</v>
      </c>
    </row>
    <row r="231" spans="1:3" x14ac:dyDescent="0.2">
      <c r="A231">
        <v>4996</v>
      </c>
      <c r="B231" t="s">
        <v>82</v>
      </c>
      <c r="C231">
        <v>2009630</v>
      </c>
    </row>
    <row r="232" spans="1:3" x14ac:dyDescent="0.2">
      <c r="A232">
        <v>4996</v>
      </c>
      <c r="B232" t="s">
        <v>82</v>
      </c>
      <c r="C232">
        <v>2009630</v>
      </c>
    </row>
    <row r="233" spans="1:3" x14ac:dyDescent="0.2">
      <c r="A233">
        <v>4996</v>
      </c>
      <c r="B233" s="9" t="s">
        <v>82</v>
      </c>
      <c r="C233">
        <v>2009630</v>
      </c>
    </row>
    <row r="234" spans="1:3" x14ac:dyDescent="0.2">
      <c r="A234" s="3">
        <v>4997</v>
      </c>
      <c r="B234" s="3" t="s">
        <v>83</v>
      </c>
      <c r="C234">
        <v>2009960</v>
      </c>
    </row>
    <row r="235" spans="1:3" x14ac:dyDescent="0.2">
      <c r="A235" s="3">
        <v>4997</v>
      </c>
      <c r="B235" s="3" t="s">
        <v>83</v>
      </c>
      <c r="C235">
        <v>2009960</v>
      </c>
    </row>
    <row r="236" spans="1:3" x14ac:dyDescent="0.2">
      <c r="A236" s="3">
        <v>4997</v>
      </c>
      <c r="B236" s="3" t="s">
        <v>83</v>
      </c>
      <c r="C236">
        <v>2009960</v>
      </c>
    </row>
    <row r="237" spans="1:3" x14ac:dyDescent="0.2">
      <c r="A237">
        <v>4997</v>
      </c>
      <c r="B237" t="s">
        <v>83</v>
      </c>
      <c r="C237">
        <v>2009960</v>
      </c>
    </row>
    <row r="238" spans="1:3" x14ac:dyDescent="0.2">
      <c r="A238">
        <v>4997</v>
      </c>
      <c r="B238" t="s">
        <v>83</v>
      </c>
      <c r="C238">
        <v>2009960</v>
      </c>
    </row>
    <row r="239" spans="1:3" x14ac:dyDescent="0.2">
      <c r="A239">
        <v>4997</v>
      </c>
      <c r="B239" t="s">
        <v>83</v>
      </c>
      <c r="C239">
        <v>2009960</v>
      </c>
    </row>
    <row r="240" spans="1:3" x14ac:dyDescent="0.2">
      <c r="A240">
        <v>4997</v>
      </c>
      <c r="B240" t="s">
        <v>83</v>
      </c>
      <c r="C240">
        <v>2009960</v>
      </c>
    </row>
    <row r="241" spans="1:3" x14ac:dyDescent="0.2">
      <c r="A241">
        <v>4997</v>
      </c>
      <c r="B241" t="s">
        <v>83</v>
      </c>
      <c r="C241">
        <v>2009960</v>
      </c>
    </row>
    <row r="242" spans="1:3" x14ac:dyDescent="0.2">
      <c r="A242">
        <v>4997</v>
      </c>
      <c r="B242" s="9" t="s">
        <v>83</v>
      </c>
      <c r="C242">
        <v>2009960</v>
      </c>
    </row>
    <row r="243" spans="1:3" x14ac:dyDescent="0.2">
      <c r="A243" s="3">
        <v>4998</v>
      </c>
      <c r="B243" s="3" t="s">
        <v>84</v>
      </c>
      <c r="C243">
        <v>2012030</v>
      </c>
    </row>
    <row r="244" spans="1:3" x14ac:dyDescent="0.2">
      <c r="A244" s="3">
        <v>4998</v>
      </c>
      <c r="B244" s="3" t="s">
        <v>84</v>
      </c>
      <c r="C244">
        <v>2012030</v>
      </c>
    </row>
    <row r="245" spans="1:3" x14ac:dyDescent="0.2">
      <c r="A245" s="3">
        <v>4998</v>
      </c>
      <c r="B245" s="3" t="s">
        <v>84</v>
      </c>
      <c r="C245">
        <v>2012030</v>
      </c>
    </row>
    <row r="246" spans="1:3" x14ac:dyDescent="0.2">
      <c r="A246">
        <v>4998</v>
      </c>
      <c r="B246" t="s">
        <v>84</v>
      </c>
      <c r="C246">
        <v>2012030</v>
      </c>
    </row>
    <row r="247" spans="1:3" x14ac:dyDescent="0.2">
      <c r="A247">
        <v>4998</v>
      </c>
      <c r="B247" t="s">
        <v>84</v>
      </c>
      <c r="C247">
        <v>2012030</v>
      </c>
    </row>
    <row r="248" spans="1:3" x14ac:dyDescent="0.2">
      <c r="A248">
        <v>4998</v>
      </c>
      <c r="B248" t="s">
        <v>84</v>
      </c>
      <c r="C248">
        <v>2012030</v>
      </c>
    </row>
    <row r="249" spans="1:3" x14ac:dyDescent="0.2">
      <c r="A249">
        <v>4998</v>
      </c>
      <c r="B249" t="s">
        <v>84</v>
      </c>
      <c r="C249">
        <v>2012030</v>
      </c>
    </row>
    <row r="250" spans="1:3" x14ac:dyDescent="0.2">
      <c r="A250">
        <v>4998</v>
      </c>
      <c r="B250" t="s">
        <v>84</v>
      </c>
      <c r="C250">
        <v>2012030</v>
      </c>
    </row>
    <row r="251" spans="1:3" x14ac:dyDescent="0.2">
      <c r="A251">
        <v>4998</v>
      </c>
      <c r="B251" s="9" t="s">
        <v>84</v>
      </c>
      <c r="C251">
        <v>2012030</v>
      </c>
    </row>
    <row r="252" spans="1:3" x14ac:dyDescent="0.2">
      <c r="A252" s="3">
        <v>4999</v>
      </c>
      <c r="B252" s="3" t="s">
        <v>352</v>
      </c>
      <c r="C252">
        <v>2009180</v>
      </c>
    </row>
    <row r="253" spans="1:3" x14ac:dyDescent="0.2">
      <c r="A253" s="3">
        <v>4999</v>
      </c>
      <c r="B253" s="3" t="s">
        <v>352</v>
      </c>
      <c r="C253">
        <v>2009180</v>
      </c>
    </row>
    <row r="254" spans="1:3" x14ac:dyDescent="0.2">
      <c r="A254" s="3">
        <v>4999</v>
      </c>
      <c r="B254" s="3" t="s">
        <v>352</v>
      </c>
      <c r="C254">
        <v>2009180</v>
      </c>
    </row>
    <row r="255" spans="1:3" x14ac:dyDescent="0.2">
      <c r="A255">
        <v>4999</v>
      </c>
      <c r="B255" t="s">
        <v>352</v>
      </c>
      <c r="C255">
        <v>2009180</v>
      </c>
    </row>
    <row r="256" spans="1:3" x14ac:dyDescent="0.2">
      <c r="A256">
        <v>4999</v>
      </c>
      <c r="B256" t="s">
        <v>352</v>
      </c>
      <c r="C256">
        <v>2009180</v>
      </c>
    </row>
    <row r="257" spans="1:3" x14ac:dyDescent="0.2">
      <c r="A257">
        <v>4999</v>
      </c>
      <c r="B257" t="s">
        <v>352</v>
      </c>
      <c r="C257">
        <v>2009180</v>
      </c>
    </row>
    <row r="258" spans="1:3" x14ac:dyDescent="0.2">
      <c r="A258">
        <v>4999</v>
      </c>
      <c r="B258" t="s">
        <v>352</v>
      </c>
      <c r="C258">
        <v>2009180</v>
      </c>
    </row>
    <row r="259" spans="1:3" x14ac:dyDescent="0.2">
      <c r="A259">
        <v>4999</v>
      </c>
      <c r="B259" t="s">
        <v>352</v>
      </c>
      <c r="C259">
        <v>2009180</v>
      </c>
    </row>
    <row r="260" spans="1:3" x14ac:dyDescent="0.2">
      <c r="A260">
        <v>4999</v>
      </c>
      <c r="B260" s="9" t="s">
        <v>85</v>
      </c>
      <c r="C260">
        <v>2009180</v>
      </c>
    </row>
    <row r="261" spans="1:3" x14ac:dyDescent="0.2">
      <c r="A261" s="3">
        <v>5000</v>
      </c>
      <c r="B261" s="3" t="s">
        <v>86</v>
      </c>
      <c r="C261">
        <v>2003360</v>
      </c>
    </row>
    <row r="262" spans="1:3" x14ac:dyDescent="0.2">
      <c r="A262" s="3">
        <v>5000</v>
      </c>
      <c r="B262" s="3" t="s">
        <v>86</v>
      </c>
      <c r="C262">
        <v>2003360</v>
      </c>
    </row>
    <row r="263" spans="1:3" x14ac:dyDescent="0.2">
      <c r="A263" s="3">
        <v>5000</v>
      </c>
      <c r="B263" s="3" t="s">
        <v>86</v>
      </c>
      <c r="C263">
        <v>2003360</v>
      </c>
    </row>
    <row r="264" spans="1:3" x14ac:dyDescent="0.2">
      <c r="A264">
        <v>5000</v>
      </c>
      <c r="B264" t="s">
        <v>86</v>
      </c>
      <c r="C264">
        <v>2003360</v>
      </c>
    </row>
    <row r="265" spans="1:3" x14ac:dyDescent="0.2">
      <c r="A265">
        <v>5000</v>
      </c>
      <c r="B265" t="s">
        <v>86</v>
      </c>
      <c r="C265">
        <v>2003360</v>
      </c>
    </row>
    <row r="266" spans="1:3" x14ac:dyDescent="0.2">
      <c r="A266">
        <v>5000</v>
      </c>
      <c r="B266" t="s">
        <v>86</v>
      </c>
      <c r="C266">
        <v>2003360</v>
      </c>
    </row>
    <row r="267" spans="1:3" x14ac:dyDescent="0.2">
      <c r="A267">
        <v>5000</v>
      </c>
      <c r="B267" t="s">
        <v>86</v>
      </c>
      <c r="C267">
        <v>2003360</v>
      </c>
    </row>
    <row r="268" spans="1:3" x14ac:dyDescent="0.2">
      <c r="A268">
        <v>5000</v>
      </c>
      <c r="B268" t="s">
        <v>86</v>
      </c>
      <c r="C268">
        <v>2003360</v>
      </c>
    </row>
    <row r="269" spans="1:3" x14ac:dyDescent="0.2">
      <c r="A269">
        <v>5000</v>
      </c>
      <c r="B269" s="9" t="s">
        <v>86</v>
      </c>
      <c r="C269">
        <v>2003360</v>
      </c>
    </row>
    <row r="270" spans="1:3" x14ac:dyDescent="0.2">
      <c r="A270" s="3">
        <v>5001</v>
      </c>
      <c r="B270" s="3" t="s">
        <v>87</v>
      </c>
      <c r="C270">
        <v>2009090</v>
      </c>
    </row>
    <row r="271" spans="1:3" x14ac:dyDescent="0.2">
      <c r="A271" s="3">
        <v>5001</v>
      </c>
      <c r="B271" s="3" t="s">
        <v>87</v>
      </c>
      <c r="C271">
        <v>2009090</v>
      </c>
    </row>
    <row r="272" spans="1:3" x14ac:dyDescent="0.2">
      <c r="A272" s="3">
        <v>5001</v>
      </c>
      <c r="B272" s="3" t="s">
        <v>87</v>
      </c>
      <c r="C272">
        <v>2009090</v>
      </c>
    </row>
    <row r="273" spans="1:3" x14ac:dyDescent="0.2">
      <c r="A273">
        <v>5001</v>
      </c>
      <c r="B273" t="s">
        <v>87</v>
      </c>
      <c r="C273">
        <v>2009090</v>
      </c>
    </row>
    <row r="274" spans="1:3" x14ac:dyDescent="0.2">
      <c r="A274">
        <v>5001</v>
      </c>
      <c r="B274" t="s">
        <v>87</v>
      </c>
      <c r="C274">
        <v>2009090</v>
      </c>
    </row>
    <row r="275" spans="1:3" x14ac:dyDescent="0.2">
      <c r="A275">
        <v>5001</v>
      </c>
      <c r="B275" t="s">
        <v>87</v>
      </c>
      <c r="C275">
        <v>2009090</v>
      </c>
    </row>
    <row r="276" spans="1:3" x14ac:dyDescent="0.2">
      <c r="A276">
        <v>5001</v>
      </c>
      <c r="B276" t="s">
        <v>87</v>
      </c>
      <c r="C276">
        <v>2009090</v>
      </c>
    </row>
    <row r="277" spans="1:3" x14ac:dyDescent="0.2">
      <c r="A277">
        <v>5001</v>
      </c>
      <c r="B277" t="s">
        <v>87</v>
      </c>
      <c r="C277">
        <v>2009090</v>
      </c>
    </row>
    <row r="278" spans="1:3" x14ac:dyDescent="0.2">
      <c r="A278">
        <v>5001</v>
      </c>
      <c r="B278" s="9" t="s">
        <v>87</v>
      </c>
      <c r="C278">
        <v>2009090</v>
      </c>
    </row>
    <row r="279" spans="1:3" x14ac:dyDescent="0.2">
      <c r="A279" s="3">
        <v>5002</v>
      </c>
      <c r="B279" s="3" t="s">
        <v>88</v>
      </c>
      <c r="C279">
        <v>2006870</v>
      </c>
    </row>
    <row r="280" spans="1:3" x14ac:dyDescent="0.2">
      <c r="A280" s="3">
        <v>5002</v>
      </c>
      <c r="B280" s="3" t="s">
        <v>88</v>
      </c>
      <c r="C280">
        <v>2006870</v>
      </c>
    </row>
    <row r="281" spans="1:3" x14ac:dyDescent="0.2">
      <c r="A281" s="3">
        <v>5002</v>
      </c>
      <c r="B281" s="3" t="s">
        <v>88</v>
      </c>
      <c r="C281">
        <v>2006870</v>
      </c>
    </row>
    <row r="282" spans="1:3" x14ac:dyDescent="0.2">
      <c r="A282">
        <v>5002</v>
      </c>
      <c r="B282" t="s">
        <v>88</v>
      </c>
      <c r="C282">
        <v>2006870</v>
      </c>
    </row>
    <row r="283" spans="1:3" x14ac:dyDescent="0.2">
      <c r="A283">
        <v>5002</v>
      </c>
      <c r="B283" t="s">
        <v>88</v>
      </c>
      <c r="C283">
        <v>2006870</v>
      </c>
    </row>
    <row r="284" spans="1:3" x14ac:dyDescent="0.2">
      <c r="A284">
        <v>5002</v>
      </c>
      <c r="B284" t="s">
        <v>88</v>
      </c>
      <c r="C284">
        <v>2006870</v>
      </c>
    </row>
    <row r="285" spans="1:3" x14ac:dyDescent="0.2">
      <c r="A285">
        <v>5002</v>
      </c>
      <c r="B285" t="s">
        <v>88</v>
      </c>
      <c r="C285">
        <v>2006870</v>
      </c>
    </row>
    <row r="286" spans="1:3" x14ac:dyDescent="0.2">
      <c r="A286">
        <v>5002</v>
      </c>
      <c r="B286" t="s">
        <v>88</v>
      </c>
      <c r="C286">
        <v>2006870</v>
      </c>
    </row>
    <row r="287" spans="1:3" x14ac:dyDescent="0.2">
      <c r="A287">
        <v>5002</v>
      </c>
      <c r="B287" s="9" t="s">
        <v>88</v>
      </c>
      <c r="C287">
        <v>2006870</v>
      </c>
    </row>
    <row r="288" spans="1:3" x14ac:dyDescent="0.2">
      <c r="A288" s="3">
        <v>5004</v>
      </c>
      <c r="B288" s="3" t="s">
        <v>89</v>
      </c>
      <c r="C288">
        <v>2011250</v>
      </c>
    </row>
    <row r="289" spans="1:3" x14ac:dyDescent="0.2">
      <c r="A289" s="3">
        <v>5004</v>
      </c>
      <c r="B289" s="3" t="s">
        <v>89</v>
      </c>
      <c r="C289">
        <v>2011250</v>
      </c>
    </row>
    <row r="290" spans="1:3" x14ac:dyDescent="0.2">
      <c r="A290" s="3">
        <v>5004</v>
      </c>
      <c r="B290" s="3" t="s">
        <v>89</v>
      </c>
      <c r="C290">
        <v>2011250</v>
      </c>
    </row>
    <row r="291" spans="1:3" x14ac:dyDescent="0.2">
      <c r="A291">
        <v>5004</v>
      </c>
      <c r="B291" t="s">
        <v>89</v>
      </c>
      <c r="C291">
        <v>2011250</v>
      </c>
    </row>
    <row r="292" spans="1:3" x14ac:dyDescent="0.2">
      <c r="A292">
        <v>5004</v>
      </c>
      <c r="B292" t="s">
        <v>89</v>
      </c>
      <c r="C292">
        <v>2011250</v>
      </c>
    </row>
    <row r="293" spans="1:3" x14ac:dyDescent="0.2">
      <c r="A293">
        <v>5004</v>
      </c>
      <c r="B293" t="s">
        <v>89</v>
      </c>
      <c r="C293">
        <v>2011250</v>
      </c>
    </row>
    <row r="294" spans="1:3" x14ac:dyDescent="0.2">
      <c r="A294">
        <v>5004</v>
      </c>
      <c r="B294" t="s">
        <v>89</v>
      </c>
      <c r="C294">
        <v>2011250</v>
      </c>
    </row>
    <row r="295" spans="1:3" x14ac:dyDescent="0.2">
      <c r="A295">
        <v>5004</v>
      </c>
      <c r="B295" t="s">
        <v>89</v>
      </c>
      <c r="C295">
        <v>2011250</v>
      </c>
    </row>
    <row r="296" spans="1:3" x14ac:dyDescent="0.2">
      <c r="A296">
        <v>5004</v>
      </c>
      <c r="B296" s="9" t="s">
        <v>89</v>
      </c>
      <c r="C296">
        <v>2011250</v>
      </c>
    </row>
    <row r="297" spans="1:3" x14ac:dyDescent="0.2">
      <c r="A297" s="3">
        <v>5005</v>
      </c>
      <c r="B297" s="3" t="s">
        <v>90</v>
      </c>
      <c r="C297">
        <v>2005610</v>
      </c>
    </row>
    <row r="298" spans="1:3" x14ac:dyDescent="0.2">
      <c r="A298" s="3">
        <v>5005</v>
      </c>
      <c r="B298" s="3" t="s">
        <v>90</v>
      </c>
      <c r="C298">
        <v>2005610</v>
      </c>
    </row>
    <row r="299" spans="1:3" x14ac:dyDescent="0.2">
      <c r="A299" s="3">
        <v>5005</v>
      </c>
      <c r="B299" s="3" t="s">
        <v>90</v>
      </c>
      <c r="C299">
        <v>2005610</v>
      </c>
    </row>
    <row r="300" spans="1:3" x14ac:dyDescent="0.2">
      <c r="A300">
        <v>5005</v>
      </c>
      <c r="B300" t="s">
        <v>90</v>
      </c>
      <c r="C300">
        <v>2005610</v>
      </c>
    </row>
    <row r="301" spans="1:3" x14ac:dyDescent="0.2">
      <c r="A301">
        <v>5005</v>
      </c>
      <c r="B301" t="s">
        <v>90</v>
      </c>
      <c r="C301">
        <v>2005610</v>
      </c>
    </row>
    <row r="302" spans="1:3" x14ac:dyDescent="0.2">
      <c r="A302">
        <v>5005</v>
      </c>
      <c r="B302" t="s">
        <v>90</v>
      </c>
      <c r="C302">
        <v>2005610</v>
      </c>
    </row>
    <row r="303" spans="1:3" x14ac:dyDescent="0.2">
      <c r="A303">
        <v>5005</v>
      </c>
      <c r="B303" t="s">
        <v>90</v>
      </c>
      <c r="C303">
        <v>2005610</v>
      </c>
    </row>
    <row r="304" spans="1:3" x14ac:dyDescent="0.2">
      <c r="A304">
        <v>5005</v>
      </c>
      <c r="B304" t="s">
        <v>90</v>
      </c>
      <c r="C304">
        <v>2005610</v>
      </c>
    </row>
    <row r="305" spans="1:3" x14ac:dyDescent="0.2">
      <c r="A305">
        <v>5005</v>
      </c>
      <c r="B305" s="9" t="s">
        <v>90</v>
      </c>
      <c r="C305">
        <v>2005610</v>
      </c>
    </row>
    <row r="306" spans="1:3" x14ac:dyDescent="0.2">
      <c r="A306" s="3">
        <v>5006</v>
      </c>
      <c r="B306" s="3" t="s">
        <v>91</v>
      </c>
      <c r="C306">
        <v>2010590</v>
      </c>
    </row>
    <row r="307" spans="1:3" x14ac:dyDescent="0.2">
      <c r="A307" s="3">
        <v>5006</v>
      </c>
      <c r="B307" s="3" t="s">
        <v>91</v>
      </c>
      <c r="C307">
        <v>2010590</v>
      </c>
    </row>
    <row r="308" spans="1:3" x14ac:dyDescent="0.2">
      <c r="A308" s="3">
        <v>5006</v>
      </c>
      <c r="B308" s="3" t="s">
        <v>91</v>
      </c>
      <c r="C308">
        <v>2010590</v>
      </c>
    </row>
    <row r="309" spans="1:3" x14ac:dyDescent="0.2">
      <c r="A309">
        <v>5006</v>
      </c>
      <c r="B309" t="s">
        <v>91</v>
      </c>
      <c r="C309">
        <v>2010590</v>
      </c>
    </row>
    <row r="310" spans="1:3" x14ac:dyDescent="0.2">
      <c r="A310">
        <v>5006</v>
      </c>
      <c r="B310" t="s">
        <v>91</v>
      </c>
      <c r="C310">
        <v>2010590</v>
      </c>
    </row>
    <row r="311" spans="1:3" x14ac:dyDescent="0.2">
      <c r="A311">
        <v>5006</v>
      </c>
      <c r="B311" t="s">
        <v>91</v>
      </c>
      <c r="C311">
        <v>2010590</v>
      </c>
    </row>
    <row r="312" spans="1:3" x14ac:dyDescent="0.2">
      <c r="A312">
        <v>5006</v>
      </c>
      <c r="B312" t="s">
        <v>91</v>
      </c>
      <c r="C312">
        <v>2010590</v>
      </c>
    </row>
    <row r="313" spans="1:3" x14ac:dyDescent="0.2">
      <c r="A313">
        <v>5006</v>
      </c>
      <c r="B313" t="s">
        <v>91</v>
      </c>
      <c r="C313">
        <v>2010590</v>
      </c>
    </row>
    <row r="314" spans="1:3" x14ac:dyDescent="0.2">
      <c r="A314">
        <v>5006</v>
      </c>
      <c r="B314" s="9" t="s">
        <v>91</v>
      </c>
      <c r="C314">
        <v>2010590</v>
      </c>
    </row>
    <row r="315" spans="1:3" x14ac:dyDescent="0.2">
      <c r="A315" s="3">
        <v>5007</v>
      </c>
      <c r="B315" s="3" t="s">
        <v>143</v>
      </c>
      <c r="C315">
        <v>2009850</v>
      </c>
    </row>
    <row r="316" spans="1:3" x14ac:dyDescent="0.2">
      <c r="A316" s="3">
        <v>5007</v>
      </c>
      <c r="B316" s="3" t="s">
        <v>143</v>
      </c>
      <c r="C316">
        <v>2009850</v>
      </c>
    </row>
    <row r="317" spans="1:3" x14ac:dyDescent="0.2">
      <c r="A317" s="3">
        <v>5007</v>
      </c>
      <c r="B317" s="3" t="s">
        <v>143</v>
      </c>
      <c r="C317">
        <v>2009850</v>
      </c>
    </row>
    <row r="318" spans="1:3" x14ac:dyDescent="0.2">
      <c r="A318">
        <v>5007</v>
      </c>
      <c r="B318" t="s">
        <v>143</v>
      </c>
      <c r="C318">
        <v>2009850</v>
      </c>
    </row>
    <row r="319" spans="1:3" x14ac:dyDescent="0.2">
      <c r="A319">
        <v>5007</v>
      </c>
      <c r="B319" t="s">
        <v>143</v>
      </c>
      <c r="C319">
        <v>2009850</v>
      </c>
    </row>
    <row r="320" spans="1:3" x14ac:dyDescent="0.2">
      <c r="A320">
        <v>5007</v>
      </c>
      <c r="B320" t="s">
        <v>143</v>
      </c>
      <c r="C320">
        <v>2009850</v>
      </c>
    </row>
    <row r="321" spans="1:3" x14ac:dyDescent="0.2">
      <c r="A321">
        <v>5007</v>
      </c>
      <c r="B321" t="s">
        <v>143</v>
      </c>
      <c r="C321">
        <v>2009850</v>
      </c>
    </row>
    <row r="322" spans="1:3" x14ac:dyDescent="0.2">
      <c r="A322">
        <v>5007</v>
      </c>
      <c r="B322" t="s">
        <v>143</v>
      </c>
      <c r="C322">
        <v>2009850</v>
      </c>
    </row>
    <row r="323" spans="1:3" x14ac:dyDescent="0.2">
      <c r="A323">
        <v>5007</v>
      </c>
      <c r="B323" s="9" t="s">
        <v>143</v>
      </c>
      <c r="C323">
        <v>2009850</v>
      </c>
    </row>
    <row r="324" spans="1:3" x14ac:dyDescent="0.2">
      <c r="A324" s="3">
        <v>5008</v>
      </c>
      <c r="B324" s="3" t="s">
        <v>92</v>
      </c>
      <c r="C324">
        <v>2011130</v>
      </c>
    </row>
    <row r="325" spans="1:3" x14ac:dyDescent="0.2">
      <c r="A325" s="3">
        <v>5008</v>
      </c>
      <c r="B325" s="3" t="s">
        <v>92</v>
      </c>
      <c r="C325">
        <v>2011130</v>
      </c>
    </row>
    <row r="326" spans="1:3" x14ac:dyDescent="0.2">
      <c r="A326" s="3">
        <v>5008</v>
      </c>
      <c r="B326" s="3" t="s">
        <v>92</v>
      </c>
      <c r="C326">
        <v>2011130</v>
      </c>
    </row>
    <row r="327" spans="1:3" x14ac:dyDescent="0.2">
      <c r="A327">
        <v>5008</v>
      </c>
      <c r="B327" t="s">
        <v>92</v>
      </c>
      <c r="C327">
        <v>2011130</v>
      </c>
    </row>
    <row r="328" spans="1:3" x14ac:dyDescent="0.2">
      <c r="A328">
        <v>5008</v>
      </c>
      <c r="B328" t="s">
        <v>92</v>
      </c>
      <c r="C328">
        <v>2011130</v>
      </c>
    </row>
    <row r="329" spans="1:3" x14ac:dyDescent="0.2">
      <c r="A329">
        <v>5008</v>
      </c>
      <c r="B329" t="s">
        <v>92</v>
      </c>
      <c r="C329">
        <v>2011130</v>
      </c>
    </row>
    <row r="330" spans="1:3" x14ac:dyDescent="0.2">
      <c r="A330">
        <v>5008</v>
      </c>
      <c r="B330" t="s">
        <v>92</v>
      </c>
      <c r="C330">
        <v>2011130</v>
      </c>
    </row>
    <row r="331" spans="1:3" x14ac:dyDescent="0.2">
      <c r="A331">
        <v>5008</v>
      </c>
      <c r="B331" t="s">
        <v>92</v>
      </c>
      <c r="C331">
        <v>2011130</v>
      </c>
    </row>
    <row r="332" spans="1:3" x14ac:dyDescent="0.2">
      <c r="A332">
        <v>5008</v>
      </c>
      <c r="B332" s="9" t="s">
        <v>92</v>
      </c>
      <c r="C332">
        <v>2011130</v>
      </c>
    </row>
    <row r="333" spans="1:3" x14ac:dyDescent="0.2">
      <c r="A333" s="3">
        <v>5010</v>
      </c>
      <c r="B333" s="3" t="s">
        <v>93</v>
      </c>
      <c r="C333">
        <v>2003540</v>
      </c>
    </row>
    <row r="334" spans="1:3" x14ac:dyDescent="0.2">
      <c r="A334" s="3">
        <v>5010</v>
      </c>
      <c r="B334" s="3" t="s">
        <v>93</v>
      </c>
      <c r="C334">
        <v>2003540</v>
      </c>
    </row>
    <row r="335" spans="1:3" x14ac:dyDescent="0.2">
      <c r="A335" s="3">
        <v>5010</v>
      </c>
      <c r="B335" s="3" t="s">
        <v>93</v>
      </c>
      <c r="C335">
        <v>2003540</v>
      </c>
    </row>
    <row r="336" spans="1:3" x14ac:dyDescent="0.2">
      <c r="A336">
        <v>5010</v>
      </c>
      <c r="B336" t="s">
        <v>93</v>
      </c>
      <c r="C336">
        <v>2003540</v>
      </c>
    </row>
    <row r="337" spans="1:3" x14ac:dyDescent="0.2">
      <c r="A337">
        <v>5010</v>
      </c>
      <c r="B337" t="s">
        <v>93</v>
      </c>
      <c r="C337">
        <v>2003540</v>
      </c>
    </row>
    <row r="338" spans="1:3" x14ac:dyDescent="0.2">
      <c r="A338">
        <v>5010</v>
      </c>
      <c r="B338" t="s">
        <v>93</v>
      </c>
      <c r="C338">
        <v>2003540</v>
      </c>
    </row>
    <row r="339" spans="1:3" x14ac:dyDescent="0.2">
      <c r="A339">
        <v>5010</v>
      </c>
      <c r="B339" t="s">
        <v>93</v>
      </c>
      <c r="C339">
        <v>2003540</v>
      </c>
    </row>
    <row r="340" spans="1:3" x14ac:dyDescent="0.2">
      <c r="A340">
        <v>5010</v>
      </c>
      <c r="B340" t="s">
        <v>93</v>
      </c>
      <c r="C340">
        <v>2003540</v>
      </c>
    </row>
    <row r="341" spans="1:3" x14ac:dyDescent="0.2">
      <c r="A341">
        <v>5010</v>
      </c>
      <c r="B341" s="9" t="s">
        <v>93</v>
      </c>
      <c r="C341">
        <v>2003540</v>
      </c>
    </row>
    <row r="342" spans="1:3" x14ac:dyDescent="0.2">
      <c r="A342" s="3">
        <v>5011</v>
      </c>
      <c r="B342" s="3" t="s">
        <v>94</v>
      </c>
      <c r="C342">
        <v>2010230</v>
      </c>
    </row>
    <row r="343" spans="1:3" x14ac:dyDescent="0.2">
      <c r="A343" s="3">
        <v>5011</v>
      </c>
      <c r="B343" s="3" t="s">
        <v>94</v>
      </c>
      <c r="C343">
        <v>2010230</v>
      </c>
    </row>
    <row r="344" spans="1:3" x14ac:dyDescent="0.2">
      <c r="A344" s="3">
        <v>5011</v>
      </c>
      <c r="B344" s="3" t="s">
        <v>94</v>
      </c>
      <c r="C344">
        <v>2010230</v>
      </c>
    </row>
    <row r="345" spans="1:3" x14ac:dyDescent="0.2">
      <c r="A345">
        <v>5011</v>
      </c>
      <c r="B345" t="s">
        <v>94</v>
      </c>
      <c r="C345">
        <v>2010230</v>
      </c>
    </row>
    <row r="346" spans="1:3" x14ac:dyDescent="0.2">
      <c r="A346">
        <v>5011</v>
      </c>
      <c r="B346" t="s">
        <v>94</v>
      </c>
      <c r="C346">
        <v>2010230</v>
      </c>
    </row>
    <row r="347" spans="1:3" x14ac:dyDescent="0.2">
      <c r="A347">
        <v>5011</v>
      </c>
      <c r="B347" t="s">
        <v>94</v>
      </c>
      <c r="C347">
        <v>2010230</v>
      </c>
    </row>
    <row r="348" spans="1:3" x14ac:dyDescent="0.2">
      <c r="A348">
        <v>5011</v>
      </c>
      <c r="B348" t="s">
        <v>94</v>
      </c>
      <c r="C348">
        <v>2010230</v>
      </c>
    </row>
    <row r="349" spans="1:3" x14ac:dyDescent="0.2">
      <c r="A349">
        <v>5011</v>
      </c>
      <c r="B349" t="s">
        <v>94</v>
      </c>
      <c r="C349">
        <v>2010230</v>
      </c>
    </row>
    <row r="350" spans="1:3" x14ac:dyDescent="0.2">
      <c r="A350">
        <v>5011</v>
      </c>
      <c r="B350" s="9" t="s">
        <v>94</v>
      </c>
      <c r="C350">
        <v>2010230</v>
      </c>
    </row>
    <row r="351" spans="1:3" x14ac:dyDescent="0.2">
      <c r="A351" s="3">
        <v>5012</v>
      </c>
      <c r="B351" s="3" t="s">
        <v>95</v>
      </c>
      <c r="C351">
        <v>2009000</v>
      </c>
    </row>
    <row r="352" spans="1:3" x14ac:dyDescent="0.2">
      <c r="A352" s="3">
        <v>5012</v>
      </c>
      <c r="B352" s="3" t="s">
        <v>95</v>
      </c>
      <c r="C352">
        <v>2009000</v>
      </c>
    </row>
    <row r="353" spans="1:3" x14ac:dyDescent="0.2">
      <c r="A353" s="3">
        <v>5012</v>
      </c>
      <c r="B353" s="3" t="s">
        <v>95</v>
      </c>
      <c r="C353">
        <v>2009000</v>
      </c>
    </row>
    <row r="354" spans="1:3" x14ac:dyDescent="0.2">
      <c r="A354">
        <v>5012</v>
      </c>
      <c r="B354" t="s">
        <v>95</v>
      </c>
      <c r="C354">
        <v>2009000</v>
      </c>
    </row>
    <row r="355" spans="1:3" x14ac:dyDescent="0.2">
      <c r="A355">
        <v>5012</v>
      </c>
      <c r="B355" t="s">
        <v>95</v>
      </c>
      <c r="C355">
        <v>2009000</v>
      </c>
    </row>
    <row r="356" spans="1:3" x14ac:dyDescent="0.2">
      <c r="A356">
        <v>5012</v>
      </c>
      <c r="B356" t="s">
        <v>95</v>
      </c>
      <c r="C356">
        <v>2009000</v>
      </c>
    </row>
    <row r="357" spans="1:3" x14ac:dyDescent="0.2">
      <c r="A357">
        <v>5012</v>
      </c>
      <c r="B357" t="s">
        <v>95</v>
      </c>
      <c r="C357">
        <v>2009000</v>
      </c>
    </row>
    <row r="358" spans="1:3" x14ac:dyDescent="0.2">
      <c r="A358">
        <v>5012</v>
      </c>
      <c r="B358" t="s">
        <v>95</v>
      </c>
      <c r="C358">
        <v>2009000</v>
      </c>
    </row>
    <row r="359" spans="1:3" x14ac:dyDescent="0.2">
      <c r="A359">
        <v>5012</v>
      </c>
      <c r="B359" s="9" t="s">
        <v>95</v>
      </c>
      <c r="C359">
        <v>2009000</v>
      </c>
    </row>
    <row r="360" spans="1:3" x14ac:dyDescent="0.2">
      <c r="A360" s="3">
        <v>5013</v>
      </c>
      <c r="B360" s="3" t="s">
        <v>96</v>
      </c>
      <c r="C360">
        <v>2005580</v>
      </c>
    </row>
    <row r="361" spans="1:3" x14ac:dyDescent="0.2">
      <c r="A361" s="3">
        <v>5013</v>
      </c>
      <c r="B361" s="3" t="s">
        <v>96</v>
      </c>
      <c r="C361">
        <v>2005580</v>
      </c>
    </row>
    <row r="362" spans="1:3" x14ac:dyDescent="0.2">
      <c r="A362" s="3">
        <v>5013</v>
      </c>
      <c r="B362" s="3" t="s">
        <v>96</v>
      </c>
      <c r="C362">
        <v>2005580</v>
      </c>
    </row>
    <row r="363" spans="1:3" x14ac:dyDescent="0.2">
      <c r="A363">
        <v>5013</v>
      </c>
      <c r="B363" t="s">
        <v>96</v>
      </c>
      <c r="C363">
        <v>2005580</v>
      </c>
    </row>
    <row r="364" spans="1:3" x14ac:dyDescent="0.2">
      <c r="A364">
        <v>5013</v>
      </c>
      <c r="B364" t="s">
        <v>96</v>
      </c>
      <c r="C364">
        <v>2005580</v>
      </c>
    </row>
    <row r="365" spans="1:3" x14ac:dyDescent="0.2">
      <c r="A365">
        <v>5013</v>
      </c>
      <c r="B365" t="s">
        <v>355</v>
      </c>
      <c r="C365">
        <v>2005580</v>
      </c>
    </row>
    <row r="366" spans="1:3" x14ac:dyDescent="0.2">
      <c r="A366">
        <v>5013</v>
      </c>
      <c r="B366" t="s">
        <v>355</v>
      </c>
      <c r="C366">
        <v>2005580</v>
      </c>
    </row>
    <row r="367" spans="1:3" x14ac:dyDescent="0.2">
      <c r="A367">
        <v>5013</v>
      </c>
      <c r="B367" t="s">
        <v>96</v>
      </c>
      <c r="C367">
        <v>2005580</v>
      </c>
    </row>
    <row r="368" spans="1:3" x14ac:dyDescent="0.2">
      <c r="A368">
        <v>5013</v>
      </c>
      <c r="B368" s="9" t="s">
        <v>96</v>
      </c>
      <c r="C368">
        <v>2005580</v>
      </c>
    </row>
    <row r="369" spans="1:3" x14ac:dyDescent="0.2">
      <c r="A369" s="3">
        <v>5014</v>
      </c>
      <c r="B369" s="3" t="s">
        <v>97</v>
      </c>
      <c r="C369">
        <v>2007650</v>
      </c>
    </row>
    <row r="370" spans="1:3" x14ac:dyDescent="0.2">
      <c r="A370" s="3">
        <v>5014</v>
      </c>
      <c r="B370" s="3" t="s">
        <v>97</v>
      </c>
      <c r="C370">
        <v>2007650</v>
      </c>
    </row>
    <row r="371" spans="1:3" x14ac:dyDescent="0.2">
      <c r="A371" s="3">
        <v>5014</v>
      </c>
      <c r="B371" s="3" t="s">
        <v>97</v>
      </c>
      <c r="C371">
        <v>2007650</v>
      </c>
    </row>
    <row r="372" spans="1:3" x14ac:dyDescent="0.2">
      <c r="A372">
        <v>5014</v>
      </c>
      <c r="B372" t="s">
        <v>97</v>
      </c>
      <c r="C372">
        <v>2007650</v>
      </c>
    </row>
    <row r="373" spans="1:3" x14ac:dyDescent="0.2">
      <c r="A373">
        <v>5014</v>
      </c>
      <c r="B373" t="s">
        <v>97</v>
      </c>
      <c r="C373">
        <v>2007650</v>
      </c>
    </row>
    <row r="374" spans="1:3" x14ac:dyDescent="0.2">
      <c r="A374">
        <v>5014</v>
      </c>
      <c r="B374" t="s">
        <v>97</v>
      </c>
      <c r="C374">
        <v>2007650</v>
      </c>
    </row>
    <row r="375" spans="1:3" x14ac:dyDescent="0.2">
      <c r="A375">
        <v>5014</v>
      </c>
      <c r="B375" t="s">
        <v>97</v>
      </c>
      <c r="C375">
        <v>2007650</v>
      </c>
    </row>
    <row r="376" spans="1:3" x14ac:dyDescent="0.2">
      <c r="A376">
        <v>5014</v>
      </c>
      <c r="B376" t="s">
        <v>97</v>
      </c>
      <c r="C376">
        <v>2007650</v>
      </c>
    </row>
    <row r="377" spans="1:3" x14ac:dyDescent="0.2">
      <c r="A377">
        <v>5014</v>
      </c>
      <c r="B377" s="9" t="s">
        <v>97</v>
      </c>
      <c r="C377">
        <v>2007650</v>
      </c>
    </row>
    <row r="378" spans="1:3" x14ac:dyDescent="0.2">
      <c r="A378" s="3">
        <v>5015</v>
      </c>
      <c r="B378" s="3" t="s">
        <v>98</v>
      </c>
      <c r="C378">
        <v>2007710</v>
      </c>
    </row>
    <row r="379" spans="1:3" x14ac:dyDescent="0.2">
      <c r="A379" s="3">
        <v>5015</v>
      </c>
      <c r="B379" s="3" t="s">
        <v>98</v>
      </c>
      <c r="C379">
        <v>2007710</v>
      </c>
    </row>
    <row r="380" spans="1:3" x14ac:dyDescent="0.2">
      <c r="A380" s="3">
        <v>5015</v>
      </c>
      <c r="B380" s="3" t="s">
        <v>98</v>
      </c>
      <c r="C380">
        <v>2007710</v>
      </c>
    </row>
    <row r="381" spans="1:3" x14ac:dyDescent="0.2">
      <c r="A381">
        <v>5015</v>
      </c>
      <c r="B381" t="s">
        <v>98</v>
      </c>
      <c r="C381">
        <v>2007710</v>
      </c>
    </row>
    <row r="382" spans="1:3" x14ac:dyDescent="0.2">
      <c r="A382">
        <v>5015</v>
      </c>
      <c r="B382" t="s">
        <v>98</v>
      </c>
      <c r="C382">
        <v>2007710</v>
      </c>
    </row>
    <row r="383" spans="1:3" x14ac:dyDescent="0.2">
      <c r="A383">
        <v>5015</v>
      </c>
      <c r="B383" t="s">
        <v>98</v>
      </c>
      <c r="C383">
        <v>2007710</v>
      </c>
    </row>
    <row r="384" spans="1:3" x14ac:dyDescent="0.2">
      <c r="A384">
        <v>5015</v>
      </c>
      <c r="B384" t="s">
        <v>98</v>
      </c>
      <c r="C384">
        <v>2007710</v>
      </c>
    </row>
    <row r="385" spans="1:3" x14ac:dyDescent="0.2">
      <c r="A385">
        <v>5015</v>
      </c>
      <c r="B385" t="s">
        <v>98</v>
      </c>
      <c r="C385">
        <v>2007710</v>
      </c>
    </row>
    <row r="386" spans="1:3" x14ac:dyDescent="0.2">
      <c r="A386">
        <v>5015</v>
      </c>
      <c r="B386" s="9" t="s">
        <v>98</v>
      </c>
      <c r="C386">
        <v>2007710</v>
      </c>
    </row>
    <row r="387" spans="1:3" x14ac:dyDescent="0.2">
      <c r="A387" s="3">
        <v>5016</v>
      </c>
      <c r="B387" s="3" t="s">
        <v>99</v>
      </c>
      <c r="C387">
        <v>2005640</v>
      </c>
    </row>
    <row r="388" spans="1:3" x14ac:dyDescent="0.2">
      <c r="A388" s="3">
        <v>5016</v>
      </c>
      <c r="B388" s="3" t="s">
        <v>99</v>
      </c>
      <c r="C388">
        <v>2005640</v>
      </c>
    </row>
    <row r="389" spans="1:3" x14ac:dyDescent="0.2">
      <c r="A389" s="3">
        <v>5016</v>
      </c>
      <c r="B389" s="3" t="s">
        <v>99</v>
      </c>
      <c r="C389">
        <v>2005640</v>
      </c>
    </row>
    <row r="390" spans="1:3" x14ac:dyDescent="0.2">
      <c r="A390">
        <v>5016</v>
      </c>
      <c r="B390" t="s">
        <v>99</v>
      </c>
      <c r="C390">
        <v>2005640</v>
      </c>
    </row>
    <row r="391" spans="1:3" x14ac:dyDescent="0.2">
      <c r="A391">
        <v>5016</v>
      </c>
      <c r="B391" t="s">
        <v>99</v>
      </c>
      <c r="C391">
        <v>2005640</v>
      </c>
    </row>
    <row r="392" spans="1:3" x14ac:dyDescent="0.2">
      <c r="A392">
        <v>5016</v>
      </c>
      <c r="B392" t="s">
        <v>99</v>
      </c>
      <c r="C392">
        <v>2005640</v>
      </c>
    </row>
    <row r="393" spans="1:3" x14ac:dyDescent="0.2">
      <c r="A393">
        <v>5016</v>
      </c>
      <c r="B393" t="s">
        <v>99</v>
      </c>
      <c r="C393">
        <v>2005640</v>
      </c>
    </row>
    <row r="394" spans="1:3" x14ac:dyDescent="0.2">
      <c r="A394">
        <v>5016</v>
      </c>
      <c r="B394" t="s">
        <v>99</v>
      </c>
      <c r="C394">
        <v>2005640</v>
      </c>
    </row>
    <row r="395" spans="1:3" x14ac:dyDescent="0.2">
      <c r="A395">
        <v>5016</v>
      </c>
      <c r="B395" s="9" t="s">
        <v>99</v>
      </c>
      <c r="C395">
        <v>2005640</v>
      </c>
    </row>
    <row r="396" spans="1:3" x14ac:dyDescent="0.2">
      <c r="A396" s="3">
        <v>5017</v>
      </c>
      <c r="B396" s="3" t="s">
        <v>100</v>
      </c>
      <c r="C396">
        <v>2008430</v>
      </c>
    </row>
    <row r="397" spans="1:3" x14ac:dyDescent="0.2">
      <c r="A397" s="3">
        <v>5017</v>
      </c>
      <c r="B397" s="3" t="s">
        <v>100</v>
      </c>
      <c r="C397">
        <v>2008430</v>
      </c>
    </row>
    <row r="398" spans="1:3" x14ac:dyDescent="0.2">
      <c r="A398" s="3">
        <v>5017</v>
      </c>
      <c r="B398" s="3" t="s">
        <v>100</v>
      </c>
      <c r="C398">
        <v>2008430</v>
      </c>
    </row>
    <row r="399" spans="1:3" x14ac:dyDescent="0.2">
      <c r="A399">
        <v>5017</v>
      </c>
      <c r="B399" t="s">
        <v>100</v>
      </c>
      <c r="C399">
        <v>2008430</v>
      </c>
    </row>
    <row r="400" spans="1:3" x14ac:dyDescent="0.2">
      <c r="A400">
        <v>5017</v>
      </c>
      <c r="B400" t="s">
        <v>100</v>
      </c>
      <c r="C400">
        <v>2008430</v>
      </c>
    </row>
    <row r="401" spans="1:3" x14ac:dyDescent="0.2">
      <c r="A401">
        <v>5017</v>
      </c>
      <c r="B401" t="s">
        <v>100</v>
      </c>
      <c r="C401">
        <v>2008430</v>
      </c>
    </row>
    <row r="402" spans="1:3" x14ac:dyDescent="0.2">
      <c r="A402">
        <v>5017</v>
      </c>
      <c r="B402" t="s">
        <v>100</v>
      </c>
      <c r="C402">
        <v>2008430</v>
      </c>
    </row>
    <row r="403" spans="1:3" x14ac:dyDescent="0.2">
      <c r="A403">
        <v>5017</v>
      </c>
      <c r="B403" t="s">
        <v>100</v>
      </c>
      <c r="C403">
        <v>2008430</v>
      </c>
    </row>
    <row r="404" spans="1:3" x14ac:dyDescent="0.2">
      <c r="A404">
        <v>5017</v>
      </c>
      <c r="B404" s="9" t="s">
        <v>100</v>
      </c>
      <c r="C404">
        <v>2008430</v>
      </c>
    </row>
    <row r="405" spans="1:3" x14ac:dyDescent="0.2">
      <c r="A405" s="3">
        <v>5018</v>
      </c>
      <c r="B405" s="3" t="s">
        <v>101</v>
      </c>
      <c r="C405">
        <v>2009480</v>
      </c>
    </row>
    <row r="406" spans="1:3" x14ac:dyDescent="0.2">
      <c r="A406" s="3">
        <v>5018</v>
      </c>
      <c r="B406" s="3" t="s">
        <v>101</v>
      </c>
      <c r="C406">
        <v>2009480</v>
      </c>
    </row>
    <row r="407" spans="1:3" x14ac:dyDescent="0.2">
      <c r="A407" s="3">
        <v>5018</v>
      </c>
      <c r="B407" s="3" t="s">
        <v>101</v>
      </c>
      <c r="C407">
        <v>2009480</v>
      </c>
    </row>
    <row r="408" spans="1:3" x14ac:dyDescent="0.2">
      <c r="A408">
        <v>5018</v>
      </c>
      <c r="B408" t="s">
        <v>101</v>
      </c>
      <c r="C408">
        <v>2009480</v>
      </c>
    </row>
    <row r="409" spans="1:3" x14ac:dyDescent="0.2">
      <c r="A409">
        <v>5018</v>
      </c>
      <c r="B409" t="s">
        <v>101</v>
      </c>
      <c r="C409">
        <v>2009480</v>
      </c>
    </row>
    <row r="410" spans="1:3" x14ac:dyDescent="0.2">
      <c r="A410">
        <v>5018</v>
      </c>
      <c r="B410" t="s">
        <v>101</v>
      </c>
      <c r="C410">
        <v>2009480</v>
      </c>
    </row>
    <row r="411" spans="1:3" x14ac:dyDescent="0.2">
      <c r="A411">
        <v>5018</v>
      </c>
      <c r="B411" t="s">
        <v>101</v>
      </c>
      <c r="C411">
        <v>2009480</v>
      </c>
    </row>
    <row r="412" spans="1:3" x14ac:dyDescent="0.2">
      <c r="A412">
        <v>5018</v>
      </c>
      <c r="B412" t="s">
        <v>101</v>
      </c>
      <c r="C412">
        <v>2009480</v>
      </c>
    </row>
    <row r="413" spans="1:3" x14ac:dyDescent="0.2">
      <c r="A413">
        <v>5018</v>
      </c>
      <c r="B413" s="9" t="s">
        <v>101</v>
      </c>
      <c r="C413">
        <v>2009480</v>
      </c>
    </row>
    <row r="414" spans="1:3" x14ac:dyDescent="0.2">
      <c r="A414" s="3">
        <v>5019</v>
      </c>
      <c r="B414" s="3" t="s">
        <v>102</v>
      </c>
      <c r="C414">
        <v>2003450</v>
      </c>
    </row>
    <row r="415" spans="1:3" x14ac:dyDescent="0.2">
      <c r="A415" s="3">
        <v>5019</v>
      </c>
      <c r="B415" s="3" t="s">
        <v>102</v>
      </c>
      <c r="C415">
        <v>2003450</v>
      </c>
    </row>
    <row r="416" spans="1:3" x14ac:dyDescent="0.2">
      <c r="A416" s="3">
        <v>5019</v>
      </c>
      <c r="B416" s="3" t="s">
        <v>102</v>
      </c>
      <c r="C416">
        <v>2003450</v>
      </c>
    </row>
    <row r="417" spans="1:3" x14ac:dyDescent="0.2">
      <c r="A417">
        <v>5019</v>
      </c>
      <c r="B417" t="s">
        <v>102</v>
      </c>
      <c r="C417">
        <v>2003450</v>
      </c>
    </row>
    <row r="418" spans="1:3" x14ac:dyDescent="0.2">
      <c r="A418">
        <v>5019</v>
      </c>
      <c r="B418" t="s">
        <v>102</v>
      </c>
      <c r="C418">
        <v>2003450</v>
      </c>
    </row>
    <row r="419" spans="1:3" x14ac:dyDescent="0.2">
      <c r="A419">
        <v>5019</v>
      </c>
      <c r="B419" t="s">
        <v>102</v>
      </c>
      <c r="C419">
        <v>2003450</v>
      </c>
    </row>
    <row r="420" spans="1:3" x14ac:dyDescent="0.2">
      <c r="A420">
        <v>5019</v>
      </c>
      <c r="B420" t="s">
        <v>102</v>
      </c>
      <c r="C420">
        <v>2003450</v>
      </c>
    </row>
    <row r="421" spans="1:3" x14ac:dyDescent="0.2">
      <c r="A421">
        <v>5019</v>
      </c>
      <c r="B421" t="s">
        <v>102</v>
      </c>
      <c r="C421">
        <v>2003450</v>
      </c>
    </row>
    <row r="422" spans="1:3" x14ac:dyDescent="0.2">
      <c r="A422">
        <v>5019</v>
      </c>
      <c r="B422" s="9" t="s">
        <v>102</v>
      </c>
      <c r="C422">
        <v>2003450</v>
      </c>
    </row>
    <row r="423" spans="1:3" x14ac:dyDescent="0.2">
      <c r="A423" s="3">
        <v>5020</v>
      </c>
      <c r="B423" s="3" t="s">
        <v>103</v>
      </c>
      <c r="C423">
        <v>2007890</v>
      </c>
    </row>
    <row r="424" spans="1:3" x14ac:dyDescent="0.2">
      <c r="A424" s="3">
        <v>5020</v>
      </c>
      <c r="B424" s="3" t="s">
        <v>103</v>
      </c>
      <c r="C424">
        <v>2007890</v>
      </c>
    </row>
    <row r="425" spans="1:3" x14ac:dyDescent="0.2">
      <c r="A425" s="3">
        <v>5020</v>
      </c>
      <c r="B425" s="3" t="s">
        <v>103</v>
      </c>
      <c r="C425">
        <v>2007890</v>
      </c>
    </row>
    <row r="426" spans="1:3" x14ac:dyDescent="0.2">
      <c r="A426">
        <v>5020</v>
      </c>
      <c r="B426" t="s">
        <v>103</v>
      </c>
      <c r="C426">
        <v>2007890</v>
      </c>
    </row>
    <row r="427" spans="1:3" x14ac:dyDescent="0.2">
      <c r="A427">
        <v>5020</v>
      </c>
      <c r="B427" t="s">
        <v>103</v>
      </c>
      <c r="C427">
        <v>2007890</v>
      </c>
    </row>
    <row r="428" spans="1:3" x14ac:dyDescent="0.2">
      <c r="A428">
        <v>5020</v>
      </c>
      <c r="B428" t="s">
        <v>103</v>
      </c>
      <c r="C428">
        <v>2007890</v>
      </c>
    </row>
    <row r="429" spans="1:3" x14ac:dyDescent="0.2">
      <c r="A429">
        <v>5020</v>
      </c>
      <c r="B429" t="s">
        <v>103</v>
      </c>
      <c r="C429">
        <v>2007890</v>
      </c>
    </row>
    <row r="430" spans="1:3" x14ac:dyDescent="0.2">
      <c r="A430">
        <v>5020</v>
      </c>
      <c r="B430" t="s">
        <v>103</v>
      </c>
      <c r="C430">
        <v>2007890</v>
      </c>
    </row>
    <row r="431" spans="1:3" x14ac:dyDescent="0.2">
      <c r="A431">
        <v>5020</v>
      </c>
      <c r="B431" s="9" t="s">
        <v>103</v>
      </c>
      <c r="C431">
        <v>2007890</v>
      </c>
    </row>
    <row r="432" spans="1:3" x14ac:dyDescent="0.2">
      <c r="A432" s="3">
        <v>5021</v>
      </c>
      <c r="B432" s="3" t="s">
        <v>104</v>
      </c>
      <c r="C432">
        <v>2007680</v>
      </c>
    </row>
    <row r="433" spans="1:3" x14ac:dyDescent="0.2">
      <c r="A433" s="3">
        <v>5021</v>
      </c>
      <c r="B433" s="3" t="s">
        <v>104</v>
      </c>
      <c r="C433">
        <v>2007680</v>
      </c>
    </row>
    <row r="434" spans="1:3" x14ac:dyDescent="0.2">
      <c r="A434" s="3">
        <v>5021</v>
      </c>
      <c r="B434" s="3" t="s">
        <v>104</v>
      </c>
      <c r="C434">
        <v>2007680</v>
      </c>
    </row>
    <row r="435" spans="1:3" x14ac:dyDescent="0.2">
      <c r="A435">
        <v>5021</v>
      </c>
      <c r="B435" t="s">
        <v>104</v>
      </c>
      <c r="C435">
        <v>2007680</v>
      </c>
    </row>
    <row r="436" spans="1:3" x14ac:dyDescent="0.2">
      <c r="A436">
        <v>5021</v>
      </c>
      <c r="B436" t="s">
        <v>104</v>
      </c>
      <c r="C436">
        <v>2007680</v>
      </c>
    </row>
    <row r="437" spans="1:3" x14ac:dyDescent="0.2">
      <c r="A437">
        <v>5021</v>
      </c>
      <c r="B437" t="s">
        <v>104</v>
      </c>
      <c r="C437">
        <v>2007680</v>
      </c>
    </row>
    <row r="438" spans="1:3" x14ac:dyDescent="0.2">
      <c r="A438">
        <v>5021</v>
      </c>
      <c r="B438" t="s">
        <v>104</v>
      </c>
      <c r="C438">
        <v>2007680</v>
      </c>
    </row>
    <row r="439" spans="1:3" x14ac:dyDescent="0.2">
      <c r="A439">
        <v>5021</v>
      </c>
      <c r="B439" t="s">
        <v>104</v>
      </c>
      <c r="C439">
        <v>2007680</v>
      </c>
    </row>
    <row r="440" spans="1:3" x14ac:dyDescent="0.2">
      <c r="A440">
        <v>5021</v>
      </c>
      <c r="B440" s="9" t="s">
        <v>104</v>
      </c>
      <c r="C440">
        <v>2007680</v>
      </c>
    </row>
    <row r="441" spans="1:3" x14ac:dyDescent="0.2">
      <c r="A441" s="3">
        <v>5022</v>
      </c>
      <c r="B441" s="3" t="s">
        <v>105</v>
      </c>
      <c r="C441">
        <v>2008730</v>
      </c>
    </row>
    <row r="442" spans="1:3" x14ac:dyDescent="0.2">
      <c r="A442" s="3">
        <v>5022</v>
      </c>
      <c r="B442" s="3" t="s">
        <v>105</v>
      </c>
      <c r="C442">
        <v>2008730</v>
      </c>
    </row>
    <row r="443" spans="1:3" x14ac:dyDescent="0.2">
      <c r="A443" s="3">
        <v>5022</v>
      </c>
      <c r="B443" s="3" t="s">
        <v>105</v>
      </c>
      <c r="C443">
        <v>2008730</v>
      </c>
    </row>
    <row r="444" spans="1:3" x14ac:dyDescent="0.2">
      <c r="A444">
        <v>5022</v>
      </c>
      <c r="B444" t="s">
        <v>105</v>
      </c>
      <c r="C444">
        <v>2008730</v>
      </c>
    </row>
    <row r="445" spans="1:3" x14ac:dyDescent="0.2">
      <c r="A445">
        <v>5022</v>
      </c>
      <c r="B445" t="s">
        <v>105</v>
      </c>
      <c r="C445">
        <v>2008730</v>
      </c>
    </row>
    <row r="446" spans="1:3" x14ac:dyDescent="0.2">
      <c r="A446">
        <v>5022</v>
      </c>
      <c r="B446" t="s">
        <v>105</v>
      </c>
      <c r="C446">
        <v>2008730</v>
      </c>
    </row>
    <row r="447" spans="1:3" x14ac:dyDescent="0.2">
      <c r="A447">
        <v>5022</v>
      </c>
      <c r="B447" t="s">
        <v>105</v>
      </c>
      <c r="C447">
        <v>2008730</v>
      </c>
    </row>
    <row r="448" spans="1:3" x14ac:dyDescent="0.2">
      <c r="A448">
        <v>5022</v>
      </c>
      <c r="B448" t="s">
        <v>105</v>
      </c>
      <c r="C448">
        <v>2008730</v>
      </c>
    </row>
    <row r="449" spans="1:3" x14ac:dyDescent="0.2">
      <c r="A449">
        <v>5022</v>
      </c>
      <c r="B449" s="9" t="s">
        <v>105</v>
      </c>
      <c r="C449">
        <v>2008730</v>
      </c>
    </row>
    <row r="450" spans="1:3" x14ac:dyDescent="0.2">
      <c r="A450" s="3">
        <v>5024</v>
      </c>
      <c r="B450" s="3" t="s">
        <v>106</v>
      </c>
      <c r="C450">
        <v>2008280</v>
      </c>
    </row>
    <row r="451" spans="1:3" x14ac:dyDescent="0.2">
      <c r="A451" s="3">
        <v>5024</v>
      </c>
      <c r="B451" s="3" t="s">
        <v>106</v>
      </c>
      <c r="C451">
        <v>2008280</v>
      </c>
    </row>
    <row r="452" spans="1:3" x14ac:dyDescent="0.2">
      <c r="A452" s="3">
        <v>5024</v>
      </c>
      <c r="B452" s="3" t="s">
        <v>106</v>
      </c>
      <c r="C452">
        <v>2008280</v>
      </c>
    </row>
    <row r="453" spans="1:3" x14ac:dyDescent="0.2">
      <c r="A453">
        <v>5024</v>
      </c>
      <c r="B453" t="s">
        <v>106</v>
      </c>
      <c r="C453">
        <v>2008280</v>
      </c>
    </row>
    <row r="454" spans="1:3" x14ac:dyDescent="0.2">
      <c r="A454">
        <v>5024</v>
      </c>
      <c r="B454" t="s">
        <v>106</v>
      </c>
      <c r="C454">
        <v>2008280</v>
      </c>
    </row>
    <row r="455" spans="1:3" x14ac:dyDescent="0.2">
      <c r="A455">
        <v>5024</v>
      </c>
      <c r="B455" t="s">
        <v>106</v>
      </c>
      <c r="C455">
        <v>2008280</v>
      </c>
    </row>
    <row r="456" spans="1:3" x14ac:dyDescent="0.2">
      <c r="A456">
        <v>5024</v>
      </c>
      <c r="B456" t="s">
        <v>106</v>
      </c>
      <c r="C456">
        <v>2008280</v>
      </c>
    </row>
    <row r="457" spans="1:3" x14ac:dyDescent="0.2">
      <c r="A457">
        <v>5024</v>
      </c>
      <c r="B457" t="s">
        <v>106</v>
      </c>
      <c r="C457">
        <v>2008280</v>
      </c>
    </row>
    <row r="458" spans="1:3" x14ac:dyDescent="0.2">
      <c r="A458">
        <v>5024</v>
      </c>
      <c r="B458" s="9" t="s">
        <v>106</v>
      </c>
      <c r="C458">
        <v>2008280</v>
      </c>
    </row>
    <row r="459" spans="1:3" x14ac:dyDescent="0.2">
      <c r="A459" s="3">
        <v>5025</v>
      </c>
      <c r="B459" s="3" t="s">
        <v>107</v>
      </c>
      <c r="C459">
        <v>2006180</v>
      </c>
    </row>
    <row r="460" spans="1:3" x14ac:dyDescent="0.2">
      <c r="A460" s="3">
        <v>5025</v>
      </c>
      <c r="B460" s="3" t="s">
        <v>107</v>
      </c>
      <c r="C460">
        <v>2006180</v>
      </c>
    </row>
    <row r="461" spans="1:3" x14ac:dyDescent="0.2">
      <c r="A461" s="3">
        <v>5025</v>
      </c>
      <c r="B461" s="3" t="s">
        <v>107</v>
      </c>
      <c r="C461">
        <v>2006180</v>
      </c>
    </row>
    <row r="462" spans="1:3" x14ac:dyDescent="0.2">
      <c r="A462">
        <v>5025</v>
      </c>
      <c r="B462" t="s">
        <v>107</v>
      </c>
      <c r="C462">
        <v>2006180</v>
      </c>
    </row>
    <row r="463" spans="1:3" x14ac:dyDescent="0.2">
      <c r="A463">
        <v>5025</v>
      </c>
      <c r="B463" t="s">
        <v>107</v>
      </c>
      <c r="C463">
        <v>2006180</v>
      </c>
    </row>
    <row r="464" spans="1:3" x14ac:dyDescent="0.2">
      <c r="A464">
        <v>5025</v>
      </c>
      <c r="B464" t="s">
        <v>107</v>
      </c>
      <c r="C464">
        <v>2006180</v>
      </c>
    </row>
    <row r="465" spans="1:3" x14ac:dyDescent="0.2">
      <c r="A465">
        <v>5025</v>
      </c>
      <c r="B465" t="s">
        <v>107</v>
      </c>
      <c r="C465">
        <v>2006180</v>
      </c>
    </row>
    <row r="466" spans="1:3" x14ac:dyDescent="0.2">
      <c r="A466">
        <v>5025</v>
      </c>
      <c r="B466" t="s">
        <v>107</v>
      </c>
      <c r="C466">
        <v>2006180</v>
      </c>
    </row>
    <row r="467" spans="1:3" x14ac:dyDescent="0.2">
      <c r="A467">
        <v>5025</v>
      </c>
      <c r="B467" s="9" t="s">
        <v>107</v>
      </c>
      <c r="C467">
        <v>2006180</v>
      </c>
    </row>
    <row r="468" spans="1:3" x14ac:dyDescent="0.2">
      <c r="A468" s="3">
        <v>5026</v>
      </c>
      <c r="B468" s="3" t="s">
        <v>108</v>
      </c>
      <c r="C468">
        <v>2003210</v>
      </c>
    </row>
    <row r="469" spans="1:3" x14ac:dyDescent="0.2">
      <c r="A469" s="3">
        <v>5026</v>
      </c>
      <c r="B469" s="3" t="s">
        <v>108</v>
      </c>
      <c r="C469">
        <v>2003210</v>
      </c>
    </row>
    <row r="470" spans="1:3" x14ac:dyDescent="0.2">
      <c r="A470" s="3">
        <v>5026</v>
      </c>
      <c r="B470" s="3" t="s">
        <v>108</v>
      </c>
      <c r="C470">
        <v>2003210</v>
      </c>
    </row>
    <row r="471" spans="1:3" x14ac:dyDescent="0.2">
      <c r="A471">
        <v>5026</v>
      </c>
      <c r="B471" t="s">
        <v>108</v>
      </c>
      <c r="C471">
        <v>2003210</v>
      </c>
    </row>
    <row r="472" spans="1:3" x14ac:dyDescent="0.2">
      <c r="A472">
        <v>5026</v>
      </c>
      <c r="B472" t="s">
        <v>108</v>
      </c>
      <c r="C472">
        <v>2003210</v>
      </c>
    </row>
    <row r="473" spans="1:3" x14ac:dyDescent="0.2">
      <c r="A473">
        <v>5026</v>
      </c>
      <c r="B473" t="s">
        <v>108</v>
      </c>
      <c r="C473">
        <v>2003210</v>
      </c>
    </row>
    <row r="474" spans="1:3" x14ac:dyDescent="0.2">
      <c r="A474">
        <v>5026</v>
      </c>
      <c r="B474" t="s">
        <v>108</v>
      </c>
      <c r="C474">
        <v>2003210</v>
      </c>
    </row>
    <row r="475" spans="1:3" x14ac:dyDescent="0.2">
      <c r="A475">
        <v>5026</v>
      </c>
      <c r="B475" t="s">
        <v>108</v>
      </c>
      <c r="C475">
        <v>2003210</v>
      </c>
    </row>
    <row r="476" spans="1:3" x14ac:dyDescent="0.2">
      <c r="A476">
        <v>5026</v>
      </c>
      <c r="B476" s="9" t="s">
        <v>108</v>
      </c>
      <c r="C476">
        <v>2003210</v>
      </c>
    </row>
    <row r="477" spans="1:3" x14ac:dyDescent="0.2">
      <c r="A477" s="3">
        <v>5027</v>
      </c>
      <c r="B477" s="3" t="s">
        <v>109</v>
      </c>
      <c r="C477">
        <v>2007050</v>
      </c>
    </row>
    <row r="478" spans="1:3" x14ac:dyDescent="0.2">
      <c r="A478" s="3">
        <v>5027</v>
      </c>
      <c r="B478" s="3" t="s">
        <v>109</v>
      </c>
      <c r="C478">
        <v>2007050</v>
      </c>
    </row>
    <row r="479" spans="1:3" x14ac:dyDescent="0.2">
      <c r="A479" s="3">
        <v>5027</v>
      </c>
      <c r="B479" s="3" t="s">
        <v>109</v>
      </c>
      <c r="C479">
        <v>2007050</v>
      </c>
    </row>
    <row r="480" spans="1:3" x14ac:dyDescent="0.2">
      <c r="A480">
        <v>5027</v>
      </c>
      <c r="B480" t="s">
        <v>109</v>
      </c>
      <c r="C480">
        <v>2007050</v>
      </c>
    </row>
    <row r="481" spans="1:3" x14ac:dyDescent="0.2">
      <c r="A481">
        <v>5027</v>
      </c>
      <c r="B481" t="s">
        <v>109</v>
      </c>
      <c r="C481">
        <v>2007050</v>
      </c>
    </row>
    <row r="482" spans="1:3" x14ac:dyDescent="0.2">
      <c r="A482">
        <v>5027</v>
      </c>
      <c r="B482" t="s">
        <v>109</v>
      </c>
      <c r="C482">
        <v>2007050</v>
      </c>
    </row>
    <row r="483" spans="1:3" x14ac:dyDescent="0.2">
      <c r="A483">
        <v>5027</v>
      </c>
      <c r="B483" t="s">
        <v>109</v>
      </c>
      <c r="C483">
        <v>2007050</v>
      </c>
    </row>
    <row r="484" spans="1:3" x14ac:dyDescent="0.2">
      <c r="A484">
        <v>5027</v>
      </c>
      <c r="B484" t="s">
        <v>109</v>
      </c>
      <c r="C484">
        <v>2007050</v>
      </c>
    </row>
    <row r="485" spans="1:3" x14ac:dyDescent="0.2">
      <c r="A485">
        <v>5027</v>
      </c>
      <c r="B485" s="9" t="s">
        <v>109</v>
      </c>
      <c r="C485">
        <v>2007050</v>
      </c>
    </row>
    <row r="486" spans="1:3" x14ac:dyDescent="0.2">
      <c r="A486" s="3">
        <v>5028</v>
      </c>
      <c r="B486" s="3" t="s">
        <v>110</v>
      </c>
      <c r="C486">
        <v>2011080</v>
      </c>
    </row>
    <row r="487" spans="1:3" x14ac:dyDescent="0.2">
      <c r="A487" s="3">
        <v>5028</v>
      </c>
      <c r="B487" s="3" t="s">
        <v>110</v>
      </c>
      <c r="C487">
        <v>2011080</v>
      </c>
    </row>
    <row r="488" spans="1:3" x14ac:dyDescent="0.2">
      <c r="A488" s="3">
        <v>5028</v>
      </c>
      <c r="B488" s="3" t="s">
        <v>110</v>
      </c>
      <c r="C488">
        <v>2011080</v>
      </c>
    </row>
    <row r="489" spans="1:3" x14ac:dyDescent="0.2">
      <c r="A489">
        <v>5028</v>
      </c>
      <c r="B489" t="s">
        <v>110</v>
      </c>
      <c r="C489">
        <v>2011080</v>
      </c>
    </row>
    <row r="490" spans="1:3" x14ac:dyDescent="0.2">
      <c r="A490">
        <v>5028</v>
      </c>
      <c r="B490" t="s">
        <v>110</v>
      </c>
      <c r="C490">
        <v>2011080</v>
      </c>
    </row>
    <row r="491" spans="1:3" x14ac:dyDescent="0.2">
      <c r="A491">
        <v>5028</v>
      </c>
      <c r="B491" t="s">
        <v>110</v>
      </c>
      <c r="C491">
        <v>2011080</v>
      </c>
    </row>
    <row r="492" spans="1:3" x14ac:dyDescent="0.2">
      <c r="A492">
        <v>5028</v>
      </c>
      <c r="B492" t="s">
        <v>110</v>
      </c>
      <c r="C492">
        <v>2011080</v>
      </c>
    </row>
    <row r="493" spans="1:3" x14ac:dyDescent="0.2">
      <c r="A493">
        <v>5028</v>
      </c>
      <c r="B493" t="s">
        <v>110</v>
      </c>
      <c r="C493">
        <v>2011080</v>
      </c>
    </row>
    <row r="494" spans="1:3" x14ac:dyDescent="0.2">
      <c r="A494">
        <v>5028</v>
      </c>
      <c r="B494" s="9" t="s">
        <v>110</v>
      </c>
      <c r="C494">
        <v>2011080</v>
      </c>
    </row>
    <row r="495" spans="1:3" x14ac:dyDescent="0.2">
      <c r="A495" s="3">
        <v>5029</v>
      </c>
      <c r="B495" s="3" t="s">
        <v>111</v>
      </c>
      <c r="C495">
        <v>2000014</v>
      </c>
    </row>
    <row r="496" spans="1:3" x14ac:dyDescent="0.2">
      <c r="A496" s="3">
        <v>5029</v>
      </c>
      <c r="B496" s="3" t="s">
        <v>111</v>
      </c>
      <c r="C496">
        <v>2000014</v>
      </c>
    </row>
    <row r="497" spans="1:3" x14ac:dyDescent="0.2">
      <c r="A497" s="3">
        <v>5029</v>
      </c>
      <c r="B497" s="3" t="s">
        <v>111</v>
      </c>
      <c r="C497">
        <v>2000014</v>
      </c>
    </row>
    <row r="498" spans="1:3" x14ac:dyDescent="0.2">
      <c r="A498">
        <v>5029</v>
      </c>
      <c r="B498" t="s">
        <v>111</v>
      </c>
      <c r="C498">
        <v>2000014</v>
      </c>
    </row>
    <row r="499" spans="1:3" x14ac:dyDescent="0.2">
      <c r="A499">
        <v>5029</v>
      </c>
      <c r="B499" t="s">
        <v>111</v>
      </c>
      <c r="C499">
        <v>2000014</v>
      </c>
    </row>
    <row r="500" spans="1:3" x14ac:dyDescent="0.2">
      <c r="A500">
        <v>5029</v>
      </c>
      <c r="B500" t="s">
        <v>111</v>
      </c>
      <c r="C500">
        <v>2000014</v>
      </c>
    </row>
    <row r="501" spans="1:3" x14ac:dyDescent="0.2">
      <c r="A501">
        <v>5029</v>
      </c>
      <c r="B501" t="s">
        <v>111</v>
      </c>
      <c r="C501">
        <v>2000014</v>
      </c>
    </row>
    <row r="502" spans="1:3" x14ac:dyDescent="0.2">
      <c r="A502">
        <v>5029</v>
      </c>
      <c r="B502" t="s">
        <v>111</v>
      </c>
      <c r="C502">
        <v>2000014</v>
      </c>
    </row>
    <row r="503" spans="1:3" x14ac:dyDescent="0.2">
      <c r="A503">
        <v>5029</v>
      </c>
      <c r="B503" s="9" t="s">
        <v>111</v>
      </c>
      <c r="C503">
        <v>2000014</v>
      </c>
    </row>
    <row r="504" spans="1:3" x14ac:dyDescent="0.2">
      <c r="A504" s="3">
        <v>5031</v>
      </c>
      <c r="B504" s="3" t="s">
        <v>112</v>
      </c>
      <c r="C504">
        <v>2011370</v>
      </c>
    </row>
    <row r="505" spans="1:3" x14ac:dyDescent="0.2">
      <c r="A505" s="3">
        <v>5031</v>
      </c>
      <c r="B505" s="3" t="s">
        <v>112</v>
      </c>
      <c r="C505">
        <v>2011370</v>
      </c>
    </row>
    <row r="506" spans="1:3" x14ac:dyDescent="0.2">
      <c r="A506" s="3">
        <v>5031</v>
      </c>
      <c r="B506" s="3" t="s">
        <v>112</v>
      </c>
      <c r="C506">
        <v>2011370</v>
      </c>
    </row>
    <row r="507" spans="1:3" x14ac:dyDescent="0.2">
      <c r="A507">
        <v>5031</v>
      </c>
      <c r="B507" t="s">
        <v>112</v>
      </c>
      <c r="C507">
        <v>2011370</v>
      </c>
    </row>
    <row r="508" spans="1:3" x14ac:dyDescent="0.2">
      <c r="A508">
        <v>5031</v>
      </c>
      <c r="B508" t="s">
        <v>112</v>
      </c>
      <c r="C508">
        <v>2011370</v>
      </c>
    </row>
    <row r="509" spans="1:3" x14ac:dyDescent="0.2">
      <c r="A509">
        <v>5031</v>
      </c>
      <c r="B509" t="s">
        <v>112</v>
      </c>
      <c r="C509">
        <v>2011370</v>
      </c>
    </row>
    <row r="510" spans="1:3" x14ac:dyDescent="0.2">
      <c r="A510">
        <v>5031</v>
      </c>
      <c r="B510" t="s">
        <v>112</v>
      </c>
      <c r="C510">
        <v>2011370</v>
      </c>
    </row>
    <row r="511" spans="1:3" x14ac:dyDescent="0.2">
      <c r="A511">
        <v>5031</v>
      </c>
      <c r="B511" t="s">
        <v>112</v>
      </c>
      <c r="C511">
        <v>2011370</v>
      </c>
    </row>
    <row r="512" spans="1:3" x14ac:dyDescent="0.2">
      <c r="A512">
        <v>5031</v>
      </c>
      <c r="B512" s="9" t="s">
        <v>112</v>
      </c>
      <c r="C512">
        <v>2011370</v>
      </c>
    </row>
    <row r="513" spans="1:3" x14ac:dyDescent="0.2">
      <c r="A513" s="3">
        <v>5032</v>
      </c>
      <c r="B513" s="3" t="s">
        <v>359</v>
      </c>
      <c r="C513">
        <v>2003390</v>
      </c>
    </row>
    <row r="514" spans="1:3" x14ac:dyDescent="0.2">
      <c r="A514" s="3">
        <v>5032</v>
      </c>
      <c r="B514" s="3" t="s">
        <v>359</v>
      </c>
      <c r="C514">
        <v>2003390</v>
      </c>
    </row>
    <row r="515" spans="1:3" x14ac:dyDescent="0.2">
      <c r="A515" s="3">
        <v>5032</v>
      </c>
      <c r="B515" s="3" t="s">
        <v>359</v>
      </c>
      <c r="C515">
        <v>2003390</v>
      </c>
    </row>
    <row r="516" spans="1:3" x14ac:dyDescent="0.2">
      <c r="A516">
        <v>5032</v>
      </c>
      <c r="B516" t="s">
        <v>359</v>
      </c>
      <c r="C516">
        <v>2003390</v>
      </c>
    </row>
    <row r="517" spans="1:3" x14ac:dyDescent="0.2">
      <c r="A517">
        <v>5032</v>
      </c>
      <c r="B517" t="s">
        <v>359</v>
      </c>
      <c r="C517">
        <v>2003390</v>
      </c>
    </row>
    <row r="518" spans="1:3" x14ac:dyDescent="0.2">
      <c r="A518">
        <v>5032</v>
      </c>
      <c r="B518" t="s">
        <v>359</v>
      </c>
      <c r="C518">
        <v>2003390</v>
      </c>
    </row>
    <row r="519" spans="1:3" x14ac:dyDescent="0.2">
      <c r="A519">
        <v>5032</v>
      </c>
      <c r="B519" t="s">
        <v>113</v>
      </c>
      <c r="C519">
        <v>2003390</v>
      </c>
    </row>
    <row r="520" spans="1:3" x14ac:dyDescent="0.2">
      <c r="A520">
        <v>5032</v>
      </c>
      <c r="B520" t="s">
        <v>113</v>
      </c>
      <c r="C520">
        <v>2003390</v>
      </c>
    </row>
    <row r="521" spans="1:3" x14ac:dyDescent="0.2">
      <c r="A521">
        <v>5032</v>
      </c>
      <c r="B521" s="9" t="s">
        <v>113</v>
      </c>
      <c r="C521">
        <v>2003390</v>
      </c>
    </row>
    <row r="522" spans="1:3" x14ac:dyDescent="0.2">
      <c r="A522" s="3">
        <v>5033</v>
      </c>
      <c r="B522" s="3" t="s">
        <v>114</v>
      </c>
      <c r="C522">
        <v>2011100</v>
      </c>
    </row>
    <row r="523" spans="1:3" x14ac:dyDescent="0.2">
      <c r="A523" s="3">
        <v>5033</v>
      </c>
      <c r="B523" s="3" t="s">
        <v>114</v>
      </c>
      <c r="C523">
        <v>2011100</v>
      </c>
    </row>
    <row r="524" spans="1:3" x14ac:dyDescent="0.2">
      <c r="A524" s="3">
        <v>5033</v>
      </c>
      <c r="B524" s="3" t="s">
        <v>114</v>
      </c>
      <c r="C524">
        <v>2011100</v>
      </c>
    </row>
    <row r="525" spans="1:3" x14ac:dyDescent="0.2">
      <c r="A525">
        <v>5033</v>
      </c>
      <c r="B525" t="s">
        <v>114</v>
      </c>
      <c r="C525">
        <v>2011100</v>
      </c>
    </row>
    <row r="526" spans="1:3" x14ac:dyDescent="0.2">
      <c r="A526">
        <v>5033</v>
      </c>
      <c r="B526" t="s">
        <v>114</v>
      </c>
      <c r="C526">
        <v>2011100</v>
      </c>
    </row>
    <row r="527" spans="1:3" x14ac:dyDescent="0.2">
      <c r="A527">
        <v>5033</v>
      </c>
      <c r="B527" t="s">
        <v>114</v>
      </c>
      <c r="C527">
        <v>2011100</v>
      </c>
    </row>
    <row r="528" spans="1:3" x14ac:dyDescent="0.2">
      <c r="A528">
        <v>5033</v>
      </c>
      <c r="B528" t="s">
        <v>114</v>
      </c>
      <c r="C528">
        <v>2011100</v>
      </c>
    </row>
    <row r="529" spans="1:3" x14ac:dyDescent="0.2">
      <c r="A529">
        <v>5033</v>
      </c>
      <c r="B529" t="s">
        <v>114</v>
      </c>
      <c r="C529">
        <v>2011100</v>
      </c>
    </row>
    <row r="530" spans="1:3" x14ac:dyDescent="0.2">
      <c r="A530">
        <v>5033</v>
      </c>
      <c r="B530" s="9" t="s">
        <v>114</v>
      </c>
      <c r="C530">
        <v>2011100</v>
      </c>
    </row>
    <row r="531" spans="1:3" x14ac:dyDescent="0.2">
      <c r="A531" s="3">
        <v>5034</v>
      </c>
      <c r="B531" s="3" t="s">
        <v>115</v>
      </c>
      <c r="C531">
        <v>2004020</v>
      </c>
    </row>
    <row r="532" spans="1:3" x14ac:dyDescent="0.2">
      <c r="A532" s="3">
        <v>5034</v>
      </c>
      <c r="B532" s="3" t="s">
        <v>115</v>
      </c>
      <c r="C532">
        <v>2004020</v>
      </c>
    </row>
    <row r="533" spans="1:3" x14ac:dyDescent="0.2">
      <c r="A533" s="3">
        <v>5034</v>
      </c>
      <c r="B533" s="3" t="s">
        <v>115</v>
      </c>
      <c r="C533">
        <v>2004020</v>
      </c>
    </row>
    <row r="534" spans="1:3" x14ac:dyDescent="0.2">
      <c r="A534">
        <v>5034</v>
      </c>
      <c r="B534" t="s">
        <v>115</v>
      </c>
      <c r="C534">
        <v>2004020</v>
      </c>
    </row>
    <row r="535" spans="1:3" x14ac:dyDescent="0.2">
      <c r="A535">
        <v>5034</v>
      </c>
      <c r="B535" t="s">
        <v>115</v>
      </c>
      <c r="C535">
        <v>2004020</v>
      </c>
    </row>
    <row r="536" spans="1:3" x14ac:dyDescent="0.2">
      <c r="A536">
        <v>5034</v>
      </c>
      <c r="B536" t="s">
        <v>115</v>
      </c>
      <c r="C536">
        <v>2004020</v>
      </c>
    </row>
    <row r="537" spans="1:3" x14ac:dyDescent="0.2">
      <c r="A537">
        <v>5034</v>
      </c>
      <c r="B537" t="s">
        <v>115</v>
      </c>
      <c r="C537">
        <v>2004020</v>
      </c>
    </row>
    <row r="538" spans="1:3" x14ac:dyDescent="0.2">
      <c r="A538">
        <v>5034</v>
      </c>
      <c r="B538" t="s">
        <v>115</v>
      </c>
      <c r="C538">
        <v>2004020</v>
      </c>
    </row>
    <row r="539" spans="1:3" x14ac:dyDescent="0.2">
      <c r="A539">
        <v>5034</v>
      </c>
      <c r="B539" s="9" t="s">
        <v>115</v>
      </c>
      <c r="C539">
        <v>2004020</v>
      </c>
    </row>
    <row r="540" spans="1:3" x14ac:dyDescent="0.2">
      <c r="A540" s="3">
        <v>5035</v>
      </c>
      <c r="B540" s="3" t="s">
        <v>116</v>
      </c>
      <c r="C540">
        <v>2004590</v>
      </c>
    </row>
    <row r="541" spans="1:3" x14ac:dyDescent="0.2">
      <c r="A541" s="3">
        <v>5035</v>
      </c>
      <c r="B541" s="3" t="s">
        <v>116</v>
      </c>
      <c r="C541">
        <v>2004590</v>
      </c>
    </row>
    <row r="542" spans="1:3" x14ac:dyDescent="0.2">
      <c r="A542" s="3">
        <v>5035</v>
      </c>
      <c r="B542" s="3" t="s">
        <v>116</v>
      </c>
      <c r="C542">
        <v>2004590</v>
      </c>
    </row>
    <row r="543" spans="1:3" x14ac:dyDescent="0.2">
      <c r="A543">
        <v>5035</v>
      </c>
      <c r="B543" t="s">
        <v>116</v>
      </c>
      <c r="C543">
        <v>2004590</v>
      </c>
    </row>
    <row r="544" spans="1:3" x14ac:dyDescent="0.2">
      <c r="A544">
        <v>5035</v>
      </c>
      <c r="B544" t="s">
        <v>116</v>
      </c>
      <c r="C544">
        <v>2004590</v>
      </c>
    </row>
    <row r="545" spans="1:3" x14ac:dyDescent="0.2">
      <c r="A545">
        <v>5035</v>
      </c>
      <c r="B545" t="s">
        <v>116</v>
      </c>
      <c r="C545">
        <v>2004590</v>
      </c>
    </row>
    <row r="546" spans="1:3" x14ac:dyDescent="0.2">
      <c r="A546">
        <v>5035</v>
      </c>
      <c r="B546" t="s">
        <v>116</v>
      </c>
      <c r="C546">
        <v>2004590</v>
      </c>
    </row>
    <row r="547" spans="1:3" x14ac:dyDescent="0.2">
      <c r="A547">
        <v>5035</v>
      </c>
      <c r="B547" t="s">
        <v>116</v>
      </c>
      <c r="C547">
        <v>2004590</v>
      </c>
    </row>
    <row r="548" spans="1:3" x14ac:dyDescent="0.2">
      <c r="A548">
        <v>5035</v>
      </c>
      <c r="B548" s="9" t="s">
        <v>116</v>
      </c>
      <c r="C548">
        <v>2004590</v>
      </c>
    </row>
    <row r="549" spans="1:3" x14ac:dyDescent="0.2">
      <c r="A549" s="3">
        <v>5036</v>
      </c>
      <c r="B549" s="3" t="s">
        <v>117</v>
      </c>
      <c r="C549">
        <v>2000006</v>
      </c>
    </row>
    <row r="550" spans="1:3" x14ac:dyDescent="0.2">
      <c r="A550" s="3">
        <v>5036</v>
      </c>
      <c r="B550" s="3" t="s">
        <v>117</v>
      </c>
      <c r="C550">
        <v>2000006</v>
      </c>
    </row>
    <row r="551" spans="1:3" x14ac:dyDescent="0.2">
      <c r="A551" s="3">
        <v>5036</v>
      </c>
      <c r="B551" s="3" t="s">
        <v>117</v>
      </c>
      <c r="C551">
        <v>2000006</v>
      </c>
    </row>
    <row r="552" spans="1:3" x14ac:dyDescent="0.2">
      <c r="A552">
        <v>5036</v>
      </c>
      <c r="B552" t="s">
        <v>117</v>
      </c>
      <c r="C552">
        <v>2000006</v>
      </c>
    </row>
    <row r="553" spans="1:3" x14ac:dyDescent="0.2">
      <c r="A553">
        <v>5036</v>
      </c>
      <c r="B553" t="s">
        <v>117</v>
      </c>
      <c r="C553">
        <v>2000006</v>
      </c>
    </row>
    <row r="554" spans="1:3" x14ac:dyDescent="0.2">
      <c r="A554">
        <v>5036</v>
      </c>
      <c r="B554" t="s">
        <v>117</v>
      </c>
      <c r="C554">
        <v>2000006</v>
      </c>
    </row>
    <row r="555" spans="1:3" x14ac:dyDescent="0.2">
      <c r="A555">
        <v>5036</v>
      </c>
      <c r="B555" t="s">
        <v>117</v>
      </c>
      <c r="C555">
        <v>2000006</v>
      </c>
    </row>
    <row r="556" spans="1:3" x14ac:dyDescent="0.2">
      <c r="A556">
        <v>5036</v>
      </c>
      <c r="B556" t="s">
        <v>117</v>
      </c>
      <c r="C556">
        <v>2000006</v>
      </c>
    </row>
    <row r="557" spans="1:3" x14ac:dyDescent="0.2">
      <c r="A557">
        <v>5036</v>
      </c>
      <c r="B557" s="9" t="s">
        <v>117</v>
      </c>
      <c r="C557">
        <v>2000006</v>
      </c>
    </row>
    <row r="558" spans="1:3" x14ac:dyDescent="0.2">
      <c r="A558" s="3">
        <v>5037</v>
      </c>
      <c r="B558" s="3" t="s">
        <v>118</v>
      </c>
      <c r="C558">
        <v>2009390</v>
      </c>
    </row>
    <row r="559" spans="1:3" x14ac:dyDescent="0.2">
      <c r="A559" s="3">
        <v>5037</v>
      </c>
      <c r="B559" s="3" t="s">
        <v>118</v>
      </c>
      <c r="C559">
        <v>2009390</v>
      </c>
    </row>
    <row r="560" spans="1:3" x14ac:dyDescent="0.2">
      <c r="A560" s="3">
        <v>5037</v>
      </c>
      <c r="B560" s="3" t="s">
        <v>118</v>
      </c>
      <c r="C560">
        <v>2009390</v>
      </c>
    </row>
    <row r="561" spans="1:3" x14ac:dyDescent="0.2">
      <c r="A561">
        <v>5037</v>
      </c>
      <c r="B561" t="s">
        <v>118</v>
      </c>
      <c r="C561">
        <v>2009390</v>
      </c>
    </row>
    <row r="562" spans="1:3" x14ac:dyDescent="0.2">
      <c r="A562">
        <v>5037</v>
      </c>
      <c r="B562" t="s">
        <v>118</v>
      </c>
      <c r="C562">
        <v>2009390</v>
      </c>
    </row>
    <row r="563" spans="1:3" x14ac:dyDescent="0.2">
      <c r="A563">
        <v>5037</v>
      </c>
      <c r="B563" t="s">
        <v>118</v>
      </c>
      <c r="C563">
        <v>2009390</v>
      </c>
    </row>
    <row r="564" spans="1:3" x14ac:dyDescent="0.2">
      <c r="A564">
        <v>5037</v>
      </c>
      <c r="B564" t="s">
        <v>118</v>
      </c>
      <c r="C564">
        <v>2009390</v>
      </c>
    </row>
    <row r="565" spans="1:3" x14ac:dyDescent="0.2">
      <c r="A565">
        <v>5037</v>
      </c>
      <c r="B565" t="s">
        <v>118</v>
      </c>
      <c r="C565">
        <v>2009390</v>
      </c>
    </row>
    <row r="566" spans="1:3" x14ac:dyDescent="0.2">
      <c r="A566">
        <v>5037</v>
      </c>
      <c r="B566" s="9" t="s">
        <v>118</v>
      </c>
      <c r="C566">
        <v>2009390</v>
      </c>
    </row>
    <row r="567" spans="1:3" x14ac:dyDescent="0.2">
      <c r="A567" s="3">
        <v>5038</v>
      </c>
      <c r="B567" s="3" t="s">
        <v>119</v>
      </c>
      <c r="C567">
        <v>2006720</v>
      </c>
    </row>
    <row r="568" spans="1:3" x14ac:dyDescent="0.2">
      <c r="A568" s="3">
        <v>5038</v>
      </c>
      <c r="B568" s="3" t="s">
        <v>119</v>
      </c>
      <c r="C568">
        <v>2006720</v>
      </c>
    </row>
    <row r="569" spans="1:3" x14ac:dyDescent="0.2">
      <c r="A569" s="3">
        <v>5038</v>
      </c>
      <c r="B569" s="3" t="s">
        <v>119</v>
      </c>
      <c r="C569">
        <v>2006720</v>
      </c>
    </row>
    <row r="570" spans="1:3" x14ac:dyDescent="0.2">
      <c r="A570">
        <v>5038</v>
      </c>
      <c r="B570" t="s">
        <v>119</v>
      </c>
      <c r="C570">
        <v>2006720</v>
      </c>
    </row>
    <row r="571" spans="1:3" x14ac:dyDescent="0.2">
      <c r="A571">
        <v>5038</v>
      </c>
      <c r="B571" t="s">
        <v>119</v>
      </c>
      <c r="C571">
        <v>2006720</v>
      </c>
    </row>
    <row r="572" spans="1:3" x14ac:dyDescent="0.2">
      <c r="A572">
        <v>5038</v>
      </c>
      <c r="B572" t="s">
        <v>119</v>
      </c>
      <c r="C572">
        <v>2006720</v>
      </c>
    </row>
    <row r="573" spans="1:3" x14ac:dyDescent="0.2">
      <c r="A573">
        <v>5038</v>
      </c>
      <c r="B573" t="s">
        <v>119</v>
      </c>
      <c r="C573">
        <v>2006720</v>
      </c>
    </row>
    <row r="574" spans="1:3" x14ac:dyDescent="0.2">
      <c r="A574">
        <v>5038</v>
      </c>
      <c r="B574" t="s">
        <v>119</v>
      </c>
      <c r="C574">
        <v>2006720</v>
      </c>
    </row>
    <row r="575" spans="1:3" x14ac:dyDescent="0.2">
      <c r="A575">
        <v>5038</v>
      </c>
      <c r="B575" s="9" t="s">
        <v>119</v>
      </c>
      <c r="C575">
        <v>2006720</v>
      </c>
    </row>
    <row r="576" spans="1:3" x14ac:dyDescent="0.2">
      <c r="A576" s="3">
        <v>5039</v>
      </c>
      <c r="B576" s="3" t="s">
        <v>120</v>
      </c>
      <c r="C576">
        <v>2011550</v>
      </c>
    </row>
    <row r="577" spans="1:3" x14ac:dyDescent="0.2">
      <c r="A577" s="3">
        <v>5039</v>
      </c>
      <c r="B577" s="3" t="s">
        <v>120</v>
      </c>
      <c r="C577">
        <v>2011550</v>
      </c>
    </row>
    <row r="578" spans="1:3" x14ac:dyDescent="0.2">
      <c r="A578" s="3">
        <v>5039</v>
      </c>
      <c r="B578" s="3" t="s">
        <v>120</v>
      </c>
      <c r="C578">
        <v>2011550</v>
      </c>
    </row>
    <row r="579" spans="1:3" x14ac:dyDescent="0.2">
      <c r="A579">
        <v>5039</v>
      </c>
      <c r="B579" t="s">
        <v>120</v>
      </c>
      <c r="C579">
        <v>2011550</v>
      </c>
    </row>
    <row r="580" spans="1:3" x14ac:dyDescent="0.2">
      <c r="A580">
        <v>5039</v>
      </c>
      <c r="B580" t="s">
        <v>120</v>
      </c>
      <c r="C580">
        <v>2011550</v>
      </c>
    </row>
    <row r="581" spans="1:3" x14ac:dyDescent="0.2">
      <c r="A581">
        <v>5039</v>
      </c>
      <c r="B581" t="s">
        <v>120</v>
      </c>
      <c r="C581">
        <v>2011550</v>
      </c>
    </row>
    <row r="582" spans="1:3" x14ac:dyDescent="0.2">
      <c r="A582">
        <v>5039</v>
      </c>
      <c r="B582" t="s">
        <v>120</v>
      </c>
      <c r="C582">
        <v>2011550</v>
      </c>
    </row>
    <row r="583" spans="1:3" x14ac:dyDescent="0.2">
      <c r="A583">
        <v>5039</v>
      </c>
      <c r="B583" t="s">
        <v>120</v>
      </c>
      <c r="C583">
        <v>2011550</v>
      </c>
    </row>
    <row r="584" spans="1:3" x14ac:dyDescent="0.2">
      <c r="A584">
        <v>5039</v>
      </c>
      <c r="B584" s="9" t="s">
        <v>120</v>
      </c>
      <c r="C584">
        <v>2011550</v>
      </c>
    </row>
    <row r="585" spans="1:3" x14ac:dyDescent="0.2">
      <c r="A585" s="3">
        <v>5040</v>
      </c>
      <c r="B585" s="3" t="s">
        <v>121</v>
      </c>
      <c r="C585">
        <v>2004980</v>
      </c>
    </row>
    <row r="586" spans="1:3" x14ac:dyDescent="0.2">
      <c r="A586" s="3">
        <v>5040</v>
      </c>
      <c r="B586" s="3" t="s">
        <v>121</v>
      </c>
      <c r="C586">
        <v>2004980</v>
      </c>
    </row>
    <row r="587" spans="1:3" x14ac:dyDescent="0.2">
      <c r="A587" s="3">
        <v>5040</v>
      </c>
      <c r="B587" s="3" t="s">
        <v>121</v>
      </c>
      <c r="C587">
        <v>2004980</v>
      </c>
    </row>
    <row r="588" spans="1:3" x14ac:dyDescent="0.2">
      <c r="A588">
        <v>5040</v>
      </c>
      <c r="B588" t="s">
        <v>121</v>
      </c>
      <c r="C588">
        <v>2004980</v>
      </c>
    </row>
    <row r="589" spans="1:3" x14ac:dyDescent="0.2">
      <c r="A589">
        <v>5040</v>
      </c>
      <c r="B589" t="s">
        <v>121</v>
      </c>
      <c r="C589">
        <v>2004980</v>
      </c>
    </row>
    <row r="590" spans="1:3" x14ac:dyDescent="0.2">
      <c r="A590">
        <v>5040</v>
      </c>
      <c r="B590" t="s">
        <v>121</v>
      </c>
      <c r="C590">
        <v>2004980</v>
      </c>
    </row>
    <row r="591" spans="1:3" x14ac:dyDescent="0.2">
      <c r="A591">
        <v>5040</v>
      </c>
      <c r="B591" t="s">
        <v>121</v>
      </c>
      <c r="C591">
        <v>2004980</v>
      </c>
    </row>
    <row r="592" spans="1:3" x14ac:dyDescent="0.2">
      <c r="A592">
        <v>5040</v>
      </c>
      <c r="B592" t="s">
        <v>121</v>
      </c>
      <c r="C592">
        <v>2004980</v>
      </c>
    </row>
    <row r="593" spans="1:3" x14ac:dyDescent="0.2">
      <c r="A593">
        <v>5040</v>
      </c>
      <c r="B593" s="9" t="s">
        <v>121</v>
      </c>
      <c r="C593">
        <v>2004980</v>
      </c>
    </row>
    <row r="594" spans="1:3" x14ac:dyDescent="0.2">
      <c r="A594" s="3">
        <v>5041</v>
      </c>
      <c r="B594" s="3" t="s">
        <v>122</v>
      </c>
      <c r="C594">
        <v>2006390</v>
      </c>
    </row>
    <row r="595" spans="1:3" x14ac:dyDescent="0.2">
      <c r="A595" s="3">
        <v>5041</v>
      </c>
      <c r="B595" s="3" t="s">
        <v>122</v>
      </c>
      <c r="C595">
        <v>2006390</v>
      </c>
    </row>
    <row r="596" spans="1:3" x14ac:dyDescent="0.2">
      <c r="A596" s="3">
        <v>5041</v>
      </c>
      <c r="B596" s="3" t="s">
        <v>122</v>
      </c>
      <c r="C596">
        <v>2006390</v>
      </c>
    </row>
    <row r="597" spans="1:3" x14ac:dyDescent="0.2">
      <c r="A597">
        <v>5041</v>
      </c>
      <c r="B597" t="s">
        <v>122</v>
      </c>
      <c r="C597">
        <v>2006390</v>
      </c>
    </row>
    <row r="598" spans="1:3" x14ac:dyDescent="0.2">
      <c r="A598">
        <v>5041</v>
      </c>
      <c r="B598" t="s">
        <v>122</v>
      </c>
      <c r="C598">
        <v>2006390</v>
      </c>
    </row>
    <row r="599" spans="1:3" x14ac:dyDescent="0.2">
      <c r="A599">
        <v>5041</v>
      </c>
      <c r="B599" t="s">
        <v>122</v>
      </c>
      <c r="C599">
        <v>2006390</v>
      </c>
    </row>
    <row r="600" spans="1:3" x14ac:dyDescent="0.2">
      <c r="A600">
        <v>5041</v>
      </c>
      <c r="B600" t="s">
        <v>122</v>
      </c>
      <c r="C600">
        <v>2006390</v>
      </c>
    </row>
    <row r="601" spans="1:3" x14ac:dyDescent="0.2">
      <c r="A601">
        <v>5041</v>
      </c>
      <c r="B601" t="s">
        <v>122</v>
      </c>
      <c r="C601">
        <v>2006390</v>
      </c>
    </row>
    <row r="602" spans="1:3" x14ac:dyDescent="0.2">
      <c r="A602">
        <v>5041</v>
      </c>
      <c r="B602" s="9" t="s">
        <v>122</v>
      </c>
      <c r="C602">
        <v>2006390</v>
      </c>
    </row>
    <row r="603" spans="1:3" x14ac:dyDescent="0.2">
      <c r="A603" s="3">
        <v>5042</v>
      </c>
      <c r="B603" s="3" t="s">
        <v>123</v>
      </c>
      <c r="C603">
        <v>2003780</v>
      </c>
    </row>
    <row r="604" spans="1:3" x14ac:dyDescent="0.2">
      <c r="A604" s="3">
        <v>5042</v>
      </c>
      <c r="B604" s="3" t="s">
        <v>123</v>
      </c>
      <c r="C604">
        <v>2003780</v>
      </c>
    </row>
    <row r="605" spans="1:3" x14ac:dyDescent="0.2">
      <c r="A605" s="3">
        <v>5042</v>
      </c>
      <c r="B605" s="3" t="s">
        <v>123</v>
      </c>
      <c r="C605">
        <v>2003780</v>
      </c>
    </row>
    <row r="606" spans="1:3" x14ac:dyDescent="0.2">
      <c r="A606">
        <v>5042</v>
      </c>
      <c r="B606" t="s">
        <v>123</v>
      </c>
      <c r="C606">
        <v>2003780</v>
      </c>
    </row>
    <row r="607" spans="1:3" x14ac:dyDescent="0.2">
      <c r="A607">
        <v>5042</v>
      </c>
      <c r="B607" t="s">
        <v>123</v>
      </c>
      <c r="C607">
        <v>2003780</v>
      </c>
    </row>
    <row r="608" spans="1:3" x14ac:dyDescent="0.2">
      <c r="A608">
        <v>5042</v>
      </c>
      <c r="B608" t="s">
        <v>123</v>
      </c>
      <c r="C608">
        <v>2003780</v>
      </c>
    </row>
    <row r="609" spans="1:3" x14ac:dyDescent="0.2">
      <c r="A609">
        <v>5042</v>
      </c>
      <c r="B609" t="s">
        <v>123</v>
      </c>
      <c r="C609">
        <v>2003780</v>
      </c>
    </row>
    <row r="610" spans="1:3" x14ac:dyDescent="0.2">
      <c r="A610">
        <v>5042</v>
      </c>
      <c r="B610" t="s">
        <v>123</v>
      </c>
      <c r="C610">
        <v>2003780</v>
      </c>
    </row>
    <row r="611" spans="1:3" x14ac:dyDescent="0.2">
      <c r="A611">
        <v>5042</v>
      </c>
      <c r="B611" s="9" t="s">
        <v>123</v>
      </c>
      <c r="C611">
        <v>2003780</v>
      </c>
    </row>
    <row r="612" spans="1:3" x14ac:dyDescent="0.2">
      <c r="A612" s="3">
        <v>5043</v>
      </c>
      <c r="B612" s="3" t="s">
        <v>124</v>
      </c>
      <c r="C612">
        <v>2013050</v>
      </c>
    </row>
    <row r="613" spans="1:3" x14ac:dyDescent="0.2">
      <c r="A613" s="3">
        <v>5043</v>
      </c>
      <c r="B613" s="3" t="s">
        <v>124</v>
      </c>
      <c r="C613">
        <v>2013050</v>
      </c>
    </row>
    <row r="614" spans="1:3" x14ac:dyDescent="0.2">
      <c r="A614" s="3">
        <v>5043</v>
      </c>
      <c r="B614" s="3" t="s">
        <v>124</v>
      </c>
      <c r="C614">
        <v>2013050</v>
      </c>
    </row>
    <row r="615" spans="1:3" x14ac:dyDescent="0.2">
      <c r="A615">
        <v>5043</v>
      </c>
      <c r="B615" t="s">
        <v>124</v>
      </c>
      <c r="C615">
        <v>2013050</v>
      </c>
    </row>
    <row r="616" spans="1:3" x14ac:dyDescent="0.2">
      <c r="A616">
        <v>5043</v>
      </c>
      <c r="B616" t="s">
        <v>124</v>
      </c>
      <c r="C616">
        <v>2013050</v>
      </c>
    </row>
    <row r="617" spans="1:3" x14ac:dyDescent="0.2">
      <c r="A617">
        <v>5043</v>
      </c>
      <c r="B617" t="s">
        <v>124</v>
      </c>
      <c r="C617">
        <v>2013050</v>
      </c>
    </row>
    <row r="618" spans="1:3" x14ac:dyDescent="0.2">
      <c r="A618">
        <v>5043</v>
      </c>
      <c r="B618" t="s">
        <v>124</v>
      </c>
      <c r="C618">
        <v>2013050</v>
      </c>
    </row>
    <row r="619" spans="1:3" x14ac:dyDescent="0.2">
      <c r="A619">
        <v>5043</v>
      </c>
      <c r="B619" t="s">
        <v>124</v>
      </c>
      <c r="C619">
        <v>2013050</v>
      </c>
    </row>
    <row r="620" spans="1:3" x14ac:dyDescent="0.2">
      <c r="A620">
        <v>5043</v>
      </c>
      <c r="B620" s="9" t="s">
        <v>124</v>
      </c>
      <c r="C620">
        <v>2013050</v>
      </c>
    </row>
    <row r="621" spans="1:3" x14ac:dyDescent="0.2">
      <c r="A621" s="3">
        <v>5045</v>
      </c>
      <c r="B621" s="3" t="s">
        <v>11</v>
      </c>
    </row>
    <row r="622" spans="1:3" x14ac:dyDescent="0.2">
      <c r="A622" s="3">
        <v>5045</v>
      </c>
      <c r="B622" s="3" t="s">
        <v>11</v>
      </c>
    </row>
    <row r="623" spans="1:3" x14ac:dyDescent="0.2">
      <c r="A623">
        <v>5045</v>
      </c>
      <c r="B623" t="s">
        <v>11</v>
      </c>
    </row>
    <row r="624" spans="1:3" x14ac:dyDescent="0.2">
      <c r="A624">
        <v>5045</v>
      </c>
      <c r="B624" t="s">
        <v>11</v>
      </c>
    </row>
    <row r="625" spans="1:2" x14ac:dyDescent="0.2">
      <c r="A625">
        <v>5045</v>
      </c>
      <c r="B625" t="s">
        <v>11</v>
      </c>
    </row>
    <row r="626" spans="1:2" x14ac:dyDescent="0.2">
      <c r="A626">
        <v>5045</v>
      </c>
      <c r="B626" t="s">
        <v>11</v>
      </c>
    </row>
    <row r="627" spans="1:2" x14ac:dyDescent="0.2">
      <c r="A627">
        <v>5045</v>
      </c>
      <c r="B627" t="s">
        <v>11</v>
      </c>
    </row>
    <row r="628" spans="1:2" x14ac:dyDescent="0.2">
      <c r="A628">
        <v>5045</v>
      </c>
      <c r="B628" s="9" t="s">
        <v>11</v>
      </c>
    </row>
    <row r="629" spans="1:2" x14ac:dyDescent="0.2">
      <c r="A629" s="3">
        <v>5046</v>
      </c>
      <c r="B629" s="3" t="s">
        <v>12</v>
      </c>
    </row>
    <row r="630" spans="1:2" x14ac:dyDescent="0.2">
      <c r="A630" s="3">
        <v>5046</v>
      </c>
      <c r="B630" s="3" t="s">
        <v>12</v>
      </c>
    </row>
    <row r="631" spans="1:2" x14ac:dyDescent="0.2">
      <c r="A631">
        <v>5046</v>
      </c>
      <c r="B631" t="s">
        <v>12</v>
      </c>
    </row>
    <row r="632" spans="1:2" x14ac:dyDescent="0.2">
      <c r="A632">
        <v>5046</v>
      </c>
      <c r="B632" t="s">
        <v>12</v>
      </c>
    </row>
    <row r="633" spans="1:2" x14ac:dyDescent="0.2">
      <c r="A633">
        <v>5046</v>
      </c>
      <c r="B633" t="s">
        <v>12</v>
      </c>
    </row>
    <row r="634" spans="1:2" x14ac:dyDescent="0.2">
      <c r="A634">
        <v>5046</v>
      </c>
      <c r="B634" t="s">
        <v>12</v>
      </c>
    </row>
    <row r="635" spans="1:2" x14ac:dyDescent="0.2">
      <c r="A635">
        <v>5046</v>
      </c>
      <c r="B635" s="9" t="s">
        <v>12</v>
      </c>
    </row>
    <row r="636" spans="1:2" x14ac:dyDescent="0.2">
      <c r="A636" s="3">
        <v>5047</v>
      </c>
      <c r="B636" s="3" t="s">
        <v>13</v>
      </c>
    </row>
    <row r="637" spans="1:2" x14ac:dyDescent="0.2">
      <c r="A637" s="3">
        <v>5047</v>
      </c>
      <c r="B637" s="3" t="s">
        <v>13</v>
      </c>
    </row>
    <row r="638" spans="1:2" x14ac:dyDescent="0.2">
      <c r="A638">
        <v>5047</v>
      </c>
      <c r="B638" t="s">
        <v>13</v>
      </c>
    </row>
    <row r="639" spans="1:2" x14ac:dyDescent="0.2">
      <c r="A639">
        <v>5047</v>
      </c>
      <c r="B639" t="s">
        <v>13</v>
      </c>
    </row>
    <row r="640" spans="1:2" x14ac:dyDescent="0.2">
      <c r="A640">
        <v>5047</v>
      </c>
      <c r="B640" t="s">
        <v>13</v>
      </c>
    </row>
    <row r="641" spans="1:2" x14ac:dyDescent="0.2">
      <c r="A641">
        <v>5047</v>
      </c>
      <c r="B641" t="s">
        <v>13</v>
      </c>
    </row>
    <row r="642" spans="1:2" x14ac:dyDescent="0.2">
      <c r="A642">
        <v>5047</v>
      </c>
      <c r="B642" t="s">
        <v>13</v>
      </c>
    </row>
    <row r="643" spans="1:2" x14ac:dyDescent="0.2">
      <c r="A643">
        <v>5047</v>
      </c>
      <c r="B643" s="9" t="s">
        <v>13</v>
      </c>
    </row>
    <row r="644" spans="1:2" x14ac:dyDescent="0.2">
      <c r="A644" s="3">
        <v>5048</v>
      </c>
      <c r="B644" s="3" t="s">
        <v>14</v>
      </c>
    </row>
    <row r="645" spans="1:2" x14ac:dyDescent="0.2">
      <c r="A645" s="3">
        <v>5048</v>
      </c>
      <c r="B645" s="3" t="s">
        <v>14</v>
      </c>
    </row>
    <row r="646" spans="1:2" x14ac:dyDescent="0.2">
      <c r="A646">
        <v>5048</v>
      </c>
      <c r="B646" t="s">
        <v>14</v>
      </c>
    </row>
    <row r="647" spans="1:2" x14ac:dyDescent="0.2">
      <c r="A647">
        <v>5048</v>
      </c>
      <c r="B647" t="s">
        <v>14</v>
      </c>
    </row>
    <row r="648" spans="1:2" x14ac:dyDescent="0.2">
      <c r="A648">
        <v>5048</v>
      </c>
      <c r="B648" t="s">
        <v>14</v>
      </c>
    </row>
    <row r="649" spans="1:2" x14ac:dyDescent="0.2">
      <c r="A649">
        <v>5048</v>
      </c>
      <c r="B649" t="s">
        <v>14</v>
      </c>
    </row>
    <row r="650" spans="1:2" x14ac:dyDescent="0.2">
      <c r="A650">
        <v>5048</v>
      </c>
      <c r="B650" t="s">
        <v>14</v>
      </c>
    </row>
    <row r="651" spans="1:2" x14ac:dyDescent="0.2">
      <c r="A651">
        <v>5048</v>
      </c>
      <c r="B651" s="9" t="s">
        <v>14</v>
      </c>
    </row>
    <row r="652" spans="1:2" x14ac:dyDescent="0.2">
      <c r="A652" s="3">
        <v>5049</v>
      </c>
      <c r="B652" s="3" t="s">
        <v>15</v>
      </c>
    </row>
    <row r="653" spans="1:2" x14ac:dyDescent="0.2">
      <c r="A653" s="3">
        <v>5049</v>
      </c>
      <c r="B653" s="3" t="s">
        <v>15</v>
      </c>
    </row>
    <row r="654" spans="1:2" x14ac:dyDescent="0.2">
      <c r="A654">
        <v>5049</v>
      </c>
      <c r="B654" t="s">
        <v>15</v>
      </c>
    </row>
    <row r="655" spans="1:2" x14ac:dyDescent="0.2">
      <c r="A655">
        <v>5049</v>
      </c>
      <c r="B655" t="s">
        <v>15</v>
      </c>
    </row>
    <row r="656" spans="1:2" x14ac:dyDescent="0.2">
      <c r="A656">
        <v>5049</v>
      </c>
      <c r="B656" t="s">
        <v>15</v>
      </c>
    </row>
    <row r="657" spans="1:3" x14ac:dyDescent="0.2">
      <c r="A657">
        <v>5049</v>
      </c>
      <c r="B657" t="s">
        <v>15</v>
      </c>
    </row>
    <row r="658" spans="1:3" x14ac:dyDescent="0.2">
      <c r="A658">
        <v>5049</v>
      </c>
      <c r="B658" t="s">
        <v>15</v>
      </c>
    </row>
    <row r="659" spans="1:3" x14ac:dyDescent="0.2">
      <c r="A659">
        <v>5049</v>
      </c>
      <c r="B659" s="9" t="s">
        <v>15</v>
      </c>
    </row>
    <row r="660" spans="1:3" x14ac:dyDescent="0.2">
      <c r="A660" s="3">
        <v>5050</v>
      </c>
      <c r="B660" s="3" t="s">
        <v>16</v>
      </c>
    </row>
    <row r="661" spans="1:3" x14ac:dyDescent="0.2">
      <c r="A661" s="3">
        <v>5050</v>
      </c>
      <c r="B661" s="3" t="s">
        <v>16</v>
      </c>
    </row>
    <row r="662" spans="1:3" x14ac:dyDescent="0.2">
      <c r="A662">
        <v>5050</v>
      </c>
      <c r="B662" t="s">
        <v>16</v>
      </c>
    </row>
    <row r="663" spans="1:3" x14ac:dyDescent="0.2">
      <c r="A663">
        <v>5050</v>
      </c>
      <c r="B663" t="s">
        <v>16</v>
      </c>
    </row>
    <row r="664" spans="1:3" x14ac:dyDescent="0.2">
      <c r="A664">
        <v>5050</v>
      </c>
      <c r="B664" t="s">
        <v>16</v>
      </c>
    </row>
    <row r="665" spans="1:3" x14ac:dyDescent="0.2">
      <c r="A665">
        <v>5050</v>
      </c>
      <c r="B665" t="s">
        <v>16</v>
      </c>
    </row>
    <row r="666" spans="1:3" x14ac:dyDescent="0.2">
      <c r="A666">
        <v>5050</v>
      </c>
      <c r="B666" t="s">
        <v>16</v>
      </c>
    </row>
    <row r="667" spans="1:3" x14ac:dyDescent="0.2">
      <c r="A667">
        <v>5050</v>
      </c>
      <c r="B667" s="9" t="s">
        <v>16</v>
      </c>
    </row>
    <row r="668" spans="1:3" x14ac:dyDescent="0.2">
      <c r="A668" s="3">
        <v>5056</v>
      </c>
      <c r="B668" s="3" t="s">
        <v>125</v>
      </c>
      <c r="C668">
        <v>2000012</v>
      </c>
    </row>
    <row r="669" spans="1:3" x14ac:dyDescent="0.2">
      <c r="A669" s="3">
        <v>5056</v>
      </c>
      <c r="B669" s="3" t="s">
        <v>125</v>
      </c>
      <c r="C669">
        <v>2000012</v>
      </c>
    </row>
    <row r="670" spans="1:3" x14ac:dyDescent="0.2">
      <c r="A670" s="3">
        <v>5056</v>
      </c>
      <c r="B670" s="3" t="s">
        <v>125</v>
      </c>
      <c r="C670">
        <v>2000012</v>
      </c>
    </row>
    <row r="671" spans="1:3" x14ac:dyDescent="0.2">
      <c r="A671">
        <v>5056</v>
      </c>
      <c r="B671" t="s">
        <v>125</v>
      </c>
      <c r="C671">
        <v>2000012</v>
      </c>
    </row>
    <row r="672" spans="1:3" x14ac:dyDescent="0.2">
      <c r="A672">
        <v>5056</v>
      </c>
      <c r="B672" t="s">
        <v>125</v>
      </c>
      <c r="C672">
        <v>2000012</v>
      </c>
    </row>
    <row r="673" spans="1:3" x14ac:dyDescent="0.2">
      <c r="A673">
        <v>5056</v>
      </c>
      <c r="B673" t="s">
        <v>125</v>
      </c>
      <c r="C673">
        <v>2000012</v>
      </c>
    </row>
    <row r="674" spans="1:3" x14ac:dyDescent="0.2">
      <c r="A674">
        <v>5056</v>
      </c>
      <c r="B674" t="s">
        <v>125</v>
      </c>
      <c r="C674">
        <v>2000012</v>
      </c>
    </row>
    <row r="675" spans="1:3" x14ac:dyDescent="0.2">
      <c r="A675">
        <v>5056</v>
      </c>
      <c r="B675" t="s">
        <v>125</v>
      </c>
      <c r="C675">
        <v>2000012</v>
      </c>
    </row>
    <row r="676" spans="1:3" x14ac:dyDescent="0.2">
      <c r="A676">
        <v>5056</v>
      </c>
      <c r="B676" s="9" t="s">
        <v>125</v>
      </c>
      <c r="C676">
        <v>2000012</v>
      </c>
    </row>
    <row r="677" spans="1:3" x14ac:dyDescent="0.2">
      <c r="A677" s="3">
        <v>5057</v>
      </c>
      <c r="B677" s="3" t="s">
        <v>126</v>
      </c>
      <c r="C677">
        <v>2007590</v>
      </c>
    </row>
    <row r="678" spans="1:3" x14ac:dyDescent="0.2">
      <c r="A678" s="3">
        <v>5057</v>
      </c>
      <c r="B678" s="3" t="s">
        <v>126</v>
      </c>
      <c r="C678">
        <v>2007590</v>
      </c>
    </row>
    <row r="679" spans="1:3" x14ac:dyDescent="0.2">
      <c r="A679" s="3">
        <v>5057</v>
      </c>
      <c r="B679" s="3" t="s">
        <v>126</v>
      </c>
      <c r="C679">
        <v>2007590</v>
      </c>
    </row>
    <row r="680" spans="1:3" x14ac:dyDescent="0.2">
      <c r="A680">
        <v>5057</v>
      </c>
      <c r="B680" t="s">
        <v>126</v>
      </c>
      <c r="C680">
        <v>2007590</v>
      </c>
    </row>
    <row r="681" spans="1:3" x14ac:dyDescent="0.2">
      <c r="A681">
        <v>5057</v>
      </c>
      <c r="B681" t="s">
        <v>126</v>
      </c>
      <c r="C681">
        <v>2007590</v>
      </c>
    </row>
    <row r="682" spans="1:3" x14ac:dyDescent="0.2">
      <c r="A682">
        <v>5057</v>
      </c>
      <c r="B682" t="s">
        <v>126</v>
      </c>
      <c r="C682">
        <v>2007590</v>
      </c>
    </row>
    <row r="683" spans="1:3" x14ac:dyDescent="0.2">
      <c r="A683">
        <v>5057</v>
      </c>
      <c r="B683" t="s">
        <v>126</v>
      </c>
      <c r="C683">
        <v>2007590</v>
      </c>
    </row>
    <row r="684" spans="1:3" x14ac:dyDescent="0.2">
      <c r="A684">
        <v>5057</v>
      </c>
      <c r="B684" t="s">
        <v>126</v>
      </c>
      <c r="C684">
        <v>2007590</v>
      </c>
    </row>
    <row r="685" spans="1:3" x14ac:dyDescent="0.2">
      <c r="A685">
        <v>5057</v>
      </c>
      <c r="B685" s="9" t="s">
        <v>126</v>
      </c>
      <c r="C685">
        <v>2007590</v>
      </c>
    </row>
    <row r="686" spans="1:3" x14ac:dyDescent="0.2">
      <c r="A686" s="3">
        <v>5058</v>
      </c>
      <c r="B686" s="3" t="s">
        <v>127</v>
      </c>
      <c r="C686">
        <v>2003870</v>
      </c>
    </row>
    <row r="687" spans="1:3" x14ac:dyDescent="0.2">
      <c r="A687" s="3">
        <v>5058</v>
      </c>
      <c r="B687" s="3" t="s">
        <v>127</v>
      </c>
      <c r="C687">
        <v>2003870</v>
      </c>
    </row>
    <row r="688" spans="1:3" x14ac:dyDescent="0.2">
      <c r="A688" s="3">
        <v>5058</v>
      </c>
      <c r="B688" s="3" t="s">
        <v>127</v>
      </c>
      <c r="C688">
        <v>2003870</v>
      </c>
    </row>
    <row r="689" spans="1:3" x14ac:dyDescent="0.2">
      <c r="A689">
        <v>5058</v>
      </c>
      <c r="B689" t="s">
        <v>127</v>
      </c>
      <c r="C689">
        <v>2003870</v>
      </c>
    </row>
    <row r="690" spans="1:3" x14ac:dyDescent="0.2">
      <c r="A690">
        <v>5058</v>
      </c>
      <c r="B690" t="s">
        <v>127</v>
      </c>
      <c r="C690">
        <v>2003870</v>
      </c>
    </row>
    <row r="691" spans="1:3" x14ac:dyDescent="0.2">
      <c r="A691">
        <v>5058</v>
      </c>
      <c r="B691" t="s">
        <v>127</v>
      </c>
      <c r="C691">
        <v>2003870</v>
      </c>
    </row>
    <row r="692" spans="1:3" x14ac:dyDescent="0.2">
      <c r="A692">
        <v>5058</v>
      </c>
      <c r="B692" t="s">
        <v>127</v>
      </c>
      <c r="C692">
        <v>2003870</v>
      </c>
    </row>
    <row r="693" spans="1:3" x14ac:dyDescent="0.2">
      <c r="A693">
        <v>5058</v>
      </c>
      <c r="B693" t="s">
        <v>127</v>
      </c>
      <c r="C693">
        <v>2003870</v>
      </c>
    </row>
    <row r="694" spans="1:3" x14ac:dyDescent="0.2">
      <c r="A694">
        <v>5058</v>
      </c>
      <c r="B694" s="9" t="s">
        <v>127</v>
      </c>
      <c r="C694">
        <v>2003870</v>
      </c>
    </row>
    <row r="695" spans="1:3" x14ac:dyDescent="0.2">
      <c r="A695" s="3">
        <v>5059</v>
      </c>
      <c r="B695" s="3" t="s">
        <v>128</v>
      </c>
      <c r="C695">
        <v>2005250</v>
      </c>
    </row>
    <row r="696" spans="1:3" x14ac:dyDescent="0.2">
      <c r="A696" s="3">
        <v>5059</v>
      </c>
      <c r="B696" s="3" t="s">
        <v>128</v>
      </c>
      <c r="C696">
        <v>2005250</v>
      </c>
    </row>
    <row r="697" spans="1:3" x14ac:dyDescent="0.2">
      <c r="A697" s="3">
        <v>5059</v>
      </c>
      <c r="B697" s="3" t="s">
        <v>128</v>
      </c>
      <c r="C697">
        <v>2005250</v>
      </c>
    </row>
    <row r="698" spans="1:3" x14ac:dyDescent="0.2">
      <c r="A698">
        <v>5059</v>
      </c>
      <c r="B698" t="s">
        <v>128</v>
      </c>
      <c r="C698">
        <v>2005250</v>
      </c>
    </row>
    <row r="699" spans="1:3" x14ac:dyDescent="0.2">
      <c r="A699">
        <v>5059</v>
      </c>
      <c r="B699" t="s">
        <v>128</v>
      </c>
      <c r="C699">
        <v>2005250</v>
      </c>
    </row>
    <row r="700" spans="1:3" x14ac:dyDescent="0.2">
      <c r="A700">
        <v>5059</v>
      </c>
      <c r="B700" t="s">
        <v>128</v>
      </c>
      <c r="C700">
        <v>2005250</v>
      </c>
    </row>
    <row r="701" spans="1:3" x14ac:dyDescent="0.2">
      <c r="A701">
        <v>5059</v>
      </c>
      <c r="B701" t="s">
        <v>128</v>
      </c>
      <c r="C701">
        <v>2005250</v>
      </c>
    </row>
    <row r="702" spans="1:3" x14ac:dyDescent="0.2">
      <c r="A702">
        <v>5059</v>
      </c>
      <c r="B702" t="s">
        <v>128</v>
      </c>
      <c r="C702">
        <v>2005250</v>
      </c>
    </row>
    <row r="703" spans="1:3" x14ac:dyDescent="0.2">
      <c r="A703">
        <v>5059</v>
      </c>
      <c r="B703" s="9" t="s">
        <v>128</v>
      </c>
      <c r="C703">
        <v>2005250</v>
      </c>
    </row>
    <row r="704" spans="1:3" x14ac:dyDescent="0.2">
      <c r="A704" s="3">
        <v>5060</v>
      </c>
      <c r="B704" s="3" t="s">
        <v>129</v>
      </c>
      <c r="C704">
        <v>2004500</v>
      </c>
    </row>
    <row r="705" spans="1:3" x14ac:dyDescent="0.2">
      <c r="A705" s="3">
        <v>5060</v>
      </c>
      <c r="B705" s="3" t="s">
        <v>129</v>
      </c>
      <c r="C705">
        <v>2004500</v>
      </c>
    </row>
    <row r="706" spans="1:3" x14ac:dyDescent="0.2">
      <c r="A706" s="3">
        <v>5060</v>
      </c>
      <c r="B706" s="3" t="s">
        <v>129</v>
      </c>
      <c r="C706">
        <v>2004500</v>
      </c>
    </row>
    <row r="707" spans="1:3" x14ac:dyDescent="0.2">
      <c r="A707">
        <v>5060</v>
      </c>
      <c r="B707" t="s">
        <v>129</v>
      </c>
      <c r="C707">
        <v>2004500</v>
      </c>
    </row>
    <row r="708" spans="1:3" x14ac:dyDescent="0.2">
      <c r="A708">
        <v>5060</v>
      </c>
      <c r="B708" t="s">
        <v>129</v>
      </c>
      <c r="C708">
        <v>2004500</v>
      </c>
    </row>
    <row r="709" spans="1:3" x14ac:dyDescent="0.2">
      <c r="A709">
        <v>5060</v>
      </c>
      <c r="B709" t="s">
        <v>129</v>
      </c>
      <c r="C709">
        <v>2004500</v>
      </c>
    </row>
    <row r="710" spans="1:3" x14ac:dyDescent="0.2">
      <c r="A710">
        <v>5060</v>
      </c>
      <c r="B710" t="s">
        <v>129</v>
      </c>
      <c r="C710">
        <v>2004500</v>
      </c>
    </row>
    <row r="711" spans="1:3" x14ac:dyDescent="0.2">
      <c r="A711">
        <v>5060</v>
      </c>
      <c r="B711" t="s">
        <v>129</v>
      </c>
      <c r="C711">
        <v>2004500</v>
      </c>
    </row>
    <row r="712" spans="1:3" x14ac:dyDescent="0.2">
      <c r="A712">
        <v>5060</v>
      </c>
      <c r="B712" s="9" t="s">
        <v>129</v>
      </c>
      <c r="C712">
        <v>2004500</v>
      </c>
    </row>
    <row r="713" spans="1:3" x14ac:dyDescent="0.2">
      <c r="A713" s="3">
        <v>5061</v>
      </c>
      <c r="B713" s="3" t="s">
        <v>130</v>
      </c>
      <c r="C713">
        <v>2011520</v>
      </c>
    </row>
    <row r="714" spans="1:3" x14ac:dyDescent="0.2">
      <c r="A714" s="3">
        <v>5061</v>
      </c>
      <c r="B714" s="3" t="s">
        <v>130</v>
      </c>
      <c r="C714">
        <v>2011520</v>
      </c>
    </row>
    <row r="715" spans="1:3" x14ac:dyDescent="0.2">
      <c r="A715" s="3">
        <v>5061</v>
      </c>
      <c r="B715" s="3" t="s">
        <v>130</v>
      </c>
      <c r="C715">
        <v>2011520</v>
      </c>
    </row>
    <row r="716" spans="1:3" x14ac:dyDescent="0.2">
      <c r="A716">
        <v>5061</v>
      </c>
      <c r="B716" t="s">
        <v>130</v>
      </c>
      <c r="C716">
        <v>2011520</v>
      </c>
    </row>
    <row r="717" spans="1:3" x14ac:dyDescent="0.2">
      <c r="A717">
        <v>5061</v>
      </c>
      <c r="B717" t="s">
        <v>130</v>
      </c>
      <c r="C717">
        <v>2011520</v>
      </c>
    </row>
    <row r="718" spans="1:3" x14ac:dyDescent="0.2">
      <c r="A718">
        <v>5061</v>
      </c>
      <c r="B718" t="s">
        <v>130</v>
      </c>
      <c r="C718">
        <v>2011520</v>
      </c>
    </row>
    <row r="719" spans="1:3" x14ac:dyDescent="0.2">
      <c r="A719">
        <v>5061</v>
      </c>
      <c r="B719" t="s">
        <v>130</v>
      </c>
      <c r="C719">
        <v>2011520</v>
      </c>
    </row>
    <row r="720" spans="1:3" x14ac:dyDescent="0.2">
      <c r="A720">
        <v>5061</v>
      </c>
      <c r="B720" t="s">
        <v>130</v>
      </c>
      <c r="C720">
        <v>2011520</v>
      </c>
    </row>
    <row r="721" spans="1:3" x14ac:dyDescent="0.2">
      <c r="A721">
        <v>5061</v>
      </c>
      <c r="B721" s="9" t="s">
        <v>130</v>
      </c>
      <c r="C721">
        <v>2011520</v>
      </c>
    </row>
    <row r="722" spans="1:3" x14ac:dyDescent="0.2">
      <c r="A722" s="3">
        <v>5062</v>
      </c>
      <c r="B722" s="3" t="s">
        <v>131</v>
      </c>
      <c r="C722">
        <v>2010800</v>
      </c>
    </row>
    <row r="723" spans="1:3" x14ac:dyDescent="0.2">
      <c r="A723" s="3">
        <v>5062</v>
      </c>
      <c r="B723" s="3" t="s">
        <v>131</v>
      </c>
      <c r="C723">
        <v>2010800</v>
      </c>
    </row>
    <row r="724" spans="1:3" x14ac:dyDescent="0.2">
      <c r="A724" s="3">
        <v>5062</v>
      </c>
      <c r="B724" s="3" t="s">
        <v>131</v>
      </c>
      <c r="C724">
        <v>2010800</v>
      </c>
    </row>
    <row r="725" spans="1:3" x14ac:dyDescent="0.2">
      <c r="A725">
        <v>5062</v>
      </c>
      <c r="B725" t="s">
        <v>131</v>
      </c>
      <c r="C725">
        <v>2010800</v>
      </c>
    </row>
    <row r="726" spans="1:3" x14ac:dyDescent="0.2">
      <c r="A726">
        <v>5062</v>
      </c>
      <c r="B726" t="s">
        <v>131</v>
      </c>
      <c r="C726">
        <v>2010800</v>
      </c>
    </row>
    <row r="727" spans="1:3" x14ac:dyDescent="0.2">
      <c r="A727">
        <v>5062</v>
      </c>
      <c r="B727" t="s">
        <v>131</v>
      </c>
      <c r="C727">
        <v>2010800</v>
      </c>
    </row>
    <row r="728" spans="1:3" x14ac:dyDescent="0.2">
      <c r="A728">
        <v>5062</v>
      </c>
      <c r="B728" t="s">
        <v>131</v>
      </c>
      <c r="C728">
        <v>2010800</v>
      </c>
    </row>
    <row r="729" spans="1:3" x14ac:dyDescent="0.2">
      <c r="A729">
        <v>5062</v>
      </c>
      <c r="B729" t="s">
        <v>131</v>
      </c>
      <c r="C729">
        <v>2010800</v>
      </c>
    </row>
    <row r="730" spans="1:3" x14ac:dyDescent="0.2">
      <c r="A730">
        <v>5062</v>
      </c>
      <c r="B730" s="9" t="s">
        <v>131</v>
      </c>
      <c r="C730">
        <v>2010800</v>
      </c>
    </row>
    <row r="731" spans="1:3" x14ac:dyDescent="0.2">
      <c r="A731" s="3">
        <v>5063</v>
      </c>
      <c r="B731" s="3" t="s">
        <v>132</v>
      </c>
      <c r="C731">
        <v>2005870</v>
      </c>
    </row>
    <row r="732" spans="1:3" x14ac:dyDescent="0.2">
      <c r="A732" s="3">
        <v>5063</v>
      </c>
      <c r="B732" s="3" t="s">
        <v>132</v>
      </c>
      <c r="C732">
        <v>2005870</v>
      </c>
    </row>
    <row r="733" spans="1:3" x14ac:dyDescent="0.2">
      <c r="A733" s="3">
        <v>5063</v>
      </c>
      <c r="B733" s="3" t="s">
        <v>132</v>
      </c>
      <c r="C733">
        <v>2005870</v>
      </c>
    </row>
    <row r="734" spans="1:3" x14ac:dyDescent="0.2">
      <c r="A734">
        <v>5063</v>
      </c>
      <c r="B734" t="s">
        <v>132</v>
      </c>
      <c r="C734">
        <v>2005870</v>
      </c>
    </row>
    <row r="735" spans="1:3" x14ac:dyDescent="0.2">
      <c r="A735">
        <v>5063</v>
      </c>
      <c r="B735" t="s">
        <v>132</v>
      </c>
      <c r="C735">
        <v>2005870</v>
      </c>
    </row>
    <row r="736" spans="1:3" x14ac:dyDescent="0.2">
      <c r="A736">
        <v>5063</v>
      </c>
      <c r="B736" t="s">
        <v>132</v>
      </c>
      <c r="C736">
        <v>2005870</v>
      </c>
    </row>
    <row r="737" spans="1:3" x14ac:dyDescent="0.2">
      <c r="A737">
        <v>5063</v>
      </c>
      <c r="B737" t="s">
        <v>132</v>
      </c>
      <c r="C737">
        <v>2005870</v>
      </c>
    </row>
    <row r="738" spans="1:3" x14ac:dyDescent="0.2">
      <c r="A738">
        <v>5063</v>
      </c>
      <c r="B738" t="s">
        <v>132</v>
      </c>
      <c r="C738">
        <v>2005870</v>
      </c>
    </row>
    <row r="739" spans="1:3" x14ac:dyDescent="0.2">
      <c r="A739">
        <v>5063</v>
      </c>
      <c r="B739" s="9" t="s">
        <v>132</v>
      </c>
      <c r="C739">
        <v>2005870</v>
      </c>
    </row>
    <row r="740" spans="1:3" x14ac:dyDescent="0.2">
      <c r="A740" s="3">
        <v>5064</v>
      </c>
      <c r="B740" s="3" t="s">
        <v>133</v>
      </c>
      <c r="C740">
        <v>2012540</v>
      </c>
    </row>
    <row r="741" spans="1:3" x14ac:dyDescent="0.2">
      <c r="A741" s="3">
        <v>5064</v>
      </c>
      <c r="B741" s="3" t="s">
        <v>133</v>
      </c>
      <c r="C741">
        <v>2012540</v>
      </c>
    </row>
    <row r="742" spans="1:3" x14ac:dyDescent="0.2">
      <c r="A742" s="3">
        <v>5064</v>
      </c>
      <c r="B742" s="3" t="s">
        <v>133</v>
      </c>
      <c r="C742">
        <v>2012540</v>
      </c>
    </row>
    <row r="743" spans="1:3" x14ac:dyDescent="0.2">
      <c r="A743">
        <v>5064</v>
      </c>
      <c r="B743" t="s">
        <v>133</v>
      </c>
      <c r="C743">
        <v>2012540</v>
      </c>
    </row>
    <row r="744" spans="1:3" x14ac:dyDescent="0.2">
      <c r="A744">
        <v>5064</v>
      </c>
      <c r="B744" t="s">
        <v>133</v>
      </c>
      <c r="C744">
        <v>2012540</v>
      </c>
    </row>
    <row r="745" spans="1:3" x14ac:dyDescent="0.2">
      <c r="A745">
        <v>5064</v>
      </c>
      <c r="B745" t="s">
        <v>133</v>
      </c>
      <c r="C745">
        <v>2012540</v>
      </c>
    </row>
    <row r="746" spans="1:3" x14ac:dyDescent="0.2">
      <c r="A746">
        <v>5064</v>
      </c>
      <c r="B746" t="s">
        <v>133</v>
      </c>
      <c r="C746">
        <v>2012540</v>
      </c>
    </row>
    <row r="747" spans="1:3" x14ac:dyDescent="0.2">
      <c r="A747">
        <v>5064</v>
      </c>
      <c r="B747" t="s">
        <v>133</v>
      </c>
      <c r="C747">
        <v>2012540</v>
      </c>
    </row>
    <row r="748" spans="1:3" x14ac:dyDescent="0.2">
      <c r="A748">
        <v>5064</v>
      </c>
      <c r="B748" s="9" t="s">
        <v>133</v>
      </c>
      <c r="C748">
        <v>2012540</v>
      </c>
    </row>
    <row r="749" spans="1:3" x14ac:dyDescent="0.2">
      <c r="A749" s="3">
        <v>5065</v>
      </c>
      <c r="B749" s="3" t="s">
        <v>134</v>
      </c>
      <c r="C749">
        <v>2009360</v>
      </c>
    </row>
    <row r="750" spans="1:3" x14ac:dyDescent="0.2">
      <c r="A750" s="3">
        <v>5065</v>
      </c>
      <c r="B750" s="3" t="s">
        <v>134</v>
      </c>
      <c r="C750">
        <v>2009360</v>
      </c>
    </row>
    <row r="751" spans="1:3" x14ac:dyDescent="0.2">
      <c r="A751" s="3">
        <v>5065</v>
      </c>
      <c r="B751" s="3" t="s">
        <v>134</v>
      </c>
      <c r="C751">
        <v>2009360</v>
      </c>
    </row>
    <row r="752" spans="1:3" x14ac:dyDescent="0.2">
      <c r="A752">
        <v>5065</v>
      </c>
      <c r="B752" t="s">
        <v>134</v>
      </c>
      <c r="C752">
        <v>2009360</v>
      </c>
    </row>
    <row r="753" spans="1:3" x14ac:dyDescent="0.2">
      <c r="A753">
        <v>5065</v>
      </c>
      <c r="B753" t="s">
        <v>134</v>
      </c>
      <c r="C753">
        <v>2009360</v>
      </c>
    </row>
    <row r="754" spans="1:3" x14ac:dyDescent="0.2">
      <c r="A754">
        <v>5065</v>
      </c>
      <c r="B754" t="s">
        <v>134</v>
      </c>
      <c r="C754">
        <v>2009360</v>
      </c>
    </row>
    <row r="755" spans="1:3" x14ac:dyDescent="0.2">
      <c r="A755">
        <v>5065</v>
      </c>
      <c r="B755" t="s">
        <v>134</v>
      </c>
      <c r="C755">
        <v>2009360</v>
      </c>
    </row>
    <row r="756" spans="1:3" x14ac:dyDescent="0.2">
      <c r="A756">
        <v>5065</v>
      </c>
      <c r="B756" t="s">
        <v>134</v>
      </c>
      <c r="C756">
        <v>2009360</v>
      </c>
    </row>
    <row r="757" spans="1:3" x14ac:dyDescent="0.2">
      <c r="A757">
        <v>5065</v>
      </c>
      <c r="B757" s="9" t="s">
        <v>134</v>
      </c>
      <c r="C757">
        <v>2009360</v>
      </c>
    </row>
    <row r="758" spans="1:3" x14ac:dyDescent="0.2">
      <c r="A758" s="3">
        <v>5066</v>
      </c>
      <c r="B758" s="3" t="s">
        <v>135</v>
      </c>
      <c r="C758">
        <v>2004560</v>
      </c>
    </row>
    <row r="759" spans="1:3" x14ac:dyDescent="0.2">
      <c r="A759" s="3">
        <v>5066</v>
      </c>
      <c r="B759" s="3" t="s">
        <v>135</v>
      </c>
      <c r="C759">
        <v>2004560</v>
      </c>
    </row>
    <row r="760" spans="1:3" x14ac:dyDescent="0.2">
      <c r="A760" s="3">
        <v>5066</v>
      </c>
      <c r="B760" s="3" t="s">
        <v>135</v>
      </c>
      <c r="C760">
        <v>2004560</v>
      </c>
    </row>
    <row r="761" spans="1:3" x14ac:dyDescent="0.2">
      <c r="A761">
        <v>5066</v>
      </c>
      <c r="B761" t="s">
        <v>135</v>
      </c>
      <c r="C761">
        <v>2004560</v>
      </c>
    </row>
    <row r="762" spans="1:3" x14ac:dyDescent="0.2">
      <c r="A762">
        <v>5066</v>
      </c>
      <c r="B762" t="s">
        <v>135</v>
      </c>
      <c r="C762">
        <v>2004560</v>
      </c>
    </row>
    <row r="763" spans="1:3" x14ac:dyDescent="0.2">
      <c r="A763">
        <v>5066</v>
      </c>
      <c r="B763" t="s">
        <v>135</v>
      </c>
      <c r="C763">
        <v>2004560</v>
      </c>
    </row>
    <row r="764" spans="1:3" x14ac:dyDescent="0.2">
      <c r="A764">
        <v>5066</v>
      </c>
      <c r="B764" t="s">
        <v>135</v>
      </c>
      <c r="C764">
        <v>2004560</v>
      </c>
    </row>
    <row r="765" spans="1:3" x14ac:dyDescent="0.2">
      <c r="A765">
        <v>5066</v>
      </c>
      <c r="B765" t="s">
        <v>135</v>
      </c>
      <c r="C765">
        <v>2004560</v>
      </c>
    </row>
    <row r="766" spans="1:3" x14ac:dyDescent="0.2">
      <c r="A766">
        <v>5066</v>
      </c>
      <c r="B766" s="9" t="s">
        <v>135</v>
      </c>
      <c r="C766">
        <v>2004560</v>
      </c>
    </row>
    <row r="767" spans="1:3" x14ac:dyDescent="0.2">
      <c r="A767" s="3">
        <v>5067</v>
      </c>
      <c r="B767" s="3" t="s">
        <v>136</v>
      </c>
      <c r="C767">
        <v>2006120</v>
      </c>
    </row>
    <row r="768" spans="1:3" x14ac:dyDescent="0.2">
      <c r="A768" s="3">
        <v>5067</v>
      </c>
      <c r="B768" s="3" t="s">
        <v>136</v>
      </c>
      <c r="C768">
        <v>2006120</v>
      </c>
    </row>
    <row r="769" spans="1:3" x14ac:dyDescent="0.2">
      <c r="A769" s="3">
        <v>5067</v>
      </c>
      <c r="B769" s="3" t="s">
        <v>136</v>
      </c>
      <c r="C769">
        <v>2006120</v>
      </c>
    </row>
    <row r="770" spans="1:3" x14ac:dyDescent="0.2">
      <c r="A770">
        <v>5067</v>
      </c>
      <c r="B770" t="s">
        <v>136</v>
      </c>
      <c r="C770">
        <v>2006120</v>
      </c>
    </row>
    <row r="771" spans="1:3" x14ac:dyDescent="0.2">
      <c r="A771">
        <v>5067</v>
      </c>
      <c r="B771" t="s">
        <v>136</v>
      </c>
      <c r="C771">
        <v>2006120</v>
      </c>
    </row>
    <row r="772" spans="1:3" x14ac:dyDescent="0.2">
      <c r="A772">
        <v>5067</v>
      </c>
      <c r="B772" t="s">
        <v>136</v>
      </c>
      <c r="C772">
        <v>2006120</v>
      </c>
    </row>
    <row r="773" spans="1:3" x14ac:dyDescent="0.2">
      <c r="A773">
        <v>5067</v>
      </c>
      <c r="B773" t="s">
        <v>136</v>
      </c>
      <c r="C773">
        <v>2006120</v>
      </c>
    </row>
    <row r="774" spans="1:3" x14ac:dyDescent="0.2">
      <c r="A774">
        <v>5067</v>
      </c>
      <c r="B774" t="s">
        <v>136</v>
      </c>
      <c r="C774">
        <v>2006120</v>
      </c>
    </row>
    <row r="775" spans="1:3" x14ac:dyDescent="0.2">
      <c r="A775">
        <v>5067</v>
      </c>
      <c r="B775" s="9" t="s">
        <v>136</v>
      </c>
      <c r="C775">
        <v>2006120</v>
      </c>
    </row>
    <row r="776" spans="1:3" x14ac:dyDescent="0.2">
      <c r="A776" s="3">
        <v>5068</v>
      </c>
      <c r="B776" s="3" t="s">
        <v>137</v>
      </c>
    </row>
    <row r="777" spans="1:3" x14ac:dyDescent="0.2">
      <c r="A777" s="3">
        <v>5068</v>
      </c>
      <c r="B777" s="3" t="s">
        <v>137</v>
      </c>
    </row>
    <row r="778" spans="1:3" x14ac:dyDescent="0.2">
      <c r="A778" s="3">
        <v>5068</v>
      </c>
      <c r="B778" s="3" t="s">
        <v>137</v>
      </c>
    </row>
    <row r="779" spans="1:3" x14ac:dyDescent="0.2">
      <c r="A779">
        <v>5068</v>
      </c>
      <c r="B779" t="s">
        <v>137</v>
      </c>
    </row>
    <row r="780" spans="1:3" x14ac:dyDescent="0.2">
      <c r="A780">
        <v>5068</v>
      </c>
      <c r="B780" t="s">
        <v>137</v>
      </c>
    </row>
    <row r="781" spans="1:3" x14ac:dyDescent="0.2">
      <c r="A781">
        <v>5068</v>
      </c>
      <c r="B781" t="s">
        <v>137</v>
      </c>
    </row>
    <row r="782" spans="1:3" x14ac:dyDescent="0.2">
      <c r="A782">
        <v>5068</v>
      </c>
      <c r="B782" t="s">
        <v>137</v>
      </c>
    </row>
    <row r="783" spans="1:3" x14ac:dyDescent="0.2">
      <c r="A783">
        <v>5068</v>
      </c>
      <c r="B783" t="s">
        <v>137</v>
      </c>
    </row>
    <row r="784" spans="1:3" x14ac:dyDescent="0.2">
      <c r="A784">
        <v>5068</v>
      </c>
      <c r="B784" s="9" t="s">
        <v>137</v>
      </c>
    </row>
    <row r="785" spans="1:3" x14ac:dyDescent="0.2">
      <c r="A785" s="3">
        <v>5069</v>
      </c>
      <c r="B785" s="3" t="s">
        <v>138</v>
      </c>
      <c r="C785">
        <v>2006840</v>
      </c>
    </row>
    <row r="786" spans="1:3" x14ac:dyDescent="0.2">
      <c r="A786" s="3">
        <v>5069</v>
      </c>
      <c r="B786" s="3" t="s">
        <v>138</v>
      </c>
      <c r="C786">
        <v>2006840</v>
      </c>
    </row>
    <row r="787" spans="1:3" x14ac:dyDescent="0.2">
      <c r="A787" s="3">
        <v>5069</v>
      </c>
      <c r="B787" s="3" t="s">
        <v>138</v>
      </c>
      <c r="C787">
        <v>2006840</v>
      </c>
    </row>
    <row r="788" spans="1:3" x14ac:dyDescent="0.2">
      <c r="A788">
        <v>5069</v>
      </c>
      <c r="B788" t="s">
        <v>138</v>
      </c>
      <c r="C788">
        <v>2006840</v>
      </c>
    </row>
    <row r="789" spans="1:3" x14ac:dyDescent="0.2">
      <c r="A789">
        <v>5069</v>
      </c>
      <c r="B789" t="s">
        <v>138</v>
      </c>
      <c r="C789">
        <v>2006840</v>
      </c>
    </row>
    <row r="790" spans="1:3" x14ac:dyDescent="0.2">
      <c r="A790">
        <v>5069</v>
      </c>
      <c r="B790" t="s">
        <v>138</v>
      </c>
      <c r="C790">
        <v>2006840</v>
      </c>
    </row>
    <row r="791" spans="1:3" x14ac:dyDescent="0.2">
      <c r="A791">
        <v>5069</v>
      </c>
      <c r="B791" t="s">
        <v>138</v>
      </c>
      <c r="C791">
        <v>2006840</v>
      </c>
    </row>
    <row r="792" spans="1:3" x14ac:dyDescent="0.2">
      <c r="A792">
        <v>5069</v>
      </c>
      <c r="B792" t="s">
        <v>138</v>
      </c>
      <c r="C792">
        <v>2006840</v>
      </c>
    </row>
    <row r="793" spans="1:3" x14ac:dyDescent="0.2">
      <c r="A793">
        <v>5069</v>
      </c>
      <c r="B793" s="9" t="s">
        <v>138</v>
      </c>
      <c r="C793">
        <v>2006840</v>
      </c>
    </row>
    <row r="794" spans="1:3" x14ac:dyDescent="0.2">
      <c r="A794" s="3">
        <v>5070</v>
      </c>
      <c r="B794" s="3" t="s">
        <v>139</v>
      </c>
      <c r="C794">
        <v>2012210</v>
      </c>
    </row>
    <row r="795" spans="1:3" x14ac:dyDescent="0.2">
      <c r="A795" s="3">
        <v>5070</v>
      </c>
      <c r="B795" s="3" t="s">
        <v>139</v>
      </c>
      <c r="C795">
        <v>2012210</v>
      </c>
    </row>
    <row r="796" spans="1:3" x14ac:dyDescent="0.2">
      <c r="A796" s="3">
        <v>5070</v>
      </c>
      <c r="B796" s="3" t="s">
        <v>139</v>
      </c>
      <c r="C796">
        <v>2012210</v>
      </c>
    </row>
    <row r="797" spans="1:3" x14ac:dyDescent="0.2">
      <c r="A797">
        <v>5070</v>
      </c>
      <c r="B797" t="s">
        <v>139</v>
      </c>
      <c r="C797">
        <v>2012210</v>
      </c>
    </row>
    <row r="798" spans="1:3" x14ac:dyDescent="0.2">
      <c r="A798">
        <v>5070</v>
      </c>
      <c r="B798" t="s">
        <v>139</v>
      </c>
      <c r="C798">
        <v>2012210</v>
      </c>
    </row>
    <row r="799" spans="1:3" x14ac:dyDescent="0.2">
      <c r="A799">
        <v>5070</v>
      </c>
      <c r="B799" t="s">
        <v>139</v>
      </c>
      <c r="C799">
        <v>2012210</v>
      </c>
    </row>
    <row r="800" spans="1:3" x14ac:dyDescent="0.2">
      <c r="A800">
        <v>5070</v>
      </c>
      <c r="B800" t="s">
        <v>139</v>
      </c>
      <c r="C800">
        <v>2012210</v>
      </c>
    </row>
    <row r="801" spans="1:3" x14ac:dyDescent="0.2">
      <c r="A801">
        <v>5070</v>
      </c>
      <c r="B801" t="s">
        <v>139</v>
      </c>
      <c r="C801">
        <v>2012210</v>
      </c>
    </row>
    <row r="802" spans="1:3" x14ac:dyDescent="0.2">
      <c r="A802">
        <v>5070</v>
      </c>
      <c r="B802" s="9" t="s">
        <v>139</v>
      </c>
      <c r="C802">
        <v>2012210</v>
      </c>
    </row>
    <row r="803" spans="1:3" x14ac:dyDescent="0.2">
      <c r="A803" s="3">
        <v>5072</v>
      </c>
      <c r="B803" s="3" t="s">
        <v>140</v>
      </c>
      <c r="C803">
        <v>2005550</v>
      </c>
    </row>
    <row r="804" spans="1:3" x14ac:dyDescent="0.2">
      <c r="A804" s="3">
        <v>5072</v>
      </c>
      <c r="B804" s="3" t="s">
        <v>140</v>
      </c>
      <c r="C804">
        <v>2005550</v>
      </c>
    </row>
    <row r="805" spans="1:3" x14ac:dyDescent="0.2">
      <c r="A805" s="3">
        <v>5072</v>
      </c>
      <c r="B805" s="3" t="s">
        <v>140</v>
      </c>
      <c r="C805">
        <v>2005550</v>
      </c>
    </row>
    <row r="806" spans="1:3" x14ac:dyDescent="0.2">
      <c r="A806">
        <v>5072</v>
      </c>
      <c r="B806" t="s">
        <v>140</v>
      </c>
      <c r="C806">
        <v>2005550</v>
      </c>
    </row>
    <row r="807" spans="1:3" x14ac:dyDescent="0.2">
      <c r="A807">
        <v>5072</v>
      </c>
      <c r="B807" t="s">
        <v>140</v>
      </c>
      <c r="C807">
        <v>2005550</v>
      </c>
    </row>
    <row r="808" spans="1:3" x14ac:dyDescent="0.2">
      <c r="A808">
        <v>5072</v>
      </c>
      <c r="B808" t="s">
        <v>140</v>
      </c>
      <c r="C808">
        <v>2005550</v>
      </c>
    </row>
    <row r="809" spans="1:3" x14ac:dyDescent="0.2">
      <c r="A809">
        <v>5072</v>
      </c>
      <c r="B809" t="s">
        <v>140</v>
      </c>
      <c r="C809">
        <v>2005550</v>
      </c>
    </row>
    <row r="810" spans="1:3" x14ac:dyDescent="0.2">
      <c r="A810">
        <v>5072</v>
      </c>
      <c r="B810" t="s">
        <v>140</v>
      </c>
      <c r="C810">
        <v>2005550</v>
      </c>
    </row>
    <row r="811" spans="1:3" x14ac:dyDescent="0.2">
      <c r="A811">
        <v>5072</v>
      </c>
      <c r="B811" s="9" t="s">
        <v>140</v>
      </c>
      <c r="C811">
        <v>2005550</v>
      </c>
    </row>
    <row r="812" spans="1:3" x14ac:dyDescent="0.2">
      <c r="A812" s="3">
        <v>5073</v>
      </c>
      <c r="B812" s="3" t="s">
        <v>141</v>
      </c>
      <c r="C812">
        <v>2007110</v>
      </c>
    </row>
    <row r="813" spans="1:3" x14ac:dyDescent="0.2">
      <c r="A813" s="3">
        <v>5073</v>
      </c>
      <c r="B813" s="3" t="s">
        <v>141</v>
      </c>
      <c r="C813">
        <v>2007110</v>
      </c>
    </row>
    <row r="814" spans="1:3" x14ac:dyDescent="0.2">
      <c r="A814" s="3">
        <v>5073</v>
      </c>
      <c r="B814" s="3" t="s">
        <v>141</v>
      </c>
      <c r="C814">
        <v>2007110</v>
      </c>
    </row>
    <row r="815" spans="1:3" x14ac:dyDescent="0.2">
      <c r="A815">
        <v>5073</v>
      </c>
      <c r="B815" t="s">
        <v>141</v>
      </c>
      <c r="C815">
        <v>2007110</v>
      </c>
    </row>
    <row r="816" spans="1:3" x14ac:dyDescent="0.2">
      <c r="A816">
        <v>5073</v>
      </c>
      <c r="B816" t="s">
        <v>141</v>
      </c>
      <c r="C816">
        <v>2007110</v>
      </c>
    </row>
    <row r="817" spans="1:3" x14ac:dyDescent="0.2">
      <c r="A817">
        <v>5073</v>
      </c>
      <c r="B817" t="s">
        <v>141</v>
      </c>
      <c r="C817">
        <v>2007110</v>
      </c>
    </row>
    <row r="818" spans="1:3" x14ac:dyDescent="0.2">
      <c r="A818">
        <v>5073</v>
      </c>
      <c r="B818" t="s">
        <v>141</v>
      </c>
      <c r="C818">
        <v>2007110</v>
      </c>
    </row>
    <row r="819" spans="1:3" x14ac:dyDescent="0.2">
      <c r="A819">
        <v>5073</v>
      </c>
      <c r="B819" t="s">
        <v>141</v>
      </c>
      <c r="C819">
        <v>2007110</v>
      </c>
    </row>
    <row r="820" spans="1:3" x14ac:dyDescent="0.2">
      <c r="A820">
        <v>5073</v>
      </c>
      <c r="B820" s="9" t="s">
        <v>141</v>
      </c>
      <c r="C820">
        <v>2007110</v>
      </c>
    </row>
    <row r="821" spans="1:3" x14ac:dyDescent="0.2">
      <c r="A821" s="3">
        <v>5076</v>
      </c>
      <c r="B821" s="3" t="s">
        <v>142</v>
      </c>
      <c r="C821">
        <v>2011190</v>
      </c>
    </row>
    <row r="822" spans="1:3" x14ac:dyDescent="0.2">
      <c r="A822" s="3">
        <v>5076</v>
      </c>
      <c r="B822" s="3" t="s">
        <v>142</v>
      </c>
      <c r="C822">
        <v>2011190</v>
      </c>
    </row>
    <row r="823" spans="1:3" x14ac:dyDescent="0.2">
      <c r="A823" s="3">
        <v>5076</v>
      </c>
      <c r="B823" s="3" t="s">
        <v>142</v>
      </c>
      <c r="C823">
        <v>2011190</v>
      </c>
    </row>
    <row r="824" spans="1:3" x14ac:dyDescent="0.2">
      <c r="A824">
        <v>5076</v>
      </c>
      <c r="B824" t="s">
        <v>142</v>
      </c>
      <c r="C824">
        <v>2011190</v>
      </c>
    </row>
    <row r="825" spans="1:3" x14ac:dyDescent="0.2">
      <c r="A825">
        <v>5076</v>
      </c>
      <c r="B825" t="s">
        <v>142</v>
      </c>
      <c r="C825">
        <v>2011190</v>
      </c>
    </row>
    <row r="826" spans="1:3" x14ac:dyDescent="0.2">
      <c r="A826">
        <v>5076</v>
      </c>
      <c r="B826" t="s">
        <v>142</v>
      </c>
      <c r="C826">
        <v>2011190</v>
      </c>
    </row>
    <row r="827" spans="1:3" x14ac:dyDescent="0.2">
      <c r="A827">
        <v>5076</v>
      </c>
      <c r="B827" t="s">
        <v>142</v>
      </c>
      <c r="C827">
        <v>2011190</v>
      </c>
    </row>
    <row r="828" spans="1:3" x14ac:dyDescent="0.2">
      <c r="A828">
        <v>5076</v>
      </c>
      <c r="B828" t="s">
        <v>142</v>
      </c>
      <c r="C828">
        <v>2011190</v>
      </c>
    </row>
    <row r="829" spans="1:3" x14ac:dyDescent="0.2">
      <c r="A829">
        <v>5076</v>
      </c>
      <c r="B829" s="9" t="s">
        <v>142</v>
      </c>
      <c r="C829">
        <v>2011190</v>
      </c>
    </row>
    <row r="830" spans="1:3" x14ac:dyDescent="0.2">
      <c r="A830" s="3">
        <v>5077</v>
      </c>
      <c r="B830" s="3" t="s">
        <v>195</v>
      </c>
      <c r="C830">
        <v>2005790</v>
      </c>
    </row>
    <row r="831" spans="1:3" x14ac:dyDescent="0.2">
      <c r="A831" s="3">
        <v>5077</v>
      </c>
      <c r="B831" s="3" t="s">
        <v>195</v>
      </c>
      <c r="C831">
        <v>2005790</v>
      </c>
    </row>
    <row r="832" spans="1:3" x14ac:dyDescent="0.2">
      <c r="A832" s="3">
        <v>5077</v>
      </c>
      <c r="B832" s="3" t="s">
        <v>195</v>
      </c>
      <c r="C832">
        <v>2005790</v>
      </c>
    </row>
    <row r="833" spans="1:3" x14ac:dyDescent="0.2">
      <c r="A833">
        <v>5077</v>
      </c>
      <c r="B833" t="s">
        <v>195</v>
      </c>
      <c r="C833">
        <v>2005790</v>
      </c>
    </row>
    <row r="834" spans="1:3" x14ac:dyDescent="0.2">
      <c r="A834">
        <v>5077</v>
      </c>
      <c r="B834" t="s">
        <v>195</v>
      </c>
      <c r="C834">
        <v>2005790</v>
      </c>
    </row>
    <row r="835" spans="1:3" x14ac:dyDescent="0.2">
      <c r="A835">
        <v>5077</v>
      </c>
      <c r="B835" t="s">
        <v>195</v>
      </c>
      <c r="C835">
        <v>2005790</v>
      </c>
    </row>
    <row r="836" spans="1:3" x14ac:dyDescent="0.2">
      <c r="A836">
        <v>5077</v>
      </c>
      <c r="B836" t="s">
        <v>195</v>
      </c>
      <c r="C836">
        <v>2005790</v>
      </c>
    </row>
    <row r="837" spans="1:3" x14ac:dyDescent="0.2">
      <c r="A837">
        <v>5077</v>
      </c>
      <c r="B837" t="s">
        <v>195</v>
      </c>
      <c r="C837">
        <v>2005790</v>
      </c>
    </row>
    <row r="838" spans="1:3" x14ac:dyDescent="0.2">
      <c r="A838">
        <v>5077</v>
      </c>
      <c r="B838" s="9" t="s">
        <v>195</v>
      </c>
      <c r="C838">
        <v>2005790</v>
      </c>
    </row>
    <row r="839" spans="1:3" x14ac:dyDescent="0.2">
      <c r="A839" s="3">
        <v>5078</v>
      </c>
      <c r="B839" s="3" t="s">
        <v>144</v>
      </c>
      <c r="C839">
        <v>2009420</v>
      </c>
    </row>
    <row r="840" spans="1:3" x14ac:dyDescent="0.2">
      <c r="A840" s="3">
        <v>5078</v>
      </c>
      <c r="B840" s="3" t="s">
        <v>144</v>
      </c>
      <c r="C840">
        <v>2009420</v>
      </c>
    </row>
    <row r="841" spans="1:3" x14ac:dyDescent="0.2">
      <c r="A841" s="3">
        <v>5078</v>
      </c>
      <c r="B841" s="3" t="s">
        <v>144</v>
      </c>
      <c r="C841">
        <v>2009420</v>
      </c>
    </row>
    <row r="842" spans="1:3" x14ac:dyDescent="0.2">
      <c r="A842">
        <v>5078</v>
      </c>
      <c r="B842" t="s">
        <v>144</v>
      </c>
      <c r="C842">
        <v>2009420</v>
      </c>
    </row>
    <row r="843" spans="1:3" x14ac:dyDescent="0.2">
      <c r="A843">
        <v>5078</v>
      </c>
      <c r="B843" t="s">
        <v>144</v>
      </c>
      <c r="C843">
        <v>2009420</v>
      </c>
    </row>
    <row r="844" spans="1:3" x14ac:dyDescent="0.2">
      <c r="A844">
        <v>5078</v>
      </c>
      <c r="B844" t="s">
        <v>144</v>
      </c>
      <c r="C844">
        <v>2009420</v>
      </c>
    </row>
    <row r="845" spans="1:3" x14ac:dyDescent="0.2">
      <c r="A845">
        <v>5078</v>
      </c>
      <c r="B845" t="s">
        <v>144</v>
      </c>
      <c r="C845">
        <v>2009420</v>
      </c>
    </row>
    <row r="846" spans="1:3" x14ac:dyDescent="0.2">
      <c r="A846">
        <v>5078</v>
      </c>
      <c r="B846" t="s">
        <v>144</v>
      </c>
      <c r="C846">
        <v>2009420</v>
      </c>
    </row>
    <row r="847" spans="1:3" x14ac:dyDescent="0.2">
      <c r="A847">
        <v>5078</v>
      </c>
      <c r="B847" s="9" t="s">
        <v>144</v>
      </c>
      <c r="C847">
        <v>2009420</v>
      </c>
    </row>
    <row r="848" spans="1:3" x14ac:dyDescent="0.2">
      <c r="A848" s="3">
        <v>5079</v>
      </c>
      <c r="B848" s="3" t="s">
        <v>145</v>
      </c>
      <c r="C848">
        <v>2012450</v>
      </c>
    </row>
    <row r="849" spans="1:3" x14ac:dyDescent="0.2">
      <c r="A849" s="3">
        <v>5079</v>
      </c>
      <c r="B849" s="3" t="s">
        <v>145</v>
      </c>
      <c r="C849">
        <v>2012450</v>
      </c>
    </row>
    <row r="850" spans="1:3" x14ac:dyDescent="0.2">
      <c r="A850" s="3">
        <v>5079</v>
      </c>
      <c r="B850" s="3" t="s">
        <v>145</v>
      </c>
      <c r="C850">
        <v>2012450</v>
      </c>
    </row>
    <row r="851" spans="1:3" x14ac:dyDescent="0.2">
      <c r="A851">
        <v>5079</v>
      </c>
      <c r="B851" t="s">
        <v>145</v>
      </c>
      <c r="C851">
        <v>2012450</v>
      </c>
    </row>
    <row r="852" spans="1:3" x14ac:dyDescent="0.2">
      <c r="A852">
        <v>5079</v>
      </c>
      <c r="B852" t="s">
        <v>145</v>
      </c>
      <c r="C852">
        <v>2012450</v>
      </c>
    </row>
    <row r="853" spans="1:3" x14ac:dyDescent="0.2">
      <c r="A853">
        <v>5079</v>
      </c>
      <c r="B853" t="s">
        <v>145</v>
      </c>
      <c r="C853">
        <v>2012450</v>
      </c>
    </row>
    <row r="854" spans="1:3" x14ac:dyDescent="0.2">
      <c r="A854">
        <v>5079</v>
      </c>
      <c r="B854" t="s">
        <v>145</v>
      </c>
      <c r="C854">
        <v>2012450</v>
      </c>
    </row>
    <row r="855" spans="1:3" x14ac:dyDescent="0.2">
      <c r="A855">
        <v>5079</v>
      </c>
      <c r="B855" t="s">
        <v>145</v>
      </c>
      <c r="C855">
        <v>2012450</v>
      </c>
    </row>
    <row r="856" spans="1:3" x14ac:dyDescent="0.2">
      <c r="A856">
        <v>5079</v>
      </c>
      <c r="B856" s="9" t="s">
        <v>145</v>
      </c>
      <c r="C856">
        <v>2012450</v>
      </c>
    </row>
    <row r="857" spans="1:3" x14ac:dyDescent="0.2">
      <c r="A857" s="3">
        <v>5080</v>
      </c>
      <c r="B857" s="3" t="s">
        <v>146</v>
      </c>
      <c r="C857">
        <v>2006930</v>
      </c>
    </row>
    <row r="858" spans="1:3" x14ac:dyDescent="0.2">
      <c r="A858" s="3">
        <v>5080</v>
      </c>
      <c r="B858" s="3" t="s">
        <v>146</v>
      </c>
      <c r="C858">
        <v>2006930</v>
      </c>
    </row>
    <row r="859" spans="1:3" x14ac:dyDescent="0.2">
      <c r="A859" s="3">
        <v>5080</v>
      </c>
      <c r="B859" s="3" t="s">
        <v>146</v>
      </c>
      <c r="C859">
        <v>2006930</v>
      </c>
    </row>
    <row r="860" spans="1:3" x14ac:dyDescent="0.2">
      <c r="A860">
        <v>5080</v>
      </c>
      <c r="B860" t="s">
        <v>146</v>
      </c>
      <c r="C860">
        <v>2006930</v>
      </c>
    </row>
    <row r="861" spans="1:3" x14ac:dyDescent="0.2">
      <c r="A861">
        <v>5080</v>
      </c>
      <c r="B861" t="s">
        <v>146</v>
      </c>
      <c r="C861">
        <v>2006930</v>
      </c>
    </row>
    <row r="862" spans="1:3" x14ac:dyDescent="0.2">
      <c r="A862">
        <v>5080</v>
      </c>
      <c r="B862" t="s">
        <v>146</v>
      </c>
      <c r="C862">
        <v>2006930</v>
      </c>
    </row>
    <row r="863" spans="1:3" x14ac:dyDescent="0.2">
      <c r="A863">
        <v>5080</v>
      </c>
      <c r="B863" t="s">
        <v>146</v>
      </c>
      <c r="C863">
        <v>2006930</v>
      </c>
    </row>
    <row r="864" spans="1:3" x14ac:dyDescent="0.2">
      <c r="A864">
        <v>5080</v>
      </c>
      <c r="B864" t="s">
        <v>146</v>
      </c>
      <c r="C864">
        <v>2006930</v>
      </c>
    </row>
    <row r="865" spans="1:3" x14ac:dyDescent="0.2">
      <c r="A865">
        <v>5080</v>
      </c>
      <c r="B865" s="9" t="s">
        <v>146</v>
      </c>
      <c r="C865">
        <v>2006930</v>
      </c>
    </row>
    <row r="866" spans="1:3" x14ac:dyDescent="0.2">
      <c r="A866" s="3">
        <v>5081</v>
      </c>
      <c r="B866" s="3" t="s">
        <v>147</v>
      </c>
      <c r="C866">
        <v>2009450</v>
      </c>
    </row>
    <row r="867" spans="1:3" x14ac:dyDescent="0.2">
      <c r="A867" s="3">
        <v>5081</v>
      </c>
      <c r="B867" s="3" t="s">
        <v>147</v>
      </c>
      <c r="C867">
        <v>2009450</v>
      </c>
    </row>
    <row r="868" spans="1:3" x14ac:dyDescent="0.2">
      <c r="A868" s="3">
        <v>5081</v>
      </c>
      <c r="B868" s="3" t="s">
        <v>147</v>
      </c>
      <c r="C868">
        <v>2009450</v>
      </c>
    </row>
    <row r="869" spans="1:3" x14ac:dyDescent="0.2">
      <c r="A869">
        <v>5081</v>
      </c>
      <c r="B869" t="s">
        <v>147</v>
      </c>
      <c r="C869">
        <v>2009450</v>
      </c>
    </row>
    <row r="870" spans="1:3" x14ac:dyDescent="0.2">
      <c r="A870">
        <v>5081</v>
      </c>
      <c r="B870" t="s">
        <v>147</v>
      </c>
      <c r="C870">
        <v>2009450</v>
      </c>
    </row>
    <row r="871" spans="1:3" x14ac:dyDescent="0.2">
      <c r="A871">
        <v>5081</v>
      </c>
      <c r="B871" t="s">
        <v>147</v>
      </c>
      <c r="C871">
        <v>2009450</v>
      </c>
    </row>
    <row r="872" spans="1:3" x14ac:dyDescent="0.2">
      <c r="A872">
        <v>5081</v>
      </c>
      <c r="B872" t="s">
        <v>147</v>
      </c>
      <c r="C872">
        <v>2009450</v>
      </c>
    </row>
    <row r="873" spans="1:3" x14ac:dyDescent="0.2">
      <c r="A873">
        <v>5081</v>
      </c>
      <c r="B873" t="s">
        <v>147</v>
      </c>
      <c r="C873">
        <v>2009450</v>
      </c>
    </row>
    <row r="874" spans="1:3" x14ac:dyDescent="0.2">
      <c r="A874">
        <v>5081</v>
      </c>
      <c r="B874" s="9" t="s">
        <v>147</v>
      </c>
      <c r="C874">
        <v>2009450</v>
      </c>
    </row>
    <row r="875" spans="1:3" x14ac:dyDescent="0.2">
      <c r="A875" s="3">
        <v>5082</v>
      </c>
      <c r="B875" s="3" t="s">
        <v>148</v>
      </c>
      <c r="C875">
        <v>2010470</v>
      </c>
    </row>
    <row r="876" spans="1:3" x14ac:dyDescent="0.2">
      <c r="A876" s="3">
        <v>5082</v>
      </c>
      <c r="B876" s="3" t="s">
        <v>148</v>
      </c>
      <c r="C876">
        <v>2010470</v>
      </c>
    </row>
    <row r="877" spans="1:3" x14ac:dyDescent="0.2">
      <c r="A877" s="3">
        <v>5082</v>
      </c>
      <c r="B877" s="3" t="s">
        <v>148</v>
      </c>
      <c r="C877">
        <v>2010470</v>
      </c>
    </row>
    <row r="878" spans="1:3" x14ac:dyDescent="0.2">
      <c r="A878">
        <v>5082</v>
      </c>
      <c r="B878" t="s">
        <v>148</v>
      </c>
      <c r="C878">
        <v>2010470</v>
      </c>
    </row>
    <row r="879" spans="1:3" x14ac:dyDescent="0.2">
      <c r="A879">
        <v>5082</v>
      </c>
      <c r="B879" t="s">
        <v>148</v>
      </c>
      <c r="C879">
        <v>2010470</v>
      </c>
    </row>
    <row r="880" spans="1:3" x14ac:dyDescent="0.2">
      <c r="A880">
        <v>5082</v>
      </c>
      <c r="B880" t="s">
        <v>148</v>
      </c>
      <c r="C880">
        <v>2010470</v>
      </c>
    </row>
    <row r="881" spans="1:3" x14ac:dyDescent="0.2">
      <c r="A881">
        <v>5082</v>
      </c>
      <c r="B881" t="s">
        <v>356</v>
      </c>
      <c r="C881">
        <v>2010470</v>
      </c>
    </row>
    <row r="882" spans="1:3" x14ac:dyDescent="0.2">
      <c r="A882">
        <v>5082</v>
      </c>
      <c r="B882" t="s">
        <v>148</v>
      </c>
      <c r="C882">
        <v>2010470</v>
      </c>
    </row>
    <row r="883" spans="1:3" x14ac:dyDescent="0.2">
      <c r="A883">
        <v>5082</v>
      </c>
      <c r="B883" s="9" t="s">
        <v>148</v>
      </c>
      <c r="C883">
        <v>2010470</v>
      </c>
    </row>
    <row r="884" spans="1:3" x14ac:dyDescent="0.2">
      <c r="A884" s="3">
        <v>5083</v>
      </c>
      <c r="B884" s="3" t="s">
        <v>149</v>
      </c>
      <c r="C884">
        <v>2010740</v>
      </c>
    </row>
    <row r="885" spans="1:3" x14ac:dyDescent="0.2">
      <c r="A885" s="3">
        <v>5083</v>
      </c>
      <c r="B885" s="3" t="s">
        <v>149</v>
      </c>
      <c r="C885">
        <v>2010740</v>
      </c>
    </row>
    <row r="886" spans="1:3" x14ac:dyDescent="0.2">
      <c r="A886" s="3">
        <v>5083</v>
      </c>
      <c r="B886" s="3" t="s">
        <v>149</v>
      </c>
      <c r="C886">
        <v>2010740</v>
      </c>
    </row>
    <row r="887" spans="1:3" x14ac:dyDescent="0.2">
      <c r="A887">
        <v>5083</v>
      </c>
      <c r="B887" t="s">
        <v>149</v>
      </c>
      <c r="C887">
        <v>2010740</v>
      </c>
    </row>
    <row r="888" spans="1:3" x14ac:dyDescent="0.2">
      <c r="A888">
        <v>5083</v>
      </c>
      <c r="B888" t="s">
        <v>149</v>
      </c>
      <c r="C888">
        <v>2010740</v>
      </c>
    </row>
    <row r="889" spans="1:3" x14ac:dyDescent="0.2">
      <c r="A889">
        <v>5083</v>
      </c>
      <c r="B889" t="s">
        <v>149</v>
      </c>
      <c r="C889">
        <v>2010740</v>
      </c>
    </row>
    <row r="890" spans="1:3" x14ac:dyDescent="0.2">
      <c r="A890">
        <v>5083</v>
      </c>
      <c r="B890" t="s">
        <v>149</v>
      </c>
      <c r="C890">
        <v>2010740</v>
      </c>
    </row>
    <row r="891" spans="1:3" x14ac:dyDescent="0.2">
      <c r="A891">
        <v>5083</v>
      </c>
      <c r="B891" t="s">
        <v>149</v>
      </c>
      <c r="C891">
        <v>2010740</v>
      </c>
    </row>
    <row r="892" spans="1:3" x14ac:dyDescent="0.2">
      <c r="A892">
        <v>5083</v>
      </c>
      <c r="B892" s="9" t="s">
        <v>149</v>
      </c>
      <c r="C892">
        <v>2010740</v>
      </c>
    </row>
    <row r="893" spans="1:3" x14ac:dyDescent="0.2">
      <c r="A893" s="3">
        <v>5087</v>
      </c>
      <c r="B893" s="3" t="s">
        <v>360</v>
      </c>
      <c r="C893">
        <v>2007260</v>
      </c>
    </row>
    <row r="894" spans="1:3" x14ac:dyDescent="0.2">
      <c r="A894" s="3">
        <v>5087</v>
      </c>
      <c r="B894" s="3" t="s">
        <v>360</v>
      </c>
      <c r="C894">
        <v>2007260</v>
      </c>
    </row>
    <row r="895" spans="1:3" x14ac:dyDescent="0.2">
      <c r="A895" s="3">
        <v>5087</v>
      </c>
      <c r="B895" s="3" t="s">
        <v>360</v>
      </c>
      <c r="C895">
        <v>2007260</v>
      </c>
    </row>
    <row r="896" spans="1:3" x14ac:dyDescent="0.2">
      <c r="A896">
        <v>5087</v>
      </c>
      <c r="B896" t="s">
        <v>360</v>
      </c>
      <c r="C896">
        <v>2007260</v>
      </c>
    </row>
    <row r="897" spans="1:3" x14ac:dyDescent="0.2">
      <c r="A897">
        <v>5087</v>
      </c>
      <c r="B897" t="s">
        <v>360</v>
      </c>
      <c r="C897">
        <v>2007260</v>
      </c>
    </row>
    <row r="898" spans="1:3" x14ac:dyDescent="0.2">
      <c r="A898">
        <v>5087</v>
      </c>
      <c r="B898" t="s">
        <v>360</v>
      </c>
      <c r="C898">
        <v>2007260</v>
      </c>
    </row>
    <row r="899" spans="1:3" x14ac:dyDescent="0.2">
      <c r="A899">
        <v>5087</v>
      </c>
      <c r="B899" t="s">
        <v>150</v>
      </c>
      <c r="C899">
        <v>2007260</v>
      </c>
    </row>
    <row r="900" spans="1:3" x14ac:dyDescent="0.2">
      <c r="A900">
        <v>5087</v>
      </c>
      <c r="B900" t="s">
        <v>150</v>
      </c>
      <c r="C900">
        <v>2007260</v>
      </c>
    </row>
    <row r="901" spans="1:3" x14ac:dyDescent="0.2">
      <c r="A901">
        <v>5087</v>
      </c>
      <c r="B901" s="9" t="s">
        <v>150</v>
      </c>
      <c r="C901">
        <v>2007260</v>
      </c>
    </row>
    <row r="902" spans="1:3" x14ac:dyDescent="0.2">
      <c r="A902" s="3">
        <v>5088</v>
      </c>
      <c r="B902" s="3" t="s">
        <v>151</v>
      </c>
      <c r="C902">
        <v>2012870</v>
      </c>
    </row>
    <row r="903" spans="1:3" x14ac:dyDescent="0.2">
      <c r="A903" s="3">
        <v>5088</v>
      </c>
      <c r="B903" s="3" t="s">
        <v>151</v>
      </c>
      <c r="C903">
        <v>2012870</v>
      </c>
    </row>
    <row r="904" spans="1:3" x14ac:dyDescent="0.2">
      <c r="A904" s="3">
        <v>5088</v>
      </c>
      <c r="B904" s="3" t="s">
        <v>151</v>
      </c>
      <c r="C904">
        <v>2012870</v>
      </c>
    </row>
    <row r="905" spans="1:3" x14ac:dyDescent="0.2">
      <c r="A905">
        <v>5088</v>
      </c>
      <c r="B905" t="s">
        <v>151</v>
      </c>
      <c r="C905">
        <v>2012870</v>
      </c>
    </row>
    <row r="906" spans="1:3" x14ac:dyDescent="0.2">
      <c r="A906">
        <v>5088</v>
      </c>
      <c r="B906" t="s">
        <v>151</v>
      </c>
      <c r="C906">
        <v>2012870</v>
      </c>
    </row>
    <row r="907" spans="1:3" x14ac:dyDescent="0.2">
      <c r="A907">
        <v>5088</v>
      </c>
      <c r="B907" t="s">
        <v>151</v>
      </c>
      <c r="C907">
        <v>2012870</v>
      </c>
    </row>
    <row r="908" spans="1:3" x14ac:dyDescent="0.2">
      <c r="A908">
        <v>5088</v>
      </c>
      <c r="B908" t="s">
        <v>151</v>
      </c>
      <c r="C908">
        <v>2012870</v>
      </c>
    </row>
    <row r="909" spans="1:3" x14ac:dyDescent="0.2">
      <c r="A909">
        <v>5088</v>
      </c>
      <c r="B909" t="s">
        <v>151</v>
      </c>
      <c r="C909">
        <v>2012870</v>
      </c>
    </row>
    <row r="910" spans="1:3" x14ac:dyDescent="0.2">
      <c r="A910">
        <v>5088</v>
      </c>
      <c r="B910" s="9" t="s">
        <v>151</v>
      </c>
      <c r="C910">
        <v>2012870</v>
      </c>
    </row>
    <row r="911" spans="1:3" x14ac:dyDescent="0.2">
      <c r="A911" s="3">
        <v>5089</v>
      </c>
      <c r="B911" s="3" t="s">
        <v>152</v>
      </c>
      <c r="C911">
        <v>2008790</v>
      </c>
    </row>
    <row r="912" spans="1:3" x14ac:dyDescent="0.2">
      <c r="A912" s="3">
        <v>5089</v>
      </c>
      <c r="B912" s="3" t="s">
        <v>152</v>
      </c>
      <c r="C912">
        <v>2008790</v>
      </c>
    </row>
    <row r="913" spans="1:3" x14ac:dyDescent="0.2">
      <c r="A913" s="3">
        <v>5089</v>
      </c>
      <c r="B913" s="3" t="s">
        <v>152</v>
      </c>
      <c r="C913">
        <v>2008790</v>
      </c>
    </row>
    <row r="914" spans="1:3" x14ac:dyDescent="0.2">
      <c r="A914">
        <v>5089</v>
      </c>
      <c r="B914" t="s">
        <v>152</v>
      </c>
      <c r="C914">
        <v>2008790</v>
      </c>
    </row>
    <row r="915" spans="1:3" x14ac:dyDescent="0.2">
      <c r="A915">
        <v>5089</v>
      </c>
      <c r="B915" t="s">
        <v>152</v>
      </c>
      <c r="C915">
        <v>2008790</v>
      </c>
    </row>
    <row r="916" spans="1:3" x14ac:dyDescent="0.2">
      <c r="A916">
        <v>5089</v>
      </c>
      <c r="B916" t="s">
        <v>152</v>
      </c>
      <c r="C916">
        <v>2008790</v>
      </c>
    </row>
    <row r="917" spans="1:3" x14ac:dyDescent="0.2">
      <c r="A917">
        <v>5089</v>
      </c>
      <c r="B917" t="s">
        <v>152</v>
      </c>
      <c r="C917">
        <v>2008790</v>
      </c>
    </row>
    <row r="918" spans="1:3" x14ac:dyDescent="0.2">
      <c r="A918">
        <v>5089</v>
      </c>
      <c r="B918" t="s">
        <v>152</v>
      </c>
      <c r="C918">
        <v>2008790</v>
      </c>
    </row>
    <row r="919" spans="1:3" x14ac:dyDescent="0.2">
      <c r="A919">
        <v>5089</v>
      </c>
      <c r="B919" s="9" t="s">
        <v>152</v>
      </c>
      <c r="C919">
        <v>2008790</v>
      </c>
    </row>
    <row r="920" spans="1:3" x14ac:dyDescent="0.2">
      <c r="A920" s="3">
        <v>5090</v>
      </c>
      <c r="B920" s="3" t="s">
        <v>153</v>
      </c>
      <c r="C920">
        <v>2009930</v>
      </c>
    </row>
    <row r="921" spans="1:3" x14ac:dyDescent="0.2">
      <c r="A921" s="3">
        <v>5090</v>
      </c>
      <c r="B921" s="3" t="s">
        <v>153</v>
      </c>
      <c r="C921">
        <v>2009930</v>
      </c>
    </row>
    <row r="922" spans="1:3" x14ac:dyDescent="0.2">
      <c r="A922" s="3">
        <v>5090</v>
      </c>
      <c r="B922" s="3" t="s">
        <v>153</v>
      </c>
      <c r="C922">
        <v>2009930</v>
      </c>
    </row>
    <row r="923" spans="1:3" x14ac:dyDescent="0.2">
      <c r="A923">
        <v>5090</v>
      </c>
      <c r="B923" t="s">
        <v>153</v>
      </c>
      <c r="C923">
        <v>2009930</v>
      </c>
    </row>
    <row r="924" spans="1:3" x14ac:dyDescent="0.2">
      <c r="A924">
        <v>5090</v>
      </c>
      <c r="B924" t="s">
        <v>153</v>
      </c>
      <c r="C924">
        <v>2009930</v>
      </c>
    </row>
    <row r="925" spans="1:3" x14ac:dyDescent="0.2">
      <c r="A925">
        <v>5090</v>
      </c>
      <c r="B925" t="s">
        <v>153</v>
      </c>
      <c r="C925">
        <v>2009930</v>
      </c>
    </row>
    <row r="926" spans="1:3" x14ac:dyDescent="0.2">
      <c r="A926">
        <v>5090</v>
      </c>
      <c r="B926" t="s">
        <v>153</v>
      </c>
      <c r="C926">
        <v>2009930</v>
      </c>
    </row>
    <row r="927" spans="1:3" x14ac:dyDescent="0.2">
      <c r="A927">
        <v>5090</v>
      </c>
      <c r="B927" t="s">
        <v>153</v>
      </c>
      <c r="C927">
        <v>2009930</v>
      </c>
    </row>
    <row r="928" spans="1:3" x14ac:dyDescent="0.2">
      <c r="A928">
        <v>5090</v>
      </c>
      <c r="B928" s="9" t="s">
        <v>153</v>
      </c>
      <c r="C928">
        <v>2009930</v>
      </c>
    </row>
    <row r="929" spans="1:3" x14ac:dyDescent="0.2">
      <c r="A929" s="3">
        <v>5092</v>
      </c>
      <c r="B929" s="3" t="s">
        <v>154</v>
      </c>
      <c r="C929">
        <v>2007970</v>
      </c>
    </row>
    <row r="930" spans="1:3" x14ac:dyDescent="0.2">
      <c r="A930" s="3">
        <v>5092</v>
      </c>
      <c r="B930" s="3" t="s">
        <v>154</v>
      </c>
      <c r="C930">
        <v>2007970</v>
      </c>
    </row>
    <row r="931" spans="1:3" x14ac:dyDescent="0.2">
      <c r="A931" s="3">
        <v>5092</v>
      </c>
      <c r="B931" s="3" t="s">
        <v>154</v>
      </c>
      <c r="C931">
        <v>2007970</v>
      </c>
    </row>
    <row r="932" spans="1:3" x14ac:dyDescent="0.2">
      <c r="A932">
        <v>5092</v>
      </c>
      <c r="B932" t="s">
        <v>154</v>
      </c>
      <c r="C932">
        <v>2007970</v>
      </c>
    </row>
    <row r="933" spans="1:3" x14ac:dyDescent="0.2">
      <c r="A933">
        <v>5092</v>
      </c>
      <c r="B933" t="s">
        <v>154</v>
      </c>
      <c r="C933">
        <v>2007970</v>
      </c>
    </row>
    <row r="934" spans="1:3" x14ac:dyDescent="0.2">
      <c r="A934">
        <v>5092</v>
      </c>
      <c r="B934" t="s">
        <v>154</v>
      </c>
      <c r="C934">
        <v>2007970</v>
      </c>
    </row>
    <row r="935" spans="1:3" x14ac:dyDescent="0.2">
      <c r="A935">
        <v>5092</v>
      </c>
      <c r="B935" t="s">
        <v>154</v>
      </c>
      <c r="C935">
        <v>2007970</v>
      </c>
    </row>
    <row r="936" spans="1:3" x14ac:dyDescent="0.2">
      <c r="A936">
        <v>5092</v>
      </c>
      <c r="B936" t="s">
        <v>154</v>
      </c>
      <c r="C936">
        <v>2007970</v>
      </c>
    </row>
    <row r="937" spans="1:3" x14ac:dyDescent="0.2">
      <c r="A937">
        <v>5092</v>
      </c>
      <c r="B937" s="9" t="s">
        <v>154</v>
      </c>
      <c r="C937">
        <v>2007970</v>
      </c>
    </row>
    <row r="938" spans="1:3" x14ac:dyDescent="0.2">
      <c r="A938" s="3">
        <v>5093</v>
      </c>
      <c r="B938" s="3" t="s">
        <v>155</v>
      </c>
      <c r="C938">
        <v>2010170</v>
      </c>
    </row>
    <row r="939" spans="1:3" x14ac:dyDescent="0.2">
      <c r="A939" s="3">
        <v>5093</v>
      </c>
      <c r="B939" s="3" t="s">
        <v>155</v>
      </c>
      <c r="C939">
        <v>2010170</v>
      </c>
    </row>
    <row r="940" spans="1:3" x14ac:dyDescent="0.2">
      <c r="A940" s="3">
        <v>5093</v>
      </c>
      <c r="B940" s="3" t="s">
        <v>155</v>
      </c>
      <c r="C940">
        <v>2010170</v>
      </c>
    </row>
    <row r="941" spans="1:3" x14ac:dyDescent="0.2">
      <c r="A941">
        <v>5093</v>
      </c>
      <c r="B941" t="s">
        <v>155</v>
      </c>
      <c r="C941">
        <v>2010170</v>
      </c>
    </row>
    <row r="942" spans="1:3" x14ac:dyDescent="0.2">
      <c r="A942">
        <v>5093</v>
      </c>
      <c r="B942" t="s">
        <v>155</v>
      </c>
      <c r="C942">
        <v>2010170</v>
      </c>
    </row>
    <row r="943" spans="1:3" x14ac:dyDescent="0.2">
      <c r="A943">
        <v>5093</v>
      </c>
      <c r="B943" t="s">
        <v>155</v>
      </c>
      <c r="C943">
        <v>2010170</v>
      </c>
    </row>
    <row r="944" spans="1:3" x14ac:dyDescent="0.2">
      <c r="A944">
        <v>5093</v>
      </c>
      <c r="B944" t="s">
        <v>155</v>
      </c>
      <c r="C944">
        <v>2010170</v>
      </c>
    </row>
    <row r="945" spans="1:3" x14ac:dyDescent="0.2">
      <c r="A945">
        <v>5093</v>
      </c>
      <c r="B945" t="s">
        <v>155</v>
      </c>
      <c r="C945">
        <v>2010170</v>
      </c>
    </row>
    <row r="946" spans="1:3" x14ac:dyDescent="0.2">
      <c r="A946">
        <v>5093</v>
      </c>
      <c r="B946" s="9" t="s">
        <v>155</v>
      </c>
      <c r="C946">
        <v>2010170</v>
      </c>
    </row>
    <row r="947" spans="1:3" x14ac:dyDescent="0.2">
      <c r="A947" s="3">
        <v>5095</v>
      </c>
      <c r="B947" s="3" t="s">
        <v>156</v>
      </c>
      <c r="C947">
        <v>2003240</v>
      </c>
    </row>
    <row r="948" spans="1:3" x14ac:dyDescent="0.2">
      <c r="A948" s="3">
        <v>5095</v>
      </c>
      <c r="B948" s="3" t="s">
        <v>156</v>
      </c>
      <c r="C948">
        <v>2003240</v>
      </c>
    </row>
    <row r="949" spans="1:3" x14ac:dyDescent="0.2">
      <c r="A949" s="3">
        <v>5095</v>
      </c>
      <c r="B949" s="3" t="s">
        <v>156</v>
      </c>
      <c r="C949">
        <v>2003240</v>
      </c>
    </row>
    <row r="950" spans="1:3" x14ac:dyDescent="0.2">
      <c r="A950">
        <v>5095</v>
      </c>
      <c r="B950" t="s">
        <v>156</v>
      </c>
      <c r="C950">
        <v>2003240</v>
      </c>
    </row>
    <row r="951" spans="1:3" x14ac:dyDescent="0.2">
      <c r="A951">
        <v>5095</v>
      </c>
      <c r="B951" t="s">
        <v>156</v>
      </c>
      <c r="C951">
        <v>2003240</v>
      </c>
    </row>
    <row r="952" spans="1:3" x14ac:dyDescent="0.2">
      <c r="A952">
        <v>5095</v>
      </c>
      <c r="B952" t="s">
        <v>156</v>
      </c>
      <c r="C952">
        <v>2003240</v>
      </c>
    </row>
    <row r="953" spans="1:3" x14ac:dyDescent="0.2">
      <c r="A953">
        <v>5095</v>
      </c>
      <c r="B953" t="s">
        <v>156</v>
      </c>
      <c r="C953">
        <v>2003240</v>
      </c>
    </row>
    <row r="954" spans="1:3" x14ac:dyDescent="0.2">
      <c r="A954">
        <v>5095</v>
      </c>
      <c r="B954" t="s">
        <v>156</v>
      </c>
      <c r="C954">
        <v>2003240</v>
      </c>
    </row>
    <row r="955" spans="1:3" x14ac:dyDescent="0.2">
      <c r="A955">
        <v>5095</v>
      </c>
      <c r="B955" s="9" t="s">
        <v>156</v>
      </c>
      <c r="C955">
        <v>2003240</v>
      </c>
    </row>
    <row r="956" spans="1:3" x14ac:dyDescent="0.2">
      <c r="A956" s="3">
        <v>5096</v>
      </c>
      <c r="B956" s="3" t="s">
        <v>157</v>
      </c>
      <c r="C956">
        <v>2007750</v>
      </c>
    </row>
    <row r="957" spans="1:3" x14ac:dyDescent="0.2">
      <c r="A957" s="3">
        <v>5096</v>
      </c>
      <c r="B957" s="3" t="s">
        <v>157</v>
      </c>
      <c r="C957">
        <v>2007750</v>
      </c>
    </row>
    <row r="958" spans="1:3" x14ac:dyDescent="0.2">
      <c r="A958" s="3">
        <v>5096</v>
      </c>
      <c r="B958" s="3" t="s">
        <v>157</v>
      </c>
      <c r="C958">
        <v>2007750</v>
      </c>
    </row>
    <row r="959" spans="1:3" x14ac:dyDescent="0.2">
      <c r="A959">
        <v>5096</v>
      </c>
      <c r="B959" t="s">
        <v>157</v>
      </c>
      <c r="C959">
        <v>2007750</v>
      </c>
    </row>
    <row r="960" spans="1:3" x14ac:dyDescent="0.2">
      <c r="A960">
        <v>5096</v>
      </c>
      <c r="B960" t="s">
        <v>157</v>
      </c>
      <c r="C960">
        <v>2007750</v>
      </c>
    </row>
    <row r="961" spans="1:3" x14ac:dyDescent="0.2">
      <c r="A961">
        <v>5096</v>
      </c>
      <c r="B961" t="s">
        <v>157</v>
      </c>
      <c r="C961">
        <v>2007750</v>
      </c>
    </row>
    <row r="962" spans="1:3" x14ac:dyDescent="0.2">
      <c r="A962">
        <v>5096</v>
      </c>
      <c r="B962" t="s">
        <v>157</v>
      </c>
      <c r="C962">
        <v>2007750</v>
      </c>
    </row>
    <row r="963" spans="1:3" x14ac:dyDescent="0.2">
      <c r="A963">
        <v>5096</v>
      </c>
      <c r="B963" t="s">
        <v>157</v>
      </c>
      <c r="C963">
        <v>2007750</v>
      </c>
    </row>
    <row r="964" spans="1:3" x14ac:dyDescent="0.2">
      <c r="A964">
        <v>5096</v>
      </c>
      <c r="B964" s="9" t="s">
        <v>157</v>
      </c>
      <c r="C964">
        <v>2007750</v>
      </c>
    </row>
    <row r="965" spans="1:3" x14ac:dyDescent="0.2">
      <c r="A965" s="3">
        <v>5098</v>
      </c>
      <c r="B965" s="3" t="s">
        <v>158</v>
      </c>
      <c r="C965">
        <v>2004380</v>
      </c>
    </row>
    <row r="966" spans="1:3" x14ac:dyDescent="0.2">
      <c r="A966" s="3">
        <v>5098</v>
      </c>
      <c r="B966" s="3" t="s">
        <v>158</v>
      </c>
      <c r="C966">
        <v>2004380</v>
      </c>
    </row>
    <row r="967" spans="1:3" x14ac:dyDescent="0.2">
      <c r="A967" s="3">
        <v>5098</v>
      </c>
      <c r="B967" s="3" t="s">
        <v>158</v>
      </c>
      <c r="C967">
        <v>2004380</v>
      </c>
    </row>
    <row r="968" spans="1:3" x14ac:dyDescent="0.2">
      <c r="A968">
        <v>5098</v>
      </c>
      <c r="B968" t="s">
        <v>158</v>
      </c>
      <c r="C968">
        <v>2004380</v>
      </c>
    </row>
    <row r="969" spans="1:3" x14ac:dyDescent="0.2">
      <c r="A969">
        <v>5098</v>
      </c>
      <c r="B969" t="s">
        <v>158</v>
      </c>
      <c r="C969">
        <v>2004380</v>
      </c>
    </row>
    <row r="970" spans="1:3" x14ac:dyDescent="0.2">
      <c r="A970">
        <v>5098</v>
      </c>
      <c r="B970" t="s">
        <v>158</v>
      </c>
      <c r="C970">
        <v>2004380</v>
      </c>
    </row>
    <row r="971" spans="1:3" x14ac:dyDescent="0.2">
      <c r="A971">
        <v>5098</v>
      </c>
      <c r="B971" t="s">
        <v>158</v>
      </c>
      <c r="C971">
        <v>2004380</v>
      </c>
    </row>
    <row r="972" spans="1:3" x14ac:dyDescent="0.2">
      <c r="A972">
        <v>5098</v>
      </c>
      <c r="B972" t="s">
        <v>158</v>
      </c>
      <c r="C972">
        <v>2004380</v>
      </c>
    </row>
    <row r="973" spans="1:3" x14ac:dyDescent="0.2">
      <c r="A973">
        <v>5098</v>
      </c>
      <c r="B973" s="9" t="s">
        <v>158</v>
      </c>
      <c r="C973">
        <v>2004380</v>
      </c>
    </row>
    <row r="974" spans="1:3" x14ac:dyDescent="0.2">
      <c r="A974" s="3">
        <v>5099</v>
      </c>
      <c r="B974" s="3" t="s">
        <v>159</v>
      </c>
      <c r="C974">
        <v>2006450</v>
      </c>
    </row>
    <row r="975" spans="1:3" x14ac:dyDescent="0.2">
      <c r="A975" s="3">
        <v>5099</v>
      </c>
      <c r="B975" s="3" t="s">
        <v>159</v>
      </c>
      <c r="C975">
        <v>2006450</v>
      </c>
    </row>
    <row r="976" spans="1:3" x14ac:dyDescent="0.2">
      <c r="A976" s="3">
        <v>5099</v>
      </c>
      <c r="B976" s="3" t="s">
        <v>159</v>
      </c>
      <c r="C976">
        <v>2006450</v>
      </c>
    </row>
    <row r="977" spans="1:3" x14ac:dyDescent="0.2">
      <c r="A977">
        <v>5099</v>
      </c>
      <c r="B977" t="s">
        <v>159</v>
      </c>
      <c r="C977">
        <v>2006450</v>
      </c>
    </row>
    <row r="978" spans="1:3" x14ac:dyDescent="0.2">
      <c r="A978">
        <v>5099</v>
      </c>
      <c r="B978" t="s">
        <v>159</v>
      </c>
      <c r="C978">
        <v>2006450</v>
      </c>
    </row>
    <row r="979" spans="1:3" x14ac:dyDescent="0.2">
      <c r="A979">
        <v>5099</v>
      </c>
      <c r="B979" t="s">
        <v>159</v>
      </c>
      <c r="C979">
        <v>2006450</v>
      </c>
    </row>
    <row r="980" spans="1:3" x14ac:dyDescent="0.2">
      <c r="A980">
        <v>5099</v>
      </c>
      <c r="B980" t="s">
        <v>159</v>
      </c>
      <c r="C980">
        <v>2006450</v>
      </c>
    </row>
    <row r="981" spans="1:3" x14ac:dyDescent="0.2">
      <c r="A981">
        <v>5099</v>
      </c>
      <c r="B981" t="s">
        <v>159</v>
      </c>
      <c r="C981">
        <v>2006450</v>
      </c>
    </row>
    <row r="982" spans="1:3" x14ac:dyDescent="0.2">
      <c r="A982">
        <v>5099</v>
      </c>
      <c r="B982" s="9" t="s">
        <v>159</v>
      </c>
      <c r="C982">
        <v>2006450</v>
      </c>
    </row>
    <row r="983" spans="1:3" x14ac:dyDescent="0.2">
      <c r="A983" s="3">
        <v>5100</v>
      </c>
      <c r="B983" s="3" t="s">
        <v>160</v>
      </c>
      <c r="C983">
        <v>2010260</v>
      </c>
    </row>
    <row r="984" spans="1:3" x14ac:dyDescent="0.2">
      <c r="A984" s="3">
        <v>5100</v>
      </c>
      <c r="B984" s="3" t="s">
        <v>160</v>
      </c>
      <c r="C984">
        <v>2010260</v>
      </c>
    </row>
    <row r="985" spans="1:3" x14ac:dyDescent="0.2">
      <c r="A985" s="3">
        <v>5100</v>
      </c>
      <c r="B985" s="3" t="s">
        <v>160</v>
      </c>
      <c r="C985">
        <v>2010260</v>
      </c>
    </row>
    <row r="986" spans="1:3" x14ac:dyDescent="0.2">
      <c r="A986">
        <v>5100</v>
      </c>
      <c r="B986" t="s">
        <v>160</v>
      </c>
      <c r="C986">
        <v>2010260</v>
      </c>
    </row>
    <row r="987" spans="1:3" x14ac:dyDescent="0.2">
      <c r="A987">
        <v>5100</v>
      </c>
      <c r="B987" t="s">
        <v>160</v>
      </c>
      <c r="C987">
        <v>2010260</v>
      </c>
    </row>
    <row r="988" spans="1:3" x14ac:dyDescent="0.2">
      <c r="A988">
        <v>5100</v>
      </c>
      <c r="B988" t="s">
        <v>160</v>
      </c>
      <c r="C988">
        <v>2010260</v>
      </c>
    </row>
    <row r="989" spans="1:3" x14ac:dyDescent="0.2">
      <c r="A989">
        <v>5100</v>
      </c>
      <c r="B989" t="s">
        <v>160</v>
      </c>
      <c r="C989">
        <v>2010260</v>
      </c>
    </row>
    <row r="990" spans="1:3" x14ac:dyDescent="0.2">
      <c r="A990">
        <v>5100</v>
      </c>
      <c r="B990" t="s">
        <v>160</v>
      </c>
      <c r="C990">
        <v>2010260</v>
      </c>
    </row>
    <row r="991" spans="1:3" x14ac:dyDescent="0.2">
      <c r="A991">
        <v>5100</v>
      </c>
      <c r="B991" s="9" t="s">
        <v>160</v>
      </c>
      <c r="C991">
        <v>2010260</v>
      </c>
    </row>
    <row r="992" spans="1:3" x14ac:dyDescent="0.2">
      <c r="A992" s="3">
        <v>5101</v>
      </c>
      <c r="B992" s="3" t="s">
        <v>161</v>
      </c>
      <c r="C992">
        <v>2011700</v>
      </c>
    </row>
    <row r="993" spans="1:3" x14ac:dyDescent="0.2">
      <c r="A993" s="3">
        <v>5101</v>
      </c>
      <c r="B993" s="3" t="s">
        <v>161</v>
      </c>
      <c r="C993">
        <v>2011700</v>
      </c>
    </row>
    <row r="994" spans="1:3" x14ac:dyDescent="0.2">
      <c r="A994" s="3">
        <v>5101</v>
      </c>
      <c r="B994" s="3" t="s">
        <v>161</v>
      </c>
      <c r="C994">
        <v>2011700</v>
      </c>
    </row>
    <row r="995" spans="1:3" x14ac:dyDescent="0.2">
      <c r="A995">
        <v>5101</v>
      </c>
      <c r="B995" t="s">
        <v>161</v>
      </c>
      <c r="C995">
        <v>2011700</v>
      </c>
    </row>
    <row r="996" spans="1:3" x14ac:dyDescent="0.2">
      <c r="A996">
        <v>5101</v>
      </c>
      <c r="B996" t="s">
        <v>161</v>
      </c>
      <c r="C996">
        <v>2011700</v>
      </c>
    </row>
    <row r="997" spans="1:3" x14ac:dyDescent="0.2">
      <c r="A997">
        <v>5101</v>
      </c>
      <c r="B997" t="s">
        <v>161</v>
      </c>
      <c r="C997">
        <v>2011700</v>
      </c>
    </row>
    <row r="998" spans="1:3" x14ac:dyDescent="0.2">
      <c r="A998">
        <v>5101</v>
      </c>
      <c r="B998" t="s">
        <v>161</v>
      </c>
      <c r="C998">
        <v>2011700</v>
      </c>
    </row>
    <row r="999" spans="1:3" x14ac:dyDescent="0.2">
      <c r="A999">
        <v>5101</v>
      </c>
      <c r="B999" t="s">
        <v>161</v>
      </c>
      <c r="C999">
        <v>2011700</v>
      </c>
    </row>
    <row r="1000" spans="1:3" x14ac:dyDescent="0.2">
      <c r="A1000">
        <v>5101</v>
      </c>
      <c r="B1000" s="9" t="s">
        <v>161</v>
      </c>
      <c r="C1000">
        <v>2011700</v>
      </c>
    </row>
    <row r="1001" spans="1:3" x14ac:dyDescent="0.2">
      <c r="A1001" s="3">
        <v>5102</v>
      </c>
      <c r="B1001" s="3" t="s">
        <v>162</v>
      </c>
      <c r="C1001">
        <v>2004890</v>
      </c>
    </row>
    <row r="1002" spans="1:3" x14ac:dyDescent="0.2">
      <c r="A1002" s="3">
        <v>5102</v>
      </c>
      <c r="B1002" s="3" t="s">
        <v>162</v>
      </c>
      <c r="C1002">
        <v>2004890</v>
      </c>
    </row>
    <row r="1003" spans="1:3" x14ac:dyDescent="0.2">
      <c r="A1003" s="3">
        <v>5102</v>
      </c>
      <c r="B1003" s="3" t="s">
        <v>162</v>
      </c>
      <c r="C1003">
        <v>2004890</v>
      </c>
    </row>
    <row r="1004" spans="1:3" x14ac:dyDescent="0.2">
      <c r="A1004">
        <v>5102</v>
      </c>
      <c r="B1004" t="s">
        <v>162</v>
      </c>
      <c r="C1004">
        <v>2004890</v>
      </c>
    </row>
    <row r="1005" spans="1:3" x14ac:dyDescent="0.2">
      <c r="A1005">
        <v>5102</v>
      </c>
      <c r="B1005" t="s">
        <v>162</v>
      </c>
      <c r="C1005">
        <v>2004890</v>
      </c>
    </row>
    <row r="1006" spans="1:3" x14ac:dyDescent="0.2">
      <c r="A1006">
        <v>5102</v>
      </c>
      <c r="B1006" t="s">
        <v>162</v>
      </c>
      <c r="C1006">
        <v>2004890</v>
      </c>
    </row>
    <row r="1007" spans="1:3" x14ac:dyDescent="0.2">
      <c r="A1007">
        <v>5102</v>
      </c>
      <c r="B1007" t="s">
        <v>162</v>
      </c>
      <c r="C1007">
        <v>2004890</v>
      </c>
    </row>
    <row r="1008" spans="1:3" x14ac:dyDescent="0.2">
      <c r="A1008">
        <v>5102</v>
      </c>
      <c r="B1008" t="s">
        <v>162</v>
      </c>
      <c r="C1008">
        <v>2004890</v>
      </c>
    </row>
    <row r="1009" spans="1:3" x14ac:dyDescent="0.2">
      <c r="A1009">
        <v>5102</v>
      </c>
      <c r="B1009" s="9" t="s">
        <v>162</v>
      </c>
      <c r="C1009">
        <v>2004890</v>
      </c>
    </row>
    <row r="1010" spans="1:3" x14ac:dyDescent="0.2">
      <c r="A1010" s="3">
        <v>5103</v>
      </c>
      <c r="B1010" s="3" t="s">
        <v>163</v>
      </c>
      <c r="C1010">
        <v>2010890</v>
      </c>
    </row>
    <row r="1011" spans="1:3" x14ac:dyDescent="0.2">
      <c r="A1011" s="3">
        <v>5103</v>
      </c>
      <c r="B1011" s="3" t="s">
        <v>163</v>
      </c>
      <c r="C1011">
        <v>2010890</v>
      </c>
    </row>
    <row r="1012" spans="1:3" x14ac:dyDescent="0.2">
      <c r="A1012" s="3">
        <v>5103</v>
      </c>
      <c r="B1012" s="3" t="s">
        <v>163</v>
      </c>
      <c r="C1012">
        <v>2010890</v>
      </c>
    </row>
    <row r="1013" spans="1:3" x14ac:dyDescent="0.2">
      <c r="A1013">
        <v>5103</v>
      </c>
      <c r="B1013" t="s">
        <v>163</v>
      </c>
      <c r="C1013">
        <v>2010890</v>
      </c>
    </row>
    <row r="1014" spans="1:3" x14ac:dyDescent="0.2">
      <c r="A1014">
        <v>5103</v>
      </c>
      <c r="B1014" t="s">
        <v>163</v>
      </c>
      <c r="C1014">
        <v>2010890</v>
      </c>
    </row>
    <row r="1015" spans="1:3" x14ac:dyDescent="0.2">
      <c r="A1015">
        <v>5103</v>
      </c>
      <c r="B1015" t="s">
        <v>163</v>
      </c>
      <c r="C1015">
        <v>2010890</v>
      </c>
    </row>
    <row r="1016" spans="1:3" x14ac:dyDescent="0.2">
      <c r="A1016">
        <v>5103</v>
      </c>
      <c r="B1016" t="s">
        <v>163</v>
      </c>
      <c r="C1016">
        <v>2010890</v>
      </c>
    </row>
    <row r="1017" spans="1:3" x14ac:dyDescent="0.2">
      <c r="A1017">
        <v>5103</v>
      </c>
      <c r="B1017" t="s">
        <v>163</v>
      </c>
      <c r="C1017">
        <v>2010890</v>
      </c>
    </row>
    <row r="1018" spans="1:3" x14ac:dyDescent="0.2">
      <c r="A1018">
        <v>5103</v>
      </c>
      <c r="B1018" s="9" t="s">
        <v>163</v>
      </c>
      <c r="C1018">
        <v>2010890</v>
      </c>
    </row>
    <row r="1019" spans="1:3" x14ac:dyDescent="0.2">
      <c r="A1019" s="3">
        <v>5104</v>
      </c>
      <c r="B1019" s="3" t="s">
        <v>164</v>
      </c>
      <c r="C1019">
        <v>2004440</v>
      </c>
    </row>
    <row r="1020" spans="1:3" x14ac:dyDescent="0.2">
      <c r="A1020" s="3">
        <v>5104</v>
      </c>
      <c r="B1020" s="3" t="s">
        <v>164</v>
      </c>
      <c r="C1020">
        <v>2004440</v>
      </c>
    </row>
    <row r="1021" spans="1:3" x14ac:dyDescent="0.2">
      <c r="A1021" s="3">
        <v>5104</v>
      </c>
      <c r="B1021" s="3" t="s">
        <v>164</v>
      </c>
      <c r="C1021">
        <v>2004440</v>
      </c>
    </row>
    <row r="1022" spans="1:3" x14ac:dyDescent="0.2">
      <c r="A1022">
        <v>5104</v>
      </c>
      <c r="B1022" t="s">
        <v>164</v>
      </c>
      <c r="C1022">
        <v>2004440</v>
      </c>
    </row>
    <row r="1023" spans="1:3" x14ac:dyDescent="0.2">
      <c r="A1023">
        <v>5104</v>
      </c>
      <c r="B1023" t="s">
        <v>164</v>
      </c>
      <c r="C1023">
        <v>2004440</v>
      </c>
    </row>
    <row r="1024" spans="1:3" x14ac:dyDescent="0.2">
      <c r="A1024">
        <v>5104</v>
      </c>
      <c r="B1024" t="s">
        <v>164</v>
      </c>
      <c r="C1024">
        <v>2004440</v>
      </c>
    </row>
    <row r="1025" spans="1:3" x14ac:dyDescent="0.2">
      <c r="A1025">
        <v>5104</v>
      </c>
      <c r="B1025" t="s">
        <v>164</v>
      </c>
      <c r="C1025">
        <v>2004440</v>
      </c>
    </row>
    <row r="1026" spans="1:3" x14ac:dyDescent="0.2">
      <c r="A1026">
        <v>5104</v>
      </c>
      <c r="B1026" t="s">
        <v>164</v>
      </c>
      <c r="C1026">
        <v>2004440</v>
      </c>
    </row>
    <row r="1027" spans="1:3" x14ac:dyDescent="0.2">
      <c r="A1027">
        <v>5104</v>
      </c>
      <c r="B1027" s="9" t="s">
        <v>164</v>
      </c>
      <c r="C1027">
        <v>2004440</v>
      </c>
    </row>
    <row r="1028" spans="1:3" x14ac:dyDescent="0.2">
      <c r="A1028" s="3">
        <v>5105</v>
      </c>
      <c r="B1028" s="3" t="s">
        <v>165</v>
      </c>
      <c r="C1028">
        <v>2004140</v>
      </c>
    </row>
    <row r="1029" spans="1:3" x14ac:dyDescent="0.2">
      <c r="A1029" s="3">
        <v>5105</v>
      </c>
      <c r="B1029" s="3" t="s">
        <v>165</v>
      </c>
      <c r="C1029">
        <v>2004140</v>
      </c>
    </row>
    <row r="1030" spans="1:3" x14ac:dyDescent="0.2">
      <c r="A1030" s="3">
        <v>5105</v>
      </c>
      <c r="B1030" s="3" t="s">
        <v>165</v>
      </c>
      <c r="C1030">
        <v>2004140</v>
      </c>
    </row>
    <row r="1031" spans="1:3" x14ac:dyDescent="0.2">
      <c r="A1031">
        <v>5105</v>
      </c>
      <c r="B1031" t="s">
        <v>165</v>
      </c>
      <c r="C1031">
        <v>2004140</v>
      </c>
    </row>
    <row r="1032" spans="1:3" x14ac:dyDescent="0.2">
      <c r="A1032">
        <v>5105</v>
      </c>
      <c r="B1032" t="s">
        <v>165</v>
      </c>
      <c r="C1032">
        <v>2004140</v>
      </c>
    </row>
    <row r="1033" spans="1:3" x14ac:dyDescent="0.2">
      <c r="A1033">
        <v>5105</v>
      </c>
      <c r="B1033" t="s">
        <v>165</v>
      </c>
      <c r="C1033">
        <v>2004140</v>
      </c>
    </row>
    <row r="1034" spans="1:3" x14ac:dyDescent="0.2">
      <c r="A1034">
        <v>5105</v>
      </c>
      <c r="B1034" t="s">
        <v>165</v>
      </c>
      <c r="C1034">
        <v>2004140</v>
      </c>
    </row>
    <row r="1035" spans="1:3" x14ac:dyDescent="0.2">
      <c r="A1035">
        <v>5105</v>
      </c>
      <c r="B1035" t="s">
        <v>165</v>
      </c>
      <c r="C1035">
        <v>2004140</v>
      </c>
    </row>
    <row r="1036" spans="1:3" x14ac:dyDescent="0.2">
      <c r="A1036">
        <v>5105</v>
      </c>
      <c r="B1036" s="9" t="s">
        <v>165</v>
      </c>
      <c r="C1036">
        <v>2004140</v>
      </c>
    </row>
    <row r="1037" spans="1:3" x14ac:dyDescent="0.2">
      <c r="A1037" s="3">
        <v>5106</v>
      </c>
      <c r="B1037" s="3" t="s">
        <v>166</v>
      </c>
      <c r="C1037">
        <v>2008190</v>
      </c>
    </row>
    <row r="1038" spans="1:3" x14ac:dyDescent="0.2">
      <c r="A1038" s="3">
        <v>5106</v>
      </c>
      <c r="B1038" s="3" t="s">
        <v>166</v>
      </c>
      <c r="C1038">
        <v>2008190</v>
      </c>
    </row>
    <row r="1039" spans="1:3" x14ac:dyDescent="0.2">
      <c r="A1039" s="3">
        <v>5106</v>
      </c>
      <c r="B1039" s="3" t="s">
        <v>166</v>
      </c>
      <c r="C1039">
        <v>2008190</v>
      </c>
    </row>
    <row r="1040" spans="1:3" x14ac:dyDescent="0.2">
      <c r="A1040">
        <v>5106</v>
      </c>
      <c r="B1040" t="s">
        <v>166</v>
      </c>
      <c r="C1040">
        <v>2008190</v>
      </c>
    </row>
    <row r="1041" spans="1:3" x14ac:dyDescent="0.2">
      <c r="A1041">
        <v>5106</v>
      </c>
      <c r="B1041" t="s">
        <v>166</v>
      </c>
      <c r="C1041">
        <v>2008190</v>
      </c>
    </row>
    <row r="1042" spans="1:3" x14ac:dyDescent="0.2">
      <c r="A1042">
        <v>5106</v>
      </c>
      <c r="B1042" t="s">
        <v>166</v>
      </c>
      <c r="C1042">
        <v>2008190</v>
      </c>
    </row>
    <row r="1043" spans="1:3" x14ac:dyDescent="0.2">
      <c r="A1043">
        <v>5106</v>
      </c>
      <c r="B1043" t="s">
        <v>166</v>
      </c>
      <c r="C1043">
        <v>2008190</v>
      </c>
    </row>
    <row r="1044" spans="1:3" x14ac:dyDescent="0.2">
      <c r="A1044">
        <v>5106</v>
      </c>
      <c r="B1044" t="s">
        <v>166</v>
      </c>
      <c r="C1044">
        <v>2008190</v>
      </c>
    </row>
    <row r="1045" spans="1:3" x14ac:dyDescent="0.2">
      <c r="A1045">
        <v>5106</v>
      </c>
      <c r="B1045" s="9" t="s">
        <v>166</v>
      </c>
      <c r="C1045">
        <v>2008190</v>
      </c>
    </row>
    <row r="1046" spans="1:3" x14ac:dyDescent="0.2">
      <c r="A1046" s="3">
        <v>5107</v>
      </c>
      <c r="B1046" s="3" t="s">
        <v>17</v>
      </c>
    </row>
    <row r="1047" spans="1:3" x14ac:dyDescent="0.2">
      <c r="A1047" s="3">
        <v>5107</v>
      </c>
      <c r="B1047" s="3" t="s">
        <v>17</v>
      </c>
    </row>
    <row r="1048" spans="1:3" x14ac:dyDescent="0.2">
      <c r="A1048">
        <v>5107</v>
      </c>
      <c r="B1048" t="s">
        <v>17</v>
      </c>
    </row>
    <row r="1049" spans="1:3" x14ac:dyDescent="0.2">
      <c r="A1049">
        <v>5107</v>
      </c>
      <c r="B1049" t="s">
        <v>17</v>
      </c>
    </row>
    <row r="1050" spans="1:3" x14ac:dyDescent="0.2">
      <c r="A1050">
        <v>5107</v>
      </c>
      <c r="B1050" t="s">
        <v>17</v>
      </c>
    </row>
    <row r="1051" spans="1:3" x14ac:dyDescent="0.2">
      <c r="A1051">
        <v>5107</v>
      </c>
      <c r="B1051" t="s">
        <v>17</v>
      </c>
    </row>
    <row r="1052" spans="1:3" x14ac:dyDescent="0.2">
      <c r="A1052">
        <v>5107</v>
      </c>
      <c r="B1052" t="s">
        <v>17</v>
      </c>
    </row>
    <row r="1053" spans="1:3" x14ac:dyDescent="0.2">
      <c r="A1053">
        <v>5107</v>
      </c>
      <c r="B1053" s="9" t="s">
        <v>17</v>
      </c>
    </row>
    <row r="1054" spans="1:3" x14ac:dyDescent="0.2">
      <c r="A1054" s="3">
        <v>5108</v>
      </c>
      <c r="B1054" s="3" t="s">
        <v>18</v>
      </c>
    </row>
    <row r="1055" spans="1:3" x14ac:dyDescent="0.2">
      <c r="A1055" s="3">
        <v>5108</v>
      </c>
      <c r="B1055" s="3" t="s">
        <v>18</v>
      </c>
    </row>
    <row r="1056" spans="1:3" x14ac:dyDescent="0.2">
      <c r="A1056">
        <v>5108</v>
      </c>
      <c r="B1056" t="s">
        <v>18</v>
      </c>
    </row>
    <row r="1057" spans="1:2" x14ac:dyDescent="0.2">
      <c r="A1057">
        <v>5108</v>
      </c>
      <c r="B1057" t="s">
        <v>18</v>
      </c>
    </row>
    <row r="1058" spans="1:2" x14ac:dyDescent="0.2">
      <c r="A1058">
        <v>5108</v>
      </c>
      <c r="B1058" t="s">
        <v>18</v>
      </c>
    </row>
    <row r="1059" spans="1:2" x14ac:dyDescent="0.2">
      <c r="A1059">
        <v>5108</v>
      </c>
      <c r="B1059" t="s">
        <v>18</v>
      </c>
    </row>
    <row r="1060" spans="1:2" x14ac:dyDescent="0.2">
      <c r="A1060">
        <v>5108</v>
      </c>
      <c r="B1060" t="s">
        <v>18</v>
      </c>
    </row>
    <row r="1061" spans="1:2" x14ac:dyDescent="0.2">
      <c r="A1061">
        <v>5108</v>
      </c>
      <c r="B1061" s="9" t="s">
        <v>18</v>
      </c>
    </row>
    <row r="1062" spans="1:2" x14ac:dyDescent="0.2">
      <c r="A1062" s="3">
        <v>5109</v>
      </c>
      <c r="B1062" s="3" t="s">
        <v>19</v>
      </c>
    </row>
    <row r="1063" spans="1:2" x14ac:dyDescent="0.2">
      <c r="A1063" s="3">
        <v>5109</v>
      </c>
      <c r="B1063" s="3" t="s">
        <v>19</v>
      </c>
    </row>
    <row r="1064" spans="1:2" x14ac:dyDescent="0.2">
      <c r="A1064">
        <v>5109</v>
      </c>
      <c r="B1064" t="s">
        <v>19</v>
      </c>
    </row>
    <row r="1065" spans="1:2" x14ac:dyDescent="0.2">
      <c r="A1065">
        <v>5109</v>
      </c>
      <c r="B1065" t="s">
        <v>19</v>
      </c>
    </row>
    <row r="1066" spans="1:2" x14ac:dyDescent="0.2">
      <c r="A1066">
        <v>5109</v>
      </c>
      <c r="B1066" t="s">
        <v>19</v>
      </c>
    </row>
    <row r="1067" spans="1:2" x14ac:dyDescent="0.2">
      <c r="A1067">
        <v>5109</v>
      </c>
      <c r="B1067" t="s">
        <v>19</v>
      </c>
    </row>
    <row r="1068" spans="1:2" x14ac:dyDescent="0.2">
      <c r="A1068">
        <v>5109</v>
      </c>
      <c r="B1068" t="s">
        <v>19</v>
      </c>
    </row>
    <row r="1069" spans="1:2" x14ac:dyDescent="0.2">
      <c r="A1069">
        <v>5109</v>
      </c>
      <c r="B1069" s="9" t="s">
        <v>19</v>
      </c>
    </row>
    <row r="1070" spans="1:2" x14ac:dyDescent="0.2">
      <c r="A1070" s="3">
        <v>5110</v>
      </c>
      <c r="B1070" s="3" t="s">
        <v>20</v>
      </c>
    </row>
    <row r="1071" spans="1:2" x14ac:dyDescent="0.2">
      <c r="A1071" s="3">
        <v>5110</v>
      </c>
      <c r="B1071" s="3" t="s">
        <v>20</v>
      </c>
    </row>
    <row r="1072" spans="1:2" x14ac:dyDescent="0.2">
      <c r="A1072">
        <v>5110</v>
      </c>
      <c r="B1072" t="s">
        <v>20</v>
      </c>
    </row>
    <row r="1073" spans="1:2" x14ac:dyDescent="0.2">
      <c r="A1073">
        <v>5110</v>
      </c>
      <c r="B1073" t="s">
        <v>20</v>
      </c>
    </row>
    <row r="1074" spans="1:2" x14ac:dyDescent="0.2">
      <c r="A1074">
        <v>5110</v>
      </c>
      <c r="B1074" t="s">
        <v>20</v>
      </c>
    </row>
    <row r="1075" spans="1:2" x14ac:dyDescent="0.2">
      <c r="A1075">
        <v>5110</v>
      </c>
      <c r="B1075" t="s">
        <v>20</v>
      </c>
    </row>
    <row r="1076" spans="1:2" x14ac:dyDescent="0.2">
      <c r="A1076">
        <v>5110</v>
      </c>
      <c r="B1076" t="s">
        <v>20</v>
      </c>
    </row>
    <row r="1077" spans="1:2" x14ac:dyDescent="0.2">
      <c r="A1077">
        <v>5110</v>
      </c>
      <c r="B1077" s="9" t="s">
        <v>20</v>
      </c>
    </row>
    <row r="1078" spans="1:2" x14ac:dyDescent="0.2">
      <c r="A1078" s="3">
        <v>5111</v>
      </c>
      <c r="B1078" s="3" t="s">
        <v>21</v>
      </c>
    </row>
    <row r="1079" spans="1:2" x14ac:dyDescent="0.2">
      <c r="A1079" s="3">
        <v>5111</v>
      </c>
      <c r="B1079" s="3" t="s">
        <v>21</v>
      </c>
    </row>
    <row r="1080" spans="1:2" x14ac:dyDescent="0.2">
      <c r="A1080">
        <v>5111</v>
      </c>
      <c r="B1080" t="s">
        <v>21</v>
      </c>
    </row>
    <row r="1081" spans="1:2" x14ac:dyDescent="0.2">
      <c r="A1081">
        <v>5111</v>
      </c>
      <c r="B1081" t="s">
        <v>21</v>
      </c>
    </row>
    <row r="1082" spans="1:2" x14ac:dyDescent="0.2">
      <c r="A1082">
        <v>5111</v>
      </c>
      <c r="B1082" t="s">
        <v>21</v>
      </c>
    </row>
    <row r="1083" spans="1:2" x14ac:dyDescent="0.2">
      <c r="A1083">
        <v>5111</v>
      </c>
      <c r="B1083" t="s">
        <v>21</v>
      </c>
    </row>
    <row r="1084" spans="1:2" x14ac:dyDescent="0.2">
      <c r="A1084">
        <v>5111</v>
      </c>
      <c r="B1084" t="s">
        <v>21</v>
      </c>
    </row>
    <row r="1085" spans="1:2" x14ac:dyDescent="0.2">
      <c r="A1085">
        <v>5111</v>
      </c>
      <c r="B1085" s="9" t="s">
        <v>21</v>
      </c>
    </row>
    <row r="1086" spans="1:2" x14ac:dyDescent="0.2">
      <c r="A1086" s="3">
        <v>5112</v>
      </c>
      <c r="B1086" s="3" t="s">
        <v>22</v>
      </c>
    </row>
    <row r="1087" spans="1:2" x14ac:dyDescent="0.2">
      <c r="A1087" s="3">
        <v>5112</v>
      </c>
      <c r="B1087" s="3" t="s">
        <v>22</v>
      </c>
    </row>
    <row r="1088" spans="1:2" x14ac:dyDescent="0.2">
      <c r="A1088">
        <v>5112</v>
      </c>
      <c r="B1088" t="s">
        <v>22</v>
      </c>
    </row>
    <row r="1089" spans="1:3" x14ac:dyDescent="0.2">
      <c r="A1089">
        <v>5112</v>
      </c>
      <c r="B1089" t="s">
        <v>22</v>
      </c>
    </row>
    <row r="1090" spans="1:3" x14ac:dyDescent="0.2">
      <c r="A1090">
        <v>5112</v>
      </c>
      <c r="B1090" t="s">
        <v>22</v>
      </c>
    </row>
    <row r="1091" spans="1:3" x14ac:dyDescent="0.2">
      <c r="A1091">
        <v>5112</v>
      </c>
      <c r="B1091" t="s">
        <v>22</v>
      </c>
    </row>
    <row r="1092" spans="1:3" x14ac:dyDescent="0.2">
      <c r="A1092">
        <v>5112</v>
      </c>
      <c r="B1092" t="s">
        <v>22</v>
      </c>
    </row>
    <row r="1093" spans="1:3" x14ac:dyDescent="0.2">
      <c r="A1093">
        <v>5112</v>
      </c>
      <c r="B1093" s="9" t="s">
        <v>22</v>
      </c>
    </row>
    <row r="1094" spans="1:3" x14ac:dyDescent="0.2">
      <c r="A1094" s="3">
        <v>5113</v>
      </c>
      <c r="B1094" s="3" t="s">
        <v>23</v>
      </c>
    </row>
    <row r="1095" spans="1:3" x14ac:dyDescent="0.2">
      <c r="A1095" s="3">
        <v>5113</v>
      </c>
      <c r="B1095" s="3" t="s">
        <v>23</v>
      </c>
    </row>
    <row r="1096" spans="1:3" x14ac:dyDescent="0.2">
      <c r="A1096">
        <v>5113</v>
      </c>
      <c r="B1096" t="s">
        <v>23</v>
      </c>
    </row>
    <row r="1097" spans="1:3" x14ac:dyDescent="0.2">
      <c r="A1097">
        <v>5113</v>
      </c>
      <c r="B1097" t="s">
        <v>23</v>
      </c>
    </row>
    <row r="1098" spans="1:3" x14ac:dyDescent="0.2">
      <c r="A1098">
        <v>5113</v>
      </c>
      <c r="B1098" t="s">
        <v>23</v>
      </c>
    </row>
    <row r="1099" spans="1:3" x14ac:dyDescent="0.2">
      <c r="A1099">
        <v>5113</v>
      </c>
      <c r="B1099" t="s">
        <v>23</v>
      </c>
    </row>
    <row r="1100" spans="1:3" x14ac:dyDescent="0.2">
      <c r="A1100">
        <v>5113</v>
      </c>
      <c r="B1100" t="s">
        <v>23</v>
      </c>
    </row>
    <row r="1101" spans="1:3" x14ac:dyDescent="0.2">
      <c r="A1101">
        <v>5113</v>
      </c>
      <c r="B1101" s="9" t="s">
        <v>23</v>
      </c>
    </row>
    <row r="1102" spans="1:3" x14ac:dyDescent="0.2">
      <c r="A1102" s="3">
        <v>5116</v>
      </c>
      <c r="B1102" s="3" t="s">
        <v>167</v>
      </c>
      <c r="C1102">
        <v>2007560</v>
      </c>
    </row>
    <row r="1103" spans="1:3" x14ac:dyDescent="0.2">
      <c r="A1103" s="3">
        <v>5116</v>
      </c>
      <c r="B1103" s="3" t="s">
        <v>167</v>
      </c>
      <c r="C1103">
        <v>2007560</v>
      </c>
    </row>
    <row r="1104" spans="1:3" x14ac:dyDescent="0.2">
      <c r="A1104" s="3">
        <v>5116</v>
      </c>
      <c r="B1104" s="3" t="s">
        <v>167</v>
      </c>
      <c r="C1104">
        <v>2007560</v>
      </c>
    </row>
    <row r="1105" spans="1:3" x14ac:dyDescent="0.2">
      <c r="A1105">
        <v>5116</v>
      </c>
      <c r="B1105" t="s">
        <v>167</v>
      </c>
      <c r="C1105">
        <v>2007560</v>
      </c>
    </row>
    <row r="1106" spans="1:3" x14ac:dyDescent="0.2">
      <c r="A1106">
        <v>5116</v>
      </c>
      <c r="B1106" t="s">
        <v>167</v>
      </c>
      <c r="C1106">
        <v>2007560</v>
      </c>
    </row>
    <row r="1107" spans="1:3" x14ac:dyDescent="0.2">
      <c r="A1107">
        <v>5116</v>
      </c>
      <c r="B1107" t="s">
        <v>167</v>
      </c>
      <c r="C1107">
        <v>2007560</v>
      </c>
    </row>
    <row r="1108" spans="1:3" x14ac:dyDescent="0.2">
      <c r="A1108">
        <v>5116</v>
      </c>
      <c r="B1108" t="s">
        <v>167</v>
      </c>
      <c r="C1108">
        <v>2007560</v>
      </c>
    </row>
    <row r="1109" spans="1:3" x14ac:dyDescent="0.2">
      <c r="A1109">
        <v>5116</v>
      </c>
      <c r="B1109" t="s">
        <v>167</v>
      </c>
      <c r="C1109">
        <v>2007560</v>
      </c>
    </row>
    <row r="1110" spans="1:3" x14ac:dyDescent="0.2">
      <c r="A1110">
        <v>5116</v>
      </c>
      <c r="B1110" s="9" t="s">
        <v>167</v>
      </c>
      <c r="C1110">
        <v>2007560</v>
      </c>
    </row>
    <row r="1111" spans="1:3" x14ac:dyDescent="0.2">
      <c r="A1111" s="3">
        <v>5117</v>
      </c>
      <c r="B1111" s="3" t="s">
        <v>168</v>
      </c>
      <c r="C1111">
        <v>2003270</v>
      </c>
    </row>
    <row r="1112" spans="1:3" x14ac:dyDescent="0.2">
      <c r="A1112" s="3">
        <v>5117</v>
      </c>
      <c r="B1112" s="3" t="s">
        <v>168</v>
      </c>
      <c r="C1112">
        <v>2003270</v>
      </c>
    </row>
    <row r="1113" spans="1:3" x14ac:dyDescent="0.2">
      <c r="A1113" s="3">
        <v>5117</v>
      </c>
      <c r="B1113" s="3" t="s">
        <v>168</v>
      </c>
      <c r="C1113">
        <v>2003270</v>
      </c>
    </row>
    <row r="1114" spans="1:3" x14ac:dyDescent="0.2">
      <c r="A1114">
        <v>5117</v>
      </c>
      <c r="B1114" t="s">
        <v>168</v>
      </c>
      <c r="C1114">
        <v>2003270</v>
      </c>
    </row>
    <row r="1115" spans="1:3" x14ac:dyDescent="0.2">
      <c r="A1115">
        <v>5117</v>
      </c>
      <c r="B1115" t="s">
        <v>168</v>
      </c>
      <c r="C1115">
        <v>2003270</v>
      </c>
    </row>
    <row r="1116" spans="1:3" x14ac:dyDescent="0.2">
      <c r="A1116">
        <v>5117</v>
      </c>
      <c r="B1116" t="s">
        <v>168</v>
      </c>
      <c r="C1116">
        <v>2003270</v>
      </c>
    </row>
    <row r="1117" spans="1:3" x14ac:dyDescent="0.2">
      <c r="A1117">
        <v>5117</v>
      </c>
      <c r="B1117" t="s">
        <v>168</v>
      </c>
      <c r="C1117">
        <v>2003270</v>
      </c>
    </row>
    <row r="1118" spans="1:3" x14ac:dyDescent="0.2">
      <c r="A1118">
        <v>5117</v>
      </c>
      <c r="B1118" t="s">
        <v>168</v>
      </c>
      <c r="C1118">
        <v>2003270</v>
      </c>
    </row>
    <row r="1119" spans="1:3" x14ac:dyDescent="0.2">
      <c r="A1119">
        <v>5117</v>
      </c>
      <c r="B1119" s="9" t="s">
        <v>168</v>
      </c>
      <c r="C1119">
        <v>2003270</v>
      </c>
    </row>
    <row r="1120" spans="1:3" x14ac:dyDescent="0.2">
      <c r="A1120" s="3">
        <v>5118</v>
      </c>
      <c r="B1120" s="3" t="s">
        <v>169</v>
      </c>
      <c r="C1120">
        <v>2012420</v>
      </c>
    </row>
    <row r="1121" spans="1:3" x14ac:dyDescent="0.2">
      <c r="A1121" s="3">
        <v>5118</v>
      </c>
      <c r="B1121" s="3" t="s">
        <v>169</v>
      </c>
      <c r="C1121">
        <v>2012420</v>
      </c>
    </row>
    <row r="1122" spans="1:3" x14ac:dyDescent="0.2">
      <c r="A1122" s="3">
        <v>5118</v>
      </c>
      <c r="B1122" s="3" t="s">
        <v>169</v>
      </c>
      <c r="C1122">
        <v>2012420</v>
      </c>
    </row>
    <row r="1123" spans="1:3" x14ac:dyDescent="0.2">
      <c r="A1123">
        <v>5118</v>
      </c>
      <c r="B1123" t="s">
        <v>169</v>
      </c>
      <c r="C1123">
        <v>2012420</v>
      </c>
    </row>
    <row r="1124" spans="1:3" x14ac:dyDescent="0.2">
      <c r="A1124">
        <v>5118</v>
      </c>
      <c r="B1124" t="s">
        <v>169</v>
      </c>
      <c r="C1124">
        <v>2012420</v>
      </c>
    </row>
    <row r="1125" spans="1:3" x14ac:dyDescent="0.2">
      <c r="A1125">
        <v>5118</v>
      </c>
      <c r="B1125" t="s">
        <v>169</v>
      </c>
      <c r="C1125">
        <v>2012420</v>
      </c>
    </row>
    <row r="1126" spans="1:3" x14ac:dyDescent="0.2">
      <c r="A1126">
        <v>5118</v>
      </c>
      <c r="B1126" t="s">
        <v>169</v>
      </c>
      <c r="C1126">
        <v>2012420</v>
      </c>
    </row>
    <row r="1127" spans="1:3" x14ac:dyDescent="0.2">
      <c r="A1127">
        <v>5118</v>
      </c>
      <c r="B1127" t="s">
        <v>169</v>
      </c>
      <c r="C1127">
        <v>2012420</v>
      </c>
    </row>
    <row r="1128" spans="1:3" x14ac:dyDescent="0.2">
      <c r="A1128">
        <v>5118</v>
      </c>
      <c r="B1128" s="9" t="s">
        <v>169</v>
      </c>
      <c r="C1128">
        <v>2012420</v>
      </c>
    </row>
    <row r="1129" spans="1:3" x14ac:dyDescent="0.2">
      <c r="A1129" s="3">
        <v>5119</v>
      </c>
      <c r="B1129" s="3" t="s">
        <v>170</v>
      </c>
      <c r="C1129">
        <v>2009600</v>
      </c>
    </row>
    <row r="1130" spans="1:3" x14ac:dyDescent="0.2">
      <c r="A1130" s="3">
        <v>5119</v>
      </c>
      <c r="B1130" s="3" t="s">
        <v>170</v>
      </c>
      <c r="C1130">
        <v>2009600</v>
      </c>
    </row>
    <row r="1131" spans="1:3" x14ac:dyDescent="0.2">
      <c r="A1131" s="3">
        <v>5119</v>
      </c>
      <c r="B1131" s="3" t="s">
        <v>170</v>
      </c>
      <c r="C1131">
        <v>2009600</v>
      </c>
    </row>
    <row r="1132" spans="1:3" x14ac:dyDescent="0.2">
      <c r="A1132">
        <v>5119</v>
      </c>
      <c r="B1132" t="s">
        <v>170</v>
      </c>
      <c r="C1132">
        <v>2009600</v>
      </c>
    </row>
    <row r="1133" spans="1:3" x14ac:dyDescent="0.2">
      <c r="A1133">
        <v>5119</v>
      </c>
      <c r="B1133" t="s">
        <v>170</v>
      </c>
      <c r="C1133">
        <v>2009600</v>
      </c>
    </row>
    <row r="1134" spans="1:3" x14ac:dyDescent="0.2">
      <c r="A1134">
        <v>5119</v>
      </c>
      <c r="B1134" t="s">
        <v>170</v>
      </c>
      <c r="C1134">
        <v>2009600</v>
      </c>
    </row>
    <row r="1135" spans="1:3" x14ac:dyDescent="0.2">
      <c r="A1135">
        <v>5119</v>
      </c>
      <c r="B1135" t="s">
        <v>170</v>
      </c>
      <c r="C1135">
        <v>2009600</v>
      </c>
    </row>
    <row r="1136" spans="1:3" x14ac:dyDescent="0.2">
      <c r="A1136">
        <v>5119</v>
      </c>
      <c r="B1136" t="s">
        <v>170</v>
      </c>
      <c r="C1136">
        <v>2009600</v>
      </c>
    </row>
    <row r="1137" spans="1:3" x14ac:dyDescent="0.2">
      <c r="A1137">
        <v>5119</v>
      </c>
      <c r="B1137" s="9" t="s">
        <v>170</v>
      </c>
      <c r="C1137">
        <v>2009600</v>
      </c>
    </row>
    <row r="1138" spans="1:3" x14ac:dyDescent="0.2">
      <c r="A1138" s="3">
        <v>5120</v>
      </c>
      <c r="B1138" s="3" t="s">
        <v>366</v>
      </c>
      <c r="C1138">
        <v>2006420</v>
      </c>
    </row>
    <row r="1139" spans="1:3" x14ac:dyDescent="0.2">
      <c r="A1139" s="3">
        <v>5120</v>
      </c>
      <c r="B1139" s="3" t="s">
        <v>366</v>
      </c>
      <c r="C1139">
        <v>2006420</v>
      </c>
    </row>
    <row r="1140" spans="1:3" x14ac:dyDescent="0.2">
      <c r="A1140" s="3">
        <v>5120</v>
      </c>
      <c r="B1140" s="3" t="s">
        <v>366</v>
      </c>
      <c r="C1140">
        <v>2006420</v>
      </c>
    </row>
    <row r="1141" spans="1:3" x14ac:dyDescent="0.2">
      <c r="A1141">
        <v>5120</v>
      </c>
      <c r="B1141" t="s">
        <v>366</v>
      </c>
      <c r="C1141">
        <v>2006420</v>
      </c>
    </row>
    <row r="1142" spans="1:3" x14ac:dyDescent="0.2">
      <c r="A1142">
        <v>5120</v>
      </c>
      <c r="B1142" t="s">
        <v>171</v>
      </c>
      <c r="C1142">
        <v>2006420</v>
      </c>
    </row>
    <row r="1143" spans="1:3" x14ac:dyDescent="0.2">
      <c r="A1143">
        <v>5120</v>
      </c>
      <c r="B1143" t="s">
        <v>171</v>
      </c>
      <c r="C1143">
        <v>2006420</v>
      </c>
    </row>
    <row r="1144" spans="1:3" x14ac:dyDescent="0.2">
      <c r="A1144">
        <v>5120</v>
      </c>
      <c r="B1144" t="s">
        <v>171</v>
      </c>
      <c r="C1144">
        <v>2006420</v>
      </c>
    </row>
    <row r="1145" spans="1:3" x14ac:dyDescent="0.2">
      <c r="A1145">
        <v>5120</v>
      </c>
      <c r="B1145" t="s">
        <v>171</v>
      </c>
      <c r="C1145">
        <v>2006420</v>
      </c>
    </row>
    <row r="1146" spans="1:3" x14ac:dyDescent="0.2">
      <c r="A1146">
        <v>5120</v>
      </c>
      <c r="B1146" s="9" t="s">
        <v>171</v>
      </c>
      <c r="C1146">
        <v>2006420</v>
      </c>
    </row>
    <row r="1147" spans="1:3" x14ac:dyDescent="0.2">
      <c r="A1147" s="3">
        <v>5122</v>
      </c>
      <c r="B1147" s="3" t="s">
        <v>172</v>
      </c>
      <c r="C1147">
        <v>2008130</v>
      </c>
    </row>
    <row r="1148" spans="1:3" x14ac:dyDescent="0.2">
      <c r="A1148" s="3">
        <v>5122</v>
      </c>
      <c r="B1148" s="3" t="s">
        <v>172</v>
      </c>
      <c r="C1148">
        <v>2008130</v>
      </c>
    </row>
    <row r="1149" spans="1:3" x14ac:dyDescent="0.2">
      <c r="A1149" s="3">
        <v>5122</v>
      </c>
      <c r="B1149" s="3" t="s">
        <v>172</v>
      </c>
      <c r="C1149">
        <v>2008130</v>
      </c>
    </row>
    <row r="1150" spans="1:3" x14ac:dyDescent="0.2">
      <c r="A1150">
        <v>5122</v>
      </c>
      <c r="B1150" t="s">
        <v>172</v>
      </c>
      <c r="C1150">
        <v>2008130</v>
      </c>
    </row>
    <row r="1151" spans="1:3" x14ac:dyDescent="0.2">
      <c r="A1151">
        <v>5122</v>
      </c>
      <c r="B1151" t="s">
        <v>172</v>
      </c>
      <c r="C1151">
        <v>2008130</v>
      </c>
    </row>
    <row r="1152" spans="1:3" x14ac:dyDescent="0.2">
      <c r="A1152">
        <v>5122</v>
      </c>
      <c r="B1152" t="s">
        <v>172</v>
      </c>
      <c r="C1152">
        <v>2008130</v>
      </c>
    </row>
    <row r="1153" spans="1:3" x14ac:dyDescent="0.2">
      <c r="A1153">
        <v>5122</v>
      </c>
      <c r="B1153" t="s">
        <v>172</v>
      </c>
      <c r="C1153">
        <v>2008130</v>
      </c>
    </row>
    <row r="1154" spans="1:3" x14ac:dyDescent="0.2">
      <c r="A1154">
        <v>5122</v>
      </c>
      <c r="B1154" t="s">
        <v>172</v>
      </c>
      <c r="C1154">
        <v>2008130</v>
      </c>
    </row>
    <row r="1155" spans="1:3" x14ac:dyDescent="0.2">
      <c r="A1155">
        <v>5122</v>
      </c>
      <c r="B1155" s="9" t="s">
        <v>172</v>
      </c>
      <c r="C1155">
        <v>2008130</v>
      </c>
    </row>
    <row r="1156" spans="1:3" x14ac:dyDescent="0.2">
      <c r="A1156" s="3">
        <v>5123</v>
      </c>
      <c r="B1156" s="3" t="s">
        <v>173</v>
      </c>
      <c r="C1156">
        <v>2009660</v>
      </c>
    </row>
    <row r="1157" spans="1:3" x14ac:dyDescent="0.2">
      <c r="A1157" s="3">
        <v>5123</v>
      </c>
      <c r="B1157" s="3" t="s">
        <v>173</v>
      </c>
      <c r="C1157">
        <v>2009660</v>
      </c>
    </row>
    <row r="1158" spans="1:3" x14ac:dyDescent="0.2">
      <c r="A1158" s="3">
        <v>5123</v>
      </c>
      <c r="B1158" s="3" t="s">
        <v>173</v>
      </c>
      <c r="C1158">
        <v>2009660</v>
      </c>
    </row>
    <row r="1159" spans="1:3" x14ac:dyDescent="0.2">
      <c r="A1159">
        <v>5123</v>
      </c>
      <c r="B1159" t="s">
        <v>173</v>
      </c>
      <c r="C1159">
        <v>2009660</v>
      </c>
    </row>
    <row r="1160" spans="1:3" x14ac:dyDescent="0.2">
      <c r="A1160">
        <v>5123</v>
      </c>
      <c r="B1160" t="s">
        <v>173</v>
      </c>
      <c r="C1160">
        <v>2009660</v>
      </c>
    </row>
    <row r="1161" spans="1:3" x14ac:dyDescent="0.2">
      <c r="A1161">
        <v>5123</v>
      </c>
      <c r="B1161" t="s">
        <v>173</v>
      </c>
      <c r="C1161">
        <v>2009660</v>
      </c>
    </row>
    <row r="1162" spans="1:3" x14ac:dyDescent="0.2">
      <c r="A1162">
        <v>5123</v>
      </c>
      <c r="B1162" t="s">
        <v>173</v>
      </c>
      <c r="C1162">
        <v>2009660</v>
      </c>
    </row>
    <row r="1163" spans="1:3" x14ac:dyDescent="0.2">
      <c r="A1163">
        <v>5123</v>
      </c>
      <c r="B1163" t="s">
        <v>173</v>
      </c>
      <c r="C1163">
        <v>2009660</v>
      </c>
    </row>
    <row r="1164" spans="1:3" x14ac:dyDescent="0.2">
      <c r="A1164">
        <v>5123</v>
      </c>
      <c r="B1164" s="9" t="s">
        <v>173</v>
      </c>
      <c r="C1164">
        <v>2009660</v>
      </c>
    </row>
    <row r="1165" spans="1:3" x14ac:dyDescent="0.2">
      <c r="A1165" s="3">
        <v>5125</v>
      </c>
      <c r="B1165" s="3" t="s">
        <v>174</v>
      </c>
      <c r="C1165">
        <v>2000003</v>
      </c>
    </row>
    <row r="1166" spans="1:3" x14ac:dyDescent="0.2">
      <c r="A1166" s="3">
        <v>5125</v>
      </c>
      <c r="B1166" s="3" t="s">
        <v>174</v>
      </c>
      <c r="C1166">
        <v>2000003</v>
      </c>
    </row>
    <row r="1167" spans="1:3" x14ac:dyDescent="0.2">
      <c r="A1167" s="3">
        <v>5125</v>
      </c>
      <c r="B1167" s="3" t="s">
        <v>174</v>
      </c>
      <c r="C1167">
        <v>2000003</v>
      </c>
    </row>
    <row r="1168" spans="1:3" x14ac:dyDescent="0.2">
      <c r="A1168">
        <v>5125</v>
      </c>
      <c r="B1168" t="s">
        <v>174</v>
      </c>
      <c r="C1168">
        <v>2000003</v>
      </c>
    </row>
    <row r="1169" spans="1:3" x14ac:dyDescent="0.2">
      <c r="A1169">
        <v>5125</v>
      </c>
      <c r="B1169" t="s">
        <v>174</v>
      </c>
      <c r="C1169">
        <v>2000003</v>
      </c>
    </row>
    <row r="1170" spans="1:3" x14ac:dyDescent="0.2">
      <c r="A1170">
        <v>5125</v>
      </c>
      <c r="B1170" t="s">
        <v>174</v>
      </c>
      <c r="C1170">
        <v>2000003</v>
      </c>
    </row>
    <row r="1171" spans="1:3" x14ac:dyDescent="0.2">
      <c r="A1171">
        <v>5125</v>
      </c>
      <c r="B1171" t="s">
        <v>174</v>
      </c>
      <c r="C1171">
        <v>2000003</v>
      </c>
    </row>
    <row r="1172" spans="1:3" x14ac:dyDescent="0.2">
      <c r="A1172">
        <v>5125</v>
      </c>
      <c r="B1172" t="s">
        <v>174</v>
      </c>
      <c r="C1172">
        <v>2000003</v>
      </c>
    </row>
    <row r="1173" spans="1:3" x14ac:dyDescent="0.2">
      <c r="A1173">
        <v>5125</v>
      </c>
      <c r="B1173" s="9" t="s">
        <v>174</v>
      </c>
      <c r="C1173">
        <v>2000003</v>
      </c>
    </row>
    <row r="1174" spans="1:3" x14ac:dyDescent="0.2">
      <c r="A1174" s="3">
        <v>5127</v>
      </c>
      <c r="B1174" s="3" t="s">
        <v>175</v>
      </c>
      <c r="C1174">
        <v>2005370</v>
      </c>
    </row>
    <row r="1175" spans="1:3" x14ac:dyDescent="0.2">
      <c r="A1175" s="3">
        <v>5127</v>
      </c>
      <c r="B1175" s="3" t="s">
        <v>175</v>
      </c>
      <c r="C1175">
        <v>2005370</v>
      </c>
    </row>
    <row r="1176" spans="1:3" x14ac:dyDescent="0.2">
      <c r="A1176" s="3">
        <v>5127</v>
      </c>
      <c r="B1176" s="3" t="s">
        <v>175</v>
      </c>
      <c r="C1176">
        <v>2005370</v>
      </c>
    </row>
    <row r="1177" spans="1:3" x14ac:dyDescent="0.2">
      <c r="A1177">
        <v>5127</v>
      </c>
      <c r="B1177" t="s">
        <v>175</v>
      </c>
      <c r="C1177">
        <v>2005370</v>
      </c>
    </row>
    <row r="1178" spans="1:3" x14ac:dyDescent="0.2">
      <c r="A1178">
        <v>5127</v>
      </c>
      <c r="B1178" t="s">
        <v>175</v>
      </c>
      <c r="C1178">
        <v>2005370</v>
      </c>
    </row>
    <row r="1179" spans="1:3" x14ac:dyDescent="0.2">
      <c r="A1179">
        <v>5127</v>
      </c>
      <c r="B1179" t="s">
        <v>175</v>
      </c>
      <c r="C1179">
        <v>2005370</v>
      </c>
    </row>
    <row r="1180" spans="1:3" x14ac:dyDescent="0.2">
      <c r="A1180">
        <v>5127</v>
      </c>
      <c r="B1180" t="s">
        <v>175</v>
      </c>
      <c r="C1180">
        <v>2005370</v>
      </c>
    </row>
    <row r="1181" spans="1:3" x14ac:dyDescent="0.2">
      <c r="A1181">
        <v>5127</v>
      </c>
      <c r="B1181" t="s">
        <v>175</v>
      </c>
      <c r="C1181">
        <v>2005370</v>
      </c>
    </row>
    <row r="1182" spans="1:3" x14ac:dyDescent="0.2">
      <c r="A1182">
        <v>5127</v>
      </c>
      <c r="B1182" s="9" t="s">
        <v>175</v>
      </c>
      <c r="C1182">
        <v>2005370</v>
      </c>
    </row>
    <row r="1183" spans="1:3" x14ac:dyDescent="0.2">
      <c r="A1183" s="3">
        <v>5128</v>
      </c>
      <c r="B1183" s="3" t="s">
        <v>176</v>
      </c>
      <c r="C1183">
        <v>2004830</v>
      </c>
    </row>
    <row r="1184" spans="1:3" x14ac:dyDescent="0.2">
      <c r="A1184" s="3">
        <v>5128</v>
      </c>
      <c r="B1184" s="3" t="s">
        <v>176</v>
      </c>
      <c r="C1184">
        <v>2004830</v>
      </c>
    </row>
    <row r="1185" spans="1:3" x14ac:dyDescent="0.2">
      <c r="A1185" s="3">
        <v>5128</v>
      </c>
      <c r="B1185" s="3" t="s">
        <v>176</v>
      </c>
      <c r="C1185">
        <v>2004830</v>
      </c>
    </row>
    <row r="1186" spans="1:3" x14ac:dyDescent="0.2">
      <c r="A1186">
        <v>5128</v>
      </c>
      <c r="B1186" t="s">
        <v>176</v>
      </c>
      <c r="C1186">
        <v>2004830</v>
      </c>
    </row>
    <row r="1187" spans="1:3" x14ac:dyDescent="0.2">
      <c r="A1187">
        <v>5128</v>
      </c>
      <c r="B1187" t="s">
        <v>176</v>
      </c>
      <c r="C1187">
        <v>2004830</v>
      </c>
    </row>
    <row r="1188" spans="1:3" x14ac:dyDescent="0.2">
      <c r="A1188">
        <v>5128</v>
      </c>
      <c r="B1188" t="s">
        <v>176</v>
      </c>
      <c r="C1188">
        <v>2004830</v>
      </c>
    </row>
    <row r="1189" spans="1:3" x14ac:dyDescent="0.2">
      <c r="A1189">
        <v>5128</v>
      </c>
      <c r="B1189" t="s">
        <v>176</v>
      </c>
      <c r="C1189">
        <v>2004830</v>
      </c>
    </row>
    <row r="1190" spans="1:3" x14ac:dyDescent="0.2">
      <c r="A1190">
        <v>5128</v>
      </c>
      <c r="B1190" t="s">
        <v>176</v>
      </c>
      <c r="C1190">
        <v>2004830</v>
      </c>
    </row>
    <row r="1191" spans="1:3" x14ac:dyDescent="0.2">
      <c r="A1191">
        <v>5128</v>
      </c>
      <c r="B1191" s="9" t="s">
        <v>176</v>
      </c>
      <c r="C1191">
        <v>2004830</v>
      </c>
    </row>
    <row r="1192" spans="1:3" x14ac:dyDescent="0.2">
      <c r="A1192" s="3">
        <v>5129</v>
      </c>
      <c r="B1192" s="3" t="s">
        <v>177</v>
      </c>
      <c r="C1192">
        <v>2009320</v>
      </c>
    </row>
    <row r="1193" spans="1:3" x14ac:dyDescent="0.2">
      <c r="A1193" s="3">
        <v>5129</v>
      </c>
      <c r="B1193" s="3" t="s">
        <v>177</v>
      </c>
      <c r="C1193">
        <v>2009320</v>
      </c>
    </row>
    <row r="1194" spans="1:3" x14ac:dyDescent="0.2">
      <c r="A1194" s="3">
        <v>5129</v>
      </c>
      <c r="B1194" s="3" t="s">
        <v>177</v>
      </c>
      <c r="C1194">
        <v>2009320</v>
      </c>
    </row>
    <row r="1195" spans="1:3" x14ac:dyDescent="0.2">
      <c r="A1195">
        <v>5129</v>
      </c>
      <c r="B1195" t="s">
        <v>177</v>
      </c>
      <c r="C1195">
        <v>2009320</v>
      </c>
    </row>
    <row r="1196" spans="1:3" x14ac:dyDescent="0.2">
      <c r="A1196">
        <v>5129</v>
      </c>
      <c r="B1196" t="s">
        <v>177</v>
      </c>
      <c r="C1196">
        <v>2009320</v>
      </c>
    </row>
    <row r="1197" spans="1:3" x14ac:dyDescent="0.2">
      <c r="A1197">
        <v>5129</v>
      </c>
      <c r="B1197" t="s">
        <v>177</v>
      </c>
      <c r="C1197">
        <v>2009320</v>
      </c>
    </row>
    <row r="1198" spans="1:3" x14ac:dyDescent="0.2">
      <c r="A1198">
        <v>5129</v>
      </c>
      <c r="B1198" t="s">
        <v>177</v>
      </c>
      <c r="C1198">
        <v>2009320</v>
      </c>
    </row>
    <row r="1199" spans="1:3" x14ac:dyDescent="0.2">
      <c r="A1199">
        <v>5129</v>
      </c>
      <c r="B1199" t="s">
        <v>177</v>
      </c>
      <c r="C1199">
        <v>2009320</v>
      </c>
    </row>
    <row r="1200" spans="1:3" x14ac:dyDescent="0.2">
      <c r="A1200">
        <v>5129</v>
      </c>
      <c r="B1200" s="9" t="s">
        <v>177</v>
      </c>
      <c r="C1200">
        <v>2009320</v>
      </c>
    </row>
    <row r="1201" spans="1:3" x14ac:dyDescent="0.2">
      <c r="A1201" s="3">
        <v>5130</v>
      </c>
      <c r="B1201" s="3" t="s">
        <v>178</v>
      </c>
      <c r="C1201">
        <v>2010620</v>
      </c>
    </row>
    <row r="1202" spans="1:3" x14ac:dyDescent="0.2">
      <c r="A1202" s="3">
        <v>5130</v>
      </c>
      <c r="B1202" s="3" t="s">
        <v>178</v>
      </c>
      <c r="C1202">
        <v>2010620</v>
      </c>
    </row>
    <row r="1203" spans="1:3" x14ac:dyDescent="0.2">
      <c r="A1203" s="3">
        <v>5130</v>
      </c>
      <c r="B1203" s="3" t="s">
        <v>178</v>
      </c>
      <c r="C1203">
        <v>2010620</v>
      </c>
    </row>
    <row r="1204" spans="1:3" x14ac:dyDescent="0.2">
      <c r="A1204">
        <v>5130</v>
      </c>
      <c r="B1204" t="s">
        <v>178</v>
      </c>
      <c r="C1204">
        <v>2010620</v>
      </c>
    </row>
    <row r="1205" spans="1:3" x14ac:dyDescent="0.2">
      <c r="A1205">
        <v>5130</v>
      </c>
      <c r="B1205" t="s">
        <v>178</v>
      </c>
      <c r="C1205">
        <v>2010620</v>
      </c>
    </row>
    <row r="1206" spans="1:3" x14ac:dyDescent="0.2">
      <c r="A1206">
        <v>5130</v>
      </c>
      <c r="B1206" t="s">
        <v>178</v>
      </c>
      <c r="C1206">
        <v>2010620</v>
      </c>
    </row>
    <row r="1207" spans="1:3" x14ac:dyDescent="0.2">
      <c r="A1207">
        <v>5130</v>
      </c>
      <c r="B1207" t="s">
        <v>178</v>
      </c>
      <c r="C1207">
        <v>2010620</v>
      </c>
    </row>
    <row r="1208" spans="1:3" x14ac:dyDescent="0.2">
      <c r="A1208">
        <v>5130</v>
      </c>
      <c r="B1208" t="s">
        <v>178</v>
      </c>
      <c r="C1208">
        <v>2010620</v>
      </c>
    </row>
    <row r="1209" spans="1:3" x14ac:dyDescent="0.2">
      <c r="A1209">
        <v>5130</v>
      </c>
      <c r="B1209" s="9" t="s">
        <v>178</v>
      </c>
      <c r="C1209">
        <v>2010620</v>
      </c>
    </row>
    <row r="1210" spans="1:3" x14ac:dyDescent="0.2">
      <c r="A1210" s="3">
        <v>5131</v>
      </c>
      <c r="B1210" s="3" t="s">
        <v>179</v>
      </c>
      <c r="C1210">
        <v>2000016</v>
      </c>
    </row>
    <row r="1211" spans="1:3" x14ac:dyDescent="0.2">
      <c r="A1211" s="3">
        <v>5131</v>
      </c>
      <c r="B1211" s="3" t="s">
        <v>179</v>
      </c>
      <c r="C1211">
        <v>2000016</v>
      </c>
    </row>
    <row r="1212" spans="1:3" x14ac:dyDescent="0.2">
      <c r="A1212" s="3">
        <v>5131</v>
      </c>
      <c r="B1212" s="3" t="s">
        <v>179</v>
      </c>
      <c r="C1212">
        <v>2000016</v>
      </c>
    </row>
    <row r="1213" spans="1:3" x14ac:dyDescent="0.2">
      <c r="A1213">
        <v>5131</v>
      </c>
      <c r="B1213" t="s">
        <v>179</v>
      </c>
      <c r="C1213">
        <v>2000016</v>
      </c>
    </row>
    <row r="1214" spans="1:3" x14ac:dyDescent="0.2">
      <c r="A1214">
        <v>5131</v>
      </c>
      <c r="B1214" t="s">
        <v>179</v>
      </c>
      <c r="C1214">
        <v>2000016</v>
      </c>
    </row>
    <row r="1215" spans="1:3" x14ac:dyDescent="0.2">
      <c r="A1215">
        <v>5131</v>
      </c>
      <c r="B1215" t="s">
        <v>179</v>
      </c>
      <c r="C1215">
        <v>2000016</v>
      </c>
    </row>
    <row r="1216" spans="1:3" x14ac:dyDescent="0.2">
      <c r="A1216">
        <v>5131</v>
      </c>
      <c r="B1216" t="s">
        <v>179</v>
      </c>
      <c r="C1216">
        <v>2000016</v>
      </c>
    </row>
    <row r="1217" spans="1:3" x14ac:dyDescent="0.2">
      <c r="A1217">
        <v>5131</v>
      </c>
      <c r="B1217" t="s">
        <v>179</v>
      </c>
      <c r="C1217">
        <v>2000016</v>
      </c>
    </row>
    <row r="1218" spans="1:3" x14ac:dyDescent="0.2">
      <c r="A1218">
        <v>5131</v>
      </c>
      <c r="B1218" s="9" t="s">
        <v>179</v>
      </c>
      <c r="C1218">
        <v>2000016</v>
      </c>
    </row>
    <row r="1219" spans="1:3" x14ac:dyDescent="0.2">
      <c r="A1219" s="3">
        <v>5132</v>
      </c>
      <c r="B1219" s="3" t="s">
        <v>180</v>
      </c>
      <c r="C1219">
        <v>2010500</v>
      </c>
    </row>
    <row r="1220" spans="1:3" x14ac:dyDescent="0.2">
      <c r="A1220" s="3">
        <v>5132</v>
      </c>
      <c r="B1220" s="3" t="s">
        <v>180</v>
      </c>
      <c r="C1220">
        <v>2010500</v>
      </c>
    </row>
    <row r="1221" spans="1:3" x14ac:dyDescent="0.2">
      <c r="A1221" s="3">
        <v>5132</v>
      </c>
      <c r="B1221" s="3" t="s">
        <v>180</v>
      </c>
      <c r="C1221">
        <v>2010500</v>
      </c>
    </row>
    <row r="1222" spans="1:3" x14ac:dyDescent="0.2">
      <c r="A1222">
        <v>5132</v>
      </c>
      <c r="B1222" t="s">
        <v>180</v>
      </c>
      <c r="C1222">
        <v>2010500</v>
      </c>
    </row>
    <row r="1223" spans="1:3" x14ac:dyDescent="0.2">
      <c r="A1223">
        <v>5132</v>
      </c>
      <c r="B1223" t="s">
        <v>180</v>
      </c>
      <c r="C1223">
        <v>2010500</v>
      </c>
    </row>
    <row r="1224" spans="1:3" x14ac:dyDescent="0.2">
      <c r="A1224">
        <v>5132</v>
      </c>
      <c r="B1224" t="s">
        <v>180</v>
      </c>
      <c r="C1224">
        <v>2010500</v>
      </c>
    </row>
    <row r="1225" spans="1:3" x14ac:dyDescent="0.2">
      <c r="A1225">
        <v>5132</v>
      </c>
      <c r="B1225" t="s">
        <v>180</v>
      </c>
      <c r="C1225">
        <v>2010500</v>
      </c>
    </row>
    <row r="1226" spans="1:3" x14ac:dyDescent="0.2">
      <c r="A1226">
        <v>5132</v>
      </c>
      <c r="B1226" t="s">
        <v>180</v>
      </c>
      <c r="C1226">
        <v>2010500</v>
      </c>
    </row>
    <row r="1227" spans="1:3" x14ac:dyDescent="0.2">
      <c r="A1227">
        <v>5132</v>
      </c>
      <c r="B1227" s="9" t="s">
        <v>180</v>
      </c>
      <c r="C1227">
        <v>2010500</v>
      </c>
    </row>
    <row r="1228" spans="1:3" x14ac:dyDescent="0.2">
      <c r="A1228" s="3">
        <v>5133</v>
      </c>
      <c r="B1228" s="3" t="s">
        <v>361</v>
      </c>
      <c r="C1228">
        <v>2011820</v>
      </c>
    </row>
    <row r="1229" spans="1:3" x14ac:dyDescent="0.2">
      <c r="A1229" s="3">
        <v>5133</v>
      </c>
      <c r="B1229" s="3" t="s">
        <v>361</v>
      </c>
      <c r="C1229">
        <v>2011820</v>
      </c>
    </row>
    <row r="1230" spans="1:3" x14ac:dyDescent="0.2">
      <c r="A1230" s="3">
        <v>5133</v>
      </c>
      <c r="B1230" s="3" t="s">
        <v>361</v>
      </c>
      <c r="C1230">
        <v>2011820</v>
      </c>
    </row>
    <row r="1231" spans="1:3" x14ac:dyDescent="0.2">
      <c r="A1231">
        <v>5133</v>
      </c>
      <c r="B1231" t="s">
        <v>361</v>
      </c>
      <c r="C1231">
        <v>2011820</v>
      </c>
    </row>
    <row r="1232" spans="1:3" x14ac:dyDescent="0.2">
      <c r="A1232">
        <v>5133</v>
      </c>
      <c r="B1232" t="s">
        <v>361</v>
      </c>
      <c r="C1232">
        <v>2011820</v>
      </c>
    </row>
    <row r="1233" spans="1:3" x14ac:dyDescent="0.2">
      <c r="A1233">
        <v>5133</v>
      </c>
      <c r="B1233" t="s">
        <v>361</v>
      </c>
      <c r="C1233">
        <v>2011820</v>
      </c>
    </row>
    <row r="1234" spans="1:3" x14ac:dyDescent="0.2">
      <c r="A1234">
        <v>5133</v>
      </c>
      <c r="B1234" t="s">
        <v>181</v>
      </c>
      <c r="C1234">
        <v>2011820</v>
      </c>
    </row>
    <row r="1235" spans="1:3" x14ac:dyDescent="0.2">
      <c r="A1235">
        <v>5133</v>
      </c>
      <c r="B1235" t="s">
        <v>181</v>
      </c>
      <c r="C1235">
        <v>2011820</v>
      </c>
    </row>
    <row r="1236" spans="1:3" x14ac:dyDescent="0.2">
      <c r="A1236">
        <v>5133</v>
      </c>
      <c r="B1236" s="9" t="s">
        <v>181</v>
      </c>
      <c r="C1236">
        <v>2011820</v>
      </c>
    </row>
    <row r="1237" spans="1:3" x14ac:dyDescent="0.2">
      <c r="A1237" s="3">
        <v>5134</v>
      </c>
      <c r="B1237" s="3" t="s">
        <v>182</v>
      </c>
      <c r="C1237">
        <v>2011760</v>
      </c>
    </row>
    <row r="1238" spans="1:3" x14ac:dyDescent="0.2">
      <c r="A1238" s="3">
        <v>5134</v>
      </c>
      <c r="B1238" s="3" t="s">
        <v>182</v>
      </c>
      <c r="C1238">
        <v>2011760</v>
      </c>
    </row>
    <row r="1239" spans="1:3" x14ac:dyDescent="0.2">
      <c r="A1239" s="3">
        <v>5134</v>
      </c>
      <c r="B1239" s="3" t="s">
        <v>182</v>
      </c>
      <c r="C1239">
        <v>2011760</v>
      </c>
    </row>
    <row r="1240" spans="1:3" x14ac:dyDescent="0.2">
      <c r="A1240">
        <v>5134</v>
      </c>
      <c r="B1240" t="s">
        <v>182</v>
      </c>
      <c r="C1240">
        <v>2011760</v>
      </c>
    </row>
    <row r="1241" spans="1:3" x14ac:dyDescent="0.2">
      <c r="A1241">
        <v>5134</v>
      </c>
      <c r="B1241" t="s">
        <v>182</v>
      </c>
      <c r="C1241">
        <v>2011760</v>
      </c>
    </row>
    <row r="1242" spans="1:3" x14ac:dyDescent="0.2">
      <c r="A1242">
        <v>5134</v>
      </c>
      <c r="B1242" t="s">
        <v>182</v>
      </c>
      <c r="C1242">
        <v>2011760</v>
      </c>
    </row>
    <row r="1243" spans="1:3" x14ac:dyDescent="0.2">
      <c r="A1243">
        <v>5134</v>
      </c>
      <c r="B1243" t="s">
        <v>182</v>
      </c>
      <c r="C1243">
        <v>2011760</v>
      </c>
    </row>
    <row r="1244" spans="1:3" x14ac:dyDescent="0.2">
      <c r="A1244">
        <v>5134</v>
      </c>
      <c r="B1244" t="s">
        <v>182</v>
      </c>
      <c r="C1244">
        <v>2011760</v>
      </c>
    </row>
    <row r="1245" spans="1:3" x14ac:dyDescent="0.2">
      <c r="A1245">
        <v>5134</v>
      </c>
      <c r="B1245" s="9" t="s">
        <v>182</v>
      </c>
      <c r="C1245">
        <v>2011760</v>
      </c>
    </row>
    <row r="1246" spans="1:3" x14ac:dyDescent="0.2">
      <c r="A1246" s="3">
        <v>5135</v>
      </c>
      <c r="B1246" s="3" t="s">
        <v>183</v>
      </c>
      <c r="C1246">
        <v>2003630</v>
      </c>
    </row>
    <row r="1247" spans="1:3" x14ac:dyDescent="0.2">
      <c r="A1247" s="3">
        <v>5135</v>
      </c>
      <c r="B1247" s="3" t="s">
        <v>183</v>
      </c>
      <c r="C1247">
        <v>2003630</v>
      </c>
    </row>
    <row r="1248" spans="1:3" x14ac:dyDescent="0.2">
      <c r="A1248" s="3">
        <v>5135</v>
      </c>
      <c r="B1248" s="3" t="s">
        <v>183</v>
      </c>
      <c r="C1248">
        <v>2003630</v>
      </c>
    </row>
    <row r="1249" spans="1:3" x14ac:dyDescent="0.2">
      <c r="A1249">
        <v>5135</v>
      </c>
      <c r="B1249" t="s">
        <v>183</v>
      </c>
      <c r="C1249">
        <v>2003630</v>
      </c>
    </row>
    <row r="1250" spans="1:3" x14ac:dyDescent="0.2">
      <c r="A1250">
        <v>5135</v>
      </c>
      <c r="B1250" t="s">
        <v>183</v>
      </c>
      <c r="C1250">
        <v>2003630</v>
      </c>
    </row>
    <row r="1251" spans="1:3" x14ac:dyDescent="0.2">
      <c r="A1251">
        <v>5135</v>
      </c>
      <c r="B1251" t="s">
        <v>183</v>
      </c>
      <c r="C1251">
        <v>2003630</v>
      </c>
    </row>
    <row r="1252" spans="1:3" x14ac:dyDescent="0.2">
      <c r="A1252">
        <v>5135</v>
      </c>
      <c r="B1252" t="s">
        <v>183</v>
      </c>
      <c r="C1252">
        <v>2003630</v>
      </c>
    </row>
    <row r="1253" spans="1:3" x14ac:dyDescent="0.2">
      <c r="A1253">
        <v>5135</v>
      </c>
      <c r="B1253" t="s">
        <v>183</v>
      </c>
      <c r="C1253">
        <v>2003630</v>
      </c>
    </row>
    <row r="1254" spans="1:3" x14ac:dyDescent="0.2">
      <c r="A1254">
        <v>5135</v>
      </c>
      <c r="B1254" s="9" t="s">
        <v>183</v>
      </c>
      <c r="C1254">
        <v>2003630</v>
      </c>
    </row>
    <row r="1255" spans="1:3" x14ac:dyDescent="0.2">
      <c r="A1255" s="3">
        <v>5137</v>
      </c>
      <c r="B1255" s="3" t="s">
        <v>184</v>
      </c>
      <c r="C1255">
        <v>2012600</v>
      </c>
    </row>
    <row r="1256" spans="1:3" x14ac:dyDescent="0.2">
      <c r="A1256" s="3">
        <v>5137</v>
      </c>
      <c r="B1256" s="3" t="s">
        <v>184</v>
      </c>
      <c r="C1256">
        <v>2012600</v>
      </c>
    </row>
    <row r="1257" spans="1:3" x14ac:dyDescent="0.2">
      <c r="A1257" s="3">
        <v>5137</v>
      </c>
      <c r="B1257" s="3" t="s">
        <v>184</v>
      </c>
      <c r="C1257">
        <v>2012600</v>
      </c>
    </row>
    <row r="1258" spans="1:3" x14ac:dyDescent="0.2">
      <c r="A1258">
        <v>5137</v>
      </c>
      <c r="B1258" t="s">
        <v>184</v>
      </c>
      <c r="C1258">
        <v>2012600</v>
      </c>
    </row>
    <row r="1259" spans="1:3" x14ac:dyDescent="0.2">
      <c r="A1259">
        <v>5137</v>
      </c>
      <c r="B1259" t="s">
        <v>184</v>
      </c>
      <c r="C1259">
        <v>2012600</v>
      </c>
    </row>
    <row r="1260" spans="1:3" x14ac:dyDescent="0.2">
      <c r="A1260">
        <v>5137</v>
      </c>
      <c r="B1260" t="s">
        <v>184</v>
      </c>
      <c r="C1260">
        <v>2012600</v>
      </c>
    </row>
    <row r="1261" spans="1:3" x14ac:dyDescent="0.2">
      <c r="A1261">
        <v>5137</v>
      </c>
      <c r="B1261" t="s">
        <v>184</v>
      </c>
      <c r="C1261">
        <v>2012600</v>
      </c>
    </row>
    <row r="1262" spans="1:3" x14ac:dyDescent="0.2">
      <c r="A1262">
        <v>5137</v>
      </c>
      <c r="B1262" t="s">
        <v>184</v>
      </c>
      <c r="C1262">
        <v>2012600</v>
      </c>
    </row>
    <row r="1263" spans="1:3" x14ac:dyDescent="0.2">
      <c r="A1263">
        <v>5137</v>
      </c>
      <c r="B1263" s="9" t="s">
        <v>184</v>
      </c>
      <c r="C1263">
        <v>2012600</v>
      </c>
    </row>
    <row r="1264" spans="1:3" x14ac:dyDescent="0.2">
      <c r="A1264" s="3">
        <v>5138</v>
      </c>
      <c r="B1264" s="3" t="s">
        <v>185</v>
      </c>
      <c r="C1264">
        <v>2004260</v>
      </c>
    </row>
    <row r="1265" spans="1:3" x14ac:dyDescent="0.2">
      <c r="A1265" s="3">
        <v>5138</v>
      </c>
      <c r="B1265" s="3" t="s">
        <v>185</v>
      </c>
      <c r="C1265">
        <v>2004260</v>
      </c>
    </row>
    <row r="1266" spans="1:3" x14ac:dyDescent="0.2">
      <c r="A1266" s="3">
        <v>5138</v>
      </c>
      <c r="B1266" s="3" t="s">
        <v>185</v>
      </c>
      <c r="C1266">
        <v>2004260</v>
      </c>
    </row>
    <row r="1267" spans="1:3" x14ac:dyDescent="0.2">
      <c r="A1267">
        <v>5138</v>
      </c>
      <c r="B1267" t="s">
        <v>185</v>
      </c>
      <c r="C1267">
        <v>2004260</v>
      </c>
    </row>
    <row r="1268" spans="1:3" x14ac:dyDescent="0.2">
      <c r="A1268">
        <v>5138</v>
      </c>
      <c r="B1268" t="s">
        <v>185</v>
      </c>
      <c r="C1268">
        <v>2004260</v>
      </c>
    </row>
    <row r="1269" spans="1:3" x14ac:dyDescent="0.2">
      <c r="A1269">
        <v>5138</v>
      </c>
      <c r="B1269" t="s">
        <v>185</v>
      </c>
      <c r="C1269">
        <v>2004260</v>
      </c>
    </row>
    <row r="1270" spans="1:3" x14ac:dyDescent="0.2">
      <c r="A1270">
        <v>5138</v>
      </c>
      <c r="B1270" t="s">
        <v>185</v>
      </c>
      <c r="C1270">
        <v>2004260</v>
      </c>
    </row>
    <row r="1271" spans="1:3" x14ac:dyDescent="0.2">
      <c r="A1271">
        <v>5138</v>
      </c>
      <c r="B1271" t="s">
        <v>185</v>
      </c>
      <c r="C1271">
        <v>2004260</v>
      </c>
    </row>
    <row r="1272" spans="1:3" x14ac:dyDescent="0.2">
      <c r="A1272">
        <v>5138</v>
      </c>
      <c r="B1272" s="9" t="s">
        <v>185</v>
      </c>
      <c r="C1272">
        <v>2004260</v>
      </c>
    </row>
    <row r="1273" spans="1:3" x14ac:dyDescent="0.2">
      <c r="A1273" s="3">
        <v>5140</v>
      </c>
      <c r="B1273" s="3" t="s">
        <v>186</v>
      </c>
      <c r="C1273">
        <v>2012390</v>
      </c>
    </row>
    <row r="1274" spans="1:3" x14ac:dyDescent="0.2">
      <c r="A1274" s="3">
        <v>5140</v>
      </c>
      <c r="B1274" s="3" t="s">
        <v>186</v>
      </c>
      <c r="C1274">
        <v>2012390</v>
      </c>
    </row>
    <row r="1275" spans="1:3" x14ac:dyDescent="0.2">
      <c r="A1275" s="3">
        <v>5140</v>
      </c>
      <c r="B1275" s="3" t="s">
        <v>186</v>
      </c>
      <c r="C1275">
        <v>2012390</v>
      </c>
    </row>
    <row r="1276" spans="1:3" x14ac:dyDescent="0.2">
      <c r="A1276">
        <v>5140</v>
      </c>
      <c r="B1276" t="s">
        <v>186</v>
      </c>
      <c r="C1276">
        <v>2012390</v>
      </c>
    </row>
    <row r="1277" spans="1:3" x14ac:dyDescent="0.2">
      <c r="A1277">
        <v>5140</v>
      </c>
      <c r="B1277" t="s">
        <v>186</v>
      </c>
      <c r="C1277">
        <v>2012390</v>
      </c>
    </row>
    <row r="1278" spans="1:3" x14ac:dyDescent="0.2">
      <c r="A1278">
        <v>5140</v>
      </c>
      <c r="B1278" t="s">
        <v>186</v>
      </c>
      <c r="C1278">
        <v>2012390</v>
      </c>
    </row>
    <row r="1279" spans="1:3" x14ac:dyDescent="0.2">
      <c r="A1279">
        <v>5140</v>
      </c>
      <c r="B1279" t="s">
        <v>186</v>
      </c>
      <c r="C1279">
        <v>2012390</v>
      </c>
    </row>
    <row r="1280" spans="1:3" x14ac:dyDescent="0.2">
      <c r="A1280">
        <v>5140</v>
      </c>
      <c r="B1280" t="s">
        <v>186</v>
      </c>
      <c r="C1280">
        <v>2012390</v>
      </c>
    </row>
    <row r="1281" spans="1:3" x14ac:dyDescent="0.2">
      <c r="A1281">
        <v>5140</v>
      </c>
      <c r="B1281" s="9" t="s">
        <v>186</v>
      </c>
      <c r="C1281">
        <v>2012390</v>
      </c>
    </row>
    <row r="1282" spans="1:3" x14ac:dyDescent="0.2">
      <c r="A1282" s="3">
        <v>5141</v>
      </c>
      <c r="B1282" s="3" t="s">
        <v>187</v>
      </c>
    </row>
    <row r="1283" spans="1:3" x14ac:dyDescent="0.2">
      <c r="A1283" s="3">
        <v>5141</v>
      </c>
      <c r="B1283" s="3" t="s">
        <v>187</v>
      </c>
    </row>
    <row r="1284" spans="1:3" x14ac:dyDescent="0.2">
      <c r="A1284" s="3">
        <v>5141</v>
      </c>
      <c r="B1284" s="3" t="s">
        <v>187</v>
      </c>
    </row>
    <row r="1285" spans="1:3" x14ac:dyDescent="0.2">
      <c r="A1285">
        <v>5141</v>
      </c>
      <c r="B1285" t="s">
        <v>187</v>
      </c>
    </row>
    <row r="1286" spans="1:3" x14ac:dyDescent="0.2">
      <c r="A1286">
        <v>5141</v>
      </c>
      <c r="B1286" t="s">
        <v>187</v>
      </c>
    </row>
    <row r="1287" spans="1:3" x14ac:dyDescent="0.2">
      <c r="A1287">
        <v>5141</v>
      </c>
      <c r="B1287" t="s">
        <v>187</v>
      </c>
    </row>
    <row r="1288" spans="1:3" x14ac:dyDescent="0.2">
      <c r="A1288">
        <v>5141</v>
      </c>
      <c r="B1288" t="s">
        <v>187</v>
      </c>
    </row>
    <row r="1289" spans="1:3" x14ac:dyDescent="0.2">
      <c r="A1289">
        <v>5141</v>
      </c>
      <c r="B1289" t="s">
        <v>187</v>
      </c>
    </row>
    <row r="1290" spans="1:3" x14ac:dyDescent="0.2">
      <c r="A1290">
        <v>5141</v>
      </c>
      <c r="B1290" s="9" t="s">
        <v>187</v>
      </c>
    </row>
    <row r="1291" spans="1:3" x14ac:dyDescent="0.2">
      <c r="A1291" s="3">
        <v>5142</v>
      </c>
      <c r="B1291" s="3" t="s">
        <v>188</v>
      </c>
      <c r="C1291">
        <v>2006990</v>
      </c>
    </row>
    <row r="1292" spans="1:3" x14ac:dyDescent="0.2">
      <c r="A1292" s="3">
        <v>5142</v>
      </c>
      <c r="B1292" s="3" t="s">
        <v>188</v>
      </c>
      <c r="C1292">
        <v>2006990</v>
      </c>
    </row>
    <row r="1293" spans="1:3" x14ac:dyDescent="0.2">
      <c r="A1293" s="3">
        <v>5142</v>
      </c>
      <c r="B1293" s="3" t="s">
        <v>188</v>
      </c>
      <c r="C1293">
        <v>2006990</v>
      </c>
    </row>
    <row r="1294" spans="1:3" x14ac:dyDescent="0.2">
      <c r="A1294">
        <v>5142</v>
      </c>
      <c r="B1294" t="s">
        <v>188</v>
      </c>
      <c r="C1294">
        <v>2006990</v>
      </c>
    </row>
    <row r="1295" spans="1:3" x14ac:dyDescent="0.2">
      <c r="A1295">
        <v>5142</v>
      </c>
      <c r="B1295" t="s">
        <v>188</v>
      </c>
      <c r="C1295">
        <v>2006990</v>
      </c>
    </row>
    <row r="1296" spans="1:3" x14ac:dyDescent="0.2">
      <c r="A1296">
        <v>5142</v>
      </c>
      <c r="B1296" t="s">
        <v>188</v>
      </c>
      <c r="C1296">
        <v>2006990</v>
      </c>
    </row>
    <row r="1297" spans="1:3" x14ac:dyDescent="0.2">
      <c r="A1297">
        <v>5142</v>
      </c>
      <c r="B1297" t="s">
        <v>188</v>
      </c>
      <c r="C1297">
        <v>2006990</v>
      </c>
    </row>
    <row r="1298" spans="1:3" x14ac:dyDescent="0.2">
      <c r="A1298">
        <v>5142</v>
      </c>
      <c r="B1298" t="s">
        <v>188</v>
      </c>
      <c r="C1298">
        <v>2006990</v>
      </c>
    </row>
    <row r="1299" spans="1:3" x14ac:dyDescent="0.2">
      <c r="A1299">
        <v>5142</v>
      </c>
      <c r="B1299" s="9" t="s">
        <v>188</v>
      </c>
      <c r="C1299">
        <v>2006990</v>
      </c>
    </row>
    <row r="1300" spans="1:3" x14ac:dyDescent="0.2">
      <c r="A1300" s="3">
        <v>5143</v>
      </c>
      <c r="B1300" s="3" t="s">
        <v>189</v>
      </c>
      <c r="C1300">
        <v>2010020</v>
      </c>
    </row>
    <row r="1301" spans="1:3" x14ac:dyDescent="0.2">
      <c r="A1301" s="3">
        <v>5143</v>
      </c>
      <c r="B1301" s="3" t="s">
        <v>189</v>
      </c>
      <c r="C1301">
        <v>2010020</v>
      </c>
    </row>
    <row r="1302" spans="1:3" x14ac:dyDescent="0.2">
      <c r="A1302" s="3">
        <v>5143</v>
      </c>
      <c r="B1302" s="3" t="s">
        <v>189</v>
      </c>
      <c r="C1302">
        <v>2010020</v>
      </c>
    </row>
    <row r="1303" spans="1:3" x14ac:dyDescent="0.2">
      <c r="A1303">
        <v>5143</v>
      </c>
      <c r="B1303" t="s">
        <v>189</v>
      </c>
      <c r="C1303">
        <v>2010020</v>
      </c>
    </row>
    <row r="1304" spans="1:3" x14ac:dyDescent="0.2">
      <c r="A1304">
        <v>5143</v>
      </c>
      <c r="B1304" t="s">
        <v>189</v>
      </c>
      <c r="C1304">
        <v>2010020</v>
      </c>
    </row>
    <row r="1305" spans="1:3" x14ac:dyDescent="0.2">
      <c r="A1305">
        <v>5143</v>
      </c>
      <c r="B1305" t="s">
        <v>189</v>
      </c>
      <c r="C1305">
        <v>2010020</v>
      </c>
    </row>
    <row r="1306" spans="1:3" x14ac:dyDescent="0.2">
      <c r="A1306">
        <v>5143</v>
      </c>
      <c r="B1306" t="s">
        <v>189</v>
      </c>
      <c r="C1306">
        <v>2010020</v>
      </c>
    </row>
    <row r="1307" spans="1:3" x14ac:dyDescent="0.2">
      <c r="A1307">
        <v>5143</v>
      </c>
      <c r="B1307" t="s">
        <v>189</v>
      </c>
      <c r="C1307">
        <v>2010020</v>
      </c>
    </row>
    <row r="1308" spans="1:3" x14ac:dyDescent="0.2">
      <c r="A1308">
        <v>5143</v>
      </c>
      <c r="B1308" s="9" t="s">
        <v>189</v>
      </c>
      <c r="C1308">
        <v>2010020</v>
      </c>
    </row>
    <row r="1309" spans="1:3" x14ac:dyDescent="0.2">
      <c r="A1309" s="3">
        <v>5144</v>
      </c>
      <c r="B1309" s="3" t="s">
        <v>190</v>
      </c>
      <c r="C1309">
        <v>2005400</v>
      </c>
    </row>
    <row r="1310" spans="1:3" x14ac:dyDescent="0.2">
      <c r="A1310" s="3">
        <v>5144</v>
      </c>
      <c r="B1310" s="3" t="s">
        <v>190</v>
      </c>
      <c r="C1310">
        <v>2005400</v>
      </c>
    </row>
    <row r="1311" spans="1:3" x14ac:dyDescent="0.2">
      <c r="A1311" s="3">
        <v>5144</v>
      </c>
      <c r="B1311" s="3" t="s">
        <v>190</v>
      </c>
      <c r="C1311">
        <v>2005400</v>
      </c>
    </row>
    <row r="1312" spans="1:3" x14ac:dyDescent="0.2">
      <c r="A1312">
        <v>5144</v>
      </c>
      <c r="B1312" t="s">
        <v>190</v>
      </c>
      <c r="C1312">
        <v>2005400</v>
      </c>
    </row>
    <row r="1313" spans="1:3" x14ac:dyDescent="0.2">
      <c r="A1313">
        <v>5144</v>
      </c>
      <c r="B1313" t="s">
        <v>190</v>
      </c>
      <c r="C1313">
        <v>2005400</v>
      </c>
    </row>
    <row r="1314" spans="1:3" x14ac:dyDescent="0.2">
      <c r="A1314">
        <v>5144</v>
      </c>
      <c r="B1314" t="s">
        <v>190</v>
      </c>
      <c r="C1314">
        <v>2005400</v>
      </c>
    </row>
    <row r="1315" spans="1:3" x14ac:dyDescent="0.2">
      <c r="A1315">
        <v>5144</v>
      </c>
      <c r="B1315" t="s">
        <v>190</v>
      </c>
      <c r="C1315">
        <v>2005400</v>
      </c>
    </row>
    <row r="1316" spans="1:3" x14ac:dyDescent="0.2">
      <c r="A1316">
        <v>5144</v>
      </c>
      <c r="B1316" t="s">
        <v>190</v>
      </c>
      <c r="C1316">
        <v>2005400</v>
      </c>
    </row>
    <row r="1317" spans="1:3" x14ac:dyDescent="0.2">
      <c r="A1317">
        <v>5144</v>
      </c>
      <c r="B1317" s="9" t="s">
        <v>190</v>
      </c>
      <c r="C1317">
        <v>2005400</v>
      </c>
    </row>
    <row r="1318" spans="1:3" x14ac:dyDescent="0.2">
      <c r="A1318" s="3">
        <v>5145</v>
      </c>
      <c r="B1318" s="3" t="s">
        <v>191</v>
      </c>
    </row>
    <row r="1319" spans="1:3" x14ac:dyDescent="0.2">
      <c r="A1319" s="3">
        <v>5145</v>
      </c>
      <c r="B1319" s="3" t="s">
        <v>191</v>
      </c>
    </row>
    <row r="1320" spans="1:3" x14ac:dyDescent="0.2">
      <c r="A1320" s="3">
        <v>5145</v>
      </c>
      <c r="B1320" s="3" t="s">
        <v>191</v>
      </c>
    </row>
    <row r="1321" spans="1:3" x14ac:dyDescent="0.2">
      <c r="A1321">
        <v>5145</v>
      </c>
      <c r="B1321" t="s">
        <v>191</v>
      </c>
    </row>
    <row r="1322" spans="1:3" x14ac:dyDescent="0.2">
      <c r="A1322">
        <v>5145</v>
      </c>
      <c r="B1322" t="s">
        <v>191</v>
      </c>
    </row>
    <row r="1323" spans="1:3" x14ac:dyDescent="0.2">
      <c r="A1323">
        <v>5145</v>
      </c>
      <c r="B1323" t="s">
        <v>191</v>
      </c>
    </row>
    <row r="1324" spans="1:3" x14ac:dyDescent="0.2">
      <c r="A1324">
        <v>5145</v>
      </c>
      <c r="B1324" t="s">
        <v>191</v>
      </c>
    </row>
    <row r="1325" spans="1:3" x14ac:dyDescent="0.2">
      <c r="A1325">
        <v>5145</v>
      </c>
      <c r="B1325" t="s">
        <v>191</v>
      </c>
    </row>
    <row r="1326" spans="1:3" x14ac:dyDescent="0.2">
      <c r="A1326">
        <v>5145</v>
      </c>
      <c r="B1326" s="9" t="s">
        <v>191</v>
      </c>
    </row>
    <row r="1327" spans="1:3" x14ac:dyDescent="0.2">
      <c r="A1327" s="3">
        <v>5147</v>
      </c>
      <c r="B1327" s="3" t="s">
        <v>192</v>
      </c>
      <c r="C1327">
        <v>2005490</v>
      </c>
    </row>
    <row r="1328" spans="1:3" x14ac:dyDescent="0.2">
      <c r="A1328" s="3">
        <v>5147</v>
      </c>
      <c r="B1328" s="3" t="s">
        <v>192</v>
      </c>
      <c r="C1328">
        <v>2005490</v>
      </c>
    </row>
    <row r="1329" spans="1:3" x14ac:dyDescent="0.2">
      <c r="A1329" s="3">
        <v>5147</v>
      </c>
      <c r="B1329" s="3" t="s">
        <v>192</v>
      </c>
      <c r="C1329">
        <v>2005490</v>
      </c>
    </row>
    <row r="1330" spans="1:3" x14ac:dyDescent="0.2">
      <c r="A1330">
        <v>5147</v>
      </c>
      <c r="B1330" t="s">
        <v>192</v>
      </c>
      <c r="C1330">
        <v>2005490</v>
      </c>
    </row>
    <row r="1331" spans="1:3" x14ac:dyDescent="0.2">
      <c r="A1331">
        <v>5147</v>
      </c>
      <c r="B1331" t="s">
        <v>192</v>
      </c>
      <c r="C1331">
        <v>2005490</v>
      </c>
    </row>
    <row r="1332" spans="1:3" x14ac:dyDescent="0.2">
      <c r="A1332">
        <v>5147</v>
      </c>
      <c r="B1332" t="s">
        <v>192</v>
      </c>
      <c r="C1332">
        <v>2005490</v>
      </c>
    </row>
    <row r="1333" spans="1:3" x14ac:dyDescent="0.2">
      <c r="A1333">
        <v>5147</v>
      </c>
      <c r="B1333" t="s">
        <v>192</v>
      </c>
      <c r="C1333">
        <v>2005490</v>
      </c>
    </row>
    <row r="1334" spans="1:3" x14ac:dyDescent="0.2">
      <c r="A1334">
        <v>5147</v>
      </c>
      <c r="B1334" t="s">
        <v>192</v>
      </c>
      <c r="C1334">
        <v>2005490</v>
      </c>
    </row>
    <row r="1335" spans="1:3" x14ac:dyDescent="0.2">
      <c r="A1335">
        <v>5147</v>
      </c>
      <c r="B1335" s="9" t="s">
        <v>192</v>
      </c>
      <c r="C1335">
        <v>2005490</v>
      </c>
    </row>
    <row r="1336" spans="1:3" x14ac:dyDescent="0.2">
      <c r="A1336" s="3">
        <v>5148</v>
      </c>
      <c r="B1336" s="3" t="s">
        <v>193</v>
      </c>
      <c r="C1336">
        <v>2009570</v>
      </c>
    </row>
    <row r="1337" spans="1:3" x14ac:dyDescent="0.2">
      <c r="A1337" s="3">
        <v>5148</v>
      </c>
      <c r="B1337" s="3" t="s">
        <v>193</v>
      </c>
      <c r="C1337">
        <v>2009570</v>
      </c>
    </row>
    <row r="1338" spans="1:3" x14ac:dyDescent="0.2">
      <c r="A1338" s="3">
        <v>5148</v>
      </c>
      <c r="B1338" s="3" t="s">
        <v>193</v>
      </c>
      <c r="C1338">
        <v>2009570</v>
      </c>
    </row>
    <row r="1339" spans="1:3" x14ac:dyDescent="0.2">
      <c r="A1339">
        <v>5148</v>
      </c>
      <c r="B1339" t="s">
        <v>193</v>
      </c>
      <c r="C1339">
        <v>2009570</v>
      </c>
    </row>
    <row r="1340" spans="1:3" x14ac:dyDescent="0.2">
      <c r="A1340">
        <v>5148</v>
      </c>
      <c r="B1340" t="s">
        <v>193</v>
      </c>
      <c r="C1340">
        <v>2009570</v>
      </c>
    </row>
    <row r="1341" spans="1:3" x14ac:dyDescent="0.2">
      <c r="A1341">
        <v>5148</v>
      </c>
      <c r="B1341" t="s">
        <v>193</v>
      </c>
      <c r="C1341">
        <v>2009570</v>
      </c>
    </row>
    <row r="1342" spans="1:3" x14ac:dyDescent="0.2">
      <c r="A1342">
        <v>5148</v>
      </c>
      <c r="B1342" t="s">
        <v>193</v>
      </c>
      <c r="C1342">
        <v>2009570</v>
      </c>
    </row>
    <row r="1343" spans="1:3" x14ac:dyDescent="0.2">
      <c r="A1343">
        <v>5148</v>
      </c>
      <c r="B1343" t="s">
        <v>193</v>
      </c>
      <c r="C1343">
        <v>2009570</v>
      </c>
    </row>
    <row r="1344" spans="1:3" x14ac:dyDescent="0.2">
      <c r="A1344">
        <v>5148</v>
      </c>
      <c r="B1344" s="9" t="s">
        <v>193</v>
      </c>
      <c r="C1344">
        <v>2009570</v>
      </c>
    </row>
    <row r="1345" spans="1:3" x14ac:dyDescent="0.2">
      <c r="A1345" s="3">
        <v>5149</v>
      </c>
      <c r="B1345" s="3" t="s">
        <v>194</v>
      </c>
      <c r="C1345">
        <v>2004290</v>
      </c>
    </row>
    <row r="1346" spans="1:3" x14ac:dyDescent="0.2">
      <c r="A1346" s="3">
        <v>5149</v>
      </c>
      <c r="B1346" s="3" t="s">
        <v>194</v>
      </c>
      <c r="C1346">
        <v>2004290</v>
      </c>
    </row>
    <row r="1347" spans="1:3" x14ac:dyDescent="0.2">
      <c r="A1347" s="3">
        <v>5149</v>
      </c>
      <c r="B1347" s="3" t="s">
        <v>194</v>
      </c>
      <c r="C1347">
        <v>2004290</v>
      </c>
    </row>
    <row r="1348" spans="1:3" x14ac:dyDescent="0.2">
      <c r="A1348">
        <v>5149</v>
      </c>
      <c r="B1348" t="s">
        <v>194</v>
      </c>
      <c r="C1348">
        <v>2004290</v>
      </c>
    </row>
    <row r="1349" spans="1:3" x14ac:dyDescent="0.2">
      <c r="A1349">
        <v>5149</v>
      </c>
      <c r="B1349" t="s">
        <v>194</v>
      </c>
      <c r="C1349">
        <v>2004290</v>
      </c>
    </row>
    <row r="1350" spans="1:3" x14ac:dyDescent="0.2">
      <c r="A1350">
        <v>5149</v>
      </c>
      <c r="B1350" t="s">
        <v>194</v>
      </c>
      <c r="C1350">
        <v>2004290</v>
      </c>
    </row>
    <row r="1351" spans="1:3" x14ac:dyDescent="0.2">
      <c r="A1351">
        <v>5149</v>
      </c>
      <c r="B1351" t="s">
        <v>194</v>
      </c>
      <c r="C1351">
        <v>2004290</v>
      </c>
    </row>
    <row r="1352" spans="1:3" x14ac:dyDescent="0.2">
      <c r="A1352">
        <v>5149</v>
      </c>
      <c r="B1352" t="s">
        <v>194</v>
      </c>
      <c r="C1352">
        <v>2004290</v>
      </c>
    </row>
    <row r="1353" spans="1:3" x14ac:dyDescent="0.2">
      <c r="A1353">
        <v>5149</v>
      </c>
      <c r="B1353" s="9" t="s">
        <v>194</v>
      </c>
      <c r="C1353">
        <v>2004290</v>
      </c>
    </row>
    <row r="1354" spans="1:3" x14ac:dyDescent="0.2">
      <c r="A1354" s="3">
        <v>5150</v>
      </c>
      <c r="B1354" s="3" t="s">
        <v>247</v>
      </c>
      <c r="C1354">
        <v>2007740</v>
      </c>
    </row>
    <row r="1355" spans="1:3" x14ac:dyDescent="0.2">
      <c r="A1355" s="3">
        <v>5150</v>
      </c>
      <c r="B1355" s="3" t="s">
        <v>247</v>
      </c>
      <c r="C1355">
        <v>2007740</v>
      </c>
    </row>
    <row r="1356" spans="1:3" x14ac:dyDescent="0.2">
      <c r="A1356" s="3">
        <v>5150</v>
      </c>
      <c r="B1356" s="3" t="s">
        <v>247</v>
      </c>
      <c r="C1356">
        <v>2007740</v>
      </c>
    </row>
    <row r="1357" spans="1:3" x14ac:dyDescent="0.2">
      <c r="A1357">
        <v>5150</v>
      </c>
      <c r="B1357" t="s">
        <v>247</v>
      </c>
      <c r="C1357">
        <v>2007740</v>
      </c>
    </row>
    <row r="1358" spans="1:3" x14ac:dyDescent="0.2">
      <c r="A1358">
        <v>5150</v>
      </c>
      <c r="B1358" t="s">
        <v>247</v>
      </c>
      <c r="C1358">
        <v>2007740</v>
      </c>
    </row>
    <row r="1359" spans="1:3" x14ac:dyDescent="0.2">
      <c r="A1359">
        <v>5150</v>
      </c>
      <c r="B1359" t="s">
        <v>247</v>
      </c>
      <c r="C1359">
        <v>2007740</v>
      </c>
    </row>
    <row r="1360" spans="1:3" x14ac:dyDescent="0.2">
      <c r="A1360">
        <v>5150</v>
      </c>
      <c r="B1360" t="s">
        <v>247</v>
      </c>
      <c r="C1360">
        <v>2007740</v>
      </c>
    </row>
    <row r="1361" spans="1:3" x14ac:dyDescent="0.2">
      <c r="A1361">
        <v>5150</v>
      </c>
      <c r="B1361" t="s">
        <v>247</v>
      </c>
      <c r="C1361">
        <v>2007740</v>
      </c>
    </row>
    <row r="1362" spans="1:3" x14ac:dyDescent="0.2">
      <c r="A1362">
        <v>5150</v>
      </c>
      <c r="B1362" s="3" t="s">
        <v>247</v>
      </c>
      <c r="C1362">
        <v>2007740</v>
      </c>
    </row>
    <row r="1363" spans="1:3" x14ac:dyDescent="0.2">
      <c r="A1363" s="3">
        <v>5151</v>
      </c>
      <c r="B1363" s="3" t="s">
        <v>196</v>
      </c>
      <c r="C1363">
        <v>2010050</v>
      </c>
    </row>
    <row r="1364" spans="1:3" x14ac:dyDescent="0.2">
      <c r="A1364" s="3">
        <v>5151</v>
      </c>
      <c r="B1364" s="3" t="s">
        <v>196</v>
      </c>
      <c r="C1364">
        <v>2010050</v>
      </c>
    </row>
    <row r="1365" spans="1:3" x14ac:dyDescent="0.2">
      <c r="A1365" s="3">
        <v>5151</v>
      </c>
      <c r="B1365" s="3" t="s">
        <v>196</v>
      </c>
      <c r="C1365">
        <v>2010050</v>
      </c>
    </row>
    <row r="1366" spans="1:3" x14ac:dyDescent="0.2">
      <c r="A1366">
        <v>5151</v>
      </c>
      <c r="B1366" t="s">
        <v>196</v>
      </c>
      <c r="C1366">
        <v>2010050</v>
      </c>
    </row>
    <row r="1367" spans="1:3" x14ac:dyDescent="0.2">
      <c r="A1367">
        <v>5151</v>
      </c>
      <c r="B1367" t="s">
        <v>196</v>
      </c>
      <c r="C1367">
        <v>2010050</v>
      </c>
    </row>
    <row r="1368" spans="1:3" x14ac:dyDescent="0.2">
      <c r="A1368">
        <v>5151</v>
      </c>
      <c r="B1368" t="s">
        <v>196</v>
      </c>
      <c r="C1368">
        <v>2010050</v>
      </c>
    </row>
    <row r="1369" spans="1:3" x14ac:dyDescent="0.2">
      <c r="A1369">
        <v>5151</v>
      </c>
      <c r="B1369" t="s">
        <v>196</v>
      </c>
      <c r="C1369">
        <v>2010050</v>
      </c>
    </row>
    <row r="1370" spans="1:3" x14ac:dyDescent="0.2">
      <c r="A1370">
        <v>5151</v>
      </c>
      <c r="B1370" t="s">
        <v>196</v>
      </c>
      <c r="C1370">
        <v>2010050</v>
      </c>
    </row>
    <row r="1371" spans="1:3" x14ac:dyDescent="0.2">
      <c r="A1371">
        <v>5151</v>
      </c>
      <c r="B1371" s="9" t="s">
        <v>196</v>
      </c>
      <c r="C1371">
        <v>2010050</v>
      </c>
    </row>
    <row r="1372" spans="1:3" x14ac:dyDescent="0.2">
      <c r="A1372" s="3">
        <v>5152</v>
      </c>
      <c r="B1372" s="3" t="s">
        <v>197</v>
      </c>
      <c r="C1372">
        <v>2007500</v>
      </c>
    </row>
    <row r="1373" spans="1:3" x14ac:dyDescent="0.2">
      <c r="A1373" s="3">
        <v>5152</v>
      </c>
      <c r="B1373" s="3" t="s">
        <v>197</v>
      </c>
      <c r="C1373">
        <v>2007500</v>
      </c>
    </row>
    <row r="1374" spans="1:3" x14ac:dyDescent="0.2">
      <c r="A1374" s="3">
        <v>5152</v>
      </c>
      <c r="B1374" s="3" t="s">
        <v>197</v>
      </c>
      <c r="C1374">
        <v>2007500</v>
      </c>
    </row>
    <row r="1375" spans="1:3" x14ac:dyDescent="0.2">
      <c r="A1375">
        <v>5152</v>
      </c>
      <c r="B1375" t="s">
        <v>197</v>
      </c>
      <c r="C1375">
        <v>2007500</v>
      </c>
    </row>
    <row r="1376" spans="1:3" x14ac:dyDescent="0.2">
      <c r="A1376">
        <v>5152</v>
      </c>
      <c r="B1376" t="s">
        <v>197</v>
      </c>
      <c r="C1376">
        <v>2007500</v>
      </c>
    </row>
    <row r="1377" spans="1:3" x14ac:dyDescent="0.2">
      <c r="A1377">
        <v>5152</v>
      </c>
      <c r="B1377" t="s">
        <v>197</v>
      </c>
      <c r="C1377">
        <v>2007500</v>
      </c>
    </row>
    <row r="1378" spans="1:3" x14ac:dyDescent="0.2">
      <c r="A1378">
        <v>5152</v>
      </c>
      <c r="B1378" t="s">
        <v>197</v>
      </c>
      <c r="C1378">
        <v>2007500</v>
      </c>
    </row>
    <row r="1379" spans="1:3" x14ac:dyDescent="0.2">
      <c r="A1379">
        <v>5152</v>
      </c>
      <c r="B1379" t="s">
        <v>197</v>
      </c>
      <c r="C1379">
        <v>2007500</v>
      </c>
    </row>
    <row r="1380" spans="1:3" x14ac:dyDescent="0.2">
      <c r="A1380">
        <v>5152</v>
      </c>
      <c r="B1380" s="9" t="s">
        <v>197</v>
      </c>
      <c r="C1380">
        <v>2007500</v>
      </c>
    </row>
    <row r="1381" spans="1:3" x14ac:dyDescent="0.2">
      <c r="A1381" s="3">
        <v>5153</v>
      </c>
      <c r="B1381" s="3" t="s">
        <v>198</v>
      </c>
      <c r="C1381">
        <v>2005760</v>
      </c>
    </row>
    <row r="1382" spans="1:3" x14ac:dyDescent="0.2">
      <c r="A1382" s="3">
        <v>5153</v>
      </c>
      <c r="B1382" s="3" t="s">
        <v>198</v>
      </c>
      <c r="C1382">
        <v>2005760</v>
      </c>
    </row>
    <row r="1383" spans="1:3" x14ac:dyDescent="0.2">
      <c r="A1383" s="3">
        <v>5153</v>
      </c>
      <c r="B1383" s="3" t="s">
        <v>198</v>
      </c>
      <c r="C1383">
        <v>2005760</v>
      </c>
    </row>
    <row r="1384" spans="1:3" x14ac:dyDescent="0.2">
      <c r="A1384">
        <v>5153</v>
      </c>
      <c r="B1384" t="s">
        <v>198</v>
      </c>
      <c r="C1384">
        <v>2005760</v>
      </c>
    </row>
    <row r="1385" spans="1:3" x14ac:dyDescent="0.2">
      <c r="A1385">
        <v>5153</v>
      </c>
      <c r="B1385" t="s">
        <v>198</v>
      </c>
      <c r="C1385">
        <v>2005760</v>
      </c>
    </row>
    <row r="1386" spans="1:3" x14ac:dyDescent="0.2">
      <c r="A1386">
        <v>5153</v>
      </c>
      <c r="B1386" t="s">
        <v>198</v>
      </c>
      <c r="C1386">
        <v>2005760</v>
      </c>
    </row>
    <row r="1387" spans="1:3" x14ac:dyDescent="0.2">
      <c r="A1387">
        <v>5153</v>
      </c>
      <c r="B1387" t="s">
        <v>198</v>
      </c>
      <c r="C1387">
        <v>2005760</v>
      </c>
    </row>
    <row r="1388" spans="1:3" x14ac:dyDescent="0.2">
      <c r="A1388">
        <v>5153</v>
      </c>
      <c r="B1388" t="s">
        <v>198</v>
      </c>
      <c r="C1388">
        <v>2005760</v>
      </c>
    </row>
    <row r="1389" spans="1:3" x14ac:dyDescent="0.2">
      <c r="A1389">
        <v>5153</v>
      </c>
      <c r="B1389" s="9" t="s">
        <v>198</v>
      </c>
      <c r="C1389">
        <v>2005760</v>
      </c>
    </row>
    <row r="1390" spans="1:3" x14ac:dyDescent="0.2">
      <c r="A1390" s="3">
        <v>5154</v>
      </c>
      <c r="B1390" s="3" t="s">
        <v>199</v>
      </c>
      <c r="C1390">
        <v>2012120</v>
      </c>
    </row>
    <row r="1391" spans="1:3" x14ac:dyDescent="0.2">
      <c r="A1391" s="3">
        <v>5154</v>
      </c>
      <c r="B1391" s="3" t="s">
        <v>199</v>
      </c>
      <c r="C1391">
        <v>2012120</v>
      </c>
    </row>
    <row r="1392" spans="1:3" x14ac:dyDescent="0.2">
      <c r="A1392" s="3">
        <v>5154</v>
      </c>
      <c r="B1392" s="3" t="s">
        <v>199</v>
      </c>
      <c r="C1392">
        <v>2012120</v>
      </c>
    </row>
    <row r="1393" spans="1:3" x14ac:dyDescent="0.2">
      <c r="A1393">
        <v>5154</v>
      </c>
      <c r="B1393" t="s">
        <v>199</v>
      </c>
      <c r="C1393">
        <v>2012120</v>
      </c>
    </row>
    <row r="1394" spans="1:3" x14ac:dyDescent="0.2">
      <c r="A1394">
        <v>5154</v>
      </c>
      <c r="B1394" t="s">
        <v>199</v>
      </c>
      <c r="C1394">
        <v>2012120</v>
      </c>
    </row>
    <row r="1395" spans="1:3" x14ac:dyDescent="0.2">
      <c r="A1395">
        <v>5154</v>
      </c>
      <c r="B1395" t="s">
        <v>199</v>
      </c>
      <c r="C1395">
        <v>2012120</v>
      </c>
    </row>
    <row r="1396" spans="1:3" x14ac:dyDescent="0.2">
      <c r="A1396">
        <v>5154</v>
      </c>
      <c r="B1396" t="s">
        <v>199</v>
      </c>
      <c r="C1396">
        <v>2012120</v>
      </c>
    </row>
    <row r="1397" spans="1:3" x14ac:dyDescent="0.2">
      <c r="A1397">
        <v>5154</v>
      </c>
      <c r="B1397" t="s">
        <v>199</v>
      </c>
      <c r="C1397">
        <v>2012120</v>
      </c>
    </row>
    <row r="1398" spans="1:3" x14ac:dyDescent="0.2">
      <c r="A1398">
        <v>5154</v>
      </c>
      <c r="B1398" s="9" t="s">
        <v>199</v>
      </c>
      <c r="C1398">
        <v>2012120</v>
      </c>
    </row>
    <row r="1399" spans="1:3" x14ac:dyDescent="0.2">
      <c r="A1399" s="3">
        <v>5155</v>
      </c>
      <c r="B1399" s="3" t="s">
        <v>200</v>
      </c>
      <c r="C1399">
        <v>2010920</v>
      </c>
    </row>
    <row r="1400" spans="1:3" x14ac:dyDescent="0.2">
      <c r="A1400" s="3">
        <v>5155</v>
      </c>
      <c r="B1400" s="3" t="s">
        <v>200</v>
      </c>
      <c r="C1400">
        <v>2010920</v>
      </c>
    </row>
    <row r="1401" spans="1:3" x14ac:dyDescent="0.2">
      <c r="A1401" s="3">
        <v>5155</v>
      </c>
      <c r="B1401" s="3" t="s">
        <v>200</v>
      </c>
      <c r="C1401">
        <v>2010920</v>
      </c>
    </row>
    <row r="1402" spans="1:3" x14ac:dyDescent="0.2">
      <c r="A1402">
        <v>5155</v>
      </c>
      <c r="B1402" t="s">
        <v>200</v>
      </c>
      <c r="C1402">
        <v>2010920</v>
      </c>
    </row>
    <row r="1403" spans="1:3" x14ac:dyDescent="0.2">
      <c r="A1403">
        <v>5155</v>
      </c>
      <c r="B1403" t="s">
        <v>200</v>
      </c>
      <c r="C1403">
        <v>2010920</v>
      </c>
    </row>
    <row r="1404" spans="1:3" x14ac:dyDescent="0.2">
      <c r="A1404">
        <v>5155</v>
      </c>
      <c r="B1404" t="s">
        <v>200</v>
      </c>
      <c r="C1404">
        <v>2010920</v>
      </c>
    </row>
    <row r="1405" spans="1:3" x14ac:dyDescent="0.2">
      <c r="A1405">
        <v>5155</v>
      </c>
      <c r="B1405" t="s">
        <v>357</v>
      </c>
      <c r="C1405">
        <v>2010920</v>
      </c>
    </row>
    <row r="1406" spans="1:3" x14ac:dyDescent="0.2">
      <c r="A1406">
        <v>5155</v>
      </c>
      <c r="B1406" t="s">
        <v>200</v>
      </c>
      <c r="C1406">
        <v>2010920</v>
      </c>
    </row>
    <row r="1407" spans="1:3" x14ac:dyDescent="0.2">
      <c r="A1407">
        <v>5155</v>
      </c>
      <c r="B1407" s="9" t="s">
        <v>200</v>
      </c>
      <c r="C1407">
        <v>2010920</v>
      </c>
    </row>
    <row r="1408" spans="1:3" x14ac:dyDescent="0.2">
      <c r="A1408" s="3">
        <v>5156</v>
      </c>
      <c r="B1408" s="3" t="s">
        <v>201</v>
      </c>
      <c r="C1408">
        <v>2005010</v>
      </c>
    </row>
    <row r="1409" spans="1:3" x14ac:dyDescent="0.2">
      <c r="A1409" s="3">
        <v>5156</v>
      </c>
      <c r="B1409" s="3" t="s">
        <v>201</v>
      </c>
      <c r="C1409">
        <v>2005010</v>
      </c>
    </row>
    <row r="1410" spans="1:3" x14ac:dyDescent="0.2">
      <c r="A1410" s="3">
        <v>5156</v>
      </c>
      <c r="B1410" s="3" t="s">
        <v>201</v>
      </c>
      <c r="C1410">
        <v>2005010</v>
      </c>
    </row>
    <row r="1411" spans="1:3" x14ac:dyDescent="0.2">
      <c r="A1411">
        <v>5156</v>
      </c>
      <c r="B1411" t="s">
        <v>201</v>
      </c>
      <c r="C1411">
        <v>2005010</v>
      </c>
    </row>
    <row r="1412" spans="1:3" x14ac:dyDescent="0.2">
      <c r="A1412">
        <v>5156</v>
      </c>
      <c r="B1412" t="s">
        <v>201</v>
      </c>
      <c r="C1412">
        <v>2005010</v>
      </c>
    </row>
    <row r="1413" spans="1:3" x14ac:dyDescent="0.2">
      <c r="A1413">
        <v>5156</v>
      </c>
      <c r="B1413" t="s">
        <v>201</v>
      </c>
      <c r="C1413">
        <v>2005010</v>
      </c>
    </row>
    <row r="1414" spans="1:3" x14ac:dyDescent="0.2">
      <c r="A1414">
        <v>5156</v>
      </c>
      <c r="B1414" t="s">
        <v>201</v>
      </c>
      <c r="C1414">
        <v>2005010</v>
      </c>
    </row>
    <row r="1415" spans="1:3" x14ac:dyDescent="0.2">
      <c r="A1415">
        <v>5156</v>
      </c>
      <c r="B1415" t="s">
        <v>201</v>
      </c>
      <c r="C1415">
        <v>2005010</v>
      </c>
    </row>
    <row r="1416" spans="1:3" x14ac:dyDescent="0.2">
      <c r="A1416">
        <v>5156</v>
      </c>
      <c r="B1416" s="9" t="s">
        <v>201</v>
      </c>
      <c r="C1416">
        <v>2005010</v>
      </c>
    </row>
    <row r="1417" spans="1:3" x14ac:dyDescent="0.2">
      <c r="A1417" s="3">
        <v>5157</v>
      </c>
      <c r="B1417" s="3" t="s">
        <v>202</v>
      </c>
      <c r="C1417">
        <v>2008910</v>
      </c>
    </row>
    <row r="1418" spans="1:3" x14ac:dyDescent="0.2">
      <c r="A1418" s="3">
        <v>5157</v>
      </c>
      <c r="B1418" s="3" t="s">
        <v>202</v>
      </c>
      <c r="C1418">
        <v>2008910</v>
      </c>
    </row>
    <row r="1419" spans="1:3" x14ac:dyDescent="0.2">
      <c r="A1419" s="3">
        <v>5157</v>
      </c>
      <c r="B1419" s="3" t="s">
        <v>202</v>
      </c>
      <c r="C1419">
        <v>2008910</v>
      </c>
    </row>
    <row r="1420" spans="1:3" x14ac:dyDescent="0.2">
      <c r="A1420">
        <v>5157</v>
      </c>
      <c r="B1420" t="s">
        <v>202</v>
      </c>
      <c r="C1420">
        <v>2008910</v>
      </c>
    </row>
    <row r="1421" spans="1:3" x14ac:dyDescent="0.2">
      <c r="A1421">
        <v>5157</v>
      </c>
      <c r="B1421" t="s">
        <v>202</v>
      </c>
      <c r="C1421">
        <v>2008910</v>
      </c>
    </row>
    <row r="1422" spans="1:3" x14ac:dyDescent="0.2">
      <c r="A1422">
        <v>5157</v>
      </c>
      <c r="B1422" t="s">
        <v>202</v>
      </c>
      <c r="C1422">
        <v>2008910</v>
      </c>
    </row>
    <row r="1423" spans="1:3" x14ac:dyDescent="0.2">
      <c r="A1423">
        <v>5157</v>
      </c>
      <c r="B1423" t="s">
        <v>202</v>
      </c>
      <c r="C1423">
        <v>2008910</v>
      </c>
    </row>
    <row r="1424" spans="1:3" x14ac:dyDescent="0.2">
      <c r="A1424">
        <v>5157</v>
      </c>
      <c r="B1424" t="s">
        <v>202</v>
      </c>
      <c r="C1424">
        <v>2008910</v>
      </c>
    </row>
    <row r="1425" spans="1:3" x14ac:dyDescent="0.2">
      <c r="A1425">
        <v>5157</v>
      </c>
      <c r="B1425" s="9" t="s">
        <v>202</v>
      </c>
      <c r="C1425">
        <v>2008910</v>
      </c>
    </row>
    <row r="1426" spans="1:3" x14ac:dyDescent="0.2">
      <c r="A1426" s="3">
        <v>5158</v>
      </c>
      <c r="B1426" s="3" t="s">
        <v>203</v>
      </c>
      <c r="C1426">
        <v>2008070</v>
      </c>
    </row>
    <row r="1427" spans="1:3" x14ac:dyDescent="0.2">
      <c r="A1427" s="3">
        <v>5158</v>
      </c>
      <c r="B1427" s="3" t="s">
        <v>203</v>
      </c>
      <c r="C1427">
        <v>2008070</v>
      </c>
    </row>
    <row r="1428" spans="1:3" x14ac:dyDescent="0.2">
      <c r="A1428" s="3">
        <v>5158</v>
      </c>
      <c r="B1428" s="3" t="s">
        <v>203</v>
      </c>
      <c r="C1428">
        <v>2008070</v>
      </c>
    </row>
    <row r="1429" spans="1:3" x14ac:dyDescent="0.2">
      <c r="A1429">
        <v>5158</v>
      </c>
      <c r="B1429" t="s">
        <v>203</v>
      </c>
      <c r="C1429">
        <v>2008070</v>
      </c>
    </row>
    <row r="1430" spans="1:3" x14ac:dyDescent="0.2">
      <c r="A1430">
        <v>5158</v>
      </c>
      <c r="B1430" t="s">
        <v>203</v>
      </c>
      <c r="C1430">
        <v>2008070</v>
      </c>
    </row>
    <row r="1431" spans="1:3" x14ac:dyDescent="0.2">
      <c r="A1431">
        <v>5158</v>
      </c>
      <c r="B1431" t="s">
        <v>203</v>
      </c>
      <c r="C1431">
        <v>2008070</v>
      </c>
    </row>
    <row r="1432" spans="1:3" x14ac:dyDescent="0.2">
      <c r="A1432">
        <v>5158</v>
      </c>
      <c r="B1432" t="s">
        <v>203</v>
      </c>
      <c r="C1432">
        <v>2008070</v>
      </c>
    </row>
    <row r="1433" spans="1:3" x14ac:dyDescent="0.2">
      <c r="A1433">
        <v>5158</v>
      </c>
      <c r="B1433" t="s">
        <v>203</v>
      </c>
      <c r="C1433">
        <v>2008070</v>
      </c>
    </row>
    <row r="1434" spans="1:3" x14ac:dyDescent="0.2">
      <c r="A1434">
        <v>5158</v>
      </c>
      <c r="B1434" s="9" t="s">
        <v>203</v>
      </c>
      <c r="C1434">
        <v>2008070</v>
      </c>
    </row>
    <row r="1435" spans="1:3" x14ac:dyDescent="0.2">
      <c r="A1435" s="3">
        <v>5159</v>
      </c>
      <c r="B1435" s="3" t="s">
        <v>204</v>
      </c>
      <c r="C1435">
        <v>2005100</v>
      </c>
    </row>
    <row r="1436" spans="1:3" x14ac:dyDescent="0.2">
      <c r="A1436" s="3">
        <v>5159</v>
      </c>
      <c r="B1436" s="3" t="s">
        <v>204</v>
      </c>
      <c r="C1436">
        <v>2005100</v>
      </c>
    </row>
    <row r="1437" spans="1:3" x14ac:dyDescent="0.2">
      <c r="A1437" s="3">
        <v>5159</v>
      </c>
      <c r="B1437" s="3" t="s">
        <v>204</v>
      </c>
      <c r="C1437">
        <v>2005100</v>
      </c>
    </row>
    <row r="1438" spans="1:3" x14ac:dyDescent="0.2">
      <c r="A1438">
        <v>5159</v>
      </c>
      <c r="B1438" t="s">
        <v>204</v>
      </c>
      <c r="C1438">
        <v>2005100</v>
      </c>
    </row>
    <row r="1439" spans="1:3" x14ac:dyDescent="0.2">
      <c r="A1439">
        <v>5159</v>
      </c>
      <c r="B1439" t="s">
        <v>204</v>
      </c>
      <c r="C1439">
        <v>2005100</v>
      </c>
    </row>
    <row r="1440" spans="1:3" x14ac:dyDescent="0.2">
      <c r="A1440">
        <v>5159</v>
      </c>
      <c r="B1440" t="s">
        <v>204</v>
      </c>
      <c r="C1440">
        <v>2005100</v>
      </c>
    </row>
    <row r="1441" spans="1:3" x14ac:dyDescent="0.2">
      <c r="A1441">
        <v>5159</v>
      </c>
      <c r="B1441" t="s">
        <v>204</v>
      </c>
      <c r="C1441">
        <v>2005100</v>
      </c>
    </row>
    <row r="1442" spans="1:3" x14ac:dyDescent="0.2">
      <c r="A1442">
        <v>5159</v>
      </c>
      <c r="B1442" t="s">
        <v>204</v>
      </c>
      <c r="C1442">
        <v>2005100</v>
      </c>
    </row>
    <row r="1443" spans="1:3" x14ac:dyDescent="0.2">
      <c r="A1443">
        <v>5159</v>
      </c>
      <c r="B1443" s="9" t="s">
        <v>204</v>
      </c>
      <c r="C1443">
        <v>2005100</v>
      </c>
    </row>
    <row r="1444" spans="1:3" x14ac:dyDescent="0.2">
      <c r="A1444" s="3">
        <v>5160</v>
      </c>
      <c r="B1444" s="3" t="s">
        <v>205</v>
      </c>
      <c r="C1444">
        <v>2008100</v>
      </c>
    </row>
    <row r="1445" spans="1:3" x14ac:dyDescent="0.2">
      <c r="A1445" s="3">
        <v>5160</v>
      </c>
      <c r="B1445" s="3" t="s">
        <v>205</v>
      </c>
      <c r="C1445">
        <v>2008100</v>
      </c>
    </row>
    <row r="1446" spans="1:3" x14ac:dyDescent="0.2">
      <c r="A1446" s="3">
        <v>5160</v>
      </c>
      <c r="B1446" s="3" t="s">
        <v>205</v>
      </c>
      <c r="C1446">
        <v>2008100</v>
      </c>
    </row>
    <row r="1447" spans="1:3" x14ac:dyDescent="0.2">
      <c r="A1447">
        <v>5160</v>
      </c>
      <c r="B1447" t="s">
        <v>205</v>
      </c>
      <c r="C1447">
        <v>2008100</v>
      </c>
    </row>
    <row r="1448" spans="1:3" x14ac:dyDescent="0.2">
      <c r="A1448">
        <v>5160</v>
      </c>
      <c r="B1448" t="s">
        <v>205</v>
      </c>
      <c r="C1448">
        <v>2008100</v>
      </c>
    </row>
    <row r="1449" spans="1:3" x14ac:dyDescent="0.2">
      <c r="A1449">
        <v>5160</v>
      </c>
      <c r="B1449" t="s">
        <v>205</v>
      </c>
      <c r="C1449">
        <v>2008100</v>
      </c>
    </row>
    <row r="1450" spans="1:3" x14ac:dyDescent="0.2">
      <c r="A1450">
        <v>5160</v>
      </c>
      <c r="B1450" t="s">
        <v>205</v>
      </c>
      <c r="C1450">
        <v>2008100</v>
      </c>
    </row>
    <row r="1451" spans="1:3" x14ac:dyDescent="0.2">
      <c r="A1451">
        <v>5160</v>
      </c>
      <c r="B1451" t="s">
        <v>205</v>
      </c>
      <c r="C1451">
        <v>2008100</v>
      </c>
    </row>
    <row r="1452" spans="1:3" x14ac:dyDescent="0.2">
      <c r="A1452">
        <v>5160</v>
      </c>
      <c r="B1452" s="9" t="s">
        <v>205</v>
      </c>
      <c r="C1452">
        <v>2008100</v>
      </c>
    </row>
    <row r="1453" spans="1:3" x14ac:dyDescent="0.2">
      <c r="A1453" s="3">
        <v>5161</v>
      </c>
      <c r="B1453" s="3" t="s">
        <v>206</v>
      </c>
      <c r="C1453">
        <v>2005130</v>
      </c>
    </row>
    <row r="1454" spans="1:3" x14ac:dyDescent="0.2">
      <c r="A1454" s="3">
        <v>5161</v>
      </c>
      <c r="B1454" s="3" t="s">
        <v>206</v>
      </c>
      <c r="C1454">
        <v>2005130</v>
      </c>
    </row>
    <row r="1455" spans="1:3" x14ac:dyDescent="0.2">
      <c r="A1455" s="3">
        <v>5161</v>
      </c>
      <c r="B1455" s="3" t="s">
        <v>206</v>
      </c>
      <c r="C1455">
        <v>2005130</v>
      </c>
    </row>
    <row r="1456" spans="1:3" x14ac:dyDescent="0.2">
      <c r="A1456">
        <v>5161</v>
      </c>
      <c r="B1456" t="s">
        <v>206</v>
      </c>
      <c r="C1456">
        <v>2005130</v>
      </c>
    </row>
    <row r="1457" spans="1:3" x14ac:dyDescent="0.2">
      <c r="A1457">
        <v>5161</v>
      </c>
      <c r="B1457" t="s">
        <v>206</v>
      </c>
      <c r="C1457">
        <v>2005130</v>
      </c>
    </row>
    <row r="1458" spans="1:3" x14ac:dyDescent="0.2">
      <c r="A1458">
        <v>5161</v>
      </c>
      <c r="B1458" t="s">
        <v>206</v>
      </c>
      <c r="C1458">
        <v>2005130</v>
      </c>
    </row>
    <row r="1459" spans="1:3" x14ac:dyDescent="0.2">
      <c r="A1459">
        <v>5161</v>
      </c>
      <c r="B1459" t="s">
        <v>206</v>
      </c>
      <c r="C1459">
        <v>2005130</v>
      </c>
    </row>
    <row r="1460" spans="1:3" x14ac:dyDescent="0.2">
      <c r="A1460">
        <v>5161</v>
      </c>
      <c r="B1460" t="s">
        <v>206</v>
      </c>
      <c r="C1460">
        <v>2005130</v>
      </c>
    </row>
    <row r="1461" spans="1:3" x14ac:dyDescent="0.2">
      <c r="A1461">
        <v>5161</v>
      </c>
      <c r="B1461" s="9" t="s">
        <v>206</v>
      </c>
      <c r="C1461">
        <v>2005130</v>
      </c>
    </row>
    <row r="1462" spans="1:3" x14ac:dyDescent="0.2">
      <c r="A1462" s="3">
        <v>5162</v>
      </c>
      <c r="B1462" s="3" t="s">
        <v>207</v>
      </c>
      <c r="C1462">
        <v>2005700</v>
      </c>
    </row>
    <row r="1463" spans="1:3" x14ac:dyDescent="0.2">
      <c r="A1463" s="3">
        <v>5162</v>
      </c>
      <c r="B1463" s="3" t="s">
        <v>207</v>
      </c>
      <c r="C1463">
        <v>2005700</v>
      </c>
    </row>
    <row r="1464" spans="1:3" x14ac:dyDescent="0.2">
      <c r="A1464" s="3">
        <v>5162</v>
      </c>
      <c r="B1464" s="3" t="s">
        <v>207</v>
      </c>
      <c r="C1464">
        <v>2005700</v>
      </c>
    </row>
    <row r="1465" spans="1:3" x14ac:dyDescent="0.2">
      <c r="A1465">
        <v>5162</v>
      </c>
      <c r="B1465" t="s">
        <v>207</v>
      </c>
      <c r="C1465">
        <v>2005700</v>
      </c>
    </row>
    <row r="1466" spans="1:3" x14ac:dyDescent="0.2">
      <c r="A1466">
        <v>5162</v>
      </c>
      <c r="B1466" t="s">
        <v>207</v>
      </c>
      <c r="C1466">
        <v>2005700</v>
      </c>
    </row>
    <row r="1467" spans="1:3" x14ac:dyDescent="0.2">
      <c r="A1467">
        <v>5162</v>
      </c>
      <c r="B1467" t="s">
        <v>207</v>
      </c>
      <c r="C1467">
        <v>2005700</v>
      </c>
    </row>
    <row r="1468" spans="1:3" x14ac:dyDescent="0.2">
      <c r="A1468">
        <v>5162</v>
      </c>
      <c r="B1468" t="s">
        <v>207</v>
      </c>
      <c r="C1468">
        <v>2005700</v>
      </c>
    </row>
    <row r="1469" spans="1:3" x14ac:dyDescent="0.2">
      <c r="A1469">
        <v>5162</v>
      </c>
      <c r="B1469" t="s">
        <v>207</v>
      </c>
      <c r="C1469">
        <v>2005700</v>
      </c>
    </row>
    <row r="1470" spans="1:3" x14ac:dyDescent="0.2">
      <c r="A1470">
        <v>5162</v>
      </c>
      <c r="B1470" s="9" t="s">
        <v>207</v>
      </c>
      <c r="C1470">
        <v>2005700</v>
      </c>
    </row>
    <row r="1471" spans="1:3" x14ac:dyDescent="0.2">
      <c r="A1471" s="3">
        <v>5163</v>
      </c>
      <c r="B1471" s="3" t="s">
        <v>208</v>
      </c>
      <c r="C1471">
        <v>2008220</v>
      </c>
    </row>
    <row r="1472" spans="1:3" x14ac:dyDescent="0.2">
      <c r="A1472" s="3">
        <v>5163</v>
      </c>
      <c r="B1472" s="3" t="s">
        <v>208</v>
      </c>
      <c r="C1472">
        <v>2008220</v>
      </c>
    </row>
    <row r="1473" spans="1:3" x14ac:dyDescent="0.2">
      <c r="A1473" s="3">
        <v>5163</v>
      </c>
      <c r="B1473" s="3" t="s">
        <v>208</v>
      </c>
      <c r="C1473">
        <v>2008220</v>
      </c>
    </row>
    <row r="1474" spans="1:3" x14ac:dyDescent="0.2">
      <c r="A1474">
        <v>5163</v>
      </c>
      <c r="B1474" t="s">
        <v>208</v>
      </c>
      <c r="C1474">
        <v>2008220</v>
      </c>
    </row>
    <row r="1475" spans="1:3" x14ac:dyDescent="0.2">
      <c r="A1475">
        <v>5163</v>
      </c>
      <c r="B1475" t="s">
        <v>208</v>
      </c>
      <c r="C1475">
        <v>2008220</v>
      </c>
    </row>
    <row r="1476" spans="1:3" x14ac:dyDescent="0.2">
      <c r="A1476">
        <v>5163</v>
      </c>
      <c r="B1476" t="s">
        <v>208</v>
      </c>
      <c r="C1476">
        <v>2008220</v>
      </c>
    </row>
    <row r="1477" spans="1:3" x14ac:dyDescent="0.2">
      <c r="A1477">
        <v>5163</v>
      </c>
      <c r="B1477" t="s">
        <v>208</v>
      </c>
      <c r="C1477">
        <v>2008220</v>
      </c>
    </row>
    <row r="1478" spans="1:3" x14ac:dyDescent="0.2">
      <c r="A1478">
        <v>5163</v>
      </c>
      <c r="B1478" t="s">
        <v>208</v>
      </c>
      <c r="C1478">
        <v>2008220</v>
      </c>
    </row>
    <row r="1479" spans="1:3" x14ac:dyDescent="0.2">
      <c r="A1479">
        <v>5163</v>
      </c>
      <c r="B1479" s="9" t="s">
        <v>208</v>
      </c>
      <c r="C1479">
        <v>2008220</v>
      </c>
    </row>
    <row r="1480" spans="1:3" x14ac:dyDescent="0.2">
      <c r="A1480" s="3">
        <v>5164</v>
      </c>
      <c r="B1480" s="3" t="s">
        <v>209</v>
      </c>
      <c r="C1480">
        <v>2007530</v>
      </c>
    </row>
    <row r="1481" spans="1:3" x14ac:dyDescent="0.2">
      <c r="A1481" s="3">
        <v>5164</v>
      </c>
      <c r="B1481" s="3" t="s">
        <v>209</v>
      </c>
      <c r="C1481">
        <v>2007530</v>
      </c>
    </row>
    <row r="1482" spans="1:3" x14ac:dyDescent="0.2">
      <c r="A1482" s="3">
        <v>5164</v>
      </c>
      <c r="B1482" s="3" t="s">
        <v>209</v>
      </c>
      <c r="C1482">
        <v>2007530</v>
      </c>
    </row>
    <row r="1483" spans="1:3" x14ac:dyDescent="0.2">
      <c r="A1483">
        <v>5164</v>
      </c>
      <c r="B1483" t="s">
        <v>209</v>
      </c>
      <c r="C1483">
        <v>2007530</v>
      </c>
    </row>
    <row r="1484" spans="1:3" x14ac:dyDescent="0.2">
      <c r="A1484">
        <v>5164</v>
      </c>
      <c r="B1484" t="s">
        <v>209</v>
      </c>
      <c r="C1484">
        <v>2007530</v>
      </c>
    </row>
    <row r="1485" spans="1:3" x14ac:dyDescent="0.2">
      <c r="A1485">
        <v>5164</v>
      </c>
      <c r="B1485" t="s">
        <v>209</v>
      </c>
      <c r="C1485">
        <v>2007530</v>
      </c>
    </row>
    <row r="1486" spans="1:3" x14ac:dyDescent="0.2">
      <c r="A1486">
        <v>5164</v>
      </c>
      <c r="B1486" t="s">
        <v>209</v>
      </c>
      <c r="C1486">
        <v>2007530</v>
      </c>
    </row>
    <row r="1487" spans="1:3" x14ac:dyDescent="0.2">
      <c r="A1487">
        <v>5164</v>
      </c>
      <c r="B1487" t="s">
        <v>209</v>
      </c>
      <c r="C1487">
        <v>2007530</v>
      </c>
    </row>
    <row r="1488" spans="1:3" x14ac:dyDescent="0.2">
      <c r="A1488">
        <v>5164</v>
      </c>
      <c r="B1488" s="9" t="s">
        <v>209</v>
      </c>
      <c r="C1488">
        <v>2007530</v>
      </c>
    </row>
    <row r="1489" spans="1:3" x14ac:dyDescent="0.2">
      <c r="A1489" s="3">
        <v>5166</v>
      </c>
      <c r="B1489" s="3" t="s">
        <v>210</v>
      </c>
      <c r="C1489">
        <v>2012330</v>
      </c>
    </row>
    <row r="1490" spans="1:3" x14ac:dyDescent="0.2">
      <c r="A1490" s="3">
        <v>5166</v>
      </c>
      <c r="B1490" s="3" t="s">
        <v>210</v>
      </c>
      <c r="C1490">
        <v>2012330</v>
      </c>
    </row>
    <row r="1491" spans="1:3" x14ac:dyDescent="0.2">
      <c r="A1491" s="3">
        <v>5166</v>
      </c>
      <c r="B1491" s="3" t="s">
        <v>210</v>
      </c>
      <c r="C1491">
        <v>2012330</v>
      </c>
    </row>
    <row r="1492" spans="1:3" x14ac:dyDescent="0.2">
      <c r="A1492">
        <v>5166</v>
      </c>
      <c r="B1492" t="s">
        <v>210</v>
      </c>
      <c r="C1492">
        <v>2012330</v>
      </c>
    </row>
    <row r="1493" spans="1:3" x14ac:dyDescent="0.2">
      <c r="A1493">
        <v>5166</v>
      </c>
      <c r="B1493" t="s">
        <v>210</v>
      </c>
      <c r="C1493">
        <v>2012330</v>
      </c>
    </row>
    <row r="1494" spans="1:3" x14ac:dyDescent="0.2">
      <c r="A1494">
        <v>5166</v>
      </c>
      <c r="B1494" t="s">
        <v>210</v>
      </c>
      <c r="C1494">
        <v>2012330</v>
      </c>
    </row>
    <row r="1495" spans="1:3" x14ac:dyDescent="0.2">
      <c r="A1495">
        <v>5166</v>
      </c>
      <c r="B1495" t="s">
        <v>210</v>
      </c>
      <c r="C1495">
        <v>2012330</v>
      </c>
    </row>
    <row r="1496" spans="1:3" x14ac:dyDescent="0.2">
      <c r="A1496">
        <v>5166</v>
      </c>
      <c r="B1496" t="s">
        <v>210</v>
      </c>
      <c r="C1496">
        <v>2012330</v>
      </c>
    </row>
    <row r="1497" spans="1:3" x14ac:dyDescent="0.2">
      <c r="A1497">
        <v>5166</v>
      </c>
      <c r="B1497" s="9" t="s">
        <v>210</v>
      </c>
      <c r="C1497">
        <v>2012330</v>
      </c>
    </row>
    <row r="1498" spans="1:3" x14ac:dyDescent="0.2">
      <c r="A1498" s="3">
        <v>5167</v>
      </c>
      <c r="B1498" s="3" t="s">
        <v>211</v>
      </c>
      <c r="C1498">
        <v>2007470</v>
      </c>
    </row>
    <row r="1499" spans="1:3" x14ac:dyDescent="0.2">
      <c r="A1499" s="3">
        <v>5167</v>
      </c>
      <c r="B1499" s="3" t="s">
        <v>211</v>
      </c>
      <c r="C1499">
        <v>2007470</v>
      </c>
    </row>
    <row r="1500" spans="1:3" x14ac:dyDescent="0.2">
      <c r="A1500" s="3">
        <v>5167</v>
      </c>
      <c r="B1500" s="3" t="s">
        <v>211</v>
      </c>
      <c r="C1500">
        <v>2007470</v>
      </c>
    </row>
    <row r="1501" spans="1:3" x14ac:dyDescent="0.2">
      <c r="A1501">
        <v>5167</v>
      </c>
      <c r="B1501" t="s">
        <v>211</v>
      </c>
      <c r="C1501">
        <v>2007470</v>
      </c>
    </row>
    <row r="1502" spans="1:3" x14ac:dyDescent="0.2">
      <c r="A1502">
        <v>5167</v>
      </c>
      <c r="B1502" t="s">
        <v>211</v>
      </c>
      <c r="C1502">
        <v>2007470</v>
      </c>
    </row>
    <row r="1503" spans="1:3" x14ac:dyDescent="0.2">
      <c r="A1503">
        <v>5167</v>
      </c>
      <c r="B1503" t="s">
        <v>211</v>
      </c>
      <c r="C1503">
        <v>2007470</v>
      </c>
    </row>
    <row r="1504" spans="1:3" x14ac:dyDescent="0.2">
      <c r="A1504">
        <v>5167</v>
      </c>
      <c r="B1504" t="s">
        <v>211</v>
      </c>
      <c r="C1504">
        <v>2007470</v>
      </c>
    </row>
    <row r="1505" spans="1:3" x14ac:dyDescent="0.2">
      <c r="A1505">
        <v>5167</v>
      </c>
      <c r="B1505" t="s">
        <v>211</v>
      </c>
      <c r="C1505">
        <v>2007470</v>
      </c>
    </row>
    <row r="1506" spans="1:3" x14ac:dyDescent="0.2">
      <c r="A1506">
        <v>5167</v>
      </c>
      <c r="B1506" s="9" t="s">
        <v>211</v>
      </c>
      <c r="C1506">
        <v>2007470</v>
      </c>
    </row>
    <row r="1507" spans="1:3" x14ac:dyDescent="0.2">
      <c r="A1507" s="3">
        <v>5168</v>
      </c>
      <c r="B1507" s="3" t="s">
        <v>212</v>
      </c>
      <c r="C1507">
        <v>2007320</v>
      </c>
    </row>
    <row r="1508" spans="1:3" x14ac:dyDescent="0.2">
      <c r="A1508" s="3">
        <v>5168</v>
      </c>
      <c r="B1508" s="3" t="s">
        <v>212</v>
      </c>
      <c r="C1508">
        <v>2007320</v>
      </c>
    </row>
    <row r="1509" spans="1:3" x14ac:dyDescent="0.2">
      <c r="A1509" s="3">
        <v>5168</v>
      </c>
      <c r="B1509" s="3" t="s">
        <v>212</v>
      </c>
      <c r="C1509">
        <v>2007320</v>
      </c>
    </row>
    <row r="1510" spans="1:3" x14ac:dyDescent="0.2">
      <c r="A1510">
        <v>5168</v>
      </c>
      <c r="B1510" t="s">
        <v>212</v>
      </c>
      <c r="C1510">
        <v>2007320</v>
      </c>
    </row>
    <row r="1511" spans="1:3" x14ac:dyDescent="0.2">
      <c r="A1511">
        <v>5168</v>
      </c>
      <c r="B1511" t="s">
        <v>212</v>
      </c>
      <c r="C1511">
        <v>2007320</v>
      </c>
    </row>
    <row r="1512" spans="1:3" x14ac:dyDescent="0.2">
      <c r="A1512">
        <v>5168</v>
      </c>
      <c r="B1512" t="s">
        <v>212</v>
      </c>
      <c r="C1512">
        <v>2007320</v>
      </c>
    </row>
    <row r="1513" spans="1:3" x14ac:dyDescent="0.2">
      <c r="A1513">
        <v>5168</v>
      </c>
      <c r="B1513" t="s">
        <v>212</v>
      </c>
      <c r="C1513">
        <v>2007320</v>
      </c>
    </row>
    <row r="1514" spans="1:3" x14ac:dyDescent="0.2">
      <c r="A1514">
        <v>5168</v>
      </c>
      <c r="B1514" t="s">
        <v>212</v>
      </c>
      <c r="C1514">
        <v>2007320</v>
      </c>
    </row>
    <row r="1515" spans="1:3" x14ac:dyDescent="0.2">
      <c r="A1515">
        <v>5168</v>
      </c>
      <c r="B1515" s="9" t="s">
        <v>212</v>
      </c>
      <c r="C1515">
        <v>2007320</v>
      </c>
    </row>
    <row r="1516" spans="1:3" x14ac:dyDescent="0.2">
      <c r="A1516" s="3">
        <v>5171</v>
      </c>
      <c r="B1516" s="3" t="s">
        <v>213</v>
      </c>
      <c r="C1516">
        <v>2008880</v>
      </c>
    </row>
    <row r="1517" spans="1:3" x14ac:dyDescent="0.2">
      <c r="A1517" s="3">
        <v>5171</v>
      </c>
      <c r="B1517" s="3" t="s">
        <v>213</v>
      </c>
      <c r="C1517">
        <v>2008880</v>
      </c>
    </row>
    <row r="1518" spans="1:3" x14ac:dyDescent="0.2">
      <c r="A1518" s="3">
        <v>5171</v>
      </c>
      <c r="B1518" s="3" t="s">
        <v>213</v>
      </c>
      <c r="C1518">
        <v>2008880</v>
      </c>
    </row>
    <row r="1519" spans="1:3" x14ac:dyDescent="0.2">
      <c r="A1519">
        <v>5171</v>
      </c>
      <c r="B1519" t="s">
        <v>213</v>
      </c>
      <c r="C1519">
        <v>2008880</v>
      </c>
    </row>
    <row r="1520" spans="1:3" x14ac:dyDescent="0.2">
      <c r="A1520">
        <v>5171</v>
      </c>
      <c r="B1520" t="s">
        <v>213</v>
      </c>
      <c r="C1520">
        <v>2008880</v>
      </c>
    </row>
    <row r="1521" spans="1:3" x14ac:dyDescent="0.2">
      <c r="A1521">
        <v>5171</v>
      </c>
      <c r="B1521" t="s">
        <v>213</v>
      </c>
      <c r="C1521">
        <v>2008880</v>
      </c>
    </row>
    <row r="1522" spans="1:3" x14ac:dyDescent="0.2">
      <c r="A1522">
        <v>5171</v>
      </c>
      <c r="B1522" t="s">
        <v>213</v>
      </c>
      <c r="C1522">
        <v>2008880</v>
      </c>
    </row>
    <row r="1523" spans="1:3" x14ac:dyDescent="0.2">
      <c r="A1523">
        <v>5171</v>
      </c>
      <c r="B1523" t="s">
        <v>213</v>
      </c>
      <c r="C1523">
        <v>2008880</v>
      </c>
    </row>
    <row r="1524" spans="1:3" x14ac:dyDescent="0.2">
      <c r="A1524">
        <v>5171</v>
      </c>
      <c r="B1524" s="9" t="s">
        <v>213</v>
      </c>
      <c r="C1524">
        <v>2008880</v>
      </c>
    </row>
    <row r="1525" spans="1:3" x14ac:dyDescent="0.2">
      <c r="A1525" s="3">
        <v>5172</v>
      </c>
      <c r="B1525" s="3" t="s">
        <v>214</v>
      </c>
      <c r="C1525">
        <v>2004740</v>
      </c>
    </row>
    <row r="1526" spans="1:3" x14ac:dyDescent="0.2">
      <c r="A1526" s="3">
        <v>5172</v>
      </c>
      <c r="B1526" s="3" t="s">
        <v>214</v>
      </c>
      <c r="C1526">
        <v>2004740</v>
      </c>
    </row>
    <row r="1527" spans="1:3" x14ac:dyDescent="0.2">
      <c r="A1527" s="3">
        <v>5172</v>
      </c>
      <c r="B1527" s="3" t="s">
        <v>214</v>
      </c>
      <c r="C1527">
        <v>2004740</v>
      </c>
    </row>
    <row r="1528" spans="1:3" x14ac:dyDescent="0.2">
      <c r="A1528">
        <v>5172</v>
      </c>
      <c r="B1528" t="s">
        <v>214</v>
      </c>
      <c r="C1528">
        <v>2004740</v>
      </c>
    </row>
    <row r="1529" spans="1:3" x14ac:dyDescent="0.2">
      <c r="A1529">
        <v>5172</v>
      </c>
      <c r="B1529" t="s">
        <v>214</v>
      </c>
      <c r="C1529">
        <v>2004740</v>
      </c>
    </row>
    <row r="1530" spans="1:3" x14ac:dyDescent="0.2">
      <c r="A1530">
        <v>5172</v>
      </c>
      <c r="B1530" t="s">
        <v>214</v>
      </c>
      <c r="C1530">
        <v>2004740</v>
      </c>
    </row>
    <row r="1531" spans="1:3" x14ac:dyDescent="0.2">
      <c r="A1531">
        <v>5172</v>
      </c>
      <c r="B1531" t="s">
        <v>214</v>
      </c>
      <c r="C1531">
        <v>2004740</v>
      </c>
    </row>
    <row r="1532" spans="1:3" x14ac:dyDescent="0.2">
      <c r="A1532">
        <v>5172</v>
      </c>
      <c r="B1532" t="s">
        <v>214</v>
      </c>
      <c r="C1532">
        <v>2004740</v>
      </c>
    </row>
    <row r="1533" spans="1:3" x14ac:dyDescent="0.2">
      <c r="A1533">
        <v>5172</v>
      </c>
      <c r="B1533" s="9" t="s">
        <v>214</v>
      </c>
      <c r="C1533">
        <v>2004740</v>
      </c>
    </row>
    <row r="1534" spans="1:3" x14ac:dyDescent="0.2">
      <c r="A1534" s="3">
        <v>5173</v>
      </c>
      <c r="B1534" s="3" t="s">
        <v>215</v>
      </c>
      <c r="C1534">
        <v>2007860</v>
      </c>
    </row>
    <row r="1535" spans="1:3" x14ac:dyDescent="0.2">
      <c r="A1535" s="3">
        <v>5173</v>
      </c>
      <c r="B1535" s="3" t="s">
        <v>215</v>
      </c>
      <c r="C1535">
        <v>2007860</v>
      </c>
    </row>
    <row r="1536" spans="1:3" x14ac:dyDescent="0.2">
      <c r="A1536" s="3">
        <v>5173</v>
      </c>
      <c r="B1536" s="3" t="s">
        <v>215</v>
      </c>
      <c r="C1536">
        <v>2007860</v>
      </c>
    </row>
    <row r="1537" spans="1:3" x14ac:dyDescent="0.2">
      <c r="A1537">
        <v>5173</v>
      </c>
      <c r="B1537" t="s">
        <v>215</v>
      </c>
      <c r="C1537">
        <v>2007860</v>
      </c>
    </row>
    <row r="1538" spans="1:3" x14ac:dyDescent="0.2">
      <c r="A1538">
        <v>5173</v>
      </c>
      <c r="B1538" t="s">
        <v>215</v>
      </c>
      <c r="C1538">
        <v>2007860</v>
      </c>
    </row>
    <row r="1539" spans="1:3" x14ac:dyDescent="0.2">
      <c r="A1539">
        <v>5173</v>
      </c>
      <c r="B1539" t="s">
        <v>215</v>
      </c>
      <c r="C1539">
        <v>2007860</v>
      </c>
    </row>
    <row r="1540" spans="1:3" x14ac:dyDescent="0.2">
      <c r="A1540">
        <v>5173</v>
      </c>
      <c r="B1540" t="s">
        <v>215</v>
      </c>
      <c r="C1540">
        <v>2007860</v>
      </c>
    </row>
    <row r="1541" spans="1:3" x14ac:dyDescent="0.2">
      <c r="A1541">
        <v>5173</v>
      </c>
      <c r="B1541" t="s">
        <v>215</v>
      </c>
      <c r="C1541">
        <v>2007860</v>
      </c>
    </row>
    <row r="1542" spans="1:3" x14ac:dyDescent="0.2">
      <c r="A1542">
        <v>5173</v>
      </c>
      <c r="B1542" s="9" t="s">
        <v>215</v>
      </c>
      <c r="C1542">
        <v>2007860</v>
      </c>
    </row>
    <row r="1543" spans="1:3" x14ac:dyDescent="0.2">
      <c r="A1543" s="3">
        <v>5174</v>
      </c>
      <c r="B1543" s="3" t="s">
        <v>216</v>
      </c>
      <c r="C1543">
        <v>2007170</v>
      </c>
    </row>
    <row r="1544" spans="1:3" x14ac:dyDescent="0.2">
      <c r="A1544" s="3">
        <v>5174</v>
      </c>
      <c r="B1544" s="3" t="s">
        <v>216</v>
      </c>
      <c r="C1544">
        <v>2007170</v>
      </c>
    </row>
    <row r="1545" spans="1:3" x14ac:dyDescent="0.2">
      <c r="A1545" s="3">
        <v>5174</v>
      </c>
      <c r="B1545" s="3" t="s">
        <v>216</v>
      </c>
      <c r="C1545">
        <v>2007170</v>
      </c>
    </row>
    <row r="1546" spans="1:3" x14ac:dyDescent="0.2">
      <c r="A1546">
        <v>5174</v>
      </c>
      <c r="B1546" t="s">
        <v>216</v>
      </c>
      <c r="C1546">
        <v>2007170</v>
      </c>
    </row>
    <row r="1547" spans="1:3" x14ac:dyDescent="0.2">
      <c r="A1547">
        <v>5174</v>
      </c>
      <c r="B1547" t="s">
        <v>216</v>
      </c>
      <c r="C1547">
        <v>2007170</v>
      </c>
    </row>
    <row r="1548" spans="1:3" x14ac:dyDescent="0.2">
      <c r="A1548">
        <v>5174</v>
      </c>
      <c r="B1548" t="s">
        <v>216</v>
      </c>
      <c r="C1548">
        <v>2007170</v>
      </c>
    </row>
    <row r="1549" spans="1:3" x14ac:dyDescent="0.2">
      <c r="A1549">
        <v>5174</v>
      </c>
      <c r="B1549" t="s">
        <v>216</v>
      </c>
      <c r="C1549">
        <v>2007170</v>
      </c>
    </row>
    <row r="1550" spans="1:3" x14ac:dyDescent="0.2">
      <c r="A1550">
        <v>5174</v>
      </c>
      <c r="B1550" t="s">
        <v>216</v>
      </c>
      <c r="C1550">
        <v>2007170</v>
      </c>
    </row>
    <row r="1551" spans="1:3" x14ac:dyDescent="0.2">
      <c r="A1551">
        <v>5174</v>
      </c>
      <c r="B1551" s="9" t="s">
        <v>216</v>
      </c>
      <c r="C1551">
        <v>2007170</v>
      </c>
    </row>
    <row r="1552" spans="1:3" x14ac:dyDescent="0.2">
      <c r="A1552" s="3">
        <v>5175</v>
      </c>
      <c r="B1552" s="3" t="s">
        <v>217</v>
      </c>
      <c r="C1552">
        <v>2004230</v>
      </c>
    </row>
    <row r="1553" spans="1:3" x14ac:dyDescent="0.2">
      <c r="A1553" s="3">
        <v>5175</v>
      </c>
      <c r="B1553" s="3" t="s">
        <v>217</v>
      </c>
      <c r="C1553">
        <v>2004230</v>
      </c>
    </row>
    <row r="1554" spans="1:3" x14ac:dyDescent="0.2">
      <c r="A1554" s="3">
        <v>5175</v>
      </c>
      <c r="B1554" s="3" t="s">
        <v>217</v>
      </c>
      <c r="C1554">
        <v>2004230</v>
      </c>
    </row>
    <row r="1555" spans="1:3" x14ac:dyDescent="0.2">
      <c r="A1555">
        <v>5175</v>
      </c>
      <c r="B1555" t="s">
        <v>217</v>
      </c>
      <c r="C1555">
        <v>2004230</v>
      </c>
    </row>
    <row r="1556" spans="1:3" x14ac:dyDescent="0.2">
      <c r="A1556">
        <v>5175</v>
      </c>
      <c r="B1556" t="s">
        <v>217</v>
      </c>
      <c r="C1556">
        <v>2004230</v>
      </c>
    </row>
    <row r="1557" spans="1:3" x14ac:dyDescent="0.2">
      <c r="A1557">
        <v>5175</v>
      </c>
      <c r="B1557" t="s">
        <v>217</v>
      </c>
      <c r="C1557">
        <v>2004230</v>
      </c>
    </row>
    <row r="1558" spans="1:3" x14ac:dyDescent="0.2">
      <c r="A1558">
        <v>5175</v>
      </c>
      <c r="B1558" t="s">
        <v>217</v>
      </c>
      <c r="C1558">
        <v>2004230</v>
      </c>
    </row>
    <row r="1559" spans="1:3" x14ac:dyDescent="0.2">
      <c r="A1559">
        <v>5175</v>
      </c>
      <c r="B1559" t="s">
        <v>217</v>
      </c>
      <c r="C1559">
        <v>2004230</v>
      </c>
    </row>
    <row r="1560" spans="1:3" x14ac:dyDescent="0.2">
      <c r="A1560">
        <v>5175</v>
      </c>
      <c r="B1560" s="9" t="s">
        <v>217</v>
      </c>
      <c r="C1560">
        <v>2004230</v>
      </c>
    </row>
    <row r="1561" spans="1:3" x14ac:dyDescent="0.2">
      <c r="A1561" s="3">
        <v>5176</v>
      </c>
      <c r="B1561" s="3" t="s">
        <v>218</v>
      </c>
      <c r="C1561">
        <v>2008340</v>
      </c>
    </row>
    <row r="1562" spans="1:3" x14ac:dyDescent="0.2">
      <c r="A1562" s="3">
        <v>5176</v>
      </c>
      <c r="B1562" s="3" t="s">
        <v>218</v>
      </c>
      <c r="C1562">
        <v>2008340</v>
      </c>
    </row>
    <row r="1563" spans="1:3" x14ac:dyDescent="0.2">
      <c r="A1563" s="3">
        <v>5176</v>
      </c>
      <c r="B1563" s="3" t="s">
        <v>218</v>
      </c>
      <c r="C1563">
        <v>2008340</v>
      </c>
    </row>
    <row r="1564" spans="1:3" x14ac:dyDescent="0.2">
      <c r="A1564">
        <v>5176</v>
      </c>
      <c r="B1564" t="s">
        <v>218</v>
      </c>
      <c r="C1564">
        <v>2008340</v>
      </c>
    </row>
    <row r="1565" spans="1:3" x14ac:dyDescent="0.2">
      <c r="A1565">
        <v>5176</v>
      </c>
      <c r="B1565" t="s">
        <v>218</v>
      </c>
      <c r="C1565">
        <v>2008340</v>
      </c>
    </row>
    <row r="1566" spans="1:3" x14ac:dyDescent="0.2">
      <c r="A1566">
        <v>5176</v>
      </c>
      <c r="B1566" t="s">
        <v>218</v>
      </c>
      <c r="C1566">
        <v>2008340</v>
      </c>
    </row>
    <row r="1567" spans="1:3" x14ac:dyDescent="0.2">
      <c r="A1567">
        <v>5176</v>
      </c>
      <c r="B1567" t="s">
        <v>218</v>
      </c>
      <c r="C1567">
        <v>2008340</v>
      </c>
    </row>
    <row r="1568" spans="1:3" x14ac:dyDescent="0.2">
      <c r="A1568">
        <v>5176</v>
      </c>
      <c r="B1568" t="s">
        <v>218</v>
      </c>
      <c r="C1568">
        <v>2008340</v>
      </c>
    </row>
    <row r="1569" spans="1:3" x14ac:dyDescent="0.2">
      <c r="A1569">
        <v>5176</v>
      </c>
      <c r="B1569" s="9" t="s">
        <v>218</v>
      </c>
      <c r="C1569">
        <v>2008340</v>
      </c>
    </row>
    <row r="1570" spans="1:3" x14ac:dyDescent="0.2">
      <c r="A1570" s="3">
        <v>5177</v>
      </c>
      <c r="B1570" s="3" t="s">
        <v>24</v>
      </c>
    </row>
    <row r="1571" spans="1:3" x14ac:dyDescent="0.2">
      <c r="A1571" s="3">
        <v>5177</v>
      </c>
      <c r="B1571" s="3" t="s">
        <v>24</v>
      </c>
    </row>
    <row r="1572" spans="1:3" x14ac:dyDescent="0.2">
      <c r="A1572">
        <v>5177</v>
      </c>
      <c r="B1572" t="s">
        <v>24</v>
      </c>
    </row>
    <row r="1573" spans="1:3" x14ac:dyDescent="0.2">
      <c r="A1573">
        <v>5177</v>
      </c>
      <c r="B1573" t="s">
        <v>24</v>
      </c>
    </row>
    <row r="1574" spans="1:3" x14ac:dyDescent="0.2">
      <c r="A1574">
        <v>5177</v>
      </c>
      <c r="B1574" t="s">
        <v>24</v>
      </c>
    </row>
    <row r="1575" spans="1:3" x14ac:dyDescent="0.2">
      <c r="A1575">
        <v>5177</v>
      </c>
      <c r="B1575" t="s">
        <v>24</v>
      </c>
    </row>
    <row r="1576" spans="1:3" x14ac:dyDescent="0.2">
      <c r="A1576">
        <v>5177</v>
      </c>
      <c r="B1576" t="s">
        <v>24</v>
      </c>
    </row>
    <row r="1577" spans="1:3" x14ac:dyDescent="0.2">
      <c r="A1577">
        <v>5177</v>
      </c>
      <c r="B1577" s="9" t="s">
        <v>24</v>
      </c>
    </row>
    <row r="1578" spans="1:3" x14ac:dyDescent="0.2">
      <c r="A1578" s="3">
        <v>5178</v>
      </c>
      <c r="B1578" s="3" t="s">
        <v>25</v>
      </c>
    </row>
    <row r="1579" spans="1:3" x14ac:dyDescent="0.2">
      <c r="A1579" s="3">
        <v>5178</v>
      </c>
      <c r="B1579" s="3" t="s">
        <v>25</v>
      </c>
    </row>
    <row r="1580" spans="1:3" x14ac:dyDescent="0.2">
      <c r="A1580">
        <v>5178</v>
      </c>
      <c r="B1580" t="s">
        <v>25</v>
      </c>
    </row>
    <row r="1581" spans="1:3" x14ac:dyDescent="0.2">
      <c r="A1581">
        <v>5178</v>
      </c>
      <c r="B1581" t="s">
        <v>25</v>
      </c>
    </row>
    <row r="1582" spans="1:3" x14ac:dyDescent="0.2">
      <c r="A1582">
        <v>5178</v>
      </c>
      <c r="B1582" t="s">
        <v>25</v>
      </c>
    </row>
    <row r="1583" spans="1:3" x14ac:dyDescent="0.2">
      <c r="A1583">
        <v>5178</v>
      </c>
      <c r="B1583" t="s">
        <v>25</v>
      </c>
    </row>
    <row r="1584" spans="1:3" x14ac:dyDescent="0.2">
      <c r="A1584">
        <v>5178</v>
      </c>
      <c r="B1584" t="s">
        <v>25</v>
      </c>
    </row>
    <row r="1585" spans="1:2" x14ac:dyDescent="0.2">
      <c r="A1585">
        <v>5178</v>
      </c>
      <c r="B1585" s="9" t="s">
        <v>25</v>
      </c>
    </row>
    <row r="1586" spans="1:2" x14ac:dyDescent="0.2">
      <c r="A1586" s="3">
        <v>5179</v>
      </c>
      <c r="B1586" s="3" t="s">
        <v>26</v>
      </c>
    </row>
    <row r="1587" spans="1:2" x14ac:dyDescent="0.2">
      <c r="A1587" s="3">
        <v>5179</v>
      </c>
      <c r="B1587" s="3" t="s">
        <v>26</v>
      </c>
    </row>
    <row r="1588" spans="1:2" x14ac:dyDescent="0.2">
      <c r="A1588">
        <v>5179</v>
      </c>
      <c r="B1588" t="s">
        <v>26</v>
      </c>
    </row>
    <row r="1589" spans="1:2" x14ac:dyDescent="0.2">
      <c r="A1589">
        <v>5179</v>
      </c>
      <c r="B1589" t="s">
        <v>26</v>
      </c>
    </row>
    <row r="1590" spans="1:2" x14ac:dyDescent="0.2">
      <c r="A1590">
        <v>5179</v>
      </c>
      <c r="B1590" t="s">
        <v>26</v>
      </c>
    </row>
    <row r="1591" spans="1:2" x14ac:dyDescent="0.2">
      <c r="A1591">
        <v>5179</v>
      </c>
      <c r="B1591" t="s">
        <v>26</v>
      </c>
    </row>
    <row r="1592" spans="1:2" x14ac:dyDescent="0.2">
      <c r="A1592">
        <v>5179</v>
      </c>
      <c r="B1592" t="s">
        <v>26</v>
      </c>
    </row>
    <row r="1593" spans="1:2" x14ac:dyDescent="0.2">
      <c r="A1593">
        <v>5179</v>
      </c>
      <c r="B1593" s="9" t="s">
        <v>26</v>
      </c>
    </row>
    <row r="1594" spans="1:2" x14ac:dyDescent="0.2">
      <c r="A1594" s="3">
        <v>5180</v>
      </c>
      <c r="B1594" s="3" t="s">
        <v>27</v>
      </c>
    </row>
    <row r="1595" spans="1:2" x14ac:dyDescent="0.2">
      <c r="A1595" s="3">
        <v>5180</v>
      </c>
      <c r="B1595" s="3" t="s">
        <v>27</v>
      </c>
    </row>
    <row r="1596" spans="1:2" x14ac:dyDescent="0.2">
      <c r="A1596">
        <v>5180</v>
      </c>
      <c r="B1596" t="s">
        <v>27</v>
      </c>
    </row>
    <row r="1597" spans="1:2" x14ac:dyDescent="0.2">
      <c r="A1597">
        <v>5180</v>
      </c>
      <c r="B1597" t="s">
        <v>27</v>
      </c>
    </row>
    <row r="1598" spans="1:2" x14ac:dyDescent="0.2">
      <c r="A1598">
        <v>5180</v>
      </c>
      <c r="B1598" t="s">
        <v>27</v>
      </c>
    </row>
    <row r="1599" spans="1:2" x14ac:dyDescent="0.2">
      <c r="A1599">
        <v>5180</v>
      </c>
      <c r="B1599" t="s">
        <v>27</v>
      </c>
    </row>
    <row r="1600" spans="1:2" x14ac:dyDescent="0.2">
      <c r="A1600">
        <v>5180</v>
      </c>
      <c r="B1600" t="s">
        <v>27</v>
      </c>
    </row>
    <row r="1601" spans="1:3" x14ac:dyDescent="0.2">
      <c r="A1601">
        <v>5180</v>
      </c>
      <c r="B1601" s="9" t="s">
        <v>27</v>
      </c>
    </row>
    <row r="1602" spans="1:3" x14ac:dyDescent="0.2">
      <c r="A1602" s="3">
        <v>5185</v>
      </c>
      <c r="B1602" s="3" t="s">
        <v>219</v>
      </c>
      <c r="C1602">
        <v>2012000</v>
      </c>
    </row>
    <row r="1603" spans="1:3" x14ac:dyDescent="0.2">
      <c r="A1603" s="3">
        <v>5185</v>
      </c>
      <c r="B1603" s="3" t="s">
        <v>219</v>
      </c>
      <c r="C1603">
        <v>2012000</v>
      </c>
    </row>
    <row r="1604" spans="1:3" x14ac:dyDescent="0.2">
      <c r="A1604" s="3">
        <v>5185</v>
      </c>
      <c r="B1604" s="3" t="s">
        <v>219</v>
      </c>
      <c r="C1604">
        <v>2012000</v>
      </c>
    </row>
    <row r="1605" spans="1:3" x14ac:dyDescent="0.2">
      <c r="A1605">
        <v>5185</v>
      </c>
      <c r="B1605" t="s">
        <v>219</v>
      </c>
      <c r="C1605">
        <v>2012000</v>
      </c>
    </row>
    <row r="1606" spans="1:3" x14ac:dyDescent="0.2">
      <c r="A1606">
        <v>5185</v>
      </c>
      <c r="B1606" t="s">
        <v>219</v>
      </c>
      <c r="C1606">
        <v>2012000</v>
      </c>
    </row>
    <row r="1607" spans="1:3" x14ac:dyDescent="0.2">
      <c r="A1607">
        <v>5185</v>
      </c>
      <c r="B1607" t="s">
        <v>219</v>
      </c>
      <c r="C1607">
        <v>2012000</v>
      </c>
    </row>
    <row r="1608" spans="1:3" x14ac:dyDescent="0.2">
      <c r="A1608">
        <v>5185</v>
      </c>
      <c r="B1608" t="s">
        <v>219</v>
      </c>
      <c r="C1608">
        <v>2012000</v>
      </c>
    </row>
    <row r="1609" spans="1:3" x14ac:dyDescent="0.2">
      <c r="A1609">
        <v>5185</v>
      </c>
      <c r="B1609" t="s">
        <v>219</v>
      </c>
      <c r="C1609">
        <v>2012000</v>
      </c>
    </row>
    <row r="1610" spans="1:3" x14ac:dyDescent="0.2">
      <c r="A1610">
        <v>5185</v>
      </c>
      <c r="B1610" s="9" t="s">
        <v>219</v>
      </c>
      <c r="C1610">
        <v>2012000</v>
      </c>
    </row>
    <row r="1611" spans="1:3" x14ac:dyDescent="0.2">
      <c r="A1611" s="3">
        <v>5186</v>
      </c>
      <c r="B1611" s="3" t="s">
        <v>220</v>
      </c>
      <c r="C1611">
        <v>2000007</v>
      </c>
    </row>
    <row r="1612" spans="1:3" x14ac:dyDescent="0.2">
      <c r="A1612" s="3">
        <v>5186</v>
      </c>
      <c r="B1612" s="3" t="s">
        <v>220</v>
      </c>
      <c r="C1612">
        <v>2000007</v>
      </c>
    </row>
    <row r="1613" spans="1:3" x14ac:dyDescent="0.2">
      <c r="A1613" s="3">
        <v>5186</v>
      </c>
      <c r="B1613" s="3" t="s">
        <v>220</v>
      </c>
      <c r="C1613">
        <v>2000007</v>
      </c>
    </row>
    <row r="1614" spans="1:3" x14ac:dyDescent="0.2">
      <c r="A1614">
        <v>5186</v>
      </c>
      <c r="B1614" t="s">
        <v>220</v>
      </c>
      <c r="C1614">
        <v>2000007</v>
      </c>
    </row>
    <row r="1615" spans="1:3" x14ac:dyDescent="0.2">
      <c r="A1615">
        <v>5186</v>
      </c>
      <c r="B1615" t="s">
        <v>220</v>
      </c>
      <c r="C1615">
        <v>2000007</v>
      </c>
    </row>
    <row r="1616" spans="1:3" x14ac:dyDescent="0.2">
      <c r="A1616">
        <v>5186</v>
      </c>
      <c r="B1616" t="s">
        <v>220</v>
      </c>
      <c r="C1616">
        <v>2000007</v>
      </c>
    </row>
    <row r="1617" spans="1:3" x14ac:dyDescent="0.2">
      <c r="A1617">
        <v>5186</v>
      </c>
      <c r="B1617" t="s">
        <v>220</v>
      </c>
      <c r="C1617">
        <v>2000007</v>
      </c>
    </row>
    <row r="1618" spans="1:3" x14ac:dyDescent="0.2">
      <c r="A1618">
        <v>5186</v>
      </c>
      <c r="B1618" t="s">
        <v>220</v>
      </c>
      <c r="C1618">
        <v>2000007</v>
      </c>
    </row>
    <row r="1619" spans="1:3" x14ac:dyDescent="0.2">
      <c r="A1619">
        <v>5186</v>
      </c>
      <c r="B1619" s="9" t="s">
        <v>220</v>
      </c>
      <c r="C1619">
        <v>2000007</v>
      </c>
    </row>
    <row r="1620" spans="1:3" x14ac:dyDescent="0.2">
      <c r="A1620" s="3">
        <v>5187</v>
      </c>
      <c r="B1620" s="3" t="s">
        <v>221</v>
      </c>
      <c r="C1620">
        <v>2003960</v>
      </c>
    </row>
    <row r="1621" spans="1:3" x14ac:dyDescent="0.2">
      <c r="A1621" s="3">
        <v>5187</v>
      </c>
      <c r="B1621" s="3" t="s">
        <v>221</v>
      </c>
      <c r="C1621">
        <v>2003960</v>
      </c>
    </row>
    <row r="1622" spans="1:3" x14ac:dyDescent="0.2">
      <c r="A1622" s="3">
        <v>5187</v>
      </c>
      <c r="B1622" s="3" t="s">
        <v>221</v>
      </c>
      <c r="C1622">
        <v>2003960</v>
      </c>
    </row>
    <row r="1623" spans="1:3" x14ac:dyDescent="0.2">
      <c r="A1623">
        <v>5187</v>
      </c>
      <c r="B1623" t="s">
        <v>221</v>
      </c>
      <c r="C1623">
        <v>2003960</v>
      </c>
    </row>
    <row r="1624" spans="1:3" x14ac:dyDescent="0.2">
      <c r="A1624">
        <v>5187</v>
      </c>
      <c r="B1624" t="s">
        <v>221</v>
      </c>
      <c r="C1624">
        <v>2003960</v>
      </c>
    </row>
    <row r="1625" spans="1:3" x14ac:dyDescent="0.2">
      <c r="A1625">
        <v>5187</v>
      </c>
      <c r="B1625" t="s">
        <v>221</v>
      </c>
      <c r="C1625">
        <v>2003960</v>
      </c>
    </row>
    <row r="1626" spans="1:3" x14ac:dyDescent="0.2">
      <c r="A1626">
        <v>5187</v>
      </c>
      <c r="B1626" t="s">
        <v>221</v>
      </c>
      <c r="C1626">
        <v>2003960</v>
      </c>
    </row>
    <row r="1627" spans="1:3" x14ac:dyDescent="0.2">
      <c r="A1627">
        <v>5187</v>
      </c>
      <c r="B1627" t="s">
        <v>221</v>
      </c>
      <c r="C1627">
        <v>2003960</v>
      </c>
    </row>
    <row r="1628" spans="1:3" x14ac:dyDescent="0.2">
      <c r="A1628">
        <v>5187</v>
      </c>
      <c r="B1628" s="9" t="s">
        <v>221</v>
      </c>
      <c r="C1628">
        <v>2003960</v>
      </c>
    </row>
    <row r="1629" spans="1:3" x14ac:dyDescent="0.2">
      <c r="A1629" s="3">
        <v>5188</v>
      </c>
      <c r="B1629" s="3" t="s">
        <v>222</v>
      </c>
      <c r="C1629">
        <v>2012060</v>
      </c>
    </row>
    <row r="1630" spans="1:3" x14ac:dyDescent="0.2">
      <c r="A1630" s="3">
        <v>5188</v>
      </c>
      <c r="B1630" s="3" t="s">
        <v>222</v>
      </c>
      <c r="C1630">
        <v>2012060</v>
      </c>
    </row>
    <row r="1631" spans="1:3" x14ac:dyDescent="0.2">
      <c r="A1631" s="3">
        <v>5188</v>
      </c>
      <c r="B1631" s="3" t="s">
        <v>222</v>
      </c>
      <c r="C1631">
        <v>2012060</v>
      </c>
    </row>
    <row r="1632" spans="1:3" x14ac:dyDescent="0.2">
      <c r="A1632">
        <v>5188</v>
      </c>
      <c r="B1632" t="s">
        <v>222</v>
      </c>
      <c r="C1632">
        <v>2012060</v>
      </c>
    </row>
    <row r="1633" spans="1:3" x14ac:dyDescent="0.2">
      <c r="A1633">
        <v>5188</v>
      </c>
      <c r="B1633" t="s">
        <v>222</v>
      </c>
      <c r="C1633">
        <v>2012060</v>
      </c>
    </row>
    <row r="1634" spans="1:3" x14ac:dyDescent="0.2">
      <c r="A1634">
        <v>5188</v>
      </c>
      <c r="B1634" t="s">
        <v>222</v>
      </c>
      <c r="C1634">
        <v>2012060</v>
      </c>
    </row>
    <row r="1635" spans="1:3" x14ac:dyDescent="0.2">
      <c r="A1635">
        <v>5188</v>
      </c>
      <c r="B1635" t="s">
        <v>222</v>
      </c>
      <c r="C1635">
        <v>2012060</v>
      </c>
    </row>
    <row r="1636" spans="1:3" x14ac:dyDescent="0.2">
      <c r="A1636">
        <v>5188</v>
      </c>
      <c r="B1636" t="s">
        <v>222</v>
      </c>
      <c r="C1636">
        <v>2012060</v>
      </c>
    </row>
    <row r="1637" spans="1:3" x14ac:dyDescent="0.2">
      <c r="A1637">
        <v>5188</v>
      </c>
      <c r="B1637" s="9" t="s">
        <v>222</v>
      </c>
      <c r="C1637">
        <v>2012060</v>
      </c>
    </row>
    <row r="1638" spans="1:3" x14ac:dyDescent="0.2">
      <c r="A1638" s="3">
        <v>5189</v>
      </c>
      <c r="B1638" s="3" t="s">
        <v>223</v>
      </c>
      <c r="C1638">
        <v>2006780</v>
      </c>
    </row>
    <row r="1639" spans="1:3" x14ac:dyDescent="0.2">
      <c r="A1639" s="3">
        <v>5189</v>
      </c>
      <c r="B1639" s="3" t="s">
        <v>223</v>
      </c>
      <c r="C1639">
        <v>2006780</v>
      </c>
    </row>
    <row r="1640" spans="1:3" x14ac:dyDescent="0.2">
      <c r="A1640" s="3">
        <v>5189</v>
      </c>
      <c r="B1640" s="3" t="s">
        <v>223</v>
      </c>
      <c r="C1640">
        <v>2006780</v>
      </c>
    </row>
    <row r="1641" spans="1:3" x14ac:dyDescent="0.2">
      <c r="A1641">
        <v>5189</v>
      </c>
      <c r="B1641" t="s">
        <v>223</v>
      </c>
      <c r="C1641">
        <v>2006780</v>
      </c>
    </row>
    <row r="1642" spans="1:3" x14ac:dyDescent="0.2">
      <c r="A1642">
        <v>5189</v>
      </c>
      <c r="B1642" t="s">
        <v>223</v>
      </c>
      <c r="C1642">
        <v>2006780</v>
      </c>
    </row>
    <row r="1643" spans="1:3" x14ac:dyDescent="0.2">
      <c r="A1643">
        <v>5189</v>
      </c>
      <c r="B1643" t="s">
        <v>223</v>
      </c>
      <c r="C1643">
        <v>2006780</v>
      </c>
    </row>
    <row r="1644" spans="1:3" x14ac:dyDescent="0.2">
      <c r="A1644">
        <v>5189</v>
      </c>
      <c r="B1644" t="s">
        <v>223</v>
      </c>
      <c r="C1644">
        <v>2006780</v>
      </c>
    </row>
    <row r="1645" spans="1:3" x14ac:dyDescent="0.2">
      <c r="A1645">
        <v>5189</v>
      </c>
      <c r="B1645" t="s">
        <v>223</v>
      </c>
      <c r="C1645">
        <v>2006780</v>
      </c>
    </row>
    <row r="1646" spans="1:3" x14ac:dyDescent="0.2">
      <c r="A1646">
        <v>5189</v>
      </c>
      <c r="B1646" s="9" t="s">
        <v>223</v>
      </c>
      <c r="C1646">
        <v>2006780</v>
      </c>
    </row>
    <row r="1647" spans="1:3" x14ac:dyDescent="0.2">
      <c r="A1647" s="3">
        <v>5190</v>
      </c>
      <c r="B1647" s="3" t="s">
        <v>224</v>
      </c>
      <c r="C1647">
        <v>2011880</v>
      </c>
    </row>
    <row r="1648" spans="1:3" x14ac:dyDescent="0.2">
      <c r="A1648" s="3">
        <v>5190</v>
      </c>
      <c r="B1648" s="3" t="s">
        <v>224</v>
      </c>
      <c r="C1648">
        <v>2011880</v>
      </c>
    </row>
    <row r="1649" spans="1:3" x14ac:dyDescent="0.2">
      <c r="A1649" s="3">
        <v>5190</v>
      </c>
      <c r="B1649" s="3" t="s">
        <v>224</v>
      </c>
      <c r="C1649">
        <v>2011880</v>
      </c>
    </row>
    <row r="1650" spans="1:3" x14ac:dyDescent="0.2">
      <c r="A1650">
        <v>5190</v>
      </c>
      <c r="B1650" t="s">
        <v>224</v>
      </c>
      <c r="C1650">
        <v>2011880</v>
      </c>
    </row>
    <row r="1651" spans="1:3" x14ac:dyDescent="0.2">
      <c r="A1651">
        <v>5190</v>
      </c>
      <c r="B1651" t="s">
        <v>224</v>
      </c>
      <c r="C1651">
        <v>2011880</v>
      </c>
    </row>
    <row r="1652" spans="1:3" x14ac:dyDescent="0.2">
      <c r="A1652">
        <v>5190</v>
      </c>
      <c r="B1652" t="s">
        <v>224</v>
      </c>
      <c r="C1652">
        <v>2011880</v>
      </c>
    </row>
    <row r="1653" spans="1:3" x14ac:dyDescent="0.2">
      <c r="A1653">
        <v>5190</v>
      </c>
      <c r="B1653" t="s">
        <v>224</v>
      </c>
      <c r="C1653">
        <v>2011880</v>
      </c>
    </row>
    <row r="1654" spans="1:3" x14ac:dyDescent="0.2">
      <c r="A1654">
        <v>5190</v>
      </c>
      <c r="B1654" t="s">
        <v>224</v>
      </c>
      <c r="C1654">
        <v>2011880</v>
      </c>
    </row>
    <row r="1655" spans="1:3" x14ac:dyDescent="0.2">
      <c r="A1655">
        <v>5190</v>
      </c>
      <c r="B1655" s="9" t="s">
        <v>224</v>
      </c>
      <c r="C1655">
        <v>2011880</v>
      </c>
    </row>
    <row r="1656" spans="1:3" x14ac:dyDescent="0.2">
      <c r="A1656" s="3">
        <v>5191</v>
      </c>
      <c r="B1656" s="3" t="s">
        <v>225</v>
      </c>
      <c r="C1656">
        <v>2009990</v>
      </c>
    </row>
    <row r="1657" spans="1:3" x14ac:dyDescent="0.2">
      <c r="A1657" s="3">
        <v>5191</v>
      </c>
      <c r="B1657" s="3" t="s">
        <v>225</v>
      </c>
      <c r="C1657">
        <v>2009990</v>
      </c>
    </row>
    <row r="1658" spans="1:3" x14ac:dyDescent="0.2">
      <c r="A1658" s="3">
        <v>5191</v>
      </c>
      <c r="B1658" s="3" t="s">
        <v>225</v>
      </c>
      <c r="C1658">
        <v>2009990</v>
      </c>
    </row>
    <row r="1659" spans="1:3" x14ac:dyDescent="0.2">
      <c r="A1659">
        <v>5191</v>
      </c>
      <c r="B1659" t="s">
        <v>225</v>
      </c>
      <c r="C1659">
        <v>2009990</v>
      </c>
    </row>
    <row r="1660" spans="1:3" x14ac:dyDescent="0.2">
      <c r="A1660">
        <v>5191</v>
      </c>
      <c r="B1660" t="s">
        <v>225</v>
      </c>
      <c r="C1660">
        <v>2009990</v>
      </c>
    </row>
    <row r="1661" spans="1:3" x14ac:dyDescent="0.2">
      <c r="A1661">
        <v>5191</v>
      </c>
      <c r="B1661" t="s">
        <v>225</v>
      </c>
      <c r="C1661">
        <v>2009990</v>
      </c>
    </row>
    <row r="1662" spans="1:3" x14ac:dyDescent="0.2">
      <c r="A1662">
        <v>5191</v>
      </c>
      <c r="B1662" t="s">
        <v>225</v>
      </c>
      <c r="C1662">
        <v>2009990</v>
      </c>
    </row>
    <row r="1663" spans="1:3" x14ac:dyDescent="0.2">
      <c r="A1663">
        <v>5191</v>
      </c>
      <c r="B1663" t="s">
        <v>225</v>
      </c>
      <c r="C1663">
        <v>2009990</v>
      </c>
    </row>
    <row r="1664" spans="1:3" x14ac:dyDescent="0.2">
      <c r="A1664">
        <v>5191</v>
      </c>
      <c r="B1664" s="9" t="s">
        <v>225</v>
      </c>
      <c r="C1664">
        <v>2009990</v>
      </c>
    </row>
    <row r="1665" spans="1:3" x14ac:dyDescent="0.2">
      <c r="A1665" s="3">
        <v>5192</v>
      </c>
      <c r="B1665" s="3" t="s">
        <v>226</v>
      </c>
      <c r="C1665">
        <v>2008310</v>
      </c>
    </row>
    <row r="1666" spans="1:3" x14ac:dyDescent="0.2">
      <c r="A1666" s="3">
        <v>5192</v>
      </c>
      <c r="B1666" s="3" t="s">
        <v>226</v>
      </c>
      <c r="C1666">
        <v>2008310</v>
      </c>
    </row>
    <row r="1667" spans="1:3" x14ac:dyDescent="0.2">
      <c r="A1667" s="3">
        <v>5192</v>
      </c>
      <c r="B1667" s="3" t="s">
        <v>226</v>
      </c>
      <c r="C1667">
        <v>2008310</v>
      </c>
    </row>
    <row r="1668" spans="1:3" x14ac:dyDescent="0.2">
      <c r="A1668">
        <v>5192</v>
      </c>
      <c r="B1668" t="s">
        <v>226</v>
      </c>
      <c r="C1668">
        <v>2008310</v>
      </c>
    </row>
    <row r="1669" spans="1:3" x14ac:dyDescent="0.2">
      <c r="A1669">
        <v>5192</v>
      </c>
      <c r="B1669" t="s">
        <v>226</v>
      </c>
      <c r="C1669">
        <v>2008310</v>
      </c>
    </row>
    <row r="1670" spans="1:3" x14ac:dyDescent="0.2">
      <c r="A1670">
        <v>5192</v>
      </c>
      <c r="B1670" t="s">
        <v>226</v>
      </c>
      <c r="C1670">
        <v>2008310</v>
      </c>
    </row>
    <row r="1671" spans="1:3" x14ac:dyDescent="0.2">
      <c r="A1671">
        <v>5192</v>
      </c>
      <c r="B1671" t="s">
        <v>226</v>
      </c>
      <c r="C1671">
        <v>2008310</v>
      </c>
    </row>
    <row r="1672" spans="1:3" x14ac:dyDescent="0.2">
      <c r="A1672">
        <v>5192</v>
      </c>
      <c r="B1672" t="s">
        <v>226</v>
      </c>
      <c r="C1672">
        <v>2008310</v>
      </c>
    </row>
    <row r="1673" spans="1:3" x14ac:dyDescent="0.2">
      <c r="A1673">
        <v>5192</v>
      </c>
      <c r="B1673" s="9" t="s">
        <v>226</v>
      </c>
      <c r="C1673">
        <v>2008310</v>
      </c>
    </row>
    <row r="1674" spans="1:3" x14ac:dyDescent="0.2">
      <c r="A1674" s="3">
        <v>5193</v>
      </c>
      <c r="B1674" s="3" t="s">
        <v>227</v>
      </c>
      <c r="C1674">
        <v>2004200</v>
      </c>
    </row>
    <row r="1675" spans="1:3" x14ac:dyDescent="0.2">
      <c r="A1675" s="3">
        <v>5193</v>
      </c>
      <c r="B1675" s="3" t="s">
        <v>227</v>
      </c>
      <c r="C1675">
        <v>2004200</v>
      </c>
    </row>
    <row r="1676" spans="1:3" x14ac:dyDescent="0.2">
      <c r="A1676" s="3">
        <v>5193</v>
      </c>
      <c r="B1676" s="3" t="s">
        <v>227</v>
      </c>
      <c r="C1676">
        <v>2004200</v>
      </c>
    </row>
    <row r="1677" spans="1:3" x14ac:dyDescent="0.2">
      <c r="A1677">
        <v>5193</v>
      </c>
      <c r="B1677" t="s">
        <v>227</v>
      </c>
      <c r="C1677">
        <v>2004200</v>
      </c>
    </row>
    <row r="1678" spans="1:3" x14ac:dyDescent="0.2">
      <c r="A1678">
        <v>5193</v>
      </c>
      <c r="B1678" t="s">
        <v>227</v>
      </c>
      <c r="C1678">
        <v>2004200</v>
      </c>
    </row>
    <row r="1679" spans="1:3" x14ac:dyDescent="0.2">
      <c r="A1679">
        <v>5193</v>
      </c>
      <c r="B1679" t="s">
        <v>227</v>
      </c>
      <c r="C1679">
        <v>2004200</v>
      </c>
    </row>
    <row r="1680" spans="1:3" x14ac:dyDescent="0.2">
      <c r="A1680">
        <v>5193</v>
      </c>
      <c r="B1680" t="s">
        <v>227</v>
      </c>
      <c r="C1680">
        <v>2004200</v>
      </c>
    </row>
    <row r="1681" spans="1:3" x14ac:dyDescent="0.2">
      <c r="A1681">
        <v>5193</v>
      </c>
      <c r="B1681" t="s">
        <v>227</v>
      </c>
      <c r="C1681">
        <v>2004200</v>
      </c>
    </row>
    <row r="1682" spans="1:3" x14ac:dyDescent="0.2">
      <c r="A1682">
        <v>5193</v>
      </c>
      <c r="B1682" s="9" t="s">
        <v>227</v>
      </c>
      <c r="C1682">
        <v>2004200</v>
      </c>
    </row>
    <row r="1683" spans="1:3" x14ac:dyDescent="0.2">
      <c r="A1683" s="3">
        <v>5195</v>
      </c>
      <c r="B1683" s="3" t="s">
        <v>228</v>
      </c>
      <c r="C1683">
        <v>2000004</v>
      </c>
    </row>
    <row r="1684" spans="1:3" x14ac:dyDescent="0.2">
      <c r="A1684" s="3">
        <v>5195</v>
      </c>
      <c r="B1684" s="3" t="s">
        <v>228</v>
      </c>
      <c r="C1684">
        <v>2000004</v>
      </c>
    </row>
    <row r="1685" spans="1:3" x14ac:dyDescent="0.2">
      <c r="A1685" s="3">
        <v>5195</v>
      </c>
      <c r="B1685" s="3" t="s">
        <v>228</v>
      </c>
      <c r="C1685">
        <v>2000004</v>
      </c>
    </row>
    <row r="1686" spans="1:3" x14ac:dyDescent="0.2">
      <c r="A1686">
        <v>5195</v>
      </c>
      <c r="B1686" t="s">
        <v>228</v>
      </c>
      <c r="C1686">
        <v>2000004</v>
      </c>
    </row>
    <row r="1687" spans="1:3" x14ac:dyDescent="0.2">
      <c r="A1687">
        <v>5195</v>
      </c>
      <c r="B1687" t="s">
        <v>228</v>
      </c>
      <c r="C1687">
        <v>2000004</v>
      </c>
    </row>
    <row r="1688" spans="1:3" x14ac:dyDescent="0.2">
      <c r="A1688">
        <v>5195</v>
      </c>
      <c r="B1688" t="s">
        <v>228</v>
      </c>
      <c r="C1688">
        <v>2000004</v>
      </c>
    </row>
    <row r="1689" spans="1:3" x14ac:dyDescent="0.2">
      <c r="A1689">
        <v>5195</v>
      </c>
      <c r="B1689" t="s">
        <v>228</v>
      </c>
      <c r="C1689">
        <v>2000004</v>
      </c>
    </row>
    <row r="1690" spans="1:3" x14ac:dyDescent="0.2">
      <c r="A1690">
        <v>5195</v>
      </c>
      <c r="B1690" t="s">
        <v>228</v>
      </c>
      <c r="C1690">
        <v>2000004</v>
      </c>
    </row>
    <row r="1691" spans="1:3" x14ac:dyDescent="0.2">
      <c r="A1691">
        <v>5195</v>
      </c>
      <c r="B1691" s="9" t="s">
        <v>228</v>
      </c>
      <c r="C1691">
        <v>2000004</v>
      </c>
    </row>
    <row r="1692" spans="1:3" x14ac:dyDescent="0.2">
      <c r="A1692" s="3">
        <v>5196</v>
      </c>
      <c r="B1692" s="3" t="s">
        <v>229</v>
      </c>
      <c r="C1692">
        <v>2010320</v>
      </c>
    </row>
    <row r="1693" spans="1:3" x14ac:dyDescent="0.2">
      <c r="A1693" s="3">
        <v>5196</v>
      </c>
      <c r="B1693" s="3" t="s">
        <v>229</v>
      </c>
      <c r="C1693">
        <v>2010320</v>
      </c>
    </row>
    <row r="1694" spans="1:3" x14ac:dyDescent="0.2">
      <c r="A1694" s="3">
        <v>5196</v>
      </c>
      <c r="B1694" s="3" t="s">
        <v>229</v>
      </c>
      <c r="C1694">
        <v>2010320</v>
      </c>
    </row>
    <row r="1695" spans="1:3" x14ac:dyDescent="0.2">
      <c r="A1695">
        <v>5196</v>
      </c>
      <c r="B1695" t="s">
        <v>229</v>
      </c>
      <c r="C1695">
        <v>2010320</v>
      </c>
    </row>
    <row r="1696" spans="1:3" x14ac:dyDescent="0.2">
      <c r="A1696">
        <v>5196</v>
      </c>
      <c r="B1696" t="s">
        <v>229</v>
      </c>
      <c r="C1696">
        <v>2010320</v>
      </c>
    </row>
    <row r="1697" spans="1:3" x14ac:dyDescent="0.2">
      <c r="A1697">
        <v>5196</v>
      </c>
      <c r="B1697" t="s">
        <v>229</v>
      </c>
      <c r="C1697">
        <v>2010320</v>
      </c>
    </row>
    <row r="1698" spans="1:3" x14ac:dyDescent="0.2">
      <c r="A1698">
        <v>5196</v>
      </c>
      <c r="B1698" t="s">
        <v>229</v>
      </c>
      <c r="C1698">
        <v>2010320</v>
      </c>
    </row>
    <row r="1699" spans="1:3" x14ac:dyDescent="0.2">
      <c r="A1699">
        <v>5196</v>
      </c>
      <c r="B1699" t="s">
        <v>229</v>
      </c>
      <c r="C1699">
        <v>2010320</v>
      </c>
    </row>
    <row r="1700" spans="1:3" x14ac:dyDescent="0.2">
      <c r="A1700">
        <v>5196</v>
      </c>
      <c r="B1700" s="9" t="s">
        <v>229</v>
      </c>
      <c r="C1700">
        <v>2010320</v>
      </c>
    </row>
    <row r="1701" spans="1:3" x14ac:dyDescent="0.2">
      <c r="A1701" s="3">
        <v>5197</v>
      </c>
      <c r="B1701" s="3" t="s">
        <v>230</v>
      </c>
      <c r="C1701">
        <v>2009060</v>
      </c>
    </row>
    <row r="1702" spans="1:3" x14ac:dyDescent="0.2">
      <c r="A1702" s="3">
        <v>5197</v>
      </c>
      <c r="B1702" s="3" t="s">
        <v>230</v>
      </c>
      <c r="C1702">
        <v>2009060</v>
      </c>
    </row>
    <row r="1703" spans="1:3" x14ac:dyDescent="0.2">
      <c r="A1703" s="3">
        <v>5197</v>
      </c>
      <c r="B1703" s="3" t="s">
        <v>230</v>
      </c>
      <c r="C1703">
        <v>2009060</v>
      </c>
    </row>
    <row r="1704" spans="1:3" x14ac:dyDescent="0.2">
      <c r="A1704">
        <v>5197</v>
      </c>
      <c r="B1704" t="s">
        <v>230</v>
      </c>
      <c r="C1704">
        <v>2009060</v>
      </c>
    </row>
    <row r="1705" spans="1:3" x14ac:dyDescent="0.2">
      <c r="A1705">
        <v>5197</v>
      </c>
      <c r="B1705" t="s">
        <v>230</v>
      </c>
      <c r="C1705">
        <v>2009060</v>
      </c>
    </row>
    <row r="1706" spans="1:3" x14ac:dyDescent="0.2">
      <c r="A1706">
        <v>5197</v>
      </c>
      <c r="B1706" t="s">
        <v>230</v>
      </c>
      <c r="C1706">
        <v>2009060</v>
      </c>
    </row>
    <row r="1707" spans="1:3" x14ac:dyDescent="0.2">
      <c r="A1707">
        <v>5197</v>
      </c>
      <c r="B1707" t="s">
        <v>230</v>
      </c>
      <c r="C1707">
        <v>2009060</v>
      </c>
    </row>
    <row r="1708" spans="1:3" x14ac:dyDescent="0.2">
      <c r="A1708">
        <v>5197</v>
      </c>
      <c r="B1708" t="s">
        <v>230</v>
      </c>
      <c r="C1708">
        <v>2009060</v>
      </c>
    </row>
    <row r="1709" spans="1:3" x14ac:dyDescent="0.2">
      <c r="A1709">
        <v>5197</v>
      </c>
      <c r="B1709" s="9" t="s">
        <v>230</v>
      </c>
      <c r="C1709">
        <v>2009060</v>
      </c>
    </row>
    <row r="1710" spans="1:3" x14ac:dyDescent="0.2">
      <c r="A1710" s="3">
        <v>5198</v>
      </c>
      <c r="B1710" s="3" t="s">
        <v>231</v>
      </c>
      <c r="C1710">
        <v>2012840</v>
      </c>
    </row>
    <row r="1711" spans="1:3" x14ac:dyDescent="0.2">
      <c r="A1711" s="3">
        <v>5198</v>
      </c>
      <c r="B1711" s="3" t="s">
        <v>231</v>
      </c>
      <c r="C1711">
        <v>2012840</v>
      </c>
    </row>
    <row r="1712" spans="1:3" x14ac:dyDescent="0.2">
      <c r="A1712" s="3">
        <v>5198</v>
      </c>
      <c r="B1712" s="3" t="s">
        <v>231</v>
      </c>
      <c r="C1712">
        <v>2012840</v>
      </c>
    </row>
    <row r="1713" spans="1:3" x14ac:dyDescent="0.2">
      <c r="A1713">
        <v>5198</v>
      </c>
      <c r="B1713" t="s">
        <v>231</v>
      </c>
      <c r="C1713">
        <v>2012840</v>
      </c>
    </row>
    <row r="1714" spans="1:3" x14ac:dyDescent="0.2">
      <c r="A1714">
        <v>5198</v>
      </c>
      <c r="B1714" t="s">
        <v>231</v>
      </c>
      <c r="C1714">
        <v>2012840</v>
      </c>
    </row>
    <row r="1715" spans="1:3" x14ac:dyDescent="0.2">
      <c r="A1715">
        <v>5198</v>
      </c>
      <c r="B1715" t="s">
        <v>231</v>
      </c>
      <c r="C1715">
        <v>2012840</v>
      </c>
    </row>
    <row r="1716" spans="1:3" x14ac:dyDescent="0.2">
      <c r="A1716">
        <v>5198</v>
      </c>
      <c r="B1716" t="s">
        <v>231</v>
      </c>
      <c r="C1716">
        <v>2012840</v>
      </c>
    </row>
    <row r="1717" spans="1:3" x14ac:dyDescent="0.2">
      <c r="A1717">
        <v>5198</v>
      </c>
      <c r="B1717" t="s">
        <v>231</v>
      </c>
      <c r="C1717">
        <v>2012840</v>
      </c>
    </row>
    <row r="1718" spans="1:3" x14ac:dyDescent="0.2">
      <c r="A1718">
        <v>5198</v>
      </c>
      <c r="B1718" s="9" t="s">
        <v>231</v>
      </c>
      <c r="C1718">
        <v>2012840</v>
      </c>
    </row>
    <row r="1719" spans="1:3" x14ac:dyDescent="0.2">
      <c r="A1719" s="3">
        <v>5199</v>
      </c>
      <c r="B1719" s="3" t="s">
        <v>232</v>
      </c>
      <c r="C1719">
        <v>2005820</v>
      </c>
    </row>
    <row r="1720" spans="1:3" x14ac:dyDescent="0.2">
      <c r="A1720" s="3">
        <v>5199</v>
      </c>
      <c r="B1720" s="3" t="s">
        <v>232</v>
      </c>
      <c r="C1720">
        <v>2005820</v>
      </c>
    </row>
    <row r="1721" spans="1:3" x14ac:dyDescent="0.2">
      <c r="A1721" s="3">
        <v>5199</v>
      </c>
      <c r="B1721" s="3" t="s">
        <v>232</v>
      </c>
      <c r="C1721">
        <v>2005820</v>
      </c>
    </row>
    <row r="1722" spans="1:3" x14ac:dyDescent="0.2">
      <c r="A1722">
        <v>5199</v>
      </c>
      <c r="B1722" t="s">
        <v>232</v>
      </c>
      <c r="C1722">
        <v>2005820</v>
      </c>
    </row>
    <row r="1723" spans="1:3" x14ac:dyDescent="0.2">
      <c r="A1723">
        <v>5199</v>
      </c>
      <c r="B1723" t="s">
        <v>232</v>
      </c>
      <c r="C1723">
        <v>2005820</v>
      </c>
    </row>
    <row r="1724" spans="1:3" x14ac:dyDescent="0.2">
      <c r="A1724">
        <v>5199</v>
      </c>
      <c r="B1724" t="s">
        <v>232</v>
      </c>
      <c r="C1724">
        <v>2005820</v>
      </c>
    </row>
    <row r="1725" spans="1:3" x14ac:dyDescent="0.2">
      <c r="A1725">
        <v>5199</v>
      </c>
      <c r="B1725" t="s">
        <v>232</v>
      </c>
      <c r="C1725">
        <v>2005820</v>
      </c>
    </row>
    <row r="1726" spans="1:3" x14ac:dyDescent="0.2">
      <c r="A1726">
        <v>5199</v>
      </c>
      <c r="B1726" t="s">
        <v>232</v>
      </c>
      <c r="C1726">
        <v>2005820</v>
      </c>
    </row>
    <row r="1727" spans="1:3" x14ac:dyDescent="0.2">
      <c r="A1727">
        <v>5199</v>
      </c>
      <c r="B1727" s="9" t="s">
        <v>232</v>
      </c>
      <c r="C1727">
        <v>2005820</v>
      </c>
    </row>
    <row r="1728" spans="1:3" x14ac:dyDescent="0.2">
      <c r="A1728" s="3">
        <v>5200</v>
      </c>
      <c r="B1728" s="3" t="s">
        <v>233</v>
      </c>
      <c r="C1728">
        <v>2008250</v>
      </c>
    </row>
    <row r="1729" spans="1:3" x14ac:dyDescent="0.2">
      <c r="A1729" s="3">
        <v>5200</v>
      </c>
      <c r="B1729" s="3" t="s">
        <v>233</v>
      </c>
      <c r="C1729">
        <v>2008250</v>
      </c>
    </row>
    <row r="1730" spans="1:3" x14ac:dyDescent="0.2">
      <c r="A1730" s="3">
        <v>5200</v>
      </c>
      <c r="B1730" s="3" t="s">
        <v>233</v>
      </c>
      <c r="C1730">
        <v>2008250</v>
      </c>
    </row>
    <row r="1731" spans="1:3" x14ac:dyDescent="0.2">
      <c r="A1731">
        <v>5200</v>
      </c>
      <c r="B1731" t="s">
        <v>233</v>
      </c>
      <c r="C1731">
        <v>2008250</v>
      </c>
    </row>
    <row r="1732" spans="1:3" x14ac:dyDescent="0.2">
      <c r="A1732">
        <v>5200</v>
      </c>
      <c r="B1732" t="s">
        <v>233</v>
      </c>
      <c r="C1732">
        <v>2008250</v>
      </c>
    </row>
    <row r="1733" spans="1:3" x14ac:dyDescent="0.2">
      <c r="A1733">
        <v>5200</v>
      </c>
      <c r="B1733" t="s">
        <v>233</v>
      </c>
      <c r="C1733">
        <v>2008250</v>
      </c>
    </row>
    <row r="1734" spans="1:3" x14ac:dyDescent="0.2">
      <c r="A1734">
        <v>5200</v>
      </c>
      <c r="B1734" t="s">
        <v>233</v>
      </c>
      <c r="C1734">
        <v>2008250</v>
      </c>
    </row>
    <row r="1735" spans="1:3" x14ac:dyDescent="0.2">
      <c r="A1735">
        <v>5200</v>
      </c>
      <c r="B1735" t="s">
        <v>233</v>
      </c>
      <c r="C1735">
        <v>2008250</v>
      </c>
    </row>
    <row r="1736" spans="1:3" x14ac:dyDescent="0.2">
      <c r="A1736">
        <v>5200</v>
      </c>
      <c r="B1736" s="9" t="s">
        <v>233</v>
      </c>
      <c r="C1736">
        <v>2008250</v>
      </c>
    </row>
    <row r="1737" spans="1:3" x14ac:dyDescent="0.2">
      <c r="A1737" s="3">
        <v>5201</v>
      </c>
      <c r="B1737" s="3" t="s">
        <v>234</v>
      </c>
      <c r="C1737">
        <v>2004350</v>
      </c>
    </row>
    <row r="1738" spans="1:3" x14ac:dyDescent="0.2">
      <c r="A1738" s="3">
        <v>5201</v>
      </c>
      <c r="B1738" s="3" t="s">
        <v>234</v>
      </c>
      <c r="C1738">
        <v>2004350</v>
      </c>
    </row>
    <row r="1739" spans="1:3" x14ac:dyDescent="0.2">
      <c r="A1739" s="3">
        <v>5201</v>
      </c>
      <c r="B1739" s="3" t="s">
        <v>234</v>
      </c>
      <c r="C1739">
        <v>2004350</v>
      </c>
    </row>
    <row r="1740" spans="1:3" x14ac:dyDescent="0.2">
      <c r="A1740">
        <v>5201</v>
      </c>
      <c r="B1740" t="s">
        <v>234</v>
      </c>
      <c r="C1740">
        <v>2004350</v>
      </c>
    </row>
    <row r="1741" spans="1:3" x14ac:dyDescent="0.2">
      <c r="A1741">
        <v>5201</v>
      </c>
      <c r="B1741" t="s">
        <v>234</v>
      </c>
      <c r="C1741">
        <v>2004350</v>
      </c>
    </row>
    <row r="1742" spans="1:3" x14ac:dyDescent="0.2">
      <c r="A1742">
        <v>5201</v>
      </c>
      <c r="B1742" t="s">
        <v>234</v>
      </c>
      <c r="C1742">
        <v>2004350</v>
      </c>
    </row>
    <row r="1743" spans="1:3" x14ac:dyDescent="0.2">
      <c r="A1743">
        <v>5201</v>
      </c>
      <c r="B1743" t="s">
        <v>234</v>
      </c>
      <c r="C1743">
        <v>2004350</v>
      </c>
    </row>
    <row r="1744" spans="1:3" x14ac:dyDescent="0.2">
      <c r="A1744">
        <v>5201</v>
      </c>
      <c r="B1744" t="s">
        <v>234</v>
      </c>
      <c r="C1744">
        <v>2004350</v>
      </c>
    </row>
    <row r="1745" spans="1:3" x14ac:dyDescent="0.2">
      <c r="A1745">
        <v>5201</v>
      </c>
      <c r="B1745" s="9" t="s">
        <v>234</v>
      </c>
      <c r="C1745">
        <v>2004350</v>
      </c>
    </row>
    <row r="1746" spans="1:3" x14ac:dyDescent="0.2">
      <c r="A1746" s="3">
        <v>5202</v>
      </c>
      <c r="B1746" s="3" t="s">
        <v>235</v>
      </c>
      <c r="C1746">
        <v>2010290</v>
      </c>
    </row>
    <row r="1747" spans="1:3" x14ac:dyDescent="0.2">
      <c r="A1747" s="3">
        <v>5202</v>
      </c>
      <c r="B1747" s="3" t="s">
        <v>235</v>
      </c>
      <c r="C1747">
        <v>2010290</v>
      </c>
    </row>
    <row r="1748" spans="1:3" x14ac:dyDescent="0.2">
      <c r="A1748" s="3">
        <v>5202</v>
      </c>
      <c r="B1748" s="3" t="s">
        <v>235</v>
      </c>
      <c r="C1748">
        <v>2010290</v>
      </c>
    </row>
    <row r="1749" spans="1:3" x14ac:dyDescent="0.2">
      <c r="A1749">
        <v>5202</v>
      </c>
      <c r="B1749" t="s">
        <v>235</v>
      </c>
      <c r="C1749">
        <v>2010290</v>
      </c>
    </row>
    <row r="1750" spans="1:3" x14ac:dyDescent="0.2">
      <c r="A1750">
        <v>5202</v>
      </c>
      <c r="B1750" t="s">
        <v>235</v>
      </c>
      <c r="C1750">
        <v>2010290</v>
      </c>
    </row>
    <row r="1751" spans="1:3" x14ac:dyDescent="0.2">
      <c r="A1751">
        <v>5202</v>
      </c>
      <c r="B1751" t="s">
        <v>235</v>
      </c>
      <c r="C1751">
        <v>2010290</v>
      </c>
    </row>
    <row r="1752" spans="1:3" x14ac:dyDescent="0.2">
      <c r="A1752">
        <v>5202</v>
      </c>
      <c r="B1752" t="s">
        <v>235</v>
      </c>
      <c r="C1752">
        <v>2010290</v>
      </c>
    </row>
    <row r="1753" spans="1:3" x14ac:dyDescent="0.2">
      <c r="A1753">
        <v>5202</v>
      </c>
      <c r="B1753" t="s">
        <v>235</v>
      </c>
      <c r="C1753">
        <v>2010290</v>
      </c>
    </row>
    <row r="1754" spans="1:3" x14ac:dyDescent="0.2">
      <c r="A1754">
        <v>5202</v>
      </c>
      <c r="B1754" s="9" t="s">
        <v>235</v>
      </c>
      <c r="C1754">
        <v>2010290</v>
      </c>
    </row>
    <row r="1755" spans="1:3" x14ac:dyDescent="0.2">
      <c r="A1755" s="3">
        <v>5203</v>
      </c>
      <c r="B1755" s="3" t="s">
        <v>236</v>
      </c>
      <c r="C1755">
        <v>2000002</v>
      </c>
    </row>
    <row r="1756" spans="1:3" x14ac:dyDescent="0.2">
      <c r="A1756" s="3">
        <v>5203</v>
      </c>
      <c r="B1756" s="3" t="s">
        <v>236</v>
      </c>
      <c r="C1756">
        <v>2000002</v>
      </c>
    </row>
    <row r="1757" spans="1:3" x14ac:dyDescent="0.2">
      <c r="A1757" s="3">
        <v>5203</v>
      </c>
      <c r="B1757" s="3" t="s">
        <v>236</v>
      </c>
      <c r="C1757">
        <v>2000002</v>
      </c>
    </row>
    <row r="1758" spans="1:3" x14ac:dyDescent="0.2">
      <c r="A1758">
        <v>5203</v>
      </c>
      <c r="B1758" t="s">
        <v>236</v>
      </c>
      <c r="C1758">
        <v>2000002</v>
      </c>
    </row>
    <row r="1759" spans="1:3" x14ac:dyDescent="0.2">
      <c r="A1759">
        <v>5203</v>
      </c>
      <c r="B1759" t="s">
        <v>236</v>
      </c>
      <c r="C1759">
        <v>2000002</v>
      </c>
    </row>
    <row r="1760" spans="1:3" x14ac:dyDescent="0.2">
      <c r="A1760">
        <v>5203</v>
      </c>
      <c r="B1760" t="s">
        <v>236</v>
      </c>
      <c r="C1760">
        <v>2000002</v>
      </c>
    </row>
    <row r="1761" spans="1:3" x14ac:dyDescent="0.2">
      <c r="A1761">
        <v>5203</v>
      </c>
      <c r="B1761" t="s">
        <v>236</v>
      </c>
      <c r="C1761">
        <v>2000002</v>
      </c>
    </row>
    <row r="1762" spans="1:3" x14ac:dyDescent="0.2">
      <c r="A1762">
        <v>5203</v>
      </c>
      <c r="B1762" t="s">
        <v>236</v>
      </c>
      <c r="C1762">
        <v>2000002</v>
      </c>
    </row>
    <row r="1763" spans="1:3" x14ac:dyDescent="0.2">
      <c r="A1763">
        <v>5203</v>
      </c>
      <c r="B1763" s="9" t="s">
        <v>236</v>
      </c>
      <c r="C1763">
        <v>2000002</v>
      </c>
    </row>
    <row r="1764" spans="1:3" x14ac:dyDescent="0.2">
      <c r="A1764" s="3">
        <v>5204</v>
      </c>
      <c r="B1764" s="3" t="s">
        <v>237</v>
      </c>
      <c r="C1764">
        <v>2009030</v>
      </c>
    </row>
    <row r="1765" spans="1:3" x14ac:dyDescent="0.2">
      <c r="A1765" s="3">
        <v>5204</v>
      </c>
      <c r="B1765" s="3" t="s">
        <v>237</v>
      </c>
      <c r="C1765">
        <v>2009030</v>
      </c>
    </row>
    <row r="1766" spans="1:3" x14ac:dyDescent="0.2">
      <c r="A1766" s="3">
        <v>5204</v>
      </c>
      <c r="B1766" s="3" t="s">
        <v>237</v>
      </c>
      <c r="C1766">
        <v>2009030</v>
      </c>
    </row>
    <row r="1767" spans="1:3" x14ac:dyDescent="0.2">
      <c r="A1767">
        <v>5204</v>
      </c>
      <c r="B1767" t="s">
        <v>237</v>
      </c>
      <c r="C1767">
        <v>2009030</v>
      </c>
    </row>
    <row r="1768" spans="1:3" x14ac:dyDescent="0.2">
      <c r="A1768">
        <v>5204</v>
      </c>
      <c r="B1768" t="s">
        <v>237</v>
      </c>
      <c r="C1768">
        <v>2009030</v>
      </c>
    </row>
    <row r="1769" spans="1:3" x14ac:dyDescent="0.2">
      <c r="A1769">
        <v>5204</v>
      </c>
      <c r="B1769" t="s">
        <v>237</v>
      </c>
      <c r="C1769">
        <v>2009030</v>
      </c>
    </row>
    <row r="1770" spans="1:3" x14ac:dyDescent="0.2">
      <c r="A1770">
        <v>5204</v>
      </c>
      <c r="B1770" t="s">
        <v>237</v>
      </c>
      <c r="C1770">
        <v>2009030</v>
      </c>
    </row>
    <row r="1771" spans="1:3" x14ac:dyDescent="0.2">
      <c r="A1771">
        <v>5204</v>
      </c>
      <c r="B1771" t="s">
        <v>237</v>
      </c>
      <c r="C1771">
        <v>2009030</v>
      </c>
    </row>
    <row r="1772" spans="1:3" x14ac:dyDescent="0.2">
      <c r="A1772">
        <v>5204</v>
      </c>
      <c r="B1772" s="9" t="s">
        <v>237</v>
      </c>
      <c r="C1772">
        <v>2009030</v>
      </c>
    </row>
    <row r="1773" spans="1:3" x14ac:dyDescent="0.2">
      <c r="A1773" s="3">
        <v>5205</v>
      </c>
      <c r="B1773" s="3" t="s">
        <v>238</v>
      </c>
      <c r="C1773">
        <v>2009240</v>
      </c>
    </row>
    <row r="1774" spans="1:3" x14ac:dyDescent="0.2">
      <c r="A1774" s="3">
        <v>5205</v>
      </c>
      <c r="B1774" s="3" t="s">
        <v>238</v>
      </c>
      <c r="C1774">
        <v>2009240</v>
      </c>
    </row>
    <row r="1775" spans="1:3" x14ac:dyDescent="0.2">
      <c r="A1775" s="3">
        <v>5205</v>
      </c>
      <c r="B1775" s="3" t="s">
        <v>238</v>
      </c>
      <c r="C1775">
        <v>2009240</v>
      </c>
    </row>
    <row r="1776" spans="1:3" x14ac:dyDescent="0.2">
      <c r="A1776">
        <v>5205</v>
      </c>
      <c r="B1776" t="s">
        <v>238</v>
      </c>
      <c r="C1776">
        <v>2009240</v>
      </c>
    </row>
    <row r="1777" spans="1:3" x14ac:dyDescent="0.2">
      <c r="A1777">
        <v>5205</v>
      </c>
      <c r="B1777" t="s">
        <v>238</v>
      </c>
      <c r="C1777">
        <v>2009240</v>
      </c>
    </row>
    <row r="1778" spans="1:3" x14ac:dyDescent="0.2">
      <c r="A1778">
        <v>5205</v>
      </c>
      <c r="B1778" t="s">
        <v>238</v>
      </c>
      <c r="C1778">
        <v>2009240</v>
      </c>
    </row>
    <row r="1779" spans="1:3" x14ac:dyDescent="0.2">
      <c r="A1779">
        <v>5205</v>
      </c>
      <c r="B1779" t="s">
        <v>238</v>
      </c>
      <c r="C1779">
        <v>2009240</v>
      </c>
    </row>
    <row r="1780" spans="1:3" x14ac:dyDescent="0.2">
      <c r="A1780">
        <v>5205</v>
      </c>
      <c r="B1780" t="s">
        <v>238</v>
      </c>
      <c r="C1780">
        <v>2009240</v>
      </c>
    </row>
    <row r="1781" spans="1:3" x14ac:dyDescent="0.2">
      <c r="A1781">
        <v>5205</v>
      </c>
      <c r="B1781" s="9" t="s">
        <v>238</v>
      </c>
      <c r="C1781">
        <v>2009240</v>
      </c>
    </row>
    <row r="1782" spans="1:3" x14ac:dyDescent="0.2">
      <c r="A1782" s="3">
        <v>5206</v>
      </c>
      <c r="B1782" s="3" t="s">
        <v>239</v>
      </c>
      <c r="C1782">
        <v>2007290</v>
      </c>
    </row>
    <row r="1783" spans="1:3" x14ac:dyDescent="0.2">
      <c r="A1783" s="3">
        <v>5206</v>
      </c>
      <c r="B1783" s="3" t="s">
        <v>239</v>
      </c>
      <c r="C1783">
        <v>2007290</v>
      </c>
    </row>
    <row r="1784" spans="1:3" x14ac:dyDescent="0.2">
      <c r="A1784" s="3">
        <v>5206</v>
      </c>
      <c r="B1784" s="3" t="s">
        <v>239</v>
      </c>
      <c r="C1784">
        <v>2007290</v>
      </c>
    </row>
    <row r="1785" spans="1:3" x14ac:dyDescent="0.2">
      <c r="A1785">
        <v>5206</v>
      </c>
      <c r="B1785" t="s">
        <v>239</v>
      </c>
      <c r="C1785">
        <v>2007290</v>
      </c>
    </row>
    <row r="1786" spans="1:3" x14ac:dyDescent="0.2">
      <c r="A1786">
        <v>5206</v>
      </c>
      <c r="B1786" t="s">
        <v>239</v>
      </c>
      <c r="C1786">
        <v>2007290</v>
      </c>
    </row>
    <row r="1787" spans="1:3" x14ac:dyDescent="0.2">
      <c r="A1787">
        <v>5206</v>
      </c>
      <c r="B1787" t="s">
        <v>239</v>
      </c>
      <c r="C1787">
        <v>2007290</v>
      </c>
    </row>
    <row r="1788" spans="1:3" x14ac:dyDescent="0.2">
      <c r="A1788">
        <v>5206</v>
      </c>
      <c r="B1788" t="s">
        <v>239</v>
      </c>
      <c r="C1788">
        <v>2007290</v>
      </c>
    </row>
    <row r="1789" spans="1:3" x14ac:dyDescent="0.2">
      <c r="A1789">
        <v>5206</v>
      </c>
      <c r="B1789" t="s">
        <v>239</v>
      </c>
      <c r="C1789">
        <v>2007290</v>
      </c>
    </row>
    <row r="1790" spans="1:3" x14ac:dyDescent="0.2">
      <c r="A1790">
        <v>5206</v>
      </c>
      <c r="B1790" s="9" t="s">
        <v>239</v>
      </c>
      <c r="C1790">
        <v>2007290</v>
      </c>
    </row>
    <row r="1791" spans="1:3" x14ac:dyDescent="0.2">
      <c r="A1791" s="3">
        <v>5207</v>
      </c>
      <c r="B1791" s="3" t="s">
        <v>240</v>
      </c>
      <c r="C1791">
        <v>2008970</v>
      </c>
    </row>
    <row r="1792" spans="1:3" x14ac:dyDescent="0.2">
      <c r="A1792" s="3">
        <v>5207</v>
      </c>
      <c r="B1792" s="3" t="s">
        <v>240</v>
      </c>
      <c r="C1792">
        <v>2008970</v>
      </c>
    </row>
    <row r="1793" spans="1:3" x14ac:dyDescent="0.2">
      <c r="A1793" s="3">
        <v>5207</v>
      </c>
      <c r="B1793" s="3" t="s">
        <v>240</v>
      </c>
      <c r="C1793">
        <v>2008970</v>
      </c>
    </row>
    <row r="1794" spans="1:3" x14ac:dyDescent="0.2">
      <c r="A1794">
        <v>5207</v>
      </c>
      <c r="B1794" t="s">
        <v>240</v>
      </c>
      <c r="C1794">
        <v>2008970</v>
      </c>
    </row>
    <row r="1795" spans="1:3" x14ac:dyDescent="0.2">
      <c r="A1795">
        <v>5207</v>
      </c>
      <c r="B1795" t="s">
        <v>240</v>
      </c>
      <c r="C1795">
        <v>2008970</v>
      </c>
    </row>
    <row r="1796" spans="1:3" x14ac:dyDescent="0.2">
      <c r="A1796">
        <v>5207</v>
      </c>
      <c r="B1796" t="s">
        <v>240</v>
      </c>
      <c r="C1796">
        <v>2008970</v>
      </c>
    </row>
    <row r="1797" spans="1:3" x14ac:dyDescent="0.2">
      <c r="A1797">
        <v>5207</v>
      </c>
      <c r="B1797" t="s">
        <v>240</v>
      </c>
      <c r="C1797">
        <v>2008970</v>
      </c>
    </row>
    <row r="1798" spans="1:3" x14ac:dyDescent="0.2">
      <c r="A1798">
        <v>5207</v>
      </c>
      <c r="B1798" t="s">
        <v>240</v>
      </c>
      <c r="C1798">
        <v>2008970</v>
      </c>
    </row>
    <row r="1799" spans="1:3" x14ac:dyDescent="0.2">
      <c r="A1799">
        <v>5207</v>
      </c>
      <c r="B1799" s="9" t="s">
        <v>240</v>
      </c>
      <c r="C1799">
        <v>2008970</v>
      </c>
    </row>
    <row r="1800" spans="1:3" x14ac:dyDescent="0.2">
      <c r="A1800" s="3">
        <v>5208</v>
      </c>
      <c r="B1800" s="3" t="s">
        <v>241</v>
      </c>
      <c r="C1800">
        <v>2009780</v>
      </c>
    </row>
    <row r="1801" spans="1:3" x14ac:dyDescent="0.2">
      <c r="A1801" s="3">
        <v>5208</v>
      </c>
      <c r="B1801" s="3" t="s">
        <v>241</v>
      </c>
      <c r="C1801">
        <v>2009780</v>
      </c>
    </row>
    <row r="1802" spans="1:3" x14ac:dyDescent="0.2">
      <c r="A1802" s="3">
        <v>5208</v>
      </c>
      <c r="B1802" s="3" t="s">
        <v>241</v>
      </c>
      <c r="C1802">
        <v>2009780</v>
      </c>
    </row>
    <row r="1803" spans="1:3" x14ac:dyDescent="0.2">
      <c r="A1803">
        <v>5208</v>
      </c>
      <c r="B1803" t="s">
        <v>241</v>
      </c>
      <c r="C1803">
        <v>2009780</v>
      </c>
    </row>
    <row r="1804" spans="1:3" x14ac:dyDescent="0.2">
      <c r="A1804">
        <v>5208</v>
      </c>
      <c r="B1804" t="s">
        <v>241</v>
      </c>
      <c r="C1804">
        <v>2009780</v>
      </c>
    </row>
    <row r="1805" spans="1:3" x14ac:dyDescent="0.2">
      <c r="A1805">
        <v>5208</v>
      </c>
      <c r="B1805" t="s">
        <v>241</v>
      </c>
      <c r="C1805">
        <v>2009780</v>
      </c>
    </row>
    <row r="1806" spans="1:3" x14ac:dyDescent="0.2">
      <c r="A1806">
        <v>5208</v>
      </c>
      <c r="B1806" t="s">
        <v>241</v>
      </c>
      <c r="C1806">
        <v>2009780</v>
      </c>
    </row>
    <row r="1807" spans="1:3" x14ac:dyDescent="0.2">
      <c r="A1807">
        <v>5208</v>
      </c>
      <c r="B1807" t="s">
        <v>241</v>
      </c>
      <c r="C1807">
        <v>2009780</v>
      </c>
    </row>
    <row r="1808" spans="1:3" x14ac:dyDescent="0.2">
      <c r="A1808">
        <v>5208</v>
      </c>
      <c r="B1808" s="9" t="s">
        <v>241</v>
      </c>
      <c r="C1808">
        <v>2009780</v>
      </c>
    </row>
    <row r="1809" spans="1:3" x14ac:dyDescent="0.2">
      <c r="A1809" s="3">
        <v>5210</v>
      </c>
      <c r="B1809" s="3" t="s">
        <v>242</v>
      </c>
      <c r="C1809">
        <v>2006660</v>
      </c>
    </row>
    <row r="1810" spans="1:3" x14ac:dyDescent="0.2">
      <c r="A1810" s="3">
        <v>5210</v>
      </c>
      <c r="B1810" s="3" t="s">
        <v>242</v>
      </c>
      <c r="C1810">
        <v>2006660</v>
      </c>
    </row>
    <row r="1811" spans="1:3" x14ac:dyDescent="0.2">
      <c r="A1811" s="3">
        <v>5210</v>
      </c>
      <c r="B1811" s="3" t="s">
        <v>242</v>
      </c>
      <c r="C1811">
        <v>2006660</v>
      </c>
    </row>
    <row r="1812" spans="1:3" x14ac:dyDescent="0.2">
      <c r="A1812">
        <v>5210</v>
      </c>
      <c r="B1812" t="s">
        <v>242</v>
      </c>
      <c r="C1812">
        <v>2006660</v>
      </c>
    </row>
    <row r="1813" spans="1:3" x14ac:dyDescent="0.2">
      <c r="A1813">
        <v>5210</v>
      </c>
      <c r="B1813" t="s">
        <v>242</v>
      </c>
      <c r="C1813">
        <v>2006660</v>
      </c>
    </row>
    <row r="1814" spans="1:3" x14ac:dyDescent="0.2">
      <c r="A1814">
        <v>5210</v>
      </c>
      <c r="B1814" t="s">
        <v>242</v>
      </c>
      <c r="C1814">
        <v>2006660</v>
      </c>
    </row>
    <row r="1815" spans="1:3" x14ac:dyDescent="0.2">
      <c r="A1815">
        <v>5210</v>
      </c>
      <c r="B1815" t="s">
        <v>242</v>
      </c>
      <c r="C1815">
        <v>2006660</v>
      </c>
    </row>
    <row r="1816" spans="1:3" x14ac:dyDescent="0.2">
      <c r="A1816">
        <v>5210</v>
      </c>
      <c r="B1816" t="s">
        <v>242</v>
      </c>
      <c r="C1816">
        <v>2006660</v>
      </c>
    </row>
    <row r="1817" spans="1:3" x14ac:dyDescent="0.2">
      <c r="A1817">
        <v>5210</v>
      </c>
      <c r="B1817" s="9" t="s">
        <v>242</v>
      </c>
      <c r="C1817">
        <v>2006660</v>
      </c>
    </row>
    <row r="1818" spans="1:3" x14ac:dyDescent="0.2">
      <c r="A1818" s="3">
        <v>5212</v>
      </c>
      <c r="B1818" s="3" t="s">
        <v>243</v>
      </c>
      <c r="C1818">
        <v>2010410</v>
      </c>
    </row>
    <row r="1819" spans="1:3" x14ac:dyDescent="0.2">
      <c r="A1819" s="3">
        <v>5212</v>
      </c>
      <c r="B1819" s="3" t="s">
        <v>243</v>
      </c>
      <c r="C1819">
        <v>2010410</v>
      </c>
    </row>
    <row r="1820" spans="1:3" x14ac:dyDescent="0.2">
      <c r="A1820" s="3">
        <v>5212</v>
      </c>
      <c r="B1820" s="3" t="s">
        <v>243</v>
      </c>
      <c r="C1820">
        <v>2010410</v>
      </c>
    </row>
    <row r="1821" spans="1:3" x14ac:dyDescent="0.2">
      <c r="A1821">
        <v>5212</v>
      </c>
      <c r="B1821" t="s">
        <v>243</v>
      </c>
      <c r="C1821">
        <v>2010410</v>
      </c>
    </row>
    <row r="1822" spans="1:3" x14ac:dyDescent="0.2">
      <c r="A1822">
        <v>5212</v>
      </c>
      <c r="B1822" t="s">
        <v>243</v>
      </c>
      <c r="C1822">
        <v>2010410</v>
      </c>
    </row>
    <row r="1823" spans="1:3" x14ac:dyDescent="0.2">
      <c r="A1823">
        <v>5212</v>
      </c>
      <c r="B1823" t="s">
        <v>243</v>
      </c>
      <c r="C1823">
        <v>2010410</v>
      </c>
    </row>
    <row r="1824" spans="1:3" x14ac:dyDescent="0.2">
      <c r="A1824">
        <v>5212</v>
      </c>
      <c r="B1824" t="s">
        <v>243</v>
      </c>
      <c r="C1824">
        <v>2010410</v>
      </c>
    </row>
    <row r="1825" spans="1:3" x14ac:dyDescent="0.2">
      <c r="A1825">
        <v>5212</v>
      </c>
      <c r="B1825" t="s">
        <v>243</v>
      </c>
      <c r="C1825">
        <v>2010410</v>
      </c>
    </row>
    <row r="1826" spans="1:3" x14ac:dyDescent="0.2">
      <c r="A1826">
        <v>5212</v>
      </c>
      <c r="B1826" s="9" t="s">
        <v>243</v>
      </c>
      <c r="C1826">
        <v>2010410</v>
      </c>
    </row>
    <row r="1827" spans="1:3" x14ac:dyDescent="0.2">
      <c r="A1827" s="3">
        <v>5213</v>
      </c>
      <c r="B1827" s="3" t="s">
        <v>244</v>
      </c>
      <c r="C1827">
        <v>2004410</v>
      </c>
    </row>
    <row r="1828" spans="1:3" x14ac:dyDescent="0.2">
      <c r="A1828" s="3">
        <v>5213</v>
      </c>
      <c r="B1828" s="3" t="s">
        <v>244</v>
      </c>
      <c r="C1828">
        <v>2004410</v>
      </c>
    </row>
    <row r="1829" spans="1:3" x14ac:dyDescent="0.2">
      <c r="A1829" s="3">
        <v>5213</v>
      </c>
      <c r="B1829" s="3" t="s">
        <v>244</v>
      </c>
      <c r="C1829">
        <v>2004410</v>
      </c>
    </row>
    <row r="1830" spans="1:3" x14ac:dyDescent="0.2">
      <c r="A1830">
        <v>5213</v>
      </c>
      <c r="B1830" t="s">
        <v>244</v>
      </c>
      <c r="C1830">
        <v>2004410</v>
      </c>
    </row>
    <row r="1831" spans="1:3" x14ac:dyDescent="0.2">
      <c r="A1831">
        <v>5213</v>
      </c>
      <c r="B1831" t="s">
        <v>244</v>
      </c>
      <c r="C1831">
        <v>2004410</v>
      </c>
    </row>
    <row r="1832" spans="1:3" x14ac:dyDescent="0.2">
      <c r="A1832">
        <v>5213</v>
      </c>
      <c r="B1832" t="s">
        <v>244</v>
      </c>
      <c r="C1832">
        <v>2004410</v>
      </c>
    </row>
    <row r="1833" spans="1:3" x14ac:dyDescent="0.2">
      <c r="A1833">
        <v>5213</v>
      </c>
      <c r="B1833" t="s">
        <v>244</v>
      </c>
      <c r="C1833">
        <v>2004410</v>
      </c>
    </row>
    <row r="1834" spans="1:3" x14ac:dyDescent="0.2">
      <c r="A1834">
        <v>5213</v>
      </c>
      <c r="B1834" t="s">
        <v>244</v>
      </c>
      <c r="C1834">
        <v>2004410</v>
      </c>
    </row>
    <row r="1835" spans="1:3" x14ac:dyDescent="0.2">
      <c r="A1835">
        <v>5213</v>
      </c>
      <c r="B1835" s="9" t="s">
        <v>244</v>
      </c>
      <c r="C1835">
        <v>2004410</v>
      </c>
    </row>
    <row r="1836" spans="1:3" x14ac:dyDescent="0.2">
      <c r="A1836" s="3">
        <v>5214</v>
      </c>
      <c r="B1836" s="3" t="s">
        <v>245</v>
      </c>
      <c r="C1836">
        <v>2012180</v>
      </c>
    </row>
    <row r="1837" spans="1:3" x14ac:dyDescent="0.2">
      <c r="A1837" s="3">
        <v>5214</v>
      </c>
      <c r="B1837" s="3" t="s">
        <v>245</v>
      </c>
      <c r="C1837">
        <v>2012180</v>
      </c>
    </row>
    <row r="1838" spans="1:3" x14ac:dyDescent="0.2">
      <c r="A1838" s="3">
        <v>5214</v>
      </c>
      <c r="B1838" s="3" t="s">
        <v>245</v>
      </c>
      <c r="C1838">
        <v>2012180</v>
      </c>
    </row>
    <row r="1839" spans="1:3" x14ac:dyDescent="0.2">
      <c r="A1839">
        <v>5214</v>
      </c>
      <c r="B1839" t="s">
        <v>245</v>
      </c>
      <c r="C1839">
        <v>2012180</v>
      </c>
    </row>
    <row r="1840" spans="1:3" x14ac:dyDescent="0.2">
      <c r="A1840">
        <v>5214</v>
      </c>
      <c r="B1840" t="s">
        <v>245</v>
      </c>
      <c r="C1840">
        <v>2012180</v>
      </c>
    </row>
    <row r="1841" spans="1:3" x14ac:dyDescent="0.2">
      <c r="A1841">
        <v>5214</v>
      </c>
      <c r="B1841" t="s">
        <v>245</v>
      </c>
      <c r="C1841">
        <v>2012180</v>
      </c>
    </row>
    <row r="1842" spans="1:3" x14ac:dyDescent="0.2">
      <c r="A1842">
        <v>5214</v>
      </c>
      <c r="B1842" t="s">
        <v>245</v>
      </c>
      <c r="C1842">
        <v>2012180</v>
      </c>
    </row>
    <row r="1843" spans="1:3" x14ac:dyDescent="0.2">
      <c r="A1843">
        <v>5214</v>
      </c>
      <c r="B1843" t="s">
        <v>245</v>
      </c>
      <c r="C1843">
        <v>2012180</v>
      </c>
    </row>
    <row r="1844" spans="1:3" x14ac:dyDescent="0.2">
      <c r="A1844">
        <v>5214</v>
      </c>
      <c r="B1844" s="9" t="s">
        <v>245</v>
      </c>
      <c r="C1844">
        <v>2012180</v>
      </c>
    </row>
    <row r="1845" spans="1:3" x14ac:dyDescent="0.2">
      <c r="A1845" s="3">
        <v>5215</v>
      </c>
      <c r="B1845" s="3" t="s">
        <v>246</v>
      </c>
      <c r="C1845">
        <v>2000017</v>
      </c>
    </row>
    <row r="1846" spans="1:3" x14ac:dyDescent="0.2">
      <c r="A1846" s="3">
        <v>5215</v>
      </c>
      <c r="B1846" s="3" t="s">
        <v>246</v>
      </c>
      <c r="C1846">
        <v>2000017</v>
      </c>
    </row>
    <row r="1847" spans="1:3" x14ac:dyDescent="0.2">
      <c r="A1847" s="3">
        <v>5215</v>
      </c>
      <c r="B1847" s="3" t="s">
        <v>246</v>
      </c>
      <c r="C1847">
        <v>2000017</v>
      </c>
    </row>
    <row r="1848" spans="1:3" x14ac:dyDescent="0.2">
      <c r="A1848">
        <v>5215</v>
      </c>
      <c r="B1848" t="s">
        <v>246</v>
      </c>
      <c r="C1848">
        <v>2000017</v>
      </c>
    </row>
    <row r="1849" spans="1:3" x14ac:dyDescent="0.2">
      <c r="A1849">
        <v>5215</v>
      </c>
      <c r="B1849" t="s">
        <v>246</v>
      </c>
      <c r="C1849">
        <v>2000017</v>
      </c>
    </row>
    <row r="1850" spans="1:3" x14ac:dyDescent="0.2">
      <c r="A1850">
        <v>5215</v>
      </c>
      <c r="B1850" t="s">
        <v>246</v>
      </c>
      <c r="C1850">
        <v>2000017</v>
      </c>
    </row>
    <row r="1851" spans="1:3" x14ac:dyDescent="0.2">
      <c r="A1851">
        <v>5215</v>
      </c>
      <c r="B1851" t="s">
        <v>246</v>
      </c>
      <c r="C1851">
        <v>2000017</v>
      </c>
    </row>
    <row r="1852" spans="1:3" x14ac:dyDescent="0.2">
      <c r="A1852">
        <v>5215</v>
      </c>
      <c r="B1852" t="s">
        <v>246</v>
      </c>
      <c r="C1852">
        <v>2000017</v>
      </c>
    </row>
    <row r="1853" spans="1:3" x14ac:dyDescent="0.2">
      <c r="A1853">
        <v>5215</v>
      </c>
      <c r="B1853" s="9" t="s">
        <v>246</v>
      </c>
      <c r="C1853">
        <v>2000017</v>
      </c>
    </row>
    <row r="1854" spans="1:3" x14ac:dyDescent="0.2">
      <c r="A1854" s="3">
        <v>5216</v>
      </c>
      <c r="B1854" s="3" t="s">
        <v>299</v>
      </c>
      <c r="C1854">
        <v>2004620</v>
      </c>
    </row>
    <row r="1855" spans="1:3" x14ac:dyDescent="0.2">
      <c r="A1855" s="3">
        <v>5216</v>
      </c>
      <c r="B1855" s="3" t="s">
        <v>299</v>
      </c>
      <c r="C1855">
        <v>2004620</v>
      </c>
    </row>
    <row r="1856" spans="1:3" x14ac:dyDescent="0.2">
      <c r="A1856" s="3">
        <v>5216</v>
      </c>
      <c r="B1856" s="3" t="s">
        <v>299</v>
      </c>
      <c r="C1856">
        <v>2004620</v>
      </c>
    </row>
    <row r="1857" spans="1:3" x14ac:dyDescent="0.2">
      <c r="A1857">
        <v>5216</v>
      </c>
      <c r="B1857" t="s">
        <v>299</v>
      </c>
      <c r="C1857">
        <v>2004620</v>
      </c>
    </row>
    <row r="1858" spans="1:3" x14ac:dyDescent="0.2">
      <c r="A1858">
        <v>5216</v>
      </c>
      <c r="B1858" t="s">
        <v>299</v>
      </c>
      <c r="C1858">
        <v>2004620</v>
      </c>
    </row>
    <row r="1859" spans="1:3" x14ac:dyDescent="0.2">
      <c r="A1859">
        <v>5216</v>
      </c>
      <c r="B1859" t="s">
        <v>299</v>
      </c>
      <c r="C1859">
        <v>2004620</v>
      </c>
    </row>
    <row r="1860" spans="1:3" x14ac:dyDescent="0.2">
      <c r="A1860">
        <v>5216</v>
      </c>
      <c r="B1860" t="s">
        <v>299</v>
      </c>
      <c r="C1860">
        <v>2004620</v>
      </c>
    </row>
    <row r="1861" spans="1:3" x14ac:dyDescent="0.2">
      <c r="A1861">
        <v>5216</v>
      </c>
      <c r="B1861" t="s">
        <v>299</v>
      </c>
      <c r="C1861">
        <v>2004620</v>
      </c>
    </row>
    <row r="1862" spans="1:3" x14ac:dyDescent="0.2">
      <c r="A1862">
        <v>5216</v>
      </c>
      <c r="B1862" s="9" t="s">
        <v>299</v>
      </c>
      <c r="C1862">
        <v>2004620</v>
      </c>
    </row>
    <row r="1863" spans="1:3" x14ac:dyDescent="0.2">
      <c r="A1863" s="3">
        <v>5217</v>
      </c>
      <c r="B1863" s="3" t="s">
        <v>248</v>
      </c>
      <c r="C1863">
        <v>2005190</v>
      </c>
    </row>
    <row r="1864" spans="1:3" x14ac:dyDescent="0.2">
      <c r="A1864" s="3">
        <v>5217</v>
      </c>
      <c r="B1864" s="3" t="s">
        <v>248</v>
      </c>
      <c r="C1864">
        <v>2005190</v>
      </c>
    </row>
    <row r="1865" spans="1:3" x14ac:dyDescent="0.2">
      <c r="A1865" s="3">
        <v>5217</v>
      </c>
      <c r="B1865" s="3" t="s">
        <v>248</v>
      </c>
      <c r="C1865">
        <v>2005190</v>
      </c>
    </row>
    <row r="1866" spans="1:3" x14ac:dyDescent="0.2">
      <c r="A1866">
        <v>5217</v>
      </c>
      <c r="B1866" t="s">
        <v>248</v>
      </c>
      <c r="C1866">
        <v>2005190</v>
      </c>
    </row>
    <row r="1867" spans="1:3" x14ac:dyDescent="0.2">
      <c r="A1867">
        <v>5217</v>
      </c>
      <c r="B1867" t="s">
        <v>248</v>
      </c>
      <c r="C1867">
        <v>2005190</v>
      </c>
    </row>
    <row r="1868" spans="1:3" x14ac:dyDescent="0.2">
      <c r="A1868">
        <v>5217</v>
      </c>
      <c r="B1868" t="s">
        <v>248</v>
      </c>
      <c r="C1868">
        <v>2005190</v>
      </c>
    </row>
    <row r="1869" spans="1:3" x14ac:dyDescent="0.2">
      <c r="A1869">
        <v>5217</v>
      </c>
      <c r="B1869" t="s">
        <v>248</v>
      </c>
      <c r="C1869">
        <v>2005190</v>
      </c>
    </row>
    <row r="1870" spans="1:3" x14ac:dyDescent="0.2">
      <c r="A1870">
        <v>5217</v>
      </c>
      <c r="B1870" t="s">
        <v>248</v>
      </c>
      <c r="C1870">
        <v>2005190</v>
      </c>
    </row>
    <row r="1871" spans="1:3" x14ac:dyDescent="0.2">
      <c r="A1871">
        <v>5217</v>
      </c>
      <c r="B1871" s="9" t="s">
        <v>248</v>
      </c>
      <c r="C1871">
        <v>2005190</v>
      </c>
    </row>
    <row r="1872" spans="1:3" x14ac:dyDescent="0.2">
      <c r="A1872" s="3">
        <v>5218</v>
      </c>
      <c r="B1872" s="3" t="s">
        <v>249</v>
      </c>
      <c r="C1872">
        <v>2007440</v>
      </c>
    </row>
    <row r="1873" spans="1:3" x14ac:dyDescent="0.2">
      <c r="A1873" s="3">
        <v>5218</v>
      </c>
      <c r="B1873" s="3" t="s">
        <v>249</v>
      </c>
      <c r="C1873">
        <v>2007440</v>
      </c>
    </row>
    <row r="1874" spans="1:3" x14ac:dyDescent="0.2">
      <c r="A1874" s="3">
        <v>5218</v>
      </c>
      <c r="B1874" s="3" t="s">
        <v>249</v>
      </c>
      <c r="C1874">
        <v>2007440</v>
      </c>
    </row>
    <row r="1875" spans="1:3" x14ac:dyDescent="0.2">
      <c r="A1875">
        <v>5218</v>
      </c>
      <c r="B1875" t="s">
        <v>249</v>
      </c>
      <c r="C1875">
        <v>2007440</v>
      </c>
    </row>
    <row r="1876" spans="1:3" x14ac:dyDescent="0.2">
      <c r="A1876">
        <v>5218</v>
      </c>
      <c r="B1876" t="s">
        <v>249</v>
      </c>
      <c r="C1876">
        <v>2007440</v>
      </c>
    </row>
    <row r="1877" spans="1:3" x14ac:dyDescent="0.2">
      <c r="A1877">
        <v>5218</v>
      </c>
      <c r="B1877" t="s">
        <v>249</v>
      </c>
      <c r="C1877">
        <v>2007440</v>
      </c>
    </row>
    <row r="1878" spans="1:3" x14ac:dyDescent="0.2">
      <c r="A1878">
        <v>5218</v>
      </c>
      <c r="B1878" t="s">
        <v>249</v>
      </c>
      <c r="C1878">
        <v>2007440</v>
      </c>
    </row>
    <row r="1879" spans="1:3" x14ac:dyDescent="0.2">
      <c r="A1879">
        <v>5218</v>
      </c>
      <c r="B1879" t="s">
        <v>249</v>
      </c>
      <c r="C1879">
        <v>2007440</v>
      </c>
    </row>
    <row r="1880" spans="1:3" x14ac:dyDescent="0.2">
      <c r="A1880">
        <v>5218</v>
      </c>
      <c r="B1880" s="9" t="s">
        <v>249</v>
      </c>
      <c r="C1880">
        <v>2007440</v>
      </c>
    </row>
    <row r="1881" spans="1:3" x14ac:dyDescent="0.2">
      <c r="A1881" s="3">
        <v>5219</v>
      </c>
      <c r="B1881" s="3" t="s">
        <v>250</v>
      </c>
      <c r="C1881">
        <v>2011610</v>
      </c>
    </row>
    <row r="1882" spans="1:3" x14ac:dyDescent="0.2">
      <c r="A1882" s="3">
        <v>5219</v>
      </c>
      <c r="B1882" s="3" t="s">
        <v>250</v>
      </c>
      <c r="C1882">
        <v>2011610</v>
      </c>
    </row>
    <row r="1883" spans="1:3" x14ac:dyDescent="0.2">
      <c r="A1883" s="3">
        <v>5219</v>
      </c>
      <c r="B1883" s="3" t="s">
        <v>250</v>
      </c>
      <c r="C1883">
        <v>2011610</v>
      </c>
    </row>
    <row r="1884" spans="1:3" x14ac:dyDescent="0.2">
      <c r="A1884">
        <v>5219</v>
      </c>
      <c r="B1884" t="s">
        <v>250</v>
      </c>
      <c r="C1884">
        <v>2011610</v>
      </c>
    </row>
    <row r="1885" spans="1:3" x14ac:dyDescent="0.2">
      <c r="A1885">
        <v>5219</v>
      </c>
      <c r="B1885" t="s">
        <v>250</v>
      </c>
      <c r="C1885">
        <v>2011610</v>
      </c>
    </row>
    <row r="1886" spans="1:3" x14ac:dyDescent="0.2">
      <c r="A1886">
        <v>5219</v>
      </c>
      <c r="B1886" t="s">
        <v>250</v>
      </c>
      <c r="C1886">
        <v>2011610</v>
      </c>
    </row>
    <row r="1887" spans="1:3" x14ac:dyDescent="0.2">
      <c r="A1887">
        <v>5219</v>
      </c>
      <c r="B1887" t="s">
        <v>250</v>
      </c>
      <c r="C1887">
        <v>2011610</v>
      </c>
    </row>
    <row r="1888" spans="1:3" x14ac:dyDescent="0.2">
      <c r="A1888">
        <v>5219</v>
      </c>
      <c r="B1888" t="s">
        <v>250</v>
      </c>
      <c r="C1888">
        <v>2011610</v>
      </c>
    </row>
    <row r="1889" spans="1:3" x14ac:dyDescent="0.2">
      <c r="A1889">
        <v>5219</v>
      </c>
      <c r="B1889" s="9" t="s">
        <v>250</v>
      </c>
      <c r="C1889">
        <v>2011610</v>
      </c>
    </row>
    <row r="1890" spans="1:3" x14ac:dyDescent="0.2">
      <c r="A1890" s="3">
        <v>5220</v>
      </c>
      <c r="B1890" s="3" t="s">
        <v>251</v>
      </c>
      <c r="C1890">
        <v>2012810</v>
      </c>
    </row>
    <row r="1891" spans="1:3" x14ac:dyDescent="0.2">
      <c r="A1891" s="3">
        <v>5220</v>
      </c>
      <c r="B1891" s="3" t="s">
        <v>251</v>
      </c>
      <c r="C1891">
        <v>2012810</v>
      </c>
    </row>
    <row r="1892" spans="1:3" x14ac:dyDescent="0.2">
      <c r="A1892" s="3">
        <v>5220</v>
      </c>
      <c r="B1892" s="3" t="s">
        <v>251</v>
      </c>
      <c r="C1892">
        <v>2012810</v>
      </c>
    </row>
    <row r="1893" spans="1:3" x14ac:dyDescent="0.2">
      <c r="A1893">
        <v>5220</v>
      </c>
      <c r="B1893" t="s">
        <v>251</v>
      </c>
      <c r="C1893">
        <v>2012810</v>
      </c>
    </row>
    <row r="1894" spans="1:3" x14ac:dyDescent="0.2">
      <c r="A1894">
        <v>5220</v>
      </c>
      <c r="B1894" t="s">
        <v>251</v>
      </c>
      <c r="C1894">
        <v>2012810</v>
      </c>
    </row>
    <row r="1895" spans="1:3" x14ac:dyDescent="0.2">
      <c r="A1895">
        <v>5220</v>
      </c>
      <c r="B1895" t="s">
        <v>251</v>
      </c>
      <c r="C1895">
        <v>2012810</v>
      </c>
    </row>
    <row r="1896" spans="1:3" x14ac:dyDescent="0.2">
      <c r="A1896">
        <v>5220</v>
      </c>
      <c r="B1896" t="s">
        <v>251</v>
      </c>
      <c r="C1896">
        <v>2012810</v>
      </c>
    </row>
    <row r="1897" spans="1:3" x14ac:dyDescent="0.2">
      <c r="A1897">
        <v>5220</v>
      </c>
      <c r="B1897" t="s">
        <v>251</v>
      </c>
      <c r="C1897">
        <v>2012810</v>
      </c>
    </row>
    <row r="1898" spans="1:3" x14ac:dyDescent="0.2">
      <c r="A1898">
        <v>5220</v>
      </c>
      <c r="B1898" s="9" t="s">
        <v>251</v>
      </c>
      <c r="C1898">
        <v>2012810</v>
      </c>
    </row>
    <row r="1899" spans="1:3" x14ac:dyDescent="0.2">
      <c r="A1899" s="3">
        <v>5222</v>
      </c>
      <c r="B1899" s="3" t="s">
        <v>252</v>
      </c>
      <c r="C1899">
        <v>2005800</v>
      </c>
    </row>
    <row r="1900" spans="1:3" x14ac:dyDescent="0.2">
      <c r="A1900" s="3">
        <v>5222</v>
      </c>
      <c r="B1900" s="3" t="s">
        <v>252</v>
      </c>
      <c r="C1900">
        <v>2005800</v>
      </c>
    </row>
    <row r="1901" spans="1:3" x14ac:dyDescent="0.2">
      <c r="A1901" s="3">
        <v>5222</v>
      </c>
      <c r="B1901" s="3" t="s">
        <v>252</v>
      </c>
      <c r="C1901">
        <v>2005800</v>
      </c>
    </row>
    <row r="1902" spans="1:3" x14ac:dyDescent="0.2">
      <c r="A1902">
        <v>5222</v>
      </c>
      <c r="B1902" t="s">
        <v>252</v>
      </c>
      <c r="C1902">
        <v>2005800</v>
      </c>
    </row>
    <row r="1903" spans="1:3" x14ac:dyDescent="0.2">
      <c r="A1903">
        <v>5222</v>
      </c>
      <c r="B1903" t="s">
        <v>252</v>
      </c>
      <c r="C1903">
        <v>2005800</v>
      </c>
    </row>
    <row r="1904" spans="1:3" x14ac:dyDescent="0.2">
      <c r="A1904">
        <v>5222</v>
      </c>
      <c r="B1904" t="s">
        <v>252</v>
      </c>
      <c r="C1904">
        <v>2005800</v>
      </c>
    </row>
    <row r="1905" spans="1:3" x14ac:dyDescent="0.2">
      <c r="A1905">
        <v>5222</v>
      </c>
      <c r="B1905" t="s">
        <v>358</v>
      </c>
      <c r="C1905">
        <v>2005800</v>
      </c>
    </row>
    <row r="1906" spans="1:3" x14ac:dyDescent="0.2">
      <c r="A1906">
        <v>5222</v>
      </c>
      <c r="B1906" t="s">
        <v>252</v>
      </c>
      <c r="C1906">
        <v>2005800</v>
      </c>
    </row>
    <row r="1907" spans="1:3" x14ac:dyDescent="0.2">
      <c r="A1907">
        <v>5222</v>
      </c>
      <c r="B1907" s="9" t="s">
        <v>252</v>
      </c>
      <c r="C1907">
        <v>2005800</v>
      </c>
    </row>
    <row r="1908" spans="1:3" x14ac:dyDescent="0.2">
      <c r="A1908" s="3">
        <v>5223</v>
      </c>
      <c r="B1908" s="3" t="s">
        <v>253</v>
      </c>
      <c r="C1908">
        <v>2013020</v>
      </c>
    </row>
    <row r="1909" spans="1:3" x14ac:dyDescent="0.2">
      <c r="A1909" s="3">
        <v>5223</v>
      </c>
      <c r="B1909" s="3" t="s">
        <v>253</v>
      </c>
      <c r="C1909">
        <v>2013020</v>
      </c>
    </row>
    <row r="1910" spans="1:3" x14ac:dyDescent="0.2">
      <c r="A1910" s="3">
        <v>5223</v>
      </c>
      <c r="B1910" s="3" t="s">
        <v>253</v>
      </c>
      <c r="C1910">
        <v>2013020</v>
      </c>
    </row>
    <row r="1911" spans="1:3" x14ac:dyDescent="0.2">
      <c r="A1911">
        <v>5223</v>
      </c>
      <c r="B1911" t="s">
        <v>253</v>
      </c>
      <c r="C1911">
        <v>2013020</v>
      </c>
    </row>
    <row r="1912" spans="1:3" x14ac:dyDescent="0.2">
      <c r="A1912">
        <v>5223</v>
      </c>
      <c r="B1912" t="s">
        <v>253</v>
      </c>
      <c r="C1912">
        <v>2013020</v>
      </c>
    </row>
    <row r="1913" spans="1:3" x14ac:dyDescent="0.2">
      <c r="A1913">
        <v>5223</v>
      </c>
      <c r="B1913" t="s">
        <v>253</v>
      </c>
      <c r="C1913">
        <v>2013020</v>
      </c>
    </row>
    <row r="1914" spans="1:3" x14ac:dyDescent="0.2">
      <c r="A1914">
        <v>5223</v>
      </c>
      <c r="B1914" t="s">
        <v>253</v>
      </c>
      <c r="C1914">
        <v>2013020</v>
      </c>
    </row>
    <row r="1915" spans="1:3" x14ac:dyDescent="0.2">
      <c r="A1915">
        <v>5223</v>
      </c>
      <c r="B1915" t="s">
        <v>253</v>
      </c>
      <c r="C1915">
        <v>2013020</v>
      </c>
    </row>
    <row r="1916" spans="1:3" x14ac:dyDescent="0.2">
      <c r="A1916">
        <v>5223</v>
      </c>
      <c r="B1916" s="9" t="s">
        <v>253</v>
      </c>
      <c r="C1916">
        <v>2013020</v>
      </c>
    </row>
    <row r="1917" spans="1:3" x14ac:dyDescent="0.2">
      <c r="A1917" s="3">
        <v>5226</v>
      </c>
      <c r="B1917" s="3" t="s">
        <v>254</v>
      </c>
      <c r="C1917">
        <v>2004470</v>
      </c>
    </row>
    <row r="1918" spans="1:3" x14ac:dyDescent="0.2">
      <c r="A1918" s="3">
        <v>5226</v>
      </c>
      <c r="B1918" s="3" t="s">
        <v>254</v>
      </c>
      <c r="C1918">
        <v>2004470</v>
      </c>
    </row>
    <row r="1919" spans="1:3" x14ac:dyDescent="0.2">
      <c r="A1919" s="3">
        <v>5226</v>
      </c>
      <c r="B1919" s="3" t="s">
        <v>254</v>
      </c>
      <c r="C1919">
        <v>2004470</v>
      </c>
    </row>
    <row r="1920" spans="1:3" x14ac:dyDescent="0.2">
      <c r="A1920">
        <v>5226</v>
      </c>
      <c r="B1920" t="s">
        <v>254</v>
      </c>
      <c r="C1920">
        <v>2004470</v>
      </c>
    </row>
    <row r="1921" spans="1:3" x14ac:dyDescent="0.2">
      <c r="A1921">
        <v>5226</v>
      </c>
      <c r="B1921" t="s">
        <v>254</v>
      </c>
      <c r="C1921">
        <v>2004470</v>
      </c>
    </row>
    <row r="1922" spans="1:3" x14ac:dyDescent="0.2">
      <c r="A1922">
        <v>5226</v>
      </c>
      <c r="B1922" t="s">
        <v>254</v>
      </c>
      <c r="C1922">
        <v>2004470</v>
      </c>
    </row>
    <row r="1923" spans="1:3" x14ac:dyDescent="0.2">
      <c r="A1923">
        <v>5226</v>
      </c>
      <c r="B1923" t="s">
        <v>254</v>
      </c>
      <c r="C1923">
        <v>2004470</v>
      </c>
    </row>
    <row r="1924" spans="1:3" x14ac:dyDescent="0.2">
      <c r="A1924">
        <v>5226</v>
      </c>
      <c r="B1924" t="s">
        <v>254</v>
      </c>
      <c r="C1924">
        <v>2004470</v>
      </c>
    </row>
    <row r="1925" spans="1:3" x14ac:dyDescent="0.2">
      <c r="A1925">
        <v>5226</v>
      </c>
      <c r="B1925" s="9" t="s">
        <v>254</v>
      </c>
      <c r="C1925">
        <v>2004470</v>
      </c>
    </row>
    <row r="1926" spans="1:3" x14ac:dyDescent="0.2">
      <c r="A1926" s="3">
        <v>5227</v>
      </c>
      <c r="B1926" s="3" t="s">
        <v>255</v>
      </c>
      <c r="C1926">
        <v>2000013</v>
      </c>
    </row>
    <row r="1927" spans="1:3" x14ac:dyDescent="0.2">
      <c r="A1927" s="3">
        <v>5227</v>
      </c>
      <c r="B1927" s="3" t="s">
        <v>255</v>
      </c>
      <c r="C1927">
        <v>2000013</v>
      </c>
    </row>
    <row r="1928" spans="1:3" x14ac:dyDescent="0.2">
      <c r="A1928" s="3">
        <v>5227</v>
      </c>
      <c r="B1928" s="3" t="s">
        <v>255</v>
      </c>
      <c r="C1928">
        <v>2000013</v>
      </c>
    </row>
    <row r="1929" spans="1:3" x14ac:dyDescent="0.2">
      <c r="A1929">
        <v>5227</v>
      </c>
      <c r="B1929" t="s">
        <v>255</v>
      </c>
      <c r="C1929">
        <v>2000013</v>
      </c>
    </row>
    <row r="1930" spans="1:3" x14ac:dyDescent="0.2">
      <c r="A1930">
        <v>5227</v>
      </c>
      <c r="B1930" t="s">
        <v>255</v>
      </c>
      <c r="C1930">
        <v>2000013</v>
      </c>
    </row>
    <row r="1931" spans="1:3" x14ac:dyDescent="0.2">
      <c r="A1931">
        <v>5227</v>
      </c>
      <c r="B1931" t="s">
        <v>255</v>
      </c>
      <c r="C1931">
        <v>2000013</v>
      </c>
    </row>
    <row r="1932" spans="1:3" x14ac:dyDescent="0.2">
      <c r="A1932">
        <v>5227</v>
      </c>
      <c r="B1932" t="s">
        <v>255</v>
      </c>
      <c r="C1932">
        <v>2000013</v>
      </c>
    </row>
    <row r="1933" spans="1:3" x14ac:dyDescent="0.2">
      <c r="A1933">
        <v>5227</v>
      </c>
      <c r="B1933" t="s">
        <v>255</v>
      </c>
      <c r="C1933">
        <v>2000013</v>
      </c>
    </row>
    <row r="1934" spans="1:3" x14ac:dyDescent="0.2">
      <c r="A1934">
        <v>5227</v>
      </c>
      <c r="B1934" s="9" t="s">
        <v>255</v>
      </c>
      <c r="C1934">
        <v>2000013</v>
      </c>
    </row>
    <row r="1935" spans="1:3" x14ac:dyDescent="0.2">
      <c r="A1935" s="3">
        <v>5228</v>
      </c>
      <c r="B1935" s="3" t="s">
        <v>256</v>
      </c>
      <c r="C1935">
        <v>2006630</v>
      </c>
    </row>
    <row r="1936" spans="1:3" x14ac:dyDescent="0.2">
      <c r="A1936" s="3">
        <v>5228</v>
      </c>
      <c r="B1936" s="3" t="s">
        <v>256</v>
      </c>
      <c r="C1936">
        <v>2006630</v>
      </c>
    </row>
    <row r="1937" spans="1:3" x14ac:dyDescent="0.2">
      <c r="A1937" s="3">
        <v>5228</v>
      </c>
      <c r="B1937" s="3" t="s">
        <v>256</v>
      </c>
      <c r="C1937">
        <v>2006630</v>
      </c>
    </row>
    <row r="1938" spans="1:3" x14ac:dyDescent="0.2">
      <c r="A1938">
        <v>5228</v>
      </c>
      <c r="B1938" t="s">
        <v>256</v>
      </c>
      <c r="C1938">
        <v>2006630</v>
      </c>
    </row>
    <row r="1939" spans="1:3" x14ac:dyDescent="0.2">
      <c r="A1939">
        <v>5228</v>
      </c>
      <c r="B1939" t="s">
        <v>256</v>
      </c>
      <c r="C1939">
        <v>2006630</v>
      </c>
    </row>
    <row r="1940" spans="1:3" x14ac:dyDescent="0.2">
      <c r="A1940">
        <v>5228</v>
      </c>
      <c r="B1940" t="s">
        <v>256</v>
      </c>
      <c r="C1940">
        <v>2006630</v>
      </c>
    </row>
    <row r="1941" spans="1:3" x14ac:dyDescent="0.2">
      <c r="A1941">
        <v>5228</v>
      </c>
      <c r="B1941" t="s">
        <v>256</v>
      </c>
      <c r="C1941">
        <v>2006630</v>
      </c>
    </row>
    <row r="1942" spans="1:3" x14ac:dyDescent="0.2">
      <c r="A1942">
        <v>5228</v>
      </c>
      <c r="B1942" t="s">
        <v>256</v>
      </c>
      <c r="C1942">
        <v>2006630</v>
      </c>
    </row>
    <row r="1943" spans="1:3" x14ac:dyDescent="0.2">
      <c r="A1943">
        <v>5228</v>
      </c>
      <c r="B1943" s="9" t="s">
        <v>256</v>
      </c>
      <c r="C1943">
        <v>2006630</v>
      </c>
    </row>
    <row r="1944" spans="1:3" x14ac:dyDescent="0.2">
      <c r="A1944" s="3">
        <v>5229</v>
      </c>
      <c r="B1944" s="3" t="s">
        <v>257</v>
      </c>
      <c r="C1944">
        <v>2010080</v>
      </c>
    </row>
    <row r="1945" spans="1:3" x14ac:dyDescent="0.2">
      <c r="A1945" s="3">
        <v>5229</v>
      </c>
      <c r="B1945" s="3" t="s">
        <v>257</v>
      </c>
      <c r="C1945">
        <v>2010080</v>
      </c>
    </row>
    <row r="1946" spans="1:3" x14ac:dyDescent="0.2">
      <c r="A1946" s="3">
        <v>5229</v>
      </c>
      <c r="B1946" s="3" t="s">
        <v>257</v>
      </c>
      <c r="C1946">
        <v>2010080</v>
      </c>
    </row>
    <row r="1947" spans="1:3" x14ac:dyDescent="0.2">
      <c r="A1947">
        <v>5229</v>
      </c>
      <c r="B1947" t="s">
        <v>257</v>
      </c>
      <c r="C1947">
        <v>2010080</v>
      </c>
    </row>
    <row r="1948" spans="1:3" x14ac:dyDescent="0.2">
      <c r="A1948">
        <v>5229</v>
      </c>
      <c r="B1948" t="s">
        <v>257</v>
      </c>
      <c r="C1948">
        <v>2010080</v>
      </c>
    </row>
    <row r="1949" spans="1:3" x14ac:dyDescent="0.2">
      <c r="A1949">
        <v>5229</v>
      </c>
      <c r="B1949" t="s">
        <v>257</v>
      </c>
      <c r="C1949">
        <v>2010080</v>
      </c>
    </row>
    <row r="1950" spans="1:3" x14ac:dyDescent="0.2">
      <c r="A1950">
        <v>5229</v>
      </c>
      <c r="B1950" t="s">
        <v>257</v>
      </c>
      <c r="C1950">
        <v>2010080</v>
      </c>
    </row>
    <row r="1951" spans="1:3" x14ac:dyDescent="0.2">
      <c r="A1951">
        <v>5229</v>
      </c>
      <c r="B1951" t="s">
        <v>257</v>
      </c>
      <c r="C1951">
        <v>2010080</v>
      </c>
    </row>
    <row r="1952" spans="1:3" x14ac:dyDescent="0.2">
      <c r="A1952">
        <v>5229</v>
      </c>
      <c r="B1952" s="9" t="s">
        <v>257</v>
      </c>
      <c r="C1952">
        <v>2010080</v>
      </c>
    </row>
    <row r="1953" spans="1:3" x14ac:dyDescent="0.2">
      <c r="A1953" s="3">
        <v>5230</v>
      </c>
      <c r="B1953" s="3" t="s">
        <v>258</v>
      </c>
      <c r="C1953">
        <v>2006960</v>
      </c>
    </row>
    <row r="1954" spans="1:3" x14ac:dyDescent="0.2">
      <c r="A1954" s="3">
        <v>5230</v>
      </c>
      <c r="B1954" s="3" t="s">
        <v>258</v>
      </c>
      <c r="C1954">
        <v>2006960</v>
      </c>
    </row>
    <row r="1955" spans="1:3" x14ac:dyDescent="0.2">
      <c r="A1955" s="3">
        <v>5230</v>
      </c>
      <c r="B1955" s="3" t="s">
        <v>258</v>
      </c>
      <c r="C1955">
        <v>2006960</v>
      </c>
    </row>
    <row r="1956" spans="1:3" x14ac:dyDescent="0.2">
      <c r="A1956">
        <v>5230</v>
      </c>
      <c r="B1956" t="s">
        <v>258</v>
      </c>
      <c r="C1956">
        <v>2006960</v>
      </c>
    </row>
    <row r="1957" spans="1:3" x14ac:dyDescent="0.2">
      <c r="A1957">
        <v>5230</v>
      </c>
      <c r="B1957" t="s">
        <v>258</v>
      </c>
      <c r="C1957">
        <v>2006960</v>
      </c>
    </row>
    <row r="1958" spans="1:3" x14ac:dyDescent="0.2">
      <c r="A1958">
        <v>5230</v>
      </c>
      <c r="B1958" t="s">
        <v>258</v>
      </c>
      <c r="C1958">
        <v>2006960</v>
      </c>
    </row>
    <row r="1959" spans="1:3" x14ac:dyDescent="0.2">
      <c r="A1959">
        <v>5230</v>
      </c>
      <c r="B1959" t="s">
        <v>258</v>
      </c>
      <c r="C1959">
        <v>2006960</v>
      </c>
    </row>
    <row r="1960" spans="1:3" x14ac:dyDescent="0.2">
      <c r="A1960">
        <v>5230</v>
      </c>
      <c r="B1960" t="s">
        <v>258</v>
      </c>
      <c r="C1960">
        <v>2006960</v>
      </c>
    </row>
    <row r="1961" spans="1:3" x14ac:dyDescent="0.2">
      <c r="A1961">
        <v>5230</v>
      </c>
      <c r="B1961" s="9" t="s">
        <v>258</v>
      </c>
      <c r="C1961">
        <v>2006960</v>
      </c>
    </row>
    <row r="1962" spans="1:3" x14ac:dyDescent="0.2">
      <c r="A1962" s="3">
        <v>5231</v>
      </c>
      <c r="B1962" s="3" t="s">
        <v>259</v>
      </c>
      <c r="C1962">
        <v>2007380</v>
      </c>
    </row>
    <row r="1963" spans="1:3" x14ac:dyDescent="0.2">
      <c r="A1963" s="3">
        <v>5231</v>
      </c>
      <c r="B1963" s="3" t="s">
        <v>259</v>
      </c>
      <c r="C1963">
        <v>2007380</v>
      </c>
    </row>
    <row r="1964" spans="1:3" x14ac:dyDescent="0.2">
      <c r="A1964" s="3">
        <v>5231</v>
      </c>
      <c r="B1964" s="3" t="s">
        <v>259</v>
      </c>
      <c r="C1964">
        <v>2007380</v>
      </c>
    </row>
    <row r="1965" spans="1:3" x14ac:dyDescent="0.2">
      <c r="A1965">
        <v>5231</v>
      </c>
      <c r="B1965" t="s">
        <v>259</v>
      </c>
      <c r="C1965">
        <v>2007380</v>
      </c>
    </row>
    <row r="1966" spans="1:3" x14ac:dyDescent="0.2">
      <c r="A1966">
        <v>5231</v>
      </c>
      <c r="B1966" t="s">
        <v>259</v>
      </c>
      <c r="C1966">
        <v>2007380</v>
      </c>
    </row>
    <row r="1967" spans="1:3" x14ac:dyDescent="0.2">
      <c r="A1967">
        <v>5231</v>
      </c>
      <c r="B1967" t="s">
        <v>259</v>
      </c>
      <c r="C1967">
        <v>2007380</v>
      </c>
    </row>
    <row r="1968" spans="1:3" x14ac:dyDescent="0.2">
      <c r="A1968">
        <v>5231</v>
      </c>
      <c r="B1968" t="s">
        <v>259</v>
      </c>
      <c r="C1968">
        <v>2007380</v>
      </c>
    </row>
    <row r="1969" spans="1:3" x14ac:dyDescent="0.2">
      <c r="A1969">
        <v>5231</v>
      </c>
      <c r="B1969" t="s">
        <v>259</v>
      </c>
      <c r="C1969">
        <v>2007380</v>
      </c>
    </row>
    <row r="1970" spans="1:3" x14ac:dyDescent="0.2">
      <c r="A1970">
        <v>5231</v>
      </c>
      <c r="B1970" s="9" t="s">
        <v>259</v>
      </c>
      <c r="C1970">
        <v>2007380</v>
      </c>
    </row>
    <row r="1971" spans="1:3" x14ac:dyDescent="0.2">
      <c r="A1971" s="3">
        <v>5233</v>
      </c>
      <c r="B1971" s="3" t="s">
        <v>260</v>
      </c>
      <c r="C1971">
        <v>2003200</v>
      </c>
    </row>
    <row r="1972" spans="1:3" x14ac:dyDescent="0.2">
      <c r="A1972" s="3">
        <v>5233</v>
      </c>
      <c r="B1972" s="3" t="s">
        <v>260</v>
      </c>
      <c r="C1972">
        <v>2003200</v>
      </c>
    </row>
    <row r="1973" spans="1:3" x14ac:dyDescent="0.2">
      <c r="A1973" s="3">
        <v>5233</v>
      </c>
      <c r="B1973" s="3" t="s">
        <v>260</v>
      </c>
      <c r="C1973">
        <v>2003200</v>
      </c>
    </row>
    <row r="1974" spans="1:3" x14ac:dyDescent="0.2">
      <c r="A1974">
        <v>5233</v>
      </c>
      <c r="B1974" t="s">
        <v>260</v>
      </c>
      <c r="C1974">
        <v>2003200</v>
      </c>
    </row>
    <row r="1975" spans="1:3" x14ac:dyDescent="0.2">
      <c r="A1975">
        <v>5233</v>
      </c>
      <c r="B1975" t="s">
        <v>260</v>
      </c>
      <c r="C1975">
        <v>2003200</v>
      </c>
    </row>
    <row r="1976" spans="1:3" x14ac:dyDescent="0.2">
      <c r="A1976">
        <v>5233</v>
      </c>
      <c r="B1976" t="s">
        <v>260</v>
      </c>
      <c r="C1976">
        <v>2003200</v>
      </c>
    </row>
    <row r="1977" spans="1:3" x14ac:dyDescent="0.2">
      <c r="A1977">
        <v>5233</v>
      </c>
      <c r="B1977" t="s">
        <v>260</v>
      </c>
      <c r="C1977">
        <v>2003200</v>
      </c>
    </row>
    <row r="1978" spans="1:3" x14ac:dyDescent="0.2">
      <c r="A1978">
        <v>5233</v>
      </c>
      <c r="B1978" t="s">
        <v>260</v>
      </c>
      <c r="C1978">
        <v>2003200</v>
      </c>
    </row>
    <row r="1979" spans="1:3" x14ac:dyDescent="0.2">
      <c r="A1979">
        <v>5233</v>
      </c>
      <c r="B1979" s="9" t="s">
        <v>260</v>
      </c>
      <c r="C1979">
        <v>2003200</v>
      </c>
    </row>
    <row r="1980" spans="1:3" x14ac:dyDescent="0.2">
      <c r="A1980" s="3">
        <v>5235</v>
      </c>
      <c r="B1980" s="3" t="s">
        <v>261</v>
      </c>
      <c r="C1980">
        <v>2008040</v>
      </c>
    </row>
    <row r="1981" spans="1:3" x14ac:dyDescent="0.2">
      <c r="A1981" s="3">
        <v>5235</v>
      </c>
      <c r="B1981" s="3" t="s">
        <v>261</v>
      </c>
      <c r="C1981">
        <v>2008040</v>
      </c>
    </row>
    <row r="1982" spans="1:3" x14ac:dyDescent="0.2">
      <c r="A1982" s="3">
        <v>5235</v>
      </c>
      <c r="B1982" s="3" t="s">
        <v>261</v>
      </c>
      <c r="C1982">
        <v>2008040</v>
      </c>
    </row>
    <row r="1983" spans="1:3" x14ac:dyDescent="0.2">
      <c r="A1983">
        <v>5235</v>
      </c>
      <c r="B1983" t="s">
        <v>261</v>
      </c>
      <c r="C1983">
        <v>2008040</v>
      </c>
    </row>
    <row r="1984" spans="1:3" x14ac:dyDescent="0.2">
      <c r="A1984">
        <v>5235</v>
      </c>
      <c r="B1984" t="s">
        <v>261</v>
      </c>
      <c r="C1984">
        <v>2008040</v>
      </c>
    </row>
    <row r="1985" spans="1:3" x14ac:dyDescent="0.2">
      <c r="A1985">
        <v>5235</v>
      </c>
      <c r="B1985" t="s">
        <v>261</v>
      </c>
      <c r="C1985">
        <v>2008040</v>
      </c>
    </row>
    <row r="1986" spans="1:3" x14ac:dyDescent="0.2">
      <c r="A1986">
        <v>5235</v>
      </c>
      <c r="B1986" t="s">
        <v>261</v>
      </c>
      <c r="C1986">
        <v>2008040</v>
      </c>
    </row>
    <row r="1987" spans="1:3" x14ac:dyDescent="0.2">
      <c r="A1987">
        <v>5235</v>
      </c>
      <c r="B1987" t="s">
        <v>261</v>
      </c>
      <c r="C1987">
        <v>2008040</v>
      </c>
    </row>
    <row r="1988" spans="1:3" x14ac:dyDescent="0.2">
      <c r="A1988">
        <v>5235</v>
      </c>
      <c r="B1988" s="9" t="s">
        <v>261</v>
      </c>
      <c r="C1988">
        <v>2008040</v>
      </c>
    </row>
    <row r="1989" spans="1:3" x14ac:dyDescent="0.2">
      <c r="A1989" s="3">
        <v>5236</v>
      </c>
      <c r="B1989" s="3" t="s">
        <v>262</v>
      </c>
      <c r="C1989">
        <v>2006060</v>
      </c>
    </row>
    <row r="1990" spans="1:3" x14ac:dyDescent="0.2">
      <c r="A1990" s="3">
        <v>5236</v>
      </c>
      <c r="B1990" s="3" t="s">
        <v>262</v>
      </c>
      <c r="C1990">
        <v>2006060</v>
      </c>
    </row>
    <row r="1991" spans="1:3" x14ac:dyDescent="0.2">
      <c r="A1991" s="3">
        <v>5236</v>
      </c>
      <c r="B1991" s="3" t="s">
        <v>262</v>
      </c>
      <c r="C1991">
        <v>2006060</v>
      </c>
    </row>
    <row r="1992" spans="1:3" x14ac:dyDescent="0.2">
      <c r="A1992">
        <v>5236</v>
      </c>
      <c r="B1992" t="s">
        <v>262</v>
      </c>
      <c r="C1992">
        <v>2006060</v>
      </c>
    </row>
    <row r="1993" spans="1:3" x14ac:dyDescent="0.2">
      <c r="A1993">
        <v>5236</v>
      </c>
      <c r="B1993" t="s">
        <v>262</v>
      </c>
      <c r="C1993">
        <v>2006060</v>
      </c>
    </row>
    <row r="1994" spans="1:3" x14ac:dyDescent="0.2">
      <c r="A1994">
        <v>5236</v>
      </c>
      <c r="B1994" t="s">
        <v>262</v>
      </c>
      <c r="C1994">
        <v>2006060</v>
      </c>
    </row>
    <row r="1995" spans="1:3" x14ac:dyDescent="0.2">
      <c r="A1995">
        <v>5236</v>
      </c>
      <c r="B1995" t="s">
        <v>262</v>
      </c>
      <c r="C1995">
        <v>2006060</v>
      </c>
    </row>
    <row r="1996" spans="1:3" x14ac:dyDescent="0.2">
      <c r="A1996">
        <v>5236</v>
      </c>
      <c r="B1996" t="s">
        <v>262</v>
      </c>
      <c r="C1996">
        <v>2006060</v>
      </c>
    </row>
    <row r="1997" spans="1:3" x14ac:dyDescent="0.2">
      <c r="A1997">
        <v>5236</v>
      </c>
      <c r="B1997" s="9" t="s">
        <v>262</v>
      </c>
      <c r="C1997">
        <v>2006060</v>
      </c>
    </row>
    <row r="1998" spans="1:3" x14ac:dyDescent="0.2">
      <c r="A1998" s="3">
        <v>5237</v>
      </c>
      <c r="B1998" s="3" t="s">
        <v>263</v>
      </c>
      <c r="C1998">
        <v>2006510</v>
      </c>
    </row>
    <row r="1999" spans="1:3" x14ac:dyDescent="0.2">
      <c r="A1999" s="3">
        <v>5237</v>
      </c>
      <c r="B1999" s="3" t="s">
        <v>263</v>
      </c>
      <c r="C1999">
        <v>2006510</v>
      </c>
    </row>
    <row r="2000" spans="1:3" x14ac:dyDescent="0.2">
      <c r="A2000" s="3">
        <v>5237</v>
      </c>
      <c r="B2000" s="3" t="s">
        <v>263</v>
      </c>
      <c r="C2000">
        <v>2006510</v>
      </c>
    </row>
    <row r="2001" spans="1:3" x14ac:dyDescent="0.2">
      <c r="A2001">
        <v>5237</v>
      </c>
      <c r="B2001" t="s">
        <v>263</v>
      </c>
      <c r="C2001">
        <v>2006510</v>
      </c>
    </row>
    <row r="2002" spans="1:3" x14ac:dyDescent="0.2">
      <c r="A2002">
        <v>5237</v>
      </c>
      <c r="B2002" t="s">
        <v>263</v>
      </c>
      <c r="C2002">
        <v>2006510</v>
      </c>
    </row>
    <row r="2003" spans="1:3" x14ac:dyDescent="0.2">
      <c r="A2003">
        <v>5237</v>
      </c>
      <c r="B2003" t="s">
        <v>263</v>
      </c>
      <c r="C2003">
        <v>2006510</v>
      </c>
    </row>
    <row r="2004" spans="1:3" x14ac:dyDescent="0.2">
      <c r="A2004">
        <v>5237</v>
      </c>
      <c r="B2004" t="s">
        <v>263</v>
      </c>
      <c r="C2004">
        <v>2006510</v>
      </c>
    </row>
    <row r="2005" spans="1:3" x14ac:dyDescent="0.2">
      <c r="A2005">
        <v>5237</v>
      </c>
      <c r="B2005" t="s">
        <v>263</v>
      </c>
      <c r="C2005">
        <v>2006510</v>
      </c>
    </row>
    <row r="2006" spans="1:3" x14ac:dyDescent="0.2">
      <c r="A2006">
        <v>5237</v>
      </c>
      <c r="B2006" s="9" t="s">
        <v>263</v>
      </c>
      <c r="C2006">
        <v>2006510</v>
      </c>
    </row>
    <row r="2007" spans="1:3" x14ac:dyDescent="0.2">
      <c r="A2007" s="3">
        <v>5238</v>
      </c>
      <c r="B2007" s="3" t="s">
        <v>264</v>
      </c>
      <c r="C2007">
        <v>2004170</v>
      </c>
    </row>
    <row r="2008" spans="1:3" x14ac:dyDescent="0.2">
      <c r="A2008" s="3">
        <v>5238</v>
      </c>
      <c r="B2008" s="3" t="s">
        <v>264</v>
      </c>
      <c r="C2008">
        <v>2004170</v>
      </c>
    </row>
    <row r="2009" spans="1:3" x14ac:dyDescent="0.2">
      <c r="A2009" s="3">
        <v>5238</v>
      </c>
      <c r="B2009" s="3" t="s">
        <v>264</v>
      </c>
      <c r="C2009">
        <v>2004170</v>
      </c>
    </row>
    <row r="2010" spans="1:3" x14ac:dyDescent="0.2">
      <c r="A2010">
        <v>5238</v>
      </c>
      <c r="B2010" t="s">
        <v>264</v>
      </c>
      <c r="C2010">
        <v>2004170</v>
      </c>
    </row>
    <row r="2011" spans="1:3" x14ac:dyDescent="0.2">
      <c r="A2011">
        <v>5238</v>
      </c>
      <c r="B2011" t="s">
        <v>264</v>
      </c>
      <c r="C2011">
        <v>2004170</v>
      </c>
    </row>
    <row r="2012" spans="1:3" x14ac:dyDescent="0.2">
      <c r="A2012">
        <v>5238</v>
      </c>
      <c r="B2012" t="s">
        <v>264</v>
      </c>
      <c r="C2012">
        <v>2004170</v>
      </c>
    </row>
    <row r="2013" spans="1:3" x14ac:dyDescent="0.2">
      <c r="A2013">
        <v>5238</v>
      </c>
      <c r="B2013" t="s">
        <v>264</v>
      </c>
      <c r="C2013">
        <v>2004170</v>
      </c>
    </row>
    <row r="2014" spans="1:3" x14ac:dyDescent="0.2">
      <c r="A2014">
        <v>5238</v>
      </c>
      <c r="B2014" t="s">
        <v>264</v>
      </c>
      <c r="C2014">
        <v>2004170</v>
      </c>
    </row>
    <row r="2015" spans="1:3" x14ac:dyDescent="0.2">
      <c r="A2015">
        <v>5238</v>
      </c>
      <c r="B2015" s="9" t="s">
        <v>264</v>
      </c>
      <c r="C2015">
        <v>2004170</v>
      </c>
    </row>
    <row r="2016" spans="1:3" x14ac:dyDescent="0.2">
      <c r="A2016" s="3">
        <v>5239</v>
      </c>
      <c r="B2016" s="3" t="s">
        <v>265</v>
      </c>
      <c r="C2016">
        <v>2004650</v>
      </c>
    </row>
    <row r="2017" spans="1:3" x14ac:dyDescent="0.2">
      <c r="A2017" s="3">
        <v>5239</v>
      </c>
      <c r="B2017" s="3" t="s">
        <v>265</v>
      </c>
      <c r="C2017">
        <v>2004650</v>
      </c>
    </row>
    <row r="2018" spans="1:3" x14ac:dyDescent="0.2">
      <c r="A2018" s="3">
        <v>5239</v>
      </c>
      <c r="B2018" s="3" t="s">
        <v>265</v>
      </c>
      <c r="C2018">
        <v>2004650</v>
      </c>
    </row>
    <row r="2019" spans="1:3" x14ac:dyDescent="0.2">
      <c r="A2019">
        <v>5239</v>
      </c>
      <c r="B2019" t="s">
        <v>265</v>
      </c>
      <c r="C2019">
        <v>2004650</v>
      </c>
    </row>
    <row r="2020" spans="1:3" x14ac:dyDescent="0.2">
      <c r="A2020">
        <v>5239</v>
      </c>
      <c r="B2020" t="s">
        <v>265</v>
      </c>
      <c r="C2020">
        <v>2004650</v>
      </c>
    </row>
    <row r="2021" spans="1:3" x14ac:dyDescent="0.2">
      <c r="A2021">
        <v>5239</v>
      </c>
      <c r="B2021" t="s">
        <v>265</v>
      </c>
      <c r="C2021">
        <v>2004650</v>
      </c>
    </row>
    <row r="2022" spans="1:3" x14ac:dyDescent="0.2">
      <c r="A2022">
        <v>5239</v>
      </c>
      <c r="B2022" t="s">
        <v>265</v>
      </c>
      <c r="C2022">
        <v>2004650</v>
      </c>
    </row>
    <row r="2023" spans="1:3" x14ac:dyDescent="0.2">
      <c r="A2023">
        <v>5239</v>
      </c>
      <c r="B2023" t="s">
        <v>265</v>
      </c>
      <c r="C2023">
        <v>2004650</v>
      </c>
    </row>
    <row r="2024" spans="1:3" x14ac:dyDescent="0.2">
      <c r="A2024">
        <v>5239</v>
      </c>
      <c r="B2024" s="9" t="s">
        <v>265</v>
      </c>
      <c r="C2024">
        <v>2004650</v>
      </c>
    </row>
    <row r="2025" spans="1:3" x14ac:dyDescent="0.2">
      <c r="A2025" s="3">
        <v>5240</v>
      </c>
      <c r="B2025" s="3" t="s">
        <v>266</v>
      </c>
      <c r="C2025">
        <v>2012150</v>
      </c>
    </row>
    <row r="2026" spans="1:3" x14ac:dyDescent="0.2">
      <c r="A2026" s="3">
        <v>5240</v>
      </c>
      <c r="B2026" s="3" t="s">
        <v>266</v>
      </c>
      <c r="C2026">
        <v>2012150</v>
      </c>
    </row>
    <row r="2027" spans="1:3" x14ac:dyDescent="0.2">
      <c r="A2027" s="3">
        <v>5240</v>
      </c>
      <c r="B2027" s="3" t="s">
        <v>266</v>
      </c>
      <c r="C2027">
        <v>2012150</v>
      </c>
    </row>
    <row r="2028" spans="1:3" x14ac:dyDescent="0.2">
      <c r="A2028">
        <v>5240</v>
      </c>
      <c r="B2028" t="s">
        <v>266</v>
      </c>
      <c r="C2028">
        <v>2012150</v>
      </c>
    </row>
    <row r="2029" spans="1:3" x14ac:dyDescent="0.2">
      <c r="A2029">
        <v>5240</v>
      </c>
      <c r="B2029" t="s">
        <v>266</v>
      </c>
      <c r="C2029">
        <v>2012150</v>
      </c>
    </row>
    <row r="2030" spans="1:3" x14ac:dyDescent="0.2">
      <c r="A2030">
        <v>5240</v>
      </c>
      <c r="B2030" t="s">
        <v>266</v>
      </c>
      <c r="C2030">
        <v>2012150</v>
      </c>
    </row>
    <row r="2031" spans="1:3" x14ac:dyDescent="0.2">
      <c r="A2031">
        <v>5240</v>
      </c>
      <c r="B2031" t="s">
        <v>266</v>
      </c>
      <c r="C2031">
        <v>2012150</v>
      </c>
    </row>
    <row r="2032" spans="1:3" x14ac:dyDescent="0.2">
      <c r="A2032">
        <v>5240</v>
      </c>
      <c r="B2032" t="s">
        <v>266</v>
      </c>
      <c r="C2032">
        <v>2012150</v>
      </c>
    </row>
    <row r="2033" spans="1:3" x14ac:dyDescent="0.2">
      <c r="A2033">
        <v>5240</v>
      </c>
      <c r="B2033" s="9" t="s">
        <v>266</v>
      </c>
      <c r="C2033">
        <v>2012150</v>
      </c>
    </row>
    <row r="2034" spans="1:3" x14ac:dyDescent="0.2">
      <c r="A2034" s="3">
        <v>5241</v>
      </c>
      <c r="B2034" s="3" t="s">
        <v>362</v>
      </c>
      <c r="C2034">
        <v>2005040</v>
      </c>
    </row>
    <row r="2035" spans="1:3" x14ac:dyDescent="0.2">
      <c r="A2035" s="3">
        <v>5241</v>
      </c>
      <c r="B2035" s="3" t="s">
        <v>362</v>
      </c>
      <c r="C2035">
        <v>2005040</v>
      </c>
    </row>
    <row r="2036" spans="1:3" x14ac:dyDescent="0.2">
      <c r="A2036" s="3">
        <v>5241</v>
      </c>
      <c r="B2036" s="3" t="s">
        <v>362</v>
      </c>
      <c r="C2036">
        <v>2005040</v>
      </c>
    </row>
    <row r="2037" spans="1:3" x14ac:dyDescent="0.2">
      <c r="A2037">
        <v>5241</v>
      </c>
      <c r="B2037" t="s">
        <v>362</v>
      </c>
      <c r="C2037">
        <v>2005040</v>
      </c>
    </row>
    <row r="2038" spans="1:3" x14ac:dyDescent="0.2">
      <c r="A2038">
        <v>5241</v>
      </c>
      <c r="B2038" t="s">
        <v>362</v>
      </c>
      <c r="C2038">
        <v>2005040</v>
      </c>
    </row>
    <row r="2039" spans="1:3" x14ac:dyDescent="0.2">
      <c r="A2039">
        <v>5241</v>
      </c>
      <c r="B2039" t="s">
        <v>362</v>
      </c>
      <c r="C2039">
        <v>2005040</v>
      </c>
    </row>
    <row r="2040" spans="1:3" x14ac:dyDescent="0.2">
      <c r="A2040">
        <v>5241</v>
      </c>
      <c r="B2040" t="s">
        <v>267</v>
      </c>
      <c r="C2040">
        <v>2005040</v>
      </c>
    </row>
    <row r="2041" spans="1:3" x14ac:dyDescent="0.2">
      <c r="A2041">
        <v>5241</v>
      </c>
      <c r="B2041" t="s">
        <v>267</v>
      </c>
      <c r="C2041">
        <v>2005040</v>
      </c>
    </row>
    <row r="2042" spans="1:3" x14ac:dyDescent="0.2">
      <c r="A2042">
        <v>5241</v>
      </c>
      <c r="B2042" s="9" t="s">
        <v>267</v>
      </c>
      <c r="C2042">
        <v>2005040</v>
      </c>
    </row>
    <row r="2043" spans="1:3" x14ac:dyDescent="0.2">
      <c r="A2043" s="3">
        <v>5250</v>
      </c>
      <c r="B2043" s="3" t="s">
        <v>268</v>
      </c>
      <c r="C2043">
        <v>2000001</v>
      </c>
    </row>
    <row r="2044" spans="1:3" x14ac:dyDescent="0.2">
      <c r="A2044" s="3">
        <v>5250</v>
      </c>
      <c r="B2044" s="3" t="s">
        <v>268</v>
      </c>
      <c r="C2044">
        <v>2000001</v>
      </c>
    </row>
    <row r="2045" spans="1:3" x14ac:dyDescent="0.2">
      <c r="A2045" s="3">
        <v>5250</v>
      </c>
      <c r="B2045" s="3" t="s">
        <v>268</v>
      </c>
      <c r="C2045">
        <v>2000001</v>
      </c>
    </row>
    <row r="2046" spans="1:3" x14ac:dyDescent="0.2">
      <c r="A2046">
        <v>5250</v>
      </c>
      <c r="B2046" t="s">
        <v>268</v>
      </c>
      <c r="C2046">
        <v>2000001</v>
      </c>
    </row>
    <row r="2047" spans="1:3" x14ac:dyDescent="0.2">
      <c r="A2047">
        <v>5250</v>
      </c>
      <c r="B2047" t="s">
        <v>268</v>
      </c>
      <c r="C2047">
        <v>2000001</v>
      </c>
    </row>
    <row r="2048" spans="1:3" x14ac:dyDescent="0.2">
      <c r="A2048">
        <v>5250</v>
      </c>
      <c r="B2048" t="s">
        <v>268</v>
      </c>
      <c r="C2048">
        <v>2000001</v>
      </c>
    </row>
    <row r="2049" spans="1:3" x14ac:dyDescent="0.2">
      <c r="A2049">
        <v>5250</v>
      </c>
      <c r="B2049" t="s">
        <v>268</v>
      </c>
      <c r="C2049">
        <v>2000001</v>
      </c>
    </row>
    <row r="2050" spans="1:3" x14ac:dyDescent="0.2">
      <c r="A2050">
        <v>5250</v>
      </c>
      <c r="B2050" t="s">
        <v>268</v>
      </c>
      <c r="C2050">
        <v>2000001</v>
      </c>
    </row>
    <row r="2051" spans="1:3" x14ac:dyDescent="0.2">
      <c r="A2051">
        <v>5250</v>
      </c>
      <c r="B2051" s="9" t="s">
        <v>268</v>
      </c>
      <c r="C2051">
        <v>2000001</v>
      </c>
    </row>
    <row r="2052" spans="1:3" x14ac:dyDescent="0.2">
      <c r="A2052" s="3">
        <v>5251</v>
      </c>
      <c r="B2052" s="3" t="s">
        <v>269</v>
      </c>
      <c r="C2052">
        <v>2010980</v>
      </c>
    </row>
    <row r="2053" spans="1:3" x14ac:dyDescent="0.2">
      <c r="A2053" s="3">
        <v>5251</v>
      </c>
      <c r="B2053" s="3" t="s">
        <v>269</v>
      </c>
      <c r="C2053">
        <v>2010980</v>
      </c>
    </row>
    <row r="2054" spans="1:3" x14ac:dyDescent="0.2">
      <c r="A2054" s="3">
        <v>5251</v>
      </c>
      <c r="B2054" s="3" t="s">
        <v>269</v>
      </c>
      <c r="C2054">
        <v>2010980</v>
      </c>
    </row>
    <row r="2055" spans="1:3" x14ac:dyDescent="0.2">
      <c r="A2055">
        <v>5251</v>
      </c>
      <c r="B2055" t="s">
        <v>269</v>
      </c>
      <c r="C2055">
        <v>2010980</v>
      </c>
    </row>
    <row r="2056" spans="1:3" x14ac:dyDescent="0.2">
      <c r="A2056">
        <v>5251</v>
      </c>
      <c r="B2056" t="s">
        <v>269</v>
      </c>
      <c r="C2056">
        <v>2010980</v>
      </c>
    </row>
    <row r="2057" spans="1:3" x14ac:dyDescent="0.2">
      <c r="A2057">
        <v>5251</v>
      </c>
      <c r="B2057" t="s">
        <v>269</v>
      </c>
      <c r="C2057">
        <v>2010980</v>
      </c>
    </row>
    <row r="2058" spans="1:3" x14ac:dyDescent="0.2">
      <c r="A2058">
        <v>5251</v>
      </c>
      <c r="B2058" t="s">
        <v>269</v>
      </c>
      <c r="C2058">
        <v>2010980</v>
      </c>
    </row>
    <row r="2059" spans="1:3" x14ac:dyDescent="0.2">
      <c r="A2059">
        <v>5251</v>
      </c>
      <c r="B2059" t="s">
        <v>269</v>
      </c>
      <c r="C2059">
        <v>2010980</v>
      </c>
    </row>
    <row r="2060" spans="1:3" x14ac:dyDescent="0.2">
      <c r="A2060">
        <v>5251</v>
      </c>
      <c r="B2060" s="9" t="s">
        <v>269</v>
      </c>
      <c r="C2060">
        <v>2010980</v>
      </c>
    </row>
    <row r="2061" spans="1:3" x14ac:dyDescent="0.2">
      <c r="A2061" s="3">
        <v>5267</v>
      </c>
      <c r="B2061" s="3" t="s">
        <v>270</v>
      </c>
      <c r="C2061">
        <v>2008940</v>
      </c>
    </row>
    <row r="2062" spans="1:3" x14ac:dyDescent="0.2">
      <c r="A2062" s="3">
        <v>5267</v>
      </c>
      <c r="B2062" s="3" t="s">
        <v>270</v>
      </c>
      <c r="C2062">
        <v>2008940</v>
      </c>
    </row>
    <row r="2063" spans="1:3" x14ac:dyDescent="0.2">
      <c r="A2063" s="3">
        <v>5267</v>
      </c>
      <c r="B2063" s="3" t="s">
        <v>270</v>
      </c>
      <c r="C2063">
        <v>2008940</v>
      </c>
    </row>
    <row r="2064" spans="1:3" x14ac:dyDescent="0.2">
      <c r="A2064">
        <v>5267</v>
      </c>
      <c r="B2064" t="s">
        <v>270</v>
      </c>
      <c r="C2064">
        <v>2008940</v>
      </c>
    </row>
    <row r="2065" spans="1:3" x14ac:dyDescent="0.2">
      <c r="A2065">
        <v>5267</v>
      </c>
      <c r="B2065" t="s">
        <v>270</v>
      </c>
      <c r="C2065">
        <v>2008940</v>
      </c>
    </row>
    <row r="2066" spans="1:3" x14ac:dyDescent="0.2">
      <c r="A2066">
        <v>5267</v>
      </c>
      <c r="B2066" t="s">
        <v>270</v>
      </c>
      <c r="C2066">
        <v>2008940</v>
      </c>
    </row>
    <row r="2067" spans="1:3" x14ac:dyDescent="0.2">
      <c r="A2067">
        <v>5267</v>
      </c>
      <c r="B2067" t="s">
        <v>270</v>
      </c>
      <c r="C2067">
        <v>2008940</v>
      </c>
    </row>
    <row r="2068" spans="1:3" x14ac:dyDescent="0.2">
      <c r="A2068">
        <v>5267</v>
      </c>
      <c r="B2068" t="s">
        <v>270</v>
      </c>
      <c r="C2068">
        <v>2008940</v>
      </c>
    </row>
    <row r="2069" spans="1:3" x14ac:dyDescent="0.2">
      <c r="A2069">
        <v>5267</v>
      </c>
      <c r="B2069" s="9" t="s">
        <v>270</v>
      </c>
      <c r="C2069">
        <v>2008940</v>
      </c>
    </row>
    <row r="2070" spans="1:3" x14ac:dyDescent="0.2">
      <c r="A2070" s="3">
        <v>5268</v>
      </c>
      <c r="B2070" s="3" t="s">
        <v>271</v>
      </c>
      <c r="C2070">
        <v>2003510</v>
      </c>
    </row>
    <row r="2071" spans="1:3" x14ac:dyDescent="0.2">
      <c r="A2071" s="3">
        <v>5268</v>
      </c>
      <c r="B2071" s="3" t="s">
        <v>271</v>
      </c>
      <c r="C2071">
        <v>2003510</v>
      </c>
    </row>
    <row r="2072" spans="1:3" x14ac:dyDescent="0.2">
      <c r="A2072" s="3">
        <v>5268</v>
      </c>
      <c r="B2072" s="3" t="s">
        <v>271</v>
      </c>
      <c r="C2072">
        <v>2003510</v>
      </c>
    </row>
    <row r="2073" spans="1:3" x14ac:dyDescent="0.2">
      <c r="A2073">
        <v>5268</v>
      </c>
      <c r="B2073" t="s">
        <v>271</v>
      </c>
      <c r="C2073">
        <v>2003510</v>
      </c>
    </row>
    <row r="2074" spans="1:3" x14ac:dyDescent="0.2">
      <c r="A2074">
        <v>5268</v>
      </c>
      <c r="B2074" t="s">
        <v>271</v>
      </c>
      <c r="C2074">
        <v>2003510</v>
      </c>
    </row>
    <row r="2075" spans="1:3" x14ac:dyDescent="0.2">
      <c r="A2075">
        <v>5268</v>
      </c>
      <c r="B2075" t="s">
        <v>271</v>
      </c>
      <c r="C2075">
        <v>2003510</v>
      </c>
    </row>
    <row r="2076" spans="1:3" x14ac:dyDescent="0.2">
      <c r="A2076">
        <v>5268</v>
      </c>
      <c r="B2076" t="s">
        <v>271</v>
      </c>
      <c r="C2076">
        <v>2003510</v>
      </c>
    </row>
    <row r="2077" spans="1:3" x14ac:dyDescent="0.2">
      <c r="A2077">
        <v>5268</v>
      </c>
      <c r="B2077" t="s">
        <v>271</v>
      </c>
      <c r="C2077">
        <v>2003510</v>
      </c>
    </row>
    <row r="2078" spans="1:3" x14ac:dyDescent="0.2">
      <c r="A2078">
        <v>5268</v>
      </c>
      <c r="B2078" s="9" t="s">
        <v>271</v>
      </c>
      <c r="C2078">
        <v>2003510</v>
      </c>
    </row>
    <row r="2079" spans="1:3" x14ac:dyDescent="0.2">
      <c r="A2079" s="3">
        <v>5270</v>
      </c>
      <c r="B2079" s="3" t="s">
        <v>272</v>
      </c>
      <c r="C2079">
        <v>2004950</v>
      </c>
    </row>
    <row r="2080" spans="1:3" x14ac:dyDescent="0.2">
      <c r="A2080" s="3">
        <v>5270</v>
      </c>
      <c r="B2080" s="3" t="s">
        <v>272</v>
      </c>
      <c r="C2080">
        <v>2004950</v>
      </c>
    </row>
    <row r="2081" spans="1:3" x14ac:dyDescent="0.2">
      <c r="A2081" s="3">
        <v>5270</v>
      </c>
      <c r="B2081" s="3" t="s">
        <v>272</v>
      </c>
      <c r="C2081">
        <v>2004950</v>
      </c>
    </row>
    <row r="2082" spans="1:3" x14ac:dyDescent="0.2">
      <c r="A2082">
        <v>5270</v>
      </c>
      <c r="B2082" t="s">
        <v>272</v>
      </c>
      <c r="C2082">
        <v>2004950</v>
      </c>
    </row>
    <row r="2083" spans="1:3" x14ac:dyDescent="0.2">
      <c r="A2083">
        <v>5270</v>
      </c>
      <c r="B2083" t="s">
        <v>272</v>
      </c>
      <c r="C2083">
        <v>2004950</v>
      </c>
    </row>
    <row r="2084" spans="1:3" x14ac:dyDescent="0.2">
      <c r="A2084">
        <v>5270</v>
      </c>
      <c r="B2084" t="s">
        <v>272</v>
      </c>
      <c r="C2084">
        <v>2004950</v>
      </c>
    </row>
    <row r="2085" spans="1:3" x14ac:dyDescent="0.2">
      <c r="A2085">
        <v>5270</v>
      </c>
      <c r="B2085" t="s">
        <v>272</v>
      </c>
      <c r="C2085">
        <v>2004950</v>
      </c>
    </row>
    <row r="2086" spans="1:3" x14ac:dyDescent="0.2">
      <c r="A2086">
        <v>5270</v>
      </c>
      <c r="B2086" t="s">
        <v>272</v>
      </c>
      <c r="C2086">
        <v>2004950</v>
      </c>
    </row>
    <row r="2087" spans="1:3" x14ac:dyDescent="0.2">
      <c r="A2087">
        <v>5270</v>
      </c>
      <c r="B2087" s="9" t="s">
        <v>272</v>
      </c>
      <c r="C2087">
        <v>2004950</v>
      </c>
    </row>
    <row r="2088" spans="1:3" x14ac:dyDescent="0.2">
      <c r="A2088" s="3">
        <v>5271</v>
      </c>
      <c r="B2088" s="3" t="s">
        <v>273</v>
      </c>
      <c r="C2088">
        <v>2006210</v>
      </c>
    </row>
    <row r="2089" spans="1:3" x14ac:dyDescent="0.2">
      <c r="A2089" s="3">
        <v>5271</v>
      </c>
      <c r="B2089" s="3" t="s">
        <v>273</v>
      </c>
      <c r="C2089">
        <v>2006210</v>
      </c>
    </row>
    <row r="2090" spans="1:3" x14ac:dyDescent="0.2">
      <c r="A2090" s="3">
        <v>5271</v>
      </c>
      <c r="B2090" s="3" t="s">
        <v>273</v>
      </c>
      <c r="C2090">
        <v>2006210</v>
      </c>
    </row>
    <row r="2091" spans="1:3" x14ac:dyDescent="0.2">
      <c r="A2091">
        <v>5271</v>
      </c>
      <c r="B2091" t="s">
        <v>273</v>
      </c>
      <c r="C2091">
        <v>2006210</v>
      </c>
    </row>
    <row r="2092" spans="1:3" x14ac:dyDescent="0.2">
      <c r="A2092">
        <v>5271</v>
      </c>
      <c r="B2092" t="s">
        <v>273</v>
      </c>
      <c r="C2092">
        <v>2006210</v>
      </c>
    </row>
    <row r="2093" spans="1:3" x14ac:dyDescent="0.2">
      <c r="A2093">
        <v>5271</v>
      </c>
      <c r="B2093" t="s">
        <v>273</v>
      </c>
      <c r="C2093">
        <v>2006210</v>
      </c>
    </row>
    <row r="2094" spans="1:3" x14ac:dyDescent="0.2">
      <c r="A2094">
        <v>5271</v>
      </c>
      <c r="B2094" t="s">
        <v>273</v>
      </c>
      <c r="C2094">
        <v>2006210</v>
      </c>
    </row>
    <row r="2095" spans="1:3" x14ac:dyDescent="0.2">
      <c r="A2095">
        <v>5271</v>
      </c>
      <c r="B2095" t="s">
        <v>273</v>
      </c>
      <c r="C2095">
        <v>2006210</v>
      </c>
    </row>
    <row r="2096" spans="1:3" x14ac:dyDescent="0.2">
      <c r="A2096">
        <v>5271</v>
      </c>
      <c r="B2096" s="9" t="s">
        <v>273</v>
      </c>
      <c r="C2096">
        <v>2006210</v>
      </c>
    </row>
    <row r="2097" spans="1:3" x14ac:dyDescent="0.2">
      <c r="A2097" s="3">
        <v>5272</v>
      </c>
      <c r="B2097" s="3" t="s">
        <v>274</v>
      </c>
      <c r="C2097">
        <v>2011850</v>
      </c>
    </row>
    <row r="2098" spans="1:3" x14ac:dyDescent="0.2">
      <c r="A2098" s="3">
        <v>5272</v>
      </c>
      <c r="B2098" s="3" t="s">
        <v>274</v>
      </c>
      <c r="C2098">
        <v>2011850</v>
      </c>
    </row>
    <row r="2099" spans="1:3" x14ac:dyDescent="0.2">
      <c r="A2099" s="3">
        <v>5272</v>
      </c>
      <c r="B2099" s="3" t="s">
        <v>274</v>
      </c>
      <c r="C2099">
        <v>2011850</v>
      </c>
    </row>
    <row r="2100" spans="1:3" x14ac:dyDescent="0.2">
      <c r="A2100">
        <v>5272</v>
      </c>
      <c r="B2100" t="s">
        <v>274</v>
      </c>
      <c r="C2100">
        <v>2011850</v>
      </c>
    </row>
    <row r="2101" spans="1:3" x14ac:dyDescent="0.2">
      <c r="A2101">
        <v>5272</v>
      </c>
      <c r="B2101" t="s">
        <v>274</v>
      </c>
      <c r="C2101">
        <v>2011850</v>
      </c>
    </row>
    <row r="2102" spans="1:3" x14ac:dyDescent="0.2">
      <c r="A2102">
        <v>5272</v>
      </c>
      <c r="B2102" t="s">
        <v>274</v>
      </c>
      <c r="C2102">
        <v>2011850</v>
      </c>
    </row>
    <row r="2103" spans="1:3" x14ac:dyDescent="0.2">
      <c r="A2103">
        <v>5272</v>
      </c>
      <c r="B2103" t="s">
        <v>274</v>
      </c>
      <c r="C2103">
        <v>2011850</v>
      </c>
    </row>
    <row r="2104" spans="1:3" x14ac:dyDescent="0.2">
      <c r="A2104">
        <v>5272</v>
      </c>
      <c r="B2104" t="s">
        <v>274</v>
      </c>
      <c r="C2104">
        <v>2011850</v>
      </c>
    </row>
    <row r="2105" spans="1:3" x14ac:dyDescent="0.2">
      <c r="A2105">
        <v>5272</v>
      </c>
      <c r="B2105" s="9" t="s">
        <v>274</v>
      </c>
      <c r="C2105">
        <v>2011850</v>
      </c>
    </row>
    <row r="2106" spans="1:3" x14ac:dyDescent="0.2">
      <c r="A2106" s="3">
        <v>5274</v>
      </c>
      <c r="B2106" s="3" t="s">
        <v>275</v>
      </c>
      <c r="C2106">
        <v>2006300</v>
      </c>
    </row>
    <row r="2107" spans="1:3" x14ac:dyDescent="0.2">
      <c r="A2107" s="3">
        <v>5274</v>
      </c>
      <c r="B2107" s="3" t="s">
        <v>275</v>
      </c>
      <c r="C2107">
        <v>2006300</v>
      </c>
    </row>
    <row r="2108" spans="1:3" x14ac:dyDescent="0.2">
      <c r="A2108" s="3">
        <v>5274</v>
      </c>
      <c r="B2108" s="3" t="s">
        <v>275</v>
      </c>
      <c r="C2108">
        <v>2006300</v>
      </c>
    </row>
    <row r="2109" spans="1:3" x14ac:dyDescent="0.2">
      <c r="A2109">
        <v>5274</v>
      </c>
      <c r="B2109" t="s">
        <v>275</v>
      </c>
      <c r="C2109">
        <v>2006300</v>
      </c>
    </row>
    <row r="2110" spans="1:3" x14ac:dyDescent="0.2">
      <c r="A2110">
        <v>5274</v>
      </c>
      <c r="B2110" t="s">
        <v>275</v>
      </c>
      <c r="C2110">
        <v>2006300</v>
      </c>
    </row>
    <row r="2111" spans="1:3" x14ac:dyDescent="0.2">
      <c r="A2111">
        <v>5274</v>
      </c>
      <c r="B2111" t="s">
        <v>275</v>
      </c>
      <c r="C2111">
        <v>2006300</v>
      </c>
    </row>
    <row r="2112" spans="1:3" x14ac:dyDescent="0.2">
      <c r="A2112">
        <v>5274</v>
      </c>
      <c r="B2112" t="s">
        <v>275</v>
      </c>
      <c r="C2112">
        <v>2006300</v>
      </c>
    </row>
    <row r="2113" spans="1:3" x14ac:dyDescent="0.2">
      <c r="A2113">
        <v>5274</v>
      </c>
      <c r="B2113" t="s">
        <v>275</v>
      </c>
      <c r="C2113">
        <v>2006300</v>
      </c>
    </row>
    <row r="2114" spans="1:3" x14ac:dyDescent="0.2">
      <c r="A2114">
        <v>5274</v>
      </c>
      <c r="B2114" s="9" t="s">
        <v>275</v>
      </c>
      <c r="C2114">
        <v>2006300</v>
      </c>
    </row>
    <row r="2115" spans="1:3" x14ac:dyDescent="0.2">
      <c r="A2115" s="3">
        <v>5275</v>
      </c>
      <c r="B2115" s="3" t="s">
        <v>276</v>
      </c>
      <c r="C2115">
        <v>2009840</v>
      </c>
    </row>
    <row r="2116" spans="1:3" x14ac:dyDescent="0.2">
      <c r="A2116" s="3">
        <v>5275</v>
      </c>
      <c r="B2116" s="3" t="s">
        <v>276</v>
      </c>
      <c r="C2116">
        <v>2009840</v>
      </c>
    </row>
    <row r="2117" spans="1:3" x14ac:dyDescent="0.2">
      <c r="A2117" s="3">
        <v>5275</v>
      </c>
      <c r="B2117" s="3" t="s">
        <v>276</v>
      </c>
      <c r="C2117">
        <v>2009840</v>
      </c>
    </row>
    <row r="2118" spans="1:3" x14ac:dyDescent="0.2">
      <c r="A2118">
        <v>5275</v>
      </c>
      <c r="B2118" t="s">
        <v>276</v>
      </c>
      <c r="C2118">
        <v>2009840</v>
      </c>
    </row>
    <row r="2119" spans="1:3" x14ac:dyDescent="0.2">
      <c r="A2119">
        <v>5275</v>
      </c>
      <c r="B2119" t="s">
        <v>276</v>
      </c>
      <c r="C2119">
        <v>2009840</v>
      </c>
    </row>
    <row r="2120" spans="1:3" x14ac:dyDescent="0.2">
      <c r="A2120">
        <v>5275</v>
      </c>
      <c r="B2120" t="s">
        <v>276</v>
      </c>
      <c r="C2120">
        <v>2009840</v>
      </c>
    </row>
    <row r="2121" spans="1:3" x14ac:dyDescent="0.2">
      <c r="A2121">
        <v>5275</v>
      </c>
      <c r="B2121" t="s">
        <v>276</v>
      </c>
      <c r="C2121">
        <v>2009840</v>
      </c>
    </row>
    <row r="2122" spans="1:3" x14ac:dyDescent="0.2">
      <c r="A2122">
        <v>5275</v>
      </c>
      <c r="B2122" t="s">
        <v>276</v>
      </c>
      <c r="C2122">
        <v>2009840</v>
      </c>
    </row>
    <row r="2123" spans="1:3" x14ac:dyDescent="0.2">
      <c r="A2123">
        <v>5275</v>
      </c>
      <c r="B2123" s="9" t="s">
        <v>276</v>
      </c>
      <c r="C2123">
        <v>2009840</v>
      </c>
    </row>
    <row r="2124" spans="1:3" x14ac:dyDescent="0.2">
      <c r="A2124" s="3">
        <v>5276</v>
      </c>
      <c r="B2124" s="3" t="s">
        <v>277</v>
      </c>
      <c r="C2124">
        <v>2004920</v>
      </c>
    </row>
    <row r="2125" spans="1:3" x14ac:dyDescent="0.2">
      <c r="A2125" s="3">
        <v>5276</v>
      </c>
      <c r="B2125" s="3" t="s">
        <v>277</v>
      </c>
      <c r="C2125">
        <v>2004920</v>
      </c>
    </row>
    <row r="2126" spans="1:3" x14ac:dyDescent="0.2">
      <c r="A2126" s="3">
        <v>5276</v>
      </c>
      <c r="B2126" s="3" t="s">
        <v>277</v>
      </c>
      <c r="C2126">
        <v>2004920</v>
      </c>
    </row>
    <row r="2127" spans="1:3" x14ac:dyDescent="0.2">
      <c r="A2127">
        <v>5276</v>
      </c>
      <c r="B2127" t="s">
        <v>277</v>
      </c>
      <c r="C2127">
        <v>2004920</v>
      </c>
    </row>
    <row r="2128" spans="1:3" x14ac:dyDescent="0.2">
      <c r="A2128">
        <v>5276</v>
      </c>
      <c r="B2128" t="s">
        <v>277</v>
      </c>
      <c r="C2128">
        <v>2004920</v>
      </c>
    </row>
    <row r="2129" spans="1:3" x14ac:dyDescent="0.2">
      <c r="A2129">
        <v>5276</v>
      </c>
      <c r="B2129" t="s">
        <v>277</v>
      </c>
      <c r="C2129">
        <v>2004920</v>
      </c>
    </row>
    <row r="2130" spans="1:3" x14ac:dyDescent="0.2">
      <c r="A2130">
        <v>5276</v>
      </c>
      <c r="B2130" t="s">
        <v>277</v>
      </c>
      <c r="C2130">
        <v>2004920</v>
      </c>
    </row>
    <row r="2131" spans="1:3" x14ac:dyDescent="0.2">
      <c r="A2131">
        <v>5276</v>
      </c>
      <c r="B2131" t="s">
        <v>277</v>
      </c>
      <c r="C2131">
        <v>2004920</v>
      </c>
    </row>
    <row r="2132" spans="1:3" x14ac:dyDescent="0.2">
      <c r="A2132">
        <v>5276</v>
      </c>
      <c r="B2132" s="9" t="s">
        <v>277</v>
      </c>
      <c r="C2132">
        <v>2004920</v>
      </c>
    </row>
    <row r="2133" spans="1:3" x14ac:dyDescent="0.2">
      <c r="A2133" s="3">
        <v>5278</v>
      </c>
      <c r="B2133" s="3" t="s">
        <v>278</v>
      </c>
      <c r="C2133">
        <v>2010950</v>
      </c>
    </row>
    <row r="2134" spans="1:3" x14ac:dyDescent="0.2">
      <c r="A2134" s="3">
        <v>5278</v>
      </c>
      <c r="B2134" s="3" t="s">
        <v>278</v>
      </c>
      <c r="C2134">
        <v>2010950</v>
      </c>
    </row>
    <row r="2135" spans="1:3" x14ac:dyDescent="0.2">
      <c r="A2135" s="3">
        <v>5278</v>
      </c>
      <c r="B2135" s="3" t="s">
        <v>278</v>
      </c>
      <c r="C2135">
        <v>2010950</v>
      </c>
    </row>
    <row r="2136" spans="1:3" x14ac:dyDescent="0.2">
      <c r="A2136">
        <v>5278</v>
      </c>
      <c r="B2136" t="s">
        <v>278</v>
      </c>
      <c r="C2136">
        <v>2010950</v>
      </c>
    </row>
    <row r="2137" spans="1:3" x14ac:dyDescent="0.2">
      <c r="A2137">
        <v>5278</v>
      </c>
      <c r="B2137" t="s">
        <v>278</v>
      </c>
      <c r="C2137">
        <v>2010950</v>
      </c>
    </row>
    <row r="2138" spans="1:3" x14ac:dyDescent="0.2">
      <c r="A2138">
        <v>5278</v>
      </c>
      <c r="B2138" t="s">
        <v>278</v>
      </c>
      <c r="C2138">
        <v>2010950</v>
      </c>
    </row>
    <row r="2139" spans="1:3" x14ac:dyDescent="0.2">
      <c r="A2139">
        <v>5278</v>
      </c>
      <c r="B2139" t="s">
        <v>278</v>
      </c>
      <c r="C2139">
        <v>2010950</v>
      </c>
    </row>
    <row r="2140" spans="1:3" x14ac:dyDescent="0.2">
      <c r="A2140">
        <v>5278</v>
      </c>
      <c r="B2140" t="s">
        <v>278</v>
      </c>
      <c r="C2140">
        <v>2010950</v>
      </c>
    </row>
    <row r="2141" spans="1:3" x14ac:dyDescent="0.2">
      <c r="A2141">
        <v>5278</v>
      </c>
      <c r="B2141" s="9" t="s">
        <v>278</v>
      </c>
      <c r="C2141">
        <v>2010950</v>
      </c>
    </row>
    <row r="2142" spans="1:3" x14ac:dyDescent="0.2">
      <c r="A2142" s="3">
        <v>5280</v>
      </c>
      <c r="B2142" s="3" t="s">
        <v>279</v>
      </c>
      <c r="C2142">
        <v>2007620</v>
      </c>
    </row>
    <row r="2143" spans="1:3" x14ac:dyDescent="0.2">
      <c r="A2143" s="3">
        <v>5280</v>
      </c>
      <c r="B2143" s="3" t="s">
        <v>279</v>
      </c>
      <c r="C2143">
        <v>2007620</v>
      </c>
    </row>
    <row r="2144" spans="1:3" x14ac:dyDescent="0.2">
      <c r="A2144" s="3">
        <v>5280</v>
      </c>
      <c r="B2144" s="3" t="s">
        <v>279</v>
      </c>
      <c r="C2144">
        <v>2007620</v>
      </c>
    </row>
    <row r="2145" spans="1:3" x14ac:dyDescent="0.2">
      <c r="A2145">
        <v>5280</v>
      </c>
      <c r="B2145" t="s">
        <v>279</v>
      </c>
      <c r="C2145">
        <v>2007620</v>
      </c>
    </row>
    <row r="2146" spans="1:3" x14ac:dyDescent="0.2">
      <c r="A2146">
        <v>5280</v>
      </c>
      <c r="B2146" t="s">
        <v>279</v>
      </c>
      <c r="C2146">
        <v>2007620</v>
      </c>
    </row>
    <row r="2147" spans="1:3" x14ac:dyDescent="0.2">
      <c r="A2147">
        <v>5280</v>
      </c>
      <c r="B2147" t="s">
        <v>279</v>
      </c>
      <c r="C2147">
        <v>2007620</v>
      </c>
    </row>
    <row r="2148" spans="1:3" x14ac:dyDescent="0.2">
      <c r="A2148">
        <v>5280</v>
      </c>
      <c r="B2148" t="s">
        <v>279</v>
      </c>
      <c r="C2148">
        <v>2007620</v>
      </c>
    </row>
    <row r="2149" spans="1:3" x14ac:dyDescent="0.2">
      <c r="A2149">
        <v>5280</v>
      </c>
      <c r="B2149" t="s">
        <v>279</v>
      </c>
      <c r="C2149">
        <v>2007620</v>
      </c>
    </row>
    <row r="2150" spans="1:3" x14ac:dyDescent="0.2">
      <c r="A2150">
        <v>5280</v>
      </c>
      <c r="B2150" s="9" t="s">
        <v>279</v>
      </c>
      <c r="C2150">
        <v>2007620</v>
      </c>
    </row>
    <row r="2151" spans="1:3" x14ac:dyDescent="0.2">
      <c r="A2151" s="3">
        <v>5281</v>
      </c>
      <c r="B2151" s="3" t="s">
        <v>280</v>
      </c>
      <c r="C2151">
        <v>2011040</v>
      </c>
    </row>
    <row r="2152" spans="1:3" x14ac:dyDescent="0.2">
      <c r="A2152" s="3">
        <v>5281</v>
      </c>
      <c r="B2152" s="3" t="s">
        <v>280</v>
      </c>
      <c r="C2152">
        <v>2011040</v>
      </c>
    </row>
    <row r="2153" spans="1:3" x14ac:dyDescent="0.2">
      <c r="A2153" s="3">
        <v>5281</v>
      </c>
      <c r="B2153" s="3" t="s">
        <v>280</v>
      </c>
      <c r="C2153">
        <v>2011040</v>
      </c>
    </row>
    <row r="2154" spans="1:3" x14ac:dyDescent="0.2">
      <c r="A2154">
        <v>5281</v>
      </c>
      <c r="B2154" t="s">
        <v>280</v>
      </c>
      <c r="C2154">
        <v>2011040</v>
      </c>
    </row>
    <row r="2155" spans="1:3" x14ac:dyDescent="0.2">
      <c r="A2155">
        <v>5281</v>
      </c>
      <c r="B2155" t="s">
        <v>280</v>
      </c>
      <c r="C2155">
        <v>2011040</v>
      </c>
    </row>
    <row r="2156" spans="1:3" x14ac:dyDescent="0.2">
      <c r="A2156">
        <v>5281</v>
      </c>
      <c r="B2156" t="s">
        <v>280</v>
      </c>
      <c r="C2156">
        <v>2011040</v>
      </c>
    </row>
    <row r="2157" spans="1:3" x14ac:dyDescent="0.2">
      <c r="A2157">
        <v>5281</v>
      </c>
      <c r="B2157" t="s">
        <v>280</v>
      </c>
      <c r="C2157">
        <v>2011040</v>
      </c>
    </row>
    <row r="2158" spans="1:3" x14ac:dyDescent="0.2">
      <c r="A2158">
        <v>5281</v>
      </c>
      <c r="B2158" t="s">
        <v>280</v>
      </c>
      <c r="C2158">
        <v>2011040</v>
      </c>
    </row>
    <row r="2159" spans="1:3" x14ac:dyDescent="0.2">
      <c r="A2159">
        <v>5281</v>
      </c>
      <c r="B2159" s="9" t="s">
        <v>280</v>
      </c>
      <c r="C2159">
        <v>2011040</v>
      </c>
    </row>
    <row r="2160" spans="1:3" x14ac:dyDescent="0.2">
      <c r="A2160" s="3">
        <v>5283</v>
      </c>
      <c r="B2160" s="3" t="s">
        <v>281</v>
      </c>
      <c r="C2160">
        <v>2010650</v>
      </c>
    </row>
    <row r="2161" spans="1:3" x14ac:dyDescent="0.2">
      <c r="A2161" s="3">
        <v>5283</v>
      </c>
      <c r="B2161" s="3" t="s">
        <v>281</v>
      </c>
      <c r="C2161">
        <v>2010650</v>
      </c>
    </row>
    <row r="2162" spans="1:3" x14ac:dyDescent="0.2">
      <c r="A2162" s="3">
        <v>5283</v>
      </c>
      <c r="B2162" s="3" t="s">
        <v>281</v>
      </c>
      <c r="C2162">
        <v>2010650</v>
      </c>
    </row>
    <row r="2163" spans="1:3" x14ac:dyDescent="0.2">
      <c r="A2163">
        <v>5283</v>
      </c>
      <c r="B2163" t="s">
        <v>281</v>
      </c>
      <c r="C2163">
        <v>2010650</v>
      </c>
    </row>
    <row r="2164" spans="1:3" x14ac:dyDescent="0.2">
      <c r="A2164">
        <v>5283</v>
      </c>
      <c r="B2164" t="s">
        <v>281</v>
      </c>
      <c r="C2164">
        <v>2010650</v>
      </c>
    </row>
    <row r="2165" spans="1:3" x14ac:dyDescent="0.2">
      <c r="A2165">
        <v>5283</v>
      </c>
      <c r="B2165" t="s">
        <v>281</v>
      </c>
      <c r="C2165">
        <v>2010650</v>
      </c>
    </row>
    <row r="2166" spans="1:3" x14ac:dyDescent="0.2">
      <c r="A2166">
        <v>5283</v>
      </c>
      <c r="B2166" t="s">
        <v>281</v>
      </c>
      <c r="C2166">
        <v>2010650</v>
      </c>
    </row>
    <row r="2167" spans="1:3" x14ac:dyDescent="0.2">
      <c r="A2167">
        <v>5283</v>
      </c>
      <c r="B2167" t="s">
        <v>281</v>
      </c>
      <c r="C2167">
        <v>2010650</v>
      </c>
    </row>
    <row r="2168" spans="1:3" x14ac:dyDescent="0.2">
      <c r="A2168">
        <v>5283</v>
      </c>
      <c r="B2168" s="9" t="s">
        <v>281</v>
      </c>
      <c r="C2168">
        <v>2010650</v>
      </c>
    </row>
    <row r="2169" spans="1:3" x14ac:dyDescent="0.2">
      <c r="A2169" s="3">
        <v>5284</v>
      </c>
      <c r="B2169" s="3" t="s">
        <v>282</v>
      </c>
      <c r="C2169">
        <v>2009510</v>
      </c>
    </row>
    <row r="2170" spans="1:3" x14ac:dyDescent="0.2">
      <c r="A2170" s="3">
        <v>5284</v>
      </c>
      <c r="B2170" s="3" t="s">
        <v>282</v>
      </c>
      <c r="C2170">
        <v>2009510</v>
      </c>
    </row>
    <row r="2171" spans="1:3" x14ac:dyDescent="0.2">
      <c r="A2171" s="3">
        <v>5284</v>
      </c>
      <c r="B2171" s="3" t="s">
        <v>282</v>
      </c>
      <c r="C2171">
        <v>2009510</v>
      </c>
    </row>
    <row r="2172" spans="1:3" x14ac:dyDescent="0.2">
      <c r="A2172">
        <v>5284</v>
      </c>
      <c r="B2172" t="s">
        <v>282</v>
      </c>
      <c r="C2172">
        <v>2009510</v>
      </c>
    </row>
    <row r="2173" spans="1:3" x14ac:dyDescent="0.2">
      <c r="A2173">
        <v>5284</v>
      </c>
      <c r="B2173" t="s">
        <v>282</v>
      </c>
      <c r="C2173">
        <v>2009510</v>
      </c>
    </row>
    <row r="2174" spans="1:3" x14ac:dyDescent="0.2">
      <c r="A2174">
        <v>5284</v>
      </c>
      <c r="B2174" t="s">
        <v>282</v>
      </c>
      <c r="C2174">
        <v>2009510</v>
      </c>
    </row>
    <row r="2175" spans="1:3" x14ac:dyDescent="0.2">
      <c r="A2175">
        <v>5284</v>
      </c>
      <c r="B2175" t="s">
        <v>282</v>
      </c>
      <c r="C2175">
        <v>2009510</v>
      </c>
    </row>
    <row r="2176" spans="1:3" x14ac:dyDescent="0.2">
      <c r="A2176">
        <v>5284</v>
      </c>
      <c r="B2176" t="s">
        <v>282</v>
      </c>
      <c r="C2176">
        <v>2009510</v>
      </c>
    </row>
    <row r="2177" spans="1:3" x14ac:dyDescent="0.2">
      <c r="A2177">
        <v>5284</v>
      </c>
      <c r="B2177" s="9" t="s">
        <v>282</v>
      </c>
      <c r="C2177">
        <v>2009510</v>
      </c>
    </row>
    <row r="2178" spans="1:3" x14ac:dyDescent="0.2">
      <c r="A2178" s="3">
        <v>5285</v>
      </c>
      <c r="B2178" s="3" t="s">
        <v>283</v>
      </c>
      <c r="C2178">
        <v>2010770</v>
      </c>
    </row>
    <row r="2179" spans="1:3" x14ac:dyDescent="0.2">
      <c r="A2179" s="3">
        <v>5285</v>
      </c>
      <c r="B2179" s="3" t="s">
        <v>283</v>
      </c>
      <c r="C2179">
        <v>2010770</v>
      </c>
    </row>
    <row r="2180" spans="1:3" x14ac:dyDescent="0.2">
      <c r="A2180" s="3">
        <v>5285</v>
      </c>
      <c r="B2180" s="3" t="s">
        <v>283</v>
      </c>
      <c r="C2180">
        <v>2010770</v>
      </c>
    </row>
    <row r="2181" spans="1:3" x14ac:dyDescent="0.2">
      <c r="A2181">
        <v>5285</v>
      </c>
      <c r="B2181" t="s">
        <v>283</v>
      </c>
      <c r="C2181">
        <v>2010770</v>
      </c>
    </row>
    <row r="2182" spans="1:3" x14ac:dyDescent="0.2">
      <c r="A2182">
        <v>5285</v>
      </c>
      <c r="B2182" t="s">
        <v>283</v>
      </c>
      <c r="C2182">
        <v>2010770</v>
      </c>
    </row>
    <row r="2183" spans="1:3" x14ac:dyDescent="0.2">
      <c r="A2183">
        <v>5285</v>
      </c>
      <c r="B2183" t="s">
        <v>283</v>
      </c>
      <c r="C2183">
        <v>2010770</v>
      </c>
    </row>
    <row r="2184" spans="1:3" x14ac:dyDescent="0.2">
      <c r="A2184">
        <v>5285</v>
      </c>
      <c r="B2184" t="s">
        <v>283</v>
      </c>
      <c r="C2184">
        <v>2010770</v>
      </c>
    </row>
    <row r="2185" spans="1:3" x14ac:dyDescent="0.2">
      <c r="A2185">
        <v>5285</v>
      </c>
      <c r="B2185" t="s">
        <v>283</v>
      </c>
      <c r="C2185">
        <v>2010770</v>
      </c>
    </row>
    <row r="2186" spans="1:3" x14ac:dyDescent="0.2">
      <c r="A2186">
        <v>5285</v>
      </c>
      <c r="B2186" s="9" t="s">
        <v>283</v>
      </c>
      <c r="C2186">
        <v>2010770</v>
      </c>
    </row>
    <row r="2187" spans="1:3" x14ac:dyDescent="0.2">
      <c r="A2187" s="3">
        <v>5286</v>
      </c>
      <c r="B2187" s="3" t="s">
        <v>284</v>
      </c>
      <c r="C2187">
        <v>2011910</v>
      </c>
    </row>
    <row r="2188" spans="1:3" x14ac:dyDescent="0.2">
      <c r="A2188" s="3">
        <v>5286</v>
      </c>
      <c r="B2188" s="3" t="s">
        <v>284</v>
      </c>
      <c r="C2188">
        <v>2011910</v>
      </c>
    </row>
    <row r="2189" spans="1:3" x14ac:dyDescent="0.2">
      <c r="A2189" s="3">
        <v>5286</v>
      </c>
      <c r="B2189" s="3" t="s">
        <v>284</v>
      </c>
      <c r="C2189">
        <v>2011910</v>
      </c>
    </row>
    <row r="2190" spans="1:3" x14ac:dyDescent="0.2">
      <c r="A2190">
        <v>5286</v>
      </c>
      <c r="B2190" t="s">
        <v>284</v>
      </c>
      <c r="C2190">
        <v>2011910</v>
      </c>
    </row>
    <row r="2191" spans="1:3" x14ac:dyDescent="0.2">
      <c r="A2191">
        <v>5286</v>
      </c>
      <c r="B2191" t="s">
        <v>284</v>
      </c>
      <c r="C2191">
        <v>2011910</v>
      </c>
    </row>
    <row r="2192" spans="1:3" x14ac:dyDescent="0.2">
      <c r="A2192">
        <v>5286</v>
      </c>
      <c r="B2192" t="s">
        <v>284</v>
      </c>
      <c r="C2192">
        <v>2011910</v>
      </c>
    </row>
    <row r="2193" spans="1:3" x14ac:dyDescent="0.2">
      <c r="A2193">
        <v>5286</v>
      </c>
      <c r="B2193" t="s">
        <v>284</v>
      </c>
      <c r="C2193">
        <v>2011910</v>
      </c>
    </row>
    <row r="2194" spans="1:3" x14ac:dyDescent="0.2">
      <c r="A2194">
        <v>5286</v>
      </c>
      <c r="B2194" t="s">
        <v>284</v>
      </c>
      <c r="C2194">
        <v>2011910</v>
      </c>
    </row>
    <row r="2195" spans="1:3" x14ac:dyDescent="0.2">
      <c r="A2195">
        <v>5286</v>
      </c>
      <c r="B2195" s="9" t="s">
        <v>284</v>
      </c>
      <c r="C2195">
        <v>2011910</v>
      </c>
    </row>
    <row r="2196" spans="1:3" x14ac:dyDescent="0.2">
      <c r="A2196" s="3">
        <v>5287</v>
      </c>
      <c r="B2196" s="3" t="s">
        <v>285</v>
      </c>
      <c r="C2196">
        <v>2003900</v>
      </c>
    </row>
    <row r="2197" spans="1:3" x14ac:dyDescent="0.2">
      <c r="A2197" s="3">
        <v>5287</v>
      </c>
      <c r="B2197" s="3" t="s">
        <v>285</v>
      </c>
      <c r="C2197">
        <v>2003900</v>
      </c>
    </row>
    <row r="2198" spans="1:3" x14ac:dyDescent="0.2">
      <c r="A2198" s="3">
        <v>5287</v>
      </c>
      <c r="B2198" s="3" t="s">
        <v>285</v>
      </c>
      <c r="C2198">
        <v>2003900</v>
      </c>
    </row>
    <row r="2199" spans="1:3" x14ac:dyDescent="0.2">
      <c r="A2199">
        <v>5287</v>
      </c>
      <c r="B2199" t="s">
        <v>285</v>
      </c>
      <c r="C2199">
        <v>2003900</v>
      </c>
    </row>
    <row r="2200" spans="1:3" x14ac:dyDescent="0.2">
      <c r="A2200">
        <v>5287</v>
      </c>
      <c r="B2200" t="s">
        <v>285</v>
      </c>
      <c r="C2200">
        <v>2003900</v>
      </c>
    </row>
    <row r="2201" spans="1:3" x14ac:dyDescent="0.2">
      <c r="A2201">
        <v>5287</v>
      </c>
      <c r="B2201" t="s">
        <v>285</v>
      </c>
      <c r="C2201">
        <v>2003900</v>
      </c>
    </row>
    <row r="2202" spans="1:3" x14ac:dyDescent="0.2">
      <c r="A2202">
        <v>5287</v>
      </c>
      <c r="B2202" t="s">
        <v>285</v>
      </c>
      <c r="C2202">
        <v>2003900</v>
      </c>
    </row>
    <row r="2203" spans="1:3" x14ac:dyDescent="0.2">
      <c r="A2203">
        <v>5287</v>
      </c>
      <c r="B2203" t="s">
        <v>285</v>
      </c>
      <c r="C2203">
        <v>2003900</v>
      </c>
    </row>
    <row r="2204" spans="1:3" x14ac:dyDescent="0.2">
      <c r="A2204">
        <v>5287</v>
      </c>
      <c r="B2204" s="9" t="s">
        <v>285</v>
      </c>
      <c r="C2204">
        <v>2003900</v>
      </c>
    </row>
    <row r="2205" spans="1:3" x14ac:dyDescent="0.2">
      <c r="A2205" s="3">
        <v>5288</v>
      </c>
      <c r="B2205" s="3" t="s">
        <v>286</v>
      </c>
      <c r="C2205">
        <v>2010440</v>
      </c>
    </row>
    <row r="2206" spans="1:3" x14ac:dyDescent="0.2">
      <c r="A2206" s="3">
        <v>5288</v>
      </c>
      <c r="B2206" s="3" t="s">
        <v>286</v>
      </c>
      <c r="C2206">
        <v>2010440</v>
      </c>
    </row>
    <row r="2207" spans="1:3" x14ac:dyDescent="0.2">
      <c r="A2207" s="3">
        <v>5288</v>
      </c>
      <c r="B2207" s="3" t="s">
        <v>286</v>
      </c>
      <c r="C2207">
        <v>2010440</v>
      </c>
    </row>
    <row r="2208" spans="1:3" x14ac:dyDescent="0.2">
      <c r="A2208">
        <v>5288</v>
      </c>
      <c r="B2208" t="s">
        <v>286</v>
      </c>
      <c r="C2208">
        <v>2010440</v>
      </c>
    </row>
    <row r="2209" spans="1:3" x14ac:dyDescent="0.2">
      <c r="A2209">
        <v>5288</v>
      </c>
      <c r="B2209" t="s">
        <v>286</v>
      </c>
      <c r="C2209">
        <v>2010440</v>
      </c>
    </row>
    <row r="2210" spans="1:3" x14ac:dyDescent="0.2">
      <c r="A2210">
        <v>5288</v>
      </c>
      <c r="B2210" t="s">
        <v>286</v>
      </c>
      <c r="C2210">
        <v>2010440</v>
      </c>
    </row>
    <row r="2211" spans="1:3" x14ac:dyDescent="0.2">
      <c r="A2211">
        <v>5288</v>
      </c>
      <c r="B2211" t="s">
        <v>286</v>
      </c>
      <c r="C2211">
        <v>2010440</v>
      </c>
    </row>
    <row r="2212" spans="1:3" x14ac:dyDescent="0.2">
      <c r="A2212">
        <v>5288</v>
      </c>
      <c r="B2212" t="s">
        <v>286</v>
      </c>
      <c r="C2212">
        <v>2010440</v>
      </c>
    </row>
    <row r="2213" spans="1:3" x14ac:dyDescent="0.2">
      <c r="A2213">
        <v>5288</v>
      </c>
      <c r="B2213" s="9" t="s">
        <v>286</v>
      </c>
      <c r="C2213">
        <v>2010440</v>
      </c>
    </row>
    <row r="2214" spans="1:3" x14ac:dyDescent="0.2">
      <c r="A2214" s="3">
        <v>5289</v>
      </c>
      <c r="B2214" s="3" t="s">
        <v>287</v>
      </c>
      <c r="C2214">
        <v>2013110</v>
      </c>
    </row>
    <row r="2215" spans="1:3" x14ac:dyDescent="0.2">
      <c r="A2215" s="3">
        <v>5289</v>
      </c>
      <c r="B2215" s="3" t="s">
        <v>287</v>
      </c>
      <c r="C2215">
        <v>2013110</v>
      </c>
    </row>
    <row r="2216" spans="1:3" x14ac:dyDescent="0.2">
      <c r="A2216" s="3">
        <v>5289</v>
      </c>
      <c r="B2216" s="3" t="s">
        <v>287</v>
      </c>
      <c r="C2216">
        <v>2013110</v>
      </c>
    </row>
    <row r="2217" spans="1:3" x14ac:dyDescent="0.2">
      <c r="A2217">
        <v>5289</v>
      </c>
      <c r="B2217" t="s">
        <v>287</v>
      </c>
      <c r="C2217">
        <v>2013110</v>
      </c>
    </row>
    <row r="2218" spans="1:3" x14ac:dyDescent="0.2">
      <c r="A2218">
        <v>5289</v>
      </c>
      <c r="B2218" t="s">
        <v>287</v>
      </c>
      <c r="C2218">
        <v>2013110</v>
      </c>
    </row>
    <row r="2219" spans="1:3" x14ac:dyDescent="0.2">
      <c r="A2219">
        <v>5289</v>
      </c>
      <c r="B2219" t="s">
        <v>287</v>
      </c>
      <c r="C2219">
        <v>2013110</v>
      </c>
    </row>
    <row r="2220" spans="1:3" x14ac:dyDescent="0.2">
      <c r="A2220">
        <v>5289</v>
      </c>
      <c r="B2220" t="s">
        <v>287</v>
      </c>
      <c r="C2220">
        <v>2013110</v>
      </c>
    </row>
    <row r="2221" spans="1:3" x14ac:dyDescent="0.2">
      <c r="A2221">
        <v>5289</v>
      </c>
      <c r="B2221" t="s">
        <v>287</v>
      </c>
      <c r="C2221">
        <v>2013110</v>
      </c>
    </row>
    <row r="2222" spans="1:3" x14ac:dyDescent="0.2">
      <c r="A2222">
        <v>5289</v>
      </c>
      <c r="B2222" s="9" t="s">
        <v>287</v>
      </c>
      <c r="C2222">
        <v>2013110</v>
      </c>
    </row>
    <row r="2223" spans="1:3" x14ac:dyDescent="0.2">
      <c r="A2223" s="3">
        <v>5291</v>
      </c>
      <c r="B2223" s="3" t="s">
        <v>288</v>
      </c>
      <c r="C2223">
        <v>2012090</v>
      </c>
    </row>
    <row r="2224" spans="1:3" x14ac:dyDescent="0.2">
      <c r="A2224" s="3">
        <v>5291</v>
      </c>
      <c r="B2224" s="3" t="s">
        <v>288</v>
      </c>
      <c r="C2224">
        <v>2012090</v>
      </c>
    </row>
    <row r="2225" spans="1:3" x14ac:dyDescent="0.2">
      <c r="A2225" s="3">
        <v>5291</v>
      </c>
      <c r="B2225" s="3" t="s">
        <v>288</v>
      </c>
      <c r="C2225">
        <v>2012090</v>
      </c>
    </row>
    <row r="2226" spans="1:3" x14ac:dyDescent="0.2">
      <c r="A2226">
        <v>5291</v>
      </c>
      <c r="B2226" t="s">
        <v>288</v>
      </c>
      <c r="C2226">
        <v>2012090</v>
      </c>
    </row>
    <row r="2227" spans="1:3" x14ac:dyDescent="0.2">
      <c r="A2227">
        <v>5291</v>
      </c>
      <c r="B2227" t="s">
        <v>288</v>
      </c>
      <c r="C2227">
        <v>2012090</v>
      </c>
    </row>
    <row r="2228" spans="1:3" x14ac:dyDescent="0.2">
      <c r="A2228">
        <v>5291</v>
      </c>
      <c r="B2228" t="s">
        <v>288</v>
      </c>
      <c r="C2228">
        <v>2012090</v>
      </c>
    </row>
    <row r="2229" spans="1:3" x14ac:dyDescent="0.2">
      <c r="A2229">
        <v>5291</v>
      </c>
      <c r="B2229" t="s">
        <v>288</v>
      </c>
      <c r="C2229">
        <v>2012090</v>
      </c>
    </row>
    <row r="2230" spans="1:3" x14ac:dyDescent="0.2">
      <c r="A2230">
        <v>5291</v>
      </c>
      <c r="B2230" t="s">
        <v>288</v>
      </c>
      <c r="C2230">
        <v>2012090</v>
      </c>
    </row>
    <row r="2231" spans="1:3" x14ac:dyDescent="0.2">
      <c r="A2231">
        <v>5291</v>
      </c>
      <c r="B2231" s="9" t="s">
        <v>288</v>
      </c>
      <c r="C2231">
        <v>2012090</v>
      </c>
    </row>
    <row r="2232" spans="1:3" x14ac:dyDescent="0.2">
      <c r="A2232" s="3">
        <v>5292</v>
      </c>
      <c r="B2232" s="3" t="s">
        <v>289</v>
      </c>
      <c r="C2232">
        <v>2012300</v>
      </c>
    </row>
    <row r="2233" spans="1:3" x14ac:dyDescent="0.2">
      <c r="A2233" s="3">
        <v>5292</v>
      </c>
      <c r="B2233" s="3" t="s">
        <v>289</v>
      </c>
      <c r="C2233">
        <v>2012300</v>
      </c>
    </row>
    <row r="2234" spans="1:3" x14ac:dyDescent="0.2">
      <c r="A2234" s="3">
        <v>5292</v>
      </c>
      <c r="B2234" s="3" t="s">
        <v>289</v>
      </c>
      <c r="C2234">
        <v>2012300</v>
      </c>
    </row>
    <row r="2235" spans="1:3" x14ac:dyDescent="0.2">
      <c r="A2235">
        <v>5292</v>
      </c>
      <c r="B2235" t="s">
        <v>289</v>
      </c>
      <c r="C2235">
        <v>2012300</v>
      </c>
    </row>
    <row r="2236" spans="1:3" x14ac:dyDescent="0.2">
      <c r="A2236">
        <v>5292</v>
      </c>
      <c r="B2236" t="s">
        <v>289</v>
      </c>
      <c r="C2236">
        <v>2012300</v>
      </c>
    </row>
    <row r="2237" spans="1:3" x14ac:dyDescent="0.2">
      <c r="A2237">
        <v>5292</v>
      </c>
      <c r="B2237" t="s">
        <v>289</v>
      </c>
      <c r="C2237">
        <v>2012300</v>
      </c>
    </row>
    <row r="2238" spans="1:3" x14ac:dyDescent="0.2">
      <c r="A2238">
        <v>5292</v>
      </c>
      <c r="B2238" t="s">
        <v>289</v>
      </c>
      <c r="C2238">
        <v>2012300</v>
      </c>
    </row>
    <row r="2239" spans="1:3" x14ac:dyDescent="0.2">
      <c r="A2239">
        <v>5292</v>
      </c>
      <c r="B2239" t="s">
        <v>289</v>
      </c>
      <c r="C2239">
        <v>2012300</v>
      </c>
    </row>
    <row r="2240" spans="1:3" x14ac:dyDescent="0.2">
      <c r="A2240">
        <v>5292</v>
      </c>
      <c r="B2240" s="9" t="s">
        <v>289</v>
      </c>
      <c r="C2240">
        <v>2012300</v>
      </c>
    </row>
    <row r="2241" spans="1:3" x14ac:dyDescent="0.2">
      <c r="A2241" s="3">
        <v>5293</v>
      </c>
      <c r="B2241" s="3" t="s">
        <v>290</v>
      </c>
      <c r="C2241">
        <v>2005850</v>
      </c>
    </row>
    <row r="2242" spans="1:3" x14ac:dyDescent="0.2">
      <c r="A2242" s="3">
        <v>5293</v>
      </c>
      <c r="B2242" s="3" t="s">
        <v>290</v>
      </c>
      <c r="C2242">
        <v>2005850</v>
      </c>
    </row>
    <row r="2243" spans="1:3" x14ac:dyDescent="0.2">
      <c r="A2243" s="3">
        <v>5293</v>
      </c>
      <c r="B2243" s="3" t="s">
        <v>290</v>
      </c>
      <c r="C2243">
        <v>2005850</v>
      </c>
    </row>
    <row r="2244" spans="1:3" x14ac:dyDescent="0.2">
      <c r="A2244">
        <v>5293</v>
      </c>
      <c r="B2244" t="s">
        <v>290</v>
      </c>
      <c r="C2244">
        <v>2005850</v>
      </c>
    </row>
    <row r="2245" spans="1:3" x14ac:dyDescent="0.2">
      <c r="A2245">
        <v>5293</v>
      </c>
      <c r="B2245" t="s">
        <v>290</v>
      </c>
      <c r="C2245">
        <v>2005850</v>
      </c>
    </row>
    <row r="2246" spans="1:3" x14ac:dyDescent="0.2">
      <c r="A2246">
        <v>5293</v>
      </c>
      <c r="B2246" t="s">
        <v>290</v>
      </c>
      <c r="C2246">
        <v>2005850</v>
      </c>
    </row>
    <row r="2247" spans="1:3" x14ac:dyDescent="0.2">
      <c r="A2247">
        <v>5293</v>
      </c>
      <c r="B2247" t="s">
        <v>290</v>
      </c>
      <c r="C2247">
        <v>2005850</v>
      </c>
    </row>
    <row r="2248" spans="1:3" x14ac:dyDescent="0.2">
      <c r="A2248">
        <v>5293</v>
      </c>
      <c r="B2248" t="s">
        <v>290</v>
      </c>
      <c r="C2248">
        <v>2005850</v>
      </c>
    </row>
    <row r="2249" spans="1:3" x14ac:dyDescent="0.2">
      <c r="A2249">
        <v>5293</v>
      </c>
      <c r="B2249" s="9" t="s">
        <v>290</v>
      </c>
      <c r="C2249">
        <v>2005850</v>
      </c>
    </row>
    <row r="2250" spans="1:3" x14ac:dyDescent="0.2">
      <c r="A2250" s="3">
        <v>5294</v>
      </c>
      <c r="B2250" s="3" t="s">
        <v>291</v>
      </c>
      <c r="C2250">
        <v>2011310</v>
      </c>
    </row>
    <row r="2251" spans="1:3" x14ac:dyDescent="0.2">
      <c r="A2251" s="3">
        <v>5294</v>
      </c>
      <c r="B2251" s="3" t="s">
        <v>291</v>
      </c>
      <c r="C2251">
        <v>2011310</v>
      </c>
    </row>
    <row r="2252" spans="1:3" x14ac:dyDescent="0.2">
      <c r="A2252" s="3">
        <v>5294</v>
      </c>
      <c r="B2252" s="3" t="s">
        <v>291</v>
      </c>
      <c r="C2252">
        <v>2011310</v>
      </c>
    </row>
    <row r="2253" spans="1:3" x14ac:dyDescent="0.2">
      <c r="A2253">
        <v>5294</v>
      </c>
      <c r="B2253" t="s">
        <v>291</v>
      </c>
      <c r="C2253">
        <v>2011310</v>
      </c>
    </row>
    <row r="2254" spans="1:3" x14ac:dyDescent="0.2">
      <c r="A2254">
        <v>5294</v>
      </c>
      <c r="B2254" t="s">
        <v>291</v>
      </c>
      <c r="C2254">
        <v>2011310</v>
      </c>
    </row>
    <row r="2255" spans="1:3" x14ac:dyDescent="0.2">
      <c r="A2255">
        <v>5294</v>
      </c>
      <c r="B2255" t="s">
        <v>291</v>
      </c>
      <c r="C2255">
        <v>2011310</v>
      </c>
    </row>
    <row r="2256" spans="1:3" x14ac:dyDescent="0.2">
      <c r="A2256">
        <v>5294</v>
      </c>
      <c r="B2256" t="s">
        <v>291</v>
      </c>
      <c r="C2256">
        <v>2011310</v>
      </c>
    </row>
    <row r="2257" spans="1:3" x14ac:dyDescent="0.2">
      <c r="A2257">
        <v>5294</v>
      </c>
      <c r="B2257" t="s">
        <v>291</v>
      </c>
      <c r="C2257">
        <v>2011310</v>
      </c>
    </row>
    <row r="2258" spans="1:3" x14ac:dyDescent="0.2">
      <c r="A2258">
        <v>5294</v>
      </c>
      <c r="B2258" s="9" t="s">
        <v>291</v>
      </c>
      <c r="C2258">
        <v>2011310</v>
      </c>
    </row>
    <row r="2259" spans="1:3" x14ac:dyDescent="0.2">
      <c r="A2259" s="3">
        <v>5295</v>
      </c>
      <c r="B2259" s="3" t="s">
        <v>292</v>
      </c>
      <c r="C2259">
        <v>2006570</v>
      </c>
    </row>
    <row r="2260" spans="1:3" x14ac:dyDescent="0.2">
      <c r="A2260" s="3">
        <v>5295</v>
      </c>
      <c r="B2260" s="3" t="s">
        <v>292</v>
      </c>
      <c r="C2260">
        <v>2006570</v>
      </c>
    </row>
    <row r="2261" spans="1:3" x14ac:dyDescent="0.2">
      <c r="A2261" s="3">
        <v>5295</v>
      </c>
      <c r="B2261" s="3" t="s">
        <v>292</v>
      </c>
      <c r="C2261">
        <v>2006570</v>
      </c>
    </row>
    <row r="2262" spans="1:3" x14ac:dyDescent="0.2">
      <c r="A2262">
        <v>5295</v>
      </c>
      <c r="B2262" t="s">
        <v>292</v>
      </c>
      <c r="C2262">
        <v>2006570</v>
      </c>
    </row>
    <row r="2263" spans="1:3" x14ac:dyDescent="0.2">
      <c r="A2263">
        <v>5295</v>
      </c>
      <c r="B2263" t="s">
        <v>292</v>
      </c>
      <c r="C2263">
        <v>2006570</v>
      </c>
    </row>
    <row r="2264" spans="1:3" x14ac:dyDescent="0.2">
      <c r="A2264">
        <v>5295</v>
      </c>
      <c r="B2264" t="s">
        <v>292</v>
      </c>
      <c r="C2264">
        <v>2006570</v>
      </c>
    </row>
    <row r="2265" spans="1:3" x14ac:dyDescent="0.2">
      <c r="A2265">
        <v>5295</v>
      </c>
      <c r="B2265" t="s">
        <v>292</v>
      </c>
      <c r="C2265">
        <v>2006570</v>
      </c>
    </row>
    <row r="2266" spans="1:3" x14ac:dyDescent="0.2">
      <c r="A2266">
        <v>5295</v>
      </c>
      <c r="B2266" t="s">
        <v>292</v>
      </c>
      <c r="C2266">
        <v>2006570</v>
      </c>
    </row>
    <row r="2267" spans="1:3" x14ac:dyDescent="0.2">
      <c r="A2267">
        <v>5295</v>
      </c>
      <c r="B2267" s="9" t="s">
        <v>292</v>
      </c>
      <c r="C2267">
        <v>2006570</v>
      </c>
    </row>
    <row r="2268" spans="1:3" x14ac:dyDescent="0.2">
      <c r="A2268" s="3">
        <v>5296</v>
      </c>
      <c r="B2268" s="3" t="s">
        <v>293</v>
      </c>
      <c r="C2268">
        <v>2003180</v>
      </c>
    </row>
    <row r="2269" spans="1:3" x14ac:dyDescent="0.2">
      <c r="A2269" s="3">
        <v>5296</v>
      </c>
      <c r="B2269" s="3" t="s">
        <v>293</v>
      </c>
      <c r="C2269">
        <v>2003180</v>
      </c>
    </row>
    <row r="2270" spans="1:3" x14ac:dyDescent="0.2">
      <c r="A2270" s="3">
        <v>5296</v>
      </c>
      <c r="B2270" s="3" t="s">
        <v>293</v>
      </c>
      <c r="C2270">
        <v>2003180</v>
      </c>
    </row>
    <row r="2271" spans="1:3" x14ac:dyDescent="0.2">
      <c r="A2271">
        <v>5296</v>
      </c>
      <c r="B2271" t="s">
        <v>293</v>
      </c>
      <c r="C2271">
        <v>2003180</v>
      </c>
    </row>
    <row r="2272" spans="1:3" x14ac:dyDescent="0.2">
      <c r="A2272">
        <v>5296</v>
      </c>
      <c r="B2272" t="s">
        <v>293</v>
      </c>
      <c r="C2272">
        <v>2003180</v>
      </c>
    </row>
    <row r="2273" spans="1:3" x14ac:dyDescent="0.2">
      <c r="A2273">
        <v>5296</v>
      </c>
      <c r="B2273" t="s">
        <v>293</v>
      </c>
      <c r="C2273">
        <v>2003180</v>
      </c>
    </row>
    <row r="2274" spans="1:3" x14ac:dyDescent="0.2">
      <c r="A2274">
        <v>5296</v>
      </c>
      <c r="B2274" t="s">
        <v>293</v>
      </c>
      <c r="C2274">
        <v>2003180</v>
      </c>
    </row>
    <row r="2275" spans="1:3" x14ac:dyDescent="0.2">
      <c r="A2275">
        <v>5296</v>
      </c>
      <c r="B2275" t="s">
        <v>293</v>
      </c>
      <c r="C2275">
        <v>2003180</v>
      </c>
    </row>
    <row r="2276" spans="1:3" x14ac:dyDescent="0.2">
      <c r="A2276">
        <v>5296</v>
      </c>
      <c r="B2276" s="9" t="s">
        <v>293</v>
      </c>
      <c r="C2276">
        <v>2003180</v>
      </c>
    </row>
    <row r="2277" spans="1:3" x14ac:dyDescent="0.2">
      <c r="A2277" s="3">
        <v>5297</v>
      </c>
      <c r="B2277" s="3" t="s">
        <v>294</v>
      </c>
      <c r="C2277">
        <v>2009900</v>
      </c>
    </row>
    <row r="2278" spans="1:3" x14ac:dyDescent="0.2">
      <c r="A2278" s="3">
        <v>5297</v>
      </c>
      <c r="B2278" s="3" t="s">
        <v>294</v>
      </c>
      <c r="C2278">
        <v>2009900</v>
      </c>
    </row>
    <row r="2279" spans="1:3" x14ac:dyDescent="0.2">
      <c r="A2279" s="3">
        <v>5297</v>
      </c>
      <c r="B2279" s="3" t="s">
        <v>294</v>
      </c>
      <c r="C2279">
        <v>2009900</v>
      </c>
    </row>
    <row r="2280" spans="1:3" x14ac:dyDescent="0.2">
      <c r="A2280">
        <v>5297</v>
      </c>
      <c r="B2280" t="s">
        <v>294</v>
      </c>
      <c r="C2280">
        <v>2009900</v>
      </c>
    </row>
    <row r="2281" spans="1:3" x14ac:dyDescent="0.2">
      <c r="A2281">
        <v>5297</v>
      </c>
      <c r="B2281" t="s">
        <v>294</v>
      </c>
      <c r="C2281">
        <v>2009900</v>
      </c>
    </row>
    <row r="2282" spans="1:3" x14ac:dyDescent="0.2">
      <c r="A2282">
        <v>5297</v>
      </c>
      <c r="B2282" t="s">
        <v>294</v>
      </c>
      <c r="C2282">
        <v>2009900</v>
      </c>
    </row>
    <row r="2283" spans="1:3" x14ac:dyDescent="0.2">
      <c r="A2283">
        <v>5297</v>
      </c>
      <c r="B2283" t="s">
        <v>294</v>
      </c>
      <c r="C2283">
        <v>2009900</v>
      </c>
    </row>
    <row r="2284" spans="1:3" x14ac:dyDescent="0.2">
      <c r="A2284">
        <v>5297</v>
      </c>
      <c r="B2284" t="s">
        <v>294</v>
      </c>
      <c r="C2284">
        <v>2009900</v>
      </c>
    </row>
    <row r="2285" spans="1:3" x14ac:dyDescent="0.2">
      <c r="A2285">
        <v>5297</v>
      </c>
      <c r="B2285" s="9" t="s">
        <v>294</v>
      </c>
      <c r="C2285">
        <v>2009900</v>
      </c>
    </row>
    <row r="2286" spans="1:3" x14ac:dyDescent="0.2">
      <c r="A2286" s="3">
        <v>5298</v>
      </c>
      <c r="B2286" s="3" t="s">
        <v>295</v>
      </c>
      <c r="C2286">
        <v>2007080</v>
      </c>
    </row>
    <row r="2287" spans="1:3" x14ac:dyDescent="0.2">
      <c r="A2287" s="3">
        <v>5298</v>
      </c>
      <c r="B2287" s="3" t="s">
        <v>295</v>
      </c>
      <c r="C2287">
        <v>2007080</v>
      </c>
    </row>
    <row r="2288" spans="1:3" x14ac:dyDescent="0.2">
      <c r="A2288" s="3">
        <v>5298</v>
      </c>
      <c r="B2288" s="3" t="s">
        <v>295</v>
      </c>
      <c r="C2288">
        <v>2007080</v>
      </c>
    </row>
    <row r="2289" spans="1:3" x14ac:dyDescent="0.2">
      <c r="A2289">
        <v>5298</v>
      </c>
      <c r="B2289" t="s">
        <v>295</v>
      </c>
      <c r="C2289">
        <v>2007080</v>
      </c>
    </row>
    <row r="2290" spans="1:3" x14ac:dyDescent="0.2">
      <c r="A2290">
        <v>5298</v>
      </c>
      <c r="B2290" t="s">
        <v>295</v>
      </c>
      <c r="C2290">
        <v>2007080</v>
      </c>
    </row>
    <row r="2291" spans="1:3" x14ac:dyDescent="0.2">
      <c r="A2291">
        <v>5298</v>
      </c>
      <c r="B2291" t="s">
        <v>295</v>
      </c>
      <c r="C2291">
        <v>2007080</v>
      </c>
    </row>
    <row r="2292" spans="1:3" x14ac:dyDescent="0.2">
      <c r="A2292">
        <v>5298</v>
      </c>
      <c r="B2292" t="s">
        <v>295</v>
      </c>
      <c r="C2292">
        <v>2007080</v>
      </c>
    </row>
    <row r="2293" spans="1:3" x14ac:dyDescent="0.2">
      <c r="A2293">
        <v>5298</v>
      </c>
      <c r="B2293" t="s">
        <v>295</v>
      </c>
      <c r="C2293">
        <v>2007080</v>
      </c>
    </row>
    <row r="2294" spans="1:3" x14ac:dyDescent="0.2">
      <c r="A2294">
        <v>5298</v>
      </c>
      <c r="B2294" s="9" t="s">
        <v>295</v>
      </c>
      <c r="C2294">
        <v>2007080</v>
      </c>
    </row>
    <row r="2295" spans="1:3" x14ac:dyDescent="0.2">
      <c r="A2295" s="3">
        <v>5299</v>
      </c>
      <c r="B2295" s="3" t="s">
        <v>296</v>
      </c>
      <c r="C2295">
        <v>2005520</v>
      </c>
    </row>
    <row r="2296" spans="1:3" x14ac:dyDescent="0.2">
      <c r="A2296" s="3">
        <v>5299</v>
      </c>
      <c r="B2296" s="3" t="s">
        <v>296</v>
      </c>
      <c r="C2296">
        <v>2005520</v>
      </c>
    </row>
    <row r="2297" spans="1:3" x14ac:dyDescent="0.2">
      <c r="A2297" s="3">
        <v>5299</v>
      </c>
      <c r="B2297" s="3" t="s">
        <v>296</v>
      </c>
      <c r="C2297">
        <v>2005520</v>
      </c>
    </row>
    <row r="2298" spans="1:3" x14ac:dyDescent="0.2">
      <c r="A2298">
        <v>5299</v>
      </c>
      <c r="B2298" t="s">
        <v>296</v>
      </c>
      <c r="C2298">
        <v>2005520</v>
      </c>
    </row>
    <row r="2299" spans="1:3" x14ac:dyDescent="0.2">
      <c r="A2299">
        <v>5299</v>
      </c>
      <c r="B2299" t="s">
        <v>296</v>
      </c>
      <c r="C2299">
        <v>2005520</v>
      </c>
    </row>
    <row r="2300" spans="1:3" x14ac:dyDescent="0.2">
      <c r="A2300">
        <v>5299</v>
      </c>
      <c r="B2300" t="s">
        <v>296</v>
      </c>
      <c r="C2300">
        <v>2005520</v>
      </c>
    </row>
    <row r="2301" spans="1:3" x14ac:dyDescent="0.2">
      <c r="A2301">
        <v>5299</v>
      </c>
      <c r="B2301" t="s">
        <v>296</v>
      </c>
      <c r="C2301">
        <v>2005520</v>
      </c>
    </row>
    <row r="2302" spans="1:3" x14ac:dyDescent="0.2">
      <c r="A2302">
        <v>5299</v>
      </c>
      <c r="B2302" t="s">
        <v>296</v>
      </c>
      <c r="C2302">
        <v>2005520</v>
      </c>
    </row>
    <row r="2303" spans="1:3" x14ac:dyDescent="0.2">
      <c r="A2303">
        <v>5299</v>
      </c>
      <c r="B2303" s="9" t="s">
        <v>296</v>
      </c>
      <c r="C2303">
        <v>2005520</v>
      </c>
    </row>
    <row r="2304" spans="1:3" x14ac:dyDescent="0.2">
      <c r="A2304" s="3">
        <v>5300</v>
      </c>
      <c r="B2304" s="3" t="s">
        <v>297</v>
      </c>
      <c r="C2304">
        <v>2006270</v>
      </c>
    </row>
    <row r="2305" spans="1:3" x14ac:dyDescent="0.2">
      <c r="A2305" s="3">
        <v>5300</v>
      </c>
      <c r="B2305" s="3" t="s">
        <v>297</v>
      </c>
      <c r="C2305">
        <v>2006270</v>
      </c>
    </row>
    <row r="2306" spans="1:3" x14ac:dyDescent="0.2">
      <c r="A2306" s="3">
        <v>5300</v>
      </c>
      <c r="B2306" s="3" t="s">
        <v>297</v>
      </c>
      <c r="C2306">
        <v>2006270</v>
      </c>
    </row>
    <row r="2307" spans="1:3" x14ac:dyDescent="0.2">
      <c r="A2307">
        <v>5300</v>
      </c>
      <c r="B2307" t="s">
        <v>297</v>
      </c>
      <c r="C2307">
        <v>2006270</v>
      </c>
    </row>
    <row r="2308" spans="1:3" x14ac:dyDescent="0.2">
      <c r="A2308">
        <v>5300</v>
      </c>
      <c r="B2308" t="s">
        <v>297</v>
      </c>
      <c r="C2308">
        <v>2006270</v>
      </c>
    </row>
    <row r="2309" spans="1:3" x14ac:dyDescent="0.2">
      <c r="A2309">
        <v>5300</v>
      </c>
      <c r="B2309" t="s">
        <v>297</v>
      </c>
      <c r="C2309">
        <v>2006270</v>
      </c>
    </row>
    <row r="2310" spans="1:3" x14ac:dyDescent="0.2">
      <c r="A2310">
        <v>5300</v>
      </c>
      <c r="B2310" t="s">
        <v>297</v>
      </c>
      <c r="C2310">
        <v>2006270</v>
      </c>
    </row>
    <row r="2311" spans="1:3" x14ac:dyDescent="0.2">
      <c r="A2311">
        <v>5300</v>
      </c>
      <c r="B2311" t="s">
        <v>297</v>
      </c>
      <c r="C2311">
        <v>2006270</v>
      </c>
    </row>
    <row r="2312" spans="1:3" x14ac:dyDescent="0.2">
      <c r="A2312">
        <v>5300</v>
      </c>
      <c r="B2312" s="9" t="s">
        <v>297</v>
      </c>
      <c r="C2312">
        <v>2006270</v>
      </c>
    </row>
    <row r="2313" spans="1:3" x14ac:dyDescent="0.2">
      <c r="A2313" s="3">
        <v>5302</v>
      </c>
      <c r="B2313" s="3" t="s">
        <v>298</v>
      </c>
      <c r="C2313">
        <v>2007020</v>
      </c>
    </row>
    <row r="2314" spans="1:3" x14ac:dyDescent="0.2">
      <c r="A2314" s="3">
        <v>5302</v>
      </c>
      <c r="B2314" s="3" t="s">
        <v>298</v>
      </c>
      <c r="C2314">
        <v>2007020</v>
      </c>
    </row>
    <row r="2315" spans="1:3" x14ac:dyDescent="0.2">
      <c r="A2315" s="3">
        <v>5302</v>
      </c>
      <c r="B2315" s="3" t="s">
        <v>298</v>
      </c>
      <c r="C2315">
        <v>2007020</v>
      </c>
    </row>
    <row r="2316" spans="1:3" x14ac:dyDescent="0.2">
      <c r="A2316">
        <v>5302</v>
      </c>
      <c r="B2316" t="s">
        <v>298</v>
      </c>
      <c r="C2316">
        <v>2007020</v>
      </c>
    </row>
    <row r="2317" spans="1:3" x14ac:dyDescent="0.2">
      <c r="A2317">
        <v>5302</v>
      </c>
      <c r="B2317" t="s">
        <v>298</v>
      </c>
      <c r="C2317">
        <v>2007020</v>
      </c>
    </row>
    <row r="2318" spans="1:3" x14ac:dyDescent="0.2">
      <c r="A2318">
        <v>5302</v>
      </c>
      <c r="B2318" t="s">
        <v>298</v>
      </c>
      <c r="C2318">
        <v>2007020</v>
      </c>
    </row>
    <row r="2319" spans="1:3" x14ac:dyDescent="0.2">
      <c r="A2319">
        <v>5302</v>
      </c>
      <c r="B2319" t="s">
        <v>298</v>
      </c>
      <c r="C2319">
        <v>2007020</v>
      </c>
    </row>
    <row r="2320" spans="1:3" x14ac:dyDescent="0.2">
      <c r="A2320">
        <v>5302</v>
      </c>
      <c r="B2320" t="s">
        <v>298</v>
      </c>
      <c r="C2320">
        <v>2007020</v>
      </c>
    </row>
    <row r="2321" spans="1:3" x14ac:dyDescent="0.2">
      <c r="A2321">
        <v>5302</v>
      </c>
      <c r="B2321" s="9" t="s">
        <v>298</v>
      </c>
      <c r="C2321">
        <v>2007020</v>
      </c>
    </row>
    <row r="2322" spans="1:3" x14ac:dyDescent="0.2">
      <c r="A2322" s="3">
        <v>5303</v>
      </c>
      <c r="B2322" s="3" t="s">
        <v>345</v>
      </c>
      <c r="C2322">
        <v>2005730</v>
      </c>
    </row>
    <row r="2323" spans="1:3" x14ac:dyDescent="0.2">
      <c r="A2323" s="3">
        <v>5303</v>
      </c>
      <c r="B2323" s="3" t="s">
        <v>345</v>
      </c>
      <c r="C2323">
        <v>2005730</v>
      </c>
    </row>
    <row r="2324" spans="1:3" x14ac:dyDescent="0.2">
      <c r="A2324" s="3">
        <v>5303</v>
      </c>
      <c r="B2324" s="3" t="s">
        <v>345</v>
      </c>
      <c r="C2324">
        <v>2005730</v>
      </c>
    </row>
    <row r="2325" spans="1:3" x14ac:dyDescent="0.2">
      <c r="A2325">
        <v>5303</v>
      </c>
      <c r="B2325" t="s">
        <v>345</v>
      </c>
      <c r="C2325">
        <v>2005730</v>
      </c>
    </row>
    <row r="2326" spans="1:3" x14ac:dyDescent="0.2">
      <c r="A2326">
        <v>5303</v>
      </c>
      <c r="B2326" t="s">
        <v>345</v>
      </c>
      <c r="C2326">
        <v>2005730</v>
      </c>
    </row>
    <row r="2327" spans="1:3" x14ac:dyDescent="0.2">
      <c r="A2327">
        <v>5303</v>
      </c>
      <c r="B2327" t="s">
        <v>345</v>
      </c>
      <c r="C2327">
        <v>2005730</v>
      </c>
    </row>
    <row r="2328" spans="1:3" x14ac:dyDescent="0.2">
      <c r="A2328">
        <v>5303</v>
      </c>
      <c r="B2328" t="s">
        <v>345</v>
      </c>
      <c r="C2328">
        <v>2005730</v>
      </c>
    </row>
    <row r="2329" spans="1:3" x14ac:dyDescent="0.2">
      <c r="A2329">
        <v>5303</v>
      </c>
      <c r="B2329" t="s">
        <v>345</v>
      </c>
      <c r="C2329">
        <v>2005730</v>
      </c>
    </row>
    <row r="2330" spans="1:3" x14ac:dyDescent="0.2">
      <c r="A2330">
        <v>5303</v>
      </c>
      <c r="B2330" s="9" t="s">
        <v>345</v>
      </c>
      <c r="C2330">
        <v>2005730</v>
      </c>
    </row>
    <row r="2331" spans="1:3" x14ac:dyDescent="0.2">
      <c r="A2331" s="3">
        <v>5304</v>
      </c>
      <c r="B2331" s="3" t="s">
        <v>300</v>
      </c>
      <c r="C2331">
        <v>2006090</v>
      </c>
    </row>
    <row r="2332" spans="1:3" x14ac:dyDescent="0.2">
      <c r="A2332" s="3">
        <v>5304</v>
      </c>
      <c r="B2332" s="3" t="s">
        <v>300</v>
      </c>
      <c r="C2332">
        <v>2006090</v>
      </c>
    </row>
    <row r="2333" spans="1:3" x14ac:dyDescent="0.2">
      <c r="A2333" s="3">
        <v>5304</v>
      </c>
      <c r="B2333" s="3" t="s">
        <v>300</v>
      </c>
      <c r="C2333">
        <v>2006090</v>
      </c>
    </row>
    <row r="2334" spans="1:3" x14ac:dyDescent="0.2">
      <c r="A2334">
        <v>5304</v>
      </c>
      <c r="B2334" t="s">
        <v>300</v>
      </c>
      <c r="C2334">
        <v>2006090</v>
      </c>
    </row>
    <row r="2335" spans="1:3" x14ac:dyDescent="0.2">
      <c r="A2335">
        <v>5304</v>
      </c>
      <c r="B2335" t="s">
        <v>300</v>
      </c>
      <c r="C2335">
        <v>2006090</v>
      </c>
    </row>
    <row r="2336" spans="1:3" x14ac:dyDescent="0.2">
      <c r="A2336">
        <v>5304</v>
      </c>
      <c r="B2336" t="s">
        <v>300</v>
      </c>
      <c r="C2336">
        <v>2006090</v>
      </c>
    </row>
    <row r="2337" spans="1:3" x14ac:dyDescent="0.2">
      <c r="A2337">
        <v>5304</v>
      </c>
      <c r="B2337" t="s">
        <v>300</v>
      </c>
      <c r="C2337">
        <v>2006090</v>
      </c>
    </row>
    <row r="2338" spans="1:3" x14ac:dyDescent="0.2">
      <c r="A2338">
        <v>5304</v>
      </c>
      <c r="B2338" t="s">
        <v>300</v>
      </c>
      <c r="C2338">
        <v>2006090</v>
      </c>
    </row>
    <row r="2339" spans="1:3" x14ac:dyDescent="0.2">
      <c r="A2339">
        <v>5304</v>
      </c>
      <c r="B2339" s="9" t="s">
        <v>300</v>
      </c>
      <c r="C2339">
        <v>2006090</v>
      </c>
    </row>
    <row r="2340" spans="1:3" x14ac:dyDescent="0.2">
      <c r="A2340" s="3">
        <v>5305</v>
      </c>
      <c r="B2340" s="3" t="s">
        <v>301</v>
      </c>
      <c r="C2340">
        <v>2011220</v>
      </c>
    </row>
    <row r="2341" spans="1:3" x14ac:dyDescent="0.2">
      <c r="A2341" s="3">
        <v>5305</v>
      </c>
      <c r="B2341" s="3" t="s">
        <v>301</v>
      </c>
      <c r="C2341">
        <v>2011220</v>
      </c>
    </row>
    <row r="2342" spans="1:3" x14ac:dyDescent="0.2">
      <c r="A2342" s="3">
        <v>5305</v>
      </c>
      <c r="B2342" s="3" t="s">
        <v>301</v>
      </c>
      <c r="C2342">
        <v>2011220</v>
      </c>
    </row>
    <row r="2343" spans="1:3" x14ac:dyDescent="0.2">
      <c r="A2343">
        <v>5305</v>
      </c>
      <c r="B2343" t="s">
        <v>301</v>
      </c>
      <c r="C2343">
        <v>2011220</v>
      </c>
    </row>
    <row r="2344" spans="1:3" x14ac:dyDescent="0.2">
      <c r="A2344">
        <v>5305</v>
      </c>
      <c r="B2344" t="s">
        <v>301</v>
      </c>
      <c r="C2344">
        <v>2011220</v>
      </c>
    </row>
    <row r="2345" spans="1:3" x14ac:dyDescent="0.2">
      <c r="A2345">
        <v>5305</v>
      </c>
      <c r="B2345" t="s">
        <v>301</v>
      </c>
      <c r="C2345">
        <v>2011220</v>
      </c>
    </row>
    <row r="2346" spans="1:3" x14ac:dyDescent="0.2">
      <c r="A2346">
        <v>5305</v>
      </c>
      <c r="B2346" t="s">
        <v>301</v>
      </c>
      <c r="C2346">
        <v>2011220</v>
      </c>
    </row>
    <row r="2347" spans="1:3" x14ac:dyDescent="0.2">
      <c r="A2347">
        <v>5305</v>
      </c>
      <c r="B2347" t="s">
        <v>301</v>
      </c>
      <c r="C2347">
        <v>2011220</v>
      </c>
    </row>
    <row r="2348" spans="1:3" x14ac:dyDescent="0.2">
      <c r="A2348">
        <v>5305</v>
      </c>
      <c r="B2348" s="9" t="s">
        <v>301</v>
      </c>
      <c r="C2348">
        <v>2011220</v>
      </c>
    </row>
    <row r="2349" spans="1:3" x14ac:dyDescent="0.2">
      <c r="A2349" s="3">
        <v>5306</v>
      </c>
      <c r="B2349" s="3" t="s">
        <v>302</v>
      </c>
      <c r="C2349">
        <v>2008370</v>
      </c>
    </row>
    <row r="2350" spans="1:3" x14ac:dyDescent="0.2">
      <c r="A2350" s="3">
        <v>5306</v>
      </c>
      <c r="B2350" s="3" t="s">
        <v>302</v>
      </c>
      <c r="C2350">
        <v>2008370</v>
      </c>
    </row>
    <row r="2351" spans="1:3" x14ac:dyDescent="0.2">
      <c r="A2351" s="3">
        <v>5306</v>
      </c>
      <c r="B2351" s="3" t="s">
        <v>302</v>
      </c>
      <c r="C2351">
        <v>2008370</v>
      </c>
    </row>
    <row r="2352" spans="1:3" x14ac:dyDescent="0.2">
      <c r="A2352">
        <v>5306</v>
      </c>
      <c r="B2352" t="s">
        <v>302</v>
      </c>
      <c r="C2352">
        <v>2008370</v>
      </c>
    </row>
    <row r="2353" spans="1:3" x14ac:dyDescent="0.2">
      <c r="A2353">
        <v>5306</v>
      </c>
      <c r="B2353" t="s">
        <v>302</v>
      </c>
      <c r="C2353">
        <v>2008370</v>
      </c>
    </row>
    <row r="2354" spans="1:3" x14ac:dyDescent="0.2">
      <c r="A2354">
        <v>5306</v>
      </c>
      <c r="B2354" t="s">
        <v>302</v>
      </c>
      <c r="C2354">
        <v>2008370</v>
      </c>
    </row>
    <row r="2355" spans="1:3" x14ac:dyDescent="0.2">
      <c r="A2355">
        <v>5306</v>
      </c>
      <c r="B2355" t="s">
        <v>302</v>
      </c>
      <c r="C2355">
        <v>2008370</v>
      </c>
    </row>
    <row r="2356" spans="1:3" x14ac:dyDescent="0.2">
      <c r="A2356">
        <v>5306</v>
      </c>
      <c r="B2356" t="s">
        <v>302</v>
      </c>
      <c r="C2356">
        <v>2008370</v>
      </c>
    </row>
    <row r="2357" spans="1:3" x14ac:dyDescent="0.2">
      <c r="A2357">
        <v>5306</v>
      </c>
      <c r="B2357" s="9" t="s">
        <v>302</v>
      </c>
      <c r="C2357">
        <v>2008370</v>
      </c>
    </row>
    <row r="2358" spans="1:3" x14ac:dyDescent="0.2">
      <c r="A2358" s="3">
        <v>5307</v>
      </c>
      <c r="B2358" s="3" t="s">
        <v>303</v>
      </c>
      <c r="C2358">
        <v>2011280</v>
      </c>
    </row>
    <row r="2359" spans="1:3" x14ac:dyDescent="0.2">
      <c r="A2359" s="3">
        <v>5307</v>
      </c>
      <c r="B2359" s="3" t="s">
        <v>303</v>
      </c>
      <c r="C2359">
        <v>2011280</v>
      </c>
    </row>
    <row r="2360" spans="1:3" x14ac:dyDescent="0.2">
      <c r="A2360" s="3">
        <v>5307</v>
      </c>
      <c r="B2360" s="3" t="s">
        <v>303</v>
      </c>
      <c r="C2360">
        <v>2011280</v>
      </c>
    </row>
    <row r="2361" spans="1:3" x14ac:dyDescent="0.2">
      <c r="A2361">
        <v>5307</v>
      </c>
      <c r="B2361" t="s">
        <v>303</v>
      </c>
      <c r="C2361">
        <v>2011280</v>
      </c>
    </row>
    <row r="2362" spans="1:3" x14ac:dyDescent="0.2">
      <c r="A2362">
        <v>5307</v>
      </c>
      <c r="B2362" t="s">
        <v>303</v>
      </c>
      <c r="C2362">
        <v>2011280</v>
      </c>
    </row>
    <row r="2363" spans="1:3" x14ac:dyDescent="0.2">
      <c r="A2363">
        <v>5307</v>
      </c>
      <c r="B2363" t="s">
        <v>303</v>
      </c>
      <c r="C2363">
        <v>2011280</v>
      </c>
    </row>
    <row r="2364" spans="1:3" x14ac:dyDescent="0.2">
      <c r="A2364">
        <v>5307</v>
      </c>
      <c r="B2364" t="s">
        <v>303</v>
      </c>
      <c r="C2364">
        <v>2011280</v>
      </c>
    </row>
    <row r="2365" spans="1:3" x14ac:dyDescent="0.2">
      <c r="A2365">
        <v>5307</v>
      </c>
      <c r="B2365" t="s">
        <v>303</v>
      </c>
      <c r="C2365">
        <v>2011280</v>
      </c>
    </row>
    <row r="2366" spans="1:3" x14ac:dyDescent="0.2">
      <c r="A2366">
        <v>5307</v>
      </c>
      <c r="B2366" s="9" t="s">
        <v>303</v>
      </c>
      <c r="C2366">
        <v>2011280</v>
      </c>
    </row>
    <row r="2367" spans="1:3" x14ac:dyDescent="0.2">
      <c r="A2367" s="3">
        <v>5308</v>
      </c>
      <c r="B2367" s="3" t="s">
        <v>304</v>
      </c>
      <c r="C2367">
        <v>2008400</v>
      </c>
    </row>
    <row r="2368" spans="1:3" x14ac:dyDescent="0.2">
      <c r="A2368" s="3">
        <v>5308</v>
      </c>
      <c r="B2368" s="3" t="s">
        <v>304</v>
      </c>
      <c r="C2368">
        <v>2008400</v>
      </c>
    </row>
    <row r="2369" spans="1:3" x14ac:dyDescent="0.2">
      <c r="A2369" s="3">
        <v>5308</v>
      </c>
      <c r="B2369" s="3" t="s">
        <v>304</v>
      </c>
      <c r="C2369">
        <v>2008400</v>
      </c>
    </row>
    <row r="2370" spans="1:3" x14ac:dyDescent="0.2">
      <c r="A2370">
        <v>5308</v>
      </c>
      <c r="B2370" t="s">
        <v>304</v>
      </c>
      <c r="C2370">
        <v>2008400</v>
      </c>
    </row>
    <row r="2371" spans="1:3" x14ac:dyDescent="0.2">
      <c r="A2371">
        <v>5308</v>
      </c>
      <c r="B2371" t="s">
        <v>304</v>
      </c>
      <c r="C2371">
        <v>2008400</v>
      </c>
    </row>
    <row r="2372" spans="1:3" x14ac:dyDescent="0.2">
      <c r="A2372">
        <v>5308</v>
      </c>
      <c r="B2372" t="s">
        <v>304</v>
      </c>
      <c r="C2372">
        <v>2008400</v>
      </c>
    </row>
    <row r="2373" spans="1:3" x14ac:dyDescent="0.2">
      <c r="A2373">
        <v>5308</v>
      </c>
      <c r="B2373" t="s">
        <v>304</v>
      </c>
      <c r="C2373">
        <v>2008400</v>
      </c>
    </row>
    <row r="2374" spans="1:3" x14ac:dyDescent="0.2">
      <c r="A2374">
        <v>5308</v>
      </c>
      <c r="B2374" t="s">
        <v>304</v>
      </c>
      <c r="C2374">
        <v>2008400</v>
      </c>
    </row>
    <row r="2375" spans="1:3" x14ac:dyDescent="0.2">
      <c r="A2375">
        <v>5308</v>
      </c>
      <c r="B2375" s="9" t="s">
        <v>304</v>
      </c>
      <c r="C2375">
        <v>2008400</v>
      </c>
    </row>
    <row r="2376" spans="1:3" x14ac:dyDescent="0.2">
      <c r="A2376" s="3">
        <v>5309</v>
      </c>
      <c r="B2376" s="3" t="s">
        <v>305</v>
      </c>
      <c r="C2376">
        <v>2006360</v>
      </c>
    </row>
    <row r="2377" spans="1:3" x14ac:dyDescent="0.2">
      <c r="A2377" s="3">
        <v>5309</v>
      </c>
      <c r="B2377" s="3" t="s">
        <v>305</v>
      </c>
      <c r="C2377">
        <v>2006360</v>
      </c>
    </row>
    <row r="2378" spans="1:3" x14ac:dyDescent="0.2">
      <c r="A2378" s="3">
        <v>5309</v>
      </c>
      <c r="B2378" s="3" t="s">
        <v>305</v>
      </c>
      <c r="C2378">
        <v>2006360</v>
      </c>
    </row>
    <row r="2379" spans="1:3" x14ac:dyDescent="0.2">
      <c r="A2379">
        <v>5309</v>
      </c>
      <c r="B2379" t="s">
        <v>305</v>
      </c>
      <c r="C2379">
        <v>2006360</v>
      </c>
    </row>
    <row r="2380" spans="1:3" x14ac:dyDescent="0.2">
      <c r="A2380">
        <v>5309</v>
      </c>
      <c r="B2380" t="s">
        <v>305</v>
      </c>
      <c r="C2380">
        <v>2006360</v>
      </c>
    </row>
    <row r="2381" spans="1:3" x14ac:dyDescent="0.2">
      <c r="A2381">
        <v>5309</v>
      </c>
      <c r="B2381" t="s">
        <v>305</v>
      </c>
      <c r="C2381">
        <v>2006360</v>
      </c>
    </row>
    <row r="2382" spans="1:3" x14ac:dyDescent="0.2">
      <c r="A2382">
        <v>5309</v>
      </c>
      <c r="B2382" t="s">
        <v>305</v>
      </c>
      <c r="C2382">
        <v>2006360</v>
      </c>
    </row>
    <row r="2383" spans="1:3" x14ac:dyDescent="0.2">
      <c r="A2383">
        <v>5309</v>
      </c>
      <c r="B2383" t="s">
        <v>305</v>
      </c>
      <c r="C2383">
        <v>2006360</v>
      </c>
    </row>
    <row r="2384" spans="1:3" x14ac:dyDescent="0.2">
      <c r="A2384">
        <v>5309</v>
      </c>
      <c r="B2384" s="9" t="s">
        <v>305</v>
      </c>
      <c r="C2384">
        <v>2006360</v>
      </c>
    </row>
    <row r="2385" spans="1:3" x14ac:dyDescent="0.2">
      <c r="A2385" s="3">
        <v>5310</v>
      </c>
      <c r="B2385" s="3" t="s">
        <v>306</v>
      </c>
      <c r="C2385">
        <v>2008700</v>
      </c>
    </row>
    <row r="2386" spans="1:3" x14ac:dyDescent="0.2">
      <c r="A2386" s="3">
        <v>5310</v>
      </c>
      <c r="B2386" s="3" t="s">
        <v>306</v>
      </c>
      <c r="C2386">
        <v>2008700</v>
      </c>
    </row>
    <row r="2387" spans="1:3" x14ac:dyDescent="0.2">
      <c r="A2387" s="3">
        <v>5310</v>
      </c>
      <c r="B2387" s="3" t="s">
        <v>306</v>
      </c>
      <c r="C2387">
        <v>2008700</v>
      </c>
    </row>
    <row r="2388" spans="1:3" x14ac:dyDescent="0.2">
      <c r="A2388">
        <v>5310</v>
      </c>
      <c r="B2388" t="s">
        <v>306</v>
      </c>
      <c r="C2388">
        <v>2008700</v>
      </c>
    </row>
    <row r="2389" spans="1:3" x14ac:dyDescent="0.2">
      <c r="A2389">
        <v>5310</v>
      </c>
      <c r="B2389" t="s">
        <v>306</v>
      </c>
      <c r="C2389">
        <v>2008700</v>
      </c>
    </row>
    <row r="2390" spans="1:3" x14ac:dyDescent="0.2">
      <c r="A2390">
        <v>5310</v>
      </c>
      <c r="B2390" t="s">
        <v>306</v>
      </c>
      <c r="C2390">
        <v>2008700</v>
      </c>
    </row>
    <row r="2391" spans="1:3" x14ac:dyDescent="0.2">
      <c r="A2391">
        <v>5310</v>
      </c>
      <c r="B2391" t="s">
        <v>306</v>
      </c>
      <c r="C2391">
        <v>2008700</v>
      </c>
    </row>
    <row r="2392" spans="1:3" x14ac:dyDescent="0.2">
      <c r="A2392">
        <v>5310</v>
      </c>
      <c r="B2392" t="s">
        <v>306</v>
      </c>
      <c r="C2392">
        <v>2008700</v>
      </c>
    </row>
    <row r="2393" spans="1:3" x14ac:dyDescent="0.2">
      <c r="A2393">
        <v>5310</v>
      </c>
      <c r="B2393" s="9" t="s">
        <v>306</v>
      </c>
      <c r="C2393">
        <v>2008700</v>
      </c>
    </row>
    <row r="2394" spans="1:3" x14ac:dyDescent="0.2">
      <c r="A2394" s="3">
        <v>5312</v>
      </c>
      <c r="B2394" s="3" t="s">
        <v>307</v>
      </c>
      <c r="C2394">
        <v>2011490</v>
      </c>
    </row>
    <row r="2395" spans="1:3" x14ac:dyDescent="0.2">
      <c r="A2395" s="3">
        <v>5312</v>
      </c>
      <c r="B2395" s="3" t="s">
        <v>307</v>
      </c>
      <c r="C2395">
        <v>2011490</v>
      </c>
    </row>
    <row r="2396" spans="1:3" x14ac:dyDescent="0.2">
      <c r="A2396" s="3">
        <v>5312</v>
      </c>
      <c r="B2396" s="3" t="s">
        <v>307</v>
      </c>
      <c r="C2396">
        <v>2011490</v>
      </c>
    </row>
    <row r="2397" spans="1:3" x14ac:dyDescent="0.2">
      <c r="A2397">
        <v>5312</v>
      </c>
      <c r="B2397" t="s">
        <v>307</v>
      </c>
      <c r="C2397">
        <v>2011490</v>
      </c>
    </row>
    <row r="2398" spans="1:3" x14ac:dyDescent="0.2">
      <c r="A2398">
        <v>5312</v>
      </c>
      <c r="B2398" t="s">
        <v>307</v>
      </c>
      <c r="C2398">
        <v>2011490</v>
      </c>
    </row>
    <row r="2399" spans="1:3" x14ac:dyDescent="0.2">
      <c r="A2399">
        <v>5312</v>
      </c>
      <c r="B2399" t="s">
        <v>307</v>
      </c>
      <c r="C2399">
        <v>2011490</v>
      </c>
    </row>
    <row r="2400" spans="1:3" x14ac:dyDescent="0.2">
      <c r="A2400">
        <v>5312</v>
      </c>
      <c r="B2400" t="s">
        <v>307</v>
      </c>
      <c r="C2400">
        <v>2011490</v>
      </c>
    </row>
    <row r="2401" spans="1:3" x14ac:dyDescent="0.2">
      <c r="A2401">
        <v>5312</v>
      </c>
      <c r="B2401" t="s">
        <v>307</v>
      </c>
      <c r="C2401">
        <v>2011490</v>
      </c>
    </row>
    <row r="2402" spans="1:3" x14ac:dyDescent="0.2">
      <c r="A2402">
        <v>5312</v>
      </c>
      <c r="B2402" s="9" t="s">
        <v>307</v>
      </c>
      <c r="C2402">
        <v>2011490</v>
      </c>
    </row>
    <row r="2403" spans="1:3" x14ac:dyDescent="0.2">
      <c r="A2403" s="3">
        <v>5313</v>
      </c>
      <c r="B2403" s="3" t="s">
        <v>308</v>
      </c>
      <c r="C2403">
        <v>2011430</v>
      </c>
    </row>
    <row r="2404" spans="1:3" x14ac:dyDescent="0.2">
      <c r="A2404" s="3">
        <v>5313</v>
      </c>
      <c r="B2404" s="3" t="s">
        <v>308</v>
      </c>
      <c r="C2404">
        <v>2011430</v>
      </c>
    </row>
    <row r="2405" spans="1:3" x14ac:dyDescent="0.2">
      <c r="A2405" s="3">
        <v>5313</v>
      </c>
      <c r="B2405" s="3" t="s">
        <v>308</v>
      </c>
      <c r="C2405">
        <v>2011430</v>
      </c>
    </row>
    <row r="2406" spans="1:3" x14ac:dyDescent="0.2">
      <c r="A2406">
        <v>5313</v>
      </c>
      <c r="B2406" t="s">
        <v>308</v>
      </c>
      <c r="C2406">
        <v>2011430</v>
      </c>
    </row>
    <row r="2407" spans="1:3" x14ac:dyDescent="0.2">
      <c r="A2407">
        <v>5313</v>
      </c>
      <c r="B2407" t="s">
        <v>308</v>
      </c>
      <c r="C2407">
        <v>2011430</v>
      </c>
    </row>
    <row r="2408" spans="1:3" x14ac:dyDescent="0.2">
      <c r="A2408">
        <v>5313</v>
      </c>
      <c r="B2408" t="s">
        <v>308</v>
      </c>
      <c r="C2408">
        <v>2011430</v>
      </c>
    </row>
    <row r="2409" spans="1:3" x14ac:dyDescent="0.2">
      <c r="A2409">
        <v>5313</v>
      </c>
      <c r="B2409" t="s">
        <v>308</v>
      </c>
      <c r="C2409">
        <v>2011430</v>
      </c>
    </row>
    <row r="2410" spans="1:3" x14ac:dyDescent="0.2">
      <c r="A2410">
        <v>5313</v>
      </c>
      <c r="B2410" t="s">
        <v>308</v>
      </c>
      <c r="C2410">
        <v>2011430</v>
      </c>
    </row>
    <row r="2411" spans="1:3" x14ac:dyDescent="0.2">
      <c r="A2411">
        <v>5313</v>
      </c>
      <c r="B2411" s="9" t="s">
        <v>308</v>
      </c>
      <c r="C2411">
        <v>2011430</v>
      </c>
    </row>
    <row r="2412" spans="1:3" x14ac:dyDescent="0.2">
      <c r="A2412" s="3">
        <v>5314</v>
      </c>
      <c r="B2412" s="3" t="s">
        <v>309</v>
      </c>
      <c r="C2412">
        <v>2012260</v>
      </c>
    </row>
    <row r="2413" spans="1:3" x14ac:dyDescent="0.2">
      <c r="A2413" s="3">
        <v>5314</v>
      </c>
      <c r="B2413" s="3" t="s">
        <v>309</v>
      </c>
      <c r="C2413">
        <v>2012260</v>
      </c>
    </row>
    <row r="2414" spans="1:3" x14ac:dyDescent="0.2">
      <c r="A2414" s="3">
        <v>5314</v>
      </c>
      <c r="B2414" s="3" t="s">
        <v>309</v>
      </c>
      <c r="C2414">
        <v>2012260</v>
      </c>
    </row>
    <row r="2415" spans="1:3" x14ac:dyDescent="0.2">
      <c r="A2415">
        <v>5314</v>
      </c>
      <c r="B2415" t="s">
        <v>309</v>
      </c>
      <c r="C2415">
        <v>2012260</v>
      </c>
    </row>
    <row r="2416" spans="1:3" x14ac:dyDescent="0.2">
      <c r="A2416">
        <v>5314</v>
      </c>
      <c r="B2416" t="s">
        <v>309</v>
      </c>
      <c r="C2416">
        <v>2012260</v>
      </c>
    </row>
    <row r="2417" spans="1:3" x14ac:dyDescent="0.2">
      <c r="A2417">
        <v>5314</v>
      </c>
      <c r="B2417" t="s">
        <v>309</v>
      </c>
      <c r="C2417">
        <v>2012260</v>
      </c>
    </row>
    <row r="2418" spans="1:3" x14ac:dyDescent="0.2">
      <c r="A2418">
        <v>5314</v>
      </c>
      <c r="B2418" t="s">
        <v>309</v>
      </c>
      <c r="C2418">
        <v>2012260</v>
      </c>
    </row>
    <row r="2419" spans="1:3" x14ac:dyDescent="0.2">
      <c r="A2419">
        <v>5314</v>
      </c>
      <c r="B2419" t="s">
        <v>309</v>
      </c>
      <c r="C2419">
        <v>2012260</v>
      </c>
    </row>
    <row r="2420" spans="1:3" x14ac:dyDescent="0.2">
      <c r="A2420">
        <v>5314</v>
      </c>
      <c r="B2420" s="9" t="s">
        <v>309</v>
      </c>
      <c r="C2420">
        <v>2012260</v>
      </c>
    </row>
    <row r="2421" spans="1:3" x14ac:dyDescent="0.2">
      <c r="A2421" s="3">
        <v>5316</v>
      </c>
      <c r="B2421" s="3" t="s">
        <v>310</v>
      </c>
    </row>
    <row r="2422" spans="1:3" x14ac:dyDescent="0.2">
      <c r="A2422" s="3">
        <v>5316</v>
      </c>
      <c r="B2422" s="3" t="s">
        <v>310</v>
      </c>
    </row>
    <row r="2423" spans="1:3" x14ac:dyDescent="0.2">
      <c r="A2423" s="3">
        <v>5316</v>
      </c>
      <c r="B2423" s="3" t="s">
        <v>310</v>
      </c>
    </row>
    <row r="2424" spans="1:3" x14ac:dyDescent="0.2">
      <c r="A2424">
        <v>5316</v>
      </c>
      <c r="B2424" t="s">
        <v>310</v>
      </c>
    </row>
    <row r="2425" spans="1:3" x14ac:dyDescent="0.2">
      <c r="A2425">
        <v>5316</v>
      </c>
      <c r="B2425" t="s">
        <v>310</v>
      </c>
    </row>
    <row r="2426" spans="1:3" x14ac:dyDescent="0.2">
      <c r="A2426">
        <v>5316</v>
      </c>
      <c r="B2426" t="s">
        <v>310</v>
      </c>
    </row>
    <row r="2427" spans="1:3" x14ac:dyDescent="0.2">
      <c r="A2427">
        <v>5316</v>
      </c>
      <c r="B2427" t="s">
        <v>310</v>
      </c>
    </row>
    <row r="2428" spans="1:3" x14ac:dyDescent="0.2">
      <c r="A2428">
        <v>5316</v>
      </c>
      <c r="B2428" t="s">
        <v>310</v>
      </c>
    </row>
    <row r="2429" spans="1:3" x14ac:dyDescent="0.2">
      <c r="A2429">
        <v>5316</v>
      </c>
      <c r="B2429" s="9" t="s">
        <v>310</v>
      </c>
    </row>
    <row r="2430" spans="1:3" x14ac:dyDescent="0.2">
      <c r="A2430" s="3">
        <v>5317</v>
      </c>
      <c r="B2430" s="3" t="s">
        <v>311</v>
      </c>
    </row>
    <row r="2431" spans="1:3" x14ac:dyDescent="0.2">
      <c r="A2431" s="3">
        <v>5317</v>
      </c>
      <c r="B2431" s="3" t="s">
        <v>311</v>
      </c>
    </row>
    <row r="2432" spans="1:3" x14ac:dyDescent="0.2">
      <c r="A2432" s="3">
        <v>5317</v>
      </c>
      <c r="B2432" s="3" t="s">
        <v>311</v>
      </c>
    </row>
    <row r="2433" spans="1:3" x14ac:dyDescent="0.2">
      <c r="A2433">
        <v>5317</v>
      </c>
      <c r="B2433" t="s">
        <v>311</v>
      </c>
    </row>
    <row r="2434" spans="1:3" x14ac:dyDescent="0.2">
      <c r="A2434">
        <v>5317</v>
      </c>
      <c r="B2434" t="s">
        <v>311</v>
      </c>
    </row>
    <row r="2435" spans="1:3" x14ac:dyDescent="0.2">
      <c r="A2435">
        <v>5317</v>
      </c>
      <c r="B2435" t="s">
        <v>311</v>
      </c>
    </row>
    <row r="2436" spans="1:3" x14ac:dyDescent="0.2">
      <c r="A2436">
        <v>5317</v>
      </c>
      <c r="B2436" t="s">
        <v>311</v>
      </c>
    </row>
    <row r="2437" spans="1:3" x14ac:dyDescent="0.2">
      <c r="A2437">
        <v>5317</v>
      </c>
      <c r="B2437" t="s">
        <v>311</v>
      </c>
    </row>
    <row r="2438" spans="1:3" x14ac:dyDescent="0.2">
      <c r="A2438">
        <v>5317</v>
      </c>
      <c r="B2438" s="9" t="s">
        <v>311</v>
      </c>
    </row>
    <row r="2439" spans="1:3" x14ac:dyDescent="0.2">
      <c r="A2439" s="3">
        <v>5318</v>
      </c>
      <c r="B2439" s="3" t="s">
        <v>312</v>
      </c>
      <c r="C2439">
        <v>2004710</v>
      </c>
    </row>
    <row r="2440" spans="1:3" x14ac:dyDescent="0.2">
      <c r="A2440" s="3">
        <v>5318</v>
      </c>
      <c r="B2440" s="3" t="s">
        <v>312</v>
      </c>
      <c r="C2440">
        <v>2004710</v>
      </c>
    </row>
    <row r="2441" spans="1:3" x14ac:dyDescent="0.2">
      <c r="A2441" s="3">
        <v>5318</v>
      </c>
      <c r="B2441" s="3" t="s">
        <v>312</v>
      </c>
      <c r="C2441">
        <v>2004710</v>
      </c>
    </row>
    <row r="2442" spans="1:3" x14ac:dyDescent="0.2">
      <c r="A2442">
        <v>5318</v>
      </c>
      <c r="B2442" t="s">
        <v>312</v>
      </c>
      <c r="C2442">
        <v>2004710</v>
      </c>
    </row>
    <row r="2443" spans="1:3" x14ac:dyDescent="0.2">
      <c r="A2443">
        <v>5318</v>
      </c>
      <c r="B2443" t="s">
        <v>312</v>
      </c>
      <c r="C2443">
        <v>2004710</v>
      </c>
    </row>
    <row r="2444" spans="1:3" x14ac:dyDescent="0.2">
      <c r="A2444">
        <v>5318</v>
      </c>
      <c r="B2444" t="s">
        <v>312</v>
      </c>
      <c r="C2444">
        <v>2004710</v>
      </c>
    </row>
    <row r="2445" spans="1:3" x14ac:dyDescent="0.2">
      <c r="A2445">
        <v>5318</v>
      </c>
      <c r="B2445" t="s">
        <v>312</v>
      </c>
      <c r="C2445">
        <v>2004710</v>
      </c>
    </row>
    <row r="2446" spans="1:3" x14ac:dyDescent="0.2">
      <c r="A2446">
        <v>5318</v>
      </c>
      <c r="B2446" t="s">
        <v>312</v>
      </c>
      <c r="C2446">
        <v>2004710</v>
      </c>
    </row>
    <row r="2447" spans="1:3" x14ac:dyDescent="0.2">
      <c r="A2447">
        <v>5318</v>
      </c>
      <c r="B2447" s="9" t="s">
        <v>312</v>
      </c>
      <c r="C2447">
        <v>2004710</v>
      </c>
    </row>
    <row r="2448" spans="1:3" x14ac:dyDescent="0.2">
      <c r="A2448" s="3">
        <v>5319</v>
      </c>
      <c r="B2448" s="3" t="s">
        <v>313</v>
      </c>
      <c r="C2448">
        <v>2006480</v>
      </c>
    </row>
    <row r="2449" spans="1:3" x14ac:dyDescent="0.2">
      <c r="A2449" s="3">
        <v>5319</v>
      </c>
      <c r="B2449" s="3" t="s">
        <v>313</v>
      </c>
      <c r="C2449">
        <v>2006480</v>
      </c>
    </row>
    <row r="2450" spans="1:3" x14ac:dyDescent="0.2">
      <c r="A2450" s="3">
        <v>5319</v>
      </c>
      <c r="B2450" s="3" t="s">
        <v>313</v>
      </c>
      <c r="C2450">
        <v>2006480</v>
      </c>
    </row>
    <row r="2451" spans="1:3" x14ac:dyDescent="0.2">
      <c r="A2451">
        <v>5319</v>
      </c>
      <c r="B2451" t="s">
        <v>313</v>
      </c>
      <c r="C2451">
        <v>2006480</v>
      </c>
    </row>
    <row r="2452" spans="1:3" x14ac:dyDescent="0.2">
      <c r="A2452">
        <v>5319</v>
      </c>
      <c r="B2452" t="s">
        <v>313</v>
      </c>
      <c r="C2452">
        <v>2006480</v>
      </c>
    </row>
    <row r="2453" spans="1:3" x14ac:dyDescent="0.2">
      <c r="A2453">
        <v>5319</v>
      </c>
      <c r="B2453" t="s">
        <v>313</v>
      </c>
      <c r="C2453">
        <v>2006480</v>
      </c>
    </row>
    <row r="2454" spans="1:3" x14ac:dyDescent="0.2">
      <c r="A2454">
        <v>5319</v>
      </c>
      <c r="B2454" t="s">
        <v>313</v>
      </c>
      <c r="C2454">
        <v>2006480</v>
      </c>
    </row>
    <row r="2455" spans="1:3" x14ac:dyDescent="0.2">
      <c r="A2455">
        <v>5319</v>
      </c>
      <c r="B2455" t="s">
        <v>313</v>
      </c>
      <c r="C2455">
        <v>2006480</v>
      </c>
    </row>
    <row r="2456" spans="1:3" x14ac:dyDescent="0.2">
      <c r="A2456">
        <v>5319</v>
      </c>
      <c r="B2456" s="9" t="s">
        <v>313</v>
      </c>
      <c r="C2456">
        <v>2006480</v>
      </c>
    </row>
    <row r="2457" spans="1:3" x14ac:dyDescent="0.2">
      <c r="A2457" s="3">
        <v>5320</v>
      </c>
      <c r="B2457" s="3" t="s">
        <v>314</v>
      </c>
      <c r="C2457">
        <v>2005310</v>
      </c>
    </row>
    <row r="2458" spans="1:3" x14ac:dyDescent="0.2">
      <c r="A2458" s="3">
        <v>5320</v>
      </c>
      <c r="B2458" s="3" t="s">
        <v>314</v>
      </c>
      <c r="C2458">
        <v>2005310</v>
      </c>
    </row>
    <row r="2459" spans="1:3" x14ac:dyDescent="0.2">
      <c r="A2459" s="3">
        <v>5320</v>
      </c>
      <c r="B2459" s="3" t="s">
        <v>314</v>
      </c>
      <c r="C2459">
        <v>2005310</v>
      </c>
    </row>
    <row r="2460" spans="1:3" x14ac:dyDescent="0.2">
      <c r="A2460">
        <v>5320</v>
      </c>
      <c r="B2460" t="s">
        <v>314</v>
      </c>
      <c r="C2460">
        <v>2005310</v>
      </c>
    </row>
    <row r="2461" spans="1:3" x14ac:dyDescent="0.2">
      <c r="A2461">
        <v>5320</v>
      </c>
      <c r="B2461" t="s">
        <v>314</v>
      </c>
      <c r="C2461">
        <v>2005310</v>
      </c>
    </row>
    <row r="2462" spans="1:3" x14ac:dyDescent="0.2">
      <c r="A2462">
        <v>5320</v>
      </c>
      <c r="B2462" t="s">
        <v>314</v>
      </c>
      <c r="C2462">
        <v>2005310</v>
      </c>
    </row>
    <row r="2463" spans="1:3" x14ac:dyDescent="0.2">
      <c r="A2463">
        <v>5320</v>
      </c>
      <c r="B2463" t="s">
        <v>314</v>
      </c>
      <c r="C2463">
        <v>2005310</v>
      </c>
    </row>
    <row r="2464" spans="1:3" x14ac:dyDescent="0.2">
      <c r="A2464">
        <v>5320</v>
      </c>
      <c r="B2464" t="s">
        <v>314</v>
      </c>
      <c r="C2464">
        <v>2005310</v>
      </c>
    </row>
    <row r="2465" spans="1:3" x14ac:dyDescent="0.2">
      <c r="A2465">
        <v>5320</v>
      </c>
      <c r="B2465" s="9" t="s">
        <v>314</v>
      </c>
      <c r="C2465">
        <v>2005310</v>
      </c>
    </row>
    <row r="2466" spans="1:3" x14ac:dyDescent="0.2">
      <c r="A2466" s="3">
        <v>5321</v>
      </c>
      <c r="B2466" s="3" t="s">
        <v>315</v>
      </c>
      <c r="C2466">
        <v>2012780</v>
      </c>
    </row>
    <row r="2467" spans="1:3" x14ac:dyDescent="0.2">
      <c r="A2467" s="3">
        <v>5321</v>
      </c>
      <c r="B2467" s="3" t="s">
        <v>315</v>
      </c>
      <c r="C2467">
        <v>2012780</v>
      </c>
    </row>
    <row r="2468" spans="1:3" x14ac:dyDescent="0.2">
      <c r="A2468" s="3">
        <v>5321</v>
      </c>
      <c r="B2468" s="3" t="s">
        <v>315</v>
      </c>
      <c r="C2468">
        <v>2012780</v>
      </c>
    </row>
    <row r="2469" spans="1:3" x14ac:dyDescent="0.2">
      <c r="A2469">
        <v>5321</v>
      </c>
      <c r="B2469" t="s">
        <v>315</v>
      </c>
      <c r="C2469">
        <v>2012780</v>
      </c>
    </row>
    <row r="2470" spans="1:3" x14ac:dyDescent="0.2">
      <c r="A2470">
        <v>5321</v>
      </c>
      <c r="B2470" t="s">
        <v>315</v>
      </c>
      <c r="C2470">
        <v>2012780</v>
      </c>
    </row>
    <row r="2471" spans="1:3" x14ac:dyDescent="0.2">
      <c r="A2471">
        <v>5321</v>
      </c>
      <c r="B2471" t="s">
        <v>315</v>
      </c>
      <c r="C2471">
        <v>2012780</v>
      </c>
    </row>
    <row r="2472" spans="1:3" x14ac:dyDescent="0.2">
      <c r="A2472">
        <v>5321</v>
      </c>
      <c r="B2472" t="s">
        <v>315</v>
      </c>
      <c r="C2472">
        <v>2012780</v>
      </c>
    </row>
    <row r="2473" spans="1:3" x14ac:dyDescent="0.2">
      <c r="A2473">
        <v>5321</v>
      </c>
      <c r="B2473" t="s">
        <v>315</v>
      </c>
      <c r="C2473">
        <v>2012780</v>
      </c>
    </row>
    <row r="2474" spans="1:3" x14ac:dyDescent="0.2">
      <c r="A2474">
        <v>5321</v>
      </c>
      <c r="B2474" s="9" t="s">
        <v>315</v>
      </c>
      <c r="C2474">
        <v>2012780</v>
      </c>
    </row>
    <row r="2475" spans="1:3" x14ac:dyDescent="0.2">
      <c r="A2475" s="3">
        <v>5322</v>
      </c>
      <c r="B2475" s="3" t="s">
        <v>316</v>
      </c>
      <c r="C2475">
        <v>2010350</v>
      </c>
    </row>
    <row r="2476" spans="1:3" x14ac:dyDescent="0.2">
      <c r="A2476" s="3">
        <v>5322</v>
      </c>
      <c r="B2476" s="3" t="s">
        <v>316</v>
      </c>
      <c r="C2476">
        <v>2010350</v>
      </c>
    </row>
    <row r="2477" spans="1:3" x14ac:dyDescent="0.2">
      <c r="A2477" s="3">
        <v>5322</v>
      </c>
      <c r="B2477" s="3" t="s">
        <v>316</v>
      </c>
      <c r="C2477">
        <v>2010350</v>
      </c>
    </row>
    <row r="2478" spans="1:3" x14ac:dyDescent="0.2">
      <c r="A2478">
        <v>5322</v>
      </c>
      <c r="B2478" t="s">
        <v>316</v>
      </c>
      <c r="C2478">
        <v>2010350</v>
      </c>
    </row>
    <row r="2479" spans="1:3" x14ac:dyDescent="0.2">
      <c r="A2479">
        <v>5322</v>
      </c>
      <c r="B2479" t="s">
        <v>316</v>
      </c>
      <c r="C2479">
        <v>2010350</v>
      </c>
    </row>
    <row r="2480" spans="1:3" x14ac:dyDescent="0.2">
      <c r="A2480">
        <v>5322</v>
      </c>
      <c r="B2480" t="s">
        <v>316</v>
      </c>
      <c r="C2480">
        <v>2010350</v>
      </c>
    </row>
    <row r="2481" spans="1:3" x14ac:dyDescent="0.2">
      <c r="A2481">
        <v>5322</v>
      </c>
      <c r="B2481" t="s">
        <v>316</v>
      </c>
      <c r="C2481">
        <v>2010350</v>
      </c>
    </row>
    <row r="2482" spans="1:3" x14ac:dyDescent="0.2">
      <c r="A2482">
        <v>5322</v>
      </c>
      <c r="B2482" t="s">
        <v>316</v>
      </c>
      <c r="C2482">
        <v>2010350</v>
      </c>
    </row>
    <row r="2483" spans="1:3" x14ac:dyDescent="0.2">
      <c r="A2483">
        <v>5322</v>
      </c>
      <c r="B2483" s="9" t="s">
        <v>316</v>
      </c>
      <c r="C2483">
        <v>2010350</v>
      </c>
    </row>
    <row r="2484" spans="1:3" x14ac:dyDescent="0.2">
      <c r="A2484" s="3">
        <v>5324</v>
      </c>
      <c r="B2484" s="3" t="s">
        <v>317</v>
      </c>
      <c r="C2484">
        <v>2007950</v>
      </c>
    </row>
    <row r="2485" spans="1:3" x14ac:dyDescent="0.2">
      <c r="A2485" s="3">
        <v>5324</v>
      </c>
      <c r="B2485" s="3" t="s">
        <v>317</v>
      </c>
      <c r="C2485">
        <v>2007950</v>
      </c>
    </row>
    <row r="2486" spans="1:3" x14ac:dyDescent="0.2">
      <c r="A2486" s="3">
        <v>5324</v>
      </c>
      <c r="B2486" s="3" t="s">
        <v>317</v>
      </c>
      <c r="C2486">
        <v>2007950</v>
      </c>
    </row>
    <row r="2487" spans="1:3" x14ac:dyDescent="0.2">
      <c r="A2487">
        <v>5324</v>
      </c>
      <c r="B2487" t="s">
        <v>317</v>
      </c>
      <c r="C2487">
        <v>2007950</v>
      </c>
    </row>
    <row r="2488" spans="1:3" x14ac:dyDescent="0.2">
      <c r="A2488">
        <v>5324</v>
      </c>
      <c r="B2488" t="s">
        <v>317</v>
      </c>
      <c r="C2488">
        <v>2007950</v>
      </c>
    </row>
    <row r="2489" spans="1:3" x14ac:dyDescent="0.2">
      <c r="A2489">
        <v>5324</v>
      </c>
      <c r="B2489" t="s">
        <v>317</v>
      </c>
      <c r="C2489">
        <v>2007950</v>
      </c>
    </row>
    <row r="2490" spans="1:3" x14ac:dyDescent="0.2">
      <c r="A2490">
        <v>5324</v>
      </c>
      <c r="B2490" t="s">
        <v>317</v>
      </c>
      <c r="C2490">
        <v>2007950</v>
      </c>
    </row>
    <row r="2491" spans="1:3" x14ac:dyDescent="0.2">
      <c r="A2491">
        <v>5324</v>
      </c>
      <c r="B2491" t="s">
        <v>317</v>
      </c>
      <c r="C2491">
        <v>2007950</v>
      </c>
    </row>
    <row r="2492" spans="1:3" x14ac:dyDescent="0.2">
      <c r="A2492">
        <v>5324</v>
      </c>
      <c r="B2492" s="9" t="s">
        <v>317</v>
      </c>
      <c r="C2492">
        <v>2007950</v>
      </c>
    </row>
    <row r="2493" spans="1:3" x14ac:dyDescent="0.2">
      <c r="A2493" s="3">
        <v>5329</v>
      </c>
      <c r="B2493" s="3" t="s">
        <v>318</v>
      </c>
      <c r="C2493">
        <v>2008670</v>
      </c>
    </row>
    <row r="2494" spans="1:3" x14ac:dyDescent="0.2">
      <c r="A2494" s="3">
        <v>5329</v>
      </c>
      <c r="B2494" s="3" t="s">
        <v>318</v>
      </c>
      <c r="C2494">
        <v>2008670</v>
      </c>
    </row>
    <row r="2495" spans="1:3" x14ac:dyDescent="0.2">
      <c r="A2495" s="3">
        <v>5329</v>
      </c>
      <c r="B2495" s="3" t="s">
        <v>318</v>
      </c>
      <c r="C2495">
        <v>2008670</v>
      </c>
    </row>
    <row r="2496" spans="1:3" x14ac:dyDescent="0.2">
      <c r="A2496">
        <v>5329</v>
      </c>
      <c r="B2496" t="s">
        <v>318</v>
      </c>
      <c r="C2496">
        <v>2008670</v>
      </c>
    </row>
    <row r="2497" spans="1:3" x14ac:dyDescent="0.2">
      <c r="A2497">
        <v>5329</v>
      </c>
      <c r="B2497" t="s">
        <v>318</v>
      </c>
      <c r="C2497">
        <v>2008670</v>
      </c>
    </row>
    <row r="2498" spans="1:3" x14ac:dyDescent="0.2">
      <c r="A2498">
        <v>5329</v>
      </c>
      <c r="B2498" t="s">
        <v>318</v>
      </c>
      <c r="C2498">
        <v>2008670</v>
      </c>
    </row>
    <row r="2499" spans="1:3" x14ac:dyDescent="0.2">
      <c r="A2499">
        <v>5329</v>
      </c>
      <c r="B2499" t="s">
        <v>318</v>
      </c>
      <c r="C2499">
        <v>2008670</v>
      </c>
    </row>
    <row r="2500" spans="1:3" x14ac:dyDescent="0.2">
      <c r="A2500">
        <v>5329</v>
      </c>
      <c r="B2500" t="s">
        <v>318</v>
      </c>
      <c r="C2500">
        <v>2008670</v>
      </c>
    </row>
    <row r="2501" spans="1:3" x14ac:dyDescent="0.2">
      <c r="A2501">
        <v>5329</v>
      </c>
      <c r="B2501" s="9" t="s">
        <v>318</v>
      </c>
      <c r="C2501">
        <v>2008670</v>
      </c>
    </row>
    <row r="2502" spans="1:3" x14ac:dyDescent="0.2">
      <c r="A2502" s="3">
        <v>5330</v>
      </c>
      <c r="B2502" s="3" t="s">
        <v>319</v>
      </c>
      <c r="C2502">
        <v>2005070</v>
      </c>
    </row>
    <row r="2503" spans="1:3" x14ac:dyDescent="0.2">
      <c r="A2503" s="3">
        <v>5330</v>
      </c>
      <c r="B2503" s="3" t="s">
        <v>319</v>
      </c>
      <c r="C2503">
        <v>2005070</v>
      </c>
    </row>
    <row r="2504" spans="1:3" x14ac:dyDescent="0.2">
      <c r="A2504" s="3">
        <v>5330</v>
      </c>
      <c r="B2504" s="3" t="s">
        <v>319</v>
      </c>
      <c r="C2504">
        <v>2005070</v>
      </c>
    </row>
    <row r="2505" spans="1:3" x14ac:dyDescent="0.2">
      <c r="A2505">
        <v>5330</v>
      </c>
      <c r="B2505" t="s">
        <v>319</v>
      </c>
      <c r="C2505">
        <v>2005070</v>
      </c>
    </row>
    <row r="2506" spans="1:3" x14ac:dyDescent="0.2">
      <c r="A2506">
        <v>5330</v>
      </c>
      <c r="B2506" t="s">
        <v>319</v>
      </c>
      <c r="C2506">
        <v>2005070</v>
      </c>
    </row>
    <row r="2507" spans="1:3" x14ac:dyDescent="0.2">
      <c r="A2507">
        <v>5330</v>
      </c>
      <c r="B2507" t="s">
        <v>319</v>
      </c>
      <c r="C2507">
        <v>2005070</v>
      </c>
    </row>
    <row r="2508" spans="1:3" x14ac:dyDescent="0.2">
      <c r="A2508">
        <v>5330</v>
      </c>
      <c r="B2508" t="s">
        <v>319</v>
      </c>
      <c r="C2508">
        <v>2005070</v>
      </c>
    </row>
    <row r="2509" spans="1:3" x14ac:dyDescent="0.2">
      <c r="A2509">
        <v>5330</v>
      </c>
      <c r="B2509" t="s">
        <v>319</v>
      </c>
      <c r="C2509">
        <v>2005070</v>
      </c>
    </row>
    <row r="2510" spans="1:3" x14ac:dyDescent="0.2">
      <c r="A2510">
        <v>5330</v>
      </c>
      <c r="B2510" s="9" t="s">
        <v>319</v>
      </c>
      <c r="C2510">
        <v>2005070</v>
      </c>
    </row>
    <row r="2511" spans="1:3" x14ac:dyDescent="0.2">
      <c r="A2511" s="3">
        <v>5331</v>
      </c>
      <c r="B2511" s="3" t="s">
        <v>320</v>
      </c>
      <c r="C2511">
        <v>2010560</v>
      </c>
    </row>
    <row r="2512" spans="1:3" x14ac:dyDescent="0.2">
      <c r="A2512" s="3">
        <v>5331</v>
      </c>
      <c r="B2512" s="3" t="s">
        <v>320</v>
      </c>
      <c r="C2512">
        <v>2010560</v>
      </c>
    </row>
    <row r="2513" spans="1:3" x14ac:dyDescent="0.2">
      <c r="A2513" s="3">
        <v>5331</v>
      </c>
      <c r="B2513" s="3" t="s">
        <v>320</v>
      </c>
      <c r="C2513">
        <v>2010560</v>
      </c>
    </row>
    <row r="2514" spans="1:3" x14ac:dyDescent="0.2">
      <c r="A2514">
        <v>5331</v>
      </c>
      <c r="B2514" t="s">
        <v>320</v>
      </c>
      <c r="C2514">
        <v>2010560</v>
      </c>
    </row>
    <row r="2515" spans="1:3" x14ac:dyDescent="0.2">
      <c r="A2515">
        <v>5331</v>
      </c>
      <c r="B2515" t="s">
        <v>320</v>
      </c>
      <c r="C2515">
        <v>2010560</v>
      </c>
    </row>
    <row r="2516" spans="1:3" x14ac:dyDescent="0.2">
      <c r="A2516">
        <v>5331</v>
      </c>
      <c r="B2516" t="s">
        <v>320</v>
      </c>
      <c r="C2516">
        <v>2010560</v>
      </c>
    </row>
    <row r="2517" spans="1:3" x14ac:dyDescent="0.2">
      <c r="A2517">
        <v>5331</v>
      </c>
      <c r="B2517" t="s">
        <v>320</v>
      </c>
      <c r="C2517">
        <v>2010560</v>
      </c>
    </row>
    <row r="2518" spans="1:3" x14ac:dyDescent="0.2">
      <c r="A2518">
        <v>5331</v>
      </c>
      <c r="B2518" t="s">
        <v>320</v>
      </c>
      <c r="C2518">
        <v>2010560</v>
      </c>
    </row>
    <row r="2519" spans="1:3" x14ac:dyDescent="0.2">
      <c r="A2519">
        <v>5331</v>
      </c>
      <c r="B2519" s="9" t="s">
        <v>320</v>
      </c>
      <c r="C2519">
        <v>2010560</v>
      </c>
    </row>
    <row r="2520" spans="1:3" x14ac:dyDescent="0.2">
      <c r="A2520" s="3">
        <v>5332</v>
      </c>
      <c r="B2520" s="3" t="s">
        <v>321</v>
      </c>
      <c r="C2520">
        <v>2003300</v>
      </c>
    </row>
    <row r="2521" spans="1:3" x14ac:dyDescent="0.2">
      <c r="A2521" s="3">
        <v>5332</v>
      </c>
      <c r="B2521" s="3" t="s">
        <v>321</v>
      </c>
      <c r="C2521">
        <v>2003300</v>
      </c>
    </row>
    <row r="2522" spans="1:3" x14ac:dyDescent="0.2">
      <c r="A2522" s="3">
        <v>5332</v>
      </c>
      <c r="B2522" s="3" t="s">
        <v>321</v>
      </c>
      <c r="C2522">
        <v>2003300</v>
      </c>
    </row>
    <row r="2523" spans="1:3" x14ac:dyDescent="0.2">
      <c r="A2523">
        <v>5332</v>
      </c>
      <c r="B2523" t="s">
        <v>321</v>
      </c>
      <c r="C2523">
        <v>2003300</v>
      </c>
    </row>
    <row r="2524" spans="1:3" x14ac:dyDescent="0.2">
      <c r="A2524">
        <v>5332</v>
      </c>
      <c r="B2524" t="s">
        <v>321</v>
      </c>
      <c r="C2524">
        <v>2003300</v>
      </c>
    </row>
    <row r="2525" spans="1:3" x14ac:dyDescent="0.2">
      <c r="A2525">
        <v>5332</v>
      </c>
      <c r="B2525" t="s">
        <v>321</v>
      </c>
      <c r="C2525">
        <v>2003300</v>
      </c>
    </row>
    <row r="2526" spans="1:3" x14ac:dyDescent="0.2">
      <c r="A2526">
        <v>5332</v>
      </c>
      <c r="B2526" t="s">
        <v>321</v>
      </c>
      <c r="C2526">
        <v>2003300</v>
      </c>
    </row>
    <row r="2527" spans="1:3" x14ac:dyDescent="0.2">
      <c r="A2527">
        <v>5332</v>
      </c>
      <c r="B2527" t="s">
        <v>321</v>
      </c>
      <c r="C2527">
        <v>2003300</v>
      </c>
    </row>
    <row r="2528" spans="1:3" x14ac:dyDescent="0.2">
      <c r="A2528">
        <v>5332</v>
      </c>
      <c r="B2528" s="9" t="s">
        <v>321</v>
      </c>
      <c r="C2528">
        <v>2003300</v>
      </c>
    </row>
    <row r="2529" spans="1:3" x14ac:dyDescent="0.2">
      <c r="A2529" s="3">
        <v>5333</v>
      </c>
      <c r="B2529" s="3" t="s">
        <v>322</v>
      </c>
      <c r="C2529">
        <v>2004770</v>
      </c>
    </row>
    <row r="2530" spans="1:3" x14ac:dyDescent="0.2">
      <c r="A2530" s="3">
        <v>5333</v>
      </c>
      <c r="B2530" s="3" t="s">
        <v>322</v>
      </c>
      <c r="C2530">
        <v>2004770</v>
      </c>
    </row>
    <row r="2531" spans="1:3" x14ac:dyDescent="0.2">
      <c r="A2531" s="3">
        <v>5333</v>
      </c>
      <c r="B2531" s="3" t="s">
        <v>322</v>
      </c>
      <c r="C2531">
        <v>2004770</v>
      </c>
    </row>
    <row r="2532" spans="1:3" x14ac:dyDescent="0.2">
      <c r="A2532">
        <v>5333</v>
      </c>
      <c r="B2532" t="s">
        <v>322</v>
      </c>
      <c r="C2532">
        <v>2004770</v>
      </c>
    </row>
    <row r="2533" spans="1:3" x14ac:dyDescent="0.2">
      <c r="A2533">
        <v>5333</v>
      </c>
      <c r="B2533" t="s">
        <v>322</v>
      </c>
      <c r="C2533">
        <v>2004770</v>
      </c>
    </row>
    <row r="2534" spans="1:3" x14ac:dyDescent="0.2">
      <c r="A2534">
        <v>5333</v>
      </c>
      <c r="B2534" t="s">
        <v>322</v>
      </c>
      <c r="C2534">
        <v>2004770</v>
      </c>
    </row>
    <row r="2535" spans="1:3" x14ac:dyDescent="0.2">
      <c r="A2535">
        <v>5333</v>
      </c>
      <c r="B2535" t="s">
        <v>322</v>
      </c>
      <c r="C2535">
        <v>2004770</v>
      </c>
    </row>
    <row r="2536" spans="1:3" x14ac:dyDescent="0.2">
      <c r="A2536">
        <v>5333</v>
      </c>
      <c r="B2536" t="s">
        <v>322</v>
      </c>
      <c r="C2536">
        <v>2004770</v>
      </c>
    </row>
    <row r="2537" spans="1:3" x14ac:dyDescent="0.2">
      <c r="A2537">
        <v>5333</v>
      </c>
      <c r="B2537" s="9" t="s">
        <v>322</v>
      </c>
      <c r="C2537">
        <v>2004770</v>
      </c>
    </row>
    <row r="2538" spans="1:3" x14ac:dyDescent="0.2">
      <c r="A2538" s="3">
        <v>5337</v>
      </c>
      <c r="B2538" s="3" t="s">
        <v>323</v>
      </c>
      <c r="C2538">
        <v>2006330</v>
      </c>
    </row>
    <row r="2539" spans="1:3" x14ac:dyDescent="0.2">
      <c r="A2539" s="3">
        <v>5337</v>
      </c>
      <c r="B2539" s="3" t="s">
        <v>323</v>
      </c>
      <c r="C2539">
        <v>2006330</v>
      </c>
    </row>
    <row r="2540" spans="1:3" x14ac:dyDescent="0.2">
      <c r="A2540" s="3">
        <v>5337</v>
      </c>
      <c r="B2540" s="3" t="s">
        <v>323</v>
      </c>
      <c r="C2540">
        <v>2006330</v>
      </c>
    </row>
    <row r="2541" spans="1:3" x14ac:dyDescent="0.2">
      <c r="A2541">
        <v>5337</v>
      </c>
      <c r="B2541" t="s">
        <v>323</v>
      </c>
      <c r="C2541">
        <v>2006330</v>
      </c>
    </row>
    <row r="2542" spans="1:3" x14ac:dyDescent="0.2">
      <c r="A2542">
        <v>5337</v>
      </c>
      <c r="B2542" t="s">
        <v>323</v>
      </c>
      <c r="C2542">
        <v>2006330</v>
      </c>
    </row>
    <row r="2543" spans="1:3" x14ac:dyDescent="0.2">
      <c r="A2543">
        <v>5337</v>
      </c>
      <c r="B2543" t="s">
        <v>323</v>
      </c>
      <c r="C2543">
        <v>2006330</v>
      </c>
    </row>
    <row r="2544" spans="1:3" x14ac:dyDescent="0.2">
      <c r="A2544">
        <v>5337</v>
      </c>
      <c r="B2544" t="s">
        <v>323</v>
      </c>
      <c r="C2544">
        <v>2006330</v>
      </c>
    </row>
    <row r="2545" spans="1:3" x14ac:dyDescent="0.2">
      <c r="A2545">
        <v>5337</v>
      </c>
      <c r="B2545" t="s">
        <v>323</v>
      </c>
      <c r="C2545">
        <v>2006330</v>
      </c>
    </row>
    <row r="2546" spans="1:3" x14ac:dyDescent="0.2">
      <c r="A2546">
        <v>5337</v>
      </c>
      <c r="B2546" s="9" t="s">
        <v>323</v>
      </c>
      <c r="C2546">
        <v>2006330</v>
      </c>
    </row>
    <row r="2547" spans="1:3" x14ac:dyDescent="0.2">
      <c r="A2547" s="3">
        <v>5366</v>
      </c>
      <c r="B2547" s="3" t="s">
        <v>324</v>
      </c>
      <c r="C2547">
        <v>2003810</v>
      </c>
    </row>
    <row r="2548" spans="1:3" x14ac:dyDescent="0.2">
      <c r="A2548" s="3">
        <v>5366</v>
      </c>
      <c r="B2548" s="3" t="s">
        <v>324</v>
      </c>
      <c r="C2548">
        <v>2003810</v>
      </c>
    </row>
    <row r="2549" spans="1:3" x14ac:dyDescent="0.2">
      <c r="A2549" s="3">
        <v>5366</v>
      </c>
      <c r="B2549" s="3" t="s">
        <v>324</v>
      </c>
      <c r="C2549">
        <v>2003810</v>
      </c>
    </row>
    <row r="2550" spans="1:3" x14ac:dyDescent="0.2">
      <c r="A2550">
        <v>5366</v>
      </c>
      <c r="B2550" t="s">
        <v>324</v>
      </c>
      <c r="C2550">
        <v>2003810</v>
      </c>
    </row>
    <row r="2551" spans="1:3" x14ac:dyDescent="0.2">
      <c r="A2551">
        <v>5366</v>
      </c>
      <c r="B2551" t="s">
        <v>324</v>
      </c>
      <c r="C2551">
        <v>2003810</v>
      </c>
    </row>
    <row r="2552" spans="1:3" x14ac:dyDescent="0.2">
      <c r="A2552">
        <v>5366</v>
      </c>
      <c r="B2552" t="s">
        <v>324</v>
      </c>
      <c r="C2552">
        <v>2003810</v>
      </c>
    </row>
    <row r="2553" spans="1:3" x14ac:dyDescent="0.2">
      <c r="A2553">
        <v>5366</v>
      </c>
      <c r="B2553" t="s">
        <v>324</v>
      </c>
      <c r="C2553">
        <v>2003810</v>
      </c>
    </row>
    <row r="2554" spans="1:3" x14ac:dyDescent="0.2">
      <c r="A2554">
        <v>5366</v>
      </c>
      <c r="B2554" t="s">
        <v>324</v>
      </c>
      <c r="C2554">
        <v>2003810</v>
      </c>
    </row>
    <row r="2555" spans="1:3" x14ac:dyDescent="0.2">
      <c r="A2555">
        <v>5366</v>
      </c>
      <c r="B2555" s="9" t="s">
        <v>324</v>
      </c>
      <c r="C2555">
        <v>2003810</v>
      </c>
    </row>
    <row r="2556" spans="1:3" x14ac:dyDescent="0.2">
      <c r="A2556" s="3">
        <v>5367</v>
      </c>
      <c r="B2556" s="3" t="s">
        <v>325</v>
      </c>
      <c r="C2556">
        <v>2011400</v>
      </c>
    </row>
    <row r="2557" spans="1:3" x14ac:dyDescent="0.2">
      <c r="A2557" s="3">
        <v>5367</v>
      </c>
      <c r="B2557" s="3" t="s">
        <v>325</v>
      </c>
      <c r="C2557">
        <v>2011400</v>
      </c>
    </row>
    <row r="2558" spans="1:3" x14ac:dyDescent="0.2">
      <c r="A2558" s="3">
        <v>5367</v>
      </c>
      <c r="B2558" s="3" t="s">
        <v>325</v>
      </c>
      <c r="C2558">
        <v>2011400</v>
      </c>
    </row>
    <row r="2559" spans="1:3" x14ac:dyDescent="0.2">
      <c r="A2559">
        <v>5367</v>
      </c>
      <c r="B2559" t="s">
        <v>325</v>
      </c>
      <c r="C2559">
        <v>2011400</v>
      </c>
    </row>
    <row r="2560" spans="1:3" x14ac:dyDescent="0.2">
      <c r="A2560">
        <v>5367</v>
      </c>
      <c r="B2560" t="s">
        <v>325</v>
      </c>
      <c r="C2560">
        <v>2011400</v>
      </c>
    </row>
    <row r="2561" spans="1:3" x14ac:dyDescent="0.2">
      <c r="A2561">
        <v>5367</v>
      </c>
      <c r="B2561" t="s">
        <v>325</v>
      </c>
      <c r="C2561">
        <v>2011400</v>
      </c>
    </row>
    <row r="2562" spans="1:3" x14ac:dyDescent="0.2">
      <c r="A2562">
        <v>5367</v>
      </c>
      <c r="B2562" t="s">
        <v>325</v>
      </c>
      <c r="C2562">
        <v>2011400</v>
      </c>
    </row>
    <row r="2563" spans="1:3" x14ac:dyDescent="0.2">
      <c r="A2563">
        <v>5367</v>
      </c>
      <c r="B2563" t="s">
        <v>325</v>
      </c>
      <c r="C2563">
        <v>2011400</v>
      </c>
    </row>
    <row r="2564" spans="1:3" x14ac:dyDescent="0.2">
      <c r="A2564">
        <v>5367</v>
      </c>
      <c r="B2564" s="9" t="s">
        <v>325</v>
      </c>
      <c r="C2564">
        <v>2011400</v>
      </c>
    </row>
    <row r="2565" spans="1:3" x14ac:dyDescent="0.2">
      <c r="A2565" s="3">
        <v>5368</v>
      </c>
      <c r="B2565" s="3" t="s">
        <v>326</v>
      </c>
    </row>
    <row r="2566" spans="1:3" x14ac:dyDescent="0.2">
      <c r="A2566" s="3">
        <v>5368</v>
      </c>
      <c r="B2566" s="3" t="s">
        <v>326</v>
      </c>
    </row>
    <row r="2567" spans="1:3" x14ac:dyDescent="0.2">
      <c r="A2567" s="3">
        <v>5368</v>
      </c>
      <c r="B2567" s="3" t="s">
        <v>326</v>
      </c>
    </row>
    <row r="2568" spans="1:3" x14ac:dyDescent="0.2">
      <c r="A2568">
        <v>5368</v>
      </c>
      <c r="B2568" t="s">
        <v>326</v>
      </c>
    </row>
    <row r="2569" spans="1:3" x14ac:dyDescent="0.2">
      <c r="A2569">
        <v>5368</v>
      </c>
      <c r="B2569" t="s">
        <v>326</v>
      </c>
    </row>
    <row r="2570" spans="1:3" x14ac:dyDescent="0.2">
      <c r="A2570">
        <v>5368</v>
      </c>
      <c r="B2570" t="s">
        <v>326</v>
      </c>
    </row>
    <row r="2571" spans="1:3" x14ac:dyDescent="0.2">
      <c r="A2571">
        <v>5368</v>
      </c>
      <c r="B2571" t="s">
        <v>326</v>
      </c>
    </row>
    <row r="2572" spans="1:3" x14ac:dyDescent="0.2">
      <c r="A2572">
        <v>5368</v>
      </c>
      <c r="B2572" t="s">
        <v>326</v>
      </c>
    </row>
    <row r="2573" spans="1:3" x14ac:dyDescent="0.2">
      <c r="A2573">
        <v>5368</v>
      </c>
      <c r="B2573" s="9" t="s">
        <v>326</v>
      </c>
    </row>
    <row r="2574" spans="1:3" x14ac:dyDescent="0.2">
      <c r="A2574" s="3">
        <v>5404</v>
      </c>
      <c r="B2574" s="3" t="s">
        <v>364</v>
      </c>
    </row>
    <row r="2575" spans="1:3" x14ac:dyDescent="0.2">
      <c r="A2575" s="3">
        <v>5404</v>
      </c>
      <c r="B2575" s="3" t="s">
        <v>367</v>
      </c>
    </row>
    <row r="2576" spans="1:3" x14ac:dyDescent="0.2">
      <c r="A2576">
        <v>5404</v>
      </c>
      <c r="B2576" t="s">
        <v>364</v>
      </c>
    </row>
    <row r="2577" spans="1:3" x14ac:dyDescent="0.2">
      <c r="A2577">
        <v>5404</v>
      </c>
      <c r="B2577" t="s">
        <v>28</v>
      </c>
    </row>
    <row r="2578" spans="1:3" x14ac:dyDescent="0.2">
      <c r="A2578">
        <v>5404</v>
      </c>
      <c r="B2578" t="s">
        <v>28</v>
      </c>
    </row>
    <row r="2579" spans="1:3" x14ac:dyDescent="0.2">
      <c r="A2579">
        <v>5404</v>
      </c>
      <c r="B2579" t="s">
        <v>28</v>
      </c>
    </row>
    <row r="2580" spans="1:3" x14ac:dyDescent="0.2">
      <c r="A2580">
        <v>5404</v>
      </c>
      <c r="B2580" t="s">
        <v>28</v>
      </c>
    </row>
    <row r="2581" spans="1:3" x14ac:dyDescent="0.2">
      <c r="A2581">
        <v>5404</v>
      </c>
      <c r="B2581" s="9" t="s">
        <v>28</v>
      </c>
    </row>
    <row r="2582" spans="1:3" x14ac:dyDescent="0.2">
      <c r="A2582" s="3">
        <v>5405</v>
      </c>
      <c r="B2582" s="3" t="s">
        <v>327</v>
      </c>
      <c r="C2582">
        <v>2003570</v>
      </c>
    </row>
    <row r="2583" spans="1:3" x14ac:dyDescent="0.2">
      <c r="A2583" s="3">
        <v>5405</v>
      </c>
      <c r="B2583" s="3" t="s">
        <v>327</v>
      </c>
      <c r="C2583">
        <v>2003570</v>
      </c>
    </row>
    <row r="2584" spans="1:3" x14ac:dyDescent="0.2">
      <c r="A2584" s="3">
        <v>5405</v>
      </c>
      <c r="B2584" s="3" t="s">
        <v>327</v>
      </c>
      <c r="C2584">
        <v>2003570</v>
      </c>
    </row>
    <row r="2585" spans="1:3" x14ac:dyDescent="0.2">
      <c r="A2585">
        <v>5405</v>
      </c>
      <c r="B2585" t="s">
        <v>327</v>
      </c>
      <c r="C2585">
        <v>2003570</v>
      </c>
    </row>
    <row r="2586" spans="1:3" x14ac:dyDescent="0.2">
      <c r="A2586">
        <v>5405</v>
      </c>
      <c r="B2586" t="s">
        <v>327</v>
      </c>
      <c r="C2586">
        <v>2003570</v>
      </c>
    </row>
    <row r="2587" spans="1:3" x14ac:dyDescent="0.2">
      <c r="A2587">
        <v>5405</v>
      </c>
      <c r="B2587" t="s">
        <v>327</v>
      </c>
      <c r="C2587">
        <v>2003570</v>
      </c>
    </row>
    <row r="2588" spans="1:3" x14ac:dyDescent="0.2">
      <c r="A2588">
        <v>5405</v>
      </c>
      <c r="B2588" t="s">
        <v>327</v>
      </c>
      <c r="C2588">
        <v>2003570</v>
      </c>
    </row>
    <row r="2589" spans="1:3" x14ac:dyDescent="0.2">
      <c r="A2589">
        <v>5405</v>
      </c>
      <c r="B2589" t="s">
        <v>327</v>
      </c>
      <c r="C2589">
        <v>2003570</v>
      </c>
    </row>
    <row r="2590" spans="1:3" x14ac:dyDescent="0.2">
      <c r="A2590">
        <v>5405</v>
      </c>
      <c r="B2590" s="9" t="s">
        <v>327</v>
      </c>
      <c r="C2590">
        <v>2003570</v>
      </c>
    </row>
    <row r="2591" spans="1:3" x14ac:dyDescent="0.2">
      <c r="A2591" s="3">
        <v>5406</v>
      </c>
      <c r="B2591" s="3" t="s">
        <v>29</v>
      </c>
    </row>
    <row r="2592" spans="1:3" x14ac:dyDescent="0.2">
      <c r="A2592" s="3">
        <v>5406</v>
      </c>
      <c r="B2592" s="3" t="s">
        <v>29</v>
      </c>
    </row>
    <row r="2593" spans="1:3" x14ac:dyDescent="0.2">
      <c r="A2593">
        <v>5406</v>
      </c>
      <c r="B2593" t="s">
        <v>29</v>
      </c>
    </row>
    <row r="2594" spans="1:3" x14ac:dyDescent="0.2">
      <c r="A2594">
        <v>5406</v>
      </c>
      <c r="B2594" t="s">
        <v>29</v>
      </c>
    </row>
    <row r="2595" spans="1:3" x14ac:dyDescent="0.2">
      <c r="A2595">
        <v>5406</v>
      </c>
      <c r="B2595" t="s">
        <v>29</v>
      </c>
    </row>
    <row r="2596" spans="1:3" x14ac:dyDescent="0.2">
      <c r="A2596">
        <v>5406</v>
      </c>
      <c r="B2596" t="s">
        <v>29</v>
      </c>
    </row>
    <row r="2597" spans="1:3" x14ac:dyDescent="0.2">
      <c r="A2597">
        <v>5406</v>
      </c>
      <c r="B2597" t="s">
        <v>29</v>
      </c>
    </row>
    <row r="2598" spans="1:3" x14ac:dyDescent="0.2">
      <c r="A2598">
        <v>5406</v>
      </c>
      <c r="B2598" s="9" t="s">
        <v>29</v>
      </c>
    </row>
    <row r="2599" spans="1:3" x14ac:dyDescent="0.2">
      <c r="A2599" s="3">
        <v>5409</v>
      </c>
      <c r="B2599" s="3" t="s">
        <v>328</v>
      </c>
      <c r="C2599">
        <v>2006690</v>
      </c>
    </row>
    <row r="2600" spans="1:3" x14ac:dyDescent="0.2">
      <c r="A2600" s="3">
        <v>5409</v>
      </c>
      <c r="B2600" s="3" t="s">
        <v>328</v>
      </c>
      <c r="C2600">
        <v>2006690</v>
      </c>
    </row>
    <row r="2601" spans="1:3" x14ac:dyDescent="0.2">
      <c r="A2601" s="3">
        <v>5409</v>
      </c>
      <c r="B2601" s="3" t="s">
        <v>328</v>
      </c>
      <c r="C2601">
        <v>2006690</v>
      </c>
    </row>
    <row r="2602" spans="1:3" x14ac:dyDescent="0.2">
      <c r="A2602">
        <v>5409</v>
      </c>
      <c r="B2602" t="s">
        <v>328</v>
      </c>
      <c r="C2602">
        <v>2006690</v>
      </c>
    </row>
    <row r="2603" spans="1:3" x14ac:dyDescent="0.2">
      <c r="A2603">
        <v>5409</v>
      </c>
      <c r="B2603" t="s">
        <v>328</v>
      </c>
      <c r="C2603">
        <v>2006690</v>
      </c>
    </row>
    <row r="2604" spans="1:3" x14ac:dyDescent="0.2">
      <c r="A2604">
        <v>5409</v>
      </c>
      <c r="B2604" t="s">
        <v>328</v>
      </c>
      <c r="C2604">
        <v>2006690</v>
      </c>
    </row>
    <row r="2605" spans="1:3" x14ac:dyDescent="0.2">
      <c r="A2605">
        <v>5409</v>
      </c>
      <c r="B2605" t="s">
        <v>328</v>
      </c>
      <c r="C2605">
        <v>2006690</v>
      </c>
    </row>
    <row r="2606" spans="1:3" x14ac:dyDescent="0.2">
      <c r="A2606">
        <v>5409</v>
      </c>
      <c r="B2606" t="s">
        <v>328</v>
      </c>
      <c r="C2606">
        <v>2006690</v>
      </c>
    </row>
    <row r="2607" spans="1:3" x14ac:dyDescent="0.2">
      <c r="A2607">
        <v>5409</v>
      </c>
      <c r="B2607" s="9" t="s">
        <v>328</v>
      </c>
      <c r="C2607">
        <v>2006690</v>
      </c>
    </row>
    <row r="2608" spans="1:3" x14ac:dyDescent="0.2">
      <c r="A2608" s="3">
        <v>5410</v>
      </c>
      <c r="B2608" s="3" t="s">
        <v>329</v>
      </c>
      <c r="C2608">
        <v>2011790</v>
      </c>
    </row>
    <row r="2609" spans="1:3" x14ac:dyDescent="0.2">
      <c r="A2609" s="3">
        <v>5410</v>
      </c>
      <c r="B2609" s="3" t="s">
        <v>329</v>
      </c>
      <c r="C2609">
        <v>2011790</v>
      </c>
    </row>
    <row r="2610" spans="1:3" x14ac:dyDescent="0.2">
      <c r="A2610" s="3">
        <v>5410</v>
      </c>
      <c r="B2610" s="3" t="s">
        <v>329</v>
      </c>
      <c r="C2610">
        <v>2011790</v>
      </c>
    </row>
    <row r="2611" spans="1:3" x14ac:dyDescent="0.2">
      <c r="A2611">
        <v>5410</v>
      </c>
      <c r="B2611" t="s">
        <v>329</v>
      </c>
      <c r="C2611">
        <v>2011790</v>
      </c>
    </row>
    <row r="2612" spans="1:3" x14ac:dyDescent="0.2">
      <c r="A2612">
        <v>5410</v>
      </c>
      <c r="B2612" t="s">
        <v>329</v>
      </c>
      <c r="C2612">
        <v>2011790</v>
      </c>
    </row>
    <row r="2613" spans="1:3" x14ac:dyDescent="0.2">
      <c r="A2613">
        <v>5410</v>
      </c>
      <c r="B2613" t="s">
        <v>329</v>
      </c>
      <c r="C2613">
        <v>2011790</v>
      </c>
    </row>
    <row r="2614" spans="1:3" x14ac:dyDescent="0.2">
      <c r="A2614">
        <v>5410</v>
      </c>
      <c r="B2614" t="s">
        <v>329</v>
      </c>
      <c r="C2614">
        <v>2011790</v>
      </c>
    </row>
    <row r="2615" spans="1:3" x14ac:dyDescent="0.2">
      <c r="A2615">
        <v>5410</v>
      </c>
      <c r="B2615" t="s">
        <v>329</v>
      </c>
      <c r="C2615">
        <v>2011790</v>
      </c>
    </row>
    <row r="2616" spans="1:3" x14ac:dyDescent="0.2">
      <c r="A2616">
        <v>5410</v>
      </c>
      <c r="B2616" s="9" t="s">
        <v>329</v>
      </c>
      <c r="C2616">
        <v>2011790</v>
      </c>
    </row>
    <row r="2617" spans="1:3" x14ac:dyDescent="0.2">
      <c r="A2617" s="3">
        <v>5430</v>
      </c>
      <c r="B2617" s="3" t="s">
        <v>330</v>
      </c>
      <c r="C2617">
        <v>2011640</v>
      </c>
    </row>
    <row r="2618" spans="1:3" x14ac:dyDescent="0.2">
      <c r="A2618" s="3">
        <v>5430</v>
      </c>
      <c r="B2618" s="3" t="s">
        <v>330</v>
      </c>
      <c r="C2618">
        <v>2011640</v>
      </c>
    </row>
    <row r="2619" spans="1:3" x14ac:dyDescent="0.2">
      <c r="A2619" s="3">
        <v>5430</v>
      </c>
      <c r="B2619" s="3" t="s">
        <v>330</v>
      </c>
      <c r="C2619">
        <v>2011640</v>
      </c>
    </row>
    <row r="2620" spans="1:3" x14ac:dyDescent="0.2">
      <c r="A2620">
        <v>5430</v>
      </c>
      <c r="B2620" t="s">
        <v>330</v>
      </c>
      <c r="C2620">
        <v>2011640</v>
      </c>
    </row>
    <row r="2621" spans="1:3" x14ac:dyDescent="0.2">
      <c r="A2621">
        <v>5430</v>
      </c>
      <c r="B2621" t="s">
        <v>330</v>
      </c>
      <c r="C2621">
        <v>2011640</v>
      </c>
    </row>
    <row r="2622" spans="1:3" x14ac:dyDescent="0.2">
      <c r="A2622">
        <v>5430</v>
      </c>
      <c r="B2622" t="s">
        <v>330</v>
      </c>
      <c r="C2622">
        <v>2011640</v>
      </c>
    </row>
    <row r="2623" spans="1:3" x14ac:dyDescent="0.2">
      <c r="A2623">
        <v>5430</v>
      </c>
      <c r="B2623" t="s">
        <v>330</v>
      </c>
      <c r="C2623">
        <v>2011640</v>
      </c>
    </row>
    <row r="2624" spans="1:3" x14ac:dyDescent="0.2">
      <c r="A2624">
        <v>5430</v>
      </c>
      <c r="B2624" t="s">
        <v>330</v>
      </c>
      <c r="C2624">
        <v>2011640</v>
      </c>
    </row>
    <row r="2625" spans="1:3" x14ac:dyDescent="0.2">
      <c r="A2625">
        <v>5430</v>
      </c>
      <c r="B2625" s="9" t="s">
        <v>330</v>
      </c>
      <c r="C2625">
        <v>2011640</v>
      </c>
    </row>
    <row r="2626" spans="1:3" x14ac:dyDescent="0.2">
      <c r="A2626" s="3">
        <v>5436</v>
      </c>
      <c r="B2626" s="3" t="s">
        <v>331</v>
      </c>
      <c r="C2626">
        <v>2004800</v>
      </c>
    </row>
    <row r="2627" spans="1:3" x14ac:dyDescent="0.2">
      <c r="A2627" s="3">
        <v>5436</v>
      </c>
      <c r="B2627" s="3" t="s">
        <v>331</v>
      </c>
      <c r="C2627">
        <v>2004800</v>
      </c>
    </row>
    <row r="2628" spans="1:3" x14ac:dyDescent="0.2">
      <c r="A2628" s="3">
        <v>5436</v>
      </c>
      <c r="B2628" s="3" t="s">
        <v>331</v>
      </c>
      <c r="C2628">
        <v>2004800</v>
      </c>
    </row>
    <row r="2629" spans="1:3" x14ac:dyDescent="0.2">
      <c r="A2629">
        <v>5436</v>
      </c>
      <c r="B2629" t="s">
        <v>331</v>
      </c>
      <c r="C2629">
        <v>2004800</v>
      </c>
    </row>
    <row r="2630" spans="1:3" x14ac:dyDescent="0.2">
      <c r="A2630">
        <v>5436</v>
      </c>
      <c r="B2630" t="s">
        <v>331</v>
      </c>
      <c r="C2630">
        <v>2004800</v>
      </c>
    </row>
    <row r="2631" spans="1:3" x14ac:dyDescent="0.2">
      <c r="A2631">
        <v>5436</v>
      </c>
      <c r="B2631" t="s">
        <v>331</v>
      </c>
      <c r="C2631">
        <v>2004800</v>
      </c>
    </row>
    <row r="2632" spans="1:3" x14ac:dyDescent="0.2">
      <c r="A2632">
        <v>5436</v>
      </c>
      <c r="B2632" t="s">
        <v>331</v>
      </c>
      <c r="C2632">
        <v>2004800</v>
      </c>
    </row>
    <row r="2633" spans="1:3" x14ac:dyDescent="0.2">
      <c r="A2633">
        <v>5436</v>
      </c>
      <c r="B2633" t="s">
        <v>331</v>
      </c>
      <c r="C2633">
        <v>2004800</v>
      </c>
    </row>
    <row r="2634" spans="1:3" x14ac:dyDescent="0.2">
      <c r="A2634">
        <v>5436</v>
      </c>
      <c r="B2634" s="9" t="s">
        <v>331</v>
      </c>
      <c r="C2634">
        <v>2004800</v>
      </c>
    </row>
    <row r="2635" spans="1:3" x14ac:dyDescent="0.2">
      <c r="A2635" s="3">
        <v>5590</v>
      </c>
      <c r="B2635" s="3" t="s">
        <v>332</v>
      </c>
      <c r="C2635">
        <v>2004790</v>
      </c>
    </row>
    <row r="2636" spans="1:3" x14ac:dyDescent="0.2">
      <c r="A2636" s="3">
        <v>5590</v>
      </c>
      <c r="B2636" s="3" t="s">
        <v>332</v>
      </c>
      <c r="C2636">
        <v>2004790</v>
      </c>
    </row>
    <row r="2637" spans="1:3" x14ac:dyDescent="0.2">
      <c r="A2637" s="3">
        <v>5590</v>
      </c>
      <c r="B2637" s="3" t="s">
        <v>332</v>
      </c>
      <c r="C2637">
        <v>2004790</v>
      </c>
    </row>
    <row r="2638" spans="1:3" x14ac:dyDescent="0.2">
      <c r="A2638">
        <v>5590</v>
      </c>
      <c r="B2638" t="s">
        <v>332</v>
      </c>
      <c r="C2638">
        <v>2004790</v>
      </c>
    </row>
    <row r="2639" spans="1:3" x14ac:dyDescent="0.2">
      <c r="A2639">
        <v>5590</v>
      </c>
      <c r="B2639" t="s">
        <v>332</v>
      </c>
      <c r="C2639">
        <v>2004790</v>
      </c>
    </row>
    <row r="2640" spans="1:3" x14ac:dyDescent="0.2">
      <c r="A2640">
        <v>5590</v>
      </c>
      <c r="B2640" t="s">
        <v>332</v>
      </c>
      <c r="C2640">
        <v>2004790</v>
      </c>
    </row>
    <row r="2641" spans="1:3" x14ac:dyDescent="0.2">
      <c r="A2641">
        <v>5590</v>
      </c>
      <c r="B2641" t="s">
        <v>332</v>
      </c>
      <c r="C2641">
        <v>2004790</v>
      </c>
    </row>
    <row r="2642" spans="1:3" x14ac:dyDescent="0.2">
      <c r="A2642">
        <v>5590</v>
      </c>
      <c r="B2642" t="s">
        <v>332</v>
      </c>
      <c r="C2642">
        <v>2004790</v>
      </c>
    </row>
    <row r="2643" spans="1:3" x14ac:dyDescent="0.2">
      <c r="A2643">
        <v>5590</v>
      </c>
      <c r="B2643" s="9" t="s">
        <v>332</v>
      </c>
      <c r="C2643">
        <v>2004790</v>
      </c>
    </row>
    <row r="2644" spans="1:3" x14ac:dyDescent="0.2">
      <c r="A2644" s="3">
        <v>5596</v>
      </c>
      <c r="B2644" s="3" t="s">
        <v>30</v>
      </c>
      <c r="C2644">
        <v>2000046</v>
      </c>
    </row>
    <row r="2645" spans="1:3" x14ac:dyDescent="0.2">
      <c r="A2645" s="3">
        <v>5596</v>
      </c>
      <c r="B2645" s="3" t="s">
        <v>30</v>
      </c>
      <c r="C2645">
        <v>2000046</v>
      </c>
    </row>
    <row r="2646" spans="1:3" x14ac:dyDescent="0.2">
      <c r="A2646">
        <v>5596</v>
      </c>
      <c r="B2646" t="s">
        <v>30</v>
      </c>
      <c r="C2646">
        <v>2000046</v>
      </c>
    </row>
    <row r="2647" spans="1:3" x14ac:dyDescent="0.2">
      <c r="A2647">
        <v>5596</v>
      </c>
      <c r="B2647" t="s">
        <v>30</v>
      </c>
      <c r="C2647">
        <v>2000046</v>
      </c>
    </row>
    <row r="2648" spans="1:3" x14ac:dyDescent="0.2">
      <c r="A2648">
        <v>5596</v>
      </c>
      <c r="B2648" t="s">
        <v>30</v>
      </c>
      <c r="C2648">
        <v>2000046</v>
      </c>
    </row>
    <row r="2649" spans="1:3" x14ac:dyDescent="0.2">
      <c r="A2649">
        <v>5596</v>
      </c>
      <c r="B2649" t="s">
        <v>30</v>
      </c>
      <c r="C2649">
        <v>2000046</v>
      </c>
    </row>
    <row r="2650" spans="1:3" x14ac:dyDescent="0.2">
      <c r="A2650">
        <v>5596</v>
      </c>
      <c r="B2650" t="s">
        <v>30</v>
      </c>
      <c r="C2650">
        <v>2000046</v>
      </c>
    </row>
    <row r="2651" spans="1:3" x14ac:dyDescent="0.2">
      <c r="A2651">
        <v>5596</v>
      </c>
      <c r="B2651" s="9" t="s">
        <v>30</v>
      </c>
      <c r="C2651">
        <v>2000046</v>
      </c>
    </row>
    <row r="2652" spans="1:3" x14ac:dyDescent="0.2">
      <c r="A2652" s="3">
        <v>5600</v>
      </c>
      <c r="B2652" s="3" t="s">
        <v>31</v>
      </c>
    </row>
    <row r="2653" spans="1:3" x14ac:dyDescent="0.2">
      <c r="A2653" s="3">
        <v>5600</v>
      </c>
      <c r="B2653" s="3" t="s">
        <v>31</v>
      </c>
    </row>
    <row r="2654" spans="1:3" x14ac:dyDescent="0.2">
      <c r="A2654">
        <v>5600</v>
      </c>
      <c r="B2654" t="s">
        <v>31</v>
      </c>
    </row>
    <row r="2655" spans="1:3" x14ac:dyDescent="0.2">
      <c r="A2655">
        <v>5600</v>
      </c>
      <c r="B2655" t="s">
        <v>31</v>
      </c>
    </row>
    <row r="2656" spans="1:3" x14ac:dyDescent="0.2">
      <c r="A2656">
        <v>5600</v>
      </c>
      <c r="B2656" t="s">
        <v>31</v>
      </c>
    </row>
    <row r="2657" spans="1:3" x14ac:dyDescent="0.2">
      <c r="A2657">
        <v>5600</v>
      </c>
      <c r="B2657" t="s">
        <v>31</v>
      </c>
    </row>
    <row r="2658" spans="1:3" x14ac:dyDescent="0.2">
      <c r="A2658">
        <v>5600</v>
      </c>
      <c r="B2658" t="s">
        <v>31</v>
      </c>
    </row>
    <row r="2659" spans="1:3" x14ac:dyDescent="0.2">
      <c r="A2659">
        <v>5600</v>
      </c>
      <c r="B2659" s="9" t="s">
        <v>31</v>
      </c>
    </row>
    <row r="2660" spans="1:3" x14ac:dyDescent="0.2">
      <c r="A2660" s="3">
        <v>5604</v>
      </c>
      <c r="B2660" s="3" t="s">
        <v>32</v>
      </c>
      <c r="C2660">
        <v>2000048</v>
      </c>
    </row>
    <row r="2661" spans="1:3" x14ac:dyDescent="0.2">
      <c r="A2661" s="3">
        <v>5604</v>
      </c>
      <c r="B2661" s="3" t="s">
        <v>32</v>
      </c>
      <c r="C2661">
        <v>2000048</v>
      </c>
    </row>
    <row r="2662" spans="1:3" x14ac:dyDescent="0.2">
      <c r="A2662">
        <v>5604</v>
      </c>
      <c r="B2662" t="s">
        <v>32</v>
      </c>
      <c r="C2662">
        <v>2000048</v>
      </c>
    </row>
    <row r="2663" spans="1:3" x14ac:dyDescent="0.2">
      <c r="A2663">
        <v>5604</v>
      </c>
      <c r="B2663" t="s">
        <v>32</v>
      </c>
      <c r="C2663">
        <v>2000048</v>
      </c>
    </row>
    <row r="2664" spans="1:3" x14ac:dyDescent="0.2">
      <c r="A2664">
        <v>5604</v>
      </c>
      <c r="B2664" t="s">
        <v>32</v>
      </c>
      <c r="C2664">
        <v>2000048</v>
      </c>
    </row>
    <row r="2665" spans="1:3" x14ac:dyDescent="0.2">
      <c r="A2665">
        <v>5604</v>
      </c>
      <c r="B2665" t="s">
        <v>32</v>
      </c>
      <c r="C2665">
        <v>2000048</v>
      </c>
    </row>
    <row r="2666" spans="1:3" x14ac:dyDescent="0.2">
      <c r="A2666">
        <v>5604</v>
      </c>
      <c r="B2666" t="s">
        <v>32</v>
      </c>
      <c r="C2666">
        <v>2000048</v>
      </c>
    </row>
    <row r="2667" spans="1:3" x14ac:dyDescent="0.2">
      <c r="A2667">
        <v>5604</v>
      </c>
      <c r="B2667" s="9" t="s">
        <v>32</v>
      </c>
      <c r="C2667">
        <v>2000048</v>
      </c>
    </row>
    <row r="2668" spans="1:3" x14ac:dyDescent="0.2">
      <c r="A2668" s="3">
        <v>5608</v>
      </c>
      <c r="B2668" s="3" t="s">
        <v>33</v>
      </c>
      <c r="C2668">
        <v>2000035</v>
      </c>
    </row>
    <row r="2669" spans="1:3" x14ac:dyDescent="0.2">
      <c r="A2669" s="3">
        <v>5608</v>
      </c>
      <c r="B2669" s="3" t="s">
        <v>33</v>
      </c>
      <c r="C2669">
        <v>2000035</v>
      </c>
    </row>
    <row r="2670" spans="1:3" x14ac:dyDescent="0.2">
      <c r="A2670">
        <v>5608</v>
      </c>
      <c r="B2670" t="s">
        <v>33</v>
      </c>
      <c r="C2670">
        <v>2000035</v>
      </c>
    </row>
    <row r="2671" spans="1:3" x14ac:dyDescent="0.2">
      <c r="A2671">
        <v>5608</v>
      </c>
      <c r="B2671" t="s">
        <v>33</v>
      </c>
      <c r="C2671">
        <v>2000035</v>
      </c>
    </row>
    <row r="2672" spans="1:3" x14ac:dyDescent="0.2">
      <c r="A2672">
        <v>5608</v>
      </c>
      <c r="B2672" t="s">
        <v>33</v>
      </c>
      <c r="C2672">
        <v>2000035</v>
      </c>
    </row>
    <row r="2673" spans="1:3" x14ac:dyDescent="0.2">
      <c r="A2673">
        <v>5608</v>
      </c>
      <c r="B2673" t="s">
        <v>33</v>
      </c>
      <c r="C2673">
        <v>2000035</v>
      </c>
    </row>
    <row r="2674" spans="1:3" x14ac:dyDescent="0.2">
      <c r="A2674">
        <v>5608</v>
      </c>
      <c r="B2674" t="s">
        <v>33</v>
      </c>
      <c r="C2674">
        <v>2000035</v>
      </c>
    </row>
    <row r="2675" spans="1:3" x14ac:dyDescent="0.2">
      <c r="A2675">
        <v>5608</v>
      </c>
      <c r="B2675" s="9" t="s">
        <v>33</v>
      </c>
      <c r="C2675">
        <v>2000035</v>
      </c>
    </row>
    <row r="2676" spans="1:3" x14ac:dyDescent="0.2">
      <c r="A2676" s="3">
        <v>5609</v>
      </c>
      <c r="B2676" s="3" t="s">
        <v>365</v>
      </c>
      <c r="C2676">
        <v>2000039</v>
      </c>
    </row>
    <row r="2677" spans="1:3" x14ac:dyDescent="0.2">
      <c r="A2677" s="3">
        <v>5609</v>
      </c>
      <c r="B2677" s="3" t="s">
        <v>365</v>
      </c>
      <c r="C2677">
        <v>2000039</v>
      </c>
    </row>
    <row r="2678" spans="1:3" x14ac:dyDescent="0.2">
      <c r="A2678">
        <v>5609</v>
      </c>
      <c r="B2678" t="s">
        <v>365</v>
      </c>
      <c r="C2678">
        <v>2000039</v>
      </c>
    </row>
    <row r="2679" spans="1:3" x14ac:dyDescent="0.2">
      <c r="A2679">
        <v>5609</v>
      </c>
      <c r="B2679" t="s">
        <v>34</v>
      </c>
    </row>
    <row r="2680" spans="1:3" x14ac:dyDescent="0.2">
      <c r="A2680">
        <v>5609</v>
      </c>
      <c r="B2680" t="s">
        <v>34</v>
      </c>
    </row>
    <row r="2681" spans="1:3" x14ac:dyDescent="0.2">
      <c r="A2681">
        <v>5609</v>
      </c>
      <c r="B2681" t="s">
        <v>34</v>
      </c>
    </row>
    <row r="2682" spans="1:3" x14ac:dyDescent="0.2">
      <c r="A2682">
        <v>5609</v>
      </c>
      <c r="B2682" t="s">
        <v>34</v>
      </c>
    </row>
    <row r="2683" spans="1:3" x14ac:dyDescent="0.2">
      <c r="A2683">
        <v>5609</v>
      </c>
      <c r="B2683" s="9" t="s">
        <v>34</v>
      </c>
    </row>
    <row r="2684" spans="1:3" x14ac:dyDescent="0.2">
      <c r="A2684" s="3">
        <v>5612</v>
      </c>
      <c r="B2684" s="3" t="s">
        <v>35</v>
      </c>
      <c r="C2684">
        <v>2000041</v>
      </c>
    </row>
    <row r="2685" spans="1:3" x14ac:dyDescent="0.2">
      <c r="A2685" s="3">
        <v>5612</v>
      </c>
      <c r="B2685" s="3" t="s">
        <v>35</v>
      </c>
      <c r="C2685">
        <v>2000041</v>
      </c>
    </row>
    <row r="2686" spans="1:3" x14ac:dyDescent="0.2">
      <c r="A2686">
        <v>5612</v>
      </c>
      <c r="B2686" t="s">
        <v>35</v>
      </c>
      <c r="C2686">
        <v>2000041</v>
      </c>
    </row>
    <row r="2687" spans="1:3" x14ac:dyDescent="0.2">
      <c r="A2687">
        <v>5612</v>
      </c>
      <c r="B2687" t="s">
        <v>35</v>
      </c>
      <c r="C2687">
        <v>2000041</v>
      </c>
    </row>
    <row r="2688" spans="1:3" x14ac:dyDescent="0.2">
      <c r="A2688">
        <v>5612</v>
      </c>
      <c r="B2688" t="s">
        <v>35</v>
      </c>
      <c r="C2688">
        <v>2000041</v>
      </c>
    </row>
    <row r="2689" spans="1:3" x14ac:dyDescent="0.2">
      <c r="A2689">
        <v>5612</v>
      </c>
      <c r="B2689" t="s">
        <v>35</v>
      </c>
      <c r="C2689">
        <v>2000041</v>
      </c>
    </row>
    <row r="2690" spans="1:3" x14ac:dyDescent="0.2">
      <c r="A2690">
        <v>5612</v>
      </c>
      <c r="B2690" t="s">
        <v>35</v>
      </c>
      <c r="C2690">
        <v>2000041</v>
      </c>
    </row>
    <row r="2691" spans="1:3" x14ac:dyDescent="0.2">
      <c r="A2691">
        <v>5612</v>
      </c>
      <c r="B2691" s="9" t="s">
        <v>35</v>
      </c>
      <c r="C2691">
        <v>2000041</v>
      </c>
    </row>
    <row r="2692" spans="1:3" x14ac:dyDescent="0.2">
      <c r="A2692" s="3">
        <v>5624</v>
      </c>
      <c r="B2692" s="3" t="s">
        <v>36</v>
      </c>
    </row>
    <row r="2693" spans="1:3" x14ac:dyDescent="0.2">
      <c r="A2693" s="3">
        <v>5624</v>
      </c>
      <c r="B2693" s="3" t="s">
        <v>36</v>
      </c>
    </row>
    <row r="2694" spans="1:3" x14ac:dyDescent="0.2">
      <c r="A2694">
        <v>5624</v>
      </c>
      <c r="B2694" t="s">
        <v>36</v>
      </c>
    </row>
    <row r="2695" spans="1:3" x14ac:dyDescent="0.2">
      <c r="A2695">
        <v>5624</v>
      </c>
      <c r="B2695" t="s">
        <v>36</v>
      </c>
    </row>
    <row r="2696" spans="1:3" x14ac:dyDescent="0.2">
      <c r="A2696">
        <v>5624</v>
      </c>
      <c r="B2696" t="s">
        <v>36</v>
      </c>
    </row>
    <row r="2697" spans="1:3" x14ac:dyDescent="0.2">
      <c r="A2697">
        <v>5624</v>
      </c>
      <c r="B2697" t="s">
        <v>36</v>
      </c>
    </row>
    <row r="2698" spans="1:3" x14ac:dyDescent="0.2">
      <c r="A2698">
        <v>5624</v>
      </c>
      <c r="B2698" t="s">
        <v>36</v>
      </c>
    </row>
    <row r="2699" spans="1:3" x14ac:dyDescent="0.2">
      <c r="A2699">
        <v>5624</v>
      </c>
      <c r="B2699" s="9" t="s">
        <v>36</v>
      </c>
    </row>
    <row r="2700" spans="1:3" x14ac:dyDescent="0.2">
      <c r="A2700" s="3">
        <v>5626</v>
      </c>
      <c r="B2700" s="3" t="s">
        <v>37</v>
      </c>
      <c r="C2700">
        <v>2000044</v>
      </c>
    </row>
    <row r="2701" spans="1:3" x14ac:dyDescent="0.2">
      <c r="A2701" s="3">
        <v>5626</v>
      </c>
      <c r="B2701" s="3" t="s">
        <v>37</v>
      </c>
      <c r="C2701">
        <v>2000044</v>
      </c>
    </row>
    <row r="2702" spans="1:3" x14ac:dyDescent="0.2">
      <c r="A2702">
        <v>5626</v>
      </c>
      <c r="B2702" t="s">
        <v>37</v>
      </c>
      <c r="C2702">
        <v>2000044</v>
      </c>
    </row>
    <row r="2703" spans="1:3" x14ac:dyDescent="0.2">
      <c r="A2703">
        <v>5626</v>
      </c>
      <c r="B2703" t="s">
        <v>37</v>
      </c>
      <c r="C2703">
        <v>2000044</v>
      </c>
    </row>
    <row r="2704" spans="1:3" x14ac:dyDescent="0.2">
      <c r="A2704">
        <v>5626</v>
      </c>
      <c r="B2704" t="s">
        <v>37</v>
      </c>
      <c r="C2704">
        <v>2000044</v>
      </c>
    </row>
    <row r="2705" spans="1:3" x14ac:dyDescent="0.2">
      <c r="A2705">
        <v>5626</v>
      </c>
      <c r="B2705" t="s">
        <v>37</v>
      </c>
      <c r="C2705">
        <v>2000044</v>
      </c>
    </row>
    <row r="2706" spans="1:3" x14ac:dyDescent="0.2">
      <c r="A2706">
        <v>5626</v>
      </c>
      <c r="B2706" t="s">
        <v>37</v>
      </c>
      <c r="C2706">
        <v>2000044</v>
      </c>
    </row>
    <row r="2707" spans="1:3" x14ac:dyDescent="0.2">
      <c r="A2707">
        <v>5626</v>
      </c>
      <c r="B2707" s="9" t="s">
        <v>37</v>
      </c>
      <c r="C2707">
        <v>2000044</v>
      </c>
    </row>
    <row r="2708" spans="1:3" x14ac:dyDescent="0.2">
      <c r="A2708" s="3">
        <v>5634</v>
      </c>
      <c r="B2708" s="3" t="s">
        <v>38</v>
      </c>
      <c r="C2708">
        <v>2000047</v>
      </c>
    </row>
    <row r="2709" spans="1:3" x14ac:dyDescent="0.2">
      <c r="A2709" s="3">
        <v>5634</v>
      </c>
      <c r="B2709" s="3" t="s">
        <v>38</v>
      </c>
      <c r="C2709">
        <v>2000047</v>
      </c>
    </row>
    <row r="2710" spans="1:3" x14ac:dyDescent="0.2">
      <c r="A2710">
        <v>5634</v>
      </c>
      <c r="B2710" t="s">
        <v>38</v>
      </c>
      <c r="C2710">
        <v>2000047</v>
      </c>
    </row>
    <row r="2711" spans="1:3" x14ac:dyDescent="0.2">
      <c r="A2711">
        <v>5634</v>
      </c>
      <c r="B2711" t="s">
        <v>38</v>
      </c>
      <c r="C2711">
        <v>2000047</v>
      </c>
    </row>
    <row r="2712" spans="1:3" x14ac:dyDescent="0.2">
      <c r="A2712">
        <v>5634</v>
      </c>
      <c r="B2712" t="s">
        <v>38</v>
      </c>
      <c r="C2712">
        <v>2000047</v>
      </c>
    </row>
    <row r="2713" spans="1:3" x14ac:dyDescent="0.2">
      <c r="A2713">
        <v>5634</v>
      </c>
      <c r="B2713" t="s">
        <v>38</v>
      </c>
      <c r="C2713">
        <v>2000047</v>
      </c>
    </row>
    <row r="2714" spans="1:3" x14ac:dyDescent="0.2">
      <c r="A2714">
        <v>5634</v>
      </c>
      <c r="B2714" t="s">
        <v>38</v>
      </c>
      <c r="C2714">
        <v>2000047</v>
      </c>
    </row>
    <row r="2715" spans="1:3" x14ac:dyDescent="0.2">
      <c r="A2715">
        <v>5634</v>
      </c>
      <c r="B2715" s="9" t="s">
        <v>38</v>
      </c>
      <c r="C2715">
        <v>2000047</v>
      </c>
    </row>
    <row r="2716" spans="1:3" x14ac:dyDescent="0.2">
      <c r="A2716" s="3">
        <v>5638</v>
      </c>
      <c r="B2716" s="3" t="s">
        <v>39</v>
      </c>
      <c r="C2716">
        <v>2000051</v>
      </c>
    </row>
    <row r="2717" spans="1:3" x14ac:dyDescent="0.2">
      <c r="A2717" s="3">
        <v>5638</v>
      </c>
      <c r="B2717" s="3" t="s">
        <v>39</v>
      </c>
      <c r="C2717">
        <v>2000051</v>
      </c>
    </row>
    <row r="2718" spans="1:3" x14ac:dyDescent="0.2">
      <c r="A2718">
        <v>5638</v>
      </c>
      <c r="B2718" t="s">
        <v>39</v>
      </c>
      <c r="C2718">
        <v>2000051</v>
      </c>
    </row>
    <row r="2719" spans="1:3" x14ac:dyDescent="0.2">
      <c r="A2719">
        <v>5638</v>
      </c>
      <c r="B2719" t="s">
        <v>39</v>
      </c>
      <c r="C2719">
        <v>2000051</v>
      </c>
    </row>
    <row r="2720" spans="1:3" x14ac:dyDescent="0.2">
      <c r="A2720">
        <v>5638</v>
      </c>
      <c r="B2720" t="s">
        <v>39</v>
      </c>
      <c r="C2720">
        <v>2000051</v>
      </c>
    </row>
    <row r="2721" spans="1:3" x14ac:dyDescent="0.2">
      <c r="A2721">
        <v>5638</v>
      </c>
      <c r="B2721" t="s">
        <v>39</v>
      </c>
      <c r="C2721">
        <v>2000051</v>
      </c>
    </row>
    <row r="2722" spans="1:3" x14ac:dyDescent="0.2">
      <c r="A2722">
        <v>5638</v>
      </c>
      <c r="B2722" t="s">
        <v>39</v>
      </c>
      <c r="C2722">
        <v>2000051</v>
      </c>
    </row>
    <row r="2723" spans="1:3" x14ac:dyDescent="0.2">
      <c r="A2723">
        <v>5638</v>
      </c>
      <c r="B2723" s="9" t="s">
        <v>39</v>
      </c>
      <c r="C2723">
        <v>2000051</v>
      </c>
    </row>
    <row r="2724" spans="1:3" x14ac:dyDescent="0.2">
      <c r="A2724" s="3">
        <v>5655</v>
      </c>
      <c r="B2724" s="3" t="s">
        <v>40</v>
      </c>
      <c r="C2724">
        <v>2000033</v>
      </c>
    </row>
    <row r="2725" spans="1:3" x14ac:dyDescent="0.2">
      <c r="A2725" s="3">
        <v>5655</v>
      </c>
      <c r="B2725" s="3" t="s">
        <v>40</v>
      </c>
      <c r="C2725">
        <v>2000033</v>
      </c>
    </row>
    <row r="2726" spans="1:3" x14ac:dyDescent="0.2">
      <c r="A2726">
        <v>5655</v>
      </c>
      <c r="B2726" t="s">
        <v>40</v>
      </c>
      <c r="C2726">
        <v>2000033</v>
      </c>
    </row>
    <row r="2727" spans="1:3" x14ac:dyDescent="0.2">
      <c r="A2727">
        <v>5655</v>
      </c>
      <c r="B2727" t="s">
        <v>40</v>
      </c>
      <c r="C2727">
        <v>2000033</v>
      </c>
    </row>
    <row r="2728" spans="1:3" x14ac:dyDescent="0.2">
      <c r="A2728">
        <v>5655</v>
      </c>
      <c r="B2728" t="s">
        <v>40</v>
      </c>
      <c r="C2728">
        <v>2000033</v>
      </c>
    </row>
    <row r="2729" spans="1:3" x14ac:dyDescent="0.2">
      <c r="A2729">
        <v>5655</v>
      </c>
      <c r="B2729" t="s">
        <v>40</v>
      </c>
      <c r="C2729">
        <v>2000033</v>
      </c>
    </row>
    <row r="2730" spans="1:3" x14ac:dyDescent="0.2">
      <c r="A2730">
        <v>5655</v>
      </c>
      <c r="B2730" t="s">
        <v>40</v>
      </c>
      <c r="C2730">
        <v>2000033</v>
      </c>
    </row>
    <row r="2731" spans="1:3" x14ac:dyDescent="0.2">
      <c r="A2731">
        <v>5655</v>
      </c>
      <c r="B2731" s="9" t="s">
        <v>40</v>
      </c>
      <c r="C2731">
        <v>2000033</v>
      </c>
    </row>
    <row r="2732" spans="1:3" x14ac:dyDescent="0.2">
      <c r="A2732" s="3">
        <v>5657</v>
      </c>
      <c r="B2732" s="3" t="s">
        <v>41</v>
      </c>
      <c r="C2732">
        <v>2000037</v>
      </c>
    </row>
    <row r="2733" spans="1:3" x14ac:dyDescent="0.2">
      <c r="A2733" s="3">
        <v>5657</v>
      </c>
      <c r="B2733" s="3" t="s">
        <v>41</v>
      </c>
      <c r="C2733">
        <v>2000037</v>
      </c>
    </row>
    <row r="2734" spans="1:3" x14ac:dyDescent="0.2">
      <c r="A2734">
        <v>5657</v>
      </c>
      <c r="B2734" t="s">
        <v>41</v>
      </c>
      <c r="C2734">
        <v>2000037</v>
      </c>
    </row>
    <row r="2735" spans="1:3" x14ac:dyDescent="0.2">
      <c r="A2735">
        <v>5657</v>
      </c>
      <c r="B2735" t="s">
        <v>41</v>
      </c>
      <c r="C2735">
        <v>2000037</v>
      </c>
    </row>
    <row r="2736" spans="1:3" x14ac:dyDescent="0.2">
      <c r="A2736">
        <v>5657</v>
      </c>
      <c r="B2736" t="s">
        <v>41</v>
      </c>
      <c r="C2736">
        <v>2000037</v>
      </c>
    </row>
    <row r="2737" spans="1:3" x14ac:dyDescent="0.2">
      <c r="A2737">
        <v>5657</v>
      </c>
      <c r="B2737" t="s">
        <v>354</v>
      </c>
      <c r="C2737">
        <v>2000037</v>
      </c>
    </row>
    <row r="2738" spans="1:3" x14ac:dyDescent="0.2">
      <c r="A2738">
        <v>5657</v>
      </c>
      <c r="B2738" t="s">
        <v>41</v>
      </c>
      <c r="C2738">
        <v>2000037</v>
      </c>
    </row>
    <row r="2739" spans="1:3" x14ac:dyDescent="0.2">
      <c r="A2739">
        <v>5657</v>
      </c>
      <c r="B2739" s="9" t="s">
        <v>41</v>
      </c>
      <c r="C2739">
        <v>2000037</v>
      </c>
    </row>
    <row r="2740" spans="1:3" x14ac:dyDescent="0.2">
      <c r="A2740" s="3">
        <v>5671</v>
      </c>
      <c r="B2740" s="3" t="s">
        <v>42</v>
      </c>
      <c r="C2740">
        <v>2000040</v>
      </c>
    </row>
    <row r="2741" spans="1:3" x14ac:dyDescent="0.2">
      <c r="A2741" s="3">
        <v>5671</v>
      </c>
      <c r="B2741" s="3" t="s">
        <v>42</v>
      </c>
      <c r="C2741">
        <v>2000040</v>
      </c>
    </row>
    <row r="2742" spans="1:3" x14ac:dyDescent="0.2">
      <c r="A2742">
        <v>5671</v>
      </c>
      <c r="B2742" t="s">
        <v>42</v>
      </c>
      <c r="C2742">
        <v>2000040</v>
      </c>
    </row>
    <row r="2743" spans="1:3" x14ac:dyDescent="0.2">
      <c r="A2743">
        <v>5671</v>
      </c>
      <c r="B2743" t="s">
        <v>42</v>
      </c>
      <c r="C2743">
        <v>2000040</v>
      </c>
    </row>
    <row r="2744" spans="1:3" x14ac:dyDescent="0.2">
      <c r="A2744">
        <v>5671</v>
      </c>
      <c r="B2744" t="s">
        <v>42</v>
      </c>
      <c r="C2744">
        <v>2000040</v>
      </c>
    </row>
    <row r="2745" spans="1:3" x14ac:dyDescent="0.2">
      <c r="A2745">
        <v>5671</v>
      </c>
      <c r="B2745" t="s">
        <v>42</v>
      </c>
      <c r="C2745">
        <v>2000040</v>
      </c>
    </row>
    <row r="2746" spans="1:3" x14ac:dyDescent="0.2">
      <c r="A2746">
        <v>5671</v>
      </c>
      <c r="B2746" t="s">
        <v>42</v>
      </c>
      <c r="C2746">
        <v>2000040</v>
      </c>
    </row>
    <row r="2747" spans="1:3" x14ac:dyDescent="0.2">
      <c r="A2747">
        <v>5671</v>
      </c>
      <c r="B2747" s="9" t="s">
        <v>42</v>
      </c>
      <c r="C2747">
        <v>2000040</v>
      </c>
    </row>
    <row r="2748" spans="1:3" x14ac:dyDescent="0.2">
      <c r="A2748" s="3">
        <v>5682</v>
      </c>
      <c r="B2748" s="3" t="s">
        <v>43</v>
      </c>
      <c r="C2748">
        <v>2093310</v>
      </c>
    </row>
    <row r="2749" spans="1:3" x14ac:dyDescent="0.2">
      <c r="A2749" s="3">
        <v>5682</v>
      </c>
      <c r="B2749" s="3" t="s">
        <v>43</v>
      </c>
      <c r="C2749">
        <v>2093310</v>
      </c>
    </row>
    <row r="2750" spans="1:3" x14ac:dyDescent="0.2">
      <c r="A2750">
        <v>5682</v>
      </c>
      <c r="B2750" t="s">
        <v>43</v>
      </c>
      <c r="C2750">
        <v>2093310</v>
      </c>
    </row>
    <row r="2751" spans="1:3" x14ac:dyDescent="0.2">
      <c r="A2751">
        <v>5682</v>
      </c>
      <c r="B2751" t="s">
        <v>43</v>
      </c>
      <c r="C2751">
        <v>2093310</v>
      </c>
    </row>
    <row r="2752" spans="1:3" x14ac:dyDescent="0.2">
      <c r="A2752">
        <v>5682</v>
      </c>
      <c r="B2752" t="s">
        <v>43</v>
      </c>
      <c r="C2752">
        <v>2093310</v>
      </c>
    </row>
    <row r="2753" spans="1:3" x14ac:dyDescent="0.2">
      <c r="A2753">
        <v>5682</v>
      </c>
      <c r="B2753" t="s">
        <v>43</v>
      </c>
      <c r="C2753">
        <v>2093310</v>
      </c>
    </row>
    <row r="2754" spans="1:3" x14ac:dyDescent="0.2">
      <c r="A2754">
        <v>5682</v>
      </c>
      <c r="B2754" t="s">
        <v>43</v>
      </c>
      <c r="C2754">
        <v>2093310</v>
      </c>
    </row>
    <row r="2755" spans="1:3" x14ac:dyDescent="0.2">
      <c r="A2755">
        <v>5682</v>
      </c>
      <c r="B2755" s="9" t="s">
        <v>43</v>
      </c>
      <c r="C2755">
        <v>2093310</v>
      </c>
    </row>
    <row r="2756" spans="1:3" x14ac:dyDescent="0.2">
      <c r="A2756" s="3">
        <v>5688</v>
      </c>
      <c r="B2756" s="3" t="s">
        <v>44</v>
      </c>
      <c r="C2756">
        <v>2000043</v>
      </c>
    </row>
    <row r="2757" spans="1:3" x14ac:dyDescent="0.2">
      <c r="A2757" s="3">
        <v>5688</v>
      </c>
      <c r="B2757" s="3" t="s">
        <v>44</v>
      </c>
      <c r="C2757">
        <v>2000043</v>
      </c>
    </row>
    <row r="2758" spans="1:3" x14ac:dyDescent="0.2">
      <c r="A2758">
        <v>5688</v>
      </c>
      <c r="B2758" t="s">
        <v>44</v>
      </c>
      <c r="C2758">
        <v>2000043</v>
      </c>
    </row>
    <row r="2759" spans="1:3" x14ac:dyDescent="0.2">
      <c r="A2759">
        <v>5688</v>
      </c>
      <c r="B2759" t="s">
        <v>44</v>
      </c>
      <c r="C2759">
        <v>2000043</v>
      </c>
    </row>
    <row r="2760" spans="1:3" x14ac:dyDescent="0.2">
      <c r="A2760">
        <v>5688</v>
      </c>
      <c r="B2760" t="s">
        <v>44</v>
      </c>
      <c r="C2760">
        <v>2000043</v>
      </c>
    </row>
    <row r="2761" spans="1:3" x14ac:dyDescent="0.2">
      <c r="A2761">
        <v>5688</v>
      </c>
      <c r="B2761" t="s">
        <v>44</v>
      </c>
      <c r="C2761">
        <v>2000043</v>
      </c>
    </row>
    <row r="2762" spans="1:3" x14ac:dyDescent="0.2">
      <c r="A2762">
        <v>5688</v>
      </c>
      <c r="B2762" t="s">
        <v>44</v>
      </c>
      <c r="C2762">
        <v>2000043</v>
      </c>
    </row>
    <row r="2763" spans="1:3" x14ac:dyDescent="0.2">
      <c r="A2763">
        <v>5688</v>
      </c>
      <c r="B2763" s="9" t="s">
        <v>44</v>
      </c>
      <c r="C2763">
        <v>2000043</v>
      </c>
    </row>
    <row r="2764" spans="1:3" x14ac:dyDescent="0.2">
      <c r="A2764" s="3">
        <v>5696</v>
      </c>
      <c r="B2764" s="3" t="s">
        <v>333</v>
      </c>
    </row>
    <row r="2765" spans="1:3" x14ac:dyDescent="0.2">
      <c r="A2765" s="3">
        <v>5696</v>
      </c>
      <c r="B2765" s="3" t="s">
        <v>333</v>
      </c>
    </row>
    <row r="2766" spans="1:3" x14ac:dyDescent="0.2">
      <c r="A2766" s="3">
        <v>5696</v>
      </c>
      <c r="B2766" s="3" t="s">
        <v>333</v>
      </c>
    </row>
    <row r="2767" spans="1:3" x14ac:dyDescent="0.2">
      <c r="A2767">
        <v>5696</v>
      </c>
      <c r="B2767" t="s">
        <v>333</v>
      </c>
    </row>
    <row r="2768" spans="1:3" x14ac:dyDescent="0.2">
      <c r="A2768">
        <v>5696</v>
      </c>
      <c r="B2768" t="s">
        <v>333</v>
      </c>
    </row>
    <row r="2769" spans="1:3" x14ac:dyDescent="0.2">
      <c r="A2769">
        <v>5696</v>
      </c>
      <c r="B2769" t="s">
        <v>333</v>
      </c>
    </row>
    <row r="2770" spans="1:3" x14ac:dyDescent="0.2">
      <c r="A2770">
        <v>5696</v>
      </c>
      <c r="B2770" t="s">
        <v>333</v>
      </c>
    </row>
    <row r="2771" spans="1:3" x14ac:dyDescent="0.2">
      <c r="A2771">
        <v>5696</v>
      </c>
      <c r="B2771" t="s">
        <v>333</v>
      </c>
    </row>
    <row r="2772" spans="1:3" x14ac:dyDescent="0.2">
      <c r="A2772">
        <v>5696</v>
      </c>
      <c r="B2772" s="9" t="s">
        <v>333</v>
      </c>
    </row>
    <row r="2773" spans="1:3" x14ac:dyDescent="0.2">
      <c r="A2773" s="3">
        <v>9034</v>
      </c>
      <c r="B2773" s="3" t="s">
        <v>45</v>
      </c>
      <c r="C2773">
        <v>2000045</v>
      </c>
    </row>
    <row r="2774" spans="1:3" x14ac:dyDescent="0.2">
      <c r="A2774" s="3">
        <v>9034</v>
      </c>
      <c r="B2774" s="3" t="s">
        <v>45</v>
      </c>
      <c r="C2774">
        <v>2000045</v>
      </c>
    </row>
    <row r="2775" spans="1:3" x14ac:dyDescent="0.2">
      <c r="A2775">
        <v>9034</v>
      </c>
      <c r="B2775" t="s">
        <v>45</v>
      </c>
      <c r="C2775">
        <v>2000045</v>
      </c>
    </row>
    <row r="2776" spans="1:3" x14ac:dyDescent="0.2">
      <c r="A2776">
        <v>9034</v>
      </c>
      <c r="B2776" t="s">
        <v>45</v>
      </c>
      <c r="C2776">
        <v>2000045</v>
      </c>
    </row>
    <row r="2777" spans="1:3" x14ac:dyDescent="0.2">
      <c r="A2777">
        <v>9034</v>
      </c>
      <c r="B2777" t="s">
        <v>45</v>
      </c>
      <c r="C2777">
        <v>2000045</v>
      </c>
    </row>
    <row r="2778" spans="1:3" x14ac:dyDescent="0.2">
      <c r="A2778">
        <v>9034</v>
      </c>
      <c r="B2778" t="s">
        <v>45</v>
      </c>
      <c r="C2778">
        <v>2000045</v>
      </c>
    </row>
    <row r="2779" spans="1:3" x14ac:dyDescent="0.2">
      <c r="A2779">
        <v>9034</v>
      </c>
      <c r="B2779" t="s">
        <v>45</v>
      </c>
      <c r="C2779">
        <v>2000045</v>
      </c>
    </row>
    <row r="2780" spans="1:3" x14ac:dyDescent="0.2">
      <c r="A2780">
        <v>9034</v>
      </c>
      <c r="B2780" s="9" t="s">
        <v>45</v>
      </c>
      <c r="C2780">
        <v>2000045</v>
      </c>
    </row>
    <row r="2781" spans="1:3" x14ac:dyDescent="0.2">
      <c r="A2781" s="3">
        <v>9042</v>
      </c>
      <c r="B2781" s="3" t="s">
        <v>46</v>
      </c>
    </row>
    <row r="2782" spans="1:3" x14ac:dyDescent="0.2">
      <c r="A2782" s="3">
        <v>9042</v>
      </c>
      <c r="B2782" s="3" t="s">
        <v>46</v>
      </c>
    </row>
    <row r="2783" spans="1:3" x14ac:dyDescent="0.2">
      <c r="A2783">
        <v>9042</v>
      </c>
      <c r="B2783" t="s">
        <v>46</v>
      </c>
    </row>
    <row r="2784" spans="1:3" x14ac:dyDescent="0.2">
      <c r="A2784">
        <v>9042</v>
      </c>
      <c r="B2784" t="s">
        <v>46</v>
      </c>
    </row>
    <row r="2785" spans="1:3" x14ac:dyDescent="0.2">
      <c r="A2785">
        <v>9042</v>
      </c>
      <c r="B2785" t="s">
        <v>46</v>
      </c>
    </row>
    <row r="2786" spans="1:3" x14ac:dyDescent="0.2">
      <c r="A2786">
        <v>9042</v>
      </c>
      <c r="B2786" t="s">
        <v>46</v>
      </c>
    </row>
    <row r="2787" spans="1:3" x14ac:dyDescent="0.2">
      <c r="A2787">
        <v>9042</v>
      </c>
      <c r="B2787" t="s">
        <v>46</v>
      </c>
    </row>
    <row r="2788" spans="1:3" x14ac:dyDescent="0.2">
      <c r="A2788">
        <v>9042</v>
      </c>
      <c r="B2788" s="9" t="s">
        <v>46</v>
      </c>
    </row>
    <row r="2789" spans="1:3" x14ac:dyDescent="0.2">
      <c r="A2789" s="3">
        <v>9047</v>
      </c>
      <c r="B2789" s="3" t="s">
        <v>47</v>
      </c>
      <c r="C2789">
        <v>2000347</v>
      </c>
    </row>
    <row r="2790" spans="1:3" x14ac:dyDescent="0.2">
      <c r="A2790" s="3">
        <v>9047</v>
      </c>
      <c r="B2790" s="3" t="s">
        <v>47</v>
      </c>
      <c r="C2790">
        <v>2000347</v>
      </c>
    </row>
    <row r="2791" spans="1:3" x14ac:dyDescent="0.2">
      <c r="A2791">
        <v>9047</v>
      </c>
      <c r="B2791" t="s">
        <v>47</v>
      </c>
      <c r="C2791">
        <v>2000347</v>
      </c>
    </row>
    <row r="2792" spans="1:3" x14ac:dyDescent="0.2">
      <c r="A2792">
        <v>9047</v>
      </c>
      <c r="B2792" t="s">
        <v>47</v>
      </c>
      <c r="C2792">
        <v>2000347</v>
      </c>
    </row>
    <row r="2793" spans="1:3" x14ac:dyDescent="0.2">
      <c r="A2793">
        <v>9047</v>
      </c>
      <c r="B2793" t="s">
        <v>47</v>
      </c>
      <c r="C2793">
        <v>2000347</v>
      </c>
    </row>
    <row r="2794" spans="1:3" x14ac:dyDescent="0.2">
      <c r="A2794">
        <v>9047</v>
      </c>
      <c r="B2794" t="s">
        <v>47</v>
      </c>
      <c r="C2794">
        <v>2000347</v>
      </c>
    </row>
    <row r="2795" spans="1:3" x14ac:dyDescent="0.2">
      <c r="A2795">
        <v>9047</v>
      </c>
      <c r="B2795" t="s">
        <v>47</v>
      </c>
      <c r="C2795">
        <v>2000347</v>
      </c>
    </row>
    <row r="2796" spans="1:3" x14ac:dyDescent="0.2">
      <c r="A2796">
        <v>9047</v>
      </c>
      <c r="B2796" s="9" t="s">
        <v>47</v>
      </c>
      <c r="C2796">
        <v>2000347</v>
      </c>
    </row>
    <row r="2797" spans="1:3" x14ac:dyDescent="0.2">
      <c r="A2797" s="3">
        <v>9053</v>
      </c>
      <c r="B2797" s="3" t="s">
        <v>48</v>
      </c>
    </row>
    <row r="2798" spans="1:3" x14ac:dyDescent="0.2">
      <c r="A2798" s="3">
        <v>9053</v>
      </c>
      <c r="B2798" s="3" t="s">
        <v>48</v>
      </c>
    </row>
    <row r="2799" spans="1:3" x14ac:dyDescent="0.2">
      <c r="A2799">
        <v>9053</v>
      </c>
      <c r="B2799" t="s">
        <v>48</v>
      </c>
    </row>
    <row r="2800" spans="1:3" x14ac:dyDescent="0.2">
      <c r="A2800">
        <v>9053</v>
      </c>
      <c r="B2800" t="s">
        <v>48</v>
      </c>
    </row>
    <row r="2801" spans="1:3" x14ac:dyDescent="0.2">
      <c r="A2801">
        <v>9053</v>
      </c>
      <c r="B2801" t="s">
        <v>48</v>
      </c>
    </row>
    <row r="2802" spans="1:3" x14ac:dyDescent="0.2">
      <c r="A2802">
        <v>9053</v>
      </c>
      <c r="B2802" t="s">
        <v>48</v>
      </c>
    </row>
    <row r="2803" spans="1:3" x14ac:dyDescent="0.2">
      <c r="A2803">
        <v>9053</v>
      </c>
      <c r="B2803" s="9" t="s">
        <v>48</v>
      </c>
    </row>
    <row r="2804" spans="1:3" x14ac:dyDescent="0.2">
      <c r="A2804" s="3">
        <v>9055</v>
      </c>
      <c r="B2804" s="3" t="s">
        <v>49</v>
      </c>
      <c r="C2804">
        <v>2000049</v>
      </c>
    </row>
    <row r="2805" spans="1:3" x14ac:dyDescent="0.2">
      <c r="A2805" s="3">
        <v>9055</v>
      </c>
      <c r="B2805" s="3" t="s">
        <v>49</v>
      </c>
      <c r="C2805">
        <v>2000049</v>
      </c>
    </row>
    <row r="2806" spans="1:3" x14ac:dyDescent="0.2">
      <c r="A2806">
        <v>9055</v>
      </c>
      <c r="B2806" t="s">
        <v>49</v>
      </c>
      <c r="C2806">
        <v>2000049</v>
      </c>
    </row>
    <row r="2807" spans="1:3" x14ac:dyDescent="0.2">
      <c r="A2807">
        <v>9055</v>
      </c>
      <c r="B2807" t="s">
        <v>49</v>
      </c>
      <c r="C2807">
        <v>2000049</v>
      </c>
    </row>
    <row r="2808" spans="1:3" x14ac:dyDescent="0.2">
      <c r="A2808">
        <v>9055</v>
      </c>
      <c r="B2808" t="s">
        <v>49</v>
      </c>
      <c r="C2808">
        <v>2000049</v>
      </c>
    </row>
    <row r="2809" spans="1:3" x14ac:dyDescent="0.2">
      <c r="A2809">
        <v>9055</v>
      </c>
      <c r="B2809" t="s">
        <v>49</v>
      </c>
      <c r="C2809">
        <v>2000049</v>
      </c>
    </row>
    <row r="2810" spans="1:3" x14ac:dyDescent="0.2">
      <c r="A2810">
        <v>9055</v>
      </c>
      <c r="B2810" t="s">
        <v>49</v>
      </c>
      <c r="C2810">
        <v>2000049</v>
      </c>
    </row>
    <row r="2811" spans="1:3" x14ac:dyDescent="0.2">
      <c r="A2811">
        <v>9055</v>
      </c>
      <c r="B2811" s="9" t="s">
        <v>49</v>
      </c>
      <c r="C2811">
        <v>2000049</v>
      </c>
    </row>
    <row r="2812" spans="1:3" x14ac:dyDescent="0.2">
      <c r="A2812" s="3">
        <v>9056</v>
      </c>
      <c r="B2812" s="3" t="s">
        <v>50</v>
      </c>
      <c r="C2812" t="s">
        <v>371</v>
      </c>
    </row>
    <row r="2813" spans="1:3" x14ac:dyDescent="0.2">
      <c r="A2813" s="3">
        <v>9056</v>
      </c>
      <c r="B2813" s="3" t="s">
        <v>50</v>
      </c>
      <c r="C2813" t="s">
        <v>371</v>
      </c>
    </row>
    <row r="2814" spans="1:3" x14ac:dyDescent="0.2">
      <c r="A2814">
        <v>9056</v>
      </c>
      <c r="B2814" t="s">
        <v>50</v>
      </c>
      <c r="C2814" t="s">
        <v>371</v>
      </c>
    </row>
    <row r="2815" spans="1:3" x14ac:dyDescent="0.2">
      <c r="A2815">
        <v>9056</v>
      </c>
      <c r="B2815" t="s">
        <v>50</v>
      </c>
      <c r="C2815" t="s">
        <v>371</v>
      </c>
    </row>
    <row r="2816" spans="1:3" x14ac:dyDescent="0.2">
      <c r="A2816">
        <v>9056</v>
      </c>
      <c r="B2816" t="s">
        <v>50</v>
      </c>
      <c r="C2816" t="s">
        <v>371</v>
      </c>
    </row>
    <row r="2817" spans="1:3" x14ac:dyDescent="0.2">
      <c r="A2817">
        <v>9056</v>
      </c>
      <c r="B2817" t="s">
        <v>50</v>
      </c>
      <c r="C2817" t="s">
        <v>371</v>
      </c>
    </row>
    <row r="2818" spans="1:3" x14ac:dyDescent="0.2">
      <c r="A2818">
        <v>9056</v>
      </c>
      <c r="B2818" t="s">
        <v>50</v>
      </c>
      <c r="C2818" t="s">
        <v>371</v>
      </c>
    </row>
    <row r="2819" spans="1:3" x14ac:dyDescent="0.2">
      <c r="A2819">
        <v>9056</v>
      </c>
      <c r="B2819" s="9" t="s">
        <v>50</v>
      </c>
      <c r="C2819" t="s">
        <v>371</v>
      </c>
    </row>
    <row r="2820" spans="1:3" x14ac:dyDescent="0.2">
      <c r="A2820" s="3">
        <v>9273</v>
      </c>
      <c r="B2820" s="3" t="s">
        <v>51</v>
      </c>
    </row>
    <row r="2821" spans="1:3" x14ac:dyDescent="0.2">
      <c r="A2821" s="3">
        <v>9273</v>
      </c>
      <c r="B2821" s="3" t="s">
        <v>51</v>
      </c>
    </row>
    <row r="2822" spans="1:3" x14ac:dyDescent="0.2">
      <c r="A2822">
        <v>9273</v>
      </c>
      <c r="B2822" t="s">
        <v>51</v>
      </c>
    </row>
    <row r="2823" spans="1:3" x14ac:dyDescent="0.2">
      <c r="A2823">
        <v>9273</v>
      </c>
      <c r="B2823" t="s">
        <v>51</v>
      </c>
    </row>
    <row r="2824" spans="1:3" x14ac:dyDescent="0.2">
      <c r="A2824">
        <v>9273</v>
      </c>
      <c r="B2824" t="s">
        <v>51</v>
      </c>
    </row>
    <row r="2825" spans="1:3" x14ac:dyDescent="0.2">
      <c r="A2825">
        <v>9273</v>
      </c>
      <c r="B2825" t="s">
        <v>51</v>
      </c>
    </row>
    <row r="2826" spans="1:3" x14ac:dyDescent="0.2">
      <c r="A2826">
        <v>9273</v>
      </c>
      <c r="B2826" t="s">
        <v>51</v>
      </c>
    </row>
    <row r="2827" spans="1:3" x14ac:dyDescent="0.2">
      <c r="A2827">
        <v>9273</v>
      </c>
      <c r="B2827" s="9" t="s">
        <v>51</v>
      </c>
    </row>
    <row r="2828" spans="1:3" x14ac:dyDescent="0.2">
      <c r="A2828" s="3">
        <v>9274</v>
      </c>
      <c r="B2828" s="3" t="s">
        <v>52</v>
      </c>
      <c r="C2828">
        <v>2000034</v>
      </c>
    </row>
    <row r="2829" spans="1:3" x14ac:dyDescent="0.2">
      <c r="A2829" s="3">
        <v>9274</v>
      </c>
      <c r="B2829" s="3" t="s">
        <v>52</v>
      </c>
      <c r="C2829">
        <v>2000034</v>
      </c>
    </row>
    <row r="2830" spans="1:3" x14ac:dyDescent="0.2">
      <c r="A2830">
        <v>9274</v>
      </c>
      <c r="B2830" t="s">
        <v>52</v>
      </c>
      <c r="C2830">
        <v>2000034</v>
      </c>
    </row>
    <row r="2831" spans="1:3" x14ac:dyDescent="0.2">
      <c r="A2831">
        <v>9274</v>
      </c>
      <c r="B2831" t="s">
        <v>52</v>
      </c>
      <c r="C2831">
        <v>2000034</v>
      </c>
    </row>
    <row r="2832" spans="1:3" x14ac:dyDescent="0.2">
      <c r="A2832">
        <v>9274</v>
      </c>
      <c r="B2832" t="s">
        <v>52</v>
      </c>
      <c r="C2832">
        <v>2000034</v>
      </c>
    </row>
    <row r="2833" spans="1:3" x14ac:dyDescent="0.2">
      <c r="A2833">
        <v>9274</v>
      </c>
      <c r="B2833" t="s">
        <v>52</v>
      </c>
      <c r="C2833">
        <v>2000034</v>
      </c>
    </row>
    <row r="2834" spans="1:3" x14ac:dyDescent="0.2">
      <c r="A2834">
        <v>9274</v>
      </c>
      <c r="B2834" t="s">
        <v>52</v>
      </c>
      <c r="C2834">
        <v>2000034</v>
      </c>
    </row>
    <row r="2835" spans="1:3" x14ac:dyDescent="0.2">
      <c r="A2835">
        <v>9274</v>
      </c>
      <c r="B2835" s="9" t="s">
        <v>52</v>
      </c>
      <c r="C2835">
        <v>2000034</v>
      </c>
    </row>
    <row r="2836" spans="1:3" x14ac:dyDescent="0.2">
      <c r="A2836" s="3">
        <v>9291</v>
      </c>
      <c r="B2836" s="3" t="s">
        <v>334</v>
      </c>
      <c r="C2836">
        <v>2000023</v>
      </c>
    </row>
    <row r="2837" spans="1:3" x14ac:dyDescent="0.2">
      <c r="A2837" s="3">
        <v>9291</v>
      </c>
      <c r="B2837" s="3" t="s">
        <v>334</v>
      </c>
      <c r="C2837">
        <v>2000023</v>
      </c>
    </row>
    <row r="2838" spans="1:3" x14ac:dyDescent="0.2">
      <c r="A2838" s="3">
        <v>9291</v>
      </c>
      <c r="B2838" s="3" t="s">
        <v>334</v>
      </c>
      <c r="C2838">
        <v>2000023</v>
      </c>
    </row>
    <row r="2839" spans="1:3" x14ac:dyDescent="0.2">
      <c r="A2839">
        <v>9291</v>
      </c>
      <c r="B2839" t="s">
        <v>334</v>
      </c>
      <c r="C2839">
        <v>2000023</v>
      </c>
    </row>
    <row r="2840" spans="1:3" x14ac:dyDescent="0.2">
      <c r="A2840">
        <v>9291</v>
      </c>
      <c r="B2840" t="s">
        <v>334</v>
      </c>
      <c r="C2840">
        <v>2000023</v>
      </c>
    </row>
    <row r="2841" spans="1:3" x14ac:dyDescent="0.2">
      <c r="A2841">
        <v>9291</v>
      </c>
      <c r="B2841" t="s">
        <v>334</v>
      </c>
      <c r="C2841">
        <v>2000023</v>
      </c>
    </row>
    <row r="2842" spans="1:3" x14ac:dyDescent="0.2">
      <c r="A2842">
        <v>9291</v>
      </c>
      <c r="B2842" t="s">
        <v>334</v>
      </c>
      <c r="C2842">
        <v>2000023</v>
      </c>
    </row>
    <row r="2843" spans="1:3" x14ac:dyDescent="0.2">
      <c r="A2843">
        <v>9291</v>
      </c>
      <c r="B2843" t="s">
        <v>334</v>
      </c>
      <c r="C2843">
        <v>2000023</v>
      </c>
    </row>
    <row r="2844" spans="1:3" x14ac:dyDescent="0.2">
      <c r="A2844">
        <v>9291</v>
      </c>
      <c r="B2844" s="9" t="s">
        <v>334</v>
      </c>
      <c r="C2844">
        <v>2000023</v>
      </c>
    </row>
    <row r="2845" spans="1:3" x14ac:dyDescent="0.2">
      <c r="A2845" s="3">
        <v>9302</v>
      </c>
      <c r="B2845" s="3" t="s">
        <v>335</v>
      </c>
      <c r="C2845">
        <v>2000020</v>
      </c>
    </row>
    <row r="2846" spans="1:3" x14ac:dyDescent="0.2">
      <c r="A2846" s="3">
        <v>9302</v>
      </c>
      <c r="B2846" s="3" t="s">
        <v>335</v>
      </c>
      <c r="C2846">
        <v>2000020</v>
      </c>
    </row>
    <row r="2847" spans="1:3" x14ac:dyDescent="0.2">
      <c r="A2847" s="3">
        <v>9302</v>
      </c>
      <c r="B2847" s="3" t="s">
        <v>335</v>
      </c>
      <c r="C2847">
        <v>2000020</v>
      </c>
    </row>
    <row r="2848" spans="1:3" x14ac:dyDescent="0.2">
      <c r="A2848">
        <v>9302</v>
      </c>
      <c r="B2848" t="s">
        <v>335</v>
      </c>
      <c r="C2848">
        <v>2000020</v>
      </c>
    </row>
    <row r="2849" spans="1:3" x14ac:dyDescent="0.2">
      <c r="A2849">
        <v>9302</v>
      </c>
      <c r="B2849" t="s">
        <v>335</v>
      </c>
      <c r="C2849">
        <v>2000020</v>
      </c>
    </row>
    <row r="2850" spans="1:3" x14ac:dyDescent="0.2">
      <c r="A2850">
        <v>9302</v>
      </c>
      <c r="B2850" t="s">
        <v>335</v>
      </c>
      <c r="C2850">
        <v>2000020</v>
      </c>
    </row>
    <row r="2851" spans="1:3" x14ac:dyDescent="0.2">
      <c r="A2851">
        <v>9302</v>
      </c>
      <c r="B2851" t="s">
        <v>335</v>
      </c>
      <c r="C2851">
        <v>2000020</v>
      </c>
    </row>
    <row r="2852" spans="1:3" x14ac:dyDescent="0.2">
      <c r="A2852">
        <v>9302</v>
      </c>
      <c r="B2852" t="s">
        <v>335</v>
      </c>
      <c r="C2852">
        <v>2000020</v>
      </c>
    </row>
    <row r="2853" spans="1:3" x14ac:dyDescent="0.2">
      <c r="A2853">
        <v>9302</v>
      </c>
      <c r="B2853" s="9" t="s">
        <v>335</v>
      </c>
      <c r="C2853">
        <v>2000020</v>
      </c>
    </row>
    <row r="2854" spans="1:3" x14ac:dyDescent="0.2">
      <c r="A2854" s="3">
        <v>9303</v>
      </c>
      <c r="B2854" s="3" t="s">
        <v>363</v>
      </c>
    </row>
    <row r="2855" spans="1:3" x14ac:dyDescent="0.2">
      <c r="A2855" s="3">
        <v>9303</v>
      </c>
      <c r="B2855" s="3" t="s">
        <v>363</v>
      </c>
    </row>
    <row r="2856" spans="1:3" x14ac:dyDescent="0.2">
      <c r="A2856">
        <v>9303</v>
      </c>
      <c r="B2856" t="s">
        <v>363</v>
      </c>
    </row>
    <row r="2857" spans="1:3" x14ac:dyDescent="0.2">
      <c r="A2857">
        <v>9303</v>
      </c>
      <c r="B2857" t="s">
        <v>363</v>
      </c>
    </row>
    <row r="2858" spans="1:3" x14ac:dyDescent="0.2">
      <c r="A2858">
        <v>9303</v>
      </c>
      <c r="B2858" t="s">
        <v>53</v>
      </c>
    </row>
    <row r="2859" spans="1:3" x14ac:dyDescent="0.2">
      <c r="A2859">
        <v>9303</v>
      </c>
      <c r="B2859" t="s">
        <v>53</v>
      </c>
    </row>
    <row r="2860" spans="1:3" x14ac:dyDescent="0.2">
      <c r="A2860">
        <v>9303</v>
      </c>
      <c r="B2860" t="s">
        <v>53</v>
      </c>
    </row>
    <row r="2861" spans="1:3" x14ac:dyDescent="0.2">
      <c r="A2861">
        <v>9303</v>
      </c>
      <c r="B2861" s="9" t="s">
        <v>53</v>
      </c>
    </row>
    <row r="2862" spans="1:3" x14ac:dyDescent="0.2">
      <c r="A2862" s="3">
        <v>9304</v>
      </c>
      <c r="B2862" s="3" t="s">
        <v>54</v>
      </c>
    </row>
    <row r="2863" spans="1:3" x14ac:dyDescent="0.2">
      <c r="A2863" s="3">
        <v>9304</v>
      </c>
      <c r="B2863" s="3" t="s">
        <v>54</v>
      </c>
    </row>
    <row r="2864" spans="1:3" x14ac:dyDescent="0.2">
      <c r="A2864">
        <v>9304</v>
      </c>
      <c r="B2864" t="s">
        <v>54</v>
      </c>
    </row>
    <row r="2865" spans="1:3" x14ac:dyDescent="0.2">
      <c r="A2865">
        <v>9304</v>
      </c>
      <c r="B2865" t="s">
        <v>54</v>
      </c>
    </row>
    <row r="2866" spans="1:3" x14ac:dyDescent="0.2">
      <c r="A2866">
        <v>9304</v>
      </c>
      <c r="B2866" t="s">
        <v>54</v>
      </c>
    </row>
    <row r="2867" spans="1:3" x14ac:dyDescent="0.2">
      <c r="A2867">
        <v>9304</v>
      </c>
      <c r="B2867" t="s">
        <v>54</v>
      </c>
    </row>
    <row r="2868" spans="1:3" x14ac:dyDescent="0.2">
      <c r="A2868">
        <v>9304</v>
      </c>
      <c r="B2868" s="9" t="s">
        <v>54</v>
      </c>
    </row>
    <row r="2869" spans="1:3" x14ac:dyDescent="0.2">
      <c r="A2869" s="3">
        <v>9305</v>
      </c>
      <c r="B2869" s="3" t="s">
        <v>55</v>
      </c>
    </row>
    <row r="2870" spans="1:3" x14ac:dyDescent="0.2">
      <c r="A2870" s="3">
        <v>9305</v>
      </c>
      <c r="B2870" s="3" t="s">
        <v>55</v>
      </c>
    </row>
    <row r="2871" spans="1:3" x14ac:dyDescent="0.2">
      <c r="A2871">
        <v>9305</v>
      </c>
      <c r="B2871" t="s">
        <v>55</v>
      </c>
    </row>
    <row r="2872" spans="1:3" x14ac:dyDescent="0.2">
      <c r="A2872">
        <v>9305</v>
      </c>
      <c r="B2872" t="s">
        <v>55</v>
      </c>
    </row>
    <row r="2873" spans="1:3" x14ac:dyDescent="0.2">
      <c r="A2873">
        <v>9305</v>
      </c>
      <c r="B2873" t="s">
        <v>55</v>
      </c>
    </row>
    <row r="2874" spans="1:3" x14ac:dyDescent="0.2">
      <c r="A2874">
        <v>9305</v>
      </c>
      <c r="B2874" t="s">
        <v>55</v>
      </c>
    </row>
    <row r="2875" spans="1:3" x14ac:dyDescent="0.2">
      <c r="A2875">
        <v>9305</v>
      </c>
      <c r="B2875" t="s">
        <v>55</v>
      </c>
    </row>
    <row r="2876" spans="1:3" x14ac:dyDescent="0.2">
      <c r="A2876">
        <v>9305</v>
      </c>
      <c r="B2876" s="9" t="s">
        <v>55</v>
      </c>
    </row>
    <row r="2877" spans="1:3" x14ac:dyDescent="0.2">
      <c r="A2877" s="3">
        <v>9332</v>
      </c>
      <c r="B2877" s="3" t="s">
        <v>336</v>
      </c>
      <c r="C2877">
        <v>2000029</v>
      </c>
    </row>
    <row r="2878" spans="1:3" x14ac:dyDescent="0.2">
      <c r="A2878" s="3">
        <v>9332</v>
      </c>
      <c r="B2878" s="3" t="s">
        <v>336</v>
      </c>
      <c r="C2878">
        <v>2000029</v>
      </c>
    </row>
    <row r="2879" spans="1:3" x14ac:dyDescent="0.2">
      <c r="A2879" s="3">
        <v>9332</v>
      </c>
      <c r="B2879" s="3" t="s">
        <v>336</v>
      </c>
      <c r="C2879">
        <v>2000029</v>
      </c>
    </row>
    <row r="2880" spans="1:3" x14ac:dyDescent="0.2">
      <c r="A2880">
        <v>9332</v>
      </c>
      <c r="B2880" t="s">
        <v>336</v>
      </c>
      <c r="C2880">
        <v>2000029</v>
      </c>
    </row>
    <row r="2881" spans="1:3" x14ac:dyDescent="0.2">
      <c r="A2881">
        <v>9332</v>
      </c>
      <c r="B2881" t="s">
        <v>336</v>
      </c>
      <c r="C2881">
        <v>2000029</v>
      </c>
    </row>
    <row r="2882" spans="1:3" x14ac:dyDescent="0.2">
      <c r="A2882">
        <v>9332</v>
      </c>
      <c r="B2882" t="s">
        <v>336</v>
      </c>
      <c r="C2882">
        <v>2000029</v>
      </c>
    </row>
    <row r="2883" spans="1:3" x14ac:dyDescent="0.2">
      <c r="A2883">
        <v>9332</v>
      </c>
      <c r="B2883" t="s">
        <v>336</v>
      </c>
      <c r="C2883">
        <v>2000029</v>
      </c>
    </row>
    <row r="2884" spans="1:3" x14ac:dyDescent="0.2">
      <c r="A2884">
        <v>9332</v>
      </c>
      <c r="B2884" t="s">
        <v>336</v>
      </c>
      <c r="C2884">
        <v>2000029</v>
      </c>
    </row>
    <row r="2885" spans="1:3" x14ac:dyDescent="0.2">
      <c r="A2885">
        <v>9332</v>
      </c>
      <c r="B2885" s="9" t="s">
        <v>336</v>
      </c>
      <c r="C2885">
        <v>2000029</v>
      </c>
    </row>
    <row r="2886" spans="1:3" x14ac:dyDescent="0.2">
      <c r="A2886" s="3">
        <v>9333</v>
      </c>
      <c r="B2886" s="3" t="s">
        <v>337</v>
      </c>
      <c r="C2886">
        <v>2000028</v>
      </c>
    </row>
    <row r="2887" spans="1:3" x14ac:dyDescent="0.2">
      <c r="A2887" s="3">
        <v>9333</v>
      </c>
      <c r="B2887" s="3" t="s">
        <v>337</v>
      </c>
      <c r="C2887">
        <v>2000028</v>
      </c>
    </row>
    <row r="2888" spans="1:3" x14ac:dyDescent="0.2">
      <c r="A2888" s="3">
        <v>9333</v>
      </c>
      <c r="B2888" s="3" t="s">
        <v>337</v>
      </c>
      <c r="C2888">
        <v>2000028</v>
      </c>
    </row>
    <row r="2889" spans="1:3" x14ac:dyDescent="0.2">
      <c r="A2889">
        <v>9333</v>
      </c>
      <c r="B2889" t="s">
        <v>337</v>
      </c>
      <c r="C2889">
        <v>2000028</v>
      </c>
    </row>
    <row r="2890" spans="1:3" x14ac:dyDescent="0.2">
      <c r="A2890">
        <v>9333</v>
      </c>
      <c r="B2890" t="s">
        <v>337</v>
      </c>
      <c r="C2890">
        <v>2000028</v>
      </c>
    </row>
    <row r="2891" spans="1:3" x14ac:dyDescent="0.2">
      <c r="A2891">
        <v>9333</v>
      </c>
      <c r="B2891" t="s">
        <v>337</v>
      </c>
      <c r="C2891">
        <v>2000028</v>
      </c>
    </row>
    <row r="2892" spans="1:3" x14ac:dyDescent="0.2">
      <c r="A2892">
        <v>9333</v>
      </c>
      <c r="B2892" t="s">
        <v>337</v>
      </c>
      <c r="C2892">
        <v>2000028</v>
      </c>
    </row>
    <row r="2893" spans="1:3" x14ac:dyDescent="0.2">
      <c r="A2893">
        <v>9333</v>
      </c>
      <c r="B2893" t="s">
        <v>337</v>
      </c>
      <c r="C2893">
        <v>2000028</v>
      </c>
    </row>
    <row r="2894" spans="1:3" x14ac:dyDescent="0.2">
      <c r="A2894">
        <v>9333</v>
      </c>
      <c r="B2894" s="9" t="s">
        <v>337</v>
      </c>
      <c r="C2894">
        <v>2000028</v>
      </c>
    </row>
    <row r="2895" spans="1:3" x14ac:dyDescent="0.2">
      <c r="A2895" s="3">
        <v>9335</v>
      </c>
      <c r="B2895" s="3" t="s">
        <v>338</v>
      </c>
      <c r="C2895">
        <v>2000030</v>
      </c>
    </row>
    <row r="2896" spans="1:3" x14ac:dyDescent="0.2">
      <c r="A2896" s="3">
        <v>9335</v>
      </c>
      <c r="B2896" s="3" t="s">
        <v>338</v>
      </c>
      <c r="C2896">
        <v>2000030</v>
      </c>
    </row>
    <row r="2897" spans="1:3" x14ac:dyDescent="0.2">
      <c r="A2897" s="3">
        <v>9335</v>
      </c>
      <c r="B2897" s="3" t="s">
        <v>338</v>
      </c>
      <c r="C2897">
        <v>2000030</v>
      </c>
    </row>
    <row r="2898" spans="1:3" x14ac:dyDescent="0.2">
      <c r="A2898">
        <v>9335</v>
      </c>
      <c r="B2898" t="s">
        <v>338</v>
      </c>
      <c r="C2898">
        <v>2000030</v>
      </c>
    </row>
    <row r="2899" spans="1:3" x14ac:dyDescent="0.2">
      <c r="A2899">
        <v>9335</v>
      </c>
      <c r="B2899" t="s">
        <v>338</v>
      </c>
      <c r="C2899">
        <v>2000030</v>
      </c>
    </row>
    <row r="2900" spans="1:3" x14ac:dyDescent="0.2">
      <c r="A2900">
        <v>9335</v>
      </c>
      <c r="B2900" t="s">
        <v>338</v>
      </c>
      <c r="C2900">
        <v>2000030</v>
      </c>
    </row>
    <row r="2901" spans="1:3" x14ac:dyDescent="0.2">
      <c r="A2901">
        <v>9335</v>
      </c>
      <c r="B2901" t="s">
        <v>338</v>
      </c>
      <c r="C2901">
        <v>2000030</v>
      </c>
    </row>
    <row r="2902" spans="1:3" x14ac:dyDescent="0.2">
      <c r="A2902">
        <v>9335</v>
      </c>
      <c r="B2902" t="s">
        <v>338</v>
      </c>
      <c r="C2902">
        <v>2000030</v>
      </c>
    </row>
    <row r="2903" spans="1:3" x14ac:dyDescent="0.2">
      <c r="A2903">
        <v>9335</v>
      </c>
      <c r="B2903" s="9" t="s">
        <v>338</v>
      </c>
      <c r="C2903">
        <v>2000030</v>
      </c>
    </row>
    <row r="2904" spans="1:3" x14ac:dyDescent="0.2">
      <c r="A2904" s="3">
        <v>9389</v>
      </c>
      <c r="B2904" s="3" t="s">
        <v>339</v>
      </c>
      <c r="C2904">
        <v>2000346</v>
      </c>
    </row>
    <row r="2905" spans="1:3" x14ac:dyDescent="0.2">
      <c r="A2905" s="3">
        <v>9389</v>
      </c>
      <c r="B2905" s="3" t="s">
        <v>339</v>
      </c>
      <c r="C2905">
        <v>2000346</v>
      </c>
    </row>
    <row r="2906" spans="1:3" x14ac:dyDescent="0.2">
      <c r="A2906" s="3">
        <v>9389</v>
      </c>
      <c r="B2906" s="3" t="s">
        <v>339</v>
      </c>
      <c r="C2906">
        <v>2000346</v>
      </c>
    </row>
    <row r="2907" spans="1:3" x14ac:dyDescent="0.2">
      <c r="A2907">
        <v>9389</v>
      </c>
      <c r="B2907" t="s">
        <v>339</v>
      </c>
      <c r="C2907">
        <v>2000346</v>
      </c>
    </row>
    <row r="2908" spans="1:3" x14ac:dyDescent="0.2">
      <c r="A2908">
        <v>9389</v>
      </c>
      <c r="B2908" t="s">
        <v>339</v>
      </c>
      <c r="C2908">
        <v>2000346</v>
      </c>
    </row>
    <row r="2909" spans="1:3" x14ac:dyDescent="0.2">
      <c r="A2909">
        <v>9389</v>
      </c>
      <c r="B2909" t="s">
        <v>339</v>
      </c>
      <c r="C2909">
        <v>2000346</v>
      </c>
    </row>
    <row r="2910" spans="1:3" x14ac:dyDescent="0.2">
      <c r="A2910">
        <v>9389</v>
      </c>
      <c r="B2910" t="s">
        <v>339</v>
      </c>
      <c r="C2910">
        <v>2000346</v>
      </c>
    </row>
    <row r="2911" spans="1:3" x14ac:dyDescent="0.2">
      <c r="A2911">
        <v>9389</v>
      </c>
      <c r="B2911" t="s">
        <v>339</v>
      </c>
      <c r="C2911">
        <v>2000346</v>
      </c>
    </row>
    <row r="2912" spans="1:3" x14ac:dyDescent="0.2">
      <c r="A2912">
        <v>9389</v>
      </c>
      <c r="B2912" s="9" t="s">
        <v>339</v>
      </c>
      <c r="C2912">
        <v>2000346</v>
      </c>
    </row>
    <row r="2913" spans="1:3" x14ac:dyDescent="0.2">
      <c r="A2913" s="3">
        <v>9395</v>
      </c>
      <c r="B2913" s="3" t="s">
        <v>56</v>
      </c>
    </row>
    <row r="2914" spans="1:3" x14ac:dyDescent="0.2">
      <c r="A2914" s="3">
        <v>9395</v>
      </c>
      <c r="B2914" s="3" t="s">
        <v>56</v>
      </c>
    </row>
    <row r="2915" spans="1:3" x14ac:dyDescent="0.2">
      <c r="A2915">
        <v>9395</v>
      </c>
      <c r="B2915" t="s">
        <v>56</v>
      </c>
    </row>
    <row r="2916" spans="1:3" x14ac:dyDescent="0.2">
      <c r="A2916">
        <v>9395</v>
      </c>
      <c r="B2916" t="s">
        <v>56</v>
      </c>
    </row>
    <row r="2917" spans="1:3" x14ac:dyDescent="0.2">
      <c r="A2917">
        <v>9395</v>
      </c>
      <c r="B2917" t="s">
        <v>56</v>
      </c>
    </row>
    <row r="2918" spans="1:3" x14ac:dyDescent="0.2">
      <c r="A2918">
        <v>9395</v>
      </c>
      <c r="B2918" t="s">
        <v>56</v>
      </c>
    </row>
    <row r="2919" spans="1:3" x14ac:dyDescent="0.2">
      <c r="A2919">
        <v>9395</v>
      </c>
      <c r="B2919" s="9" t="s">
        <v>56</v>
      </c>
    </row>
    <row r="2920" spans="1:3" x14ac:dyDescent="0.2">
      <c r="A2920" s="3">
        <v>9410</v>
      </c>
      <c r="B2920" s="3" t="s">
        <v>340</v>
      </c>
      <c r="C2920">
        <v>2000348</v>
      </c>
    </row>
    <row r="2921" spans="1:3" x14ac:dyDescent="0.2">
      <c r="A2921" s="3">
        <v>9410</v>
      </c>
      <c r="B2921" s="3" t="s">
        <v>340</v>
      </c>
      <c r="C2921">
        <v>2000348</v>
      </c>
    </row>
    <row r="2922" spans="1:3" x14ac:dyDescent="0.2">
      <c r="A2922" s="3">
        <v>9410</v>
      </c>
      <c r="B2922" s="3" t="s">
        <v>340</v>
      </c>
      <c r="C2922">
        <v>2000348</v>
      </c>
    </row>
    <row r="2923" spans="1:3" x14ac:dyDescent="0.2">
      <c r="A2923">
        <v>9410</v>
      </c>
      <c r="B2923" t="s">
        <v>340</v>
      </c>
      <c r="C2923">
        <v>2000348</v>
      </c>
    </row>
    <row r="2924" spans="1:3" x14ac:dyDescent="0.2">
      <c r="A2924">
        <v>9410</v>
      </c>
      <c r="B2924" t="s">
        <v>340</v>
      </c>
      <c r="C2924">
        <v>2000348</v>
      </c>
    </row>
    <row r="2925" spans="1:3" x14ac:dyDescent="0.2">
      <c r="A2925">
        <v>9410</v>
      </c>
      <c r="B2925" t="s">
        <v>340</v>
      </c>
      <c r="C2925">
        <v>2000348</v>
      </c>
    </row>
    <row r="2926" spans="1:3" x14ac:dyDescent="0.2">
      <c r="A2926">
        <v>9410</v>
      </c>
      <c r="B2926" t="s">
        <v>340</v>
      </c>
      <c r="C2926">
        <v>2000348</v>
      </c>
    </row>
    <row r="2927" spans="1:3" x14ac:dyDescent="0.2">
      <c r="A2927">
        <v>9410</v>
      </c>
      <c r="B2927" t="s">
        <v>340</v>
      </c>
      <c r="C2927">
        <v>2000348</v>
      </c>
    </row>
    <row r="2928" spans="1:3" x14ac:dyDescent="0.2">
      <c r="A2928">
        <v>9410</v>
      </c>
      <c r="B2928" s="9" t="s">
        <v>340</v>
      </c>
      <c r="C2928">
        <v>2000348</v>
      </c>
    </row>
    <row r="2929" spans="1:3" x14ac:dyDescent="0.2">
      <c r="A2929" s="3">
        <v>9444</v>
      </c>
      <c r="B2929" s="3" t="s">
        <v>341</v>
      </c>
      <c r="C2929">
        <v>2000351</v>
      </c>
    </row>
    <row r="2930" spans="1:3" x14ac:dyDescent="0.2">
      <c r="A2930" s="3">
        <v>9444</v>
      </c>
      <c r="B2930" s="3" t="s">
        <v>341</v>
      </c>
      <c r="C2930">
        <v>2000351</v>
      </c>
    </row>
    <row r="2931" spans="1:3" x14ac:dyDescent="0.2">
      <c r="A2931" s="3">
        <v>9444</v>
      </c>
      <c r="B2931" s="3" t="s">
        <v>341</v>
      </c>
      <c r="C2931">
        <v>2000351</v>
      </c>
    </row>
    <row r="2932" spans="1:3" x14ac:dyDescent="0.2">
      <c r="A2932">
        <v>9444</v>
      </c>
      <c r="B2932" t="s">
        <v>341</v>
      </c>
      <c r="C2932">
        <v>2000351</v>
      </c>
    </row>
    <row r="2933" spans="1:3" x14ac:dyDescent="0.2">
      <c r="A2933">
        <v>9444</v>
      </c>
      <c r="B2933" t="s">
        <v>341</v>
      </c>
      <c r="C2933">
        <v>2000351</v>
      </c>
    </row>
    <row r="2934" spans="1:3" x14ac:dyDescent="0.2">
      <c r="A2934">
        <v>9444</v>
      </c>
      <c r="B2934" t="s">
        <v>341</v>
      </c>
      <c r="C2934">
        <v>2000351</v>
      </c>
    </row>
    <row r="2935" spans="1:3" x14ac:dyDescent="0.2">
      <c r="A2935">
        <v>9444</v>
      </c>
      <c r="B2935" t="s">
        <v>341</v>
      </c>
      <c r="C2935">
        <v>2000351</v>
      </c>
    </row>
    <row r="2936" spans="1:3" x14ac:dyDescent="0.2">
      <c r="A2936">
        <v>9444</v>
      </c>
      <c r="B2936" t="s">
        <v>341</v>
      </c>
      <c r="C2936">
        <v>2000351</v>
      </c>
    </row>
    <row r="2937" spans="1:3" x14ac:dyDescent="0.2">
      <c r="A2937">
        <v>9444</v>
      </c>
      <c r="B2937" s="9" t="s">
        <v>341</v>
      </c>
      <c r="C2937">
        <v>2000351</v>
      </c>
    </row>
    <row r="2938" spans="1:3" x14ac:dyDescent="0.2">
      <c r="A2938" s="3">
        <v>9445</v>
      </c>
      <c r="B2938" s="3" t="s">
        <v>342</v>
      </c>
      <c r="C2938">
        <v>2000349</v>
      </c>
    </row>
    <row r="2939" spans="1:3" x14ac:dyDescent="0.2">
      <c r="A2939" s="3">
        <v>9445</v>
      </c>
      <c r="B2939" s="3" t="s">
        <v>342</v>
      </c>
      <c r="C2939">
        <v>2000349</v>
      </c>
    </row>
    <row r="2940" spans="1:3" x14ac:dyDescent="0.2">
      <c r="A2940" s="3">
        <v>9445</v>
      </c>
      <c r="B2940" s="3" t="s">
        <v>342</v>
      </c>
      <c r="C2940">
        <v>2000349</v>
      </c>
    </row>
    <row r="2941" spans="1:3" x14ac:dyDescent="0.2">
      <c r="A2941">
        <v>9445</v>
      </c>
      <c r="B2941" t="s">
        <v>342</v>
      </c>
      <c r="C2941">
        <v>2000349</v>
      </c>
    </row>
    <row r="2942" spans="1:3" x14ac:dyDescent="0.2">
      <c r="A2942">
        <v>9445</v>
      </c>
      <c r="B2942" t="s">
        <v>342</v>
      </c>
      <c r="C2942">
        <v>2000349</v>
      </c>
    </row>
    <row r="2943" spans="1:3" x14ac:dyDescent="0.2">
      <c r="A2943">
        <v>9445</v>
      </c>
      <c r="B2943" t="s">
        <v>342</v>
      </c>
      <c r="C2943">
        <v>2000349</v>
      </c>
    </row>
    <row r="2944" spans="1:3" x14ac:dyDescent="0.2">
      <c r="A2944">
        <v>9445</v>
      </c>
      <c r="B2944" t="s">
        <v>342</v>
      </c>
      <c r="C2944">
        <v>2000349</v>
      </c>
    </row>
    <row r="2945" spans="1:3" x14ac:dyDescent="0.2">
      <c r="A2945">
        <v>9445</v>
      </c>
      <c r="B2945" t="s">
        <v>342</v>
      </c>
      <c r="C2945">
        <v>2000349</v>
      </c>
    </row>
    <row r="2946" spans="1:3" x14ac:dyDescent="0.2">
      <c r="A2946">
        <v>9445</v>
      </c>
      <c r="B2946" s="9" t="s">
        <v>342</v>
      </c>
      <c r="C2946">
        <v>2000349</v>
      </c>
    </row>
    <row r="2947" spans="1:3" x14ac:dyDescent="0.2">
      <c r="A2947" s="3">
        <v>9446</v>
      </c>
      <c r="B2947" s="3" t="s">
        <v>343</v>
      </c>
      <c r="C2947">
        <v>2000350</v>
      </c>
    </row>
    <row r="2948" spans="1:3" x14ac:dyDescent="0.2">
      <c r="A2948" s="3">
        <v>9446</v>
      </c>
      <c r="B2948" s="3" t="s">
        <v>343</v>
      </c>
      <c r="C2948">
        <v>2000350</v>
      </c>
    </row>
    <row r="2949" spans="1:3" x14ac:dyDescent="0.2">
      <c r="A2949" s="3">
        <v>9446</v>
      </c>
      <c r="B2949" s="3" t="s">
        <v>343</v>
      </c>
      <c r="C2949">
        <v>2000350</v>
      </c>
    </row>
    <row r="2950" spans="1:3" x14ac:dyDescent="0.2">
      <c r="A2950">
        <v>9446</v>
      </c>
      <c r="B2950" t="s">
        <v>343</v>
      </c>
      <c r="C2950">
        <v>2000350</v>
      </c>
    </row>
    <row r="2951" spans="1:3" x14ac:dyDescent="0.2">
      <c r="A2951">
        <v>9446</v>
      </c>
      <c r="B2951" t="s">
        <v>343</v>
      </c>
      <c r="C2951">
        <v>2000350</v>
      </c>
    </row>
    <row r="2952" spans="1:3" x14ac:dyDescent="0.2">
      <c r="A2952">
        <v>9446</v>
      </c>
      <c r="B2952" t="s">
        <v>343</v>
      </c>
      <c r="C2952">
        <v>2000350</v>
      </c>
    </row>
    <row r="2953" spans="1:3" x14ac:dyDescent="0.2">
      <c r="A2953">
        <v>9446</v>
      </c>
      <c r="B2953" t="s">
        <v>343</v>
      </c>
      <c r="C2953">
        <v>2000350</v>
      </c>
    </row>
    <row r="2954" spans="1:3" x14ac:dyDescent="0.2">
      <c r="A2954">
        <v>9446</v>
      </c>
      <c r="B2954" t="s">
        <v>343</v>
      </c>
      <c r="C2954">
        <v>2000350</v>
      </c>
    </row>
    <row r="2955" spans="1:3" x14ac:dyDescent="0.2">
      <c r="A2955">
        <v>9446</v>
      </c>
      <c r="B2955" s="9" t="s">
        <v>343</v>
      </c>
      <c r="C2955">
        <v>2000350</v>
      </c>
    </row>
    <row r="2956" spans="1:3" x14ac:dyDescent="0.2">
      <c r="A2956" s="3">
        <v>9461</v>
      </c>
      <c r="B2956" s="3" t="s">
        <v>344</v>
      </c>
      <c r="C2956">
        <v>2000353</v>
      </c>
    </row>
    <row r="2957" spans="1:3" x14ac:dyDescent="0.2">
      <c r="A2957" s="3">
        <v>9461</v>
      </c>
      <c r="B2957" s="3" t="s">
        <v>344</v>
      </c>
      <c r="C2957">
        <v>2000353</v>
      </c>
    </row>
    <row r="2958" spans="1:3" x14ac:dyDescent="0.2">
      <c r="A2958" s="3">
        <v>9461</v>
      </c>
      <c r="B2958" s="3" t="s">
        <v>344</v>
      </c>
      <c r="C2958">
        <v>2000353</v>
      </c>
    </row>
    <row r="2959" spans="1:3" x14ac:dyDescent="0.2">
      <c r="A2959">
        <v>9461</v>
      </c>
      <c r="B2959" t="s">
        <v>344</v>
      </c>
      <c r="C2959">
        <v>2000353</v>
      </c>
    </row>
    <row r="2960" spans="1:3" x14ac:dyDescent="0.2">
      <c r="A2960">
        <v>9461</v>
      </c>
      <c r="B2960" t="s">
        <v>344</v>
      </c>
      <c r="C2960">
        <v>2000353</v>
      </c>
    </row>
    <row r="2961" spans="1:3" x14ac:dyDescent="0.2">
      <c r="A2961">
        <v>9461</v>
      </c>
      <c r="B2961" t="s">
        <v>344</v>
      </c>
      <c r="C2961">
        <v>2000353</v>
      </c>
    </row>
    <row r="2962" spans="1:3" x14ac:dyDescent="0.2">
      <c r="A2962">
        <v>9461</v>
      </c>
      <c r="B2962" t="s">
        <v>344</v>
      </c>
      <c r="C2962">
        <v>2000353</v>
      </c>
    </row>
    <row r="2963" spans="1:3" x14ac:dyDescent="0.2">
      <c r="A2963">
        <v>9461</v>
      </c>
      <c r="B2963" t="s">
        <v>344</v>
      </c>
      <c r="C2963">
        <v>2000353</v>
      </c>
    </row>
    <row r="2964" spans="1:3" x14ac:dyDescent="0.2">
      <c r="A2964">
        <v>9461</v>
      </c>
      <c r="B2964" s="9" t="s">
        <v>344</v>
      </c>
      <c r="C2964">
        <v>2000353</v>
      </c>
    </row>
    <row r="2965" spans="1:3" x14ac:dyDescent="0.2">
      <c r="A2965" s="3">
        <v>9487</v>
      </c>
      <c r="B2965" s="3" t="s">
        <v>57</v>
      </c>
    </row>
    <row r="2966" spans="1:3" x14ac:dyDescent="0.2">
      <c r="A2966" s="3">
        <v>9487</v>
      </c>
      <c r="B2966" s="3" t="s">
        <v>57</v>
      </c>
    </row>
    <row r="2967" spans="1:3" x14ac:dyDescent="0.2">
      <c r="A2967">
        <v>9487</v>
      </c>
      <c r="B2967" t="s">
        <v>57</v>
      </c>
    </row>
    <row r="2968" spans="1:3" x14ac:dyDescent="0.2">
      <c r="A2968">
        <v>9487</v>
      </c>
      <c r="B2968" t="s">
        <v>57</v>
      </c>
    </row>
    <row r="2969" spans="1:3" x14ac:dyDescent="0.2">
      <c r="A2969">
        <v>9487</v>
      </c>
      <c r="B2969" t="s">
        <v>57</v>
      </c>
    </row>
    <row r="2970" spans="1:3" x14ac:dyDescent="0.2">
      <c r="A2970">
        <v>9487</v>
      </c>
      <c r="B2970" t="s">
        <v>57</v>
      </c>
    </row>
    <row r="2971" spans="1:3" x14ac:dyDescent="0.2">
      <c r="A2971">
        <v>9487</v>
      </c>
      <c r="B2971" s="9" t="s">
        <v>57</v>
      </c>
    </row>
    <row r="2972" spans="1:3" x14ac:dyDescent="0.2">
      <c r="A2972" s="3">
        <v>9507</v>
      </c>
      <c r="B2972" s="3" t="s">
        <v>58</v>
      </c>
      <c r="C2972">
        <v>2000354</v>
      </c>
    </row>
    <row r="2973" spans="1:3" x14ac:dyDescent="0.2">
      <c r="A2973" s="3">
        <v>9507</v>
      </c>
      <c r="B2973" s="3" t="s">
        <v>58</v>
      </c>
      <c r="C2973">
        <v>2000354</v>
      </c>
    </row>
    <row r="2974" spans="1:3" x14ac:dyDescent="0.2">
      <c r="A2974">
        <v>9507</v>
      </c>
      <c r="B2974" t="s">
        <v>58</v>
      </c>
      <c r="C2974">
        <v>2000354</v>
      </c>
    </row>
    <row r="2975" spans="1:3" x14ac:dyDescent="0.2">
      <c r="A2975">
        <v>9507</v>
      </c>
      <c r="B2975" t="s">
        <v>58</v>
      </c>
      <c r="C2975">
        <v>2000354</v>
      </c>
    </row>
    <row r="2976" spans="1:3" x14ac:dyDescent="0.2">
      <c r="A2976">
        <v>9507</v>
      </c>
      <c r="B2976" t="s">
        <v>58</v>
      </c>
      <c r="C2976">
        <v>2000354</v>
      </c>
    </row>
    <row r="2977" spans="1:3" x14ac:dyDescent="0.2">
      <c r="A2977">
        <v>9507</v>
      </c>
      <c r="B2977" t="s">
        <v>58</v>
      </c>
      <c r="C2977">
        <v>2000354</v>
      </c>
    </row>
    <row r="2978" spans="1:3" x14ac:dyDescent="0.2">
      <c r="A2978">
        <v>9507</v>
      </c>
      <c r="B2978" t="s">
        <v>58</v>
      </c>
      <c r="C2978">
        <v>2000354</v>
      </c>
    </row>
    <row r="2979" spans="1:3" x14ac:dyDescent="0.2">
      <c r="A2979">
        <v>9507</v>
      </c>
      <c r="B2979" s="9" t="s">
        <v>58</v>
      </c>
      <c r="C2979">
        <v>2000354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Yearly Data --&gt;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NCES Match --&gt;</vt:lpstr>
      <vt:lpstr>LEAID 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Kearney</dc:creator>
  <cp:lastModifiedBy>Gregory Kearney</cp:lastModifiedBy>
  <dcterms:created xsi:type="dcterms:W3CDTF">2025-01-20T12:23:33Z</dcterms:created>
  <dcterms:modified xsi:type="dcterms:W3CDTF">2025-03-24T01:11:44Z</dcterms:modified>
</cp:coreProperties>
</file>