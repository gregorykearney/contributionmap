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Kansas/"/>
    </mc:Choice>
  </mc:AlternateContent>
  <xr:revisionPtr revIDLastSave="0" documentId="8_{5E747F90-61A4-2249-A45D-C5E213995CDD}" xr6:coauthVersionLast="47" xr6:coauthVersionMax="47" xr10:uidLastSave="{00000000-0000-0000-0000-000000000000}"/>
  <bookViews>
    <workbookView xWindow="0" yWindow="780" windowWidth="18800" windowHeight="20320" xr2:uid="{C2643D15-144E-F34F-9E1A-E10BE8F400CA}"/>
  </bookViews>
  <sheets>
    <sheet name="Summary" sheetId="11" r:id="rId1"/>
    <sheet name="Yearly Data --&gt;" sheetId="14" r:id="rId2"/>
    <sheet name="2023" sheetId="2" r:id="rId3"/>
    <sheet name="2022" sheetId="3" r:id="rId4"/>
    <sheet name="2021" sheetId="4" r:id="rId5"/>
    <sheet name="2020" sheetId="5" r:id="rId6"/>
    <sheet name="2019" sheetId="6" r:id="rId7"/>
    <sheet name="2018" sheetId="7" r:id="rId8"/>
    <sheet name="2017" sheetId="8" r:id="rId9"/>
    <sheet name="2016" sheetId="9" r:id="rId10"/>
    <sheet name="2015" sheetId="10" r:id="rId11"/>
  </sheets>
  <definedNames>
    <definedName name="_xlnm._FilterDatabase" localSheetId="0" hidden="1">Summary!$A$1:$J$2979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G4" i="4" s="1"/>
  <c r="H4" i="4" s="1"/>
  <c r="F10" i="4"/>
  <c r="G10" i="4" s="1"/>
  <c r="H10" i="4" s="1"/>
  <c r="F15" i="4"/>
  <c r="G15" i="4" s="1"/>
  <c r="H15" i="4" s="1"/>
  <c r="F19" i="4"/>
  <c r="G19" i="4" s="1"/>
  <c r="H19" i="4" s="1"/>
  <c r="F20" i="4"/>
  <c r="G20" i="4" s="1"/>
  <c r="H20" i="4" s="1"/>
  <c r="F22" i="4"/>
  <c r="G22" i="4" s="1"/>
  <c r="H22" i="4" s="1"/>
  <c r="F29" i="4"/>
  <c r="G29" i="4" s="1"/>
  <c r="H29" i="4" s="1"/>
  <c r="F30" i="4"/>
  <c r="G30" i="4" s="1"/>
  <c r="H30" i="4" s="1"/>
  <c r="F31" i="4"/>
  <c r="G31" i="4" s="1"/>
  <c r="H31" i="4" s="1"/>
  <c r="F36" i="4"/>
  <c r="G36" i="4" s="1"/>
  <c r="H36" i="4" s="1"/>
  <c r="F43" i="4"/>
  <c r="G43" i="4" s="1"/>
  <c r="H43" i="4" s="1"/>
  <c r="F44" i="4"/>
  <c r="G44" i="4" s="1"/>
  <c r="H44" i="4" s="1"/>
  <c r="F45" i="4"/>
  <c r="G45" i="4" s="1"/>
  <c r="H45" i="4" s="1"/>
  <c r="F47" i="4"/>
  <c r="G47" i="4" s="1"/>
  <c r="H47" i="4" s="1"/>
  <c r="F54" i="4"/>
  <c r="G54" i="4" s="1"/>
  <c r="H54" i="4" s="1"/>
  <c r="F55" i="4"/>
  <c r="G55" i="4" s="1"/>
  <c r="H55" i="4" s="1"/>
  <c r="F59" i="4"/>
  <c r="G59" i="4" s="1"/>
  <c r="H59" i="4" s="1"/>
  <c r="F61" i="4"/>
  <c r="G61" i="4" s="1"/>
  <c r="H61" i="4" s="1"/>
  <c r="F68" i="4"/>
  <c r="G68" i="4" s="1"/>
  <c r="H68" i="4" s="1"/>
  <c r="F69" i="4"/>
  <c r="G69" i="4" s="1"/>
  <c r="H69" i="4" s="1"/>
  <c r="F70" i="4"/>
  <c r="G70" i="4" s="1"/>
  <c r="H70" i="4" s="1"/>
  <c r="F75" i="4"/>
  <c r="G75" i="4" s="1"/>
  <c r="H75" i="4" s="1"/>
  <c r="F79" i="4"/>
  <c r="G79" i="4" s="1"/>
  <c r="H79" i="4" s="1"/>
  <c r="F83" i="4"/>
  <c r="G83" i="4" s="1"/>
  <c r="H83" i="4" s="1"/>
  <c r="F84" i="4"/>
  <c r="G84" i="4" s="1"/>
  <c r="H84" i="4" s="1"/>
  <c r="F86" i="4"/>
  <c r="G86" i="4" s="1"/>
  <c r="H86" i="4" s="1"/>
  <c r="F93" i="4"/>
  <c r="G93" i="4" s="1"/>
  <c r="H93" i="4" s="1"/>
  <c r="F94" i="4"/>
  <c r="G94" i="4" s="1"/>
  <c r="H94" i="4" s="1"/>
  <c r="F95" i="4"/>
  <c r="G95" i="4" s="1"/>
  <c r="H95" i="4" s="1"/>
  <c r="F100" i="4"/>
  <c r="G100" i="4" s="1"/>
  <c r="H100" i="4" s="1"/>
  <c r="F107" i="4"/>
  <c r="G107" i="4" s="1"/>
  <c r="H107" i="4" s="1"/>
  <c r="F108" i="4"/>
  <c r="G108" i="4" s="1"/>
  <c r="H108" i="4" s="1"/>
  <c r="F109" i="4"/>
  <c r="G109" i="4" s="1"/>
  <c r="H109" i="4" s="1"/>
  <c r="F111" i="4"/>
  <c r="G111" i="4" s="1"/>
  <c r="H111" i="4" s="1"/>
  <c r="F118" i="4"/>
  <c r="G118" i="4" s="1"/>
  <c r="H118" i="4" s="1"/>
  <c r="F119" i="4"/>
  <c r="G119" i="4" s="1"/>
  <c r="H119" i="4" s="1"/>
  <c r="F123" i="4"/>
  <c r="G123" i="4" s="1"/>
  <c r="H123" i="4" s="1"/>
  <c r="F125" i="4"/>
  <c r="G125" i="4" s="1"/>
  <c r="H125" i="4" s="1"/>
  <c r="F132" i="4"/>
  <c r="G132" i="4" s="1"/>
  <c r="H132" i="4" s="1"/>
  <c r="F133" i="4"/>
  <c r="G133" i="4" s="1"/>
  <c r="H133" i="4" s="1"/>
  <c r="F134" i="4"/>
  <c r="G134" i="4" s="1"/>
  <c r="H134" i="4" s="1"/>
  <c r="F139" i="4"/>
  <c r="G139" i="4" s="1"/>
  <c r="H139" i="4" s="1"/>
  <c r="F143" i="4"/>
  <c r="G143" i="4" s="1"/>
  <c r="H143" i="4" s="1"/>
  <c r="F147" i="4"/>
  <c r="G147" i="4" s="1"/>
  <c r="H147" i="4" s="1"/>
  <c r="F148" i="4"/>
  <c r="G148" i="4" s="1"/>
  <c r="H148" i="4" s="1"/>
  <c r="F150" i="4"/>
  <c r="G150" i="4" s="1"/>
  <c r="H150" i="4" s="1"/>
  <c r="F157" i="4"/>
  <c r="G157" i="4" s="1"/>
  <c r="H157" i="4" s="1"/>
  <c r="F158" i="4"/>
  <c r="G158" i="4" s="1"/>
  <c r="H158" i="4" s="1"/>
  <c r="F159" i="4"/>
  <c r="G159" i="4" s="1"/>
  <c r="H159" i="4" s="1"/>
  <c r="F164" i="4"/>
  <c r="G164" i="4" s="1"/>
  <c r="H164" i="4" s="1"/>
  <c r="F171" i="4"/>
  <c r="G171" i="4" s="1"/>
  <c r="H171" i="4" s="1"/>
  <c r="F172" i="4"/>
  <c r="G172" i="4" s="1"/>
  <c r="H172" i="4" s="1"/>
  <c r="F173" i="4"/>
  <c r="G173" i="4" s="1"/>
  <c r="H173" i="4" s="1"/>
  <c r="F175" i="4"/>
  <c r="G175" i="4" s="1"/>
  <c r="H175" i="4" s="1"/>
  <c r="F182" i="4"/>
  <c r="G182" i="4" s="1"/>
  <c r="H182" i="4" s="1"/>
  <c r="F183" i="4"/>
  <c r="G183" i="4" s="1"/>
  <c r="H183" i="4" s="1"/>
  <c r="F187" i="4"/>
  <c r="G187" i="4" s="1"/>
  <c r="H187" i="4" s="1"/>
  <c r="F189" i="4"/>
  <c r="G189" i="4" s="1"/>
  <c r="H189" i="4" s="1"/>
  <c r="F196" i="4"/>
  <c r="G196" i="4" s="1"/>
  <c r="H196" i="4" s="1"/>
  <c r="F197" i="4"/>
  <c r="G197" i="4" s="1"/>
  <c r="H197" i="4" s="1"/>
  <c r="F198" i="4"/>
  <c r="G198" i="4" s="1"/>
  <c r="H198" i="4" s="1"/>
  <c r="F203" i="4"/>
  <c r="G203" i="4" s="1"/>
  <c r="H203" i="4" s="1"/>
  <c r="F207" i="4"/>
  <c r="G207" i="4" s="1"/>
  <c r="H207" i="4" s="1"/>
  <c r="F211" i="4"/>
  <c r="G211" i="4" s="1"/>
  <c r="H211" i="4" s="1"/>
  <c r="F212" i="4"/>
  <c r="G212" i="4" s="1"/>
  <c r="H212" i="4" s="1"/>
  <c r="F214" i="4"/>
  <c r="G214" i="4" s="1"/>
  <c r="H214" i="4" s="1"/>
  <c r="F221" i="4"/>
  <c r="G221" i="4" s="1"/>
  <c r="H221" i="4" s="1"/>
  <c r="F222" i="4"/>
  <c r="G222" i="4" s="1"/>
  <c r="H222" i="4" s="1"/>
  <c r="F223" i="4"/>
  <c r="G223" i="4" s="1"/>
  <c r="H223" i="4" s="1"/>
  <c r="F228" i="4"/>
  <c r="G228" i="4" s="1"/>
  <c r="H228" i="4" s="1"/>
  <c r="F235" i="4"/>
  <c r="G235" i="4" s="1"/>
  <c r="H235" i="4" s="1"/>
  <c r="F236" i="4"/>
  <c r="G236" i="4" s="1"/>
  <c r="H236" i="4" s="1"/>
  <c r="F237" i="4"/>
  <c r="G237" i="4" s="1"/>
  <c r="H237" i="4" s="1"/>
  <c r="F239" i="4"/>
  <c r="G239" i="4" s="1"/>
  <c r="H239" i="4" s="1"/>
  <c r="F246" i="4"/>
  <c r="G246" i="4" s="1"/>
  <c r="H246" i="4" s="1"/>
  <c r="F247" i="4"/>
  <c r="G247" i="4" s="1"/>
  <c r="H247" i="4" s="1"/>
  <c r="F251" i="4"/>
  <c r="G251" i="4" s="1"/>
  <c r="H251" i="4" s="1"/>
  <c r="F253" i="4"/>
  <c r="G253" i="4" s="1"/>
  <c r="H253" i="4" s="1"/>
  <c r="F259" i="4"/>
  <c r="G259" i="4" s="1"/>
  <c r="H259" i="4" s="1"/>
  <c r="F260" i="4"/>
  <c r="G260" i="4" s="1"/>
  <c r="H260" i="4" s="1"/>
  <c r="F261" i="4"/>
  <c r="G261" i="4" s="1"/>
  <c r="H261" i="4" s="1"/>
  <c r="F263" i="4"/>
  <c r="G263" i="4" s="1"/>
  <c r="H263" i="4" s="1"/>
  <c r="F269" i="4"/>
  <c r="G269" i="4" s="1"/>
  <c r="H269" i="4" s="1"/>
  <c r="F270" i="4"/>
  <c r="G270" i="4" s="1"/>
  <c r="H270" i="4" s="1"/>
  <c r="F271" i="4"/>
  <c r="G271" i="4" s="1"/>
  <c r="H271" i="4" s="1"/>
  <c r="F275" i="4"/>
  <c r="G275" i="4" s="1"/>
  <c r="H275" i="4" s="1"/>
  <c r="F279" i="4"/>
  <c r="G279" i="4" s="1"/>
  <c r="H279" i="4" s="1"/>
  <c r="F282" i="4"/>
  <c r="G282" i="4" s="1"/>
  <c r="H282" i="4" s="1"/>
  <c r="F283" i="4"/>
  <c r="G283" i="4" s="1"/>
  <c r="H283" i="4" s="1"/>
  <c r="F285" i="4"/>
  <c r="G285" i="4" s="1"/>
  <c r="H285" i="4" s="1"/>
  <c r="F290" i="4"/>
  <c r="G290" i="4" s="1"/>
  <c r="H290" i="4" s="1"/>
  <c r="F291" i="4"/>
  <c r="G291" i="4" s="1"/>
  <c r="H291" i="4" s="1"/>
  <c r="F292" i="4"/>
  <c r="G292" i="4" s="1"/>
  <c r="H292" i="4" s="1"/>
  <c r="F294" i="4"/>
  <c r="G294" i="4" s="1"/>
  <c r="H294" i="4" s="1"/>
  <c r="F299" i="4"/>
  <c r="G299" i="4" s="1"/>
  <c r="H299" i="4" s="1"/>
  <c r="F300" i="4"/>
  <c r="G300" i="4" s="1"/>
  <c r="H300" i="4" s="1"/>
  <c r="F301" i="4"/>
  <c r="G301" i="4" s="1"/>
  <c r="H301" i="4" s="1"/>
  <c r="F303" i="4"/>
  <c r="G303" i="4" s="1"/>
  <c r="H303" i="4" s="1"/>
  <c r="F308" i="4"/>
  <c r="G308" i="4" s="1"/>
  <c r="H308" i="4" s="1"/>
  <c r="F309" i="4"/>
  <c r="G309" i="4" s="1"/>
  <c r="H309" i="4" s="1"/>
  <c r="F310" i="4"/>
  <c r="G310" i="4" s="1"/>
  <c r="H310" i="4" s="1"/>
  <c r="F313" i="4"/>
  <c r="G313" i="4" s="1"/>
  <c r="H313" i="4" s="1"/>
  <c r="F317" i="4"/>
  <c r="G317" i="4" s="1"/>
  <c r="H317" i="4" s="1"/>
  <c r="F318" i="4"/>
  <c r="G318" i="4" s="1"/>
  <c r="H318" i="4" s="1"/>
  <c r="F319" i="4"/>
  <c r="G319" i="4" s="1"/>
  <c r="H319" i="4" s="1"/>
  <c r="F322" i="4"/>
  <c r="G322" i="4" s="1"/>
  <c r="H322" i="4" s="1"/>
  <c r="F326" i="4"/>
  <c r="G326" i="4" s="1"/>
  <c r="H326" i="4" s="1"/>
  <c r="F327" i="4"/>
  <c r="G327" i="4" s="1"/>
  <c r="H327" i="4" s="1"/>
  <c r="F329" i="4"/>
  <c r="G329" i="4" s="1"/>
  <c r="H329" i="4" s="1"/>
  <c r="F331" i="4"/>
  <c r="G331" i="4" s="1"/>
  <c r="H331" i="4" s="1"/>
  <c r="G246" i="5"/>
  <c r="H246" i="5" s="1"/>
  <c r="F11" i="5"/>
  <c r="G11" i="5" s="1"/>
  <c r="H11" i="5" s="1"/>
  <c r="F15" i="5"/>
  <c r="G15" i="5" s="1"/>
  <c r="H15" i="5" s="1"/>
  <c r="F22" i="5"/>
  <c r="G22" i="5" s="1"/>
  <c r="H22" i="5" s="1"/>
  <c r="F29" i="5"/>
  <c r="G29" i="5" s="1"/>
  <c r="H29" i="5" s="1"/>
  <c r="F36" i="5"/>
  <c r="G36" i="5" s="1"/>
  <c r="H36" i="5" s="1"/>
  <c r="F43" i="5"/>
  <c r="G43" i="5" s="1"/>
  <c r="H43" i="5" s="1"/>
  <c r="F47" i="5"/>
  <c r="G47" i="5" s="1"/>
  <c r="H47" i="5" s="1"/>
  <c r="F54" i="5"/>
  <c r="G54" i="5" s="1"/>
  <c r="H54" i="5" s="1"/>
  <c r="F61" i="5"/>
  <c r="G61" i="5" s="1"/>
  <c r="H61" i="5" s="1"/>
  <c r="F68" i="5"/>
  <c r="G68" i="5" s="1"/>
  <c r="H68" i="5" s="1"/>
  <c r="F75" i="5"/>
  <c r="G75" i="5" s="1"/>
  <c r="H75" i="5" s="1"/>
  <c r="F79" i="5"/>
  <c r="G79" i="5" s="1"/>
  <c r="H79" i="5" s="1"/>
  <c r="F86" i="5"/>
  <c r="G86" i="5" s="1"/>
  <c r="H86" i="5" s="1"/>
  <c r="F93" i="5"/>
  <c r="G93" i="5" s="1"/>
  <c r="H93" i="5" s="1"/>
  <c r="F100" i="5"/>
  <c r="G100" i="5" s="1"/>
  <c r="H100" i="5" s="1"/>
  <c r="F107" i="5"/>
  <c r="G107" i="5" s="1"/>
  <c r="H107" i="5" s="1"/>
  <c r="F111" i="5"/>
  <c r="G111" i="5" s="1"/>
  <c r="H111" i="5" s="1"/>
  <c r="F118" i="5"/>
  <c r="G118" i="5" s="1"/>
  <c r="H118" i="5" s="1"/>
  <c r="F125" i="5"/>
  <c r="G125" i="5" s="1"/>
  <c r="H125" i="5" s="1"/>
  <c r="F132" i="5"/>
  <c r="G132" i="5" s="1"/>
  <c r="H132" i="5" s="1"/>
  <c r="F139" i="5"/>
  <c r="G139" i="5" s="1"/>
  <c r="H139" i="5" s="1"/>
  <c r="F143" i="5"/>
  <c r="G143" i="5" s="1"/>
  <c r="H143" i="5" s="1"/>
  <c r="F150" i="5"/>
  <c r="G150" i="5" s="1"/>
  <c r="H150" i="5" s="1"/>
  <c r="F157" i="5"/>
  <c r="G157" i="5" s="1"/>
  <c r="H157" i="5" s="1"/>
  <c r="F164" i="5"/>
  <c r="G164" i="5" s="1"/>
  <c r="H164" i="5" s="1"/>
  <c r="F171" i="5"/>
  <c r="G171" i="5" s="1"/>
  <c r="H171" i="5" s="1"/>
  <c r="F175" i="5"/>
  <c r="G175" i="5" s="1"/>
  <c r="H175" i="5" s="1"/>
  <c r="F182" i="5"/>
  <c r="G182" i="5" s="1"/>
  <c r="H182" i="5" s="1"/>
  <c r="F189" i="5"/>
  <c r="G189" i="5" s="1"/>
  <c r="H189" i="5" s="1"/>
  <c r="F196" i="5"/>
  <c r="G196" i="5" s="1"/>
  <c r="H196" i="5" s="1"/>
  <c r="F203" i="5"/>
  <c r="G203" i="5" s="1"/>
  <c r="H203" i="5" s="1"/>
  <c r="F207" i="5"/>
  <c r="G207" i="5" s="1"/>
  <c r="H207" i="5" s="1"/>
  <c r="F214" i="5"/>
  <c r="G214" i="5" s="1"/>
  <c r="H214" i="5" s="1"/>
  <c r="F221" i="5"/>
  <c r="G221" i="5" s="1"/>
  <c r="H221" i="5" s="1"/>
  <c r="F228" i="5"/>
  <c r="G228" i="5" s="1"/>
  <c r="H228" i="5" s="1"/>
  <c r="F235" i="5"/>
  <c r="G235" i="5" s="1"/>
  <c r="H235" i="5" s="1"/>
  <c r="F239" i="5"/>
  <c r="G239" i="5" s="1"/>
  <c r="H239" i="5" s="1"/>
  <c r="F246" i="5"/>
  <c r="F253" i="5"/>
  <c r="G253" i="5" s="1"/>
  <c r="H253" i="5" s="1"/>
  <c r="F260" i="5"/>
  <c r="G260" i="5" s="1"/>
  <c r="H260" i="5" s="1"/>
  <c r="F267" i="5"/>
  <c r="G267" i="5" s="1"/>
  <c r="H267" i="5" s="1"/>
  <c r="F271" i="5"/>
  <c r="G271" i="5" s="1"/>
  <c r="H271" i="5" s="1"/>
  <c r="F278" i="5"/>
  <c r="G278" i="5" s="1"/>
  <c r="H278" i="5" s="1"/>
  <c r="F285" i="5"/>
  <c r="G285" i="5" s="1"/>
  <c r="H285" i="5" s="1"/>
  <c r="F292" i="5"/>
  <c r="G292" i="5" s="1"/>
  <c r="H292" i="5" s="1"/>
  <c r="F299" i="5"/>
  <c r="G299" i="5" s="1"/>
  <c r="H299" i="5" s="1"/>
  <c r="F303" i="5"/>
  <c r="G303" i="5" s="1"/>
  <c r="H303" i="5" s="1"/>
  <c r="F309" i="5"/>
  <c r="G309" i="5" s="1"/>
  <c r="H309" i="5" s="1"/>
  <c r="F314" i="5"/>
  <c r="G314" i="5" s="1"/>
  <c r="H314" i="5" s="1"/>
  <c r="F318" i="5"/>
  <c r="G318" i="5" s="1"/>
  <c r="H318" i="5" s="1"/>
  <c r="F323" i="5"/>
  <c r="G323" i="5" s="1"/>
  <c r="H323" i="5" s="1"/>
  <c r="F327" i="5"/>
  <c r="G327" i="5" s="1"/>
  <c r="H327" i="5" s="1"/>
  <c r="F331" i="5"/>
  <c r="G331" i="5" s="1"/>
  <c r="H331" i="5" s="1"/>
  <c r="F335" i="5"/>
  <c r="G335" i="5" s="1"/>
  <c r="H335" i="5" s="1"/>
  <c r="F2" i="5"/>
  <c r="G2" i="5" s="1"/>
  <c r="H2" i="5" s="1"/>
  <c r="G18" i="8"/>
  <c r="H18" i="8" s="1"/>
  <c r="G34" i="8"/>
  <c r="H34" i="8" s="1"/>
  <c r="G50" i="8"/>
  <c r="H50" i="8" s="1"/>
  <c r="G66" i="8"/>
  <c r="H66" i="8" s="1"/>
  <c r="G82" i="8"/>
  <c r="H82" i="8" s="1"/>
  <c r="G98" i="8"/>
  <c r="H98" i="8" s="1"/>
  <c r="G114" i="8"/>
  <c r="H114" i="8" s="1"/>
  <c r="G130" i="8"/>
  <c r="H130" i="8" s="1"/>
  <c r="G146" i="8"/>
  <c r="H146" i="8" s="1"/>
  <c r="G162" i="8"/>
  <c r="H162" i="8" s="1"/>
  <c r="G178" i="8"/>
  <c r="H178" i="8" s="1"/>
  <c r="G194" i="8"/>
  <c r="H194" i="8" s="1"/>
  <c r="G210" i="8"/>
  <c r="H210" i="8" s="1"/>
  <c r="G226" i="8"/>
  <c r="H226" i="8" s="1"/>
  <c r="G242" i="8"/>
  <c r="H242" i="8" s="1"/>
  <c r="G258" i="8"/>
  <c r="H258" i="8" s="1"/>
  <c r="G274" i="8"/>
  <c r="H274" i="8" s="1"/>
  <c r="G290" i="8"/>
  <c r="H290" i="8" s="1"/>
  <c r="G306" i="8"/>
  <c r="H306" i="8" s="1"/>
  <c r="G322" i="8"/>
  <c r="H322" i="8" s="1"/>
  <c r="G338" i="8"/>
  <c r="H338" i="8" s="1"/>
  <c r="F6" i="8"/>
  <c r="G6" i="8" s="1"/>
  <c r="H6" i="8" s="1"/>
  <c r="F10" i="8"/>
  <c r="G10" i="8" s="1"/>
  <c r="H10" i="8" s="1"/>
  <c r="F12" i="8"/>
  <c r="G12" i="8" s="1"/>
  <c r="H12" i="8" s="1"/>
  <c r="F13" i="8"/>
  <c r="G13" i="8" s="1"/>
  <c r="H13" i="8" s="1"/>
  <c r="F14" i="8"/>
  <c r="G14" i="8" s="1"/>
  <c r="H14" i="8" s="1"/>
  <c r="F18" i="8"/>
  <c r="F20" i="8"/>
  <c r="G20" i="8" s="1"/>
  <c r="H20" i="8" s="1"/>
  <c r="F21" i="8"/>
  <c r="G21" i="8" s="1"/>
  <c r="H21" i="8" s="1"/>
  <c r="F22" i="8"/>
  <c r="G22" i="8" s="1"/>
  <c r="H22" i="8" s="1"/>
  <c r="F26" i="8"/>
  <c r="G26" i="8" s="1"/>
  <c r="H26" i="8" s="1"/>
  <c r="F28" i="8"/>
  <c r="G28" i="8" s="1"/>
  <c r="H28" i="8" s="1"/>
  <c r="F29" i="8"/>
  <c r="G29" i="8" s="1"/>
  <c r="H29" i="8" s="1"/>
  <c r="F30" i="8"/>
  <c r="G30" i="8" s="1"/>
  <c r="H30" i="8" s="1"/>
  <c r="F34" i="8"/>
  <c r="F36" i="8"/>
  <c r="G36" i="8" s="1"/>
  <c r="H36" i="8" s="1"/>
  <c r="F37" i="8"/>
  <c r="G37" i="8" s="1"/>
  <c r="H37" i="8" s="1"/>
  <c r="F38" i="8"/>
  <c r="G38" i="8" s="1"/>
  <c r="H38" i="8" s="1"/>
  <c r="F42" i="8"/>
  <c r="G42" i="8" s="1"/>
  <c r="H42" i="8" s="1"/>
  <c r="F44" i="8"/>
  <c r="G44" i="8" s="1"/>
  <c r="H44" i="8" s="1"/>
  <c r="F45" i="8"/>
  <c r="G45" i="8" s="1"/>
  <c r="H45" i="8" s="1"/>
  <c r="F46" i="8"/>
  <c r="G46" i="8" s="1"/>
  <c r="H46" i="8" s="1"/>
  <c r="F50" i="8"/>
  <c r="F52" i="8"/>
  <c r="G52" i="8" s="1"/>
  <c r="H52" i="8" s="1"/>
  <c r="F53" i="8"/>
  <c r="G53" i="8" s="1"/>
  <c r="H53" i="8" s="1"/>
  <c r="F54" i="8"/>
  <c r="G54" i="8" s="1"/>
  <c r="H54" i="8" s="1"/>
  <c r="F58" i="8"/>
  <c r="G58" i="8" s="1"/>
  <c r="H58" i="8" s="1"/>
  <c r="F60" i="8"/>
  <c r="G60" i="8" s="1"/>
  <c r="H60" i="8" s="1"/>
  <c r="F61" i="8"/>
  <c r="G61" i="8" s="1"/>
  <c r="H61" i="8" s="1"/>
  <c r="F62" i="8"/>
  <c r="G62" i="8" s="1"/>
  <c r="H62" i="8" s="1"/>
  <c r="F66" i="8"/>
  <c r="F68" i="8"/>
  <c r="G68" i="8" s="1"/>
  <c r="H68" i="8" s="1"/>
  <c r="F69" i="8"/>
  <c r="G69" i="8" s="1"/>
  <c r="H69" i="8" s="1"/>
  <c r="F70" i="8"/>
  <c r="G70" i="8" s="1"/>
  <c r="H70" i="8" s="1"/>
  <c r="F74" i="8"/>
  <c r="G74" i="8" s="1"/>
  <c r="H74" i="8" s="1"/>
  <c r="F76" i="8"/>
  <c r="G76" i="8" s="1"/>
  <c r="H76" i="8" s="1"/>
  <c r="F77" i="8"/>
  <c r="G77" i="8" s="1"/>
  <c r="H77" i="8" s="1"/>
  <c r="F78" i="8"/>
  <c r="G78" i="8" s="1"/>
  <c r="H78" i="8" s="1"/>
  <c r="F82" i="8"/>
  <c r="F84" i="8"/>
  <c r="G84" i="8" s="1"/>
  <c r="H84" i="8" s="1"/>
  <c r="F85" i="8"/>
  <c r="G85" i="8" s="1"/>
  <c r="H85" i="8" s="1"/>
  <c r="F86" i="8"/>
  <c r="G86" i="8" s="1"/>
  <c r="H86" i="8" s="1"/>
  <c r="F90" i="8"/>
  <c r="G90" i="8" s="1"/>
  <c r="H90" i="8" s="1"/>
  <c r="F92" i="8"/>
  <c r="G92" i="8" s="1"/>
  <c r="H92" i="8" s="1"/>
  <c r="F93" i="8"/>
  <c r="G93" i="8" s="1"/>
  <c r="H93" i="8" s="1"/>
  <c r="F94" i="8"/>
  <c r="G94" i="8" s="1"/>
  <c r="H94" i="8" s="1"/>
  <c r="F98" i="8"/>
  <c r="F100" i="8"/>
  <c r="G100" i="8" s="1"/>
  <c r="H100" i="8" s="1"/>
  <c r="F101" i="8"/>
  <c r="G101" i="8" s="1"/>
  <c r="H101" i="8" s="1"/>
  <c r="F102" i="8"/>
  <c r="G102" i="8" s="1"/>
  <c r="H102" i="8" s="1"/>
  <c r="F106" i="8"/>
  <c r="G106" i="8" s="1"/>
  <c r="H106" i="8" s="1"/>
  <c r="F108" i="8"/>
  <c r="G108" i="8" s="1"/>
  <c r="H108" i="8" s="1"/>
  <c r="F109" i="8"/>
  <c r="G109" i="8" s="1"/>
  <c r="H109" i="8" s="1"/>
  <c r="F110" i="8"/>
  <c r="G110" i="8" s="1"/>
  <c r="H110" i="8" s="1"/>
  <c r="F114" i="8"/>
  <c r="F116" i="8"/>
  <c r="G116" i="8" s="1"/>
  <c r="H116" i="8" s="1"/>
  <c r="F117" i="8"/>
  <c r="G117" i="8" s="1"/>
  <c r="H117" i="8" s="1"/>
  <c r="F118" i="8"/>
  <c r="G118" i="8" s="1"/>
  <c r="H118" i="8" s="1"/>
  <c r="F122" i="8"/>
  <c r="G122" i="8" s="1"/>
  <c r="H122" i="8" s="1"/>
  <c r="F124" i="8"/>
  <c r="G124" i="8" s="1"/>
  <c r="H124" i="8" s="1"/>
  <c r="F125" i="8"/>
  <c r="G125" i="8" s="1"/>
  <c r="H125" i="8" s="1"/>
  <c r="F126" i="8"/>
  <c r="G126" i="8" s="1"/>
  <c r="H126" i="8" s="1"/>
  <c r="F130" i="8"/>
  <c r="F132" i="8"/>
  <c r="G132" i="8" s="1"/>
  <c r="H132" i="8" s="1"/>
  <c r="F133" i="8"/>
  <c r="G133" i="8" s="1"/>
  <c r="H133" i="8" s="1"/>
  <c r="F134" i="8"/>
  <c r="G134" i="8" s="1"/>
  <c r="H134" i="8" s="1"/>
  <c r="F138" i="8"/>
  <c r="G138" i="8" s="1"/>
  <c r="H138" i="8" s="1"/>
  <c r="F140" i="8"/>
  <c r="G140" i="8" s="1"/>
  <c r="H140" i="8" s="1"/>
  <c r="F141" i="8"/>
  <c r="G141" i="8" s="1"/>
  <c r="H141" i="8" s="1"/>
  <c r="F142" i="8"/>
  <c r="G142" i="8" s="1"/>
  <c r="H142" i="8" s="1"/>
  <c r="F146" i="8"/>
  <c r="F148" i="8"/>
  <c r="G148" i="8" s="1"/>
  <c r="H148" i="8" s="1"/>
  <c r="F149" i="8"/>
  <c r="G149" i="8" s="1"/>
  <c r="H149" i="8" s="1"/>
  <c r="F150" i="8"/>
  <c r="G150" i="8" s="1"/>
  <c r="H150" i="8" s="1"/>
  <c r="F154" i="8"/>
  <c r="G154" i="8" s="1"/>
  <c r="H154" i="8" s="1"/>
  <c r="F156" i="8"/>
  <c r="G156" i="8" s="1"/>
  <c r="H156" i="8" s="1"/>
  <c r="F157" i="8"/>
  <c r="G157" i="8" s="1"/>
  <c r="H157" i="8" s="1"/>
  <c r="F158" i="8"/>
  <c r="G158" i="8" s="1"/>
  <c r="H158" i="8" s="1"/>
  <c r="F162" i="8"/>
  <c r="F164" i="8"/>
  <c r="G164" i="8" s="1"/>
  <c r="H164" i="8" s="1"/>
  <c r="F165" i="8"/>
  <c r="G165" i="8" s="1"/>
  <c r="H165" i="8" s="1"/>
  <c r="F166" i="8"/>
  <c r="G166" i="8" s="1"/>
  <c r="H166" i="8" s="1"/>
  <c r="F170" i="8"/>
  <c r="G170" i="8" s="1"/>
  <c r="H170" i="8" s="1"/>
  <c r="F172" i="8"/>
  <c r="G172" i="8" s="1"/>
  <c r="H172" i="8" s="1"/>
  <c r="F173" i="8"/>
  <c r="G173" i="8" s="1"/>
  <c r="H173" i="8" s="1"/>
  <c r="F174" i="8"/>
  <c r="G174" i="8" s="1"/>
  <c r="H174" i="8" s="1"/>
  <c r="F178" i="8"/>
  <c r="F180" i="8"/>
  <c r="G180" i="8" s="1"/>
  <c r="H180" i="8" s="1"/>
  <c r="F181" i="8"/>
  <c r="G181" i="8" s="1"/>
  <c r="H181" i="8" s="1"/>
  <c r="F182" i="8"/>
  <c r="G182" i="8" s="1"/>
  <c r="H182" i="8" s="1"/>
  <c r="F186" i="8"/>
  <c r="G186" i="8" s="1"/>
  <c r="H186" i="8" s="1"/>
  <c r="F188" i="8"/>
  <c r="G188" i="8" s="1"/>
  <c r="H188" i="8" s="1"/>
  <c r="F189" i="8"/>
  <c r="G189" i="8" s="1"/>
  <c r="H189" i="8" s="1"/>
  <c r="F190" i="8"/>
  <c r="G190" i="8" s="1"/>
  <c r="H190" i="8" s="1"/>
  <c r="F194" i="8"/>
  <c r="F196" i="8"/>
  <c r="G196" i="8" s="1"/>
  <c r="H196" i="8" s="1"/>
  <c r="F197" i="8"/>
  <c r="G197" i="8" s="1"/>
  <c r="H197" i="8" s="1"/>
  <c r="F198" i="8"/>
  <c r="G198" i="8" s="1"/>
  <c r="H198" i="8" s="1"/>
  <c r="F202" i="8"/>
  <c r="G202" i="8" s="1"/>
  <c r="H202" i="8" s="1"/>
  <c r="F204" i="8"/>
  <c r="G204" i="8" s="1"/>
  <c r="H204" i="8" s="1"/>
  <c r="F205" i="8"/>
  <c r="G205" i="8" s="1"/>
  <c r="H205" i="8" s="1"/>
  <c r="F206" i="8"/>
  <c r="G206" i="8" s="1"/>
  <c r="H206" i="8" s="1"/>
  <c r="F210" i="8"/>
  <c r="F212" i="8"/>
  <c r="G212" i="8" s="1"/>
  <c r="H212" i="8" s="1"/>
  <c r="F213" i="8"/>
  <c r="G213" i="8" s="1"/>
  <c r="H213" i="8" s="1"/>
  <c r="F214" i="8"/>
  <c r="G214" i="8" s="1"/>
  <c r="H214" i="8" s="1"/>
  <c r="F218" i="8"/>
  <c r="G218" i="8" s="1"/>
  <c r="H218" i="8" s="1"/>
  <c r="F220" i="8"/>
  <c r="G220" i="8" s="1"/>
  <c r="H220" i="8" s="1"/>
  <c r="F221" i="8"/>
  <c r="G221" i="8" s="1"/>
  <c r="H221" i="8" s="1"/>
  <c r="F222" i="8"/>
  <c r="G222" i="8" s="1"/>
  <c r="H222" i="8" s="1"/>
  <c r="F226" i="8"/>
  <c r="F228" i="8"/>
  <c r="G228" i="8" s="1"/>
  <c r="H228" i="8" s="1"/>
  <c r="F229" i="8"/>
  <c r="G229" i="8" s="1"/>
  <c r="H229" i="8" s="1"/>
  <c r="F230" i="8"/>
  <c r="G230" i="8" s="1"/>
  <c r="H230" i="8" s="1"/>
  <c r="F234" i="8"/>
  <c r="G234" i="8" s="1"/>
  <c r="H234" i="8" s="1"/>
  <c r="F236" i="8"/>
  <c r="G236" i="8" s="1"/>
  <c r="H236" i="8" s="1"/>
  <c r="F237" i="8"/>
  <c r="G237" i="8" s="1"/>
  <c r="H237" i="8" s="1"/>
  <c r="F238" i="8"/>
  <c r="G238" i="8" s="1"/>
  <c r="H238" i="8" s="1"/>
  <c r="F242" i="8"/>
  <c r="F244" i="8"/>
  <c r="G244" i="8" s="1"/>
  <c r="H244" i="8" s="1"/>
  <c r="F245" i="8"/>
  <c r="G245" i="8" s="1"/>
  <c r="H245" i="8" s="1"/>
  <c r="F246" i="8"/>
  <c r="G246" i="8" s="1"/>
  <c r="H246" i="8" s="1"/>
  <c r="F250" i="8"/>
  <c r="G250" i="8" s="1"/>
  <c r="H250" i="8" s="1"/>
  <c r="F252" i="8"/>
  <c r="G252" i="8" s="1"/>
  <c r="H252" i="8" s="1"/>
  <c r="F253" i="8"/>
  <c r="G253" i="8" s="1"/>
  <c r="H253" i="8" s="1"/>
  <c r="F254" i="8"/>
  <c r="G254" i="8" s="1"/>
  <c r="H254" i="8" s="1"/>
  <c r="F258" i="8"/>
  <c r="F260" i="8"/>
  <c r="G260" i="8" s="1"/>
  <c r="H260" i="8" s="1"/>
  <c r="F261" i="8"/>
  <c r="G261" i="8" s="1"/>
  <c r="H261" i="8" s="1"/>
  <c r="F262" i="8"/>
  <c r="G262" i="8" s="1"/>
  <c r="H262" i="8" s="1"/>
  <c r="F266" i="8"/>
  <c r="G266" i="8" s="1"/>
  <c r="H266" i="8" s="1"/>
  <c r="F268" i="8"/>
  <c r="G268" i="8" s="1"/>
  <c r="H268" i="8" s="1"/>
  <c r="F269" i="8"/>
  <c r="G269" i="8" s="1"/>
  <c r="H269" i="8" s="1"/>
  <c r="F270" i="8"/>
  <c r="G270" i="8" s="1"/>
  <c r="H270" i="8" s="1"/>
  <c r="F274" i="8"/>
  <c r="F276" i="8"/>
  <c r="G276" i="8" s="1"/>
  <c r="H276" i="8" s="1"/>
  <c r="F277" i="8"/>
  <c r="G277" i="8" s="1"/>
  <c r="H277" i="8" s="1"/>
  <c r="F278" i="8"/>
  <c r="G278" i="8" s="1"/>
  <c r="H278" i="8" s="1"/>
  <c r="F282" i="8"/>
  <c r="G282" i="8" s="1"/>
  <c r="H282" i="8" s="1"/>
  <c r="F284" i="8"/>
  <c r="G284" i="8" s="1"/>
  <c r="H284" i="8" s="1"/>
  <c r="F285" i="8"/>
  <c r="G285" i="8" s="1"/>
  <c r="H285" i="8" s="1"/>
  <c r="F286" i="8"/>
  <c r="G286" i="8" s="1"/>
  <c r="H286" i="8" s="1"/>
  <c r="F290" i="8"/>
  <c r="F292" i="8"/>
  <c r="G292" i="8" s="1"/>
  <c r="H292" i="8" s="1"/>
  <c r="F293" i="8"/>
  <c r="G293" i="8" s="1"/>
  <c r="H293" i="8" s="1"/>
  <c r="F294" i="8"/>
  <c r="G294" i="8" s="1"/>
  <c r="H294" i="8" s="1"/>
  <c r="F298" i="8"/>
  <c r="G298" i="8" s="1"/>
  <c r="H298" i="8" s="1"/>
  <c r="F300" i="8"/>
  <c r="G300" i="8" s="1"/>
  <c r="H300" i="8" s="1"/>
  <c r="F301" i="8"/>
  <c r="G301" i="8" s="1"/>
  <c r="H301" i="8" s="1"/>
  <c r="F302" i="8"/>
  <c r="G302" i="8" s="1"/>
  <c r="H302" i="8" s="1"/>
  <c r="F306" i="8"/>
  <c r="F308" i="8"/>
  <c r="G308" i="8" s="1"/>
  <c r="H308" i="8" s="1"/>
  <c r="F309" i="8"/>
  <c r="G309" i="8" s="1"/>
  <c r="H309" i="8" s="1"/>
  <c r="F310" i="8"/>
  <c r="G310" i="8" s="1"/>
  <c r="H310" i="8" s="1"/>
  <c r="F314" i="8"/>
  <c r="G314" i="8" s="1"/>
  <c r="H314" i="8" s="1"/>
  <c r="F316" i="8"/>
  <c r="G316" i="8" s="1"/>
  <c r="H316" i="8" s="1"/>
  <c r="F317" i="8"/>
  <c r="G317" i="8" s="1"/>
  <c r="H317" i="8" s="1"/>
  <c r="F318" i="8"/>
  <c r="G318" i="8" s="1"/>
  <c r="H318" i="8" s="1"/>
  <c r="F322" i="8"/>
  <c r="F324" i="8"/>
  <c r="G324" i="8" s="1"/>
  <c r="H324" i="8" s="1"/>
  <c r="F325" i="8"/>
  <c r="G325" i="8" s="1"/>
  <c r="H325" i="8" s="1"/>
  <c r="F326" i="8"/>
  <c r="G326" i="8" s="1"/>
  <c r="H326" i="8" s="1"/>
  <c r="F330" i="8"/>
  <c r="G330" i="8" s="1"/>
  <c r="H330" i="8" s="1"/>
  <c r="F332" i="8"/>
  <c r="G332" i="8" s="1"/>
  <c r="H332" i="8" s="1"/>
  <c r="F333" i="8"/>
  <c r="G333" i="8" s="1"/>
  <c r="H333" i="8" s="1"/>
  <c r="F334" i="8"/>
  <c r="G334" i="8" s="1"/>
  <c r="H334" i="8" s="1"/>
  <c r="F338" i="8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" i="10"/>
  <c r="D297" i="10"/>
  <c r="D290" i="10"/>
  <c r="E12" i="10" s="1"/>
  <c r="F12" i="10" s="1"/>
  <c r="G12" i="10" s="1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2" i="9"/>
  <c r="F343" i="9"/>
  <c r="J341" i="9" s="1"/>
  <c r="E340" i="9"/>
  <c r="E346" i="9" s="1"/>
  <c r="D340" i="9"/>
  <c r="D346" i="9" s="1"/>
  <c r="D347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2" i="9"/>
  <c r="D347" i="8"/>
  <c r="D346" i="8"/>
  <c r="D340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2" i="8"/>
  <c r="D347" i="7"/>
  <c r="D340" i="7"/>
  <c r="F11" i="7" s="1"/>
  <c r="G11" i="7" s="1"/>
  <c r="H11" i="7" s="1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2" i="7"/>
  <c r="D347" i="6"/>
  <c r="D340" i="6"/>
  <c r="F16" i="6" s="1"/>
  <c r="G16" i="6" s="1"/>
  <c r="H16" i="6" s="1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2" i="6"/>
  <c r="D347" i="5"/>
  <c r="D346" i="5"/>
  <c r="D340" i="5"/>
  <c r="F6" i="5" s="1"/>
  <c r="G6" i="5" s="1"/>
  <c r="H6" i="5" s="1"/>
  <c r="B338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04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250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196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34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2" i="5"/>
  <c r="D342" i="4"/>
  <c r="D341" i="4"/>
  <c r="D335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292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40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188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36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84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2" i="3"/>
  <c r="D347" i="3"/>
  <c r="D346" i="3"/>
  <c r="D340" i="3"/>
  <c r="F6" i="3" s="1"/>
  <c r="G6" i="3" s="1"/>
  <c r="H6" i="3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2" i="2"/>
  <c r="D347" i="2"/>
  <c r="D340" i="2"/>
  <c r="F9" i="2" s="1"/>
  <c r="G9" i="2" s="1"/>
  <c r="H9" i="2" s="1"/>
  <c r="E283" i="10" l="1"/>
  <c r="F283" i="10" s="1"/>
  <c r="G283" i="10" s="1"/>
  <c r="E275" i="10"/>
  <c r="F275" i="10" s="1"/>
  <c r="G275" i="10" s="1"/>
  <c r="E266" i="10"/>
  <c r="F266" i="10" s="1"/>
  <c r="G266" i="10" s="1"/>
  <c r="E257" i="10"/>
  <c r="F257" i="10" s="1"/>
  <c r="G257" i="10" s="1"/>
  <c r="E248" i="10"/>
  <c r="F248" i="10" s="1"/>
  <c r="G248" i="10" s="1"/>
  <c r="E239" i="10"/>
  <c r="F239" i="10" s="1"/>
  <c r="G239" i="10" s="1"/>
  <c r="E229" i="10"/>
  <c r="F229" i="10" s="1"/>
  <c r="G229" i="10" s="1"/>
  <c r="E216" i="10"/>
  <c r="F216" i="10" s="1"/>
  <c r="G216" i="10" s="1"/>
  <c r="E205" i="10"/>
  <c r="F205" i="10" s="1"/>
  <c r="G205" i="10" s="1"/>
  <c r="E191" i="10"/>
  <c r="F191" i="10" s="1"/>
  <c r="G191" i="10" s="1"/>
  <c r="E177" i="10"/>
  <c r="F177" i="10" s="1"/>
  <c r="G177" i="10" s="1"/>
  <c r="E166" i="10"/>
  <c r="F166" i="10" s="1"/>
  <c r="G166" i="10" s="1"/>
  <c r="E152" i="10"/>
  <c r="F152" i="10" s="1"/>
  <c r="G152" i="10" s="1"/>
  <c r="E141" i="10"/>
  <c r="F141" i="10" s="1"/>
  <c r="G141" i="10" s="1"/>
  <c r="E127" i="10"/>
  <c r="F127" i="10" s="1"/>
  <c r="G127" i="10" s="1"/>
  <c r="E113" i="10"/>
  <c r="F113" i="10" s="1"/>
  <c r="G113" i="10" s="1"/>
  <c r="E101" i="10"/>
  <c r="F101" i="10" s="1"/>
  <c r="G101" i="10" s="1"/>
  <c r="E85" i="10"/>
  <c r="F85" i="10" s="1"/>
  <c r="G85" i="10" s="1"/>
  <c r="E72" i="10"/>
  <c r="F72" i="10" s="1"/>
  <c r="G72" i="10" s="1"/>
  <c r="E56" i="10"/>
  <c r="F56" i="10" s="1"/>
  <c r="G56" i="10" s="1"/>
  <c r="E40" i="10"/>
  <c r="F40" i="10" s="1"/>
  <c r="G40" i="10" s="1"/>
  <c r="E28" i="10"/>
  <c r="F28" i="10" s="1"/>
  <c r="G28" i="10" s="1"/>
  <c r="D296" i="10"/>
  <c r="E9" i="10"/>
  <c r="F9" i="10" s="1"/>
  <c r="G9" i="10" s="1"/>
  <c r="E17" i="10"/>
  <c r="F17" i="10" s="1"/>
  <c r="G17" i="10" s="1"/>
  <c r="E25" i="10"/>
  <c r="F25" i="10" s="1"/>
  <c r="G25" i="10" s="1"/>
  <c r="E33" i="10"/>
  <c r="F33" i="10" s="1"/>
  <c r="G33" i="10" s="1"/>
  <c r="E41" i="10"/>
  <c r="F41" i="10" s="1"/>
  <c r="G41" i="10" s="1"/>
  <c r="E49" i="10"/>
  <c r="F49" i="10" s="1"/>
  <c r="G49" i="10" s="1"/>
  <c r="E57" i="10"/>
  <c r="F57" i="10" s="1"/>
  <c r="G57" i="10" s="1"/>
  <c r="E65" i="10"/>
  <c r="F65" i="10" s="1"/>
  <c r="G65" i="10" s="1"/>
  <c r="E73" i="10"/>
  <c r="F73" i="10" s="1"/>
  <c r="G73" i="10" s="1"/>
  <c r="E81" i="10"/>
  <c r="F81" i="10" s="1"/>
  <c r="G81" i="10" s="1"/>
  <c r="E89" i="10"/>
  <c r="F89" i="10" s="1"/>
  <c r="G89" i="10" s="1"/>
  <c r="E97" i="10"/>
  <c r="F97" i="10" s="1"/>
  <c r="G97" i="10" s="1"/>
  <c r="E105" i="10"/>
  <c r="F105" i="10" s="1"/>
  <c r="G105" i="10" s="1"/>
  <c r="E5" i="10"/>
  <c r="F5" i="10" s="1"/>
  <c r="G5" i="10" s="1"/>
  <c r="E14" i="10"/>
  <c r="F14" i="10" s="1"/>
  <c r="G14" i="10" s="1"/>
  <c r="E23" i="10"/>
  <c r="F23" i="10" s="1"/>
  <c r="G23" i="10" s="1"/>
  <c r="E32" i="10"/>
  <c r="F32" i="10" s="1"/>
  <c r="G32" i="10" s="1"/>
  <c r="E42" i="10"/>
  <c r="F42" i="10" s="1"/>
  <c r="G42" i="10" s="1"/>
  <c r="E51" i="10"/>
  <c r="F51" i="10" s="1"/>
  <c r="G51" i="10" s="1"/>
  <c r="E60" i="10"/>
  <c r="F60" i="10" s="1"/>
  <c r="G60" i="10" s="1"/>
  <c r="E69" i="10"/>
  <c r="F69" i="10" s="1"/>
  <c r="G69" i="10" s="1"/>
  <c r="E78" i="10"/>
  <c r="F78" i="10" s="1"/>
  <c r="G78" i="10" s="1"/>
  <c r="E87" i="10"/>
  <c r="F87" i="10" s="1"/>
  <c r="G87" i="10" s="1"/>
  <c r="E96" i="10"/>
  <c r="F96" i="10" s="1"/>
  <c r="G96" i="10" s="1"/>
  <c r="E106" i="10"/>
  <c r="F106" i="10" s="1"/>
  <c r="G106" i="10" s="1"/>
  <c r="E114" i="10"/>
  <c r="F114" i="10" s="1"/>
  <c r="G114" i="10" s="1"/>
  <c r="E122" i="10"/>
  <c r="F122" i="10" s="1"/>
  <c r="G122" i="10" s="1"/>
  <c r="E130" i="10"/>
  <c r="F130" i="10" s="1"/>
  <c r="G130" i="10" s="1"/>
  <c r="E138" i="10"/>
  <c r="F138" i="10" s="1"/>
  <c r="G138" i="10" s="1"/>
  <c r="E146" i="10"/>
  <c r="F146" i="10" s="1"/>
  <c r="G146" i="10" s="1"/>
  <c r="E154" i="10"/>
  <c r="F154" i="10" s="1"/>
  <c r="G154" i="10" s="1"/>
  <c r="E162" i="10"/>
  <c r="F162" i="10" s="1"/>
  <c r="G162" i="10" s="1"/>
  <c r="E170" i="10"/>
  <c r="F170" i="10" s="1"/>
  <c r="G170" i="10" s="1"/>
  <c r="E178" i="10"/>
  <c r="F178" i="10" s="1"/>
  <c r="G178" i="10" s="1"/>
  <c r="E186" i="10"/>
  <c r="F186" i="10" s="1"/>
  <c r="G186" i="10" s="1"/>
  <c r="E194" i="10"/>
  <c r="F194" i="10" s="1"/>
  <c r="G194" i="10" s="1"/>
  <c r="E202" i="10"/>
  <c r="F202" i="10" s="1"/>
  <c r="G202" i="10" s="1"/>
  <c r="E210" i="10"/>
  <c r="F210" i="10" s="1"/>
  <c r="G210" i="10" s="1"/>
  <c r="E218" i="10"/>
  <c r="F218" i="10" s="1"/>
  <c r="G218" i="10" s="1"/>
  <c r="E226" i="10"/>
  <c r="F226" i="10" s="1"/>
  <c r="G226" i="10" s="1"/>
  <c r="E234" i="10"/>
  <c r="F234" i="10" s="1"/>
  <c r="G234" i="10" s="1"/>
  <c r="E6" i="10"/>
  <c r="F6" i="10" s="1"/>
  <c r="G6" i="10" s="1"/>
  <c r="E15" i="10"/>
  <c r="F15" i="10" s="1"/>
  <c r="G15" i="10" s="1"/>
  <c r="E24" i="10"/>
  <c r="F24" i="10" s="1"/>
  <c r="G24" i="10" s="1"/>
  <c r="E34" i="10"/>
  <c r="F34" i="10" s="1"/>
  <c r="G34" i="10" s="1"/>
  <c r="E43" i="10"/>
  <c r="F43" i="10" s="1"/>
  <c r="G43" i="10" s="1"/>
  <c r="E52" i="10"/>
  <c r="F52" i="10" s="1"/>
  <c r="G52" i="10" s="1"/>
  <c r="E61" i="10"/>
  <c r="F61" i="10" s="1"/>
  <c r="G61" i="10" s="1"/>
  <c r="E70" i="10"/>
  <c r="F70" i="10" s="1"/>
  <c r="G70" i="10" s="1"/>
  <c r="E79" i="10"/>
  <c r="F79" i="10" s="1"/>
  <c r="G79" i="10" s="1"/>
  <c r="E88" i="10"/>
  <c r="F88" i="10" s="1"/>
  <c r="G88" i="10" s="1"/>
  <c r="E98" i="10"/>
  <c r="F98" i="10" s="1"/>
  <c r="G98" i="10" s="1"/>
  <c r="E107" i="10"/>
  <c r="F107" i="10" s="1"/>
  <c r="G107" i="10" s="1"/>
  <c r="E115" i="10"/>
  <c r="F115" i="10" s="1"/>
  <c r="G115" i="10" s="1"/>
  <c r="E123" i="10"/>
  <c r="F123" i="10" s="1"/>
  <c r="G123" i="10" s="1"/>
  <c r="E131" i="10"/>
  <c r="F131" i="10" s="1"/>
  <c r="G131" i="10" s="1"/>
  <c r="E139" i="10"/>
  <c r="F139" i="10" s="1"/>
  <c r="G139" i="10" s="1"/>
  <c r="E147" i="10"/>
  <c r="F147" i="10" s="1"/>
  <c r="G147" i="10" s="1"/>
  <c r="E155" i="10"/>
  <c r="F155" i="10" s="1"/>
  <c r="G155" i="10" s="1"/>
  <c r="E163" i="10"/>
  <c r="F163" i="10" s="1"/>
  <c r="G163" i="10" s="1"/>
  <c r="E171" i="10"/>
  <c r="F171" i="10" s="1"/>
  <c r="G171" i="10" s="1"/>
  <c r="E179" i="10"/>
  <c r="F179" i="10" s="1"/>
  <c r="G179" i="10" s="1"/>
  <c r="E187" i="10"/>
  <c r="F187" i="10" s="1"/>
  <c r="G187" i="10" s="1"/>
  <c r="E195" i="10"/>
  <c r="F195" i="10" s="1"/>
  <c r="G195" i="10" s="1"/>
  <c r="E203" i="10"/>
  <c r="F203" i="10" s="1"/>
  <c r="G203" i="10" s="1"/>
  <c r="E211" i="10"/>
  <c r="F211" i="10" s="1"/>
  <c r="G211" i="10" s="1"/>
  <c r="E219" i="10"/>
  <c r="F219" i="10" s="1"/>
  <c r="G219" i="10" s="1"/>
  <c r="E227" i="10"/>
  <c r="F227" i="10" s="1"/>
  <c r="G227" i="10" s="1"/>
  <c r="E235" i="10"/>
  <c r="F235" i="10" s="1"/>
  <c r="G235" i="10" s="1"/>
  <c r="E243" i="10"/>
  <c r="F243" i="10" s="1"/>
  <c r="G243" i="10" s="1"/>
  <c r="E251" i="10"/>
  <c r="F251" i="10" s="1"/>
  <c r="G251" i="10" s="1"/>
  <c r="E259" i="10"/>
  <c r="F259" i="10" s="1"/>
  <c r="G259" i="10" s="1"/>
  <c r="E267" i="10"/>
  <c r="F267" i="10" s="1"/>
  <c r="G267" i="10" s="1"/>
  <c r="E7" i="10"/>
  <c r="F7" i="10" s="1"/>
  <c r="G7" i="10" s="1"/>
  <c r="E16" i="10"/>
  <c r="F16" i="10" s="1"/>
  <c r="G16" i="10" s="1"/>
  <c r="E26" i="10"/>
  <c r="F26" i="10" s="1"/>
  <c r="G26" i="10" s="1"/>
  <c r="E35" i="10"/>
  <c r="F35" i="10" s="1"/>
  <c r="G35" i="10" s="1"/>
  <c r="E44" i="10"/>
  <c r="F44" i="10" s="1"/>
  <c r="G44" i="10" s="1"/>
  <c r="E53" i="10"/>
  <c r="F53" i="10" s="1"/>
  <c r="G53" i="10" s="1"/>
  <c r="E62" i="10"/>
  <c r="F62" i="10" s="1"/>
  <c r="G62" i="10" s="1"/>
  <c r="E71" i="10"/>
  <c r="F71" i="10" s="1"/>
  <c r="G71" i="10" s="1"/>
  <c r="E80" i="10"/>
  <c r="F80" i="10" s="1"/>
  <c r="G80" i="10" s="1"/>
  <c r="E90" i="10"/>
  <c r="F90" i="10" s="1"/>
  <c r="G90" i="10" s="1"/>
  <c r="E99" i="10"/>
  <c r="F99" i="10" s="1"/>
  <c r="G99" i="10" s="1"/>
  <c r="E108" i="10"/>
  <c r="F108" i="10" s="1"/>
  <c r="G108" i="10" s="1"/>
  <c r="E116" i="10"/>
  <c r="F116" i="10" s="1"/>
  <c r="G116" i="10" s="1"/>
  <c r="E124" i="10"/>
  <c r="F124" i="10" s="1"/>
  <c r="G124" i="10" s="1"/>
  <c r="E132" i="10"/>
  <c r="F132" i="10" s="1"/>
  <c r="G132" i="10" s="1"/>
  <c r="E140" i="10"/>
  <c r="F140" i="10" s="1"/>
  <c r="G140" i="10" s="1"/>
  <c r="E148" i="10"/>
  <c r="F148" i="10" s="1"/>
  <c r="G148" i="10" s="1"/>
  <c r="E156" i="10"/>
  <c r="F156" i="10" s="1"/>
  <c r="G156" i="10" s="1"/>
  <c r="E164" i="10"/>
  <c r="F164" i="10" s="1"/>
  <c r="G164" i="10" s="1"/>
  <c r="E172" i="10"/>
  <c r="F172" i="10" s="1"/>
  <c r="G172" i="10" s="1"/>
  <c r="E180" i="10"/>
  <c r="F180" i="10" s="1"/>
  <c r="G180" i="10" s="1"/>
  <c r="E188" i="10"/>
  <c r="F188" i="10" s="1"/>
  <c r="G188" i="10" s="1"/>
  <c r="E196" i="10"/>
  <c r="F196" i="10" s="1"/>
  <c r="G196" i="10" s="1"/>
  <c r="E204" i="10"/>
  <c r="F204" i="10" s="1"/>
  <c r="G204" i="10" s="1"/>
  <c r="E212" i="10"/>
  <c r="F212" i="10" s="1"/>
  <c r="G212" i="10" s="1"/>
  <c r="E220" i="10"/>
  <c r="F220" i="10" s="1"/>
  <c r="G220" i="10" s="1"/>
  <c r="E282" i="10"/>
  <c r="F282" i="10" s="1"/>
  <c r="G282" i="10" s="1"/>
  <c r="E274" i="10"/>
  <c r="F274" i="10" s="1"/>
  <c r="G274" i="10" s="1"/>
  <c r="E265" i="10"/>
  <c r="F265" i="10" s="1"/>
  <c r="G265" i="10" s="1"/>
  <c r="E256" i="10"/>
  <c r="F256" i="10" s="1"/>
  <c r="G256" i="10" s="1"/>
  <c r="E247" i="10"/>
  <c r="F247" i="10" s="1"/>
  <c r="G247" i="10" s="1"/>
  <c r="E238" i="10"/>
  <c r="F238" i="10" s="1"/>
  <c r="G238" i="10" s="1"/>
  <c r="E228" i="10"/>
  <c r="F228" i="10" s="1"/>
  <c r="G228" i="10" s="1"/>
  <c r="E215" i="10"/>
  <c r="F215" i="10" s="1"/>
  <c r="G215" i="10" s="1"/>
  <c r="E201" i="10"/>
  <c r="F201" i="10" s="1"/>
  <c r="G201" i="10" s="1"/>
  <c r="E190" i="10"/>
  <c r="F190" i="10" s="1"/>
  <c r="G190" i="10" s="1"/>
  <c r="E176" i="10"/>
  <c r="F176" i="10" s="1"/>
  <c r="G176" i="10" s="1"/>
  <c r="E165" i="10"/>
  <c r="F165" i="10" s="1"/>
  <c r="G165" i="10" s="1"/>
  <c r="E151" i="10"/>
  <c r="F151" i="10" s="1"/>
  <c r="G151" i="10" s="1"/>
  <c r="E137" i="10"/>
  <c r="F137" i="10" s="1"/>
  <c r="G137" i="10" s="1"/>
  <c r="E126" i="10"/>
  <c r="F126" i="10" s="1"/>
  <c r="G126" i="10" s="1"/>
  <c r="E112" i="10"/>
  <c r="F112" i="10" s="1"/>
  <c r="G112" i="10" s="1"/>
  <c r="E100" i="10"/>
  <c r="F100" i="10" s="1"/>
  <c r="G100" i="10" s="1"/>
  <c r="E84" i="10"/>
  <c r="F84" i="10" s="1"/>
  <c r="G84" i="10" s="1"/>
  <c r="E68" i="10"/>
  <c r="F68" i="10" s="1"/>
  <c r="G68" i="10" s="1"/>
  <c r="E55" i="10"/>
  <c r="F55" i="10" s="1"/>
  <c r="G55" i="10" s="1"/>
  <c r="E39" i="10"/>
  <c r="F39" i="10" s="1"/>
  <c r="G39" i="10" s="1"/>
  <c r="E27" i="10"/>
  <c r="F27" i="10" s="1"/>
  <c r="G27" i="10" s="1"/>
  <c r="E11" i="10"/>
  <c r="F11" i="10" s="1"/>
  <c r="G11" i="10" s="1"/>
  <c r="E2" i="10"/>
  <c r="F2" i="10" s="1"/>
  <c r="G2" i="10" s="1"/>
  <c r="E281" i="10"/>
  <c r="F281" i="10" s="1"/>
  <c r="G281" i="10" s="1"/>
  <c r="E273" i="10"/>
  <c r="F273" i="10" s="1"/>
  <c r="G273" i="10" s="1"/>
  <c r="E264" i="10"/>
  <c r="F264" i="10" s="1"/>
  <c r="G264" i="10" s="1"/>
  <c r="E255" i="10"/>
  <c r="F255" i="10" s="1"/>
  <c r="G255" i="10" s="1"/>
  <c r="E246" i="10"/>
  <c r="F246" i="10" s="1"/>
  <c r="G246" i="10" s="1"/>
  <c r="E237" i="10"/>
  <c r="F237" i="10" s="1"/>
  <c r="G237" i="10" s="1"/>
  <c r="E225" i="10"/>
  <c r="F225" i="10" s="1"/>
  <c r="G225" i="10" s="1"/>
  <c r="E214" i="10"/>
  <c r="F214" i="10" s="1"/>
  <c r="G214" i="10" s="1"/>
  <c r="E200" i="10"/>
  <c r="F200" i="10" s="1"/>
  <c r="G200" i="10" s="1"/>
  <c r="E189" i="10"/>
  <c r="F189" i="10" s="1"/>
  <c r="G189" i="10" s="1"/>
  <c r="E175" i="10"/>
  <c r="F175" i="10" s="1"/>
  <c r="G175" i="10" s="1"/>
  <c r="E161" i="10"/>
  <c r="F161" i="10" s="1"/>
  <c r="G161" i="10" s="1"/>
  <c r="E150" i="10"/>
  <c r="F150" i="10" s="1"/>
  <c r="G150" i="10" s="1"/>
  <c r="E136" i="10"/>
  <c r="F136" i="10" s="1"/>
  <c r="G136" i="10" s="1"/>
  <c r="E125" i="10"/>
  <c r="F125" i="10" s="1"/>
  <c r="G125" i="10" s="1"/>
  <c r="E111" i="10"/>
  <c r="F111" i="10" s="1"/>
  <c r="G111" i="10" s="1"/>
  <c r="E95" i="10"/>
  <c r="F95" i="10" s="1"/>
  <c r="G95" i="10" s="1"/>
  <c r="E83" i="10"/>
  <c r="F83" i="10" s="1"/>
  <c r="G83" i="10" s="1"/>
  <c r="E67" i="10"/>
  <c r="F67" i="10" s="1"/>
  <c r="G67" i="10" s="1"/>
  <c r="E54" i="10"/>
  <c r="F54" i="10" s="1"/>
  <c r="G54" i="10" s="1"/>
  <c r="E38" i="10"/>
  <c r="F38" i="10" s="1"/>
  <c r="G38" i="10" s="1"/>
  <c r="E22" i="10"/>
  <c r="F22" i="10" s="1"/>
  <c r="G22" i="10" s="1"/>
  <c r="E10" i="10"/>
  <c r="F10" i="10" s="1"/>
  <c r="G10" i="10" s="1"/>
  <c r="E288" i="10"/>
  <c r="F288" i="10" s="1"/>
  <c r="G288" i="10" s="1"/>
  <c r="E280" i="10"/>
  <c r="F280" i="10" s="1"/>
  <c r="G280" i="10" s="1"/>
  <c r="E272" i="10"/>
  <c r="F272" i="10" s="1"/>
  <c r="G272" i="10" s="1"/>
  <c r="E263" i="10"/>
  <c r="F263" i="10" s="1"/>
  <c r="G263" i="10" s="1"/>
  <c r="E254" i="10"/>
  <c r="F254" i="10" s="1"/>
  <c r="G254" i="10" s="1"/>
  <c r="E245" i="10"/>
  <c r="F245" i="10" s="1"/>
  <c r="G245" i="10" s="1"/>
  <c r="E236" i="10"/>
  <c r="F236" i="10" s="1"/>
  <c r="G236" i="10" s="1"/>
  <c r="E224" i="10"/>
  <c r="F224" i="10" s="1"/>
  <c r="G224" i="10" s="1"/>
  <c r="E213" i="10"/>
  <c r="F213" i="10" s="1"/>
  <c r="G213" i="10" s="1"/>
  <c r="E199" i="10"/>
  <c r="F199" i="10" s="1"/>
  <c r="G199" i="10" s="1"/>
  <c r="E185" i="10"/>
  <c r="F185" i="10" s="1"/>
  <c r="G185" i="10" s="1"/>
  <c r="E174" i="10"/>
  <c r="F174" i="10" s="1"/>
  <c r="G174" i="10" s="1"/>
  <c r="E160" i="10"/>
  <c r="F160" i="10" s="1"/>
  <c r="G160" i="10" s="1"/>
  <c r="E149" i="10"/>
  <c r="F149" i="10" s="1"/>
  <c r="G149" i="10" s="1"/>
  <c r="E135" i="10"/>
  <c r="F135" i="10" s="1"/>
  <c r="G135" i="10" s="1"/>
  <c r="E121" i="10"/>
  <c r="F121" i="10" s="1"/>
  <c r="G121" i="10" s="1"/>
  <c r="E110" i="10"/>
  <c r="F110" i="10" s="1"/>
  <c r="G110" i="10" s="1"/>
  <c r="E94" i="10"/>
  <c r="F94" i="10" s="1"/>
  <c r="G94" i="10" s="1"/>
  <c r="E82" i="10"/>
  <c r="F82" i="10" s="1"/>
  <c r="G82" i="10" s="1"/>
  <c r="E66" i="10"/>
  <c r="F66" i="10" s="1"/>
  <c r="G66" i="10" s="1"/>
  <c r="E50" i="10"/>
  <c r="F50" i="10" s="1"/>
  <c r="G50" i="10" s="1"/>
  <c r="E37" i="10"/>
  <c r="F37" i="10" s="1"/>
  <c r="G37" i="10" s="1"/>
  <c r="E21" i="10"/>
  <c r="F21" i="10" s="1"/>
  <c r="G21" i="10" s="1"/>
  <c r="E8" i="10"/>
  <c r="F8" i="10" s="1"/>
  <c r="G8" i="10" s="1"/>
  <c r="E287" i="10"/>
  <c r="F287" i="10" s="1"/>
  <c r="G287" i="10" s="1"/>
  <c r="E279" i="10"/>
  <c r="F279" i="10" s="1"/>
  <c r="G279" i="10" s="1"/>
  <c r="E271" i="10"/>
  <c r="F271" i="10" s="1"/>
  <c r="G271" i="10" s="1"/>
  <c r="E262" i="10"/>
  <c r="F262" i="10" s="1"/>
  <c r="G262" i="10" s="1"/>
  <c r="E253" i="10"/>
  <c r="F253" i="10" s="1"/>
  <c r="G253" i="10" s="1"/>
  <c r="E244" i="10"/>
  <c r="F244" i="10" s="1"/>
  <c r="G244" i="10" s="1"/>
  <c r="E233" i="10"/>
  <c r="F233" i="10" s="1"/>
  <c r="G233" i="10" s="1"/>
  <c r="E223" i="10"/>
  <c r="F223" i="10" s="1"/>
  <c r="G223" i="10" s="1"/>
  <c r="E209" i="10"/>
  <c r="F209" i="10" s="1"/>
  <c r="G209" i="10" s="1"/>
  <c r="E198" i="10"/>
  <c r="F198" i="10" s="1"/>
  <c r="G198" i="10" s="1"/>
  <c r="E184" i="10"/>
  <c r="F184" i="10" s="1"/>
  <c r="G184" i="10" s="1"/>
  <c r="E173" i="10"/>
  <c r="F173" i="10" s="1"/>
  <c r="G173" i="10" s="1"/>
  <c r="E159" i="10"/>
  <c r="F159" i="10" s="1"/>
  <c r="G159" i="10" s="1"/>
  <c r="E145" i="10"/>
  <c r="F145" i="10" s="1"/>
  <c r="G145" i="10" s="1"/>
  <c r="E134" i="10"/>
  <c r="F134" i="10" s="1"/>
  <c r="G134" i="10" s="1"/>
  <c r="E120" i="10"/>
  <c r="F120" i="10" s="1"/>
  <c r="G120" i="10" s="1"/>
  <c r="E109" i="10"/>
  <c r="F109" i="10" s="1"/>
  <c r="G109" i="10" s="1"/>
  <c r="E93" i="10"/>
  <c r="F93" i="10" s="1"/>
  <c r="G93" i="10" s="1"/>
  <c r="E77" i="10"/>
  <c r="F77" i="10" s="1"/>
  <c r="G77" i="10" s="1"/>
  <c r="E64" i="10"/>
  <c r="F64" i="10" s="1"/>
  <c r="G64" i="10" s="1"/>
  <c r="E48" i="10"/>
  <c r="F48" i="10" s="1"/>
  <c r="G48" i="10" s="1"/>
  <c r="E36" i="10"/>
  <c r="F36" i="10" s="1"/>
  <c r="G36" i="10" s="1"/>
  <c r="E20" i="10"/>
  <c r="F20" i="10" s="1"/>
  <c r="G20" i="10" s="1"/>
  <c r="E4" i="10"/>
  <c r="F4" i="10" s="1"/>
  <c r="G4" i="10" s="1"/>
  <c r="E286" i="10"/>
  <c r="F286" i="10" s="1"/>
  <c r="G286" i="10" s="1"/>
  <c r="E278" i="10"/>
  <c r="F278" i="10" s="1"/>
  <c r="G278" i="10" s="1"/>
  <c r="E270" i="10"/>
  <c r="F270" i="10" s="1"/>
  <c r="G270" i="10" s="1"/>
  <c r="E261" i="10"/>
  <c r="F261" i="10" s="1"/>
  <c r="G261" i="10" s="1"/>
  <c r="E252" i="10"/>
  <c r="F252" i="10" s="1"/>
  <c r="G252" i="10" s="1"/>
  <c r="E242" i="10"/>
  <c r="F242" i="10" s="1"/>
  <c r="G242" i="10" s="1"/>
  <c r="E232" i="10"/>
  <c r="F232" i="10" s="1"/>
  <c r="G232" i="10" s="1"/>
  <c r="E222" i="10"/>
  <c r="F222" i="10" s="1"/>
  <c r="G222" i="10" s="1"/>
  <c r="E208" i="10"/>
  <c r="F208" i="10" s="1"/>
  <c r="G208" i="10" s="1"/>
  <c r="E197" i="10"/>
  <c r="F197" i="10" s="1"/>
  <c r="G197" i="10" s="1"/>
  <c r="E183" i="10"/>
  <c r="F183" i="10" s="1"/>
  <c r="G183" i="10" s="1"/>
  <c r="E169" i="10"/>
  <c r="F169" i="10" s="1"/>
  <c r="G169" i="10" s="1"/>
  <c r="E158" i="10"/>
  <c r="F158" i="10" s="1"/>
  <c r="G158" i="10" s="1"/>
  <c r="E144" i="10"/>
  <c r="F144" i="10" s="1"/>
  <c r="G144" i="10" s="1"/>
  <c r="E133" i="10"/>
  <c r="F133" i="10" s="1"/>
  <c r="G133" i="10" s="1"/>
  <c r="E119" i="10"/>
  <c r="F119" i="10" s="1"/>
  <c r="G119" i="10" s="1"/>
  <c r="E104" i="10"/>
  <c r="F104" i="10" s="1"/>
  <c r="G104" i="10" s="1"/>
  <c r="E92" i="10"/>
  <c r="F92" i="10" s="1"/>
  <c r="G92" i="10" s="1"/>
  <c r="E76" i="10"/>
  <c r="F76" i="10" s="1"/>
  <c r="G76" i="10" s="1"/>
  <c r="E63" i="10"/>
  <c r="F63" i="10" s="1"/>
  <c r="G63" i="10" s="1"/>
  <c r="E47" i="10"/>
  <c r="F47" i="10" s="1"/>
  <c r="G47" i="10" s="1"/>
  <c r="E31" i="10"/>
  <c r="F31" i="10" s="1"/>
  <c r="G31" i="10" s="1"/>
  <c r="E19" i="10"/>
  <c r="F19" i="10" s="1"/>
  <c r="G19" i="10" s="1"/>
  <c r="E3" i="10"/>
  <c r="F3" i="10" s="1"/>
  <c r="G3" i="10" s="1"/>
  <c r="E285" i="10"/>
  <c r="F285" i="10" s="1"/>
  <c r="G285" i="10" s="1"/>
  <c r="E277" i="10"/>
  <c r="F277" i="10" s="1"/>
  <c r="G277" i="10" s="1"/>
  <c r="E269" i="10"/>
  <c r="F269" i="10" s="1"/>
  <c r="G269" i="10" s="1"/>
  <c r="E260" i="10"/>
  <c r="F260" i="10" s="1"/>
  <c r="G260" i="10" s="1"/>
  <c r="E250" i="10"/>
  <c r="F250" i="10" s="1"/>
  <c r="G250" i="10" s="1"/>
  <c r="E241" i="10"/>
  <c r="F241" i="10" s="1"/>
  <c r="G241" i="10" s="1"/>
  <c r="E231" i="10"/>
  <c r="F231" i="10" s="1"/>
  <c r="G231" i="10" s="1"/>
  <c r="E221" i="10"/>
  <c r="F221" i="10" s="1"/>
  <c r="G221" i="10" s="1"/>
  <c r="E207" i="10"/>
  <c r="F207" i="10" s="1"/>
  <c r="G207" i="10" s="1"/>
  <c r="E193" i="10"/>
  <c r="F193" i="10" s="1"/>
  <c r="G193" i="10" s="1"/>
  <c r="E182" i="10"/>
  <c r="F182" i="10" s="1"/>
  <c r="G182" i="10" s="1"/>
  <c r="E168" i="10"/>
  <c r="F168" i="10" s="1"/>
  <c r="G168" i="10" s="1"/>
  <c r="E157" i="10"/>
  <c r="F157" i="10" s="1"/>
  <c r="G157" i="10" s="1"/>
  <c r="E143" i="10"/>
  <c r="F143" i="10" s="1"/>
  <c r="G143" i="10" s="1"/>
  <c r="E129" i="10"/>
  <c r="F129" i="10" s="1"/>
  <c r="G129" i="10" s="1"/>
  <c r="E118" i="10"/>
  <c r="F118" i="10" s="1"/>
  <c r="G118" i="10" s="1"/>
  <c r="E103" i="10"/>
  <c r="F103" i="10" s="1"/>
  <c r="G103" i="10" s="1"/>
  <c r="E91" i="10"/>
  <c r="F91" i="10" s="1"/>
  <c r="G91" i="10" s="1"/>
  <c r="E75" i="10"/>
  <c r="F75" i="10" s="1"/>
  <c r="G75" i="10" s="1"/>
  <c r="E59" i="10"/>
  <c r="F59" i="10" s="1"/>
  <c r="G59" i="10" s="1"/>
  <c r="E46" i="10"/>
  <c r="F46" i="10" s="1"/>
  <c r="G46" i="10" s="1"/>
  <c r="E30" i="10"/>
  <c r="F30" i="10" s="1"/>
  <c r="G30" i="10" s="1"/>
  <c r="E18" i="10"/>
  <c r="F18" i="10" s="1"/>
  <c r="G18" i="10" s="1"/>
  <c r="E284" i="10"/>
  <c r="F284" i="10" s="1"/>
  <c r="G284" i="10" s="1"/>
  <c r="E276" i="10"/>
  <c r="F276" i="10" s="1"/>
  <c r="G276" i="10" s="1"/>
  <c r="E268" i="10"/>
  <c r="F268" i="10" s="1"/>
  <c r="G268" i="10" s="1"/>
  <c r="E258" i="10"/>
  <c r="F258" i="10" s="1"/>
  <c r="G258" i="10" s="1"/>
  <c r="E249" i="10"/>
  <c r="F249" i="10" s="1"/>
  <c r="G249" i="10" s="1"/>
  <c r="E240" i="10"/>
  <c r="F240" i="10" s="1"/>
  <c r="G240" i="10" s="1"/>
  <c r="E230" i="10"/>
  <c r="F230" i="10" s="1"/>
  <c r="G230" i="10" s="1"/>
  <c r="E217" i="10"/>
  <c r="F217" i="10" s="1"/>
  <c r="G217" i="10" s="1"/>
  <c r="E206" i="10"/>
  <c r="F206" i="10" s="1"/>
  <c r="G206" i="10" s="1"/>
  <c r="E192" i="10"/>
  <c r="F192" i="10" s="1"/>
  <c r="G192" i="10" s="1"/>
  <c r="E181" i="10"/>
  <c r="F181" i="10" s="1"/>
  <c r="G181" i="10" s="1"/>
  <c r="E167" i="10"/>
  <c r="F167" i="10" s="1"/>
  <c r="G167" i="10" s="1"/>
  <c r="E153" i="10"/>
  <c r="F153" i="10" s="1"/>
  <c r="G153" i="10" s="1"/>
  <c r="E142" i="10"/>
  <c r="F142" i="10" s="1"/>
  <c r="G142" i="10" s="1"/>
  <c r="E128" i="10"/>
  <c r="F128" i="10" s="1"/>
  <c r="G128" i="10" s="1"/>
  <c r="E117" i="10"/>
  <c r="F117" i="10" s="1"/>
  <c r="G117" i="10" s="1"/>
  <c r="E102" i="10"/>
  <c r="F102" i="10" s="1"/>
  <c r="G102" i="10" s="1"/>
  <c r="E86" i="10"/>
  <c r="F86" i="10" s="1"/>
  <c r="G86" i="10" s="1"/>
  <c r="E74" i="10"/>
  <c r="F74" i="10" s="1"/>
  <c r="G74" i="10" s="1"/>
  <c r="E58" i="10"/>
  <c r="F58" i="10" s="1"/>
  <c r="G58" i="10" s="1"/>
  <c r="E45" i="10"/>
  <c r="F45" i="10" s="1"/>
  <c r="G45" i="10" s="1"/>
  <c r="E29" i="10"/>
  <c r="F29" i="10" s="1"/>
  <c r="G29" i="10" s="1"/>
  <c r="E13" i="10"/>
  <c r="F13" i="10" s="1"/>
  <c r="G13" i="10" s="1"/>
  <c r="F3" i="8"/>
  <c r="G3" i="8" s="1"/>
  <c r="H3" i="8" s="1"/>
  <c r="F4" i="8"/>
  <c r="G4" i="8" s="1"/>
  <c r="H4" i="8" s="1"/>
  <c r="F5" i="8"/>
  <c r="G5" i="8" s="1"/>
  <c r="H5" i="8" s="1"/>
  <c r="F2" i="8"/>
  <c r="G2" i="8" s="1"/>
  <c r="H2" i="8" s="1"/>
  <c r="F331" i="8"/>
  <c r="G331" i="8" s="1"/>
  <c r="H331" i="8" s="1"/>
  <c r="F323" i="8"/>
  <c r="G323" i="8" s="1"/>
  <c r="H323" i="8" s="1"/>
  <c r="F315" i="8"/>
  <c r="G315" i="8" s="1"/>
  <c r="H315" i="8" s="1"/>
  <c r="F307" i="8"/>
  <c r="G307" i="8" s="1"/>
  <c r="H307" i="8" s="1"/>
  <c r="F299" i="8"/>
  <c r="G299" i="8" s="1"/>
  <c r="H299" i="8" s="1"/>
  <c r="F291" i="8"/>
  <c r="G291" i="8" s="1"/>
  <c r="H291" i="8" s="1"/>
  <c r="F283" i="8"/>
  <c r="G283" i="8" s="1"/>
  <c r="H283" i="8" s="1"/>
  <c r="F275" i="8"/>
  <c r="G275" i="8" s="1"/>
  <c r="H275" i="8" s="1"/>
  <c r="F267" i="8"/>
  <c r="G267" i="8" s="1"/>
  <c r="H267" i="8" s="1"/>
  <c r="F259" i="8"/>
  <c r="G259" i="8" s="1"/>
  <c r="H259" i="8" s="1"/>
  <c r="F251" i="8"/>
  <c r="G251" i="8" s="1"/>
  <c r="H251" i="8" s="1"/>
  <c r="F243" i="8"/>
  <c r="G243" i="8" s="1"/>
  <c r="H243" i="8" s="1"/>
  <c r="F235" i="8"/>
  <c r="G235" i="8" s="1"/>
  <c r="H235" i="8" s="1"/>
  <c r="F227" i="8"/>
  <c r="G227" i="8" s="1"/>
  <c r="H227" i="8" s="1"/>
  <c r="F219" i="8"/>
  <c r="G219" i="8" s="1"/>
  <c r="H219" i="8" s="1"/>
  <c r="F211" i="8"/>
  <c r="G211" i="8" s="1"/>
  <c r="H211" i="8" s="1"/>
  <c r="F203" i="8"/>
  <c r="G203" i="8" s="1"/>
  <c r="H203" i="8" s="1"/>
  <c r="F195" i="8"/>
  <c r="G195" i="8" s="1"/>
  <c r="H195" i="8" s="1"/>
  <c r="F187" i="8"/>
  <c r="G187" i="8" s="1"/>
  <c r="H187" i="8" s="1"/>
  <c r="F179" i="8"/>
  <c r="G179" i="8" s="1"/>
  <c r="H179" i="8" s="1"/>
  <c r="F171" i="8"/>
  <c r="G171" i="8" s="1"/>
  <c r="H171" i="8" s="1"/>
  <c r="F163" i="8"/>
  <c r="G163" i="8" s="1"/>
  <c r="H163" i="8" s="1"/>
  <c r="F155" i="8"/>
  <c r="G155" i="8" s="1"/>
  <c r="H155" i="8" s="1"/>
  <c r="F147" i="8"/>
  <c r="G147" i="8" s="1"/>
  <c r="H147" i="8" s="1"/>
  <c r="F139" i="8"/>
  <c r="G139" i="8" s="1"/>
  <c r="H139" i="8" s="1"/>
  <c r="F131" i="8"/>
  <c r="G131" i="8" s="1"/>
  <c r="H131" i="8" s="1"/>
  <c r="F123" i="8"/>
  <c r="G123" i="8" s="1"/>
  <c r="H123" i="8" s="1"/>
  <c r="F115" i="8"/>
  <c r="G115" i="8" s="1"/>
  <c r="H115" i="8" s="1"/>
  <c r="F107" i="8"/>
  <c r="G107" i="8" s="1"/>
  <c r="H107" i="8" s="1"/>
  <c r="F99" i="8"/>
  <c r="G99" i="8" s="1"/>
  <c r="H99" i="8" s="1"/>
  <c r="F91" i="8"/>
  <c r="G91" i="8" s="1"/>
  <c r="H91" i="8" s="1"/>
  <c r="F83" i="8"/>
  <c r="G83" i="8" s="1"/>
  <c r="H83" i="8" s="1"/>
  <c r="F75" i="8"/>
  <c r="G75" i="8" s="1"/>
  <c r="H75" i="8" s="1"/>
  <c r="F67" i="8"/>
  <c r="G67" i="8" s="1"/>
  <c r="H67" i="8" s="1"/>
  <c r="F59" i="8"/>
  <c r="G59" i="8" s="1"/>
  <c r="H59" i="8" s="1"/>
  <c r="F51" i="8"/>
  <c r="G51" i="8" s="1"/>
  <c r="H51" i="8" s="1"/>
  <c r="F43" i="8"/>
  <c r="G43" i="8" s="1"/>
  <c r="H43" i="8" s="1"/>
  <c r="F35" i="8"/>
  <c r="G35" i="8" s="1"/>
  <c r="H35" i="8" s="1"/>
  <c r="F27" i="8"/>
  <c r="G27" i="8" s="1"/>
  <c r="H27" i="8" s="1"/>
  <c r="F19" i="8"/>
  <c r="G19" i="8" s="1"/>
  <c r="H19" i="8" s="1"/>
  <c r="F11" i="8"/>
  <c r="G11" i="8" s="1"/>
  <c r="H11" i="8" s="1"/>
  <c r="F337" i="8"/>
  <c r="G337" i="8" s="1"/>
  <c r="H337" i="8" s="1"/>
  <c r="F329" i="8"/>
  <c r="G329" i="8" s="1"/>
  <c r="H329" i="8" s="1"/>
  <c r="F321" i="8"/>
  <c r="G321" i="8" s="1"/>
  <c r="H321" i="8" s="1"/>
  <c r="F313" i="8"/>
  <c r="G313" i="8" s="1"/>
  <c r="H313" i="8" s="1"/>
  <c r="F305" i="8"/>
  <c r="G305" i="8" s="1"/>
  <c r="H305" i="8" s="1"/>
  <c r="F297" i="8"/>
  <c r="G297" i="8" s="1"/>
  <c r="H297" i="8" s="1"/>
  <c r="F289" i="8"/>
  <c r="G289" i="8" s="1"/>
  <c r="H289" i="8" s="1"/>
  <c r="F281" i="8"/>
  <c r="G281" i="8" s="1"/>
  <c r="H281" i="8" s="1"/>
  <c r="F273" i="8"/>
  <c r="G273" i="8" s="1"/>
  <c r="H273" i="8" s="1"/>
  <c r="F265" i="8"/>
  <c r="G265" i="8" s="1"/>
  <c r="H265" i="8" s="1"/>
  <c r="F257" i="8"/>
  <c r="G257" i="8" s="1"/>
  <c r="H257" i="8" s="1"/>
  <c r="F249" i="8"/>
  <c r="G249" i="8" s="1"/>
  <c r="H249" i="8" s="1"/>
  <c r="F241" i="8"/>
  <c r="G241" i="8" s="1"/>
  <c r="H241" i="8" s="1"/>
  <c r="F233" i="8"/>
  <c r="G233" i="8" s="1"/>
  <c r="H233" i="8" s="1"/>
  <c r="F225" i="8"/>
  <c r="G225" i="8" s="1"/>
  <c r="H225" i="8" s="1"/>
  <c r="F217" i="8"/>
  <c r="G217" i="8" s="1"/>
  <c r="H217" i="8" s="1"/>
  <c r="F209" i="8"/>
  <c r="G209" i="8" s="1"/>
  <c r="H209" i="8" s="1"/>
  <c r="F201" i="8"/>
  <c r="G201" i="8" s="1"/>
  <c r="H201" i="8" s="1"/>
  <c r="F193" i="8"/>
  <c r="G193" i="8" s="1"/>
  <c r="H193" i="8" s="1"/>
  <c r="F185" i="8"/>
  <c r="G185" i="8" s="1"/>
  <c r="H185" i="8" s="1"/>
  <c r="F177" i="8"/>
  <c r="G177" i="8" s="1"/>
  <c r="H177" i="8" s="1"/>
  <c r="F169" i="8"/>
  <c r="G169" i="8" s="1"/>
  <c r="H169" i="8" s="1"/>
  <c r="F161" i="8"/>
  <c r="G161" i="8" s="1"/>
  <c r="H161" i="8" s="1"/>
  <c r="F153" i="8"/>
  <c r="G153" i="8" s="1"/>
  <c r="H153" i="8" s="1"/>
  <c r="F145" i="8"/>
  <c r="G145" i="8" s="1"/>
  <c r="H145" i="8" s="1"/>
  <c r="F137" i="8"/>
  <c r="G137" i="8" s="1"/>
  <c r="H137" i="8" s="1"/>
  <c r="F129" i="8"/>
  <c r="G129" i="8" s="1"/>
  <c r="H129" i="8" s="1"/>
  <c r="F121" i="8"/>
  <c r="G121" i="8" s="1"/>
  <c r="H121" i="8" s="1"/>
  <c r="F113" i="8"/>
  <c r="G113" i="8" s="1"/>
  <c r="H113" i="8" s="1"/>
  <c r="F105" i="8"/>
  <c r="G105" i="8" s="1"/>
  <c r="H105" i="8" s="1"/>
  <c r="F97" i="8"/>
  <c r="G97" i="8" s="1"/>
  <c r="H97" i="8" s="1"/>
  <c r="F89" i="8"/>
  <c r="G89" i="8" s="1"/>
  <c r="H89" i="8" s="1"/>
  <c r="F81" i="8"/>
  <c r="G81" i="8" s="1"/>
  <c r="H81" i="8" s="1"/>
  <c r="F73" i="8"/>
  <c r="G73" i="8" s="1"/>
  <c r="H73" i="8" s="1"/>
  <c r="F65" i="8"/>
  <c r="G65" i="8" s="1"/>
  <c r="H65" i="8" s="1"/>
  <c r="F57" i="8"/>
  <c r="G57" i="8" s="1"/>
  <c r="H57" i="8" s="1"/>
  <c r="F49" i="8"/>
  <c r="G49" i="8" s="1"/>
  <c r="H49" i="8" s="1"/>
  <c r="F41" i="8"/>
  <c r="G41" i="8" s="1"/>
  <c r="H41" i="8" s="1"/>
  <c r="F33" i="8"/>
  <c r="G33" i="8" s="1"/>
  <c r="H33" i="8" s="1"/>
  <c r="F25" i="8"/>
  <c r="G25" i="8" s="1"/>
  <c r="H25" i="8" s="1"/>
  <c r="F17" i="8"/>
  <c r="G17" i="8" s="1"/>
  <c r="H17" i="8" s="1"/>
  <c r="F9" i="8"/>
  <c r="G9" i="8" s="1"/>
  <c r="H9" i="8" s="1"/>
  <c r="F336" i="8"/>
  <c r="G336" i="8" s="1"/>
  <c r="H336" i="8" s="1"/>
  <c r="F328" i="8"/>
  <c r="G328" i="8" s="1"/>
  <c r="H328" i="8" s="1"/>
  <c r="F320" i="8"/>
  <c r="G320" i="8" s="1"/>
  <c r="H320" i="8" s="1"/>
  <c r="F312" i="8"/>
  <c r="G312" i="8" s="1"/>
  <c r="H312" i="8" s="1"/>
  <c r="F304" i="8"/>
  <c r="G304" i="8" s="1"/>
  <c r="H304" i="8" s="1"/>
  <c r="F296" i="8"/>
  <c r="G296" i="8" s="1"/>
  <c r="H296" i="8" s="1"/>
  <c r="F288" i="8"/>
  <c r="G288" i="8" s="1"/>
  <c r="H288" i="8" s="1"/>
  <c r="F280" i="8"/>
  <c r="G280" i="8" s="1"/>
  <c r="H280" i="8" s="1"/>
  <c r="F272" i="8"/>
  <c r="G272" i="8" s="1"/>
  <c r="H272" i="8" s="1"/>
  <c r="F264" i="8"/>
  <c r="G264" i="8" s="1"/>
  <c r="H264" i="8" s="1"/>
  <c r="F256" i="8"/>
  <c r="G256" i="8" s="1"/>
  <c r="H256" i="8" s="1"/>
  <c r="F248" i="8"/>
  <c r="G248" i="8" s="1"/>
  <c r="H248" i="8" s="1"/>
  <c r="F240" i="8"/>
  <c r="G240" i="8" s="1"/>
  <c r="H240" i="8" s="1"/>
  <c r="F232" i="8"/>
  <c r="G232" i="8" s="1"/>
  <c r="H232" i="8" s="1"/>
  <c r="F224" i="8"/>
  <c r="G224" i="8" s="1"/>
  <c r="H224" i="8" s="1"/>
  <c r="F216" i="8"/>
  <c r="G216" i="8" s="1"/>
  <c r="H216" i="8" s="1"/>
  <c r="F208" i="8"/>
  <c r="G208" i="8" s="1"/>
  <c r="H208" i="8" s="1"/>
  <c r="F200" i="8"/>
  <c r="G200" i="8" s="1"/>
  <c r="H200" i="8" s="1"/>
  <c r="F192" i="8"/>
  <c r="G192" i="8" s="1"/>
  <c r="H192" i="8" s="1"/>
  <c r="F184" i="8"/>
  <c r="G184" i="8" s="1"/>
  <c r="H184" i="8" s="1"/>
  <c r="F176" i="8"/>
  <c r="G176" i="8" s="1"/>
  <c r="H176" i="8" s="1"/>
  <c r="F168" i="8"/>
  <c r="G168" i="8" s="1"/>
  <c r="H168" i="8" s="1"/>
  <c r="F160" i="8"/>
  <c r="G160" i="8" s="1"/>
  <c r="H160" i="8" s="1"/>
  <c r="F152" i="8"/>
  <c r="G152" i="8" s="1"/>
  <c r="H152" i="8" s="1"/>
  <c r="F144" i="8"/>
  <c r="G144" i="8" s="1"/>
  <c r="H144" i="8" s="1"/>
  <c r="F136" i="8"/>
  <c r="G136" i="8" s="1"/>
  <c r="H136" i="8" s="1"/>
  <c r="F128" i="8"/>
  <c r="G128" i="8" s="1"/>
  <c r="H128" i="8" s="1"/>
  <c r="F120" i="8"/>
  <c r="G120" i="8" s="1"/>
  <c r="H120" i="8" s="1"/>
  <c r="F112" i="8"/>
  <c r="G112" i="8" s="1"/>
  <c r="H112" i="8" s="1"/>
  <c r="F104" i="8"/>
  <c r="G104" i="8" s="1"/>
  <c r="H104" i="8" s="1"/>
  <c r="F96" i="8"/>
  <c r="G96" i="8" s="1"/>
  <c r="H96" i="8" s="1"/>
  <c r="F88" i="8"/>
  <c r="G88" i="8" s="1"/>
  <c r="H88" i="8" s="1"/>
  <c r="F80" i="8"/>
  <c r="G80" i="8" s="1"/>
  <c r="H80" i="8" s="1"/>
  <c r="F72" i="8"/>
  <c r="G72" i="8" s="1"/>
  <c r="H72" i="8" s="1"/>
  <c r="F64" i="8"/>
  <c r="G64" i="8" s="1"/>
  <c r="H64" i="8" s="1"/>
  <c r="F56" i="8"/>
  <c r="G56" i="8" s="1"/>
  <c r="H56" i="8" s="1"/>
  <c r="F48" i="8"/>
  <c r="G48" i="8" s="1"/>
  <c r="H48" i="8" s="1"/>
  <c r="F40" i="8"/>
  <c r="G40" i="8" s="1"/>
  <c r="H40" i="8" s="1"/>
  <c r="F32" i="8"/>
  <c r="G32" i="8" s="1"/>
  <c r="H32" i="8" s="1"/>
  <c r="F24" i="8"/>
  <c r="G24" i="8" s="1"/>
  <c r="H24" i="8" s="1"/>
  <c r="F16" i="8"/>
  <c r="G16" i="8" s="1"/>
  <c r="H16" i="8" s="1"/>
  <c r="F8" i="8"/>
  <c r="G8" i="8" s="1"/>
  <c r="H8" i="8" s="1"/>
  <c r="F335" i="8"/>
  <c r="G335" i="8" s="1"/>
  <c r="H335" i="8" s="1"/>
  <c r="F327" i="8"/>
  <c r="G327" i="8" s="1"/>
  <c r="H327" i="8" s="1"/>
  <c r="F319" i="8"/>
  <c r="G319" i="8" s="1"/>
  <c r="H319" i="8" s="1"/>
  <c r="F311" i="8"/>
  <c r="G311" i="8" s="1"/>
  <c r="H311" i="8" s="1"/>
  <c r="F303" i="8"/>
  <c r="G303" i="8" s="1"/>
  <c r="H303" i="8" s="1"/>
  <c r="F295" i="8"/>
  <c r="G295" i="8" s="1"/>
  <c r="H295" i="8" s="1"/>
  <c r="F287" i="8"/>
  <c r="G287" i="8" s="1"/>
  <c r="H287" i="8" s="1"/>
  <c r="F279" i="8"/>
  <c r="G279" i="8" s="1"/>
  <c r="H279" i="8" s="1"/>
  <c r="F271" i="8"/>
  <c r="G271" i="8" s="1"/>
  <c r="H271" i="8" s="1"/>
  <c r="F263" i="8"/>
  <c r="G263" i="8" s="1"/>
  <c r="H263" i="8" s="1"/>
  <c r="F255" i="8"/>
  <c r="G255" i="8" s="1"/>
  <c r="H255" i="8" s="1"/>
  <c r="F247" i="8"/>
  <c r="G247" i="8" s="1"/>
  <c r="H247" i="8" s="1"/>
  <c r="F239" i="8"/>
  <c r="G239" i="8" s="1"/>
  <c r="H239" i="8" s="1"/>
  <c r="F231" i="8"/>
  <c r="G231" i="8" s="1"/>
  <c r="H231" i="8" s="1"/>
  <c r="F223" i="8"/>
  <c r="G223" i="8" s="1"/>
  <c r="H223" i="8" s="1"/>
  <c r="F215" i="8"/>
  <c r="G215" i="8" s="1"/>
  <c r="H215" i="8" s="1"/>
  <c r="F207" i="8"/>
  <c r="G207" i="8" s="1"/>
  <c r="H207" i="8" s="1"/>
  <c r="F199" i="8"/>
  <c r="G199" i="8" s="1"/>
  <c r="H199" i="8" s="1"/>
  <c r="F191" i="8"/>
  <c r="G191" i="8" s="1"/>
  <c r="H191" i="8" s="1"/>
  <c r="F183" i="8"/>
  <c r="G183" i="8" s="1"/>
  <c r="H183" i="8" s="1"/>
  <c r="F175" i="8"/>
  <c r="G175" i="8" s="1"/>
  <c r="H175" i="8" s="1"/>
  <c r="F167" i="8"/>
  <c r="G167" i="8" s="1"/>
  <c r="H167" i="8" s="1"/>
  <c r="F159" i="8"/>
  <c r="G159" i="8" s="1"/>
  <c r="H159" i="8" s="1"/>
  <c r="F151" i="8"/>
  <c r="G151" i="8" s="1"/>
  <c r="H151" i="8" s="1"/>
  <c r="F143" i="8"/>
  <c r="G143" i="8" s="1"/>
  <c r="H143" i="8" s="1"/>
  <c r="F135" i="8"/>
  <c r="G135" i="8" s="1"/>
  <c r="H135" i="8" s="1"/>
  <c r="F127" i="8"/>
  <c r="G127" i="8" s="1"/>
  <c r="H127" i="8" s="1"/>
  <c r="F119" i="8"/>
  <c r="G119" i="8" s="1"/>
  <c r="H119" i="8" s="1"/>
  <c r="F111" i="8"/>
  <c r="G111" i="8" s="1"/>
  <c r="H111" i="8" s="1"/>
  <c r="F103" i="8"/>
  <c r="G103" i="8" s="1"/>
  <c r="H103" i="8" s="1"/>
  <c r="F95" i="8"/>
  <c r="G95" i="8" s="1"/>
  <c r="H95" i="8" s="1"/>
  <c r="F87" i="8"/>
  <c r="G87" i="8" s="1"/>
  <c r="H87" i="8" s="1"/>
  <c r="F79" i="8"/>
  <c r="G79" i="8" s="1"/>
  <c r="H79" i="8" s="1"/>
  <c r="F71" i="8"/>
  <c r="G71" i="8" s="1"/>
  <c r="H71" i="8" s="1"/>
  <c r="F63" i="8"/>
  <c r="G63" i="8" s="1"/>
  <c r="H63" i="8" s="1"/>
  <c r="F55" i="8"/>
  <c r="G55" i="8" s="1"/>
  <c r="H55" i="8" s="1"/>
  <c r="F47" i="8"/>
  <c r="G47" i="8" s="1"/>
  <c r="H47" i="8" s="1"/>
  <c r="F39" i="8"/>
  <c r="G39" i="8" s="1"/>
  <c r="H39" i="8" s="1"/>
  <c r="F31" i="8"/>
  <c r="G31" i="8" s="1"/>
  <c r="H31" i="8" s="1"/>
  <c r="F23" i="8"/>
  <c r="G23" i="8" s="1"/>
  <c r="H23" i="8" s="1"/>
  <c r="F15" i="8"/>
  <c r="G15" i="8" s="1"/>
  <c r="H15" i="8" s="1"/>
  <c r="F7" i="8"/>
  <c r="G7" i="8" s="1"/>
  <c r="H7" i="8" s="1"/>
  <c r="F2" i="7"/>
  <c r="G2" i="7" s="1"/>
  <c r="H2" i="7" s="1"/>
  <c r="F331" i="7"/>
  <c r="G331" i="7" s="1"/>
  <c r="H331" i="7" s="1"/>
  <c r="F323" i="7"/>
  <c r="G323" i="7" s="1"/>
  <c r="H323" i="7" s="1"/>
  <c r="F315" i="7"/>
  <c r="G315" i="7" s="1"/>
  <c r="H315" i="7" s="1"/>
  <c r="F307" i="7"/>
  <c r="G307" i="7" s="1"/>
  <c r="H307" i="7" s="1"/>
  <c r="F299" i="7"/>
  <c r="G299" i="7" s="1"/>
  <c r="H299" i="7" s="1"/>
  <c r="F291" i="7"/>
  <c r="G291" i="7" s="1"/>
  <c r="H291" i="7" s="1"/>
  <c r="F283" i="7"/>
  <c r="G283" i="7" s="1"/>
  <c r="H283" i="7" s="1"/>
  <c r="F275" i="7"/>
  <c r="G275" i="7" s="1"/>
  <c r="H275" i="7" s="1"/>
  <c r="F267" i="7"/>
  <c r="G267" i="7" s="1"/>
  <c r="H267" i="7" s="1"/>
  <c r="F259" i="7"/>
  <c r="G259" i="7" s="1"/>
  <c r="H259" i="7" s="1"/>
  <c r="F251" i="7"/>
  <c r="G251" i="7" s="1"/>
  <c r="H251" i="7" s="1"/>
  <c r="F243" i="7"/>
  <c r="G243" i="7" s="1"/>
  <c r="H243" i="7" s="1"/>
  <c r="F235" i="7"/>
  <c r="G235" i="7" s="1"/>
  <c r="H235" i="7" s="1"/>
  <c r="F227" i="7"/>
  <c r="G227" i="7" s="1"/>
  <c r="H227" i="7" s="1"/>
  <c r="F219" i="7"/>
  <c r="G219" i="7" s="1"/>
  <c r="H219" i="7" s="1"/>
  <c r="F211" i="7"/>
  <c r="G211" i="7" s="1"/>
  <c r="H211" i="7" s="1"/>
  <c r="F203" i="7"/>
  <c r="G203" i="7" s="1"/>
  <c r="H203" i="7" s="1"/>
  <c r="F195" i="7"/>
  <c r="G195" i="7" s="1"/>
  <c r="H195" i="7" s="1"/>
  <c r="F187" i="7"/>
  <c r="G187" i="7" s="1"/>
  <c r="H187" i="7" s="1"/>
  <c r="F179" i="7"/>
  <c r="G179" i="7" s="1"/>
  <c r="H179" i="7" s="1"/>
  <c r="F171" i="7"/>
  <c r="G171" i="7" s="1"/>
  <c r="H171" i="7" s="1"/>
  <c r="F163" i="7"/>
  <c r="G163" i="7" s="1"/>
  <c r="H163" i="7" s="1"/>
  <c r="F155" i="7"/>
  <c r="G155" i="7" s="1"/>
  <c r="H155" i="7" s="1"/>
  <c r="F147" i="7"/>
  <c r="G147" i="7" s="1"/>
  <c r="H147" i="7" s="1"/>
  <c r="F139" i="7"/>
  <c r="G139" i="7" s="1"/>
  <c r="H139" i="7" s="1"/>
  <c r="F131" i="7"/>
  <c r="G131" i="7" s="1"/>
  <c r="H131" i="7" s="1"/>
  <c r="F123" i="7"/>
  <c r="G123" i="7" s="1"/>
  <c r="H123" i="7" s="1"/>
  <c r="F115" i="7"/>
  <c r="G115" i="7" s="1"/>
  <c r="H115" i="7" s="1"/>
  <c r="F107" i="7"/>
  <c r="G107" i="7" s="1"/>
  <c r="H107" i="7" s="1"/>
  <c r="F99" i="7"/>
  <c r="G99" i="7" s="1"/>
  <c r="H99" i="7" s="1"/>
  <c r="F91" i="7"/>
  <c r="G91" i="7" s="1"/>
  <c r="H91" i="7" s="1"/>
  <c r="F83" i="7"/>
  <c r="G83" i="7" s="1"/>
  <c r="H83" i="7" s="1"/>
  <c r="F75" i="7"/>
  <c r="G75" i="7" s="1"/>
  <c r="H75" i="7" s="1"/>
  <c r="F67" i="7"/>
  <c r="G67" i="7" s="1"/>
  <c r="H67" i="7" s="1"/>
  <c r="F59" i="7"/>
  <c r="G59" i="7" s="1"/>
  <c r="H59" i="7" s="1"/>
  <c r="F51" i="7"/>
  <c r="G51" i="7" s="1"/>
  <c r="H51" i="7" s="1"/>
  <c r="F43" i="7"/>
  <c r="G43" i="7" s="1"/>
  <c r="H43" i="7" s="1"/>
  <c r="F35" i="7"/>
  <c r="G35" i="7" s="1"/>
  <c r="H35" i="7" s="1"/>
  <c r="F27" i="7"/>
  <c r="G27" i="7" s="1"/>
  <c r="H27" i="7" s="1"/>
  <c r="F19" i="7"/>
  <c r="G19" i="7" s="1"/>
  <c r="H19" i="7" s="1"/>
  <c r="F5" i="7"/>
  <c r="G5" i="7" s="1"/>
  <c r="H5" i="7" s="1"/>
  <c r="F6" i="7"/>
  <c r="G6" i="7" s="1"/>
  <c r="H6" i="7" s="1"/>
  <c r="F7" i="7"/>
  <c r="G7" i="7" s="1"/>
  <c r="H7" i="7" s="1"/>
  <c r="F338" i="7"/>
  <c r="G338" i="7" s="1"/>
  <c r="H338" i="7" s="1"/>
  <c r="F330" i="7"/>
  <c r="G330" i="7" s="1"/>
  <c r="H330" i="7" s="1"/>
  <c r="F322" i="7"/>
  <c r="G322" i="7" s="1"/>
  <c r="H322" i="7" s="1"/>
  <c r="F314" i="7"/>
  <c r="G314" i="7" s="1"/>
  <c r="H314" i="7" s="1"/>
  <c r="F306" i="7"/>
  <c r="G306" i="7" s="1"/>
  <c r="H306" i="7" s="1"/>
  <c r="F298" i="7"/>
  <c r="G298" i="7" s="1"/>
  <c r="H298" i="7" s="1"/>
  <c r="F290" i="7"/>
  <c r="G290" i="7" s="1"/>
  <c r="H290" i="7" s="1"/>
  <c r="F282" i="7"/>
  <c r="G282" i="7" s="1"/>
  <c r="H282" i="7" s="1"/>
  <c r="F274" i="7"/>
  <c r="G274" i="7" s="1"/>
  <c r="H274" i="7" s="1"/>
  <c r="F266" i="7"/>
  <c r="G266" i="7" s="1"/>
  <c r="H266" i="7" s="1"/>
  <c r="F258" i="7"/>
  <c r="G258" i="7" s="1"/>
  <c r="H258" i="7" s="1"/>
  <c r="F250" i="7"/>
  <c r="G250" i="7" s="1"/>
  <c r="H250" i="7" s="1"/>
  <c r="F242" i="7"/>
  <c r="G242" i="7" s="1"/>
  <c r="H242" i="7" s="1"/>
  <c r="F234" i="7"/>
  <c r="G234" i="7" s="1"/>
  <c r="H234" i="7" s="1"/>
  <c r="F226" i="7"/>
  <c r="G226" i="7" s="1"/>
  <c r="H226" i="7" s="1"/>
  <c r="F218" i="7"/>
  <c r="G218" i="7" s="1"/>
  <c r="H218" i="7" s="1"/>
  <c r="F210" i="7"/>
  <c r="G210" i="7" s="1"/>
  <c r="H210" i="7" s="1"/>
  <c r="F202" i="7"/>
  <c r="G202" i="7" s="1"/>
  <c r="H202" i="7" s="1"/>
  <c r="F194" i="7"/>
  <c r="G194" i="7" s="1"/>
  <c r="H194" i="7" s="1"/>
  <c r="F186" i="7"/>
  <c r="G186" i="7" s="1"/>
  <c r="H186" i="7" s="1"/>
  <c r="F178" i="7"/>
  <c r="G178" i="7" s="1"/>
  <c r="H178" i="7" s="1"/>
  <c r="F170" i="7"/>
  <c r="G170" i="7" s="1"/>
  <c r="H170" i="7" s="1"/>
  <c r="F162" i="7"/>
  <c r="G162" i="7" s="1"/>
  <c r="H162" i="7" s="1"/>
  <c r="F154" i="7"/>
  <c r="G154" i="7" s="1"/>
  <c r="H154" i="7" s="1"/>
  <c r="F146" i="7"/>
  <c r="G146" i="7" s="1"/>
  <c r="H146" i="7" s="1"/>
  <c r="F138" i="7"/>
  <c r="G138" i="7" s="1"/>
  <c r="H138" i="7" s="1"/>
  <c r="F130" i="7"/>
  <c r="G130" i="7" s="1"/>
  <c r="H130" i="7" s="1"/>
  <c r="F122" i="7"/>
  <c r="G122" i="7" s="1"/>
  <c r="H122" i="7" s="1"/>
  <c r="F114" i="7"/>
  <c r="G114" i="7" s="1"/>
  <c r="H114" i="7" s="1"/>
  <c r="F106" i="7"/>
  <c r="G106" i="7" s="1"/>
  <c r="H106" i="7" s="1"/>
  <c r="F98" i="7"/>
  <c r="G98" i="7" s="1"/>
  <c r="H98" i="7" s="1"/>
  <c r="F90" i="7"/>
  <c r="G90" i="7" s="1"/>
  <c r="H90" i="7" s="1"/>
  <c r="F82" i="7"/>
  <c r="G82" i="7" s="1"/>
  <c r="H82" i="7" s="1"/>
  <c r="F74" i="7"/>
  <c r="G74" i="7" s="1"/>
  <c r="H74" i="7" s="1"/>
  <c r="F66" i="7"/>
  <c r="G66" i="7" s="1"/>
  <c r="H66" i="7" s="1"/>
  <c r="F58" i="7"/>
  <c r="G58" i="7" s="1"/>
  <c r="H58" i="7" s="1"/>
  <c r="F50" i="7"/>
  <c r="G50" i="7" s="1"/>
  <c r="H50" i="7" s="1"/>
  <c r="F42" i="7"/>
  <c r="G42" i="7" s="1"/>
  <c r="H42" i="7" s="1"/>
  <c r="F34" i="7"/>
  <c r="G34" i="7" s="1"/>
  <c r="H34" i="7" s="1"/>
  <c r="F26" i="7"/>
  <c r="G26" i="7" s="1"/>
  <c r="H26" i="7" s="1"/>
  <c r="F18" i="7"/>
  <c r="G18" i="7" s="1"/>
  <c r="H18" i="7" s="1"/>
  <c r="F10" i="7"/>
  <c r="G10" i="7" s="1"/>
  <c r="H10" i="7" s="1"/>
  <c r="F337" i="7"/>
  <c r="G337" i="7" s="1"/>
  <c r="H337" i="7" s="1"/>
  <c r="F329" i="7"/>
  <c r="G329" i="7" s="1"/>
  <c r="H329" i="7" s="1"/>
  <c r="F321" i="7"/>
  <c r="G321" i="7" s="1"/>
  <c r="H321" i="7" s="1"/>
  <c r="F313" i="7"/>
  <c r="G313" i="7" s="1"/>
  <c r="H313" i="7" s="1"/>
  <c r="F305" i="7"/>
  <c r="G305" i="7" s="1"/>
  <c r="H305" i="7" s="1"/>
  <c r="F297" i="7"/>
  <c r="G297" i="7" s="1"/>
  <c r="H297" i="7" s="1"/>
  <c r="F289" i="7"/>
  <c r="G289" i="7" s="1"/>
  <c r="H289" i="7" s="1"/>
  <c r="F281" i="7"/>
  <c r="G281" i="7" s="1"/>
  <c r="H281" i="7" s="1"/>
  <c r="F273" i="7"/>
  <c r="G273" i="7" s="1"/>
  <c r="H273" i="7" s="1"/>
  <c r="F265" i="7"/>
  <c r="G265" i="7" s="1"/>
  <c r="H265" i="7" s="1"/>
  <c r="F257" i="7"/>
  <c r="G257" i="7" s="1"/>
  <c r="H257" i="7" s="1"/>
  <c r="F249" i="7"/>
  <c r="G249" i="7" s="1"/>
  <c r="H249" i="7" s="1"/>
  <c r="F241" i="7"/>
  <c r="G241" i="7" s="1"/>
  <c r="H241" i="7" s="1"/>
  <c r="F233" i="7"/>
  <c r="G233" i="7" s="1"/>
  <c r="H233" i="7" s="1"/>
  <c r="F225" i="7"/>
  <c r="G225" i="7" s="1"/>
  <c r="H225" i="7" s="1"/>
  <c r="F217" i="7"/>
  <c r="G217" i="7" s="1"/>
  <c r="H217" i="7" s="1"/>
  <c r="F209" i="7"/>
  <c r="G209" i="7" s="1"/>
  <c r="H209" i="7" s="1"/>
  <c r="F201" i="7"/>
  <c r="G201" i="7" s="1"/>
  <c r="H201" i="7" s="1"/>
  <c r="F193" i="7"/>
  <c r="G193" i="7" s="1"/>
  <c r="H193" i="7" s="1"/>
  <c r="F185" i="7"/>
  <c r="G185" i="7" s="1"/>
  <c r="H185" i="7" s="1"/>
  <c r="F177" i="7"/>
  <c r="G177" i="7" s="1"/>
  <c r="H177" i="7" s="1"/>
  <c r="F169" i="7"/>
  <c r="G169" i="7" s="1"/>
  <c r="H169" i="7" s="1"/>
  <c r="F161" i="7"/>
  <c r="G161" i="7" s="1"/>
  <c r="H161" i="7" s="1"/>
  <c r="F153" i="7"/>
  <c r="G153" i="7" s="1"/>
  <c r="H153" i="7" s="1"/>
  <c r="F145" i="7"/>
  <c r="G145" i="7" s="1"/>
  <c r="H145" i="7" s="1"/>
  <c r="F137" i="7"/>
  <c r="G137" i="7" s="1"/>
  <c r="H137" i="7" s="1"/>
  <c r="F129" i="7"/>
  <c r="G129" i="7" s="1"/>
  <c r="H129" i="7" s="1"/>
  <c r="F121" i="7"/>
  <c r="G121" i="7" s="1"/>
  <c r="H121" i="7" s="1"/>
  <c r="F113" i="7"/>
  <c r="G113" i="7" s="1"/>
  <c r="H113" i="7" s="1"/>
  <c r="F105" i="7"/>
  <c r="G105" i="7" s="1"/>
  <c r="H105" i="7" s="1"/>
  <c r="F97" i="7"/>
  <c r="G97" i="7" s="1"/>
  <c r="H97" i="7" s="1"/>
  <c r="F89" i="7"/>
  <c r="G89" i="7" s="1"/>
  <c r="H89" i="7" s="1"/>
  <c r="F81" i="7"/>
  <c r="G81" i="7" s="1"/>
  <c r="H81" i="7" s="1"/>
  <c r="F73" i="7"/>
  <c r="G73" i="7" s="1"/>
  <c r="H73" i="7" s="1"/>
  <c r="F65" i="7"/>
  <c r="G65" i="7" s="1"/>
  <c r="H65" i="7" s="1"/>
  <c r="F57" i="7"/>
  <c r="G57" i="7" s="1"/>
  <c r="H57" i="7" s="1"/>
  <c r="F49" i="7"/>
  <c r="G49" i="7" s="1"/>
  <c r="H49" i="7" s="1"/>
  <c r="F41" i="7"/>
  <c r="G41" i="7" s="1"/>
  <c r="H41" i="7" s="1"/>
  <c r="F33" i="7"/>
  <c r="G33" i="7" s="1"/>
  <c r="H33" i="7" s="1"/>
  <c r="F25" i="7"/>
  <c r="G25" i="7" s="1"/>
  <c r="H25" i="7" s="1"/>
  <c r="F17" i="7"/>
  <c r="G17" i="7" s="1"/>
  <c r="H17" i="7" s="1"/>
  <c r="F9" i="7"/>
  <c r="G9" i="7" s="1"/>
  <c r="H9" i="7" s="1"/>
  <c r="D346" i="7"/>
  <c r="F336" i="7"/>
  <c r="G336" i="7" s="1"/>
  <c r="H336" i="7" s="1"/>
  <c r="F328" i="7"/>
  <c r="G328" i="7" s="1"/>
  <c r="H328" i="7" s="1"/>
  <c r="F320" i="7"/>
  <c r="G320" i="7" s="1"/>
  <c r="H320" i="7" s="1"/>
  <c r="F312" i="7"/>
  <c r="G312" i="7" s="1"/>
  <c r="H312" i="7" s="1"/>
  <c r="F304" i="7"/>
  <c r="G304" i="7" s="1"/>
  <c r="H304" i="7" s="1"/>
  <c r="F296" i="7"/>
  <c r="G296" i="7" s="1"/>
  <c r="H296" i="7" s="1"/>
  <c r="F288" i="7"/>
  <c r="G288" i="7" s="1"/>
  <c r="H288" i="7" s="1"/>
  <c r="F280" i="7"/>
  <c r="G280" i="7" s="1"/>
  <c r="H280" i="7" s="1"/>
  <c r="F272" i="7"/>
  <c r="G272" i="7" s="1"/>
  <c r="H272" i="7" s="1"/>
  <c r="F264" i="7"/>
  <c r="G264" i="7" s="1"/>
  <c r="H264" i="7" s="1"/>
  <c r="F256" i="7"/>
  <c r="G256" i="7" s="1"/>
  <c r="H256" i="7" s="1"/>
  <c r="F248" i="7"/>
  <c r="G248" i="7" s="1"/>
  <c r="H248" i="7" s="1"/>
  <c r="F240" i="7"/>
  <c r="G240" i="7" s="1"/>
  <c r="H240" i="7" s="1"/>
  <c r="F232" i="7"/>
  <c r="G232" i="7" s="1"/>
  <c r="H232" i="7" s="1"/>
  <c r="F224" i="7"/>
  <c r="G224" i="7" s="1"/>
  <c r="H224" i="7" s="1"/>
  <c r="F216" i="7"/>
  <c r="G216" i="7" s="1"/>
  <c r="H216" i="7" s="1"/>
  <c r="F208" i="7"/>
  <c r="G208" i="7" s="1"/>
  <c r="H208" i="7" s="1"/>
  <c r="F200" i="7"/>
  <c r="G200" i="7" s="1"/>
  <c r="H200" i="7" s="1"/>
  <c r="F192" i="7"/>
  <c r="G192" i="7" s="1"/>
  <c r="H192" i="7" s="1"/>
  <c r="F184" i="7"/>
  <c r="G184" i="7" s="1"/>
  <c r="H184" i="7" s="1"/>
  <c r="F176" i="7"/>
  <c r="G176" i="7" s="1"/>
  <c r="H176" i="7" s="1"/>
  <c r="F168" i="7"/>
  <c r="G168" i="7" s="1"/>
  <c r="H168" i="7" s="1"/>
  <c r="F160" i="7"/>
  <c r="G160" i="7" s="1"/>
  <c r="H160" i="7" s="1"/>
  <c r="F152" i="7"/>
  <c r="G152" i="7" s="1"/>
  <c r="H152" i="7" s="1"/>
  <c r="F144" i="7"/>
  <c r="G144" i="7" s="1"/>
  <c r="H144" i="7" s="1"/>
  <c r="F136" i="7"/>
  <c r="G136" i="7" s="1"/>
  <c r="H136" i="7" s="1"/>
  <c r="F128" i="7"/>
  <c r="G128" i="7" s="1"/>
  <c r="H128" i="7" s="1"/>
  <c r="F120" i="7"/>
  <c r="G120" i="7" s="1"/>
  <c r="H120" i="7" s="1"/>
  <c r="F112" i="7"/>
  <c r="G112" i="7" s="1"/>
  <c r="H112" i="7" s="1"/>
  <c r="F104" i="7"/>
  <c r="G104" i="7" s="1"/>
  <c r="H104" i="7" s="1"/>
  <c r="F96" i="7"/>
  <c r="G96" i="7" s="1"/>
  <c r="H96" i="7" s="1"/>
  <c r="F88" i="7"/>
  <c r="G88" i="7" s="1"/>
  <c r="H88" i="7" s="1"/>
  <c r="F80" i="7"/>
  <c r="G80" i="7" s="1"/>
  <c r="H80" i="7" s="1"/>
  <c r="F72" i="7"/>
  <c r="G72" i="7" s="1"/>
  <c r="H72" i="7" s="1"/>
  <c r="F64" i="7"/>
  <c r="G64" i="7" s="1"/>
  <c r="H64" i="7" s="1"/>
  <c r="F56" i="7"/>
  <c r="G56" i="7" s="1"/>
  <c r="H56" i="7" s="1"/>
  <c r="F48" i="7"/>
  <c r="G48" i="7" s="1"/>
  <c r="H48" i="7" s="1"/>
  <c r="F40" i="7"/>
  <c r="G40" i="7" s="1"/>
  <c r="H40" i="7" s="1"/>
  <c r="F32" i="7"/>
  <c r="G32" i="7" s="1"/>
  <c r="H32" i="7" s="1"/>
  <c r="F24" i="7"/>
  <c r="G24" i="7" s="1"/>
  <c r="H24" i="7" s="1"/>
  <c r="F16" i="7"/>
  <c r="G16" i="7" s="1"/>
  <c r="H16" i="7" s="1"/>
  <c r="F8" i="7"/>
  <c r="G8" i="7" s="1"/>
  <c r="H8" i="7" s="1"/>
  <c r="F335" i="7"/>
  <c r="G335" i="7" s="1"/>
  <c r="H335" i="7" s="1"/>
  <c r="F327" i="7"/>
  <c r="G327" i="7" s="1"/>
  <c r="H327" i="7" s="1"/>
  <c r="F319" i="7"/>
  <c r="G319" i="7" s="1"/>
  <c r="H319" i="7" s="1"/>
  <c r="F311" i="7"/>
  <c r="G311" i="7" s="1"/>
  <c r="H311" i="7" s="1"/>
  <c r="F303" i="7"/>
  <c r="G303" i="7" s="1"/>
  <c r="H303" i="7" s="1"/>
  <c r="F295" i="7"/>
  <c r="G295" i="7" s="1"/>
  <c r="H295" i="7" s="1"/>
  <c r="F287" i="7"/>
  <c r="G287" i="7" s="1"/>
  <c r="H287" i="7" s="1"/>
  <c r="F279" i="7"/>
  <c r="G279" i="7" s="1"/>
  <c r="H279" i="7" s="1"/>
  <c r="F271" i="7"/>
  <c r="G271" i="7" s="1"/>
  <c r="H271" i="7" s="1"/>
  <c r="F263" i="7"/>
  <c r="G263" i="7" s="1"/>
  <c r="H263" i="7" s="1"/>
  <c r="F255" i="7"/>
  <c r="G255" i="7" s="1"/>
  <c r="H255" i="7" s="1"/>
  <c r="F247" i="7"/>
  <c r="G247" i="7" s="1"/>
  <c r="H247" i="7" s="1"/>
  <c r="F239" i="7"/>
  <c r="G239" i="7" s="1"/>
  <c r="H239" i="7" s="1"/>
  <c r="F231" i="7"/>
  <c r="G231" i="7" s="1"/>
  <c r="H231" i="7" s="1"/>
  <c r="F223" i="7"/>
  <c r="G223" i="7" s="1"/>
  <c r="H223" i="7" s="1"/>
  <c r="F215" i="7"/>
  <c r="G215" i="7" s="1"/>
  <c r="H215" i="7" s="1"/>
  <c r="F207" i="7"/>
  <c r="G207" i="7" s="1"/>
  <c r="H207" i="7" s="1"/>
  <c r="F199" i="7"/>
  <c r="G199" i="7" s="1"/>
  <c r="H199" i="7" s="1"/>
  <c r="F191" i="7"/>
  <c r="G191" i="7" s="1"/>
  <c r="H191" i="7" s="1"/>
  <c r="F183" i="7"/>
  <c r="G183" i="7" s="1"/>
  <c r="H183" i="7" s="1"/>
  <c r="F175" i="7"/>
  <c r="G175" i="7" s="1"/>
  <c r="H175" i="7" s="1"/>
  <c r="F167" i="7"/>
  <c r="G167" i="7" s="1"/>
  <c r="H167" i="7" s="1"/>
  <c r="F159" i="7"/>
  <c r="G159" i="7" s="1"/>
  <c r="H159" i="7" s="1"/>
  <c r="F151" i="7"/>
  <c r="G151" i="7" s="1"/>
  <c r="H151" i="7" s="1"/>
  <c r="F143" i="7"/>
  <c r="G143" i="7" s="1"/>
  <c r="H143" i="7" s="1"/>
  <c r="F135" i="7"/>
  <c r="G135" i="7" s="1"/>
  <c r="H135" i="7" s="1"/>
  <c r="F127" i="7"/>
  <c r="G127" i="7" s="1"/>
  <c r="H127" i="7" s="1"/>
  <c r="F119" i="7"/>
  <c r="G119" i="7" s="1"/>
  <c r="H119" i="7" s="1"/>
  <c r="F111" i="7"/>
  <c r="G111" i="7" s="1"/>
  <c r="H111" i="7" s="1"/>
  <c r="F103" i="7"/>
  <c r="G103" i="7" s="1"/>
  <c r="H103" i="7" s="1"/>
  <c r="F95" i="7"/>
  <c r="G95" i="7" s="1"/>
  <c r="H95" i="7" s="1"/>
  <c r="F87" i="7"/>
  <c r="G87" i="7" s="1"/>
  <c r="H87" i="7" s="1"/>
  <c r="F79" i="7"/>
  <c r="G79" i="7" s="1"/>
  <c r="H79" i="7" s="1"/>
  <c r="F71" i="7"/>
  <c r="G71" i="7" s="1"/>
  <c r="H71" i="7" s="1"/>
  <c r="F63" i="7"/>
  <c r="G63" i="7" s="1"/>
  <c r="H63" i="7" s="1"/>
  <c r="F55" i="7"/>
  <c r="G55" i="7" s="1"/>
  <c r="H55" i="7" s="1"/>
  <c r="F47" i="7"/>
  <c r="G47" i="7" s="1"/>
  <c r="H47" i="7" s="1"/>
  <c r="F39" i="7"/>
  <c r="G39" i="7" s="1"/>
  <c r="H39" i="7" s="1"/>
  <c r="F31" i="7"/>
  <c r="G31" i="7" s="1"/>
  <c r="H31" i="7" s="1"/>
  <c r="F23" i="7"/>
  <c r="G23" i="7" s="1"/>
  <c r="H23" i="7" s="1"/>
  <c r="F15" i="7"/>
  <c r="G15" i="7" s="1"/>
  <c r="H15" i="7" s="1"/>
  <c r="F4" i="7"/>
  <c r="G4" i="7" s="1"/>
  <c r="H4" i="7" s="1"/>
  <c r="F334" i="7"/>
  <c r="G334" i="7" s="1"/>
  <c r="H334" i="7" s="1"/>
  <c r="F326" i="7"/>
  <c r="G326" i="7" s="1"/>
  <c r="H326" i="7" s="1"/>
  <c r="F318" i="7"/>
  <c r="G318" i="7" s="1"/>
  <c r="H318" i="7" s="1"/>
  <c r="F310" i="7"/>
  <c r="G310" i="7" s="1"/>
  <c r="H310" i="7" s="1"/>
  <c r="F302" i="7"/>
  <c r="G302" i="7" s="1"/>
  <c r="H302" i="7" s="1"/>
  <c r="F294" i="7"/>
  <c r="G294" i="7" s="1"/>
  <c r="H294" i="7" s="1"/>
  <c r="F286" i="7"/>
  <c r="G286" i="7" s="1"/>
  <c r="H286" i="7" s="1"/>
  <c r="F278" i="7"/>
  <c r="G278" i="7" s="1"/>
  <c r="H278" i="7" s="1"/>
  <c r="F270" i="7"/>
  <c r="G270" i="7" s="1"/>
  <c r="H270" i="7" s="1"/>
  <c r="F262" i="7"/>
  <c r="G262" i="7" s="1"/>
  <c r="H262" i="7" s="1"/>
  <c r="F254" i="7"/>
  <c r="G254" i="7" s="1"/>
  <c r="H254" i="7" s="1"/>
  <c r="F246" i="7"/>
  <c r="G246" i="7" s="1"/>
  <c r="H246" i="7" s="1"/>
  <c r="F238" i="7"/>
  <c r="G238" i="7" s="1"/>
  <c r="H238" i="7" s="1"/>
  <c r="F230" i="7"/>
  <c r="G230" i="7" s="1"/>
  <c r="H230" i="7" s="1"/>
  <c r="F222" i="7"/>
  <c r="G222" i="7" s="1"/>
  <c r="H222" i="7" s="1"/>
  <c r="F214" i="7"/>
  <c r="G214" i="7" s="1"/>
  <c r="H214" i="7" s="1"/>
  <c r="F206" i="7"/>
  <c r="G206" i="7" s="1"/>
  <c r="H206" i="7" s="1"/>
  <c r="F198" i="7"/>
  <c r="G198" i="7" s="1"/>
  <c r="H198" i="7" s="1"/>
  <c r="F190" i="7"/>
  <c r="G190" i="7" s="1"/>
  <c r="H190" i="7" s="1"/>
  <c r="F182" i="7"/>
  <c r="G182" i="7" s="1"/>
  <c r="H182" i="7" s="1"/>
  <c r="F174" i="7"/>
  <c r="G174" i="7" s="1"/>
  <c r="H174" i="7" s="1"/>
  <c r="F166" i="7"/>
  <c r="G166" i="7" s="1"/>
  <c r="H166" i="7" s="1"/>
  <c r="F158" i="7"/>
  <c r="G158" i="7" s="1"/>
  <c r="H158" i="7" s="1"/>
  <c r="F150" i="7"/>
  <c r="G150" i="7" s="1"/>
  <c r="H150" i="7" s="1"/>
  <c r="F142" i="7"/>
  <c r="G142" i="7" s="1"/>
  <c r="H142" i="7" s="1"/>
  <c r="F134" i="7"/>
  <c r="G134" i="7" s="1"/>
  <c r="H134" i="7" s="1"/>
  <c r="F126" i="7"/>
  <c r="G126" i="7" s="1"/>
  <c r="H126" i="7" s="1"/>
  <c r="F118" i="7"/>
  <c r="G118" i="7" s="1"/>
  <c r="H118" i="7" s="1"/>
  <c r="F110" i="7"/>
  <c r="G110" i="7" s="1"/>
  <c r="H110" i="7" s="1"/>
  <c r="F102" i="7"/>
  <c r="G102" i="7" s="1"/>
  <c r="H102" i="7" s="1"/>
  <c r="F94" i="7"/>
  <c r="G94" i="7" s="1"/>
  <c r="H94" i="7" s="1"/>
  <c r="F86" i="7"/>
  <c r="G86" i="7" s="1"/>
  <c r="H86" i="7" s="1"/>
  <c r="F78" i="7"/>
  <c r="G78" i="7" s="1"/>
  <c r="H78" i="7" s="1"/>
  <c r="F70" i="7"/>
  <c r="G70" i="7" s="1"/>
  <c r="H70" i="7" s="1"/>
  <c r="F62" i="7"/>
  <c r="G62" i="7" s="1"/>
  <c r="H62" i="7" s="1"/>
  <c r="F54" i="7"/>
  <c r="G54" i="7" s="1"/>
  <c r="H54" i="7" s="1"/>
  <c r="F46" i="7"/>
  <c r="G46" i="7" s="1"/>
  <c r="H46" i="7" s="1"/>
  <c r="F38" i="7"/>
  <c r="G38" i="7" s="1"/>
  <c r="H38" i="7" s="1"/>
  <c r="F30" i="7"/>
  <c r="G30" i="7" s="1"/>
  <c r="H30" i="7" s="1"/>
  <c r="F22" i="7"/>
  <c r="G22" i="7" s="1"/>
  <c r="H22" i="7" s="1"/>
  <c r="F14" i="7"/>
  <c r="G14" i="7" s="1"/>
  <c r="H14" i="7" s="1"/>
  <c r="F3" i="7"/>
  <c r="G3" i="7" s="1"/>
  <c r="H3" i="7" s="1"/>
  <c r="F333" i="7"/>
  <c r="G333" i="7" s="1"/>
  <c r="H333" i="7" s="1"/>
  <c r="F325" i="7"/>
  <c r="G325" i="7" s="1"/>
  <c r="H325" i="7" s="1"/>
  <c r="F317" i="7"/>
  <c r="G317" i="7" s="1"/>
  <c r="H317" i="7" s="1"/>
  <c r="F309" i="7"/>
  <c r="G309" i="7" s="1"/>
  <c r="H309" i="7" s="1"/>
  <c r="F301" i="7"/>
  <c r="G301" i="7" s="1"/>
  <c r="H301" i="7" s="1"/>
  <c r="F293" i="7"/>
  <c r="G293" i="7" s="1"/>
  <c r="H293" i="7" s="1"/>
  <c r="F285" i="7"/>
  <c r="G285" i="7" s="1"/>
  <c r="H285" i="7" s="1"/>
  <c r="F277" i="7"/>
  <c r="G277" i="7" s="1"/>
  <c r="H277" i="7" s="1"/>
  <c r="F269" i="7"/>
  <c r="G269" i="7" s="1"/>
  <c r="H269" i="7" s="1"/>
  <c r="F261" i="7"/>
  <c r="G261" i="7" s="1"/>
  <c r="H261" i="7" s="1"/>
  <c r="F253" i="7"/>
  <c r="G253" i="7" s="1"/>
  <c r="H253" i="7" s="1"/>
  <c r="F245" i="7"/>
  <c r="G245" i="7" s="1"/>
  <c r="H245" i="7" s="1"/>
  <c r="F237" i="7"/>
  <c r="G237" i="7" s="1"/>
  <c r="H237" i="7" s="1"/>
  <c r="F229" i="7"/>
  <c r="G229" i="7" s="1"/>
  <c r="H229" i="7" s="1"/>
  <c r="F221" i="7"/>
  <c r="G221" i="7" s="1"/>
  <c r="H221" i="7" s="1"/>
  <c r="F213" i="7"/>
  <c r="G213" i="7" s="1"/>
  <c r="H213" i="7" s="1"/>
  <c r="F205" i="7"/>
  <c r="G205" i="7" s="1"/>
  <c r="H205" i="7" s="1"/>
  <c r="F197" i="7"/>
  <c r="G197" i="7" s="1"/>
  <c r="H197" i="7" s="1"/>
  <c r="F189" i="7"/>
  <c r="G189" i="7" s="1"/>
  <c r="H189" i="7" s="1"/>
  <c r="F181" i="7"/>
  <c r="G181" i="7" s="1"/>
  <c r="H181" i="7" s="1"/>
  <c r="F173" i="7"/>
  <c r="G173" i="7" s="1"/>
  <c r="H173" i="7" s="1"/>
  <c r="F165" i="7"/>
  <c r="G165" i="7" s="1"/>
  <c r="H165" i="7" s="1"/>
  <c r="F157" i="7"/>
  <c r="G157" i="7" s="1"/>
  <c r="H157" i="7" s="1"/>
  <c r="F149" i="7"/>
  <c r="G149" i="7" s="1"/>
  <c r="H149" i="7" s="1"/>
  <c r="F141" i="7"/>
  <c r="G141" i="7" s="1"/>
  <c r="H141" i="7" s="1"/>
  <c r="F133" i="7"/>
  <c r="G133" i="7" s="1"/>
  <c r="H133" i="7" s="1"/>
  <c r="F125" i="7"/>
  <c r="G125" i="7" s="1"/>
  <c r="H125" i="7" s="1"/>
  <c r="F117" i="7"/>
  <c r="G117" i="7" s="1"/>
  <c r="H117" i="7" s="1"/>
  <c r="F109" i="7"/>
  <c r="G109" i="7" s="1"/>
  <c r="H109" i="7" s="1"/>
  <c r="F101" i="7"/>
  <c r="G101" i="7" s="1"/>
  <c r="H101" i="7" s="1"/>
  <c r="F93" i="7"/>
  <c r="G93" i="7" s="1"/>
  <c r="H93" i="7" s="1"/>
  <c r="F85" i="7"/>
  <c r="G85" i="7" s="1"/>
  <c r="H85" i="7" s="1"/>
  <c r="F77" i="7"/>
  <c r="G77" i="7" s="1"/>
  <c r="H77" i="7" s="1"/>
  <c r="F69" i="7"/>
  <c r="G69" i="7" s="1"/>
  <c r="H69" i="7" s="1"/>
  <c r="F61" i="7"/>
  <c r="G61" i="7" s="1"/>
  <c r="H61" i="7" s="1"/>
  <c r="F53" i="7"/>
  <c r="G53" i="7" s="1"/>
  <c r="H53" i="7" s="1"/>
  <c r="F45" i="7"/>
  <c r="G45" i="7" s="1"/>
  <c r="H45" i="7" s="1"/>
  <c r="F37" i="7"/>
  <c r="G37" i="7" s="1"/>
  <c r="H37" i="7" s="1"/>
  <c r="F29" i="7"/>
  <c r="G29" i="7" s="1"/>
  <c r="H29" i="7" s="1"/>
  <c r="F21" i="7"/>
  <c r="G21" i="7" s="1"/>
  <c r="H21" i="7" s="1"/>
  <c r="F13" i="7"/>
  <c r="G13" i="7" s="1"/>
  <c r="H13" i="7" s="1"/>
  <c r="F332" i="7"/>
  <c r="G332" i="7" s="1"/>
  <c r="H332" i="7" s="1"/>
  <c r="F324" i="7"/>
  <c r="G324" i="7" s="1"/>
  <c r="H324" i="7" s="1"/>
  <c r="F316" i="7"/>
  <c r="G316" i="7" s="1"/>
  <c r="H316" i="7" s="1"/>
  <c r="F308" i="7"/>
  <c r="G308" i="7" s="1"/>
  <c r="H308" i="7" s="1"/>
  <c r="F300" i="7"/>
  <c r="G300" i="7" s="1"/>
  <c r="H300" i="7" s="1"/>
  <c r="F292" i="7"/>
  <c r="G292" i="7" s="1"/>
  <c r="H292" i="7" s="1"/>
  <c r="F284" i="7"/>
  <c r="G284" i="7" s="1"/>
  <c r="H284" i="7" s="1"/>
  <c r="F276" i="7"/>
  <c r="G276" i="7" s="1"/>
  <c r="H276" i="7" s="1"/>
  <c r="F268" i="7"/>
  <c r="G268" i="7" s="1"/>
  <c r="H268" i="7" s="1"/>
  <c r="F260" i="7"/>
  <c r="G260" i="7" s="1"/>
  <c r="H260" i="7" s="1"/>
  <c r="F252" i="7"/>
  <c r="G252" i="7" s="1"/>
  <c r="H252" i="7" s="1"/>
  <c r="F244" i="7"/>
  <c r="G244" i="7" s="1"/>
  <c r="H244" i="7" s="1"/>
  <c r="F236" i="7"/>
  <c r="G236" i="7" s="1"/>
  <c r="H236" i="7" s="1"/>
  <c r="F228" i="7"/>
  <c r="G228" i="7" s="1"/>
  <c r="H228" i="7" s="1"/>
  <c r="F220" i="7"/>
  <c r="G220" i="7" s="1"/>
  <c r="H220" i="7" s="1"/>
  <c r="F212" i="7"/>
  <c r="G212" i="7" s="1"/>
  <c r="H212" i="7" s="1"/>
  <c r="F204" i="7"/>
  <c r="G204" i="7" s="1"/>
  <c r="H204" i="7" s="1"/>
  <c r="F196" i="7"/>
  <c r="G196" i="7" s="1"/>
  <c r="H196" i="7" s="1"/>
  <c r="F188" i="7"/>
  <c r="G188" i="7" s="1"/>
  <c r="H188" i="7" s="1"/>
  <c r="F180" i="7"/>
  <c r="G180" i="7" s="1"/>
  <c r="H180" i="7" s="1"/>
  <c r="F172" i="7"/>
  <c r="G172" i="7" s="1"/>
  <c r="H172" i="7" s="1"/>
  <c r="F164" i="7"/>
  <c r="G164" i="7" s="1"/>
  <c r="H164" i="7" s="1"/>
  <c r="F156" i="7"/>
  <c r="G156" i="7" s="1"/>
  <c r="H156" i="7" s="1"/>
  <c r="F148" i="7"/>
  <c r="G148" i="7" s="1"/>
  <c r="H148" i="7" s="1"/>
  <c r="F140" i="7"/>
  <c r="G140" i="7" s="1"/>
  <c r="H140" i="7" s="1"/>
  <c r="F132" i="7"/>
  <c r="G132" i="7" s="1"/>
  <c r="H132" i="7" s="1"/>
  <c r="F124" i="7"/>
  <c r="G124" i="7" s="1"/>
  <c r="H124" i="7" s="1"/>
  <c r="F116" i="7"/>
  <c r="G116" i="7" s="1"/>
  <c r="H116" i="7" s="1"/>
  <c r="F108" i="7"/>
  <c r="G108" i="7" s="1"/>
  <c r="H108" i="7" s="1"/>
  <c r="F100" i="7"/>
  <c r="G100" i="7" s="1"/>
  <c r="H100" i="7" s="1"/>
  <c r="F92" i="7"/>
  <c r="G92" i="7" s="1"/>
  <c r="H92" i="7" s="1"/>
  <c r="F84" i="7"/>
  <c r="G84" i="7" s="1"/>
  <c r="H84" i="7" s="1"/>
  <c r="F76" i="7"/>
  <c r="G76" i="7" s="1"/>
  <c r="H76" i="7" s="1"/>
  <c r="F68" i="7"/>
  <c r="G68" i="7" s="1"/>
  <c r="H68" i="7" s="1"/>
  <c r="F60" i="7"/>
  <c r="G60" i="7" s="1"/>
  <c r="H60" i="7" s="1"/>
  <c r="F52" i="7"/>
  <c r="G52" i="7" s="1"/>
  <c r="H52" i="7" s="1"/>
  <c r="F44" i="7"/>
  <c r="G44" i="7" s="1"/>
  <c r="H44" i="7" s="1"/>
  <c r="F36" i="7"/>
  <c r="G36" i="7" s="1"/>
  <c r="H36" i="7" s="1"/>
  <c r="F28" i="7"/>
  <c r="G28" i="7" s="1"/>
  <c r="H28" i="7" s="1"/>
  <c r="F20" i="7"/>
  <c r="G20" i="7" s="1"/>
  <c r="H20" i="7" s="1"/>
  <c r="F12" i="7"/>
  <c r="G12" i="7" s="1"/>
  <c r="H12" i="7" s="1"/>
  <c r="F338" i="6"/>
  <c r="G338" i="6" s="1"/>
  <c r="H338" i="6" s="1"/>
  <c r="F328" i="6"/>
  <c r="G328" i="6" s="1"/>
  <c r="H328" i="6" s="1"/>
  <c r="F316" i="6"/>
  <c r="G316" i="6" s="1"/>
  <c r="H316" i="6" s="1"/>
  <c r="F306" i="6"/>
  <c r="G306" i="6" s="1"/>
  <c r="H306" i="6" s="1"/>
  <c r="F296" i="6"/>
  <c r="G296" i="6" s="1"/>
  <c r="H296" i="6" s="1"/>
  <c r="F284" i="6"/>
  <c r="G284" i="6" s="1"/>
  <c r="H284" i="6" s="1"/>
  <c r="F274" i="6"/>
  <c r="G274" i="6" s="1"/>
  <c r="H274" i="6" s="1"/>
  <c r="F264" i="6"/>
  <c r="G264" i="6" s="1"/>
  <c r="H264" i="6" s="1"/>
  <c r="F252" i="6"/>
  <c r="G252" i="6" s="1"/>
  <c r="H252" i="6" s="1"/>
  <c r="F242" i="6"/>
  <c r="G242" i="6" s="1"/>
  <c r="H242" i="6" s="1"/>
  <c r="F232" i="6"/>
  <c r="G232" i="6" s="1"/>
  <c r="H232" i="6" s="1"/>
  <c r="F220" i="6"/>
  <c r="G220" i="6" s="1"/>
  <c r="H220" i="6" s="1"/>
  <c r="F208" i="6"/>
  <c r="G208" i="6" s="1"/>
  <c r="H208" i="6" s="1"/>
  <c r="F194" i="6"/>
  <c r="G194" i="6" s="1"/>
  <c r="H194" i="6" s="1"/>
  <c r="F181" i="6"/>
  <c r="G181" i="6" s="1"/>
  <c r="H181" i="6" s="1"/>
  <c r="F169" i="6"/>
  <c r="G169" i="6" s="1"/>
  <c r="H169" i="6" s="1"/>
  <c r="F156" i="6"/>
  <c r="G156" i="6" s="1"/>
  <c r="H156" i="6" s="1"/>
  <c r="F144" i="6"/>
  <c r="G144" i="6" s="1"/>
  <c r="H144" i="6" s="1"/>
  <c r="F130" i="6"/>
  <c r="G130" i="6" s="1"/>
  <c r="H130" i="6" s="1"/>
  <c r="F117" i="6"/>
  <c r="G117" i="6" s="1"/>
  <c r="H117" i="6" s="1"/>
  <c r="F105" i="6"/>
  <c r="G105" i="6" s="1"/>
  <c r="H105" i="6" s="1"/>
  <c r="F92" i="6"/>
  <c r="G92" i="6" s="1"/>
  <c r="H92" i="6" s="1"/>
  <c r="F80" i="6"/>
  <c r="G80" i="6" s="1"/>
  <c r="H80" i="6" s="1"/>
  <c r="F66" i="6"/>
  <c r="G66" i="6" s="1"/>
  <c r="H66" i="6" s="1"/>
  <c r="F53" i="6"/>
  <c r="G53" i="6" s="1"/>
  <c r="H53" i="6" s="1"/>
  <c r="F41" i="6"/>
  <c r="G41" i="6" s="1"/>
  <c r="H41" i="6" s="1"/>
  <c r="F28" i="6"/>
  <c r="G28" i="6" s="1"/>
  <c r="H28" i="6" s="1"/>
  <c r="F3" i="6"/>
  <c r="G3" i="6" s="1"/>
  <c r="H3" i="6" s="1"/>
  <c r="F4" i="6"/>
  <c r="G4" i="6" s="1"/>
  <c r="H4" i="6" s="1"/>
  <c r="F6" i="6"/>
  <c r="G6" i="6" s="1"/>
  <c r="H6" i="6" s="1"/>
  <c r="F14" i="6"/>
  <c r="G14" i="6" s="1"/>
  <c r="H14" i="6" s="1"/>
  <c r="F22" i="6"/>
  <c r="G22" i="6" s="1"/>
  <c r="H22" i="6" s="1"/>
  <c r="F30" i="6"/>
  <c r="G30" i="6" s="1"/>
  <c r="H30" i="6" s="1"/>
  <c r="F38" i="6"/>
  <c r="G38" i="6" s="1"/>
  <c r="H38" i="6" s="1"/>
  <c r="F46" i="6"/>
  <c r="G46" i="6" s="1"/>
  <c r="H46" i="6" s="1"/>
  <c r="F54" i="6"/>
  <c r="G54" i="6" s="1"/>
  <c r="H54" i="6" s="1"/>
  <c r="F62" i="6"/>
  <c r="G62" i="6" s="1"/>
  <c r="H62" i="6" s="1"/>
  <c r="F70" i="6"/>
  <c r="G70" i="6" s="1"/>
  <c r="H70" i="6" s="1"/>
  <c r="F78" i="6"/>
  <c r="G78" i="6" s="1"/>
  <c r="H78" i="6" s="1"/>
  <c r="F86" i="6"/>
  <c r="G86" i="6" s="1"/>
  <c r="H86" i="6" s="1"/>
  <c r="F94" i="6"/>
  <c r="G94" i="6" s="1"/>
  <c r="H94" i="6" s="1"/>
  <c r="F102" i="6"/>
  <c r="G102" i="6" s="1"/>
  <c r="H102" i="6" s="1"/>
  <c r="F110" i="6"/>
  <c r="G110" i="6" s="1"/>
  <c r="H110" i="6" s="1"/>
  <c r="F118" i="6"/>
  <c r="G118" i="6" s="1"/>
  <c r="H118" i="6" s="1"/>
  <c r="F126" i="6"/>
  <c r="G126" i="6" s="1"/>
  <c r="H126" i="6" s="1"/>
  <c r="F134" i="6"/>
  <c r="G134" i="6" s="1"/>
  <c r="H134" i="6" s="1"/>
  <c r="F142" i="6"/>
  <c r="G142" i="6" s="1"/>
  <c r="H142" i="6" s="1"/>
  <c r="F150" i="6"/>
  <c r="G150" i="6" s="1"/>
  <c r="H150" i="6" s="1"/>
  <c r="F158" i="6"/>
  <c r="G158" i="6" s="1"/>
  <c r="H158" i="6" s="1"/>
  <c r="F166" i="6"/>
  <c r="G166" i="6" s="1"/>
  <c r="H166" i="6" s="1"/>
  <c r="F174" i="6"/>
  <c r="G174" i="6" s="1"/>
  <c r="H174" i="6" s="1"/>
  <c r="F182" i="6"/>
  <c r="G182" i="6" s="1"/>
  <c r="H182" i="6" s="1"/>
  <c r="F190" i="6"/>
  <c r="G190" i="6" s="1"/>
  <c r="H190" i="6" s="1"/>
  <c r="F198" i="6"/>
  <c r="G198" i="6" s="1"/>
  <c r="H198" i="6" s="1"/>
  <c r="F206" i="6"/>
  <c r="G206" i="6" s="1"/>
  <c r="H206" i="6" s="1"/>
  <c r="F214" i="6"/>
  <c r="G214" i="6" s="1"/>
  <c r="H214" i="6" s="1"/>
  <c r="F222" i="6"/>
  <c r="G222" i="6" s="1"/>
  <c r="H222" i="6" s="1"/>
  <c r="F230" i="6"/>
  <c r="G230" i="6" s="1"/>
  <c r="H230" i="6" s="1"/>
  <c r="F238" i="6"/>
  <c r="G238" i="6" s="1"/>
  <c r="H238" i="6" s="1"/>
  <c r="F246" i="6"/>
  <c r="G246" i="6" s="1"/>
  <c r="H246" i="6" s="1"/>
  <c r="F254" i="6"/>
  <c r="G254" i="6" s="1"/>
  <c r="H254" i="6" s="1"/>
  <c r="F262" i="6"/>
  <c r="G262" i="6" s="1"/>
  <c r="H262" i="6" s="1"/>
  <c r="F270" i="6"/>
  <c r="G270" i="6" s="1"/>
  <c r="H270" i="6" s="1"/>
  <c r="F278" i="6"/>
  <c r="G278" i="6" s="1"/>
  <c r="H278" i="6" s="1"/>
  <c r="F286" i="6"/>
  <c r="G286" i="6" s="1"/>
  <c r="H286" i="6" s="1"/>
  <c r="F294" i="6"/>
  <c r="G294" i="6" s="1"/>
  <c r="H294" i="6" s="1"/>
  <c r="F302" i="6"/>
  <c r="G302" i="6" s="1"/>
  <c r="H302" i="6" s="1"/>
  <c r="F310" i="6"/>
  <c r="G310" i="6" s="1"/>
  <c r="H310" i="6" s="1"/>
  <c r="F318" i="6"/>
  <c r="G318" i="6" s="1"/>
  <c r="H318" i="6" s="1"/>
  <c r="F326" i="6"/>
  <c r="G326" i="6" s="1"/>
  <c r="H326" i="6" s="1"/>
  <c r="F334" i="6"/>
  <c r="G334" i="6" s="1"/>
  <c r="H334" i="6" s="1"/>
  <c r="F7" i="6"/>
  <c r="G7" i="6" s="1"/>
  <c r="H7" i="6" s="1"/>
  <c r="F15" i="6"/>
  <c r="G15" i="6" s="1"/>
  <c r="H15" i="6" s="1"/>
  <c r="F23" i="6"/>
  <c r="G23" i="6" s="1"/>
  <c r="H23" i="6" s="1"/>
  <c r="F31" i="6"/>
  <c r="G31" i="6" s="1"/>
  <c r="H31" i="6" s="1"/>
  <c r="F39" i="6"/>
  <c r="G39" i="6" s="1"/>
  <c r="H39" i="6" s="1"/>
  <c r="F47" i="6"/>
  <c r="G47" i="6" s="1"/>
  <c r="H47" i="6" s="1"/>
  <c r="F55" i="6"/>
  <c r="G55" i="6" s="1"/>
  <c r="H55" i="6" s="1"/>
  <c r="F63" i="6"/>
  <c r="G63" i="6" s="1"/>
  <c r="H63" i="6" s="1"/>
  <c r="F71" i="6"/>
  <c r="G71" i="6" s="1"/>
  <c r="H71" i="6" s="1"/>
  <c r="F79" i="6"/>
  <c r="G79" i="6" s="1"/>
  <c r="H79" i="6" s="1"/>
  <c r="F87" i="6"/>
  <c r="G87" i="6" s="1"/>
  <c r="H87" i="6" s="1"/>
  <c r="F95" i="6"/>
  <c r="G95" i="6" s="1"/>
  <c r="H95" i="6" s="1"/>
  <c r="F103" i="6"/>
  <c r="G103" i="6" s="1"/>
  <c r="H103" i="6" s="1"/>
  <c r="F111" i="6"/>
  <c r="G111" i="6" s="1"/>
  <c r="H111" i="6" s="1"/>
  <c r="F119" i="6"/>
  <c r="G119" i="6" s="1"/>
  <c r="H119" i="6" s="1"/>
  <c r="F127" i="6"/>
  <c r="G127" i="6" s="1"/>
  <c r="H127" i="6" s="1"/>
  <c r="F135" i="6"/>
  <c r="G135" i="6" s="1"/>
  <c r="H135" i="6" s="1"/>
  <c r="F143" i="6"/>
  <c r="G143" i="6" s="1"/>
  <c r="H143" i="6" s="1"/>
  <c r="F151" i="6"/>
  <c r="G151" i="6" s="1"/>
  <c r="H151" i="6" s="1"/>
  <c r="F159" i="6"/>
  <c r="G159" i="6" s="1"/>
  <c r="H159" i="6" s="1"/>
  <c r="F167" i="6"/>
  <c r="G167" i="6" s="1"/>
  <c r="H167" i="6" s="1"/>
  <c r="F175" i="6"/>
  <c r="G175" i="6" s="1"/>
  <c r="H175" i="6" s="1"/>
  <c r="F183" i="6"/>
  <c r="G183" i="6" s="1"/>
  <c r="H183" i="6" s="1"/>
  <c r="F191" i="6"/>
  <c r="G191" i="6" s="1"/>
  <c r="H191" i="6" s="1"/>
  <c r="F199" i="6"/>
  <c r="G199" i="6" s="1"/>
  <c r="H199" i="6" s="1"/>
  <c r="F207" i="6"/>
  <c r="G207" i="6" s="1"/>
  <c r="H207" i="6" s="1"/>
  <c r="F215" i="6"/>
  <c r="G215" i="6" s="1"/>
  <c r="H215" i="6" s="1"/>
  <c r="F223" i="6"/>
  <c r="G223" i="6" s="1"/>
  <c r="H223" i="6" s="1"/>
  <c r="F231" i="6"/>
  <c r="G231" i="6" s="1"/>
  <c r="H231" i="6" s="1"/>
  <c r="F239" i="6"/>
  <c r="G239" i="6" s="1"/>
  <c r="H239" i="6" s="1"/>
  <c r="F247" i="6"/>
  <c r="G247" i="6" s="1"/>
  <c r="H247" i="6" s="1"/>
  <c r="F255" i="6"/>
  <c r="G255" i="6" s="1"/>
  <c r="H255" i="6" s="1"/>
  <c r="F263" i="6"/>
  <c r="G263" i="6" s="1"/>
  <c r="H263" i="6" s="1"/>
  <c r="F271" i="6"/>
  <c r="G271" i="6" s="1"/>
  <c r="H271" i="6" s="1"/>
  <c r="F279" i="6"/>
  <c r="G279" i="6" s="1"/>
  <c r="H279" i="6" s="1"/>
  <c r="F287" i="6"/>
  <c r="G287" i="6" s="1"/>
  <c r="H287" i="6" s="1"/>
  <c r="F295" i="6"/>
  <c r="G295" i="6" s="1"/>
  <c r="H295" i="6" s="1"/>
  <c r="F303" i="6"/>
  <c r="G303" i="6" s="1"/>
  <c r="H303" i="6" s="1"/>
  <c r="F311" i="6"/>
  <c r="G311" i="6" s="1"/>
  <c r="H311" i="6" s="1"/>
  <c r="F319" i="6"/>
  <c r="G319" i="6" s="1"/>
  <c r="H319" i="6" s="1"/>
  <c r="F327" i="6"/>
  <c r="G327" i="6" s="1"/>
  <c r="H327" i="6" s="1"/>
  <c r="F335" i="6"/>
  <c r="G335" i="6" s="1"/>
  <c r="H335" i="6" s="1"/>
  <c r="F11" i="6"/>
  <c r="G11" i="6" s="1"/>
  <c r="H11" i="6" s="1"/>
  <c r="F19" i="6"/>
  <c r="G19" i="6" s="1"/>
  <c r="H19" i="6" s="1"/>
  <c r="F27" i="6"/>
  <c r="G27" i="6" s="1"/>
  <c r="H27" i="6" s="1"/>
  <c r="F35" i="6"/>
  <c r="G35" i="6" s="1"/>
  <c r="H35" i="6" s="1"/>
  <c r="F43" i="6"/>
  <c r="G43" i="6" s="1"/>
  <c r="H43" i="6" s="1"/>
  <c r="F51" i="6"/>
  <c r="G51" i="6" s="1"/>
  <c r="H51" i="6" s="1"/>
  <c r="F59" i="6"/>
  <c r="G59" i="6" s="1"/>
  <c r="H59" i="6" s="1"/>
  <c r="F67" i="6"/>
  <c r="G67" i="6" s="1"/>
  <c r="H67" i="6" s="1"/>
  <c r="F75" i="6"/>
  <c r="G75" i="6" s="1"/>
  <c r="H75" i="6" s="1"/>
  <c r="F83" i="6"/>
  <c r="G83" i="6" s="1"/>
  <c r="H83" i="6" s="1"/>
  <c r="F91" i="6"/>
  <c r="G91" i="6" s="1"/>
  <c r="H91" i="6" s="1"/>
  <c r="F99" i="6"/>
  <c r="G99" i="6" s="1"/>
  <c r="H99" i="6" s="1"/>
  <c r="F107" i="6"/>
  <c r="G107" i="6" s="1"/>
  <c r="H107" i="6" s="1"/>
  <c r="F115" i="6"/>
  <c r="G115" i="6" s="1"/>
  <c r="H115" i="6" s="1"/>
  <c r="F123" i="6"/>
  <c r="G123" i="6" s="1"/>
  <c r="H123" i="6" s="1"/>
  <c r="F131" i="6"/>
  <c r="G131" i="6" s="1"/>
  <c r="H131" i="6" s="1"/>
  <c r="F139" i="6"/>
  <c r="G139" i="6" s="1"/>
  <c r="H139" i="6" s="1"/>
  <c r="F147" i="6"/>
  <c r="G147" i="6" s="1"/>
  <c r="H147" i="6" s="1"/>
  <c r="F155" i="6"/>
  <c r="G155" i="6" s="1"/>
  <c r="H155" i="6" s="1"/>
  <c r="F163" i="6"/>
  <c r="G163" i="6" s="1"/>
  <c r="H163" i="6" s="1"/>
  <c r="F171" i="6"/>
  <c r="G171" i="6" s="1"/>
  <c r="H171" i="6" s="1"/>
  <c r="F179" i="6"/>
  <c r="G179" i="6" s="1"/>
  <c r="H179" i="6" s="1"/>
  <c r="F187" i="6"/>
  <c r="G187" i="6" s="1"/>
  <c r="H187" i="6" s="1"/>
  <c r="F195" i="6"/>
  <c r="G195" i="6" s="1"/>
  <c r="H195" i="6" s="1"/>
  <c r="F203" i="6"/>
  <c r="G203" i="6" s="1"/>
  <c r="H203" i="6" s="1"/>
  <c r="F211" i="6"/>
  <c r="G211" i="6" s="1"/>
  <c r="H211" i="6" s="1"/>
  <c r="F219" i="6"/>
  <c r="G219" i="6" s="1"/>
  <c r="H219" i="6" s="1"/>
  <c r="F337" i="6"/>
  <c r="G337" i="6" s="1"/>
  <c r="H337" i="6" s="1"/>
  <c r="F325" i="6"/>
  <c r="G325" i="6" s="1"/>
  <c r="H325" i="6" s="1"/>
  <c r="F315" i="6"/>
  <c r="G315" i="6" s="1"/>
  <c r="H315" i="6" s="1"/>
  <c r="F305" i="6"/>
  <c r="G305" i="6" s="1"/>
  <c r="H305" i="6" s="1"/>
  <c r="F293" i="6"/>
  <c r="G293" i="6" s="1"/>
  <c r="H293" i="6" s="1"/>
  <c r="F283" i="6"/>
  <c r="G283" i="6" s="1"/>
  <c r="H283" i="6" s="1"/>
  <c r="F273" i="6"/>
  <c r="G273" i="6" s="1"/>
  <c r="H273" i="6" s="1"/>
  <c r="F261" i="6"/>
  <c r="G261" i="6" s="1"/>
  <c r="H261" i="6" s="1"/>
  <c r="F251" i="6"/>
  <c r="G251" i="6" s="1"/>
  <c r="H251" i="6" s="1"/>
  <c r="F241" i="6"/>
  <c r="G241" i="6" s="1"/>
  <c r="H241" i="6" s="1"/>
  <c r="F229" i="6"/>
  <c r="G229" i="6" s="1"/>
  <c r="H229" i="6" s="1"/>
  <c r="F218" i="6"/>
  <c r="G218" i="6" s="1"/>
  <c r="H218" i="6" s="1"/>
  <c r="F205" i="6"/>
  <c r="G205" i="6" s="1"/>
  <c r="H205" i="6" s="1"/>
  <c r="F193" i="6"/>
  <c r="G193" i="6" s="1"/>
  <c r="H193" i="6" s="1"/>
  <c r="F180" i="6"/>
  <c r="G180" i="6" s="1"/>
  <c r="H180" i="6" s="1"/>
  <c r="F168" i="6"/>
  <c r="G168" i="6" s="1"/>
  <c r="H168" i="6" s="1"/>
  <c r="F154" i="6"/>
  <c r="G154" i="6" s="1"/>
  <c r="H154" i="6" s="1"/>
  <c r="F141" i="6"/>
  <c r="G141" i="6" s="1"/>
  <c r="H141" i="6" s="1"/>
  <c r="F129" i="6"/>
  <c r="G129" i="6" s="1"/>
  <c r="H129" i="6" s="1"/>
  <c r="F116" i="6"/>
  <c r="G116" i="6" s="1"/>
  <c r="H116" i="6" s="1"/>
  <c r="F104" i="6"/>
  <c r="G104" i="6" s="1"/>
  <c r="H104" i="6" s="1"/>
  <c r="F90" i="6"/>
  <c r="G90" i="6" s="1"/>
  <c r="H90" i="6" s="1"/>
  <c r="F77" i="6"/>
  <c r="G77" i="6" s="1"/>
  <c r="H77" i="6" s="1"/>
  <c r="F65" i="6"/>
  <c r="G65" i="6" s="1"/>
  <c r="H65" i="6" s="1"/>
  <c r="F52" i="6"/>
  <c r="G52" i="6" s="1"/>
  <c r="H52" i="6" s="1"/>
  <c r="F40" i="6"/>
  <c r="G40" i="6" s="1"/>
  <c r="H40" i="6" s="1"/>
  <c r="F26" i="6"/>
  <c r="G26" i="6" s="1"/>
  <c r="H26" i="6" s="1"/>
  <c r="F13" i="6"/>
  <c r="G13" i="6" s="1"/>
  <c r="H13" i="6" s="1"/>
  <c r="D346" i="6"/>
  <c r="F336" i="6"/>
  <c r="G336" i="6" s="1"/>
  <c r="H336" i="6" s="1"/>
  <c r="F324" i="6"/>
  <c r="G324" i="6" s="1"/>
  <c r="H324" i="6" s="1"/>
  <c r="F314" i="6"/>
  <c r="G314" i="6" s="1"/>
  <c r="H314" i="6" s="1"/>
  <c r="F304" i="6"/>
  <c r="G304" i="6" s="1"/>
  <c r="H304" i="6" s="1"/>
  <c r="F292" i="6"/>
  <c r="G292" i="6" s="1"/>
  <c r="H292" i="6" s="1"/>
  <c r="F282" i="6"/>
  <c r="G282" i="6" s="1"/>
  <c r="H282" i="6" s="1"/>
  <c r="F272" i="6"/>
  <c r="G272" i="6" s="1"/>
  <c r="H272" i="6" s="1"/>
  <c r="F260" i="6"/>
  <c r="G260" i="6" s="1"/>
  <c r="H260" i="6" s="1"/>
  <c r="F250" i="6"/>
  <c r="G250" i="6" s="1"/>
  <c r="H250" i="6" s="1"/>
  <c r="F240" i="6"/>
  <c r="G240" i="6" s="1"/>
  <c r="H240" i="6" s="1"/>
  <c r="F228" i="6"/>
  <c r="G228" i="6" s="1"/>
  <c r="H228" i="6" s="1"/>
  <c r="F217" i="6"/>
  <c r="G217" i="6" s="1"/>
  <c r="H217" i="6" s="1"/>
  <c r="F204" i="6"/>
  <c r="G204" i="6" s="1"/>
  <c r="H204" i="6" s="1"/>
  <c r="F192" i="6"/>
  <c r="G192" i="6" s="1"/>
  <c r="H192" i="6" s="1"/>
  <c r="F178" i="6"/>
  <c r="G178" i="6" s="1"/>
  <c r="H178" i="6" s="1"/>
  <c r="F165" i="6"/>
  <c r="G165" i="6" s="1"/>
  <c r="H165" i="6" s="1"/>
  <c r="F153" i="6"/>
  <c r="G153" i="6" s="1"/>
  <c r="H153" i="6" s="1"/>
  <c r="F140" i="6"/>
  <c r="G140" i="6" s="1"/>
  <c r="H140" i="6" s="1"/>
  <c r="F128" i="6"/>
  <c r="G128" i="6" s="1"/>
  <c r="H128" i="6" s="1"/>
  <c r="F114" i="6"/>
  <c r="G114" i="6" s="1"/>
  <c r="H114" i="6" s="1"/>
  <c r="F101" i="6"/>
  <c r="G101" i="6" s="1"/>
  <c r="H101" i="6" s="1"/>
  <c r="F89" i="6"/>
  <c r="G89" i="6" s="1"/>
  <c r="H89" i="6" s="1"/>
  <c r="F76" i="6"/>
  <c r="G76" i="6" s="1"/>
  <c r="H76" i="6" s="1"/>
  <c r="F64" i="6"/>
  <c r="G64" i="6" s="1"/>
  <c r="H64" i="6" s="1"/>
  <c r="F50" i="6"/>
  <c r="G50" i="6" s="1"/>
  <c r="H50" i="6" s="1"/>
  <c r="F37" i="6"/>
  <c r="G37" i="6" s="1"/>
  <c r="H37" i="6" s="1"/>
  <c r="F25" i="6"/>
  <c r="G25" i="6" s="1"/>
  <c r="H25" i="6" s="1"/>
  <c r="F12" i="6"/>
  <c r="G12" i="6" s="1"/>
  <c r="H12" i="6" s="1"/>
  <c r="F333" i="6"/>
  <c r="G333" i="6" s="1"/>
  <c r="H333" i="6" s="1"/>
  <c r="F323" i="6"/>
  <c r="G323" i="6" s="1"/>
  <c r="H323" i="6" s="1"/>
  <c r="F313" i="6"/>
  <c r="G313" i="6" s="1"/>
  <c r="H313" i="6" s="1"/>
  <c r="F301" i="6"/>
  <c r="G301" i="6" s="1"/>
  <c r="H301" i="6" s="1"/>
  <c r="F291" i="6"/>
  <c r="G291" i="6" s="1"/>
  <c r="H291" i="6" s="1"/>
  <c r="F281" i="6"/>
  <c r="G281" i="6" s="1"/>
  <c r="H281" i="6" s="1"/>
  <c r="F269" i="6"/>
  <c r="G269" i="6" s="1"/>
  <c r="H269" i="6" s="1"/>
  <c r="F259" i="6"/>
  <c r="G259" i="6" s="1"/>
  <c r="H259" i="6" s="1"/>
  <c r="F249" i="6"/>
  <c r="G249" i="6" s="1"/>
  <c r="H249" i="6" s="1"/>
  <c r="F237" i="6"/>
  <c r="G237" i="6" s="1"/>
  <c r="H237" i="6" s="1"/>
  <c r="F227" i="6"/>
  <c r="G227" i="6" s="1"/>
  <c r="H227" i="6" s="1"/>
  <c r="F216" i="6"/>
  <c r="G216" i="6" s="1"/>
  <c r="H216" i="6" s="1"/>
  <c r="F202" i="6"/>
  <c r="G202" i="6" s="1"/>
  <c r="H202" i="6" s="1"/>
  <c r="F189" i="6"/>
  <c r="G189" i="6" s="1"/>
  <c r="H189" i="6" s="1"/>
  <c r="F177" i="6"/>
  <c r="G177" i="6" s="1"/>
  <c r="H177" i="6" s="1"/>
  <c r="F164" i="6"/>
  <c r="G164" i="6" s="1"/>
  <c r="H164" i="6" s="1"/>
  <c r="F152" i="6"/>
  <c r="G152" i="6" s="1"/>
  <c r="H152" i="6" s="1"/>
  <c r="F138" i="6"/>
  <c r="G138" i="6" s="1"/>
  <c r="H138" i="6" s="1"/>
  <c r="F125" i="6"/>
  <c r="G125" i="6" s="1"/>
  <c r="H125" i="6" s="1"/>
  <c r="F113" i="6"/>
  <c r="G113" i="6" s="1"/>
  <c r="H113" i="6" s="1"/>
  <c r="F100" i="6"/>
  <c r="G100" i="6" s="1"/>
  <c r="H100" i="6" s="1"/>
  <c r="F88" i="6"/>
  <c r="G88" i="6" s="1"/>
  <c r="H88" i="6" s="1"/>
  <c r="F74" i="6"/>
  <c r="G74" i="6" s="1"/>
  <c r="H74" i="6" s="1"/>
  <c r="F61" i="6"/>
  <c r="G61" i="6" s="1"/>
  <c r="H61" i="6" s="1"/>
  <c r="F49" i="6"/>
  <c r="G49" i="6" s="1"/>
  <c r="H49" i="6" s="1"/>
  <c r="F36" i="6"/>
  <c r="G36" i="6" s="1"/>
  <c r="H36" i="6" s="1"/>
  <c r="F24" i="6"/>
  <c r="G24" i="6" s="1"/>
  <c r="H24" i="6" s="1"/>
  <c r="F10" i="6"/>
  <c r="G10" i="6" s="1"/>
  <c r="H10" i="6" s="1"/>
  <c r="F332" i="6"/>
  <c r="G332" i="6" s="1"/>
  <c r="H332" i="6" s="1"/>
  <c r="F322" i="6"/>
  <c r="G322" i="6" s="1"/>
  <c r="H322" i="6" s="1"/>
  <c r="F312" i="6"/>
  <c r="G312" i="6" s="1"/>
  <c r="H312" i="6" s="1"/>
  <c r="F300" i="6"/>
  <c r="G300" i="6" s="1"/>
  <c r="H300" i="6" s="1"/>
  <c r="F290" i="6"/>
  <c r="G290" i="6" s="1"/>
  <c r="H290" i="6" s="1"/>
  <c r="F280" i="6"/>
  <c r="G280" i="6" s="1"/>
  <c r="H280" i="6" s="1"/>
  <c r="F268" i="6"/>
  <c r="G268" i="6" s="1"/>
  <c r="H268" i="6" s="1"/>
  <c r="F258" i="6"/>
  <c r="G258" i="6" s="1"/>
  <c r="H258" i="6" s="1"/>
  <c r="F248" i="6"/>
  <c r="G248" i="6" s="1"/>
  <c r="H248" i="6" s="1"/>
  <c r="F236" i="6"/>
  <c r="G236" i="6" s="1"/>
  <c r="H236" i="6" s="1"/>
  <c r="F226" i="6"/>
  <c r="G226" i="6" s="1"/>
  <c r="H226" i="6" s="1"/>
  <c r="F213" i="6"/>
  <c r="G213" i="6" s="1"/>
  <c r="H213" i="6" s="1"/>
  <c r="F201" i="6"/>
  <c r="G201" i="6" s="1"/>
  <c r="H201" i="6" s="1"/>
  <c r="F188" i="6"/>
  <c r="G188" i="6" s="1"/>
  <c r="H188" i="6" s="1"/>
  <c r="F176" i="6"/>
  <c r="G176" i="6" s="1"/>
  <c r="H176" i="6" s="1"/>
  <c r="F162" i="6"/>
  <c r="G162" i="6" s="1"/>
  <c r="H162" i="6" s="1"/>
  <c r="F149" i="6"/>
  <c r="G149" i="6" s="1"/>
  <c r="H149" i="6" s="1"/>
  <c r="F137" i="6"/>
  <c r="G137" i="6" s="1"/>
  <c r="H137" i="6" s="1"/>
  <c r="F124" i="6"/>
  <c r="G124" i="6" s="1"/>
  <c r="H124" i="6" s="1"/>
  <c r="F112" i="6"/>
  <c r="G112" i="6" s="1"/>
  <c r="H112" i="6" s="1"/>
  <c r="F98" i="6"/>
  <c r="G98" i="6" s="1"/>
  <c r="H98" i="6" s="1"/>
  <c r="F85" i="6"/>
  <c r="G85" i="6" s="1"/>
  <c r="H85" i="6" s="1"/>
  <c r="F73" i="6"/>
  <c r="G73" i="6" s="1"/>
  <c r="H73" i="6" s="1"/>
  <c r="F60" i="6"/>
  <c r="G60" i="6" s="1"/>
  <c r="H60" i="6" s="1"/>
  <c r="F48" i="6"/>
  <c r="G48" i="6" s="1"/>
  <c r="H48" i="6" s="1"/>
  <c r="F34" i="6"/>
  <c r="G34" i="6" s="1"/>
  <c r="H34" i="6" s="1"/>
  <c r="F21" i="6"/>
  <c r="G21" i="6" s="1"/>
  <c r="H21" i="6" s="1"/>
  <c r="F9" i="6"/>
  <c r="G9" i="6" s="1"/>
  <c r="H9" i="6" s="1"/>
  <c r="F331" i="6"/>
  <c r="G331" i="6" s="1"/>
  <c r="H331" i="6" s="1"/>
  <c r="F321" i="6"/>
  <c r="G321" i="6" s="1"/>
  <c r="H321" i="6" s="1"/>
  <c r="F309" i="6"/>
  <c r="G309" i="6" s="1"/>
  <c r="H309" i="6" s="1"/>
  <c r="F299" i="6"/>
  <c r="G299" i="6" s="1"/>
  <c r="H299" i="6" s="1"/>
  <c r="F289" i="6"/>
  <c r="G289" i="6" s="1"/>
  <c r="H289" i="6" s="1"/>
  <c r="F277" i="6"/>
  <c r="G277" i="6" s="1"/>
  <c r="H277" i="6" s="1"/>
  <c r="F267" i="6"/>
  <c r="G267" i="6" s="1"/>
  <c r="H267" i="6" s="1"/>
  <c r="F257" i="6"/>
  <c r="G257" i="6" s="1"/>
  <c r="H257" i="6" s="1"/>
  <c r="F245" i="6"/>
  <c r="G245" i="6" s="1"/>
  <c r="H245" i="6" s="1"/>
  <c r="F235" i="6"/>
  <c r="G235" i="6" s="1"/>
  <c r="H235" i="6" s="1"/>
  <c r="F225" i="6"/>
  <c r="G225" i="6" s="1"/>
  <c r="H225" i="6" s="1"/>
  <c r="F212" i="6"/>
  <c r="G212" i="6" s="1"/>
  <c r="H212" i="6" s="1"/>
  <c r="F200" i="6"/>
  <c r="G200" i="6" s="1"/>
  <c r="H200" i="6" s="1"/>
  <c r="F186" i="6"/>
  <c r="G186" i="6" s="1"/>
  <c r="H186" i="6" s="1"/>
  <c r="F173" i="6"/>
  <c r="G173" i="6" s="1"/>
  <c r="H173" i="6" s="1"/>
  <c r="F161" i="6"/>
  <c r="G161" i="6" s="1"/>
  <c r="H161" i="6" s="1"/>
  <c r="F148" i="6"/>
  <c r="G148" i="6" s="1"/>
  <c r="H148" i="6" s="1"/>
  <c r="F136" i="6"/>
  <c r="G136" i="6" s="1"/>
  <c r="H136" i="6" s="1"/>
  <c r="F122" i="6"/>
  <c r="G122" i="6" s="1"/>
  <c r="H122" i="6" s="1"/>
  <c r="F109" i="6"/>
  <c r="G109" i="6" s="1"/>
  <c r="H109" i="6" s="1"/>
  <c r="F97" i="6"/>
  <c r="G97" i="6" s="1"/>
  <c r="H97" i="6" s="1"/>
  <c r="F84" i="6"/>
  <c r="G84" i="6" s="1"/>
  <c r="H84" i="6" s="1"/>
  <c r="F72" i="6"/>
  <c r="G72" i="6" s="1"/>
  <c r="H72" i="6" s="1"/>
  <c r="F58" i="6"/>
  <c r="G58" i="6" s="1"/>
  <c r="H58" i="6" s="1"/>
  <c r="F45" i="6"/>
  <c r="G45" i="6" s="1"/>
  <c r="H45" i="6" s="1"/>
  <c r="F33" i="6"/>
  <c r="G33" i="6" s="1"/>
  <c r="H33" i="6" s="1"/>
  <c r="F20" i="6"/>
  <c r="G20" i="6" s="1"/>
  <c r="H20" i="6" s="1"/>
  <c r="F8" i="6"/>
  <c r="G8" i="6" s="1"/>
  <c r="H8" i="6" s="1"/>
  <c r="F330" i="6"/>
  <c r="G330" i="6" s="1"/>
  <c r="H330" i="6" s="1"/>
  <c r="F320" i="6"/>
  <c r="G320" i="6" s="1"/>
  <c r="H320" i="6" s="1"/>
  <c r="F308" i="6"/>
  <c r="G308" i="6" s="1"/>
  <c r="H308" i="6" s="1"/>
  <c r="F298" i="6"/>
  <c r="G298" i="6" s="1"/>
  <c r="H298" i="6" s="1"/>
  <c r="F288" i="6"/>
  <c r="G288" i="6" s="1"/>
  <c r="H288" i="6" s="1"/>
  <c r="F276" i="6"/>
  <c r="G276" i="6" s="1"/>
  <c r="H276" i="6" s="1"/>
  <c r="F266" i="6"/>
  <c r="G266" i="6" s="1"/>
  <c r="H266" i="6" s="1"/>
  <c r="F256" i="6"/>
  <c r="G256" i="6" s="1"/>
  <c r="H256" i="6" s="1"/>
  <c r="F244" i="6"/>
  <c r="G244" i="6" s="1"/>
  <c r="H244" i="6" s="1"/>
  <c r="F234" i="6"/>
  <c r="G234" i="6" s="1"/>
  <c r="H234" i="6" s="1"/>
  <c r="F224" i="6"/>
  <c r="G224" i="6" s="1"/>
  <c r="H224" i="6" s="1"/>
  <c r="F210" i="6"/>
  <c r="G210" i="6" s="1"/>
  <c r="H210" i="6" s="1"/>
  <c r="F197" i="6"/>
  <c r="G197" i="6" s="1"/>
  <c r="H197" i="6" s="1"/>
  <c r="F185" i="6"/>
  <c r="G185" i="6" s="1"/>
  <c r="H185" i="6" s="1"/>
  <c r="F172" i="6"/>
  <c r="G172" i="6" s="1"/>
  <c r="H172" i="6" s="1"/>
  <c r="F160" i="6"/>
  <c r="G160" i="6" s="1"/>
  <c r="H160" i="6" s="1"/>
  <c r="F146" i="6"/>
  <c r="G146" i="6" s="1"/>
  <c r="H146" i="6" s="1"/>
  <c r="F133" i="6"/>
  <c r="G133" i="6" s="1"/>
  <c r="H133" i="6" s="1"/>
  <c r="F121" i="6"/>
  <c r="G121" i="6" s="1"/>
  <c r="H121" i="6" s="1"/>
  <c r="F108" i="6"/>
  <c r="G108" i="6" s="1"/>
  <c r="H108" i="6" s="1"/>
  <c r="F96" i="6"/>
  <c r="G96" i="6" s="1"/>
  <c r="H96" i="6" s="1"/>
  <c r="F82" i="6"/>
  <c r="G82" i="6" s="1"/>
  <c r="H82" i="6" s="1"/>
  <c r="F69" i="6"/>
  <c r="G69" i="6" s="1"/>
  <c r="H69" i="6" s="1"/>
  <c r="F57" i="6"/>
  <c r="G57" i="6" s="1"/>
  <c r="H57" i="6" s="1"/>
  <c r="F44" i="6"/>
  <c r="G44" i="6" s="1"/>
  <c r="H44" i="6" s="1"/>
  <c r="F32" i="6"/>
  <c r="G32" i="6" s="1"/>
  <c r="H32" i="6" s="1"/>
  <c r="F18" i="6"/>
  <c r="G18" i="6" s="1"/>
  <c r="H18" i="6" s="1"/>
  <c r="F5" i="6"/>
  <c r="G5" i="6" s="1"/>
  <c r="H5" i="6" s="1"/>
  <c r="F2" i="6"/>
  <c r="G2" i="6" s="1"/>
  <c r="H2" i="6" s="1"/>
  <c r="F329" i="6"/>
  <c r="G329" i="6" s="1"/>
  <c r="H329" i="6" s="1"/>
  <c r="F317" i="6"/>
  <c r="G317" i="6" s="1"/>
  <c r="H317" i="6" s="1"/>
  <c r="F307" i="6"/>
  <c r="G307" i="6" s="1"/>
  <c r="H307" i="6" s="1"/>
  <c r="F297" i="6"/>
  <c r="G297" i="6" s="1"/>
  <c r="H297" i="6" s="1"/>
  <c r="F285" i="6"/>
  <c r="G285" i="6" s="1"/>
  <c r="H285" i="6" s="1"/>
  <c r="F275" i="6"/>
  <c r="G275" i="6" s="1"/>
  <c r="H275" i="6" s="1"/>
  <c r="F265" i="6"/>
  <c r="G265" i="6" s="1"/>
  <c r="H265" i="6" s="1"/>
  <c r="F253" i="6"/>
  <c r="G253" i="6" s="1"/>
  <c r="H253" i="6" s="1"/>
  <c r="F243" i="6"/>
  <c r="G243" i="6" s="1"/>
  <c r="H243" i="6" s="1"/>
  <c r="F233" i="6"/>
  <c r="G233" i="6" s="1"/>
  <c r="H233" i="6" s="1"/>
  <c r="F221" i="6"/>
  <c r="G221" i="6" s="1"/>
  <c r="H221" i="6" s="1"/>
  <c r="F209" i="6"/>
  <c r="G209" i="6" s="1"/>
  <c r="H209" i="6" s="1"/>
  <c r="F196" i="6"/>
  <c r="G196" i="6" s="1"/>
  <c r="H196" i="6" s="1"/>
  <c r="F184" i="6"/>
  <c r="G184" i="6" s="1"/>
  <c r="H184" i="6" s="1"/>
  <c r="F170" i="6"/>
  <c r="G170" i="6" s="1"/>
  <c r="H170" i="6" s="1"/>
  <c r="F157" i="6"/>
  <c r="G157" i="6" s="1"/>
  <c r="H157" i="6" s="1"/>
  <c r="F145" i="6"/>
  <c r="G145" i="6" s="1"/>
  <c r="H145" i="6" s="1"/>
  <c r="F132" i="6"/>
  <c r="G132" i="6" s="1"/>
  <c r="H132" i="6" s="1"/>
  <c r="F120" i="6"/>
  <c r="G120" i="6" s="1"/>
  <c r="H120" i="6" s="1"/>
  <c r="F106" i="6"/>
  <c r="G106" i="6" s="1"/>
  <c r="H106" i="6" s="1"/>
  <c r="F93" i="6"/>
  <c r="G93" i="6" s="1"/>
  <c r="H93" i="6" s="1"/>
  <c r="F81" i="6"/>
  <c r="G81" i="6" s="1"/>
  <c r="H81" i="6" s="1"/>
  <c r="F68" i="6"/>
  <c r="G68" i="6" s="1"/>
  <c r="H68" i="6" s="1"/>
  <c r="F56" i="6"/>
  <c r="G56" i="6" s="1"/>
  <c r="H56" i="6" s="1"/>
  <c r="F42" i="6"/>
  <c r="G42" i="6" s="1"/>
  <c r="H42" i="6" s="1"/>
  <c r="F29" i="6"/>
  <c r="G29" i="6" s="1"/>
  <c r="H29" i="6" s="1"/>
  <c r="F17" i="6"/>
  <c r="G17" i="6" s="1"/>
  <c r="H17" i="6" s="1"/>
  <c r="F338" i="5"/>
  <c r="G338" i="5" s="1"/>
  <c r="H338" i="5" s="1"/>
  <c r="F330" i="5"/>
  <c r="G330" i="5" s="1"/>
  <c r="H330" i="5" s="1"/>
  <c r="F322" i="5"/>
  <c r="G322" i="5" s="1"/>
  <c r="H322" i="5" s="1"/>
  <c r="F312" i="5"/>
  <c r="G312" i="5" s="1"/>
  <c r="H312" i="5" s="1"/>
  <c r="F302" i="5"/>
  <c r="G302" i="5" s="1"/>
  <c r="H302" i="5" s="1"/>
  <c r="F291" i="5"/>
  <c r="G291" i="5" s="1"/>
  <c r="H291" i="5" s="1"/>
  <c r="F277" i="5"/>
  <c r="G277" i="5" s="1"/>
  <c r="H277" i="5" s="1"/>
  <c r="F263" i="5"/>
  <c r="G263" i="5" s="1"/>
  <c r="H263" i="5" s="1"/>
  <c r="F252" i="5"/>
  <c r="G252" i="5" s="1"/>
  <c r="H252" i="5" s="1"/>
  <c r="F238" i="5"/>
  <c r="G238" i="5" s="1"/>
  <c r="H238" i="5" s="1"/>
  <c r="F227" i="5"/>
  <c r="G227" i="5" s="1"/>
  <c r="H227" i="5" s="1"/>
  <c r="F213" i="5"/>
  <c r="G213" i="5" s="1"/>
  <c r="H213" i="5" s="1"/>
  <c r="F199" i="5"/>
  <c r="G199" i="5" s="1"/>
  <c r="H199" i="5" s="1"/>
  <c r="F188" i="5"/>
  <c r="G188" i="5" s="1"/>
  <c r="H188" i="5" s="1"/>
  <c r="F174" i="5"/>
  <c r="G174" i="5" s="1"/>
  <c r="H174" i="5" s="1"/>
  <c r="F163" i="5"/>
  <c r="G163" i="5" s="1"/>
  <c r="H163" i="5" s="1"/>
  <c r="F149" i="5"/>
  <c r="G149" i="5" s="1"/>
  <c r="H149" i="5" s="1"/>
  <c r="F135" i="5"/>
  <c r="G135" i="5" s="1"/>
  <c r="H135" i="5" s="1"/>
  <c r="F124" i="5"/>
  <c r="G124" i="5" s="1"/>
  <c r="H124" i="5" s="1"/>
  <c r="F110" i="5"/>
  <c r="G110" i="5" s="1"/>
  <c r="H110" i="5" s="1"/>
  <c r="F99" i="5"/>
  <c r="G99" i="5" s="1"/>
  <c r="H99" i="5" s="1"/>
  <c r="F85" i="5"/>
  <c r="G85" i="5" s="1"/>
  <c r="H85" i="5" s="1"/>
  <c r="F71" i="5"/>
  <c r="G71" i="5" s="1"/>
  <c r="H71" i="5" s="1"/>
  <c r="F60" i="5"/>
  <c r="G60" i="5" s="1"/>
  <c r="H60" i="5" s="1"/>
  <c r="F46" i="5"/>
  <c r="G46" i="5" s="1"/>
  <c r="H46" i="5" s="1"/>
  <c r="F35" i="5"/>
  <c r="G35" i="5" s="1"/>
  <c r="H35" i="5" s="1"/>
  <c r="F21" i="5"/>
  <c r="G21" i="5" s="1"/>
  <c r="H21" i="5" s="1"/>
  <c r="F7" i="5"/>
  <c r="G7" i="5" s="1"/>
  <c r="H7" i="5" s="1"/>
  <c r="F337" i="5"/>
  <c r="G337" i="5" s="1"/>
  <c r="H337" i="5" s="1"/>
  <c r="F329" i="5"/>
  <c r="G329" i="5" s="1"/>
  <c r="H329" i="5" s="1"/>
  <c r="F320" i="5"/>
  <c r="G320" i="5" s="1"/>
  <c r="H320" i="5" s="1"/>
  <c r="F311" i="5"/>
  <c r="G311" i="5" s="1"/>
  <c r="H311" i="5" s="1"/>
  <c r="F301" i="5"/>
  <c r="G301" i="5" s="1"/>
  <c r="H301" i="5" s="1"/>
  <c r="F287" i="5"/>
  <c r="G287" i="5" s="1"/>
  <c r="H287" i="5" s="1"/>
  <c r="F276" i="5"/>
  <c r="G276" i="5" s="1"/>
  <c r="H276" i="5" s="1"/>
  <c r="F262" i="5"/>
  <c r="G262" i="5" s="1"/>
  <c r="H262" i="5" s="1"/>
  <c r="F251" i="5"/>
  <c r="G251" i="5" s="1"/>
  <c r="H251" i="5" s="1"/>
  <c r="F237" i="5"/>
  <c r="G237" i="5" s="1"/>
  <c r="H237" i="5" s="1"/>
  <c r="F223" i="5"/>
  <c r="G223" i="5" s="1"/>
  <c r="H223" i="5" s="1"/>
  <c r="F212" i="5"/>
  <c r="G212" i="5" s="1"/>
  <c r="H212" i="5" s="1"/>
  <c r="F198" i="5"/>
  <c r="G198" i="5" s="1"/>
  <c r="H198" i="5" s="1"/>
  <c r="F187" i="5"/>
  <c r="G187" i="5" s="1"/>
  <c r="H187" i="5" s="1"/>
  <c r="F173" i="5"/>
  <c r="G173" i="5" s="1"/>
  <c r="H173" i="5" s="1"/>
  <c r="F159" i="5"/>
  <c r="G159" i="5" s="1"/>
  <c r="H159" i="5" s="1"/>
  <c r="F148" i="5"/>
  <c r="G148" i="5" s="1"/>
  <c r="H148" i="5" s="1"/>
  <c r="F134" i="5"/>
  <c r="G134" i="5" s="1"/>
  <c r="H134" i="5" s="1"/>
  <c r="F123" i="5"/>
  <c r="G123" i="5" s="1"/>
  <c r="H123" i="5" s="1"/>
  <c r="F109" i="5"/>
  <c r="G109" i="5" s="1"/>
  <c r="H109" i="5" s="1"/>
  <c r="F95" i="5"/>
  <c r="G95" i="5" s="1"/>
  <c r="H95" i="5" s="1"/>
  <c r="F84" i="5"/>
  <c r="G84" i="5" s="1"/>
  <c r="H84" i="5" s="1"/>
  <c r="F70" i="5"/>
  <c r="G70" i="5" s="1"/>
  <c r="H70" i="5" s="1"/>
  <c r="F59" i="5"/>
  <c r="G59" i="5" s="1"/>
  <c r="H59" i="5" s="1"/>
  <c r="F45" i="5"/>
  <c r="G45" i="5" s="1"/>
  <c r="H45" i="5" s="1"/>
  <c r="F31" i="5"/>
  <c r="G31" i="5" s="1"/>
  <c r="H31" i="5" s="1"/>
  <c r="F20" i="5"/>
  <c r="G20" i="5" s="1"/>
  <c r="H20" i="5" s="1"/>
  <c r="F3" i="5"/>
  <c r="G3" i="5" s="1"/>
  <c r="H3" i="5" s="1"/>
  <c r="F4" i="5"/>
  <c r="G4" i="5" s="1"/>
  <c r="H4" i="5" s="1"/>
  <c r="F8" i="5"/>
  <c r="G8" i="5" s="1"/>
  <c r="H8" i="5" s="1"/>
  <c r="F16" i="5"/>
  <c r="G16" i="5" s="1"/>
  <c r="H16" i="5" s="1"/>
  <c r="F24" i="5"/>
  <c r="G24" i="5" s="1"/>
  <c r="H24" i="5" s="1"/>
  <c r="F32" i="5"/>
  <c r="G32" i="5" s="1"/>
  <c r="H32" i="5" s="1"/>
  <c r="F40" i="5"/>
  <c r="G40" i="5" s="1"/>
  <c r="H40" i="5" s="1"/>
  <c r="F48" i="5"/>
  <c r="G48" i="5" s="1"/>
  <c r="H48" i="5" s="1"/>
  <c r="F56" i="5"/>
  <c r="G56" i="5" s="1"/>
  <c r="H56" i="5" s="1"/>
  <c r="F64" i="5"/>
  <c r="G64" i="5" s="1"/>
  <c r="H64" i="5" s="1"/>
  <c r="F72" i="5"/>
  <c r="G72" i="5" s="1"/>
  <c r="H72" i="5" s="1"/>
  <c r="F80" i="5"/>
  <c r="G80" i="5" s="1"/>
  <c r="H80" i="5" s="1"/>
  <c r="F88" i="5"/>
  <c r="G88" i="5" s="1"/>
  <c r="H88" i="5" s="1"/>
  <c r="F96" i="5"/>
  <c r="G96" i="5" s="1"/>
  <c r="H96" i="5" s="1"/>
  <c r="F104" i="5"/>
  <c r="G104" i="5" s="1"/>
  <c r="H104" i="5" s="1"/>
  <c r="F112" i="5"/>
  <c r="G112" i="5" s="1"/>
  <c r="H112" i="5" s="1"/>
  <c r="F120" i="5"/>
  <c r="G120" i="5" s="1"/>
  <c r="H120" i="5" s="1"/>
  <c r="F128" i="5"/>
  <c r="G128" i="5" s="1"/>
  <c r="H128" i="5" s="1"/>
  <c r="F136" i="5"/>
  <c r="G136" i="5" s="1"/>
  <c r="H136" i="5" s="1"/>
  <c r="F144" i="5"/>
  <c r="G144" i="5" s="1"/>
  <c r="H144" i="5" s="1"/>
  <c r="F152" i="5"/>
  <c r="G152" i="5" s="1"/>
  <c r="H152" i="5" s="1"/>
  <c r="F160" i="5"/>
  <c r="G160" i="5" s="1"/>
  <c r="H160" i="5" s="1"/>
  <c r="F168" i="5"/>
  <c r="G168" i="5" s="1"/>
  <c r="H168" i="5" s="1"/>
  <c r="F176" i="5"/>
  <c r="G176" i="5" s="1"/>
  <c r="H176" i="5" s="1"/>
  <c r="F184" i="5"/>
  <c r="G184" i="5" s="1"/>
  <c r="H184" i="5" s="1"/>
  <c r="F192" i="5"/>
  <c r="G192" i="5" s="1"/>
  <c r="H192" i="5" s="1"/>
  <c r="F200" i="5"/>
  <c r="G200" i="5" s="1"/>
  <c r="H200" i="5" s="1"/>
  <c r="F208" i="5"/>
  <c r="G208" i="5" s="1"/>
  <c r="H208" i="5" s="1"/>
  <c r="F216" i="5"/>
  <c r="G216" i="5" s="1"/>
  <c r="H216" i="5" s="1"/>
  <c r="F224" i="5"/>
  <c r="G224" i="5" s="1"/>
  <c r="H224" i="5" s="1"/>
  <c r="F232" i="5"/>
  <c r="G232" i="5" s="1"/>
  <c r="H232" i="5" s="1"/>
  <c r="F240" i="5"/>
  <c r="G240" i="5" s="1"/>
  <c r="H240" i="5" s="1"/>
  <c r="F248" i="5"/>
  <c r="G248" i="5" s="1"/>
  <c r="H248" i="5" s="1"/>
  <c r="F256" i="5"/>
  <c r="G256" i="5" s="1"/>
  <c r="H256" i="5" s="1"/>
  <c r="F264" i="5"/>
  <c r="G264" i="5" s="1"/>
  <c r="H264" i="5" s="1"/>
  <c r="F272" i="5"/>
  <c r="G272" i="5" s="1"/>
  <c r="H272" i="5" s="1"/>
  <c r="F280" i="5"/>
  <c r="G280" i="5" s="1"/>
  <c r="H280" i="5" s="1"/>
  <c r="F288" i="5"/>
  <c r="G288" i="5" s="1"/>
  <c r="H288" i="5" s="1"/>
  <c r="F296" i="5"/>
  <c r="G296" i="5" s="1"/>
  <c r="H296" i="5" s="1"/>
  <c r="F304" i="5"/>
  <c r="G304" i="5" s="1"/>
  <c r="H304" i="5" s="1"/>
  <c r="F9" i="5"/>
  <c r="G9" i="5" s="1"/>
  <c r="H9" i="5" s="1"/>
  <c r="F17" i="5"/>
  <c r="G17" i="5" s="1"/>
  <c r="H17" i="5" s="1"/>
  <c r="F25" i="5"/>
  <c r="G25" i="5" s="1"/>
  <c r="H25" i="5" s="1"/>
  <c r="F33" i="5"/>
  <c r="G33" i="5" s="1"/>
  <c r="H33" i="5" s="1"/>
  <c r="F41" i="5"/>
  <c r="G41" i="5" s="1"/>
  <c r="H41" i="5" s="1"/>
  <c r="F49" i="5"/>
  <c r="G49" i="5" s="1"/>
  <c r="H49" i="5" s="1"/>
  <c r="F57" i="5"/>
  <c r="G57" i="5" s="1"/>
  <c r="H57" i="5" s="1"/>
  <c r="F65" i="5"/>
  <c r="G65" i="5" s="1"/>
  <c r="H65" i="5" s="1"/>
  <c r="F73" i="5"/>
  <c r="G73" i="5" s="1"/>
  <c r="H73" i="5" s="1"/>
  <c r="F81" i="5"/>
  <c r="G81" i="5" s="1"/>
  <c r="H81" i="5" s="1"/>
  <c r="F89" i="5"/>
  <c r="G89" i="5" s="1"/>
  <c r="H89" i="5" s="1"/>
  <c r="F97" i="5"/>
  <c r="G97" i="5" s="1"/>
  <c r="H97" i="5" s="1"/>
  <c r="F105" i="5"/>
  <c r="G105" i="5" s="1"/>
  <c r="H105" i="5" s="1"/>
  <c r="F113" i="5"/>
  <c r="G113" i="5" s="1"/>
  <c r="H113" i="5" s="1"/>
  <c r="F121" i="5"/>
  <c r="G121" i="5" s="1"/>
  <c r="H121" i="5" s="1"/>
  <c r="F129" i="5"/>
  <c r="G129" i="5" s="1"/>
  <c r="H129" i="5" s="1"/>
  <c r="F137" i="5"/>
  <c r="G137" i="5" s="1"/>
  <c r="H137" i="5" s="1"/>
  <c r="F145" i="5"/>
  <c r="G145" i="5" s="1"/>
  <c r="H145" i="5" s="1"/>
  <c r="F153" i="5"/>
  <c r="G153" i="5" s="1"/>
  <c r="H153" i="5" s="1"/>
  <c r="F161" i="5"/>
  <c r="G161" i="5" s="1"/>
  <c r="H161" i="5" s="1"/>
  <c r="F169" i="5"/>
  <c r="G169" i="5" s="1"/>
  <c r="H169" i="5" s="1"/>
  <c r="F177" i="5"/>
  <c r="G177" i="5" s="1"/>
  <c r="H177" i="5" s="1"/>
  <c r="F185" i="5"/>
  <c r="G185" i="5" s="1"/>
  <c r="H185" i="5" s="1"/>
  <c r="F193" i="5"/>
  <c r="G193" i="5" s="1"/>
  <c r="H193" i="5" s="1"/>
  <c r="F201" i="5"/>
  <c r="G201" i="5" s="1"/>
  <c r="H201" i="5" s="1"/>
  <c r="F209" i="5"/>
  <c r="G209" i="5" s="1"/>
  <c r="H209" i="5" s="1"/>
  <c r="F217" i="5"/>
  <c r="G217" i="5" s="1"/>
  <c r="H217" i="5" s="1"/>
  <c r="F225" i="5"/>
  <c r="G225" i="5" s="1"/>
  <c r="H225" i="5" s="1"/>
  <c r="F233" i="5"/>
  <c r="G233" i="5" s="1"/>
  <c r="H233" i="5" s="1"/>
  <c r="F241" i="5"/>
  <c r="G241" i="5" s="1"/>
  <c r="H241" i="5" s="1"/>
  <c r="F249" i="5"/>
  <c r="G249" i="5" s="1"/>
  <c r="H249" i="5" s="1"/>
  <c r="F257" i="5"/>
  <c r="G257" i="5" s="1"/>
  <c r="H257" i="5" s="1"/>
  <c r="F265" i="5"/>
  <c r="G265" i="5" s="1"/>
  <c r="H265" i="5" s="1"/>
  <c r="F273" i="5"/>
  <c r="G273" i="5" s="1"/>
  <c r="H273" i="5" s="1"/>
  <c r="F281" i="5"/>
  <c r="G281" i="5" s="1"/>
  <c r="H281" i="5" s="1"/>
  <c r="F289" i="5"/>
  <c r="G289" i="5" s="1"/>
  <c r="H289" i="5" s="1"/>
  <c r="F297" i="5"/>
  <c r="G297" i="5" s="1"/>
  <c r="H297" i="5" s="1"/>
  <c r="F305" i="5"/>
  <c r="G305" i="5" s="1"/>
  <c r="H305" i="5" s="1"/>
  <c r="F313" i="5"/>
  <c r="G313" i="5" s="1"/>
  <c r="H313" i="5" s="1"/>
  <c r="F321" i="5"/>
  <c r="G321" i="5" s="1"/>
  <c r="H321" i="5" s="1"/>
  <c r="F10" i="5"/>
  <c r="G10" i="5" s="1"/>
  <c r="H10" i="5" s="1"/>
  <c r="F18" i="5"/>
  <c r="G18" i="5" s="1"/>
  <c r="H18" i="5" s="1"/>
  <c r="F26" i="5"/>
  <c r="G26" i="5" s="1"/>
  <c r="H26" i="5" s="1"/>
  <c r="F34" i="5"/>
  <c r="G34" i="5" s="1"/>
  <c r="H34" i="5" s="1"/>
  <c r="F42" i="5"/>
  <c r="G42" i="5" s="1"/>
  <c r="H42" i="5" s="1"/>
  <c r="F50" i="5"/>
  <c r="G50" i="5" s="1"/>
  <c r="H50" i="5" s="1"/>
  <c r="F58" i="5"/>
  <c r="G58" i="5" s="1"/>
  <c r="H58" i="5" s="1"/>
  <c r="F66" i="5"/>
  <c r="G66" i="5" s="1"/>
  <c r="H66" i="5" s="1"/>
  <c r="F74" i="5"/>
  <c r="G74" i="5" s="1"/>
  <c r="H74" i="5" s="1"/>
  <c r="F82" i="5"/>
  <c r="G82" i="5" s="1"/>
  <c r="H82" i="5" s="1"/>
  <c r="F90" i="5"/>
  <c r="G90" i="5" s="1"/>
  <c r="H90" i="5" s="1"/>
  <c r="F98" i="5"/>
  <c r="G98" i="5" s="1"/>
  <c r="H98" i="5" s="1"/>
  <c r="F106" i="5"/>
  <c r="G106" i="5" s="1"/>
  <c r="H106" i="5" s="1"/>
  <c r="F114" i="5"/>
  <c r="G114" i="5" s="1"/>
  <c r="H114" i="5" s="1"/>
  <c r="F122" i="5"/>
  <c r="G122" i="5" s="1"/>
  <c r="H122" i="5" s="1"/>
  <c r="F130" i="5"/>
  <c r="G130" i="5" s="1"/>
  <c r="H130" i="5" s="1"/>
  <c r="F138" i="5"/>
  <c r="G138" i="5" s="1"/>
  <c r="H138" i="5" s="1"/>
  <c r="F146" i="5"/>
  <c r="G146" i="5" s="1"/>
  <c r="H146" i="5" s="1"/>
  <c r="F154" i="5"/>
  <c r="G154" i="5" s="1"/>
  <c r="H154" i="5" s="1"/>
  <c r="F162" i="5"/>
  <c r="G162" i="5" s="1"/>
  <c r="H162" i="5" s="1"/>
  <c r="F170" i="5"/>
  <c r="G170" i="5" s="1"/>
  <c r="H170" i="5" s="1"/>
  <c r="F178" i="5"/>
  <c r="G178" i="5" s="1"/>
  <c r="H178" i="5" s="1"/>
  <c r="F186" i="5"/>
  <c r="G186" i="5" s="1"/>
  <c r="H186" i="5" s="1"/>
  <c r="F194" i="5"/>
  <c r="G194" i="5" s="1"/>
  <c r="H194" i="5" s="1"/>
  <c r="F202" i="5"/>
  <c r="G202" i="5" s="1"/>
  <c r="H202" i="5" s="1"/>
  <c r="F210" i="5"/>
  <c r="G210" i="5" s="1"/>
  <c r="H210" i="5" s="1"/>
  <c r="F218" i="5"/>
  <c r="G218" i="5" s="1"/>
  <c r="H218" i="5" s="1"/>
  <c r="F226" i="5"/>
  <c r="G226" i="5" s="1"/>
  <c r="H226" i="5" s="1"/>
  <c r="F234" i="5"/>
  <c r="G234" i="5" s="1"/>
  <c r="H234" i="5" s="1"/>
  <c r="F242" i="5"/>
  <c r="G242" i="5" s="1"/>
  <c r="H242" i="5" s="1"/>
  <c r="F250" i="5"/>
  <c r="G250" i="5" s="1"/>
  <c r="H250" i="5" s="1"/>
  <c r="F258" i="5"/>
  <c r="G258" i="5" s="1"/>
  <c r="H258" i="5" s="1"/>
  <c r="F266" i="5"/>
  <c r="G266" i="5" s="1"/>
  <c r="H266" i="5" s="1"/>
  <c r="F274" i="5"/>
  <c r="G274" i="5" s="1"/>
  <c r="H274" i="5" s="1"/>
  <c r="F282" i="5"/>
  <c r="G282" i="5" s="1"/>
  <c r="H282" i="5" s="1"/>
  <c r="F290" i="5"/>
  <c r="G290" i="5" s="1"/>
  <c r="H290" i="5" s="1"/>
  <c r="F298" i="5"/>
  <c r="G298" i="5" s="1"/>
  <c r="H298" i="5" s="1"/>
  <c r="F336" i="5"/>
  <c r="G336" i="5" s="1"/>
  <c r="H336" i="5" s="1"/>
  <c r="F328" i="5"/>
  <c r="G328" i="5" s="1"/>
  <c r="H328" i="5" s="1"/>
  <c r="F319" i="5"/>
  <c r="G319" i="5" s="1"/>
  <c r="H319" i="5" s="1"/>
  <c r="F310" i="5"/>
  <c r="G310" i="5" s="1"/>
  <c r="H310" i="5" s="1"/>
  <c r="F300" i="5"/>
  <c r="G300" i="5" s="1"/>
  <c r="H300" i="5" s="1"/>
  <c r="F286" i="5"/>
  <c r="G286" i="5" s="1"/>
  <c r="H286" i="5" s="1"/>
  <c r="F275" i="5"/>
  <c r="G275" i="5" s="1"/>
  <c r="H275" i="5" s="1"/>
  <c r="F261" i="5"/>
  <c r="G261" i="5" s="1"/>
  <c r="H261" i="5" s="1"/>
  <c r="F247" i="5"/>
  <c r="G247" i="5" s="1"/>
  <c r="H247" i="5" s="1"/>
  <c r="F236" i="5"/>
  <c r="G236" i="5" s="1"/>
  <c r="H236" i="5" s="1"/>
  <c r="F222" i="5"/>
  <c r="G222" i="5" s="1"/>
  <c r="H222" i="5" s="1"/>
  <c r="F211" i="5"/>
  <c r="G211" i="5" s="1"/>
  <c r="H211" i="5" s="1"/>
  <c r="F197" i="5"/>
  <c r="G197" i="5" s="1"/>
  <c r="H197" i="5" s="1"/>
  <c r="F183" i="5"/>
  <c r="G183" i="5" s="1"/>
  <c r="H183" i="5" s="1"/>
  <c r="F172" i="5"/>
  <c r="G172" i="5" s="1"/>
  <c r="H172" i="5" s="1"/>
  <c r="F158" i="5"/>
  <c r="G158" i="5" s="1"/>
  <c r="H158" i="5" s="1"/>
  <c r="F147" i="5"/>
  <c r="G147" i="5" s="1"/>
  <c r="H147" i="5" s="1"/>
  <c r="F133" i="5"/>
  <c r="G133" i="5" s="1"/>
  <c r="H133" i="5" s="1"/>
  <c r="F119" i="5"/>
  <c r="G119" i="5" s="1"/>
  <c r="H119" i="5" s="1"/>
  <c r="F108" i="5"/>
  <c r="G108" i="5" s="1"/>
  <c r="H108" i="5" s="1"/>
  <c r="F94" i="5"/>
  <c r="G94" i="5" s="1"/>
  <c r="H94" i="5" s="1"/>
  <c r="F83" i="5"/>
  <c r="G83" i="5" s="1"/>
  <c r="H83" i="5" s="1"/>
  <c r="F69" i="5"/>
  <c r="G69" i="5" s="1"/>
  <c r="H69" i="5" s="1"/>
  <c r="F55" i="5"/>
  <c r="G55" i="5" s="1"/>
  <c r="H55" i="5" s="1"/>
  <c r="F44" i="5"/>
  <c r="G44" i="5" s="1"/>
  <c r="H44" i="5" s="1"/>
  <c r="F30" i="5"/>
  <c r="G30" i="5" s="1"/>
  <c r="H30" i="5" s="1"/>
  <c r="F19" i="5"/>
  <c r="G19" i="5" s="1"/>
  <c r="H19" i="5" s="1"/>
  <c r="F5" i="5"/>
  <c r="G5" i="5" s="1"/>
  <c r="H5" i="5" s="1"/>
  <c r="F334" i="5"/>
  <c r="G334" i="5" s="1"/>
  <c r="H334" i="5" s="1"/>
  <c r="F326" i="5"/>
  <c r="G326" i="5" s="1"/>
  <c r="H326" i="5" s="1"/>
  <c r="F317" i="5"/>
  <c r="G317" i="5" s="1"/>
  <c r="H317" i="5" s="1"/>
  <c r="F308" i="5"/>
  <c r="G308" i="5" s="1"/>
  <c r="H308" i="5" s="1"/>
  <c r="F295" i="5"/>
  <c r="G295" i="5" s="1"/>
  <c r="H295" i="5" s="1"/>
  <c r="F284" i="5"/>
  <c r="G284" i="5" s="1"/>
  <c r="H284" i="5" s="1"/>
  <c r="F270" i="5"/>
  <c r="G270" i="5" s="1"/>
  <c r="H270" i="5" s="1"/>
  <c r="F259" i="5"/>
  <c r="G259" i="5" s="1"/>
  <c r="H259" i="5" s="1"/>
  <c r="F245" i="5"/>
  <c r="G245" i="5" s="1"/>
  <c r="H245" i="5" s="1"/>
  <c r="F231" i="5"/>
  <c r="G231" i="5" s="1"/>
  <c r="H231" i="5" s="1"/>
  <c r="F220" i="5"/>
  <c r="G220" i="5" s="1"/>
  <c r="H220" i="5" s="1"/>
  <c r="F206" i="5"/>
  <c r="G206" i="5" s="1"/>
  <c r="H206" i="5" s="1"/>
  <c r="F195" i="5"/>
  <c r="G195" i="5" s="1"/>
  <c r="H195" i="5" s="1"/>
  <c r="F181" i="5"/>
  <c r="G181" i="5" s="1"/>
  <c r="H181" i="5" s="1"/>
  <c r="F167" i="5"/>
  <c r="G167" i="5" s="1"/>
  <c r="H167" i="5" s="1"/>
  <c r="F156" i="5"/>
  <c r="G156" i="5" s="1"/>
  <c r="H156" i="5" s="1"/>
  <c r="F142" i="5"/>
  <c r="G142" i="5" s="1"/>
  <c r="H142" i="5" s="1"/>
  <c r="F131" i="5"/>
  <c r="G131" i="5" s="1"/>
  <c r="H131" i="5" s="1"/>
  <c r="F117" i="5"/>
  <c r="G117" i="5" s="1"/>
  <c r="H117" i="5" s="1"/>
  <c r="F103" i="5"/>
  <c r="G103" i="5" s="1"/>
  <c r="H103" i="5" s="1"/>
  <c r="F92" i="5"/>
  <c r="G92" i="5" s="1"/>
  <c r="H92" i="5" s="1"/>
  <c r="F78" i="5"/>
  <c r="G78" i="5" s="1"/>
  <c r="H78" i="5" s="1"/>
  <c r="F67" i="5"/>
  <c r="G67" i="5" s="1"/>
  <c r="H67" i="5" s="1"/>
  <c r="F53" i="5"/>
  <c r="G53" i="5" s="1"/>
  <c r="H53" i="5" s="1"/>
  <c r="F39" i="5"/>
  <c r="G39" i="5" s="1"/>
  <c r="H39" i="5" s="1"/>
  <c r="F28" i="5"/>
  <c r="G28" i="5" s="1"/>
  <c r="H28" i="5" s="1"/>
  <c r="F14" i="5"/>
  <c r="G14" i="5" s="1"/>
  <c r="H14" i="5" s="1"/>
  <c r="F333" i="5"/>
  <c r="G333" i="5" s="1"/>
  <c r="H333" i="5" s="1"/>
  <c r="F325" i="5"/>
  <c r="G325" i="5" s="1"/>
  <c r="H325" i="5" s="1"/>
  <c r="F316" i="5"/>
  <c r="G316" i="5" s="1"/>
  <c r="H316" i="5" s="1"/>
  <c r="F307" i="5"/>
  <c r="G307" i="5" s="1"/>
  <c r="H307" i="5" s="1"/>
  <c r="F294" i="5"/>
  <c r="G294" i="5" s="1"/>
  <c r="H294" i="5" s="1"/>
  <c r="F283" i="5"/>
  <c r="G283" i="5" s="1"/>
  <c r="H283" i="5" s="1"/>
  <c r="F269" i="5"/>
  <c r="G269" i="5" s="1"/>
  <c r="H269" i="5" s="1"/>
  <c r="F255" i="5"/>
  <c r="G255" i="5" s="1"/>
  <c r="H255" i="5" s="1"/>
  <c r="F244" i="5"/>
  <c r="G244" i="5" s="1"/>
  <c r="H244" i="5" s="1"/>
  <c r="F230" i="5"/>
  <c r="G230" i="5" s="1"/>
  <c r="H230" i="5" s="1"/>
  <c r="F219" i="5"/>
  <c r="G219" i="5" s="1"/>
  <c r="H219" i="5" s="1"/>
  <c r="F205" i="5"/>
  <c r="G205" i="5" s="1"/>
  <c r="H205" i="5" s="1"/>
  <c r="F191" i="5"/>
  <c r="G191" i="5" s="1"/>
  <c r="H191" i="5" s="1"/>
  <c r="F180" i="5"/>
  <c r="G180" i="5" s="1"/>
  <c r="H180" i="5" s="1"/>
  <c r="F166" i="5"/>
  <c r="G166" i="5" s="1"/>
  <c r="H166" i="5" s="1"/>
  <c r="F155" i="5"/>
  <c r="G155" i="5" s="1"/>
  <c r="H155" i="5" s="1"/>
  <c r="F141" i="5"/>
  <c r="G141" i="5" s="1"/>
  <c r="H141" i="5" s="1"/>
  <c r="F127" i="5"/>
  <c r="G127" i="5" s="1"/>
  <c r="H127" i="5" s="1"/>
  <c r="F116" i="5"/>
  <c r="G116" i="5" s="1"/>
  <c r="H116" i="5" s="1"/>
  <c r="F102" i="5"/>
  <c r="G102" i="5" s="1"/>
  <c r="H102" i="5" s="1"/>
  <c r="F91" i="5"/>
  <c r="G91" i="5" s="1"/>
  <c r="H91" i="5" s="1"/>
  <c r="F77" i="5"/>
  <c r="G77" i="5" s="1"/>
  <c r="H77" i="5" s="1"/>
  <c r="F63" i="5"/>
  <c r="G63" i="5" s="1"/>
  <c r="H63" i="5" s="1"/>
  <c r="F52" i="5"/>
  <c r="G52" i="5" s="1"/>
  <c r="H52" i="5" s="1"/>
  <c r="F38" i="5"/>
  <c r="G38" i="5" s="1"/>
  <c r="H38" i="5" s="1"/>
  <c r="F27" i="5"/>
  <c r="G27" i="5" s="1"/>
  <c r="H27" i="5" s="1"/>
  <c r="F13" i="5"/>
  <c r="G13" i="5" s="1"/>
  <c r="H13" i="5" s="1"/>
  <c r="F332" i="5"/>
  <c r="G332" i="5" s="1"/>
  <c r="H332" i="5" s="1"/>
  <c r="F324" i="5"/>
  <c r="G324" i="5" s="1"/>
  <c r="H324" i="5" s="1"/>
  <c r="F315" i="5"/>
  <c r="G315" i="5" s="1"/>
  <c r="H315" i="5" s="1"/>
  <c r="F306" i="5"/>
  <c r="G306" i="5" s="1"/>
  <c r="H306" i="5" s="1"/>
  <c r="F293" i="5"/>
  <c r="G293" i="5" s="1"/>
  <c r="H293" i="5" s="1"/>
  <c r="F279" i="5"/>
  <c r="G279" i="5" s="1"/>
  <c r="H279" i="5" s="1"/>
  <c r="F268" i="5"/>
  <c r="G268" i="5" s="1"/>
  <c r="H268" i="5" s="1"/>
  <c r="F254" i="5"/>
  <c r="G254" i="5" s="1"/>
  <c r="H254" i="5" s="1"/>
  <c r="F243" i="5"/>
  <c r="G243" i="5" s="1"/>
  <c r="H243" i="5" s="1"/>
  <c r="F229" i="5"/>
  <c r="G229" i="5" s="1"/>
  <c r="H229" i="5" s="1"/>
  <c r="F215" i="5"/>
  <c r="G215" i="5" s="1"/>
  <c r="H215" i="5" s="1"/>
  <c r="F204" i="5"/>
  <c r="G204" i="5" s="1"/>
  <c r="H204" i="5" s="1"/>
  <c r="F190" i="5"/>
  <c r="G190" i="5" s="1"/>
  <c r="H190" i="5" s="1"/>
  <c r="F179" i="5"/>
  <c r="G179" i="5" s="1"/>
  <c r="H179" i="5" s="1"/>
  <c r="F165" i="5"/>
  <c r="G165" i="5" s="1"/>
  <c r="H165" i="5" s="1"/>
  <c r="F151" i="5"/>
  <c r="G151" i="5" s="1"/>
  <c r="H151" i="5" s="1"/>
  <c r="F140" i="5"/>
  <c r="G140" i="5" s="1"/>
  <c r="H140" i="5" s="1"/>
  <c r="F126" i="5"/>
  <c r="G126" i="5" s="1"/>
  <c r="H126" i="5" s="1"/>
  <c r="F115" i="5"/>
  <c r="G115" i="5" s="1"/>
  <c r="H115" i="5" s="1"/>
  <c r="F101" i="5"/>
  <c r="G101" i="5" s="1"/>
  <c r="H101" i="5" s="1"/>
  <c r="F87" i="5"/>
  <c r="G87" i="5" s="1"/>
  <c r="H87" i="5" s="1"/>
  <c r="F76" i="5"/>
  <c r="G76" i="5" s="1"/>
  <c r="H76" i="5" s="1"/>
  <c r="F62" i="5"/>
  <c r="G62" i="5" s="1"/>
  <c r="H62" i="5" s="1"/>
  <c r="F51" i="5"/>
  <c r="G51" i="5" s="1"/>
  <c r="H51" i="5" s="1"/>
  <c r="F37" i="5"/>
  <c r="G37" i="5" s="1"/>
  <c r="H37" i="5" s="1"/>
  <c r="F23" i="5"/>
  <c r="G23" i="5" s="1"/>
  <c r="H23" i="5" s="1"/>
  <c r="F12" i="5"/>
  <c r="G12" i="5" s="1"/>
  <c r="H12" i="5" s="1"/>
  <c r="F3" i="4"/>
  <c r="G3" i="4" s="1"/>
  <c r="H3" i="4" s="1"/>
  <c r="F11" i="4"/>
  <c r="G11" i="4" s="1"/>
  <c r="H11" i="4" s="1"/>
  <c r="F8" i="4"/>
  <c r="G8" i="4" s="1"/>
  <c r="H8" i="4" s="1"/>
  <c r="F6" i="4"/>
  <c r="G6" i="4" s="1"/>
  <c r="H6" i="4" s="1"/>
  <c r="F16" i="4"/>
  <c r="G16" i="4" s="1"/>
  <c r="H16" i="4" s="1"/>
  <c r="F24" i="4"/>
  <c r="G24" i="4" s="1"/>
  <c r="H24" i="4" s="1"/>
  <c r="F32" i="4"/>
  <c r="G32" i="4" s="1"/>
  <c r="H32" i="4" s="1"/>
  <c r="F40" i="4"/>
  <c r="G40" i="4" s="1"/>
  <c r="H40" i="4" s="1"/>
  <c r="F48" i="4"/>
  <c r="G48" i="4" s="1"/>
  <c r="H48" i="4" s="1"/>
  <c r="F56" i="4"/>
  <c r="G56" i="4" s="1"/>
  <c r="H56" i="4" s="1"/>
  <c r="F64" i="4"/>
  <c r="G64" i="4" s="1"/>
  <c r="H64" i="4" s="1"/>
  <c r="F72" i="4"/>
  <c r="G72" i="4" s="1"/>
  <c r="H72" i="4" s="1"/>
  <c r="F80" i="4"/>
  <c r="G80" i="4" s="1"/>
  <c r="H80" i="4" s="1"/>
  <c r="F88" i="4"/>
  <c r="G88" i="4" s="1"/>
  <c r="H88" i="4" s="1"/>
  <c r="F96" i="4"/>
  <c r="G96" i="4" s="1"/>
  <c r="H96" i="4" s="1"/>
  <c r="F104" i="4"/>
  <c r="G104" i="4" s="1"/>
  <c r="H104" i="4" s="1"/>
  <c r="F112" i="4"/>
  <c r="G112" i="4" s="1"/>
  <c r="H112" i="4" s="1"/>
  <c r="F120" i="4"/>
  <c r="G120" i="4" s="1"/>
  <c r="H120" i="4" s="1"/>
  <c r="F128" i="4"/>
  <c r="G128" i="4" s="1"/>
  <c r="H128" i="4" s="1"/>
  <c r="F136" i="4"/>
  <c r="G136" i="4" s="1"/>
  <c r="H136" i="4" s="1"/>
  <c r="F144" i="4"/>
  <c r="G144" i="4" s="1"/>
  <c r="H144" i="4" s="1"/>
  <c r="F152" i="4"/>
  <c r="G152" i="4" s="1"/>
  <c r="H152" i="4" s="1"/>
  <c r="F160" i="4"/>
  <c r="G160" i="4" s="1"/>
  <c r="H160" i="4" s="1"/>
  <c r="F168" i="4"/>
  <c r="G168" i="4" s="1"/>
  <c r="H168" i="4" s="1"/>
  <c r="F176" i="4"/>
  <c r="G176" i="4" s="1"/>
  <c r="H176" i="4" s="1"/>
  <c r="F184" i="4"/>
  <c r="G184" i="4" s="1"/>
  <c r="H184" i="4" s="1"/>
  <c r="F192" i="4"/>
  <c r="G192" i="4" s="1"/>
  <c r="H192" i="4" s="1"/>
  <c r="F200" i="4"/>
  <c r="G200" i="4" s="1"/>
  <c r="H200" i="4" s="1"/>
  <c r="F208" i="4"/>
  <c r="G208" i="4" s="1"/>
  <c r="H208" i="4" s="1"/>
  <c r="F216" i="4"/>
  <c r="G216" i="4" s="1"/>
  <c r="H216" i="4" s="1"/>
  <c r="F224" i="4"/>
  <c r="G224" i="4" s="1"/>
  <c r="H224" i="4" s="1"/>
  <c r="F232" i="4"/>
  <c r="G232" i="4" s="1"/>
  <c r="H232" i="4" s="1"/>
  <c r="F240" i="4"/>
  <c r="G240" i="4" s="1"/>
  <c r="H240" i="4" s="1"/>
  <c r="F248" i="4"/>
  <c r="G248" i="4" s="1"/>
  <c r="H248" i="4" s="1"/>
  <c r="F256" i="4"/>
  <c r="G256" i="4" s="1"/>
  <c r="H256" i="4" s="1"/>
  <c r="F264" i="4"/>
  <c r="G264" i="4" s="1"/>
  <c r="H264" i="4" s="1"/>
  <c r="F272" i="4"/>
  <c r="G272" i="4" s="1"/>
  <c r="H272" i="4" s="1"/>
  <c r="F280" i="4"/>
  <c r="G280" i="4" s="1"/>
  <c r="H280" i="4" s="1"/>
  <c r="F288" i="4"/>
  <c r="G288" i="4" s="1"/>
  <c r="H288" i="4" s="1"/>
  <c r="F296" i="4"/>
  <c r="G296" i="4" s="1"/>
  <c r="H296" i="4" s="1"/>
  <c r="F304" i="4"/>
  <c r="G304" i="4" s="1"/>
  <c r="H304" i="4" s="1"/>
  <c r="F312" i="4"/>
  <c r="G312" i="4" s="1"/>
  <c r="H312" i="4" s="1"/>
  <c r="F320" i="4"/>
  <c r="G320" i="4" s="1"/>
  <c r="H320" i="4" s="1"/>
  <c r="F328" i="4"/>
  <c r="G328" i="4" s="1"/>
  <c r="H328" i="4" s="1"/>
  <c r="F7" i="4"/>
  <c r="G7" i="4" s="1"/>
  <c r="H7" i="4" s="1"/>
  <c r="F17" i="4"/>
  <c r="G17" i="4" s="1"/>
  <c r="H17" i="4" s="1"/>
  <c r="F25" i="4"/>
  <c r="G25" i="4" s="1"/>
  <c r="H25" i="4" s="1"/>
  <c r="F33" i="4"/>
  <c r="G33" i="4" s="1"/>
  <c r="H33" i="4" s="1"/>
  <c r="F41" i="4"/>
  <c r="G41" i="4" s="1"/>
  <c r="H41" i="4" s="1"/>
  <c r="F49" i="4"/>
  <c r="G49" i="4" s="1"/>
  <c r="H49" i="4" s="1"/>
  <c r="F57" i="4"/>
  <c r="G57" i="4" s="1"/>
  <c r="H57" i="4" s="1"/>
  <c r="F65" i="4"/>
  <c r="G65" i="4" s="1"/>
  <c r="H65" i="4" s="1"/>
  <c r="F73" i="4"/>
  <c r="G73" i="4" s="1"/>
  <c r="H73" i="4" s="1"/>
  <c r="F81" i="4"/>
  <c r="G81" i="4" s="1"/>
  <c r="H81" i="4" s="1"/>
  <c r="F89" i="4"/>
  <c r="G89" i="4" s="1"/>
  <c r="H89" i="4" s="1"/>
  <c r="F97" i="4"/>
  <c r="G97" i="4" s="1"/>
  <c r="H97" i="4" s="1"/>
  <c r="F105" i="4"/>
  <c r="G105" i="4" s="1"/>
  <c r="H105" i="4" s="1"/>
  <c r="F113" i="4"/>
  <c r="G113" i="4" s="1"/>
  <c r="H113" i="4" s="1"/>
  <c r="F121" i="4"/>
  <c r="G121" i="4" s="1"/>
  <c r="H121" i="4" s="1"/>
  <c r="F129" i="4"/>
  <c r="G129" i="4" s="1"/>
  <c r="H129" i="4" s="1"/>
  <c r="F137" i="4"/>
  <c r="G137" i="4" s="1"/>
  <c r="H137" i="4" s="1"/>
  <c r="F145" i="4"/>
  <c r="G145" i="4" s="1"/>
  <c r="H145" i="4" s="1"/>
  <c r="F153" i="4"/>
  <c r="G153" i="4" s="1"/>
  <c r="H153" i="4" s="1"/>
  <c r="F161" i="4"/>
  <c r="G161" i="4" s="1"/>
  <c r="H161" i="4" s="1"/>
  <c r="F169" i="4"/>
  <c r="G169" i="4" s="1"/>
  <c r="H169" i="4" s="1"/>
  <c r="F177" i="4"/>
  <c r="G177" i="4" s="1"/>
  <c r="H177" i="4" s="1"/>
  <c r="F185" i="4"/>
  <c r="G185" i="4" s="1"/>
  <c r="H185" i="4" s="1"/>
  <c r="F193" i="4"/>
  <c r="G193" i="4" s="1"/>
  <c r="H193" i="4" s="1"/>
  <c r="F201" i="4"/>
  <c r="G201" i="4" s="1"/>
  <c r="H201" i="4" s="1"/>
  <c r="F209" i="4"/>
  <c r="G209" i="4" s="1"/>
  <c r="H209" i="4" s="1"/>
  <c r="F217" i="4"/>
  <c r="G217" i="4" s="1"/>
  <c r="H217" i="4" s="1"/>
  <c r="F225" i="4"/>
  <c r="G225" i="4" s="1"/>
  <c r="H225" i="4" s="1"/>
  <c r="F233" i="4"/>
  <c r="G233" i="4" s="1"/>
  <c r="H233" i="4" s="1"/>
  <c r="F241" i="4"/>
  <c r="G241" i="4" s="1"/>
  <c r="H241" i="4" s="1"/>
  <c r="F249" i="4"/>
  <c r="G249" i="4" s="1"/>
  <c r="H249" i="4" s="1"/>
  <c r="F257" i="4"/>
  <c r="G257" i="4" s="1"/>
  <c r="H257" i="4" s="1"/>
  <c r="F265" i="4"/>
  <c r="G265" i="4" s="1"/>
  <c r="H265" i="4" s="1"/>
  <c r="F273" i="4"/>
  <c r="G273" i="4" s="1"/>
  <c r="H273" i="4" s="1"/>
  <c r="F281" i="4"/>
  <c r="G281" i="4" s="1"/>
  <c r="H281" i="4" s="1"/>
  <c r="F9" i="4"/>
  <c r="G9" i="4" s="1"/>
  <c r="H9" i="4" s="1"/>
  <c r="F18" i="4"/>
  <c r="G18" i="4" s="1"/>
  <c r="H18" i="4" s="1"/>
  <c r="F26" i="4"/>
  <c r="G26" i="4" s="1"/>
  <c r="H26" i="4" s="1"/>
  <c r="F34" i="4"/>
  <c r="G34" i="4" s="1"/>
  <c r="H34" i="4" s="1"/>
  <c r="F42" i="4"/>
  <c r="G42" i="4" s="1"/>
  <c r="H42" i="4" s="1"/>
  <c r="F50" i="4"/>
  <c r="G50" i="4" s="1"/>
  <c r="H50" i="4" s="1"/>
  <c r="F58" i="4"/>
  <c r="G58" i="4" s="1"/>
  <c r="H58" i="4" s="1"/>
  <c r="F66" i="4"/>
  <c r="G66" i="4" s="1"/>
  <c r="H66" i="4" s="1"/>
  <c r="F74" i="4"/>
  <c r="G74" i="4" s="1"/>
  <c r="H74" i="4" s="1"/>
  <c r="F82" i="4"/>
  <c r="G82" i="4" s="1"/>
  <c r="H82" i="4" s="1"/>
  <c r="F90" i="4"/>
  <c r="G90" i="4" s="1"/>
  <c r="H90" i="4" s="1"/>
  <c r="F98" i="4"/>
  <c r="G98" i="4" s="1"/>
  <c r="H98" i="4" s="1"/>
  <c r="F106" i="4"/>
  <c r="G106" i="4" s="1"/>
  <c r="H106" i="4" s="1"/>
  <c r="F114" i="4"/>
  <c r="G114" i="4" s="1"/>
  <c r="H114" i="4" s="1"/>
  <c r="F122" i="4"/>
  <c r="G122" i="4" s="1"/>
  <c r="H122" i="4" s="1"/>
  <c r="F130" i="4"/>
  <c r="G130" i="4" s="1"/>
  <c r="H130" i="4" s="1"/>
  <c r="F138" i="4"/>
  <c r="G138" i="4" s="1"/>
  <c r="H138" i="4" s="1"/>
  <c r="F146" i="4"/>
  <c r="G146" i="4" s="1"/>
  <c r="H146" i="4" s="1"/>
  <c r="F154" i="4"/>
  <c r="G154" i="4" s="1"/>
  <c r="H154" i="4" s="1"/>
  <c r="F162" i="4"/>
  <c r="G162" i="4" s="1"/>
  <c r="H162" i="4" s="1"/>
  <c r="F170" i="4"/>
  <c r="G170" i="4" s="1"/>
  <c r="H170" i="4" s="1"/>
  <c r="F178" i="4"/>
  <c r="G178" i="4" s="1"/>
  <c r="H178" i="4" s="1"/>
  <c r="F186" i="4"/>
  <c r="G186" i="4" s="1"/>
  <c r="H186" i="4" s="1"/>
  <c r="F194" i="4"/>
  <c r="G194" i="4" s="1"/>
  <c r="H194" i="4" s="1"/>
  <c r="F202" i="4"/>
  <c r="G202" i="4" s="1"/>
  <c r="H202" i="4" s="1"/>
  <c r="F210" i="4"/>
  <c r="G210" i="4" s="1"/>
  <c r="H210" i="4" s="1"/>
  <c r="F218" i="4"/>
  <c r="G218" i="4" s="1"/>
  <c r="H218" i="4" s="1"/>
  <c r="F226" i="4"/>
  <c r="G226" i="4" s="1"/>
  <c r="H226" i="4" s="1"/>
  <c r="F234" i="4"/>
  <c r="G234" i="4" s="1"/>
  <c r="H234" i="4" s="1"/>
  <c r="F242" i="4"/>
  <c r="G242" i="4" s="1"/>
  <c r="H242" i="4" s="1"/>
  <c r="F250" i="4"/>
  <c r="G250" i="4" s="1"/>
  <c r="H250" i="4" s="1"/>
  <c r="F330" i="4"/>
  <c r="G330" i="4" s="1"/>
  <c r="H330" i="4" s="1"/>
  <c r="F321" i="4"/>
  <c r="G321" i="4" s="1"/>
  <c r="H321" i="4" s="1"/>
  <c r="F311" i="4"/>
  <c r="G311" i="4" s="1"/>
  <c r="H311" i="4" s="1"/>
  <c r="F302" i="4"/>
  <c r="G302" i="4" s="1"/>
  <c r="H302" i="4" s="1"/>
  <c r="F293" i="4"/>
  <c r="G293" i="4" s="1"/>
  <c r="H293" i="4" s="1"/>
  <c r="F284" i="4"/>
  <c r="G284" i="4" s="1"/>
  <c r="H284" i="4" s="1"/>
  <c r="F274" i="4"/>
  <c r="G274" i="4" s="1"/>
  <c r="H274" i="4" s="1"/>
  <c r="F262" i="4"/>
  <c r="G262" i="4" s="1"/>
  <c r="H262" i="4" s="1"/>
  <c r="F252" i="4"/>
  <c r="G252" i="4" s="1"/>
  <c r="H252" i="4" s="1"/>
  <c r="F238" i="4"/>
  <c r="G238" i="4" s="1"/>
  <c r="H238" i="4" s="1"/>
  <c r="F227" i="4"/>
  <c r="G227" i="4" s="1"/>
  <c r="H227" i="4" s="1"/>
  <c r="F213" i="4"/>
  <c r="G213" i="4" s="1"/>
  <c r="H213" i="4" s="1"/>
  <c r="F199" i="4"/>
  <c r="G199" i="4" s="1"/>
  <c r="H199" i="4" s="1"/>
  <c r="F188" i="4"/>
  <c r="G188" i="4" s="1"/>
  <c r="H188" i="4" s="1"/>
  <c r="F174" i="4"/>
  <c r="G174" i="4" s="1"/>
  <c r="H174" i="4" s="1"/>
  <c r="F163" i="4"/>
  <c r="G163" i="4" s="1"/>
  <c r="H163" i="4" s="1"/>
  <c r="F149" i="4"/>
  <c r="G149" i="4" s="1"/>
  <c r="H149" i="4" s="1"/>
  <c r="F135" i="4"/>
  <c r="G135" i="4" s="1"/>
  <c r="H135" i="4" s="1"/>
  <c r="F124" i="4"/>
  <c r="G124" i="4" s="1"/>
  <c r="H124" i="4" s="1"/>
  <c r="F110" i="4"/>
  <c r="G110" i="4" s="1"/>
  <c r="H110" i="4" s="1"/>
  <c r="F99" i="4"/>
  <c r="G99" i="4" s="1"/>
  <c r="H99" i="4" s="1"/>
  <c r="F85" i="4"/>
  <c r="G85" i="4" s="1"/>
  <c r="H85" i="4" s="1"/>
  <c r="F71" i="4"/>
  <c r="G71" i="4" s="1"/>
  <c r="H71" i="4" s="1"/>
  <c r="F60" i="4"/>
  <c r="G60" i="4" s="1"/>
  <c r="H60" i="4" s="1"/>
  <c r="F46" i="4"/>
  <c r="G46" i="4" s="1"/>
  <c r="H46" i="4" s="1"/>
  <c r="F35" i="4"/>
  <c r="G35" i="4" s="1"/>
  <c r="H35" i="4" s="1"/>
  <c r="F21" i="4"/>
  <c r="G21" i="4" s="1"/>
  <c r="H21" i="4" s="1"/>
  <c r="F5" i="4"/>
  <c r="G5" i="4" s="1"/>
  <c r="H5" i="4" s="1"/>
  <c r="F2" i="4"/>
  <c r="G2" i="4" s="1"/>
  <c r="H2" i="4" s="1"/>
  <c r="F325" i="4"/>
  <c r="G325" i="4" s="1"/>
  <c r="H325" i="4" s="1"/>
  <c r="F316" i="4"/>
  <c r="G316" i="4" s="1"/>
  <c r="H316" i="4" s="1"/>
  <c r="F307" i="4"/>
  <c r="G307" i="4" s="1"/>
  <c r="H307" i="4" s="1"/>
  <c r="F298" i="4"/>
  <c r="G298" i="4" s="1"/>
  <c r="H298" i="4" s="1"/>
  <c r="F289" i="4"/>
  <c r="G289" i="4" s="1"/>
  <c r="H289" i="4" s="1"/>
  <c r="F278" i="4"/>
  <c r="G278" i="4" s="1"/>
  <c r="H278" i="4" s="1"/>
  <c r="F268" i="4"/>
  <c r="G268" i="4" s="1"/>
  <c r="H268" i="4" s="1"/>
  <c r="F258" i="4"/>
  <c r="G258" i="4" s="1"/>
  <c r="H258" i="4" s="1"/>
  <c r="F245" i="4"/>
  <c r="G245" i="4" s="1"/>
  <c r="H245" i="4" s="1"/>
  <c r="F231" i="4"/>
  <c r="G231" i="4" s="1"/>
  <c r="H231" i="4" s="1"/>
  <c r="F220" i="4"/>
  <c r="G220" i="4" s="1"/>
  <c r="H220" i="4" s="1"/>
  <c r="F206" i="4"/>
  <c r="G206" i="4" s="1"/>
  <c r="H206" i="4" s="1"/>
  <c r="F195" i="4"/>
  <c r="G195" i="4" s="1"/>
  <c r="H195" i="4" s="1"/>
  <c r="F181" i="4"/>
  <c r="G181" i="4" s="1"/>
  <c r="H181" i="4" s="1"/>
  <c r="F167" i="4"/>
  <c r="G167" i="4" s="1"/>
  <c r="H167" i="4" s="1"/>
  <c r="F156" i="4"/>
  <c r="G156" i="4" s="1"/>
  <c r="H156" i="4" s="1"/>
  <c r="F142" i="4"/>
  <c r="G142" i="4" s="1"/>
  <c r="H142" i="4" s="1"/>
  <c r="F131" i="4"/>
  <c r="G131" i="4" s="1"/>
  <c r="H131" i="4" s="1"/>
  <c r="F117" i="4"/>
  <c r="G117" i="4" s="1"/>
  <c r="H117" i="4" s="1"/>
  <c r="F103" i="4"/>
  <c r="G103" i="4" s="1"/>
  <c r="H103" i="4" s="1"/>
  <c r="F92" i="4"/>
  <c r="G92" i="4" s="1"/>
  <c r="H92" i="4" s="1"/>
  <c r="F78" i="4"/>
  <c r="G78" i="4" s="1"/>
  <c r="H78" i="4" s="1"/>
  <c r="F67" i="4"/>
  <c r="G67" i="4" s="1"/>
  <c r="H67" i="4" s="1"/>
  <c r="F53" i="4"/>
  <c r="G53" i="4" s="1"/>
  <c r="H53" i="4" s="1"/>
  <c r="F39" i="4"/>
  <c r="G39" i="4" s="1"/>
  <c r="H39" i="4" s="1"/>
  <c r="F28" i="4"/>
  <c r="G28" i="4" s="1"/>
  <c r="H28" i="4" s="1"/>
  <c r="F14" i="4"/>
  <c r="G14" i="4" s="1"/>
  <c r="H14" i="4" s="1"/>
  <c r="F333" i="4"/>
  <c r="G333" i="4" s="1"/>
  <c r="H333" i="4" s="1"/>
  <c r="F324" i="4"/>
  <c r="G324" i="4" s="1"/>
  <c r="H324" i="4" s="1"/>
  <c r="F315" i="4"/>
  <c r="G315" i="4" s="1"/>
  <c r="H315" i="4" s="1"/>
  <c r="F306" i="4"/>
  <c r="G306" i="4" s="1"/>
  <c r="H306" i="4" s="1"/>
  <c r="F297" i="4"/>
  <c r="G297" i="4" s="1"/>
  <c r="H297" i="4" s="1"/>
  <c r="F287" i="4"/>
  <c r="G287" i="4" s="1"/>
  <c r="H287" i="4" s="1"/>
  <c r="F277" i="4"/>
  <c r="G277" i="4" s="1"/>
  <c r="H277" i="4" s="1"/>
  <c r="F267" i="4"/>
  <c r="G267" i="4" s="1"/>
  <c r="H267" i="4" s="1"/>
  <c r="F255" i="4"/>
  <c r="G255" i="4" s="1"/>
  <c r="H255" i="4" s="1"/>
  <c r="F244" i="4"/>
  <c r="G244" i="4" s="1"/>
  <c r="H244" i="4" s="1"/>
  <c r="F230" i="4"/>
  <c r="G230" i="4" s="1"/>
  <c r="H230" i="4" s="1"/>
  <c r="F219" i="4"/>
  <c r="G219" i="4" s="1"/>
  <c r="H219" i="4" s="1"/>
  <c r="F205" i="4"/>
  <c r="G205" i="4" s="1"/>
  <c r="H205" i="4" s="1"/>
  <c r="F191" i="4"/>
  <c r="G191" i="4" s="1"/>
  <c r="H191" i="4" s="1"/>
  <c r="F180" i="4"/>
  <c r="G180" i="4" s="1"/>
  <c r="H180" i="4" s="1"/>
  <c r="F166" i="4"/>
  <c r="G166" i="4" s="1"/>
  <c r="H166" i="4" s="1"/>
  <c r="F155" i="4"/>
  <c r="G155" i="4" s="1"/>
  <c r="H155" i="4" s="1"/>
  <c r="F141" i="4"/>
  <c r="G141" i="4" s="1"/>
  <c r="H141" i="4" s="1"/>
  <c r="F127" i="4"/>
  <c r="G127" i="4" s="1"/>
  <c r="H127" i="4" s="1"/>
  <c r="F116" i="4"/>
  <c r="G116" i="4" s="1"/>
  <c r="H116" i="4" s="1"/>
  <c r="F102" i="4"/>
  <c r="G102" i="4" s="1"/>
  <c r="H102" i="4" s="1"/>
  <c r="F91" i="4"/>
  <c r="G91" i="4" s="1"/>
  <c r="H91" i="4" s="1"/>
  <c r="F77" i="4"/>
  <c r="G77" i="4" s="1"/>
  <c r="H77" i="4" s="1"/>
  <c r="F63" i="4"/>
  <c r="G63" i="4" s="1"/>
  <c r="H63" i="4" s="1"/>
  <c r="F52" i="4"/>
  <c r="G52" i="4" s="1"/>
  <c r="H52" i="4" s="1"/>
  <c r="F38" i="4"/>
  <c r="G38" i="4" s="1"/>
  <c r="H38" i="4" s="1"/>
  <c r="F27" i="4"/>
  <c r="G27" i="4" s="1"/>
  <c r="H27" i="4" s="1"/>
  <c r="F13" i="4"/>
  <c r="G13" i="4" s="1"/>
  <c r="H13" i="4" s="1"/>
  <c r="F332" i="4"/>
  <c r="G332" i="4" s="1"/>
  <c r="H332" i="4" s="1"/>
  <c r="F323" i="4"/>
  <c r="G323" i="4" s="1"/>
  <c r="H323" i="4" s="1"/>
  <c r="F314" i="4"/>
  <c r="G314" i="4" s="1"/>
  <c r="H314" i="4" s="1"/>
  <c r="F305" i="4"/>
  <c r="G305" i="4" s="1"/>
  <c r="H305" i="4" s="1"/>
  <c r="F295" i="4"/>
  <c r="G295" i="4" s="1"/>
  <c r="H295" i="4" s="1"/>
  <c r="F286" i="4"/>
  <c r="G286" i="4" s="1"/>
  <c r="H286" i="4" s="1"/>
  <c r="F276" i="4"/>
  <c r="G276" i="4" s="1"/>
  <c r="H276" i="4" s="1"/>
  <c r="F266" i="4"/>
  <c r="G266" i="4" s="1"/>
  <c r="H266" i="4" s="1"/>
  <c r="F254" i="4"/>
  <c r="G254" i="4" s="1"/>
  <c r="H254" i="4" s="1"/>
  <c r="F243" i="4"/>
  <c r="G243" i="4" s="1"/>
  <c r="H243" i="4" s="1"/>
  <c r="F229" i="4"/>
  <c r="G229" i="4" s="1"/>
  <c r="H229" i="4" s="1"/>
  <c r="F215" i="4"/>
  <c r="G215" i="4" s="1"/>
  <c r="H215" i="4" s="1"/>
  <c r="F204" i="4"/>
  <c r="G204" i="4" s="1"/>
  <c r="H204" i="4" s="1"/>
  <c r="F190" i="4"/>
  <c r="G190" i="4" s="1"/>
  <c r="H190" i="4" s="1"/>
  <c r="F179" i="4"/>
  <c r="G179" i="4" s="1"/>
  <c r="H179" i="4" s="1"/>
  <c r="F165" i="4"/>
  <c r="G165" i="4" s="1"/>
  <c r="H165" i="4" s="1"/>
  <c r="F151" i="4"/>
  <c r="G151" i="4" s="1"/>
  <c r="H151" i="4" s="1"/>
  <c r="F140" i="4"/>
  <c r="G140" i="4" s="1"/>
  <c r="H140" i="4" s="1"/>
  <c r="F126" i="4"/>
  <c r="G126" i="4" s="1"/>
  <c r="H126" i="4" s="1"/>
  <c r="F115" i="4"/>
  <c r="G115" i="4" s="1"/>
  <c r="H115" i="4" s="1"/>
  <c r="F101" i="4"/>
  <c r="G101" i="4" s="1"/>
  <c r="H101" i="4" s="1"/>
  <c r="F87" i="4"/>
  <c r="G87" i="4" s="1"/>
  <c r="H87" i="4" s="1"/>
  <c r="F76" i="4"/>
  <c r="G76" i="4" s="1"/>
  <c r="H76" i="4" s="1"/>
  <c r="F62" i="4"/>
  <c r="G62" i="4" s="1"/>
  <c r="H62" i="4" s="1"/>
  <c r="F51" i="4"/>
  <c r="G51" i="4" s="1"/>
  <c r="H51" i="4" s="1"/>
  <c r="F37" i="4"/>
  <c r="G37" i="4" s="1"/>
  <c r="H37" i="4" s="1"/>
  <c r="F23" i="4"/>
  <c r="G23" i="4" s="1"/>
  <c r="H23" i="4" s="1"/>
  <c r="F12" i="4"/>
  <c r="G12" i="4" s="1"/>
  <c r="H12" i="4" s="1"/>
  <c r="F332" i="3"/>
  <c r="G332" i="3" s="1"/>
  <c r="H332" i="3" s="1"/>
  <c r="F324" i="3"/>
  <c r="G324" i="3" s="1"/>
  <c r="H324" i="3" s="1"/>
  <c r="F316" i="3"/>
  <c r="G316" i="3" s="1"/>
  <c r="H316" i="3" s="1"/>
  <c r="F308" i="3"/>
  <c r="G308" i="3" s="1"/>
  <c r="H308" i="3" s="1"/>
  <c r="F300" i="3"/>
  <c r="G300" i="3" s="1"/>
  <c r="H300" i="3" s="1"/>
  <c r="F292" i="3"/>
  <c r="G292" i="3" s="1"/>
  <c r="H292" i="3" s="1"/>
  <c r="F284" i="3"/>
  <c r="G284" i="3" s="1"/>
  <c r="H284" i="3" s="1"/>
  <c r="F276" i="3"/>
  <c r="G276" i="3" s="1"/>
  <c r="H276" i="3" s="1"/>
  <c r="F268" i="3"/>
  <c r="G268" i="3" s="1"/>
  <c r="H268" i="3" s="1"/>
  <c r="F259" i="3"/>
  <c r="G259" i="3" s="1"/>
  <c r="H259" i="3" s="1"/>
  <c r="F248" i="3"/>
  <c r="G248" i="3" s="1"/>
  <c r="H248" i="3" s="1"/>
  <c r="F238" i="3"/>
  <c r="G238" i="3" s="1"/>
  <c r="H238" i="3" s="1"/>
  <c r="F224" i="3"/>
  <c r="G224" i="3" s="1"/>
  <c r="H224" i="3" s="1"/>
  <c r="F213" i="3"/>
  <c r="G213" i="3" s="1"/>
  <c r="H213" i="3" s="1"/>
  <c r="F199" i="3"/>
  <c r="G199" i="3" s="1"/>
  <c r="H199" i="3" s="1"/>
  <c r="F185" i="3"/>
  <c r="G185" i="3" s="1"/>
  <c r="H185" i="3" s="1"/>
  <c r="F174" i="3"/>
  <c r="G174" i="3" s="1"/>
  <c r="H174" i="3" s="1"/>
  <c r="F160" i="3"/>
  <c r="G160" i="3" s="1"/>
  <c r="H160" i="3" s="1"/>
  <c r="F149" i="3"/>
  <c r="G149" i="3" s="1"/>
  <c r="H149" i="3" s="1"/>
  <c r="F135" i="3"/>
  <c r="G135" i="3" s="1"/>
  <c r="H135" i="3" s="1"/>
  <c r="F121" i="3"/>
  <c r="G121" i="3" s="1"/>
  <c r="H121" i="3" s="1"/>
  <c r="F110" i="3"/>
  <c r="G110" i="3" s="1"/>
  <c r="H110" i="3" s="1"/>
  <c r="F96" i="3"/>
  <c r="G96" i="3" s="1"/>
  <c r="H96" i="3" s="1"/>
  <c r="F85" i="3"/>
  <c r="G85" i="3" s="1"/>
  <c r="H85" i="3" s="1"/>
  <c r="F71" i="3"/>
  <c r="G71" i="3" s="1"/>
  <c r="H71" i="3" s="1"/>
  <c r="F57" i="3"/>
  <c r="G57" i="3" s="1"/>
  <c r="H57" i="3" s="1"/>
  <c r="F46" i="3"/>
  <c r="G46" i="3" s="1"/>
  <c r="H46" i="3" s="1"/>
  <c r="F32" i="3"/>
  <c r="G32" i="3" s="1"/>
  <c r="H32" i="3" s="1"/>
  <c r="F21" i="3"/>
  <c r="G21" i="3" s="1"/>
  <c r="H21" i="3" s="1"/>
  <c r="F7" i="3"/>
  <c r="G7" i="3" s="1"/>
  <c r="H7" i="3" s="1"/>
  <c r="F2" i="3"/>
  <c r="G2" i="3" s="1"/>
  <c r="H2" i="3" s="1"/>
  <c r="F331" i="3"/>
  <c r="G331" i="3" s="1"/>
  <c r="H331" i="3" s="1"/>
  <c r="F323" i="3"/>
  <c r="G323" i="3" s="1"/>
  <c r="H323" i="3" s="1"/>
  <c r="F315" i="3"/>
  <c r="G315" i="3" s="1"/>
  <c r="H315" i="3" s="1"/>
  <c r="F307" i="3"/>
  <c r="G307" i="3" s="1"/>
  <c r="H307" i="3" s="1"/>
  <c r="F299" i="3"/>
  <c r="G299" i="3" s="1"/>
  <c r="H299" i="3" s="1"/>
  <c r="F291" i="3"/>
  <c r="G291" i="3" s="1"/>
  <c r="H291" i="3" s="1"/>
  <c r="F283" i="3"/>
  <c r="G283" i="3" s="1"/>
  <c r="H283" i="3" s="1"/>
  <c r="F275" i="3"/>
  <c r="G275" i="3" s="1"/>
  <c r="H275" i="3" s="1"/>
  <c r="F267" i="3"/>
  <c r="G267" i="3" s="1"/>
  <c r="H267" i="3" s="1"/>
  <c r="F257" i="3"/>
  <c r="G257" i="3" s="1"/>
  <c r="H257" i="3" s="1"/>
  <c r="F247" i="3"/>
  <c r="G247" i="3" s="1"/>
  <c r="H247" i="3" s="1"/>
  <c r="F237" i="3"/>
  <c r="G237" i="3" s="1"/>
  <c r="H237" i="3" s="1"/>
  <c r="F223" i="3"/>
  <c r="G223" i="3" s="1"/>
  <c r="H223" i="3" s="1"/>
  <c r="F209" i="3"/>
  <c r="G209" i="3" s="1"/>
  <c r="H209" i="3" s="1"/>
  <c r="F198" i="3"/>
  <c r="G198" i="3" s="1"/>
  <c r="H198" i="3" s="1"/>
  <c r="F184" i="3"/>
  <c r="G184" i="3" s="1"/>
  <c r="H184" i="3" s="1"/>
  <c r="F173" i="3"/>
  <c r="G173" i="3" s="1"/>
  <c r="H173" i="3" s="1"/>
  <c r="F159" i="3"/>
  <c r="G159" i="3" s="1"/>
  <c r="H159" i="3" s="1"/>
  <c r="F145" i="3"/>
  <c r="G145" i="3" s="1"/>
  <c r="H145" i="3" s="1"/>
  <c r="F134" i="3"/>
  <c r="G134" i="3" s="1"/>
  <c r="H134" i="3" s="1"/>
  <c r="F120" i="3"/>
  <c r="G120" i="3" s="1"/>
  <c r="H120" i="3" s="1"/>
  <c r="F109" i="3"/>
  <c r="G109" i="3" s="1"/>
  <c r="H109" i="3" s="1"/>
  <c r="F95" i="3"/>
  <c r="G95" i="3" s="1"/>
  <c r="H95" i="3" s="1"/>
  <c r="F81" i="3"/>
  <c r="G81" i="3" s="1"/>
  <c r="H81" i="3" s="1"/>
  <c r="F70" i="3"/>
  <c r="G70" i="3" s="1"/>
  <c r="H70" i="3" s="1"/>
  <c r="F56" i="3"/>
  <c r="G56" i="3" s="1"/>
  <c r="H56" i="3" s="1"/>
  <c r="F45" i="3"/>
  <c r="G45" i="3" s="1"/>
  <c r="H45" i="3" s="1"/>
  <c r="F31" i="3"/>
  <c r="G31" i="3" s="1"/>
  <c r="H31" i="3" s="1"/>
  <c r="F17" i="3"/>
  <c r="G17" i="3" s="1"/>
  <c r="H17" i="3" s="1"/>
  <c r="F10" i="3"/>
  <c r="G10" i="3" s="1"/>
  <c r="H10" i="3" s="1"/>
  <c r="F18" i="3"/>
  <c r="G18" i="3" s="1"/>
  <c r="H18" i="3" s="1"/>
  <c r="F26" i="3"/>
  <c r="G26" i="3" s="1"/>
  <c r="H26" i="3" s="1"/>
  <c r="F34" i="3"/>
  <c r="G34" i="3" s="1"/>
  <c r="H34" i="3" s="1"/>
  <c r="F42" i="3"/>
  <c r="G42" i="3" s="1"/>
  <c r="H42" i="3" s="1"/>
  <c r="F50" i="3"/>
  <c r="G50" i="3" s="1"/>
  <c r="H50" i="3" s="1"/>
  <c r="F58" i="3"/>
  <c r="G58" i="3" s="1"/>
  <c r="H58" i="3" s="1"/>
  <c r="F66" i="3"/>
  <c r="G66" i="3" s="1"/>
  <c r="H66" i="3" s="1"/>
  <c r="F74" i="3"/>
  <c r="G74" i="3" s="1"/>
  <c r="H74" i="3" s="1"/>
  <c r="F82" i="3"/>
  <c r="G82" i="3" s="1"/>
  <c r="H82" i="3" s="1"/>
  <c r="F90" i="3"/>
  <c r="G90" i="3" s="1"/>
  <c r="H90" i="3" s="1"/>
  <c r="F98" i="3"/>
  <c r="G98" i="3" s="1"/>
  <c r="H98" i="3" s="1"/>
  <c r="F106" i="3"/>
  <c r="G106" i="3" s="1"/>
  <c r="H106" i="3" s="1"/>
  <c r="F114" i="3"/>
  <c r="G114" i="3" s="1"/>
  <c r="H114" i="3" s="1"/>
  <c r="F122" i="3"/>
  <c r="G122" i="3" s="1"/>
  <c r="H122" i="3" s="1"/>
  <c r="F130" i="3"/>
  <c r="G130" i="3" s="1"/>
  <c r="H130" i="3" s="1"/>
  <c r="F138" i="3"/>
  <c r="G138" i="3" s="1"/>
  <c r="H138" i="3" s="1"/>
  <c r="F146" i="3"/>
  <c r="G146" i="3" s="1"/>
  <c r="H146" i="3" s="1"/>
  <c r="F154" i="3"/>
  <c r="G154" i="3" s="1"/>
  <c r="H154" i="3" s="1"/>
  <c r="F162" i="3"/>
  <c r="G162" i="3" s="1"/>
  <c r="H162" i="3" s="1"/>
  <c r="F170" i="3"/>
  <c r="G170" i="3" s="1"/>
  <c r="H170" i="3" s="1"/>
  <c r="F178" i="3"/>
  <c r="G178" i="3" s="1"/>
  <c r="H178" i="3" s="1"/>
  <c r="F186" i="3"/>
  <c r="G186" i="3" s="1"/>
  <c r="H186" i="3" s="1"/>
  <c r="F194" i="3"/>
  <c r="G194" i="3" s="1"/>
  <c r="H194" i="3" s="1"/>
  <c r="F202" i="3"/>
  <c r="G202" i="3" s="1"/>
  <c r="H202" i="3" s="1"/>
  <c r="F210" i="3"/>
  <c r="G210" i="3" s="1"/>
  <c r="H210" i="3" s="1"/>
  <c r="F218" i="3"/>
  <c r="G218" i="3" s="1"/>
  <c r="H218" i="3" s="1"/>
  <c r="F226" i="3"/>
  <c r="G226" i="3" s="1"/>
  <c r="H226" i="3" s="1"/>
  <c r="F234" i="3"/>
  <c r="G234" i="3" s="1"/>
  <c r="H234" i="3" s="1"/>
  <c r="F242" i="3"/>
  <c r="G242" i="3" s="1"/>
  <c r="H242" i="3" s="1"/>
  <c r="F250" i="3"/>
  <c r="G250" i="3" s="1"/>
  <c r="H250" i="3" s="1"/>
  <c r="F258" i="3"/>
  <c r="G258" i="3" s="1"/>
  <c r="H258" i="3" s="1"/>
  <c r="F266" i="3"/>
  <c r="G266" i="3" s="1"/>
  <c r="H266" i="3" s="1"/>
  <c r="F3" i="3"/>
  <c r="G3" i="3" s="1"/>
  <c r="H3" i="3" s="1"/>
  <c r="F11" i="3"/>
  <c r="G11" i="3" s="1"/>
  <c r="H11" i="3" s="1"/>
  <c r="F19" i="3"/>
  <c r="G19" i="3" s="1"/>
  <c r="H19" i="3" s="1"/>
  <c r="F27" i="3"/>
  <c r="G27" i="3" s="1"/>
  <c r="H27" i="3" s="1"/>
  <c r="F35" i="3"/>
  <c r="G35" i="3" s="1"/>
  <c r="H35" i="3" s="1"/>
  <c r="F43" i="3"/>
  <c r="G43" i="3" s="1"/>
  <c r="H43" i="3" s="1"/>
  <c r="F51" i="3"/>
  <c r="G51" i="3" s="1"/>
  <c r="H51" i="3" s="1"/>
  <c r="F59" i="3"/>
  <c r="G59" i="3" s="1"/>
  <c r="H59" i="3" s="1"/>
  <c r="F67" i="3"/>
  <c r="G67" i="3" s="1"/>
  <c r="H67" i="3" s="1"/>
  <c r="F75" i="3"/>
  <c r="G75" i="3" s="1"/>
  <c r="H75" i="3" s="1"/>
  <c r="F83" i="3"/>
  <c r="G83" i="3" s="1"/>
  <c r="H83" i="3" s="1"/>
  <c r="F91" i="3"/>
  <c r="G91" i="3" s="1"/>
  <c r="H91" i="3" s="1"/>
  <c r="F99" i="3"/>
  <c r="G99" i="3" s="1"/>
  <c r="H99" i="3" s="1"/>
  <c r="F107" i="3"/>
  <c r="G107" i="3" s="1"/>
  <c r="H107" i="3" s="1"/>
  <c r="F115" i="3"/>
  <c r="G115" i="3" s="1"/>
  <c r="H115" i="3" s="1"/>
  <c r="F123" i="3"/>
  <c r="G123" i="3" s="1"/>
  <c r="H123" i="3" s="1"/>
  <c r="F131" i="3"/>
  <c r="G131" i="3" s="1"/>
  <c r="H131" i="3" s="1"/>
  <c r="F139" i="3"/>
  <c r="G139" i="3" s="1"/>
  <c r="H139" i="3" s="1"/>
  <c r="F147" i="3"/>
  <c r="G147" i="3" s="1"/>
  <c r="H147" i="3" s="1"/>
  <c r="F155" i="3"/>
  <c r="G155" i="3" s="1"/>
  <c r="H155" i="3" s="1"/>
  <c r="F163" i="3"/>
  <c r="G163" i="3" s="1"/>
  <c r="H163" i="3" s="1"/>
  <c r="F171" i="3"/>
  <c r="G171" i="3" s="1"/>
  <c r="H171" i="3" s="1"/>
  <c r="F179" i="3"/>
  <c r="G179" i="3" s="1"/>
  <c r="H179" i="3" s="1"/>
  <c r="F187" i="3"/>
  <c r="G187" i="3" s="1"/>
  <c r="H187" i="3" s="1"/>
  <c r="F195" i="3"/>
  <c r="G195" i="3" s="1"/>
  <c r="H195" i="3" s="1"/>
  <c r="F203" i="3"/>
  <c r="G203" i="3" s="1"/>
  <c r="H203" i="3" s="1"/>
  <c r="F211" i="3"/>
  <c r="G211" i="3" s="1"/>
  <c r="H211" i="3" s="1"/>
  <c r="F219" i="3"/>
  <c r="G219" i="3" s="1"/>
  <c r="H219" i="3" s="1"/>
  <c r="F227" i="3"/>
  <c r="G227" i="3" s="1"/>
  <c r="H227" i="3" s="1"/>
  <c r="F235" i="3"/>
  <c r="G235" i="3" s="1"/>
  <c r="H235" i="3" s="1"/>
  <c r="F243" i="3"/>
  <c r="G243" i="3" s="1"/>
  <c r="H243" i="3" s="1"/>
  <c r="F251" i="3"/>
  <c r="G251" i="3" s="1"/>
  <c r="H251" i="3" s="1"/>
  <c r="F4" i="3"/>
  <c r="G4" i="3" s="1"/>
  <c r="H4" i="3" s="1"/>
  <c r="F12" i="3"/>
  <c r="G12" i="3" s="1"/>
  <c r="H12" i="3" s="1"/>
  <c r="F20" i="3"/>
  <c r="G20" i="3" s="1"/>
  <c r="H20" i="3" s="1"/>
  <c r="F28" i="3"/>
  <c r="G28" i="3" s="1"/>
  <c r="H28" i="3" s="1"/>
  <c r="F36" i="3"/>
  <c r="G36" i="3" s="1"/>
  <c r="H36" i="3" s="1"/>
  <c r="F44" i="3"/>
  <c r="G44" i="3" s="1"/>
  <c r="H44" i="3" s="1"/>
  <c r="F52" i="3"/>
  <c r="G52" i="3" s="1"/>
  <c r="H52" i="3" s="1"/>
  <c r="F60" i="3"/>
  <c r="G60" i="3" s="1"/>
  <c r="H60" i="3" s="1"/>
  <c r="F68" i="3"/>
  <c r="G68" i="3" s="1"/>
  <c r="H68" i="3" s="1"/>
  <c r="F76" i="3"/>
  <c r="G76" i="3" s="1"/>
  <c r="H76" i="3" s="1"/>
  <c r="F84" i="3"/>
  <c r="G84" i="3" s="1"/>
  <c r="H84" i="3" s="1"/>
  <c r="F92" i="3"/>
  <c r="G92" i="3" s="1"/>
  <c r="H92" i="3" s="1"/>
  <c r="F100" i="3"/>
  <c r="G100" i="3" s="1"/>
  <c r="H100" i="3" s="1"/>
  <c r="F108" i="3"/>
  <c r="G108" i="3" s="1"/>
  <c r="H108" i="3" s="1"/>
  <c r="F116" i="3"/>
  <c r="G116" i="3" s="1"/>
  <c r="H116" i="3" s="1"/>
  <c r="F124" i="3"/>
  <c r="G124" i="3" s="1"/>
  <c r="H124" i="3" s="1"/>
  <c r="F132" i="3"/>
  <c r="G132" i="3" s="1"/>
  <c r="H132" i="3" s="1"/>
  <c r="F140" i="3"/>
  <c r="G140" i="3" s="1"/>
  <c r="H140" i="3" s="1"/>
  <c r="F148" i="3"/>
  <c r="G148" i="3" s="1"/>
  <c r="H148" i="3" s="1"/>
  <c r="F156" i="3"/>
  <c r="G156" i="3" s="1"/>
  <c r="H156" i="3" s="1"/>
  <c r="F164" i="3"/>
  <c r="G164" i="3" s="1"/>
  <c r="H164" i="3" s="1"/>
  <c r="F172" i="3"/>
  <c r="G172" i="3" s="1"/>
  <c r="H172" i="3" s="1"/>
  <c r="F180" i="3"/>
  <c r="G180" i="3" s="1"/>
  <c r="H180" i="3" s="1"/>
  <c r="F188" i="3"/>
  <c r="G188" i="3" s="1"/>
  <c r="H188" i="3" s="1"/>
  <c r="F196" i="3"/>
  <c r="G196" i="3" s="1"/>
  <c r="H196" i="3" s="1"/>
  <c r="F204" i="3"/>
  <c r="G204" i="3" s="1"/>
  <c r="H204" i="3" s="1"/>
  <c r="F212" i="3"/>
  <c r="G212" i="3" s="1"/>
  <c r="H212" i="3" s="1"/>
  <c r="F220" i="3"/>
  <c r="G220" i="3" s="1"/>
  <c r="H220" i="3" s="1"/>
  <c r="F228" i="3"/>
  <c r="G228" i="3" s="1"/>
  <c r="H228" i="3" s="1"/>
  <c r="F236" i="3"/>
  <c r="G236" i="3" s="1"/>
  <c r="H236" i="3" s="1"/>
  <c r="F338" i="3"/>
  <c r="G338" i="3" s="1"/>
  <c r="H338" i="3" s="1"/>
  <c r="F330" i="3"/>
  <c r="G330" i="3" s="1"/>
  <c r="H330" i="3" s="1"/>
  <c r="F322" i="3"/>
  <c r="G322" i="3" s="1"/>
  <c r="H322" i="3" s="1"/>
  <c r="F314" i="3"/>
  <c r="G314" i="3" s="1"/>
  <c r="H314" i="3" s="1"/>
  <c r="F306" i="3"/>
  <c r="G306" i="3" s="1"/>
  <c r="H306" i="3" s="1"/>
  <c r="F298" i="3"/>
  <c r="G298" i="3" s="1"/>
  <c r="H298" i="3" s="1"/>
  <c r="F290" i="3"/>
  <c r="G290" i="3" s="1"/>
  <c r="H290" i="3" s="1"/>
  <c r="F282" i="3"/>
  <c r="G282" i="3" s="1"/>
  <c r="H282" i="3" s="1"/>
  <c r="F274" i="3"/>
  <c r="G274" i="3" s="1"/>
  <c r="H274" i="3" s="1"/>
  <c r="F265" i="3"/>
  <c r="G265" i="3" s="1"/>
  <c r="H265" i="3" s="1"/>
  <c r="F256" i="3"/>
  <c r="G256" i="3" s="1"/>
  <c r="H256" i="3" s="1"/>
  <c r="F246" i="3"/>
  <c r="G246" i="3" s="1"/>
  <c r="H246" i="3" s="1"/>
  <c r="F233" i="3"/>
  <c r="G233" i="3" s="1"/>
  <c r="H233" i="3" s="1"/>
  <c r="F222" i="3"/>
  <c r="G222" i="3" s="1"/>
  <c r="H222" i="3" s="1"/>
  <c r="F208" i="3"/>
  <c r="G208" i="3" s="1"/>
  <c r="H208" i="3" s="1"/>
  <c r="F197" i="3"/>
  <c r="G197" i="3" s="1"/>
  <c r="H197" i="3" s="1"/>
  <c r="F183" i="3"/>
  <c r="G183" i="3" s="1"/>
  <c r="H183" i="3" s="1"/>
  <c r="F169" i="3"/>
  <c r="G169" i="3" s="1"/>
  <c r="H169" i="3" s="1"/>
  <c r="F158" i="3"/>
  <c r="G158" i="3" s="1"/>
  <c r="H158" i="3" s="1"/>
  <c r="F144" i="3"/>
  <c r="G144" i="3" s="1"/>
  <c r="H144" i="3" s="1"/>
  <c r="F133" i="3"/>
  <c r="G133" i="3" s="1"/>
  <c r="H133" i="3" s="1"/>
  <c r="F119" i="3"/>
  <c r="G119" i="3" s="1"/>
  <c r="H119" i="3" s="1"/>
  <c r="F105" i="3"/>
  <c r="G105" i="3" s="1"/>
  <c r="H105" i="3" s="1"/>
  <c r="F94" i="3"/>
  <c r="G94" i="3" s="1"/>
  <c r="H94" i="3" s="1"/>
  <c r="F80" i="3"/>
  <c r="G80" i="3" s="1"/>
  <c r="H80" i="3" s="1"/>
  <c r="F69" i="3"/>
  <c r="G69" i="3" s="1"/>
  <c r="H69" i="3" s="1"/>
  <c r="F55" i="3"/>
  <c r="G55" i="3" s="1"/>
  <c r="H55" i="3" s="1"/>
  <c r="F41" i="3"/>
  <c r="G41" i="3" s="1"/>
  <c r="H41" i="3" s="1"/>
  <c r="F30" i="3"/>
  <c r="G30" i="3" s="1"/>
  <c r="H30" i="3" s="1"/>
  <c r="F16" i="3"/>
  <c r="G16" i="3" s="1"/>
  <c r="H16" i="3" s="1"/>
  <c r="F5" i="3"/>
  <c r="G5" i="3" s="1"/>
  <c r="H5" i="3" s="1"/>
  <c r="F337" i="3"/>
  <c r="G337" i="3" s="1"/>
  <c r="H337" i="3" s="1"/>
  <c r="F329" i="3"/>
  <c r="G329" i="3" s="1"/>
  <c r="H329" i="3" s="1"/>
  <c r="F321" i="3"/>
  <c r="G321" i="3" s="1"/>
  <c r="H321" i="3" s="1"/>
  <c r="F313" i="3"/>
  <c r="G313" i="3" s="1"/>
  <c r="H313" i="3" s="1"/>
  <c r="F305" i="3"/>
  <c r="G305" i="3" s="1"/>
  <c r="H305" i="3" s="1"/>
  <c r="F297" i="3"/>
  <c r="G297" i="3" s="1"/>
  <c r="H297" i="3" s="1"/>
  <c r="F289" i="3"/>
  <c r="G289" i="3" s="1"/>
  <c r="H289" i="3" s="1"/>
  <c r="F281" i="3"/>
  <c r="G281" i="3" s="1"/>
  <c r="H281" i="3" s="1"/>
  <c r="F273" i="3"/>
  <c r="G273" i="3" s="1"/>
  <c r="H273" i="3" s="1"/>
  <c r="F264" i="3"/>
  <c r="G264" i="3" s="1"/>
  <c r="H264" i="3" s="1"/>
  <c r="F255" i="3"/>
  <c r="G255" i="3" s="1"/>
  <c r="H255" i="3" s="1"/>
  <c r="F245" i="3"/>
  <c r="G245" i="3" s="1"/>
  <c r="H245" i="3" s="1"/>
  <c r="F232" i="3"/>
  <c r="G232" i="3" s="1"/>
  <c r="H232" i="3" s="1"/>
  <c r="F221" i="3"/>
  <c r="G221" i="3" s="1"/>
  <c r="H221" i="3" s="1"/>
  <c r="F207" i="3"/>
  <c r="G207" i="3" s="1"/>
  <c r="H207" i="3" s="1"/>
  <c r="F193" i="3"/>
  <c r="G193" i="3" s="1"/>
  <c r="H193" i="3" s="1"/>
  <c r="F182" i="3"/>
  <c r="G182" i="3" s="1"/>
  <c r="H182" i="3" s="1"/>
  <c r="F168" i="3"/>
  <c r="G168" i="3" s="1"/>
  <c r="H168" i="3" s="1"/>
  <c r="F157" i="3"/>
  <c r="G157" i="3" s="1"/>
  <c r="H157" i="3" s="1"/>
  <c r="F143" i="3"/>
  <c r="G143" i="3" s="1"/>
  <c r="H143" i="3" s="1"/>
  <c r="F129" i="3"/>
  <c r="G129" i="3" s="1"/>
  <c r="H129" i="3" s="1"/>
  <c r="F118" i="3"/>
  <c r="G118" i="3" s="1"/>
  <c r="H118" i="3" s="1"/>
  <c r="F104" i="3"/>
  <c r="G104" i="3" s="1"/>
  <c r="H104" i="3" s="1"/>
  <c r="F93" i="3"/>
  <c r="G93" i="3" s="1"/>
  <c r="H93" i="3" s="1"/>
  <c r="F79" i="3"/>
  <c r="G79" i="3" s="1"/>
  <c r="H79" i="3" s="1"/>
  <c r="F65" i="3"/>
  <c r="G65" i="3" s="1"/>
  <c r="H65" i="3" s="1"/>
  <c r="F54" i="3"/>
  <c r="G54" i="3" s="1"/>
  <c r="H54" i="3" s="1"/>
  <c r="F40" i="3"/>
  <c r="G40" i="3" s="1"/>
  <c r="H40" i="3" s="1"/>
  <c r="F29" i="3"/>
  <c r="G29" i="3" s="1"/>
  <c r="H29" i="3" s="1"/>
  <c r="F15" i="3"/>
  <c r="G15" i="3" s="1"/>
  <c r="H15" i="3" s="1"/>
  <c r="F336" i="3"/>
  <c r="G336" i="3" s="1"/>
  <c r="H336" i="3" s="1"/>
  <c r="F328" i="3"/>
  <c r="G328" i="3" s="1"/>
  <c r="H328" i="3" s="1"/>
  <c r="F320" i="3"/>
  <c r="G320" i="3" s="1"/>
  <c r="H320" i="3" s="1"/>
  <c r="F312" i="3"/>
  <c r="G312" i="3" s="1"/>
  <c r="H312" i="3" s="1"/>
  <c r="F304" i="3"/>
  <c r="G304" i="3" s="1"/>
  <c r="H304" i="3" s="1"/>
  <c r="F296" i="3"/>
  <c r="G296" i="3" s="1"/>
  <c r="H296" i="3" s="1"/>
  <c r="F288" i="3"/>
  <c r="G288" i="3" s="1"/>
  <c r="H288" i="3" s="1"/>
  <c r="F280" i="3"/>
  <c r="G280" i="3" s="1"/>
  <c r="H280" i="3" s="1"/>
  <c r="F272" i="3"/>
  <c r="G272" i="3" s="1"/>
  <c r="H272" i="3" s="1"/>
  <c r="F263" i="3"/>
  <c r="G263" i="3" s="1"/>
  <c r="H263" i="3" s="1"/>
  <c r="F254" i="3"/>
  <c r="G254" i="3" s="1"/>
  <c r="H254" i="3" s="1"/>
  <c r="F244" i="3"/>
  <c r="G244" i="3" s="1"/>
  <c r="H244" i="3" s="1"/>
  <c r="F231" i="3"/>
  <c r="G231" i="3" s="1"/>
  <c r="H231" i="3" s="1"/>
  <c r="F217" i="3"/>
  <c r="G217" i="3" s="1"/>
  <c r="H217" i="3" s="1"/>
  <c r="F206" i="3"/>
  <c r="G206" i="3" s="1"/>
  <c r="H206" i="3" s="1"/>
  <c r="F192" i="3"/>
  <c r="G192" i="3" s="1"/>
  <c r="H192" i="3" s="1"/>
  <c r="F181" i="3"/>
  <c r="G181" i="3" s="1"/>
  <c r="H181" i="3" s="1"/>
  <c r="F167" i="3"/>
  <c r="G167" i="3" s="1"/>
  <c r="H167" i="3" s="1"/>
  <c r="F153" i="3"/>
  <c r="G153" i="3" s="1"/>
  <c r="H153" i="3" s="1"/>
  <c r="F142" i="3"/>
  <c r="G142" i="3" s="1"/>
  <c r="H142" i="3" s="1"/>
  <c r="F128" i="3"/>
  <c r="G128" i="3" s="1"/>
  <c r="H128" i="3" s="1"/>
  <c r="F117" i="3"/>
  <c r="G117" i="3" s="1"/>
  <c r="H117" i="3" s="1"/>
  <c r="F103" i="3"/>
  <c r="G103" i="3" s="1"/>
  <c r="H103" i="3" s="1"/>
  <c r="F89" i="3"/>
  <c r="G89" i="3" s="1"/>
  <c r="H89" i="3" s="1"/>
  <c r="F78" i="3"/>
  <c r="G78" i="3" s="1"/>
  <c r="H78" i="3" s="1"/>
  <c r="F64" i="3"/>
  <c r="G64" i="3" s="1"/>
  <c r="H64" i="3" s="1"/>
  <c r="F53" i="3"/>
  <c r="G53" i="3" s="1"/>
  <c r="H53" i="3" s="1"/>
  <c r="F39" i="3"/>
  <c r="G39" i="3" s="1"/>
  <c r="H39" i="3" s="1"/>
  <c r="F25" i="3"/>
  <c r="G25" i="3" s="1"/>
  <c r="H25" i="3" s="1"/>
  <c r="F14" i="3"/>
  <c r="G14" i="3" s="1"/>
  <c r="H14" i="3" s="1"/>
  <c r="F335" i="3"/>
  <c r="G335" i="3" s="1"/>
  <c r="H335" i="3" s="1"/>
  <c r="F327" i="3"/>
  <c r="G327" i="3" s="1"/>
  <c r="H327" i="3" s="1"/>
  <c r="F319" i="3"/>
  <c r="G319" i="3" s="1"/>
  <c r="H319" i="3" s="1"/>
  <c r="F311" i="3"/>
  <c r="G311" i="3" s="1"/>
  <c r="H311" i="3" s="1"/>
  <c r="F303" i="3"/>
  <c r="G303" i="3" s="1"/>
  <c r="H303" i="3" s="1"/>
  <c r="F295" i="3"/>
  <c r="G295" i="3" s="1"/>
  <c r="H295" i="3" s="1"/>
  <c r="F287" i="3"/>
  <c r="G287" i="3" s="1"/>
  <c r="H287" i="3" s="1"/>
  <c r="F279" i="3"/>
  <c r="G279" i="3" s="1"/>
  <c r="H279" i="3" s="1"/>
  <c r="F271" i="3"/>
  <c r="G271" i="3" s="1"/>
  <c r="H271" i="3" s="1"/>
  <c r="F262" i="3"/>
  <c r="G262" i="3" s="1"/>
  <c r="H262" i="3" s="1"/>
  <c r="F253" i="3"/>
  <c r="G253" i="3" s="1"/>
  <c r="H253" i="3" s="1"/>
  <c r="F241" i="3"/>
  <c r="G241" i="3" s="1"/>
  <c r="H241" i="3" s="1"/>
  <c r="F230" i="3"/>
  <c r="G230" i="3" s="1"/>
  <c r="H230" i="3" s="1"/>
  <c r="F216" i="3"/>
  <c r="G216" i="3" s="1"/>
  <c r="H216" i="3" s="1"/>
  <c r="F205" i="3"/>
  <c r="G205" i="3" s="1"/>
  <c r="H205" i="3" s="1"/>
  <c r="F191" i="3"/>
  <c r="G191" i="3" s="1"/>
  <c r="H191" i="3" s="1"/>
  <c r="F177" i="3"/>
  <c r="G177" i="3" s="1"/>
  <c r="H177" i="3" s="1"/>
  <c r="F166" i="3"/>
  <c r="G166" i="3" s="1"/>
  <c r="H166" i="3" s="1"/>
  <c r="F152" i="3"/>
  <c r="G152" i="3" s="1"/>
  <c r="H152" i="3" s="1"/>
  <c r="F141" i="3"/>
  <c r="G141" i="3" s="1"/>
  <c r="H141" i="3" s="1"/>
  <c r="F127" i="3"/>
  <c r="G127" i="3" s="1"/>
  <c r="H127" i="3" s="1"/>
  <c r="F113" i="3"/>
  <c r="G113" i="3" s="1"/>
  <c r="H113" i="3" s="1"/>
  <c r="F102" i="3"/>
  <c r="G102" i="3" s="1"/>
  <c r="H102" i="3" s="1"/>
  <c r="F88" i="3"/>
  <c r="G88" i="3" s="1"/>
  <c r="H88" i="3" s="1"/>
  <c r="F77" i="3"/>
  <c r="G77" i="3" s="1"/>
  <c r="H77" i="3" s="1"/>
  <c r="F63" i="3"/>
  <c r="G63" i="3" s="1"/>
  <c r="H63" i="3" s="1"/>
  <c r="F49" i="3"/>
  <c r="G49" i="3" s="1"/>
  <c r="H49" i="3" s="1"/>
  <c r="F38" i="3"/>
  <c r="G38" i="3" s="1"/>
  <c r="H38" i="3" s="1"/>
  <c r="F24" i="3"/>
  <c r="G24" i="3" s="1"/>
  <c r="H24" i="3" s="1"/>
  <c r="F13" i="3"/>
  <c r="G13" i="3" s="1"/>
  <c r="H13" i="3" s="1"/>
  <c r="F334" i="3"/>
  <c r="G334" i="3" s="1"/>
  <c r="H334" i="3" s="1"/>
  <c r="F326" i="3"/>
  <c r="G326" i="3" s="1"/>
  <c r="H326" i="3" s="1"/>
  <c r="F318" i="3"/>
  <c r="G318" i="3" s="1"/>
  <c r="H318" i="3" s="1"/>
  <c r="F310" i="3"/>
  <c r="G310" i="3" s="1"/>
  <c r="H310" i="3" s="1"/>
  <c r="F302" i="3"/>
  <c r="G302" i="3" s="1"/>
  <c r="H302" i="3" s="1"/>
  <c r="F294" i="3"/>
  <c r="G294" i="3" s="1"/>
  <c r="H294" i="3" s="1"/>
  <c r="F286" i="3"/>
  <c r="G286" i="3" s="1"/>
  <c r="H286" i="3" s="1"/>
  <c r="F278" i="3"/>
  <c r="G278" i="3" s="1"/>
  <c r="H278" i="3" s="1"/>
  <c r="F270" i="3"/>
  <c r="G270" i="3" s="1"/>
  <c r="H270" i="3" s="1"/>
  <c r="F261" i="3"/>
  <c r="G261" i="3" s="1"/>
  <c r="H261" i="3" s="1"/>
  <c r="F252" i="3"/>
  <c r="G252" i="3" s="1"/>
  <c r="H252" i="3" s="1"/>
  <c r="F240" i="3"/>
  <c r="G240" i="3" s="1"/>
  <c r="H240" i="3" s="1"/>
  <c r="F229" i="3"/>
  <c r="G229" i="3" s="1"/>
  <c r="H229" i="3" s="1"/>
  <c r="F215" i="3"/>
  <c r="G215" i="3" s="1"/>
  <c r="H215" i="3" s="1"/>
  <c r="F201" i="3"/>
  <c r="G201" i="3" s="1"/>
  <c r="H201" i="3" s="1"/>
  <c r="F190" i="3"/>
  <c r="G190" i="3" s="1"/>
  <c r="H190" i="3" s="1"/>
  <c r="F176" i="3"/>
  <c r="G176" i="3" s="1"/>
  <c r="H176" i="3" s="1"/>
  <c r="F165" i="3"/>
  <c r="G165" i="3" s="1"/>
  <c r="H165" i="3" s="1"/>
  <c r="F151" i="3"/>
  <c r="G151" i="3" s="1"/>
  <c r="H151" i="3" s="1"/>
  <c r="F137" i="3"/>
  <c r="G137" i="3" s="1"/>
  <c r="H137" i="3" s="1"/>
  <c r="F126" i="3"/>
  <c r="G126" i="3" s="1"/>
  <c r="H126" i="3" s="1"/>
  <c r="F112" i="3"/>
  <c r="G112" i="3" s="1"/>
  <c r="H112" i="3" s="1"/>
  <c r="F101" i="3"/>
  <c r="G101" i="3" s="1"/>
  <c r="H101" i="3" s="1"/>
  <c r="F87" i="3"/>
  <c r="G87" i="3" s="1"/>
  <c r="H87" i="3" s="1"/>
  <c r="F73" i="3"/>
  <c r="G73" i="3" s="1"/>
  <c r="H73" i="3" s="1"/>
  <c r="F62" i="3"/>
  <c r="G62" i="3" s="1"/>
  <c r="H62" i="3" s="1"/>
  <c r="F48" i="3"/>
  <c r="G48" i="3" s="1"/>
  <c r="H48" i="3" s="1"/>
  <c r="F37" i="3"/>
  <c r="G37" i="3" s="1"/>
  <c r="H37" i="3" s="1"/>
  <c r="F23" i="3"/>
  <c r="G23" i="3" s="1"/>
  <c r="H23" i="3" s="1"/>
  <c r="F9" i="3"/>
  <c r="G9" i="3" s="1"/>
  <c r="H9" i="3" s="1"/>
  <c r="F333" i="3"/>
  <c r="G333" i="3" s="1"/>
  <c r="H333" i="3" s="1"/>
  <c r="F325" i="3"/>
  <c r="G325" i="3" s="1"/>
  <c r="H325" i="3" s="1"/>
  <c r="F317" i="3"/>
  <c r="G317" i="3" s="1"/>
  <c r="H317" i="3" s="1"/>
  <c r="F309" i="3"/>
  <c r="G309" i="3" s="1"/>
  <c r="H309" i="3" s="1"/>
  <c r="F301" i="3"/>
  <c r="G301" i="3" s="1"/>
  <c r="H301" i="3" s="1"/>
  <c r="F293" i="3"/>
  <c r="G293" i="3" s="1"/>
  <c r="H293" i="3" s="1"/>
  <c r="F285" i="3"/>
  <c r="G285" i="3" s="1"/>
  <c r="H285" i="3" s="1"/>
  <c r="F277" i="3"/>
  <c r="G277" i="3" s="1"/>
  <c r="H277" i="3" s="1"/>
  <c r="F269" i="3"/>
  <c r="G269" i="3" s="1"/>
  <c r="H269" i="3" s="1"/>
  <c r="F260" i="3"/>
  <c r="G260" i="3" s="1"/>
  <c r="H260" i="3" s="1"/>
  <c r="F249" i="3"/>
  <c r="G249" i="3" s="1"/>
  <c r="H249" i="3" s="1"/>
  <c r="F239" i="3"/>
  <c r="G239" i="3" s="1"/>
  <c r="H239" i="3" s="1"/>
  <c r="F225" i="3"/>
  <c r="G225" i="3" s="1"/>
  <c r="H225" i="3" s="1"/>
  <c r="F214" i="3"/>
  <c r="G214" i="3" s="1"/>
  <c r="H214" i="3" s="1"/>
  <c r="F200" i="3"/>
  <c r="G200" i="3" s="1"/>
  <c r="H200" i="3" s="1"/>
  <c r="F189" i="3"/>
  <c r="G189" i="3" s="1"/>
  <c r="H189" i="3" s="1"/>
  <c r="F175" i="3"/>
  <c r="G175" i="3" s="1"/>
  <c r="H175" i="3" s="1"/>
  <c r="F161" i="3"/>
  <c r="G161" i="3" s="1"/>
  <c r="H161" i="3" s="1"/>
  <c r="F150" i="3"/>
  <c r="G150" i="3" s="1"/>
  <c r="H150" i="3" s="1"/>
  <c r="F136" i="3"/>
  <c r="G136" i="3" s="1"/>
  <c r="H136" i="3" s="1"/>
  <c r="F125" i="3"/>
  <c r="G125" i="3" s="1"/>
  <c r="H125" i="3" s="1"/>
  <c r="F111" i="3"/>
  <c r="G111" i="3" s="1"/>
  <c r="H111" i="3" s="1"/>
  <c r="F97" i="3"/>
  <c r="G97" i="3" s="1"/>
  <c r="H97" i="3" s="1"/>
  <c r="F86" i="3"/>
  <c r="G86" i="3" s="1"/>
  <c r="H86" i="3" s="1"/>
  <c r="F72" i="3"/>
  <c r="G72" i="3" s="1"/>
  <c r="H72" i="3" s="1"/>
  <c r="F61" i="3"/>
  <c r="G61" i="3" s="1"/>
  <c r="H61" i="3" s="1"/>
  <c r="F47" i="3"/>
  <c r="G47" i="3" s="1"/>
  <c r="H47" i="3" s="1"/>
  <c r="F33" i="3"/>
  <c r="G33" i="3" s="1"/>
  <c r="H33" i="3" s="1"/>
  <c r="F22" i="3"/>
  <c r="G22" i="3" s="1"/>
  <c r="H22" i="3" s="1"/>
  <c r="F8" i="3"/>
  <c r="G8" i="3" s="1"/>
  <c r="H8" i="3" s="1"/>
  <c r="F335" i="2"/>
  <c r="G335" i="2" s="1"/>
  <c r="H335" i="2" s="1"/>
  <c r="F326" i="2"/>
  <c r="G326" i="2" s="1"/>
  <c r="H326" i="2" s="1"/>
  <c r="F317" i="2"/>
  <c r="G317" i="2" s="1"/>
  <c r="H317" i="2" s="1"/>
  <c r="F308" i="2"/>
  <c r="G308" i="2" s="1"/>
  <c r="H308" i="2" s="1"/>
  <c r="F299" i="2"/>
  <c r="G299" i="2" s="1"/>
  <c r="H299" i="2" s="1"/>
  <c r="F290" i="2"/>
  <c r="G290" i="2" s="1"/>
  <c r="H290" i="2" s="1"/>
  <c r="F281" i="2"/>
  <c r="G281" i="2" s="1"/>
  <c r="H281" i="2" s="1"/>
  <c r="F271" i="2"/>
  <c r="G271" i="2" s="1"/>
  <c r="H271" i="2" s="1"/>
  <c r="F262" i="2"/>
  <c r="G262" i="2" s="1"/>
  <c r="H262" i="2" s="1"/>
  <c r="F253" i="2"/>
  <c r="G253" i="2" s="1"/>
  <c r="H253" i="2" s="1"/>
  <c r="F244" i="2"/>
  <c r="G244" i="2" s="1"/>
  <c r="H244" i="2" s="1"/>
  <c r="F234" i="2"/>
  <c r="G234" i="2" s="1"/>
  <c r="H234" i="2" s="1"/>
  <c r="F223" i="2"/>
  <c r="G223" i="2" s="1"/>
  <c r="H223" i="2" s="1"/>
  <c r="F212" i="2"/>
  <c r="G212" i="2" s="1"/>
  <c r="H212" i="2" s="1"/>
  <c r="F202" i="2"/>
  <c r="G202" i="2" s="1"/>
  <c r="H202" i="2" s="1"/>
  <c r="F191" i="2"/>
  <c r="G191" i="2" s="1"/>
  <c r="H191" i="2" s="1"/>
  <c r="F180" i="2"/>
  <c r="G180" i="2" s="1"/>
  <c r="H180" i="2" s="1"/>
  <c r="F170" i="2"/>
  <c r="G170" i="2" s="1"/>
  <c r="H170" i="2" s="1"/>
  <c r="F159" i="2"/>
  <c r="G159" i="2" s="1"/>
  <c r="H159" i="2" s="1"/>
  <c r="F148" i="2"/>
  <c r="G148" i="2" s="1"/>
  <c r="H148" i="2" s="1"/>
  <c r="F138" i="2"/>
  <c r="G138" i="2" s="1"/>
  <c r="H138" i="2" s="1"/>
  <c r="F127" i="2"/>
  <c r="G127" i="2" s="1"/>
  <c r="H127" i="2" s="1"/>
  <c r="F116" i="2"/>
  <c r="G116" i="2" s="1"/>
  <c r="H116" i="2" s="1"/>
  <c r="F106" i="2"/>
  <c r="G106" i="2" s="1"/>
  <c r="H106" i="2" s="1"/>
  <c r="F95" i="2"/>
  <c r="G95" i="2" s="1"/>
  <c r="H95" i="2" s="1"/>
  <c r="F84" i="2"/>
  <c r="G84" i="2" s="1"/>
  <c r="H84" i="2" s="1"/>
  <c r="F74" i="2"/>
  <c r="G74" i="2" s="1"/>
  <c r="H74" i="2" s="1"/>
  <c r="F63" i="2"/>
  <c r="G63" i="2" s="1"/>
  <c r="H63" i="2" s="1"/>
  <c r="F52" i="2"/>
  <c r="G52" i="2" s="1"/>
  <c r="H52" i="2" s="1"/>
  <c r="F42" i="2"/>
  <c r="G42" i="2" s="1"/>
  <c r="H42" i="2" s="1"/>
  <c r="F31" i="2"/>
  <c r="G31" i="2" s="1"/>
  <c r="H31" i="2" s="1"/>
  <c r="F20" i="2"/>
  <c r="G20" i="2" s="1"/>
  <c r="H20" i="2" s="1"/>
  <c r="F10" i="2"/>
  <c r="G10" i="2" s="1"/>
  <c r="H10" i="2" s="1"/>
  <c r="F334" i="2"/>
  <c r="G334" i="2" s="1"/>
  <c r="H334" i="2" s="1"/>
  <c r="F325" i="2"/>
  <c r="G325" i="2" s="1"/>
  <c r="H325" i="2" s="1"/>
  <c r="F316" i="2"/>
  <c r="G316" i="2" s="1"/>
  <c r="H316" i="2" s="1"/>
  <c r="F307" i="2"/>
  <c r="G307" i="2" s="1"/>
  <c r="H307" i="2" s="1"/>
  <c r="F298" i="2"/>
  <c r="G298" i="2" s="1"/>
  <c r="H298" i="2" s="1"/>
  <c r="F289" i="2"/>
  <c r="G289" i="2" s="1"/>
  <c r="H289" i="2" s="1"/>
  <c r="F279" i="2"/>
  <c r="G279" i="2" s="1"/>
  <c r="H279" i="2" s="1"/>
  <c r="F270" i="2"/>
  <c r="G270" i="2" s="1"/>
  <c r="H270" i="2" s="1"/>
  <c r="F261" i="2"/>
  <c r="G261" i="2" s="1"/>
  <c r="H261" i="2" s="1"/>
  <c r="F252" i="2"/>
  <c r="G252" i="2" s="1"/>
  <c r="H252" i="2" s="1"/>
  <c r="F243" i="2"/>
  <c r="G243" i="2" s="1"/>
  <c r="H243" i="2" s="1"/>
  <c r="F233" i="2"/>
  <c r="G233" i="2" s="1"/>
  <c r="H233" i="2" s="1"/>
  <c r="F221" i="2"/>
  <c r="G221" i="2" s="1"/>
  <c r="H221" i="2" s="1"/>
  <c r="F211" i="2"/>
  <c r="G211" i="2" s="1"/>
  <c r="H211" i="2" s="1"/>
  <c r="F201" i="2"/>
  <c r="G201" i="2" s="1"/>
  <c r="H201" i="2" s="1"/>
  <c r="F189" i="2"/>
  <c r="G189" i="2" s="1"/>
  <c r="H189" i="2" s="1"/>
  <c r="F179" i="2"/>
  <c r="G179" i="2" s="1"/>
  <c r="H179" i="2" s="1"/>
  <c r="F169" i="2"/>
  <c r="G169" i="2" s="1"/>
  <c r="H169" i="2" s="1"/>
  <c r="F157" i="2"/>
  <c r="G157" i="2" s="1"/>
  <c r="H157" i="2" s="1"/>
  <c r="F147" i="2"/>
  <c r="G147" i="2" s="1"/>
  <c r="H147" i="2" s="1"/>
  <c r="F137" i="2"/>
  <c r="G137" i="2" s="1"/>
  <c r="H137" i="2" s="1"/>
  <c r="F125" i="2"/>
  <c r="G125" i="2" s="1"/>
  <c r="H125" i="2" s="1"/>
  <c r="F115" i="2"/>
  <c r="G115" i="2" s="1"/>
  <c r="H115" i="2" s="1"/>
  <c r="F105" i="2"/>
  <c r="G105" i="2" s="1"/>
  <c r="H105" i="2" s="1"/>
  <c r="F93" i="2"/>
  <c r="G93" i="2" s="1"/>
  <c r="H93" i="2" s="1"/>
  <c r="F83" i="2"/>
  <c r="G83" i="2" s="1"/>
  <c r="H83" i="2" s="1"/>
  <c r="F73" i="2"/>
  <c r="G73" i="2" s="1"/>
  <c r="H73" i="2" s="1"/>
  <c r="F61" i="2"/>
  <c r="G61" i="2" s="1"/>
  <c r="H61" i="2" s="1"/>
  <c r="F51" i="2"/>
  <c r="G51" i="2" s="1"/>
  <c r="H51" i="2" s="1"/>
  <c r="F41" i="2"/>
  <c r="G41" i="2" s="1"/>
  <c r="H41" i="2" s="1"/>
  <c r="F29" i="2"/>
  <c r="G29" i="2" s="1"/>
  <c r="H29" i="2" s="1"/>
  <c r="F19" i="2"/>
  <c r="G19" i="2" s="1"/>
  <c r="H19" i="2" s="1"/>
  <c r="D346" i="2"/>
  <c r="F8" i="2"/>
  <c r="G8" i="2" s="1"/>
  <c r="H8" i="2" s="1"/>
  <c r="F16" i="2"/>
  <c r="G16" i="2" s="1"/>
  <c r="H16" i="2" s="1"/>
  <c r="F24" i="2"/>
  <c r="G24" i="2" s="1"/>
  <c r="H24" i="2" s="1"/>
  <c r="F32" i="2"/>
  <c r="G32" i="2" s="1"/>
  <c r="H32" i="2" s="1"/>
  <c r="F40" i="2"/>
  <c r="G40" i="2" s="1"/>
  <c r="H40" i="2" s="1"/>
  <c r="F48" i="2"/>
  <c r="G48" i="2" s="1"/>
  <c r="H48" i="2" s="1"/>
  <c r="F56" i="2"/>
  <c r="G56" i="2" s="1"/>
  <c r="H56" i="2" s="1"/>
  <c r="F64" i="2"/>
  <c r="G64" i="2" s="1"/>
  <c r="H64" i="2" s="1"/>
  <c r="F72" i="2"/>
  <c r="G72" i="2" s="1"/>
  <c r="H72" i="2" s="1"/>
  <c r="F80" i="2"/>
  <c r="G80" i="2" s="1"/>
  <c r="H80" i="2" s="1"/>
  <c r="F88" i="2"/>
  <c r="G88" i="2" s="1"/>
  <c r="H88" i="2" s="1"/>
  <c r="F96" i="2"/>
  <c r="G96" i="2" s="1"/>
  <c r="H96" i="2" s="1"/>
  <c r="F104" i="2"/>
  <c r="G104" i="2" s="1"/>
  <c r="H104" i="2" s="1"/>
  <c r="F112" i="2"/>
  <c r="G112" i="2" s="1"/>
  <c r="H112" i="2" s="1"/>
  <c r="F120" i="2"/>
  <c r="G120" i="2" s="1"/>
  <c r="H120" i="2" s="1"/>
  <c r="F128" i="2"/>
  <c r="G128" i="2" s="1"/>
  <c r="H128" i="2" s="1"/>
  <c r="F136" i="2"/>
  <c r="G136" i="2" s="1"/>
  <c r="H136" i="2" s="1"/>
  <c r="F144" i="2"/>
  <c r="G144" i="2" s="1"/>
  <c r="H144" i="2" s="1"/>
  <c r="F152" i="2"/>
  <c r="G152" i="2" s="1"/>
  <c r="H152" i="2" s="1"/>
  <c r="F160" i="2"/>
  <c r="G160" i="2" s="1"/>
  <c r="H160" i="2" s="1"/>
  <c r="F168" i="2"/>
  <c r="G168" i="2" s="1"/>
  <c r="H168" i="2" s="1"/>
  <c r="F176" i="2"/>
  <c r="G176" i="2" s="1"/>
  <c r="H176" i="2" s="1"/>
  <c r="F184" i="2"/>
  <c r="G184" i="2" s="1"/>
  <c r="H184" i="2" s="1"/>
  <c r="F192" i="2"/>
  <c r="G192" i="2" s="1"/>
  <c r="H192" i="2" s="1"/>
  <c r="F200" i="2"/>
  <c r="G200" i="2" s="1"/>
  <c r="H200" i="2" s="1"/>
  <c r="F208" i="2"/>
  <c r="G208" i="2" s="1"/>
  <c r="H208" i="2" s="1"/>
  <c r="F216" i="2"/>
  <c r="G216" i="2" s="1"/>
  <c r="H216" i="2" s="1"/>
  <c r="F224" i="2"/>
  <c r="G224" i="2" s="1"/>
  <c r="H224" i="2" s="1"/>
  <c r="F232" i="2"/>
  <c r="G232" i="2" s="1"/>
  <c r="H232" i="2" s="1"/>
  <c r="F240" i="2"/>
  <c r="G240" i="2" s="1"/>
  <c r="H240" i="2" s="1"/>
  <c r="F248" i="2"/>
  <c r="G248" i="2" s="1"/>
  <c r="H248" i="2" s="1"/>
  <c r="F256" i="2"/>
  <c r="G256" i="2" s="1"/>
  <c r="H256" i="2" s="1"/>
  <c r="F264" i="2"/>
  <c r="G264" i="2" s="1"/>
  <c r="H264" i="2" s="1"/>
  <c r="F272" i="2"/>
  <c r="G272" i="2" s="1"/>
  <c r="H272" i="2" s="1"/>
  <c r="F280" i="2"/>
  <c r="G280" i="2" s="1"/>
  <c r="H280" i="2" s="1"/>
  <c r="F288" i="2"/>
  <c r="G288" i="2" s="1"/>
  <c r="H288" i="2" s="1"/>
  <c r="F296" i="2"/>
  <c r="G296" i="2" s="1"/>
  <c r="H296" i="2" s="1"/>
  <c r="F304" i="2"/>
  <c r="G304" i="2" s="1"/>
  <c r="H304" i="2" s="1"/>
  <c r="F312" i="2"/>
  <c r="G312" i="2" s="1"/>
  <c r="H312" i="2" s="1"/>
  <c r="F320" i="2"/>
  <c r="G320" i="2" s="1"/>
  <c r="H320" i="2" s="1"/>
  <c r="F328" i="2"/>
  <c r="G328" i="2" s="1"/>
  <c r="H328" i="2" s="1"/>
  <c r="F336" i="2"/>
  <c r="G336" i="2" s="1"/>
  <c r="H336" i="2" s="1"/>
  <c r="F6" i="2"/>
  <c r="G6" i="2" s="1"/>
  <c r="H6" i="2" s="1"/>
  <c r="F14" i="2"/>
  <c r="G14" i="2" s="1"/>
  <c r="H14" i="2" s="1"/>
  <c r="F22" i="2"/>
  <c r="G22" i="2" s="1"/>
  <c r="H22" i="2" s="1"/>
  <c r="F30" i="2"/>
  <c r="G30" i="2" s="1"/>
  <c r="H30" i="2" s="1"/>
  <c r="F38" i="2"/>
  <c r="G38" i="2" s="1"/>
  <c r="H38" i="2" s="1"/>
  <c r="F46" i="2"/>
  <c r="G46" i="2" s="1"/>
  <c r="H46" i="2" s="1"/>
  <c r="F54" i="2"/>
  <c r="G54" i="2" s="1"/>
  <c r="H54" i="2" s="1"/>
  <c r="F62" i="2"/>
  <c r="G62" i="2" s="1"/>
  <c r="H62" i="2" s="1"/>
  <c r="F70" i="2"/>
  <c r="G70" i="2" s="1"/>
  <c r="H70" i="2" s="1"/>
  <c r="F78" i="2"/>
  <c r="G78" i="2" s="1"/>
  <c r="H78" i="2" s="1"/>
  <c r="F86" i="2"/>
  <c r="G86" i="2" s="1"/>
  <c r="H86" i="2" s="1"/>
  <c r="F94" i="2"/>
  <c r="G94" i="2" s="1"/>
  <c r="H94" i="2" s="1"/>
  <c r="F102" i="2"/>
  <c r="G102" i="2" s="1"/>
  <c r="H102" i="2" s="1"/>
  <c r="F110" i="2"/>
  <c r="G110" i="2" s="1"/>
  <c r="H110" i="2" s="1"/>
  <c r="F118" i="2"/>
  <c r="G118" i="2" s="1"/>
  <c r="H118" i="2" s="1"/>
  <c r="F126" i="2"/>
  <c r="G126" i="2" s="1"/>
  <c r="H126" i="2" s="1"/>
  <c r="F134" i="2"/>
  <c r="G134" i="2" s="1"/>
  <c r="H134" i="2" s="1"/>
  <c r="F142" i="2"/>
  <c r="G142" i="2" s="1"/>
  <c r="H142" i="2" s="1"/>
  <c r="F150" i="2"/>
  <c r="G150" i="2" s="1"/>
  <c r="H150" i="2" s="1"/>
  <c r="F158" i="2"/>
  <c r="G158" i="2" s="1"/>
  <c r="H158" i="2" s="1"/>
  <c r="F166" i="2"/>
  <c r="G166" i="2" s="1"/>
  <c r="H166" i="2" s="1"/>
  <c r="F174" i="2"/>
  <c r="G174" i="2" s="1"/>
  <c r="H174" i="2" s="1"/>
  <c r="F182" i="2"/>
  <c r="G182" i="2" s="1"/>
  <c r="H182" i="2" s="1"/>
  <c r="F190" i="2"/>
  <c r="G190" i="2" s="1"/>
  <c r="H190" i="2" s="1"/>
  <c r="F198" i="2"/>
  <c r="G198" i="2" s="1"/>
  <c r="H198" i="2" s="1"/>
  <c r="F206" i="2"/>
  <c r="G206" i="2" s="1"/>
  <c r="H206" i="2" s="1"/>
  <c r="F214" i="2"/>
  <c r="G214" i="2" s="1"/>
  <c r="H214" i="2" s="1"/>
  <c r="F222" i="2"/>
  <c r="G222" i="2" s="1"/>
  <c r="H222" i="2" s="1"/>
  <c r="F230" i="2"/>
  <c r="G230" i="2" s="1"/>
  <c r="H230" i="2" s="1"/>
  <c r="F238" i="2"/>
  <c r="G238" i="2" s="1"/>
  <c r="H238" i="2" s="1"/>
  <c r="F333" i="2"/>
  <c r="G333" i="2" s="1"/>
  <c r="H333" i="2" s="1"/>
  <c r="F324" i="2"/>
  <c r="G324" i="2" s="1"/>
  <c r="H324" i="2" s="1"/>
  <c r="F315" i="2"/>
  <c r="G315" i="2" s="1"/>
  <c r="H315" i="2" s="1"/>
  <c r="F306" i="2"/>
  <c r="G306" i="2" s="1"/>
  <c r="H306" i="2" s="1"/>
  <c r="F297" i="2"/>
  <c r="G297" i="2" s="1"/>
  <c r="H297" i="2" s="1"/>
  <c r="F287" i="2"/>
  <c r="G287" i="2" s="1"/>
  <c r="H287" i="2" s="1"/>
  <c r="F278" i="2"/>
  <c r="G278" i="2" s="1"/>
  <c r="H278" i="2" s="1"/>
  <c r="F269" i="2"/>
  <c r="G269" i="2" s="1"/>
  <c r="H269" i="2" s="1"/>
  <c r="F260" i="2"/>
  <c r="G260" i="2" s="1"/>
  <c r="H260" i="2" s="1"/>
  <c r="F251" i="2"/>
  <c r="G251" i="2" s="1"/>
  <c r="H251" i="2" s="1"/>
  <c r="F242" i="2"/>
  <c r="G242" i="2" s="1"/>
  <c r="H242" i="2" s="1"/>
  <c r="F231" i="2"/>
  <c r="G231" i="2" s="1"/>
  <c r="H231" i="2" s="1"/>
  <c r="F220" i="2"/>
  <c r="G220" i="2" s="1"/>
  <c r="H220" i="2" s="1"/>
  <c r="F210" i="2"/>
  <c r="G210" i="2" s="1"/>
  <c r="H210" i="2" s="1"/>
  <c r="F199" i="2"/>
  <c r="G199" i="2" s="1"/>
  <c r="H199" i="2" s="1"/>
  <c r="F188" i="2"/>
  <c r="G188" i="2" s="1"/>
  <c r="H188" i="2" s="1"/>
  <c r="F178" i="2"/>
  <c r="G178" i="2" s="1"/>
  <c r="H178" i="2" s="1"/>
  <c r="F167" i="2"/>
  <c r="G167" i="2" s="1"/>
  <c r="H167" i="2" s="1"/>
  <c r="F156" i="2"/>
  <c r="G156" i="2" s="1"/>
  <c r="H156" i="2" s="1"/>
  <c r="F146" i="2"/>
  <c r="G146" i="2" s="1"/>
  <c r="H146" i="2" s="1"/>
  <c r="F135" i="2"/>
  <c r="G135" i="2" s="1"/>
  <c r="H135" i="2" s="1"/>
  <c r="F124" i="2"/>
  <c r="G124" i="2" s="1"/>
  <c r="H124" i="2" s="1"/>
  <c r="F114" i="2"/>
  <c r="G114" i="2" s="1"/>
  <c r="H114" i="2" s="1"/>
  <c r="F103" i="2"/>
  <c r="G103" i="2" s="1"/>
  <c r="H103" i="2" s="1"/>
  <c r="F92" i="2"/>
  <c r="G92" i="2" s="1"/>
  <c r="H92" i="2" s="1"/>
  <c r="F82" i="2"/>
  <c r="G82" i="2" s="1"/>
  <c r="H82" i="2" s="1"/>
  <c r="F71" i="2"/>
  <c r="G71" i="2" s="1"/>
  <c r="H71" i="2" s="1"/>
  <c r="F60" i="2"/>
  <c r="G60" i="2" s="1"/>
  <c r="H60" i="2" s="1"/>
  <c r="F50" i="2"/>
  <c r="G50" i="2" s="1"/>
  <c r="H50" i="2" s="1"/>
  <c r="F39" i="2"/>
  <c r="G39" i="2" s="1"/>
  <c r="H39" i="2" s="1"/>
  <c r="F28" i="2"/>
  <c r="G28" i="2" s="1"/>
  <c r="H28" i="2" s="1"/>
  <c r="F18" i="2"/>
  <c r="G18" i="2" s="1"/>
  <c r="H18" i="2" s="1"/>
  <c r="F7" i="2"/>
  <c r="G7" i="2" s="1"/>
  <c r="H7" i="2" s="1"/>
  <c r="F332" i="2"/>
  <c r="G332" i="2" s="1"/>
  <c r="H332" i="2" s="1"/>
  <c r="F323" i="2"/>
  <c r="G323" i="2" s="1"/>
  <c r="H323" i="2" s="1"/>
  <c r="F314" i="2"/>
  <c r="G314" i="2" s="1"/>
  <c r="H314" i="2" s="1"/>
  <c r="F305" i="2"/>
  <c r="G305" i="2" s="1"/>
  <c r="H305" i="2" s="1"/>
  <c r="F295" i="2"/>
  <c r="G295" i="2" s="1"/>
  <c r="H295" i="2" s="1"/>
  <c r="F286" i="2"/>
  <c r="G286" i="2" s="1"/>
  <c r="H286" i="2" s="1"/>
  <c r="F277" i="2"/>
  <c r="G277" i="2" s="1"/>
  <c r="H277" i="2" s="1"/>
  <c r="F268" i="2"/>
  <c r="G268" i="2" s="1"/>
  <c r="H268" i="2" s="1"/>
  <c r="F259" i="2"/>
  <c r="G259" i="2" s="1"/>
  <c r="H259" i="2" s="1"/>
  <c r="F250" i="2"/>
  <c r="G250" i="2" s="1"/>
  <c r="H250" i="2" s="1"/>
  <c r="F241" i="2"/>
  <c r="G241" i="2" s="1"/>
  <c r="H241" i="2" s="1"/>
  <c r="F229" i="2"/>
  <c r="G229" i="2" s="1"/>
  <c r="H229" i="2" s="1"/>
  <c r="F219" i="2"/>
  <c r="G219" i="2" s="1"/>
  <c r="H219" i="2" s="1"/>
  <c r="F209" i="2"/>
  <c r="G209" i="2" s="1"/>
  <c r="H209" i="2" s="1"/>
  <c r="F197" i="2"/>
  <c r="G197" i="2" s="1"/>
  <c r="H197" i="2" s="1"/>
  <c r="F187" i="2"/>
  <c r="G187" i="2" s="1"/>
  <c r="H187" i="2" s="1"/>
  <c r="F177" i="2"/>
  <c r="G177" i="2" s="1"/>
  <c r="H177" i="2" s="1"/>
  <c r="F165" i="2"/>
  <c r="G165" i="2" s="1"/>
  <c r="H165" i="2" s="1"/>
  <c r="F155" i="2"/>
  <c r="G155" i="2" s="1"/>
  <c r="H155" i="2" s="1"/>
  <c r="F145" i="2"/>
  <c r="G145" i="2" s="1"/>
  <c r="H145" i="2" s="1"/>
  <c r="F133" i="2"/>
  <c r="G133" i="2" s="1"/>
  <c r="H133" i="2" s="1"/>
  <c r="F123" i="2"/>
  <c r="G123" i="2" s="1"/>
  <c r="H123" i="2" s="1"/>
  <c r="F113" i="2"/>
  <c r="G113" i="2" s="1"/>
  <c r="H113" i="2" s="1"/>
  <c r="F101" i="2"/>
  <c r="G101" i="2" s="1"/>
  <c r="H101" i="2" s="1"/>
  <c r="F91" i="2"/>
  <c r="G91" i="2" s="1"/>
  <c r="H91" i="2" s="1"/>
  <c r="F81" i="2"/>
  <c r="G81" i="2" s="1"/>
  <c r="H81" i="2" s="1"/>
  <c r="F69" i="2"/>
  <c r="G69" i="2" s="1"/>
  <c r="H69" i="2" s="1"/>
  <c r="F59" i="2"/>
  <c r="G59" i="2" s="1"/>
  <c r="H59" i="2" s="1"/>
  <c r="F49" i="2"/>
  <c r="G49" i="2" s="1"/>
  <c r="H49" i="2" s="1"/>
  <c r="F37" i="2"/>
  <c r="G37" i="2" s="1"/>
  <c r="H37" i="2" s="1"/>
  <c r="F27" i="2"/>
  <c r="G27" i="2" s="1"/>
  <c r="H27" i="2" s="1"/>
  <c r="F17" i="2"/>
  <c r="G17" i="2" s="1"/>
  <c r="H17" i="2" s="1"/>
  <c r="F5" i="2"/>
  <c r="G5" i="2" s="1"/>
  <c r="H5" i="2" s="1"/>
  <c r="F331" i="2"/>
  <c r="G331" i="2" s="1"/>
  <c r="H331" i="2" s="1"/>
  <c r="F322" i="2"/>
  <c r="G322" i="2" s="1"/>
  <c r="H322" i="2" s="1"/>
  <c r="F313" i="2"/>
  <c r="G313" i="2" s="1"/>
  <c r="H313" i="2" s="1"/>
  <c r="F303" i="2"/>
  <c r="G303" i="2" s="1"/>
  <c r="H303" i="2" s="1"/>
  <c r="F294" i="2"/>
  <c r="G294" i="2" s="1"/>
  <c r="H294" i="2" s="1"/>
  <c r="F285" i="2"/>
  <c r="G285" i="2" s="1"/>
  <c r="H285" i="2" s="1"/>
  <c r="F276" i="2"/>
  <c r="G276" i="2" s="1"/>
  <c r="H276" i="2" s="1"/>
  <c r="F267" i="2"/>
  <c r="G267" i="2" s="1"/>
  <c r="H267" i="2" s="1"/>
  <c r="F258" i="2"/>
  <c r="G258" i="2" s="1"/>
  <c r="H258" i="2" s="1"/>
  <c r="F249" i="2"/>
  <c r="G249" i="2" s="1"/>
  <c r="H249" i="2" s="1"/>
  <c r="F239" i="2"/>
  <c r="G239" i="2" s="1"/>
  <c r="H239" i="2" s="1"/>
  <c r="F228" i="2"/>
  <c r="G228" i="2" s="1"/>
  <c r="H228" i="2" s="1"/>
  <c r="F218" i="2"/>
  <c r="G218" i="2" s="1"/>
  <c r="H218" i="2" s="1"/>
  <c r="F207" i="2"/>
  <c r="G207" i="2" s="1"/>
  <c r="H207" i="2" s="1"/>
  <c r="F196" i="2"/>
  <c r="G196" i="2" s="1"/>
  <c r="H196" i="2" s="1"/>
  <c r="F186" i="2"/>
  <c r="G186" i="2" s="1"/>
  <c r="H186" i="2" s="1"/>
  <c r="F175" i="2"/>
  <c r="G175" i="2" s="1"/>
  <c r="H175" i="2" s="1"/>
  <c r="F164" i="2"/>
  <c r="G164" i="2" s="1"/>
  <c r="H164" i="2" s="1"/>
  <c r="F154" i="2"/>
  <c r="G154" i="2" s="1"/>
  <c r="H154" i="2" s="1"/>
  <c r="F143" i="2"/>
  <c r="G143" i="2" s="1"/>
  <c r="H143" i="2" s="1"/>
  <c r="F132" i="2"/>
  <c r="G132" i="2" s="1"/>
  <c r="H132" i="2" s="1"/>
  <c r="F122" i="2"/>
  <c r="G122" i="2" s="1"/>
  <c r="H122" i="2" s="1"/>
  <c r="F111" i="2"/>
  <c r="G111" i="2" s="1"/>
  <c r="H111" i="2" s="1"/>
  <c r="F100" i="2"/>
  <c r="G100" i="2" s="1"/>
  <c r="H100" i="2" s="1"/>
  <c r="F90" i="2"/>
  <c r="G90" i="2" s="1"/>
  <c r="H90" i="2" s="1"/>
  <c r="F79" i="2"/>
  <c r="G79" i="2" s="1"/>
  <c r="H79" i="2" s="1"/>
  <c r="F68" i="2"/>
  <c r="G68" i="2" s="1"/>
  <c r="H68" i="2" s="1"/>
  <c r="F58" i="2"/>
  <c r="G58" i="2" s="1"/>
  <c r="H58" i="2" s="1"/>
  <c r="F47" i="2"/>
  <c r="G47" i="2" s="1"/>
  <c r="H47" i="2" s="1"/>
  <c r="F36" i="2"/>
  <c r="G36" i="2" s="1"/>
  <c r="H36" i="2" s="1"/>
  <c r="F26" i="2"/>
  <c r="G26" i="2" s="1"/>
  <c r="H26" i="2" s="1"/>
  <c r="F15" i="2"/>
  <c r="G15" i="2" s="1"/>
  <c r="H15" i="2" s="1"/>
  <c r="F4" i="2"/>
  <c r="G4" i="2" s="1"/>
  <c r="H4" i="2" s="1"/>
  <c r="F2" i="2"/>
  <c r="G2" i="2" s="1"/>
  <c r="H2" i="2" s="1"/>
  <c r="F330" i="2"/>
  <c r="G330" i="2" s="1"/>
  <c r="H330" i="2" s="1"/>
  <c r="F321" i="2"/>
  <c r="G321" i="2" s="1"/>
  <c r="H321" i="2" s="1"/>
  <c r="F311" i="2"/>
  <c r="G311" i="2" s="1"/>
  <c r="H311" i="2" s="1"/>
  <c r="F302" i="2"/>
  <c r="G302" i="2" s="1"/>
  <c r="H302" i="2" s="1"/>
  <c r="F293" i="2"/>
  <c r="G293" i="2" s="1"/>
  <c r="H293" i="2" s="1"/>
  <c r="F284" i="2"/>
  <c r="G284" i="2" s="1"/>
  <c r="H284" i="2" s="1"/>
  <c r="F275" i="2"/>
  <c r="G275" i="2" s="1"/>
  <c r="H275" i="2" s="1"/>
  <c r="F266" i="2"/>
  <c r="G266" i="2" s="1"/>
  <c r="H266" i="2" s="1"/>
  <c r="F257" i="2"/>
  <c r="G257" i="2" s="1"/>
  <c r="H257" i="2" s="1"/>
  <c r="F247" i="2"/>
  <c r="G247" i="2" s="1"/>
  <c r="H247" i="2" s="1"/>
  <c r="F237" i="2"/>
  <c r="G237" i="2" s="1"/>
  <c r="H237" i="2" s="1"/>
  <c r="F227" i="2"/>
  <c r="G227" i="2" s="1"/>
  <c r="H227" i="2" s="1"/>
  <c r="F217" i="2"/>
  <c r="G217" i="2" s="1"/>
  <c r="H217" i="2" s="1"/>
  <c r="F205" i="2"/>
  <c r="G205" i="2" s="1"/>
  <c r="H205" i="2" s="1"/>
  <c r="F195" i="2"/>
  <c r="G195" i="2" s="1"/>
  <c r="H195" i="2" s="1"/>
  <c r="F185" i="2"/>
  <c r="G185" i="2" s="1"/>
  <c r="H185" i="2" s="1"/>
  <c r="F173" i="2"/>
  <c r="G173" i="2" s="1"/>
  <c r="H173" i="2" s="1"/>
  <c r="F163" i="2"/>
  <c r="G163" i="2" s="1"/>
  <c r="H163" i="2" s="1"/>
  <c r="F153" i="2"/>
  <c r="G153" i="2" s="1"/>
  <c r="H153" i="2" s="1"/>
  <c r="F141" i="2"/>
  <c r="G141" i="2" s="1"/>
  <c r="H141" i="2" s="1"/>
  <c r="F131" i="2"/>
  <c r="G131" i="2" s="1"/>
  <c r="H131" i="2" s="1"/>
  <c r="F121" i="2"/>
  <c r="G121" i="2" s="1"/>
  <c r="H121" i="2" s="1"/>
  <c r="F109" i="2"/>
  <c r="G109" i="2" s="1"/>
  <c r="H109" i="2" s="1"/>
  <c r="F99" i="2"/>
  <c r="G99" i="2" s="1"/>
  <c r="H99" i="2" s="1"/>
  <c r="F89" i="2"/>
  <c r="G89" i="2" s="1"/>
  <c r="H89" i="2" s="1"/>
  <c r="F77" i="2"/>
  <c r="G77" i="2" s="1"/>
  <c r="H77" i="2" s="1"/>
  <c r="F67" i="2"/>
  <c r="G67" i="2" s="1"/>
  <c r="H67" i="2" s="1"/>
  <c r="F57" i="2"/>
  <c r="G57" i="2" s="1"/>
  <c r="H57" i="2" s="1"/>
  <c r="F45" i="2"/>
  <c r="G45" i="2" s="1"/>
  <c r="H45" i="2" s="1"/>
  <c r="F35" i="2"/>
  <c r="G35" i="2" s="1"/>
  <c r="H35" i="2" s="1"/>
  <c r="F25" i="2"/>
  <c r="G25" i="2" s="1"/>
  <c r="H25" i="2" s="1"/>
  <c r="F13" i="2"/>
  <c r="G13" i="2" s="1"/>
  <c r="H13" i="2" s="1"/>
  <c r="F3" i="2"/>
  <c r="G3" i="2" s="1"/>
  <c r="H3" i="2" s="1"/>
  <c r="F338" i="2"/>
  <c r="G338" i="2" s="1"/>
  <c r="H338" i="2" s="1"/>
  <c r="F329" i="2"/>
  <c r="G329" i="2" s="1"/>
  <c r="H329" i="2" s="1"/>
  <c r="F319" i="2"/>
  <c r="G319" i="2" s="1"/>
  <c r="H319" i="2" s="1"/>
  <c r="F310" i="2"/>
  <c r="G310" i="2" s="1"/>
  <c r="H310" i="2" s="1"/>
  <c r="F301" i="2"/>
  <c r="G301" i="2" s="1"/>
  <c r="H301" i="2" s="1"/>
  <c r="F292" i="2"/>
  <c r="G292" i="2" s="1"/>
  <c r="H292" i="2" s="1"/>
  <c r="F283" i="2"/>
  <c r="G283" i="2" s="1"/>
  <c r="H283" i="2" s="1"/>
  <c r="F274" i="2"/>
  <c r="G274" i="2" s="1"/>
  <c r="H274" i="2" s="1"/>
  <c r="F265" i="2"/>
  <c r="G265" i="2" s="1"/>
  <c r="H265" i="2" s="1"/>
  <c r="F255" i="2"/>
  <c r="G255" i="2" s="1"/>
  <c r="H255" i="2" s="1"/>
  <c r="F246" i="2"/>
  <c r="G246" i="2" s="1"/>
  <c r="H246" i="2" s="1"/>
  <c r="F236" i="2"/>
  <c r="G236" i="2" s="1"/>
  <c r="H236" i="2" s="1"/>
  <c r="F226" i="2"/>
  <c r="G226" i="2" s="1"/>
  <c r="H226" i="2" s="1"/>
  <c r="F215" i="2"/>
  <c r="G215" i="2" s="1"/>
  <c r="H215" i="2" s="1"/>
  <c r="F204" i="2"/>
  <c r="G204" i="2" s="1"/>
  <c r="H204" i="2" s="1"/>
  <c r="F194" i="2"/>
  <c r="G194" i="2" s="1"/>
  <c r="H194" i="2" s="1"/>
  <c r="F183" i="2"/>
  <c r="G183" i="2" s="1"/>
  <c r="H183" i="2" s="1"/>
  <c r="F172" i="2"/>
  <c r="G172" i="2" s="1"/>
  <c r="H172" i="2" s="1"/>
  <c r="F162" i="2"/>
  <c r="G162" i="2" s="1"/>
  <c r="H162" i="2" s="1"/>
  <c r="F151" i="2"/>
  <c r="G151" i="2" s="1"/>
  <c r="H151" i="2" s="1"/>
  <c r="F140" i="2"/>
  <c r="G140" i="2" s="1"/>
  <c r="H140" i="2" s="1"/>
  <c r="F130" i="2"/>
  <c r="G130" i="2" s="1"/>
  <c r="H130" i="2" s="1"/>
  <c r="F119" i="2"/>
  <c r="G119" i="2" s="1"/>
  <c r="H119" i="2" s="1"/>
  <c r="F108" i="2"/>
  <c r="G108" i="2" s="1"/>
  <c r="H108" i="2" s="1"/>
  <c r="F98" i="2"/>
  <c r="G98" i="2" s="1"/>
  <c r="H98" i="2" s="1"/>
  <c r="F87" i="2"/>
  <c r="G87" i="2" s="1"/>
  <c r="H87" i="2" s="1"/>
  <c r="F76" i="2"/>
  <c r="G76" i="2" s="1"/>
  <c r="H76" i="2" s="1"/>
  <c r="F66" i="2"/>
  <c r="G66" i="2" s="1"/>
  <c r="H66" i="2" s="1"/>
  <c r="F55" i="2"/>
  <c r="G55" i="2" s="1"/>
  <c r="H55" i="2" s="1"/>
  <c r="F44" i="2"/>
  <c r="G44" i="2" s="1"/>
  <c r="H44" i="2" s="1"/>
  <c r="F34" i="2"/>
  <c r="G34" i="2" s="1"/>
  <c r="H34" i="2" s="1"/>
  <c r="F23" i="2"/>
  <c r="G23" i="2" s="1"/>
  <c r="H23" i="2" s="1"/>
  <c r="F12" i="2"/>
  <c r="G12" i="2" s="1"/>
  <c r="H12" i="2" s="1"/>
  <c r="F337" i="2"/>
  <c r="G337" i="2" s="1"/>
  <c r="H337" i="2" s="1"/>
  <c r="F327" i="2"/>
  <c r="G327" i="2" s="1"/>
  <c r="H327" i="2" s="1"/>
  <c r="F318" i="2"/>
  <c r="G318" i="2" s="1"/>
  <c r="H318" i="2" s="1"/>
  <c r="F309" i="2"/>
  <c r="G309" i="2" s="1"/>
  <c r="H309" i="2" s="1"/>
  <c r="F300" i="2"/>
  <c r="G300" i="2" s="1"/>
  <c r="H300" i="2" s="1"/>
  <c r="F291" i="2"/>
  <c r="G291" i="2" s="1"/>
  <c r="H291" i="2" s="1"/>
  <c r="F282" i="2"/>
  <c r="G282" i="2" s="1"/>
  <c r="H282" i="2" s="1"/>
  <c r="F273" i="2"/>
  <c r="G273" i="2" s="1"/>
  <c r="H273" i="2" s="1"/>
  <c r="F263" i="2"/>
  <c r="G263" i="2" s="1"/>
  <c r="H263" i="2" s="1"/>
  <c r="F254" i="2"/>
  <c r="G254" i="2" s="1"/>
  <c r="H254" i="2" s="1"/>
  <c r="F245" i="2"/>
  <c r="G245" i="2" s="1"/>
  <c r="H245" i="2" s="1"/>
  <c r="F235" i="2"/>
  <c r="G235" i="2" s="1"/>
  <c r="H235" i="2" s="1"/>
  <c r="F225" i="2"/>
  <c r="G225" i="2" s="1"/>
  <c r="H225" i="2" s="1"/>
  <c r="F213" i="2"/>
  <c r="G213" i="2" s="1"/>
  <c r="H213" i="2" s="1"/>
  <c r="F203" i="2"/>
  <c r="G203" i="2" s="1"/>
  <c r="H203" i="2" s="1"/>
  <c r="F193" i="2"/>
  <c r="G193" i="2" s="1"/>
  <c r="H193" i="2" s="1"/>
  <c r="F181" i="2"/>
  <c r="G181" i="2" s="1"/>
  <c r="H181" i="2" s="1"/>
  <c r="F171" i="2"/>
  <c r="G171" i="2" s="1"/>
  <c r="H171" i="2" s="1"/>
  <c r="F161" i="2"/>
  <c r="G161" i="2" s="1"/>
  <c r="H161" i="2" s="1"/>
  <c r="F149" i="2"/>
  <c r="G149" i="2" s="1"/>
  <c r="H149" i="2" s="1"/>
  <c r="F139" i="2"/>
  <c r="G139" i="2" s="1"/>
  <c r="H139" i="2" s="1"/>
  <c r="F129" i="2"/>
  <c r="G129" i="2" s="1"/>
  <c r="H129" i="2" s="1"/>
  <c r="F117" i="2"/>
  <c r="G117" i="2" s="1"/>
  <c r="H117" i="2" s="1"/>
  <c r="F107" i="2"/>
  <c r="G107" i="2" s="1"/>
  <c r="H107" i="2" s="1"/>
  <c r="F97" i="2"/>
  <c r="G97" i="2" s="1"/>
  <c r="H97" i="2" s="1"/>
  <c r="F85" i="2"/>
  <c r="G85" i="2" s="1"/>
  <c r="H85" i="2" s="1"/>
  <c r="F75" i="2"/>
  <c r="G75" i="2" s="1"/>
  <c r="H75" i="2" s="1"/>
  <c r="F65" i="2"/>
  <c r="G65" i="2" s="1"/>
  <c r="H65" i="2" s="1"/>
  <c r="F53" i="2"/>
  <c r="G53" i="2" s="1"/>
  <c r="H53" i="2" s="1"/>
  <c r="F43" i="2"/>
  <c r="G43" i="2" s="1"/>
  <c r="H43" i="2" s="1"/>
  <c r="F33" i="2"/>
  <c r="G33" i="2" s="1"/>
  <c r="H33" i="2" s="1"/>
  <c r="F21" i="2"/>
  <c r="G21" i="2" s="1"/>
  <c r="H21" i="2" s="1"/>
  <c r="F11" i="2"/>
  <c r="G11" i="2" s="1"/>
  <c r="H11" i="2" s="1"/>
  <c r="F340" i="9"/>
  <c r="G300" i="9" s="1"/>
  <c r="H300" i="9" s="1"/>
  <c r="J300" i="9" l="1"/>
  <c r="I300" i="9"/>
  <c r="G38" i="9"/>
  <c r="H38" i="9" s="1"/>
  <c r="G102" i="9"/>
  <c r="H102" i="9" s="1"/>
  <c r="G166" i="9"/>
  <c r="H166" i="9" s="1"/>
  <c r="G230" i="9"/>
  <c r="H230" i="9" s="1"/>
  <c r="G294" i="9"/>
  <c r="H294" i="9" s="1"/>
  <c r="G23" i="9"/>
  <c r="H23" i="9" s="1"/>
  <c r="G87" i="9"/>
  <c r="H87" i="9" s="1"/>
  <c r="G151" i="9"/>
  <c r="H151" i="9" s="1"/>
  <c r="G215" i="9"/>
  <c r="H215" i="9" s="1"/>
  <c r="G279" i="9"/>
  <c r="H279" i="9" s="1"/>
  <c r="G8" i="9"/>
  <c r="H8" i="9" s="1"/>
  <c r="G72" i="9"/>
  <c r="H72" i="9" s="1"/>
  <c r="G136" i="9"/>
  <c r="H136" i="9" s="1"/>
  <c r="G200" i="9"/>
  <c r="H200" i="9" s="1"/>
  <c r="G264" i="9"/>
  <c r="H264" i="9" s="1"/>
  <c r="G317" i="9"/>
  <c r="H317" i="9" s="1"/>
  <c r="G17" i="9"/>
  <c r="H17" i="9" s="1"/>
  <c r="G81" i="9"/>
  <c r="H81" i="9" s="1"/>
  <c r="G145" i="9"/>
  <c r="H145" i="9" s="1"/>
  <c r="G217" i="9"/>
  <c r="H217" i="9" s="1"/>
  <c r="G297" i="9"/>
  <c r="H297" i="9" s="1"/>
  <c r="G50" i="9"/>
  <c r="H50" i="9" s="1"/>
  <c r="G114" i="9"/>
  <c r="H114" i="9" s="1"/>
  <c r="G178" i="9"/>
  <c r="H178" i="9" s="1"/>
  <c r="G242" i="9"/>
  <c r="H242" i="9" s="1"/>
  <c r="G322" i="9"/>
  <c r="H322" i="9" s="1"/>
  <c r="G51" i="9"/>
  <c r="H51" i="9" s="1"/>
  <c r="G115" i="9"/>
  <c r="H115" i="9" s="1"/>
  <c r="G179" i="9"/>
  <c r="H179" i="9" s="1"/>
  <c r="G243" i="9"/>
  <c r="H243" i="9" s="1"/>
  <c r="G307" i="9"/>
  <c r="H307" i="9" s="1"/>
  <c r="G28" i="9"/>
  <c r="H28" i="9" s="1"/>
  <c r="G92" i="9"/>
  <c r="H92" i="9" s="1"/>
  <c r="G156" i="9"/>
  <c r="H156" i="9" s="1"/>
  <c r="G220" i="9"/>
  <c r="H220" i="9" s="1"/>
  <c r="G284" i="9"/>
  <c r="H284" i="9" s="1"/>
  <c r="G46" i="9"/>
  <c r="H46" i="9" s="1"/>
  <c r="G110" i="9"/>
  <c r="H110" i="9" s="1"/>
  <c r="G174" i="9"/>
  <c r="H174" i="9" s="1"/>
  <c r="G238" i="9"/>
  <c r="H238" i="9" s="1"/>
  <c r="G302" i="9"/>
  <c r="H302" i="9" s="1"/>
  <c r="G31" i="9"/>
  <c r="H31" i="9" s="1"/>
  <c r="G95" i="9"/>
  <c r="H95" i="9" s="1"/>
  <c r="G159" i="9"/>
  <c r="H159" i="9" s="1"/>
  <c r="G223" i="9"/>
  <c r="H223" i="9" s="1"/>
  <c r="G287" i="9"/>
  <c r="H287" i="9" s="1"/>
  <c r="G16" i="9"/>
  <c r="H16" i="9" s="1"/>
  <c r="G80" i="9"/>
  <c r="H80" i="9" s="1"/>
  <c r="G144" i="9"/>
  <c r="H144" i="9" s="1"/>
  <c r="G208" i="9"/>
  <c r="H208" i="9" s="1"/>
  <c r="G272" i="9"/>
  <c r="H272" i="9" s="1"/>
  <c r="G333" i="9"/>
  <c r="H333" i="9" s="1"/>
  <c r="G25" i="9"/>
  <c r="H25" i="9" s="1"/>
  <c r="G89" i="9"/>
  <c r="H89" i="9" s="1"/>
  <c r="G153" i="9"/>
  <c r="H153" i="9" s="1"/>
  <c r="G225" i="9"/>
  <c r="H225" i="9" s="1"/>
  <c r="G305" i="9"/>
  <c r="H305" i="9" s="1"/>
  <c r="G58" i="9"/>
  <c r="H58" i="9" s="1"/>
  <c r="G122" i="9"/>
  <c r="H122" i="9" s="1"/>
  <c r="G186" i="9"/>
  <c r="H186" i="9" s="1"/>
  <c r="G250" i="9"/>
  <c r="H250" i="9" s="1"/>
  <c r="G330" i="9"/>
  <c r="H330" i="9" s="1"/>
  <c r="G59" i="9"/>
  <c r="H59" i="9" s="1"/>
  <c r="G123" i="9"/>
  <c r="H123" i="9" s="1"/>
  <c r="G187" i="9"/>
  <c r="H187" i="9" s="1"/>
  <c r="G251" i="9"/>
  <c r="H251" i="9" s="1"/>
  <c r="G315" i="9"/>
  <c r="H315" i="9" s="1"/>
  <c r="G36" i="9"/>
  <c r="H36" i="9" s="1"/>
  <c r="G100" i="9"/>
  <c r="H100" i="9" s="1"/>
  <c r="G164" i="9"/>
  <c r="H164" i="9" s="1"/>
  <c r="G228" i="9"/>
  <c r="H228" i="9" s="1"/>
  <c r="G292" i="9"/>
  <c r="H292" i="9" s="1"/>
  <c r="G54" i="9"/>
  <c r="H54" i="9" s="1"/>
  <c r="G118" i="9"/>
  <c r="H118" i="9" s="1"/>
  <c r="G182" i="9"/>
  <c r="H182" i="9" s="1"/>
  <c r="G246" i="9"/>
  <c r="H246" i="9" s="1"/>
  <c r="G310" i="9"/>
  <c r="H310" i="9" s="1"/>
  <c r="G39" i="9"/>
  <c r="H39" i="9" s="1"/>
  <c r="G103" i="9"/>
  <c r="H103" i="9" s="1"/>
  <c r="G167" i="9"/>
  <c r="H167" i="9" s="1"/>
  <c r="G231" i="9"/>
  <c r="H231" i="9" s="1"/>
  <c r="G295" i="9"/>
  <c r="H295" i="9" s="1"/>
  <c r="G24" i="9"/>
  <c r="H24" i="9" s="1"/>
  <c r="G88" i="9"/>
  <c r="H88" i="9" s="1"/>
  <c r="G152" i="9"/>
  <c r="H152" i="9" s="1"/>
  <c r="G216" i="9"/>
  <c r="H216" i="9" s="1"/>
  <c r="G280" i="9"/>
  <c r="H280" i="9" s="1"/>
  <c r="G304" i="9"/>
  <c r="H304" i="9" s="1"/>
  <c r="G33" i="9"/>
  <c r="H33" i="9" s="1"/>
  <c r="G97" i="9"/>
  <c r="H97" i="9" s="1"/>
  <c r="G161" i="9"/>
  <c r="H161" i="9" s="1"/>
  <c r="G233" i="9"/>
  <c r="H233" i="9" s="1"/>
  <c r="G329" i="9"/>
  <c r="H329" i="9" s="1"/>
  <c r="G66" i="9"/>
  <c r="H66" i="9" s="1"/>
  <c r="G130" i="9"/>
  <c r="H130" i="9" s="1"/>
  <c r="G194" i="9"/>
  <c r="H194" i="9" s="1"/>
  <c r="G258" i="9"/>
  <c r="H258" i="9" s="1"/>
  <c r="G3" i="9"/>
  <c r="H3" i="9" s="1"/>
  <c r="G67" i="9"/>
  <c r="H67" i="9" s="1"/>
  <c r="G131" i="9"/>
  <c r="H131" i="9" s="1"/>
  <c r="G195" i="9"/>
  <c r="H195" i="9" s="1"/>
  <c r="G259" i="9"/>
  <c r="H259" i="9" s="1"/>
  <c r="G323" i="9"/>
  <c r="H323" i="9" s="1"/>
  <c r="G44" i="9"/>
  <c r="H44" i="9" s="1"/>
  <c r="G108" i="9"/>
  <c r="H108" i="9" s="1"/>
  <c r="G172" i="9"/>
  <c r="H172" i="9" s="1"/>
  <c r="G236" i="9"/>
  <c r="H236" i="9" s="1"/>
  <c r="F346" i="9"/>
  <c r="G9" i="9"/>
  <c r="H9" i="9" s="1"/>
  <c r="G13" i="9"/>
  <c r="H13" i="9" s="1"/>
  <c r="G29" i="9"/>
  <c r="H29" i="9" s="1"/>
  <c r="G45" i="9"/>
  <c r="H45" i="9" s="1"/>
  <c r="G61" i="9"/>
  <c r="H61" i="9" s="1"/>
  <c r="G77" i="9"/>
  <c r="H77" i="9" s="1"/>
  <c r="G93" i="9"/>
  <c r="H93" i="9" s="1"/>
  <c r="G109" i="9"/>
  <c r="H109" i="9" s="1"/>
  <c r="G125" i="9"/>
  <c r="H125" i="9" s="1"/>
  <c r="G141" i="9"/>
  <c r="H141" i="9" s="1"/>
  <c r="G157" i="9"/>
  <c r="H157" i="9" s="1"/>
  <c r="G173" i="9"/>
  <c r="H173" i="9" s="1"/>
  <c r="G189" i="9"/>
  <c r="H189" i="9" s="1"/>
  <c r="G205" i="9"/>
  <c r="H205" i="9" s="1"/>
  <c r="G221" i="9"/>
  <c r="H221" i="9" s="1"/>
  <c r="G237" i="9"/>
  <c r="H237" i="9" s="1"/>
  <c r="G253" i="9"/>
  <c r="H253" i="9" s="1"/>
  <c r="G293" i="9"/>
  <c r="H293" i="9" s="1"/>
  <c r="G321" i="9"/>
  <c r="H321" i="9" s="1"/>
  <c r="G273" i="9"/>
  <c r="H273" i="9" s="1"/>
  <c r="G309" i="9"/>
  <c r="H309" i="9" s="1"/>
  <c r="G337" i="9"/>
  <c r="H337" i="9" s="1"/>
  <c r="G274" i="9"/>
  <c r="H274" i="9" s="1"/>
  <c r="G285" i="9"/>
  <c r="H285" i="9" s="1"/>
  <c r="G313" i="9"/>
  <c r="H313" i="9" s="1"/>
  <c r="G338" i="9"/>
  <c r="H338" i="9" s="1"/>
  <c r="G5" i="9"/>
  <c r="H5" i="9" s="1"/>
  <c r="G21" i="9"/>
  <c r="H21" i="9" s="1"/>
  <c r="G37" i="9"/>
  <c r="H37" i="9" s="1"/>
  <c r="G53" i="9"/>
  <c r="H53" i="9" s="1"/>
  <c r="G69" i="9"/>
  <c r="H69" i="9" s="1"/>
  <c r="G85" i="9"/>
  <c r="H85" i="9" s="1"/>
  <c r="G101" i="9"/>
  <c r="H101" i="9" s="1"/>
  <c r="G117" i="9"/>
  <c r="H117" i="9" s="1"/>
  <c r="G133" i="9"/>
  <c r="H133" i="9" s="1"/>
  <c r="G149" i="9"/>
  <c r="H149" i="9" s="1"/>
  <c r="G165" i="9"/>
  <c r="H165" i="9" s="1"/>
  <c r="G181" i="9"/>
  <c r="H181" i="9" s="1"/>
  <c r="G197" i="9"/>
  <c r="H197" i="9" s="1"/>
  <c r="G213" i="9"/>
  <c r="H213" i="9" s="1"/>
  <c r="G229" i="9"/>
  <c r="H229" i="9" s="1"/>
  <c r="G245" i="9"/>
  <c r="H245" i="9" s="1"/>
  <c r="G261" i="9"/>
  <c r="H261" i="9" s="1"/>
  <c r="G289" i="9"/>
  <c r="H289" i="9" s="1"/>
  <c r="G314" i="9"/>
  <c r="H314" i="9" s="1"/>
  <c r="G325" i="9"/>
  <c r="H325" i="9" s="1"/>
  <c r="G62" i="9"/>
  <c r="H62" i="9" s="1"/>
  <c r="G126" i="9"/>
  <c r="H126" i="9" s="1"/>
  <c r="G190" i="9"/>
  <c r="H190" i="9" s="1"/>
  <c r="G254" i="9"/>
  <c r="H254" i="9" s="1"/>
  <c r="G318" i="9"/>
  <c r="H318" i="9" s="1"/>
  <c r="G47" i="9"/>
  <c r="H47" i="9" s="1"/>
  <c r="G111" i="9"/>
  <c r="H111" i="9" s="1"/>
  <c r="G175" i="9"/>
  <c r="H175" i="9" s="1"/>
  <c r="G239" i="9"/>
  <c r="H239" i="9" s="1"/>
  <c r="G303" i="9"/>
  <c r="H303" i="9" s="1"/>
  <c r="G32" i="9"/>
  <c r="H32" i="9" s="1"/>
  <c r="G96" i="9"/>
  <c r="H96" i="9" s="1"/>
  <c r="G160" i="9"/>
  <c r="H160" i="9" s="1"/>
  <c r="G224" i="9"/>
  <c r="H224" i="9" s="1"/>
  <c r="G288" i="9"/>
  <c r="H288" i="9" s="1"/>
  <c r="G328" i="9"/>
  <c r="H328" i="9" s="1"/>
  <c r="G41" i="9"/>
  <c r="H41" i="9" s="1"/>
  <c r="G105" i="9"/>
  <c r="H105" i="9" s="1"/>
  <c r="G169" i="9"/>
  <c r="H169" i="9" s="1"/>
  <c r="G241" i="9"/>
  <c r="H241" i="9" s="1"/>
  <c r="G10" i="9"/>
  <c r="H10" i="9" s="1"/>
  <c r="G74" i="9"/>
  <c r="H74" i="9" s="1"/>
  <c r="G138" i="9"/>
  <c r="H138" i="9" s="1"/>
  <c r="G202" i="9"/>
  <c r="H202" i="9" s="1"/>
  <c r="G266" i="9"/>
  <c r="H266" i="9" s="1"/>
  <c r="G11" i="9"/>
  <c r="H11" i="9" s="1"/>
  <c r="G75" i="9"/>
  <c r="H75" i="9" s="1"/>
  <c r="G139" i="9"/>
  <c r="H139" i="9" s="1"/>
  <c r="G203" i="9"/>
  <c r="H203" i="9" s="1"/>
  <c r="G267" i="9"/>
  <c r="H267" i="9" s="1"/>
  <c r="G331" i="9"/>
  <c r="H331" i="9" s="1"/>
  <c r="G52" i="9"/>
  <c r="H52" i="9" s="1"/>
  <c r="G116" i="9"/>
  <c r="H116" i="9" s="1"/>
  <c r="G180" i="9"/>
  <c r="H180" i="9" s="1"/>
  <c r="G244" i="9"/>
  <c r="H244" i="9" s="1"/>
  <c r="G308" i="9"/>
  <c r="H308" i="9" s="1"/>
  <c r="G6" i="9"/>
  <c r="H6" i="9" s="1"/>
  <c r="G70" i="9"/>
  <c r="H70" i="9" s="1"/>
  <c r="G134" i="9"/>
  <c r="H134" i="9" s="1"/>
  <c r="G198" i="9"/>
  <c r="H198" i="9" s="1"/>
  <c r="G262" i="9"/>
  <c r="H262" i="9" s="1"/>
  <c r="G326" i="9"/>
  <c r="H326" i="9" s="1"/>
  <c r="G55" i="9"/>
  <c r="H55" i="9" s="1"/>
  <c r="G119" i="9"/>
  <c r="H119" i="9" s="1"/>
  <c r="G183" i="9"/>
  <c r="H183" i="9" s="1"/>
  <c r="G247" i="9"/>
  <c r="H247" i="9" s="1"/>
  <c r="G311" i="9"/>
  <c r="H311" i="9" s="1"/>
  <c r="G40" i="9"/>
  <c r="H40" i="9" s="1"/>
  <c r="G104" i="9"/>
  <c r="H104" i="9" s="1"/>
  <c r="G168" i="9"/>
  <c r="H168" i="9" s="1"/>
  <c r="G232" i="9"/>
  <c r="H232" i="9" s="1"/>
  <c r="G296" i="9"/>
  <c r="H296" i="9" s="1"/>
  <c r="G336" i="9"/>
  <c r="H336" i="9" s="1"/>
  <c r="G49" i="9"/>
  <c r="H49" i="9" s="1"/>
  <c r="G113" i="9"/>
  <c r="H113" i="9" s="1"/>
  <c r="G177" i="9"/>
  <c r="H177" i="9" s="1"/>
  <c r="G249" i="9"/>
  <c r="H249" i="9" s="1"/>
  <c r="G18" i="9"/>
  <c r="H18" i="9" s="1"/>
  <c r="G82" i="9"/>
  <c r="H82" i="9" s="1"/>
  <c r="G146" i="9"/>
  <c r="H146" i="9" s="1"/>
  <c r="G210" i="9"/>
  <c r="H210" i="9" s="1"/>
  <c r="G282" i="9"/>
  <c r="H282" i="9" s="1"/>
  <c r="G19" i="9"/>
  <c r="H19" i="9" s="1"/>
  <c r="G83" i="9"/>
  <c r="H83" i="9" s="1"/>
  <c r="G147" i="9"/>
  <c r="H147" i="9" s="1"/>
  <c r="G211" i="9"/>
  <c r="H211" i="9" s="1"/>
  <c r="G275" i="9"/>
  <c r="H275" i="9" s="1"/>
  <c r="G2" i="9"/>
  <c r="H2" i="9" s="1"/>
  <c r="G60" i="9"/>
  <c r="H60" i="9" s="1"/>
  <c r="G124" i="9"/>
  <c r="H124" i="9" s="1"/>
  <c r="G188" i="9"/>
  <c r="H188" i="9" s="1"/>
  <c r="G252" i="9"/>
  <c r="H252" i="9" s="1"/>
  <c r="G316" i="9"/>
  <c r="H316" i="9" s="1"/>
  <c r="G14" i="9"/>
  <c r="H14" i="9" s="1"/>
  <c r="G78" i="9"/>
  <c r="H78" i="9" s="1"/>
  <c r="G142" i="9"/>
  <c r="H142" i="9" s="1"/>
  <c r="G206" i="9"/>
  <c r="H206" i="9" s="1"/>
  <c r="G270" i="9"/>
  <c r="H270" i="9" s="1"/>
  <c r="G334" i="9"/>
  <c r="H334" i="9" s="1"/>
  <c r="G63" i="9"/>
  <c r="H63" i="9" s="1"/>
  <c r="G127" i="9"/>
  <c r="H127" i="9" s="1"/>
  <c r="G191" i="9"/>
  <c r="H191" i="9" s="1"/>
  <c r="G255" i="9"/>
  <c r="H255" i="9" s="1"/>
  <c r="G319" i="9"/>
  <c r="H319" i="9" s="1"/>
  <c r="G48" i="9"/>
  <c r="H48" i="9" s="1"/>
  <c r="G112" i="9"/>
  <c r="H112" i="9" s="1"/>
  <c r="G176" i="9"/>
  <c r="H176" i="9" s="1"/>
  <c r="G240" i="9"/>
  <c r="H240" i="9" s="1"/>
  <c r="G269" i="9"/>
  <c r="H269" i="9" s="1"/>
  <c r="G320" i="9"/>
  <c r="H320" i="9" s="1"/>
  <c r="G57" i="9"/>
  <c r="H57" i="9" s="1"/>
  <c r="G121" i="9"/>
  <c r="H121" i="9" s="1"/>
  <c r="G185" i="9"/>
  <c r="H185" i="9" s="1"/>
  <c r="G257" i="9"/>
  <c r="H257" i="9" s="1"/>
  <c r="G26" i="9"/>
  <c r="H26" i="9" s="1"/>
  <c r="G90" i="9"/>
  <c r="H90" i="9" s="1"/>
  <c r="G154" i="9"/>
  <c r="H154" i="9" s="1"/>
  <c r="G218" i="9"/>
  <c r="H218" i="9" s="1"/>
  <c r="G290" i="9"/>
  <c r="H290" i="9" s="1"/>
  <c r="G27" i="9"/>
  <c r="H27" i="9" s="1"/>
  <c r="G91" i="9"/>
  <c r="H91" i="9" s="1"/>
  <c r="G155" i="9"/>
  <c r="H155" i="9" s="1"/>
  <c r="G219" i="9"/>
  <c r="H219" i="9" s="1"/>
  <c r="G283" i="9"/>
  <c r="H283" i="9" s="1"/>
  <c r="G4" i="9"/>
  <c r="H4" i="9" s="1"/>
  <c r="G68" i="9"/>
  <c r="H68" i="9" s="1"/>
  <c r="G132" i="9"/>
  <c r="H132" i="9" s="1"/>
  <c r="G196" i="9"/>
  <c r="H196" i="9" s="1"/>
  <c r="G260" i="9"/>
  <c r="H260" i="9" s="1"/>
  <c r="G324" i="9"/>
  <c r="H324" i="9" s="1"/>
  <c r="G22" i="9"/>
  <c r="H22" i="9" s="1"/>
  <c r="G86" i="9"/>
  <c r="H86" i="9" s="1"/>
  <c r="G150" i="9"/>
  <c r="H150" i="9" s="1"/>
  <c r="G214" i="9"/>
  <c r="H214" i="9" s="1"/>
  <c r="G278" i="9"/>
  <c r="H278" i="9" s="1"/>
  <c r="G7" i="9"/>
  <c r="H7" i="9" s="1"/>
  <c r="G71" i="9"/>
  <c r="H71" i="9" s="1"/>
  <c r="G135" i="9"/>
  <c r="H135" i="9" s="1"/>
  <c r="G199" i="9"/>
  <c r="H199" i="9" s="1"/>
  <c r="G263" i="9"/>
  <c r="H263" i="9" s="1"/>
  <c r="G327" i="9"/>
  <c r="H327" i="9" s="1"/>
  <c r="G56" i="9"/>
  <c r="H56" i="9" s="1"/>
  <c r="G120" i="9"/>
  <c r="H120" i="9" s="1"/>
  <c r="G184" i="9"/>
  <c r="H184" i="9" s="1"/>
  <c r="G248" i="9"/>
  <c r="H248" i="9" s="1"/>
  <c r="G277" i="9"/>
  <c r="H277" i="9" s="1"/>
  <c r="G312" i="9"/>
  <c r="H312" i="9" s="1"/>
  <c r="G65" i="9"/>
  <c r="H65" i="9" s="1"/>
  <c r="G129" i="9"/>
  <c r="H129" i="9" s="1"/>
  <c r="G193" i="9"/>
  <c r="H193" i="9" s="1"/>
  <c r="G265" i="9"/>
  <c r="H265" i="9" s="1"/>
  <c r="G34" i="9"/>
  <c r="H34" i="9" s="1"/>
  <c r="G98" i="9"/>
  <c r="H98" i="9" s="1"/>
  <c r="G162" i="9"/>
  <c r="H162" i="9" s="1"/>
  <c r="G226" i="9"/>
  <c r="H226" i="9" s="1"/>
  <c r="G298" i="9"/>
  <c r="H298" i="9" s="1"/>
  <c r="G35" i="9"/>
  <c r="H35" i="9" s="1"/>
  <c r="G99" i="9"/>
  <c r="H99" i="9" s="1"/>
  <c r="G163" i="9"/>
  <c r="H163" i="9" s="1"/>
  <c r="G227" i="9"/>
  <c r="H227" i="9" s="1"/>
  <c r="G291" i="9"/>
  <c r="H291" i="9" s="1"/>
  <c r="G12" i="9"/>
  <c r="H12" i="9" s="1"/>
  <c r="G76" i="9"/>
  <c r="H76" i="9" s="1"/>
  <c r="G140" i="9"/>
  <c r="H140" i="9" s="1"/>
  <c r="G204" i="9"/>
  <c r="H204" i="9" s="1"/>
  <c r="G268" i="9"/>
  <c r="H268" i="9" s="1"/>
  <c r="G332" i="9"/>
  <c r="H332" i="9" s="1"/>
  <c r="G30" i="9"/>
  <c r="H30" i="9" s="1"/>
  <c r="G94" i="9"/>
  <c r="H94" i="9" s="1"/>
  <c r="G158" i="9"/>
  <c r="H158" i="9" s="1"/>
  <c r="G222" i="9"/>
  <c r="H222" i="9" s="1"/>
  <c r="G286" i="9"/>
  <c r="H286" i="9" s="1"/>
  <c r="G15" i="9"/>
  <c r="H15" i="9" s="1"/>
  <c r="G79" i="9"/>
  <c r="H79" i="9" s="1"/>
  <c r="G143" i="9"/>
  <c r="H143" i="9" s="1"/>
  <c r="G207" i="9"/>
  <c r="H207" i="9" s="1"/>
  <c r="G271" i="9"/>
  <c r="H271" i="9" s="1"/>
  <c r="G335" i="9"/>
  <c r="H335" i="9" s="1"/>
  <c r="G64" i="9"/>
  <c r="H64" i="9" s="1"/>
  <c r="G128" i="9"/>
  <c r="H128" i="9" s="1"/>
  <c r="G192" i="9"/>
  <c r="H192" i="9" s="1"/>
  <c r="G256" i="9"/>
  <c r="H256" i="9" s="1"/>
  <c r="G301" i="9"/>
  <c r="H301" i="9" s="1"/>
  <c r="G209" i="9"/>
  <c r="H209" i="9" s="1"/>
  <c r="G73" i="9"/>
  <c r="H73" i="9" s="1"/>
  <c r="G137" i="9"/>
  <c r="H137" i="9" s="1"/>
  <c r="G201" i="9"/>
  <c r="H201" i="9" s="1"/>
  <c r="G281" i="9"/>
  <c r="H281" i="9" s="1"/>
  <c r="G42" i="9"/>
  <c r="H42" i="9" s="1"/>
  <c r="G106" i="9"/>
  <c r="H106" i="9" s="1"/>
  <c r="G170" i="9"/>
  <c r="H170" i="9" s="1"/>
  <c r="G234" i="9"/>
  <c r="H234" i="9" s="1"/>
  <c r="G306" i="9"/>
  <c r="H306" i="9" s="1"/>
  <c r="G43" i="9"/>
  <c r="H43" i="9" s="1"/>
  <c r="G107" i="9"/>
  <c r="H107" i="9" s="1"/>
  <c r="G171" i="9"/>
  <c r="H171" i="9" s="1"/>
  <c r="G235" i="9"/>
  <c r="H235" i="9" s="1"/>
  <c r="G299" i="9"/>
  <c r="H299" i="9" s="1"/>
  <c r="G20" i="9"/>
  <c r="H20" i="9" s="1"/>
  <c r="G84" i="9"/>
  <c r="H84" i="9" s="1"/>
  <c r="G148" i="9"/>
  <c r="H148" i="9" s="1"/>
  <c r="G212" i="9"/>
  <c r="H212" i="9" s="1"/>
  <c r="G276" i="9"/>
  <c r="H276" i="9" s="1"/>
  <c r="J84" i="9" l="1"/>
  <c r="I84" i="9"/>
  <c r="J234" i="9"/>
  <c r="I234" i="9"/>
  <c r="J209" i="9"/>
  <c r="I209" i="9"/>
  <c r="J207" i="9"/>
  <c r="I207" i="9"/>
  <c r="J30" i="9"/>
  <c r="I30" i="9"/>
  <c r="J227" i="9"/>
  <c r="I227" i="9"/>
  <c r="J34" i="9"/>
  <c r="I34" i="9"/>
  <c r="J184" i="9"/>
  <c r="I184" i="9"/>
  <c r="J7" i="9"/>
  <c r="I7" i="9"/>
  <c r="J196" i="9"/>
  <c r="I196" i="9"/>
  <c r="J27" i="9"/>
  <c r="I27" i="9"/>
  <c r="J121" i="9"/>
  <c r="I121" i="9"/>
  <c r="J319" i="9"/>
  <c r="I319" i="9"/>
  <c r="J142" i="9"/>
  <c r="I142" i="9"/>
  <c r="J2" i="9"/>
  <c r="I2" i="9"/>
  <c r="J146" i="9"/>
  <c r="I146" i="9"/>
  <c r="J296" i="9"/>
  <c r="I296" i="9"/>
  <c r="J119" i="9"/>
  <c r="I119" i="9"/>
  <c r="J308" i="9"/>
  <c r="I308" i="9"/>
  <c r="J139" i="9"/>
  <c r="I139" i="9"/>
  <c r="J241" i="9"/>
  <c r="I241" i="9"/>
  <c r="J96" i="9"/>
  <c r="I96" i="9"/>
  <c r="J254" i="9"/>
  <c r="I254" i="9"/>
  <c r="J245" i="9"/>
  <c r="I245" i="9"/>
  <c r="J117" i="9"/>
  <c r="I117" i="9"/>
  <c r="J338" i="9"/>
  <c r="I338" i="9"/>
  <c r="J293" i="9"/>
  <c r="I293" i="9"/>
  <c r="J141" i="9"/>
  <c r="I141" i="9"/>
  <c r="J13" i="9"/>
  <c r="I13" i="9"/>
  <c r="J259" i="9"/>
  <c r="I259" i="9"/>
  <c r="J66" i="9"/>
  <c r="I66" i="9"/>
  <c r="J216" i="9"/>
  <c r="I216" i="9"/>
  <c r="J39" i="9"/>
  <c r="I39" i="9"/>
  <c r="J164" i="9"/>
  <c r="I164" i="9"/>
  <c r="J330" i="9"/>
  <c r="I330" i="9"/>
  <c r="J89" i="9"/>
  <c r="I89" i="9"/>
  <c r="J287" i="9"/>
  <c r="I287" i="9"/>
  <c r="J110" i="9"/>
  <c r="I110" i="9"/>
  <c r="J243" i="9"/>
  <c r="I243" i="9"/>
  <c r="J50" i="9"/>
  <c r="I50" i="9"/>
  <c r="J200" i="9"/>
  <c r="I200" i="9"/>
  <c r="J23" i="9"/>
  <c r="I23" i="9"/>
  <c r="J20" i="9"/>
  <c r="I20" i="9"/>
  <c r="J170" i="9"/>
  <c r="I170" i="9"/>
  <c r="J301" i="9"/>
  <c r="I301" i="9"/>
  <c r="J143" i="9"/>
  <c r="I143" i="9"/>
  <c r="J332" i="9"/>
  <c r="I332" i="9"/>
  <c r="J163" i="9"/>
  <c r="I163" i="9"/>
  <c r="J265" i="9"/>
  <c r="I265" i="9"/>
  <c r="J120" i="9"/>
  <c r="I120" i="9"/>
  <c r="J278" i="9"/>
  <c r="I278" i="9"/>
  <c r="J132" i="9"/>
  <c r="I132" i="9"/>
  <c r="J290" i="9"/>
  <c r="I290" i="9"/>
  <c r="J57" i="9"/>
  <c r="I57" i="9"/>
  <c r="J255" i="9"/>
  <c r="I255" i="9"/>
  <c r="J78" i="9"/>
  <c r="I78" i="9"/>
  <c r="J275" i="9"/>
  <c r="I275" i="9"/>
  <c r="J82" i="9"/>
  <c r="I82" i="9"/>
  <c r="J232" i="9"/>
  <c r="I232" i="9"/>
  <c r="J55" i="9"/>
  <c r="I55" i="9"/>
  <c r="J244" i="9"/>
  <c r="I244" i="9"/>
  <c r="J75" i="9"/>
  <c r="I75" i="9"/>
  <c r="J169" i="9"/>
  <c r="I169" i="9"/>
  <c r="J32" i="9"/>
  <c r="I32" i="9"/>
  <c r="J190" i="9"/>
  <c r="I190" i="9"/>
  <c r="J229" i="9"/>
  <c r="I229" i="9"/>
  <c r="J101" i="9"/>
  <c r="I101" i="9"/>
  <c r="J313" i="9"/>
  <c r="I313" i="9"/>
  <c r="J253" i="9"/>
  <c r="I253" i="9"/>
  <c r="J125" i="9"/>
  <c r="I125" i="9"/>
  <c r="J9" i="9"/>
  <c r="I9" i="9"/>
  <c r="J195" i="9"/>
  <c r="I195" i="9"/>
  <c r="J329" i="9"/>
  <c r="I329" i="9"/>
  <c r="J152" i="9"/>
  <c r="I152" i="9"/>
  <c r="J310" i="9"/>
  <c r="I310" i="9"/>
  <c r="J100" i="9"/>
  <c r="I100" i="9"/>
  <c r="J250" i="9"/>
  <c r="I250" i="9"/>
  <c r="J25" i="9"/>
  <c r="I25" i="9"/>
  <c r="J223" i="9"/>
  <c r="I223" i="9"/>
  <c r="J46" i="9"/>
  <c r="I46" i="9"/>
  <c r="J179" i="9"/>
  <c r="I179" i="9"/>
  <c r="J297" i="9"/>
  <c r="I297" i="9"/>
  <c r="J136" i="9"/>
  <c r="I136" i="9"/>
  <c r="J294" i="9"/>
  <c r="I294" i="9"/>
  <c r="J299" i="9"/>
  <c r="I299" i="9"/>
  <c r="J106" i="9"/>
  <c r="I106" i="9"/>
  <c r="J256" i="9"/>
  <c r="I256" i="9"/>
  <c r="J79" i="9"/>
  <c r="I79" i="9"/>
  <c r="J268" i="9"/>
  <c r="I268" i="9"/>
  <c r="J99" i="9"/>
  <c r="I99" i="9"/>
  <c r="J193" i="9"/>
  <c r="I193" i="9"/>
  <c r="J56" i="9"/>
  <c r="I56" i="9"/>
  <c r="J214" i="9"/>
  <c r="I214" i="9"/>
  <c r="J68" i="9"/>
  <c r="I68" i="9"/>
  <c r="J218" i="9"/>
  <c r="I218" i="9"/>
  <c r="J320" i="9"/>
  <c r="I320" i="9"/>
  <c r="J191" i="9"/>
  <c r="I191" i="9"/>
  <c r="J14" i="9"/>
  <c r="I14" i="9"/>
  <c r="J211" i="9"/>
  <c r="I211" i="9"/>
  <c r="J18" i="9"/>
  <c r="I18" i="9"/>
  <c r="J168" i="9"/>
  <c r="I168" i="9"/>
  <c r="J326" i="9"/>
  <c r="I326" i="9"/>
  <c r="J180" i="9"/>
  <c r="I180" i="9"/>
  <c r="J11" i="9"/>
  <c r="I11" i="9"/>
  <c r="J105" i="9"/>
  <c r="I105" i="9"/>
  <c r="J303" i="9"/>
  <c r="I303" i="9"/>
  <c r="J126" i="9"/>
  <c r="I126" i="9"/>
  <c r="J213" i="9"/>
  <c r="I213" i="9"/>
  <c r="J85" i="9"/>
  <c r="I85" i="9"/>
  <c r="J285" i="9"/>
  <c r="I285" i="9"/>
  <c r="J237" i="9"/>
  <c r="I237" i="9"/>
  <c r="J109" i="9"/>
  <c r="I109" i="9"/>
  <c r="J131" i="9"/>
  <c r="I131" i="9"/>
  <c r="J233" i="9"/>
  <c r="I233" i="9"/>
  <c r="J88" i="9"/>
  <c r="I88" i="9"/>
  <c r="J246" i="9"/>
  <c r="I246" i="9"/>
  <c r="J36" i="9"/>
  <c r="I36" i="9"/>
  <c r="J186" i="9"/>
  <c r="I186" i="9"/>
  <c r="J333" i="9"/>
  <c r="I333" i="9"/>
  <c r="J159" i="9"/>
  <c r="I159" i="9"/>
  <c r="J284" i="9"/>
  <c r="I284" i="9"/>
  <c r="J115" i="9"/>
  <c r="I115" i="9"/>
  <c r="J217" i="9"/>
  <c r="I217" i="9"/>
  <c r="J72" i="9"/>
  <c r="I72" i="9"/>
  <c r="J230" i="9"/>
  <c r="I230" i="9"/>
  <c r="J235" i="9"/>
  <c r="I235" i="9"/>
  <c r="J42" i="9"/>
  <c r="I42" i="9"/>
  <c r="J192" i="9"/>
  <c r="I192" i="9"/>
  <c r="J15" i="9"/>
  <c r="I15" i="9"/>
  <c r="J204" i="9"/>
  <c r="I204" i="9"/>
  <c r="J35" i="9"/>
  <c r="I35" i="9"/>
  <c r="J129" i="9"/>
  <c r="I129" i="9"/>
  <c r="J327" i="9"/>
  <c r="I327" i="9"/>
  <c r="J150" i="9"/>
  <c r="I150" i="9"/>
  <c r="J4" i="9"/>
  <c r="J340" i="9" s="1"/>
  <c r="J343" i="9" s="1"/>
  <c r="I4" i="9"/>
  <c r="J154" i="9"/>
  <c r="I154" i="9"/>
  <c r="J269" i="9"/>
  <c r="I269" i="9"/>
  <c r="J127" i="9"/>
  <c r="I127" i="9"/>
  <c r="J316" i="9"/>
  <c r="I316" i="9"/>
  <c r="J147" i="9"/>
  <c r="I147" i="9"/>
  <c r="J249" i="9"/>
  <c r="I249" i="9"/>
  <c r="J104" i="9"/>
  <c r="I104" i="9"/>
  <c r="J262" i="9"/>
  <c r="I262" i="9"/>
  <c r="J116" i="9"/>
  <c r="I116" i="9"/>
  <c r="J266" i="9"/>
  <c r="I266" i="9"/>
  <c r="J41" i="9"/>
  <c r="I41" i="9"/>
  <c r="J239" i="9"/>
  <c r="I239" i="9"/>
  <c r="J62" i="9"/>
  <c r="I62" i="9"/>
  <c r="J197" i="9"/>
  <c r="I197" i="9"/>
  <c r="J69" i="9"/>
  <c r="I69" i="9"/>
  <c r="J274" i="9"/>
  <c r="I274" i="9"/>
  <c r="J221" i="9"/>
  <c r="I221" i="9"/>
  <c r="J93" i="9"/>
  <c r="I93" i="9"/>
  <c r="J236" i="9"/>
  <c r="I236" i="9"/>
  <c r="J67" i="9"/>
  <c r="I67" i="9"/>
  <c r="J161" i="9"/>
  <c r="I161" i="9"/>
  <c r="J24" i="9"/>
  <c r="I24" i="9"/>
  <c r="J182" i="9"/>
  <c r="I182" i="9"/>
  <c r="J315" i="9"/>
  <c r="I315" i="9"/>
  <c r="J122" i="9"/>
  <c r="I122" i="9"/>
  <c r="J272" i="9"/>
  <c r="I272" i="9"/>
  <c r="J95" i="9"/>
  <c r="I95" i="9"/>
  <c r="J220" i="9"/>
  <c r="I220" i="9"/>
  <c r="J51" i="9"/>
  <c r="I51" i="9"/>
  <c r="J145" i="9"/>
  <c r="I145" i="9"/>
  <c r="J8" i="9"/>
  <c r="I8" i="9"/>
  <c r="J166" i="9"/>
  <c r="I166" i="9"/>
  <c r="J171" i="9"/>
  <c r="I171" i="9"/>
  <c r="J281" i="9"/>
  <c r="I281" i="9"/>
  <c r="J128" i="9"/>
  <c r="I128" i="9"/>
  <c r="J286" i="9"/>
  <c r="I286" i="9"/>
  <c r="J140" i="9"/>
  <c r="I140" i="9"/>
  <c r="J298" i="9"/>
  <c r="I298" i="9"/>
  <c r="J65" i="9"/>
  <c r="I65" i="9"/>
  <c r="J263" i="9"/>
  <c r="I263" i="9"/>
  <c r="J86" i="9"/>
  <c r="I86" i="9"/>
  <c r="J283" i="9"/>
  <c r="I283" i="9"/>
  <c r="J90" i="9"/>
  <c r="I90" i="9"/>
  <c r="J240" i="9"/>
  <c r="I240" i="9"/>
  <c r="J63" i="9"/>
  <c r="I63" i="9"/>
  <c r="J252" i="9"/>
  <c r="I252" i="9"/>
  <c r="J83" i="9"/>
  <c r="I83" i="9"/>
  <c r="J177" i="9"/>
  <c r="I177" i="9"/>
  <c r="J40" i="9"/>
  <c r="I40" i="9"/>
  <c r="J198" i="9"/>
  <c r="I198" i="9"/>
  <c r="J52" i="9"/>
  <c r="I52" i="9"/>
  <c r="J202" i="9"/>
  <c r="I202" i="9"/>
  <c r="J328" i="9"/>
  <c r="I328" i="9"/>
  <c r="J175" i="9"/>
  <c r="I175" i="9"/>
  <c r="J325" i="9"/>
  <c r="I325" i="9"/>
  <c r="J181" i="9"/>
  <c r="I181" i="9"/>
  <c r="J53" i="9"/>
  <c r="I53" i="9"/>
  <c r="J337" i="9"/>
  <c r="I337" i="9"/>
  <c r="J205" i="9"/>
  <c r="I205" i="9"/>
  <c r="J77" i="9"/>
  <c r="I77" i="9"/>
  <c r="J172" i="9"/>
  <c r="I172" i="9"/>
  <c r="J3" i="9"/>
  <c r="I3" i="9"/>
  <c r="J97" i="9"/>
  <c r="I97" i="9"/>
  <c r="J295" i="9"/>
  <c r="I295" i="9"/>
  <c r="J118" i="9"/>
  <c r="I118" i="9"/>
  <c r="J251" i="9"/>
  <c r="I251" i="9"/>
  <c r="J58" i="9"/>
  <c r="I58" i="9"/>
  <c r="J208" i="9"/>
  <c r="I208" i="9"/>
  <c r="J31" i="9"/>
  <c r="I31" i="9"/>
  <c r="J156" i="9"/>
  <c r="I156" i="9"/>
  <c r="J322" i="9"/>
  <c r="I322" i="9"/>
  <c r="J81" i="9"/>
  <c r="I81" i="9"/>
  <c r="J279" i="9"/>
  <c r="I279" i="9"/>
  <c r="J102" i="9"/>
  <c r="I102" i="9"/>
  <c r="J276" i="9"/>
  <c r="I276" i="9"/>
  <c r="J107" i="9"/>
  <c r="I107" i="9"/>
  <c r="J201" i="9"/>
  <c r="I201" i="9"/>
  <c r="J64" i="9"/>
  <c r="I64" i="9"/>
  <c r="J222" i="9"/>
  <c r="I222" i="9"/>
  <c r="J76" i="9"/>
  <c r="I76" i="9"/>
  <c r="J226" i="9"/>
  <c r="I226" i="9"/>
  <c r="J312" i="9"/>
  <c r="I312" i="9"/>
  <c r="J199" i="9"/>
  <c r="I199" i="9"/>
  <c r="J22" i="9"/>
  <c r="I22" i="9"/>
  <c r="J219" i="9"/>
  <c r="I219" i="9"/>
  <c r="J26" i="9"/>
  <c r="I26" i="9"/>
  <c r="J176" i="9"/>
  <c r="I176" i="9"/>
  <c r="J334" i="9"/>
  <c r="I334" i="9"/>
  <c r="J188" i="9"/>
  <c r="I188" i="9"/>
  <c r="J19" i="9"/>
  <c r="I19" i="9"/>
  <c r="J113" i="9"/>
  <c r="I113" i="9"/>
  <c r="J311" i="9"/>
  <c r="I311" i="9"/>
  <c r="J134" i="9"/>
  <c r="I134" i="9"/>
  <c r="J331" i="9"/>
  <c r="I331" i="9"/>
  <c r="J138" i="9"/>
  <c r="I138" i="9"/>
  <c r="J288" i="9"/>
  <c r="I288" i="9"/>
  <c r="J111" i="9"/>
  <c r="I111" i="9"/>
  <c r="J314" i="9"/>
  <c r="I314" i="9"/>
  <c r="J165" i="9"/>
  <c r="I165" i="9"/>
  <c r="J37" i="9"/>
  <c r="I37" i="9"/>
  <c r="J309" i="9"/>
  <c r="I309" i="9"/>
  <c r="J189" i="9"/>
  <c r="I189" i="9"/>
  <c r="J61" i="9"/>
  <c r="I61" i="9"/>
  <c r="J108" i="9"/>
  <c r="I108" i="9"/>
  <c r="J258" i="9"/>
  <c r="I258" i="9"/>
  <c r="J33" i="9"/>
  <c r="I33" i="9"/>
  <c r="J231" i="9"/>
  <c r="I231" i="9"/>
  <c r="J54" i="9"/>
  <c r="I54" i="9"/>
  <c r="J187" i="9"/>
  <c r="I187" i="9"/>
  <c r="J305" i="9"/>
  <c r="I305" i="9"/>
  <c r="J144" i="9"/>
  <c r="I144" i="9"/>
  <c r="J302" i="9"/>
  <c r="I302" i="9"/>
  <c r="J92" i="9"/>
  <c r="I92" i="9"/>
  <c r="J242" i="9"/>
  <c r="I242" i="9"/>
  <c r="J17" i="9"/>
  <c r="I17" i="9"/>
  <c r="J215" i="9"/>
  <c r="I215" i="9"/>
  <c r="J38" i="9"/>
  <c r="I38" i="9"/>
  <c r="J212" i="9"/>
  <c r="I212" i="9"/>
  <c r="J43" i="9"/>
  <c r="I43" i="9"/>
  <c r="J137" i="9"/>
  <c r="I137" i="9"/>
  <c r="J335" i="9"/>
  <c r="I335" i="9"/>
  <c r="J158" i="9"/>
  <c r="I158" i="9"/>
  <c r="J12" i="9"/>
  <c r="I12" i="9"/>
  <c r="J162" i="9"/>
  <c r="I162" i="9"/>
  <c r="J277" i="9"/>
  <c r="I277" i="9"/>
  <c r="J135" i="9"/>
  <c r="I135" i="9"/>
  <c r="J324" i="9"/>
  <c r="I324" i="9"/>
  <c r="J155" i="9"/>
  <c r="I155" i="9"/>
  <c r="J257" i="9"/>
  <c r="I257" i="9"/>
  <c r="J112" i="9"/>
  <c r="I112" i="9"/>
  <c r="J270" i="9"/>
  <c r="I270" i="9"/>
  <c r="J124" i="9"/>
  <c r="I124" i="9"/>
  <c r="J282" i="9"/>
  <c r="I282" i="9"/>
  <c r="J49" i="9"/>
  <c r="I49" i="9"/>
  <c r="J247" i="9"/>
  <c r="I247" i="9"/>
  <c r="J70" i="9"/>
  <c r="I70" i="9"/>
  <c r="J267" i="9"/>
  <c r="I267" i="9"/>
  <c r="J74" i="9"/>
  <c r="I74" i="9"/>
  <c r="J224" i="9"/>
  <c r="I224" i="9"/>
  <c r="J47" i="9"/>
  <c r="I47" i="9"/>
  <c r="J289" i="9"/>
  <c r="I289" i="9"/>
  <c r="J149" i="9"/>
  <c r="I149" i="9"/>
  <c r="J21" i="9"/>
  <c r="I21" i="9"/>
  <c r="J273" i="9"/>
  <c r="I273" i="9"/>
  <c r="J173" i="9"/>
  <c r="I173" i="9"/>
  <c r="J45" i="9"/>
  <c r="I45" i="9"/>
  <c r="J44" i="9"/>
  <c r="I44" i="9"/>
  <c r="J194" i="9"/>
  <c r="I194" i="9"/>
  <c r="J304" i="9"/>
  <c r="I304" i="9"/>
  <c r="J167" i="9"/>
  <c r="I167" i="9"/>
  <c r="J292" i="9"/>
  <c r="I292" i="9"/>
  <c r="J123" i="9"/>
  <c r="I123" i="9"/>
  <c r="J225" i="9"/>
  <c r="I225" i="9"/>
  <c r="J80" i="9"/>
  <c r="I80" i="9"/>
  <c r="J238" i="9"/>
  <c r="I238" i="9"/>
  <c r="J28" i="9"/>
  <c r="I28" i="9"/>
  <c r="J178" i="9"/>
  <c r="I178" i="9"/>
  <c r="J317" i="9"/>
  <c r="I317" i="9"/>
  <c r="J151" i="9"/>
  <c r="I151" i="9"/>
  <c r="J148" i="9"/>
  <c r="I148" i="9"/>
  <c r="J306" i="9"/>
  <c r="I306" i="9"/>
  <c r="J73" i="9"/>
  <c r="I73" i="9"/>
  <c r="J271" i="9"/>
  <c r="I271" i="9"/>
  <c r="J94" i="9"/>
  <c r="I94" i="9"/>
  <c r="J291" i="9"/>
  <c r="I291" i="9"/>
  <c r="J98" i="9"/>
  <c r="I98" i="9"/>
  <c r="J248" i="9"/>
  <c r="I248" i="9"/>
  <c r="J71" i="9"/>
  <c r="I71" i="9"/>
  <c r="J260" i="9"/>
  <c r="I260" i="9"/>
  <c r="J91" i="9"/>
  <c r="I91" i="9"/>
  <c r="J185" i="9"/>
  <c r="I185" i="9"/>
  <c r="J48" i="9"/>
  <c r="I48" i="9"/>
  <c r="J206" i="9"/>
  <c r="I206" i="9"/>
  <c r="J60" i="9"/>
  <c r="I60" i="9"/>
  <c r="J210" i="9"/>
  <c r="I210" i="9"/>
  <c r="J336" i="9"/>
  <c r="I336" i="9"/>
  <c r="J183" i="9"/>
  <c r="I183" i="9"/>
  <c r="J6" i="9"/>
  <c r="I6" i="9"/>
  <c r="J203" i="9"/>
  <c r="I203" i="9"/>
  <c r="J10" i="9"/>
  <c r="I10" i="9"/>
  <c r="J160" i="9"/>
  <c r="I160" i="9"/>
  <c r="J318" i="9"/>
  <c r="I318" i="9"/>
  <c r="J261" i="9"/>
  <c r="I261" i="9"/>
  <c r="J133" i="9"/>
  <c r="I133" i="9"/>
  <c r="J5" i="9"/>
  <c r="I5" i="9"/>
  <c r="J321" i="9"/>
  <c r="I321" i="9"/>
  <c r="J157" i="9"/>
  <c r="I157" i="9"/>
  <c r="J29" i="9"/>
  <c r="I29" i="9"/>
  <c r="J323" i="9"/>
  <c r="I323" i="9"/>
  <c r="J130" i="9"/>
  <c r="I130" i="9"/>
  <c r="J280" i="9"/>
  <c r="I280" i="9"/>
  <c r="J103" i="9"/>
  <c r="I103" i="9"/>
  <c r="J228" i="9"/>
  <c r="I228" i="9"/>
  <c r="J59" i="9"/>
  <c r="I59" i="9"/>
  <c r="J153" i="9"/>
  <c r="I153" i="9"/>
  <c r="J16" i="9"/>
  <c r="I16" i="9"/>
  <c r="J174" i="9"/>
  <c r="I174" i="9"/>
  <c r="J307" i="9"/>
  <c r="I307" i="9"/>
  <c r="J114" i="9"/>
  <c r="I114" i="9"/>
  <c r="J264" i="9"/>
  <c r="I264" i="9"/>
  <c r="J87" i="9"/>
  <c r="I87" i="9"/>
</calcChain>
</file>

<file path=xl/sharedStrings.xml><?xml version="1.0" encoding="utf-8"?>
<sst xmlns="http://schemas.openxmlformats.org/spreadsheetml/2006/main" count="15020" uniqueCount="375">
  <si>
    <t>LEAID</t>
  </si>
  <si>
    <t>Year</t>
  </si>
  <si>
    <t>state_abv</t>
  </si>
  <si>
    <t>plan</t>
  </si>
  <si>
    <t>district_name</t>
  </si>
  <si>
    <t>district_code</t>
  </si>
  <si>
    <t>Kansas</t>
  </si>
  <si>
    <t>KS</t>
  </si>
  <si>
    <t>Kansas Public Employees Retirement System</t>
  </si>
  <si>
    <t>4930 North Central Kansas Technical College</t>
  </si>
  <si>
    <t>4931 North West Kansas Technical College</t>
  </si>
  <si>
    <t>5045 Allen County Community College</t>
  </si>
  <si>
    <t>5046 Coffeyville Community College</t>
  </si>
  <si>
    <t>5047 Garden City Community College</t>
  </si>
  <si>
    <t>5048 Hutchinson Community College</t>
  </si>
  <si>
    <t>5049 Kansas City Kansas Community College</t>
  </si>
  <si>
    <t>5050 Neosho County Community College</t>
  </si>
  <si>
    <t>5107 Cowley County Community College</t>
  </si>
  <si>
    <t>5108 Barton County Community College</t>
  </si>
  <si>
    <t>5109 Butler County Community College</t>
  </si>
  <si>
    <t>5110 Colby Community College</t>
  </si>
  <si>
    <t>5111 Independence Community College</t>
  </si>
  <si>
    <t>5112 Labette Community College</t>
  </si>
  <si>
    <t>5113 Pratt Community College</t>
  </si>
  <si>
    <t>5177 Cloud County Community College</t>
  </si>
  <si>
    <t>5178 Dodge City Community College</t>
  </si>
  <si>
    <t>5179 Fort Scott Community College</t>
  </si>
  <si>
    <t>5180 Highland Community College</t>
  </si>
  <si>
    <t>5404 Seward County Community College</t>
  </si>
  <si>
    <t>5406 Johnson County Community College</t>
  </si>
  <si>
    <t>5596 NW Kansas Education Service Center</t>
  </si>
  <si>
    <t>5600 SC Kansas Special Education Coop</t>
  </si>
  <si>
    <t>5604 ANW Special Education Coop</t>
  </si>
  <si>
    <t>5608 Tri County Special Education Coop</t>
  </si>
  <si>
    <t>5609 Keystone Learning Services</t>
  </si>
  <si>
    <t>5612 SE Kansas Education Service Center</t>
  </si>
  <si>
    <t>5624 Reno County Education Coop</t>
  </si>
  <si>
    <t>5626 High Plains Educational Coop</t>
  </si>
  <si>
    <t>5634 SW Kansas Coop District 613</t>
  </si>
  <si>
    <t>5638 East Central Kansas Coop in Education</t>
  </si>
  <si>
    <t>5655 Brown Co Kansas Special Educ Coop</t>
  </si>
  <si>
    <t>5657 Doniphan County Education Coop</t>
  </si>
  <si>
    <t>5671 Marion County Special Education Coop</t>
  </si>
  <si>
    <t>5682 Sedgwick Co Area Educ Serv Coop 618</t>
  </si>
  <si>
    <t>5688 Sumner County Education Services</t>
  </si>
  <si>
    <t>9034 Three Lakes Educational Cooperative</t>
  </si>
  <si>
    <t>9042 Educ Serv&amp;Staff Dev Ctr of Cen Kansas</t>
  </si>
  <si>
    <t>9047 SW Plains Regional Service Center</t>
  </si>
  <si>
    <t>9053 SW Kansas Educational Consortium</t>
  </si>
  <si>
    <t>9055 South Central Kansas Education Service</t>
  </si>
  <si>
    <t>9056 Smoky Hill Education Service Center</t>
  </si>
  <si>
    <t>9273 Nc Kansas Sp Ed Coop Interlocal 636</t>
  </si>
  <si>
    <t>9274 Southeast Kansas Interlocal 637</t>
  </si>
  <si>
    <t>9303 Wsu Campus of Applied Sciences and Technology</t>
  </si>
  <si>
    <t>9304 Manhattan Area Technical College</t>
  </si>
  <si>
    <t>9305 Flint Hills Technical College</t>
  </si>
  <si>
    <t>9395 Salina Area Technical College</t>
  </si>
  <si>
    <t>9487 Western Kansas Com College Virtual Ed Consortium</t>
  </si>
  <si>
    <t>9507 Butler Co Special Education Interlocal # 638</t>
  </si>
  <si>
    <t>4828 USD 202 Turner</t>
  </si>
  <si>
    <t>4829 USD 203 Piper</t>
  </si>
  <si>
    <t>4871 USD 205 Bluestem</t>
  </si>
  <si>
    <t>4882 USD 204 Bonner Springs</t>
  </si>
  <si>
    <t>4912 USD 206 Remington-Whitewater</t>
  </si>
  <si>
    <t>4977 USD 209 Moscow</t>
  </si>
  <si>
    <t>4978 USD 233 Olathe</t>
  </si>
  <si>
    <t>4979 USD 242 Weskan</t>
  </si>
  <si>
    <t>4980 USD 250 Pittsburg</t>
  </si>
  <si>
    <t>4981 USD 253 Emporia</t>
  </si>
  <si>
    <t>4982 USD 259 Wichita</t>
  </si>
  <si>
    <t>4983 USD 260 Derby</t>
  </si>
  <si>
    <t>4984 USD 262 Valley Center</t>
  </si>
  <si>
    <t>4985 USD 265 Goddard</t>
  </si>
  <si>
    <t>4986 USD 266 Maize</t>
  </si>
  <si>
    <t>4987 USD 268 Cheney</t>
  </si>
  <si>
    <t>4988 USD 290 Ottawa</t>
  </si>
  <si>
    <t>4990 USD 314 Brewster</t>
  </si>
  <si>
    <t>4991 USD 348 Baldwin City</t>
  </si>
  <si>
    <t>4992 USD 349 Stafford</t>
  </si>
  <si>
    <t>4993 USD 352 Goodland</t>
  </si>
  <si>
    <t>4994 USD 359 Argonia Public Schools</t>
  </si>
  <si>
    <t>4995 USD 363 Holcomb</t>
  </si>
  <si>
    <t>4996 USD 371 Montezuma</t>
  </si>
  <si>
    <t>4997 USD 373 Newton</t>
  </si>
  <si>
    <t>4998 USD 376 Sterling</t>
  </si>
  <si>
    <t>4999 USD 383 Manhattan-Ogden</t>
  </si>
  <si>
    <t>5000 USD 385 Andover</t>
  </si>
  <si>
    <t>5001 USD 386 Madison-Virgil</t>
  </si>
  <si>
    <t>5002 USD 390 Hamilton</t>
  </si>
  <si>
    <t>5004 USD 394 Rose Hill</t>
  </si>
  <si>
    <t>5005 USD 396 Douglass Public Schools</t>
  </si>
  <si>
    <t>5006 USD 398 Peabody-Burns</t>
  </si>
  <si>
    <t>5008 USD 404 Riverton</t>
  </si>
  <si>
    <t>5010 USD 409 Atchison Public Schools</t>
  </si>
  <si>
    <t>5011 USD 420 Osage City</t>
  </si>
  <si>
    <t>5012 USD 421 Lyndon</t>
  </si>
  <si>
    <t>5013 USD 443 Dodge City</t>
  </si>
  <si>
    <t>5014 USD 446 Independence</t>
  </si>
  <si>
    <t>5015 USD 448 Inman</t>
  </si>
  <si>
    <t>5016 USD 449 Easton</t>
  </si>
  <si>
    <t>5017 USD 453 Leavenworth</t>
  </si>
  <si>
    <t>5018 USD 456 Marais Des Cygnes Valley</t>
  </si>
  <si>
    <t>5019 USD 470 Arkansas City</t>
  </si>
  <si>
    <t>5020 USD 475 Geary Co</t>
  </si>
  <si>
    <t>5021 USD 477 Ingalls</t>
  </si>
  <si>
    <t>5022 USD 480 Liberal</t>
  </si>
  <si>
    <t>5024 USD 215 Lakin</t>
  </si>
  <si>
    <t>5025 USD 234 Fort Scott</t>
  </si>
  <si>
    <t>5026 USD 251 North Lyon</t>
  </si>
  <si>
    <t>5027 USD 261 Haysville</t>
  </si>
  <si>
    <t>5028 USD 267 Renwick</t>
  </si>
  <si>
    <t>5029 USD 288 Central Heights</t>
  </si>
  <si>
    <t>5031 USD 305 Salina</t>
  </si>
  <si>
    <t>5032 USD 361 Chaparral Schools</t>
  </si>
  <si>
    <t>5033 USD 378 Riley Co</t>
  </si>
  <si>
    <t>5034 USD 403 Otis-Bison</t>
  </si>
  <si>
    <t>5035 USD 413 Chanute</t>
  </si>
  <si>
    <t>5036 USD 415 Hiawatha</t>
  </si>
  <si>
    <t>5037 USD 418 McPherson</t>
  </si>
  <si>
    <t>5038 USD 422 Kiowa County</t>
  </si>
  <si>
    <t>5039 USD 439 Sedgwick Public Schools</t>
  </si>
  <si>
    <t>5040 USD 445 Coffeyville</t>
  </si>
  <si>
    <t>5041 USD 457 Garden City</t>
  </si>
  <si>
    <t>5042 USD 458 Basehor-Linwood</t>
  </si>
  <si>
    <t>5043 USD 465 Winfield</t>
  </si>
  <si>
    <t>5056 USD 223 Barnes</t>
  </si>
  <si>
    <t>5057 USD 258 Humboldt</t>
  </si>
  <si>
    <t>5058 USD 273 Beloit</t>
  </si>
  <si>
    <t>5059 USD 284 Chase County</t>
  </si>
  <si>
    <t>5060 USD 285 Cedar Vale</t>
  </si>
  <si>
    <t>5061 USD 286 Chautauqua County</t>
  </si>
  <si>
    <t>5062 USD 287 West Franklin</t>
  </si>
  <si>
    <t>5063 USD 327 Ellsworth</t>
  </si>
  <si>
    <t>5064 USD 338 Valley Falls</t>
  </si>
  <si>
    <t>5065 USD 342 McLouth</t>
  </si>
  <si>
    <t>5066 USD 380 Vermillion</t>
  </si>
  <si>
    <t>5067 USD 389 Eureka</t>
  </si>
  <si>
    <t>5068 USD 417 Council Grove</t>
  </si>
  <si>
    <t>5069 USD 440 Halstead</t>
  </si>
  <si>
    <t>5070 USD 464 Tonganoxie</t>
  </si>
  <si>
    <t>5072 USD 482 Dighton</t>
  </si>
  <si>
    <t>5073 USD 487 Herington</t>
  </si>
  <si>
    <t>5076 USD 217 Rolla</t>
  </si>
  <si>
    <t>5007 USD 399 Paradise</t>
  </si>
  <si>
    <t>5078 USD 226 Meade</t>
  </si>
  <si>
    <t>5079 USD 235 Uniontown</t>
  </si>
  <si>
    <t>5080 USD 252 Southern Lyon County</t>
  </si>
  <si>
    <t>5081 USD 254 Barber County North</t>
  </si>
  <si>
    <t>5082 USD 269 Palco</t>
  </si>
  <si>
    <t>5083 USD 270 Plainville</t>
  </si>
  <si>
    <t>5087 USD 281 Graham County</t>
  </si>
  <si>
    <t>5088 USD 289 Wellsville</t>
  </si>
  <si>
    <t>5089 USD 298 Lincoln</t>
  </si>
  <si>
    <t>5090 USD 303 Ness City</t>
  </si>
  <si>
    <t>5092 USD 321 Kaw Valley</t>
  </si>
  <si>
    <t>5093 USD 322 Onaga-Havensville-Wheaton</t>
  </si>
  <si>
    <t>5095 USD 329 Mill Creek Valley</t>
  </si>
  <si>
    <t>5096 USD 346 Jayhawk</t>
  </si>
  <si>
    <t>5098 USD 360 Caldwell</t>
  </si>
  <si>
    <t>5099 USD 365 Garnett</t>
  </si>
  <si>
    <t>5100 USD 367 Osawatomie</t>
  </si>
  <si>
    <t>5101 USD 372 Silver Lake</t>
  </si>
  <si>
    <t>5102 USD 379 Clay Center</t>
  </si>
  <si>
    <t>5103 USD 382 Pratt</t>
  </si>
  <si>
    <t>5104 USD 419 Canton-Galva</t>
  </si>
  <si>
    <t>5105 USD 459 Bucklin</t>
  </si>
  <si>
    <t>5106 USD 483 Kismet-Plains</t>
  </si>
  <si>
    <t>5116 USD 210 Hugoton</t>
  </si>
  <si>
    <t>5117 USD 212 Northern Valley</t>
  </si>
  <si>
    <t>5118 USD 214 Ulysses</t>
  </si>
  <si>
    <t>5119 USD 219 Minneola</t>
  </si>
  <si>
    <t>5120 USD 231 Gardner Edgerton</t>
  </si>
  <si>
    <t>5122 USD 255 South Barber County</t>
  </si>
  <si>
    <t>5123 USD 256 Marmaton Valley</t>
  </si>
  <si>
    <t>5125 USD 320 Wamego</t>
  </si>
  <si>
    <t>5127 USD 332 Cunningham</t>
  </si>
  <si>
    <t>5128 USD 335 North Jackson</t>
  </si>
  <si>
    <t>5129 USD 337 Royal Valley</t>
  </si>
  <si>
    <t>5130 USD 343 Perry</t>
  </si>
  <si>
    <t>5131 USD 364 Marysville</t>
  </si>
  <si>
    <t>5132 USD 368 Paola</t>
  </si>
  <si>
    <t>5133 USD 381 Spearville-Windhorst</t>
  </si>
  <si>
    <t>5134 USD 393 Solomon</t>
  </si>
  <si>
    <t>5135 USD 402 Augusta</t>
  </si>
  <si>
    <t>5137 USD 432 Victoria</t>
  </si>
  <si>
    <t>5138 USD 454 Burlingame Public Schools</t>
  </si>
  <si>
    <t>5140 USD 463 Udall</t>
  </si>
  <si>
    <t>5141 USD 467 Wichita County Schools</t>
  </si>
  <si>
    <t>5142 USD 474 Haviland</t>
  </si>
  <si>
    <t>5143 USD 211 Norton</t>
  </si>
  <si>
    <t>5144 USD 216 Deerfield</t>
  </si>
  <si>
    <t>5145 USD 227 Jetmore</t>
  </si>
  <si>
    <t>5147 USD 232 De Soto</t>
  </si>
  <si>
    <t>5148 USD 239 North Ottawa County</t>
  </si>
  <si>
    <t>5149 USD 244 Burlington</t>
  </si>
  <si>
    <t>5077 USD 218 Elkhart</t>
  </si>
  <si>
    <t>5151 USD 274 Oakley</t>
  </si>
  <si>
    <t>5152 USD 282 West Elk</t>
  </si>
  <si>
    <t>5153 USD 283 Elk Valley</t>
  </si>
  <si>
    <t>5154 USD 299 Sylvan Grove</t>
  </si>
  <si>
    <t>5155 USD 311 Pretty Prairie</t>
  </si>
  <si>
    <t>5156 USD 315 Colby</t>
  </si>
  <si>
    <t>5157 USD 326 Logan</t>
  </si>
  <si>
    <t>5158 USD 331 Kingman-Norwich</t>
  </si>
  <si>
    <t>5159 USD 333 Concordia</t>
  </si>
  <si>
    <t>5160 USD 347 Kinsley-Offerle</t>
  </si>
  <si>
    <t>5161 USD 356 Conway Springs</t>
  </si>
  <si>
    <t>5162 USD 377 Atchison Co Community</t>
  </si>
  <si>
    <t>5163 USD 395 LaCrosse</t>
  </si>
  <si>
    <t>5164 USD 412 Hoxie Community Schools</t>
  </si>
  <si>
    <t>5166 USD 429 Troy</t>
  </si>
  <si>
    <t>5167 USD 430 South Brown County</t>
  </si>
  <si>
    <t>5168 USD 431 Hoisington</t>
  </si>
  <si>
    <t>5171 USD 444 Little River</t>
  </si>
  <si>
    <t>5172 USD 447 Cherryvale</t>
  </si>
  <si>
    <t>5173 USD 452 Stanton Co</t>
  </si>
  <si>
    <t>5174 USD 460 Hesston</t>
  </si>
  <si>
    <t>5175 USD 462 Central</t>
  </si>
  <si>
    <t>5176 USD 469 Lansing</t>
  </si>
  <si>
    <t>5185 USD 229 Blue Valley</t>
  </si>
  <si>
    <t>5186 USD 237 Smith Center</t>
  </si>
  <si>
    <t>5187 USD 240 Twin Valley</t>
  </si>
  <si>
    <t>5188 USD 271 Stockton</t>
  </si>
  <si>
    <t>5189 USD 291 Grinnell</t>
  </si>
  <si>
    <t>5190 USD 297 St Francis Schools</t>
  </si>
  <si>
    <t>5191 USD 309 Nickerson</t>
  </si>
  <si>
    <t>5192 USD 310 Fairfield</t>
  </si>
  <si>
    <t>5193 USD 313 Buhler</t>
  </si>
  <si>
    <t>5195 USD 323 Rock Creek</t>
  </si>
  <si>
    <t>5196 USD 341 Oskaloosa</t>
  </si>
  <si>
    <t>5197 USD 351 Macksville</t>
  </si>
  <si>
    <t>5198 USD 353 Wellington</t>
  </si>
  <si>
    <t>5199 USD 355 Ellinwood</t>
  </si>
  <si>
    <t>5200 USD 362 Prairie View</t>
  </si>
  <si>
    <t>5201 USD 369 Burrton</t>
  </si>
  <si>
    <t>5202 USD 392 Osborne County</t>
  </si>
  <si>
    <t>5203 USD 400 Smoky Valley</t>
  </si>
  <si>
    <t>5204 USD 405 Lyons</t>
  </si>
  <si>
    <t>5205 USD 408 Marion</t>
  </si>
  <si>
    <t>5206 USD 410 Durham Hillsboro Lehigh</t>
  </si>
  <si>
    <t>5207 USD 416 Louisburg</t>
  </si>
  <si>
    <t>5208 USD 423 Moundridge</t>
  </si>
  <si>
    <t>5210 USD 428 Great Bend</t>
  </si>
  <si>
    <t>5212 USD 434 Santa Fe Trail</t>
  </si>
  <si>
    <t>5213 USD 436 Caney Valley</t>
  </si>
  <si>
    <t>5214 USD 450 Shawnee Heights</t>
  </si>
  <si>
    <t>5215 USD 466 Scott Co</t>
  </si>
  <si>
    <t>5150 USD 257 Iola</t>
  </si>
  <si>
    <t>5217 USD 476 Copeland</t>
  </si>
  <si>
    <t>5218 USD 481 Rural Vista</t>
  </si>
  <si>
    <t>5219 USD 241 Wallace County Schools</t>
  </si>
  <si>
    <t>5220 USD 243 Lebo-Waverly</t>
  </si>
  <si>
    <t>5222 USD 307 Ell-Saline</t>
  </si>
  <si>
    <t>5223 USD 339 Jefferson County North</t>
  </si>
  <si>
    <t>5226 USD 272 Waconda</t>
  </si>
  <si>
    <t>5227 USD 275 Triplains</t>
  </si>
  <si>
    <t>5228 USD 292 Wheatland</t>
  </si>
  <si>
    <t>5229 USD 294 Oberlin</t>
  </si>
  <si>
    <t>5230 USD 312 Haven</t>
  </si>
  <si>
    <t>5231 USD 336 Holton</t>
  </si>
  <si>
    <t>5233 USD 437 Auburn-Washburn</t>
  </si>
  <si>
    <t>5235 USD 479 Crest</t>
  </si>
  <si>
    <t>5236 USD 330 Mission Valley</t>
  </si>
  <si>
    <t>5237 USD 334 Southern Cloud County</t>
  </si>
  <si>
    <t>5238 USD 387 Altoona-Midway</t>
  </si>
  <si>
    <t>5239 USD 401 Chase Raymond</t>
  </si>
  <si>
    <t>5240 USD 494 Syracuse</t>
  </si>
  <si>
    <t>5241 USD 300 Comanche County</t>
  </si>
  <si>
    <t>5250 USD 306 SE of Saline</t>
  </si>
  <si>
    <t>5251 USD 384 Blue Valley</t>
  </si>
  <si>
    <t>5267 USD 397 Centre</t>
  </si>
  <si>
    <t>5268 USD 220 Ashland</t>
  </si>
  <si>
    <t>5270 USD 224 Clifton-Clyde</t>
  </si>
  <si>
    <t>5271 USD 225 Fowler</t>
  </si>
  <si>
    <t>5272 USD 230 Spring Hill</t>
  </si>
  <si>
    <t>5274 USD 249 Frontenac</t>
  </si>
  <si>
    <t>5275 USD 263 Mulvane</t>
  </si>
  <si>
    <t>5276 USD 264 Clearwater</t>
  </si>
  <si>
    <t>5278 USD 293 Quinter</t>
  </si>
  <si>
    <t>5280 USD 308 Hutchinson</t>
  </si>
  <si>
    <t>5281 USD 316 Golden Plains</t>
  </si>
  <si>
    <t>5283 USD 325 Phillipsburg</t>
  </si>
  <si>
    <t>5284 USD 340 Jefferson West</t>
  </si>
  <si>
    <t>5285 USD 344 Pleasanton</t>
  </si>
  <si>
    <t>5286 USD 350 St John-Hudson</t>
  </si>
  <si>
    <t>5287 USD 357 Belle Plaine</t>
  </si>
  <si>
    <t>5288 USD 358 Oxford</t>
  </si>
  <si>
    <t>5289 USD 366 Woodson</t>
  </si>
  <si>
    <t>5291 USD 374 Sublette</t>
  </si>
  <si>
    <t>5292 USD 375 Circle</t>
  </si>
  <si>
    <t>5293 USD 388 Ellis</t>
  </si>
  <si>
    <t>5294 USD 407 Russell County</t>
  </si>
  <si>
    <t>5295 USD 411 Goessel</t>
  </si>
  <si>
    <t>5296 USD 435 Abilene</t>
  </si>
  <si>
    <t>5297 USD 461 Neodesha</t>
  </si>
  <si>
    <t>5298 USD 468 Healy</t>
  </si>
  <si>
    <t>5299 USD 471 Dexter</t>
  </si>
  <si>
    <t>5300 USD 484 Fredonia</t>
  </si>
  <si>
    <t>5302 USD 489 Hays</t>
  </si>
  <si>
    <t>5216 USD 473 Chapman</t>
  </si>
  <si>
    <t>5304 USD 491 Eudora</t>
  </si>
  <si>
    <t>5305 USD 492 Flinthills</t>
  </si>
  <si>
    <t>5306 USD 495 Fort Larned</t>
  </si>
  <si>
    <t>5307 USD 496 Pawnee Heights</t>
  </si>
  <si>
    <t>5308 USD 497 Lawrence</t>
  </si>
  <si>
    <t>5309 USD 499 Galena</t>
  </si>
  <si>
    <t>5310 USD 502 Lewis</t>
  </si>
  <si>
    <t>5312 USD 345 Seaman</t>
  </si>
  <si>
    <t>5313 USD 438 Skyline</t>
  </si>
  <si>
    <t>5314 USD 501 Topeka Public Schools</t>
  </si>
  <si>
    <t>5316 USD 208 Trego County</t>
  </si>
  <si>
    <t>5317 USD 246 Arma</t>
  </si>
  <si>
    <t>5318 USD 247 Cherokee</t>
  </si>
  <si>
    <t>5319 USD 248 Girard</t>
  </si>
  <si>
    <t>5320 USD 426 Pike Valley</t>
  </si>
  <si>
    <t>5321 USD 498 Valley Heights</t>
  </si>
  <si>
    <t>5322 USD 504 Oswego</t>
  </si>
  <si>
    <t>5324 USD 500 Kansas City</t>
  </si>
  <si>
    <t>5329 USD 245 Leroy-Gridley</t>
  </si>
  <si>
    <t>5330 USD 493 Columbus</t>
  </si>
  <si>
    <t>5331 USD 503 Parsons</t>
  </si>
  <si>
    <t>5332 USD 506 Labette County</t>
  </si>
  <si>
    <t>5333 USD 505 Chetopa</t>
  </si>
  <si>
    <t>5337 USD 207 Fort Leavenworth</t>
  </si>
  <si>
    <t>5366 USD 508 Baxter Springs</t>
  </si>
  <si>
    <t>5367 USD 507 Satanta</t>
  </si>
  <si>
    <t>5368 USD 101 Erie-St Paul</t>
  </si>
  <si>
    <t>5405 USD 511 Attica</t>
  </si>
  <si>
    <t>5409 USD 200 Greeley Co</t>
  </si>
  <si>
    <t>5410 USD 509 South Haven</t>
  </si>
  <si>
    <t>5430 USD 512 Shawnee Mission</t>
  </si>
  <si>
    <t>5436 USD 102 Cimarron-Ensign</t>
  </si>
  <si>
    <t>5590 USD 103 Cheylin</t>
  </si>
  <si>
    <t>5696 Kansas State H S Activities Assoc</t>
  </si>
  <si>
    <t>9291 USD 105 Rawlins County</t>
  </si>
  <si>
    <t>9302 USD 106 Western Plains</t>
  </si>
  <si>
    <t>9332 USD 107 Rock Hills</t>
  </si>
  <si>
    <t>9333 USD 108 Washington County</t>
  </si>
  <si>
    <t>9335 USD 109 Republic County</t>
  </si>
  <si>
    <t>9389 USD 110 Thunder Ridge</t>
  </si>
  <si>
    <t>9410 USD 111 Doniphan West</t>
  </si>
  <si>
    <t>9444 USD 114 Riverside</t>
  </si>
  <si>
    <t>9445 USD 112 Central Plains</t>
  </si>
  <si>
    <t>9446 USD 113 Prairie Hills</t>
  </si>
  <si>
    <t>9461 USD 115 Nemaha Central Schools</t>
  </si>
  <si>
    <t>5303 USD 490 El Dorado</t>
  </si>
  <si>
    <t>District Contributions</t>
  </si>
  <si>
    <t>State Contributions</t>
  </si>
  <si>
    <t>GASB 68 Figure</t>
  </si>
  <si>
    <t>Check</t>
  </si>
  <si>
    <t>district_contributions</t>
  </si>
  <si>
    <t>total_contributions</t>
  </si>
  <si>
    <t>4999 USD 383 Manhattan</t>
  </si>
  <si>
    <t>4930 North Central Kansas Technical College </t>
  </si>
  <si>
    <t>5657 Doniphan County Education Coop </t>
  </si>
  <si>
    <t>5013 USD 443 Dodge City </t>
  </si>
  <si>
    <t>5082 USD 269 Palco </t>
  </si>
  <si>
    <t>5155 USD 311 Pretty Prairie </t>
  </si>
  <si>
    <t>5222 USD 307 Ell-Saline </t>
  </si>
  <si>
    <t>5032 USD 361 Anthony-Harper</t>
  </si>
  <si>
    <t>5087 USD 281 Hill City</t>
  </si>
  <si>
    <t>5133 USD 381 Spearville-Windthors</t>
  </si>
  <si>
    <t>5241 USD 300 Commanche County</t>
  </si>
  <si>
    <t>9303 Wichita Area Technical College</t>
  </si>
  <si>
    <t>5404 Seward County Community College/Area Technical Sch</t>
  </si>
  <si>
    <t>5609 NE Kansas Education Service Center</t>
  </si>
  <si>
    <t>5120 USD 231 Gardner</t>
  </si>
  <si>
    <t>5404 Seward County Community College/Area Technical School</t>
  </si>
  <si>
    <t>state_contributions</t>
  </si>
  <si>
    <t>Additional State Contributions</t>
  </si>
  <si>
    <t>dc prop</t>
  </si>
  <si>
    <t>tc prop</t>
  </si>
  <si>
    <t>total_contributions (pre)</t>
  </si>
  <si>
    <t>20D0001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</si>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</sst>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76" formatCode="_(&quot;$&quot;* #,##0_);_(&quot;$&quot;* \(#,##0\);_(&quot;$&quot;* &quot;-&quot;??_);_(@_)"/>
    <numFmt numFmtId="178" formatCode="0.0000%"/>
    <numFmt numFmtId="179" formatCode="_(* #,##0.000_);_(* \(#,##0.00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31F20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"/>
      <scheme val="minor"/>
    </font>
    <font>
      <sz val="12"/>
      <color rgb="FF211D1E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1" fontId="0" fillId="0" borderId="0" xfId="0" applyNumberFormat="1"/>
    <xf numFmtId="3" fontId="0" fillId="0" borderId="0" xfId="0" applyNumberFormat="1"/>
    <xf numFmtId="0" fontId="2" fillId="0" borderId="0" xfId="0" applyFont="1"/>
    <xf numFmtId="165" fontId="0" fillId="0" borderId="0" xfId="1" applyNumberFormat="1" applyFont="1"/>
    <xf numFmtId="165" fontId="0" fillId="0" borderId="0" xfId="0" applyNumberFormat="1"/>
    <xf numFmtId="0" fontId="4" fillId="0" borderId="0" xfId="0" applyFont="1"/>
    <xf numFmtId="44" fontId="0" fillId="0" borderId="0" xfId="0" applyNumberFormat="1"/>
    <xf numFmtId="176" fontId="0" fillId="0" borderId="0" xfId="0" applyNumberFormat="1"/>
    <xf numFmtId="176" fontId="4" fillId="0" borderId="0" xfId="0" applyNumberFormat="1" applyFont="1"/>
    <xf numFmtId="0" fontId="3" fillId="0" borderId="0" xfId="0" applyFont="1"/>
    <xf numFmtId="3" fontId="3" fillId="0" borderId="0" xfId="0" applyNumberFormat="1" applyFont="1"/>
    <xf numFmtId="10" fontId="3" fillId="0" borderId="0" xfId="0" applyNumberFormat="1" applyFont="1"/>
    <xf numFmtId="3" fontId="2" fillId="0" borderId="0" xfId="0" applyNumberFormat="1" applyFont="1"/>
    <xf numFmtId="0" fontId="0" fillId="0" borderId="0" xfId="0" applyFont="1"/>
    <xf numFmtId="0" fontId="5" fillId="0" borderId="0" xfId="0" applyFont="1"/>
    <xf numFmtId="176" fontId="5" fillId="0" borderId="0" xfId="0" applyNumberFormat="1" applyFont="1"/>
    <xf numFmtId="0" fontId="6" fillId="0" borderId="0" xfId="0" applyFont="1"/>
    <xf numFmtId="6" fontId="2" fillId="0" borderId="0" xfId="0" applyNumberFormat="1" applyFont="1"/>
    <xf numFmtId="165" fontId="2" fillId="0" borderId="0" xfId="1" applyNumberFormat="1" applyFont="1"/>
    <xf numFmtId="179" fontId="2" fillId="0" borderId="0" xfId="1" applyNumberFormat="1" applyFont="1"/>
    <xf numFmtId="0" fontId="4" fillId="0" borderId="0" xfId="0" applyFont="1" applyAlignment="1">
      <alignment horizontal="right"/>
    </xf>
    <xf numFmtId="178" fontId="2" fillId="0" borderId="0" xfId="2" applyNumberFormat="1" applyFont="1"/>
    <xf numFmtId="2" fontId="0" fillId="0" borderId="0" xfId="0" applyNumberFormat="1"/>
    <xf numFmtId="2" fontId="0" fillId="0" borderId="0" xfId="1" applyNumberFormat="1" applyFont="1"/>
    <xf numFmtId="1" fontId="3" fillId="0" borderId="0" xfId="0" applyNumberFormat="1" applyFont="1"/>
    <xf numFmtId="1" fontId="0" fillId="0" borderId="0" xfId="1" applyNumberFormat="1" applyFont="1"/>
    <xf numFmtId="1" fontId="2" fillId="0" borderId="0" xfId="1" applyNumberFormat="1" applyFont="1"/>
    <xf numFmtId="0" fontId="0" fillId="0" borderId="0" xfId="0" applyNumberFormat="1"/>
    <xf numFmtId="0" fontId="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50C3-CCCA-824E-91E9-CEA0C968A9D4}">
  <sheetPr>
    <tabColor rgb="FF002060"/>
  </sheetPr>
  <dimension ref="A1:J2979"/>
  <sheetViews>
    <sheetView tabSelected="1" workbookViewId="0">
      <selection activeCell="B3" sqref="B3"/>
    </sheetView>
  </sheetViews>
  <sheetFormatPr baseColWidth="10" defaultRowHeight="16" x14ac:dyDescent="0.2"/>
  <cols>
    <col min="2" max="2" width="11.83203125" bestFit="1" customWidth="1"/>
    <col min="3" max="3" width="6.83203125" bestFit="1" customWidth="1"/>
    <col min="4" max="4" width="9.1640625" bestFit="1" customWidth="1"/>
    <col min="5" max="5" width="37.6640625" bestFit="1" customWidth="1"/>
    <col min="6" max="6" width="12.33203125" bestFit="1" customWidth="1"/>
    <col min="7" max="7" width="48" bestFit="1" customWidth="1"/>
    <col min="8" max="8" width="18.83203125" bestFit="1" customWidth="1"/>
    <col min="9" max="10" width="16.83203125" bestFit="1" customWidth="1"/>
  </cols>
  <sheetData>
    <row r="1" spans="1:10" s="3" customFormat="1" x14ac:dyDescent="0.2">
      <c r="A1" s="3" t="s">
        <v>0</v>
      </c>
      <c r="B1" s="3" t="s">
        <v>1</v>
      </c>
      <c r="C1" s="3" t="s">
        <v>374</v>
      </c>
      <c r="D1" s="3" t="s">
        <v>2</v>
      </c>
      <c r="E1" s="3" t="s">
        <v>3</v>
      </c>
      <c r="F1" s="3" t="s">
        <v>5</v>
      </c>
      <c r="G1" s="3" t="s">
        <v>4</v>
      </c>
      <c r="H1" s="3" t="s">
        <v>350</v>
      </c>
      <c r="I1" s="3" t="s">
        <v>368</v>
      </c>
      <c r="J1" s="3" t="s">
        <v>351</v>
      </c>
    </row>
    <row r="2" spans="1:10" x14ac:dyDescent="0.2">
      <c r="A2">
        <v>2012360</v>
      </c>
      <c r="B2">
        <v>2015</v>
      </c>
      <c r="C2" t="s">
        <v>6</v>
      </c>
      <c r="D2" t="s">
        <v>7</v>
      </c>
      <c r="E2" t="s">
        <v>8</v>
      </c>
      <c r="F2" s="29">
        <v>4828</v>
      </c>
      <c r="G2" s="3" t="s">
        <v>59</v>
      </c>
      <c r="H2" s="27">
        <v>2378336</v>
      </c>
      <c r="I2" s="1">
        <v>383088.19195453892</v>
      </c>
      <c r="J2" s="1">
        <v>2761424.1919545392</v>
      </c>
    </row>
    <row r="3" spans="1:10" x14ac:dyDescent="0.2">
      <c r="A3">
        <v>2012360</v>
      </c>
      <c r="B3">
        <v>2016</v>
      </c>
      <c r="C3" t="s">
        <v>6</v>
      </c>
      <c r="D3" t="s">
        <v>7</v>
      </c>
      <c r="E3" t="s">
        <v>8</v>
      </c>
      <c r="F3" s="29">
        <v>4828</v>
      </c>
      <c r="G3" s="3" t="s">
        <v>59</v>
      </c>
      <c r="H3" s="1">
        <v>2755756</v>
      </c>
      <c r="I3" s="26">
        <v>7278195.9221374802</v>
      </c>
      <c r="J3" s="26">
        <v>10033951.92213748</v>
      </c>
    </row>
    <row r="4" spans="1:10" x14ac:dyDescent="0.2">
      <c r="A4">
        <v>2012360</v>
      </c>
      <c r="B4">
        <v>2017</v>
      </c>
      <c r="C4" t="s">
        <v>6</v>
      </c>
      <c r="D4" t="s">
        <v>7</v>
      </c>
      <c r="E4" t="s">
        <v>8</v>
      </c>
      <c r="F4" s="29">
        <v>4828</v>
      </c>
      <c r="G4" s="3" t="s">
        <v>59</v>
      </c>
      <c r="H4" s="1">
        <v>2529811</v>
      </c>
      <c r="I4" s="1">
        <v>394791.27722632646</v>
      </c>
      <c r="J4" s="1">
        <v>2924602.2772263265</v>
      </c>
    </row>
    <row r="5" spans="1:10" x14ac:dyDescent="0.2">
      <c r="A5">
        <v>2012360</v>
      </c>
      <c r="B5">
        <v>2018</v>
      </c>
      <c r="C5" t="s">
        <v>6</v>
      </c>
      <c r="D5" t="s">
        <v>7</v>
      </c>
      <c r="E5" t="s">
        <v>8</v>
      </c>
      <c r="F5" s="28">
        <v>4828</v>
      </c>
      <c r="G5" t="s">
        <v>59</v>
      </c>
      <c r="H5" s="1">
        <v>3185199</v>
      </c>
      <c r="I5" s="1">
        <v>481663.71395699872</v>
      </c>
      <c r="J5" s="1">
        <v>3666862.7139569987</v>
      </c>
    </row>
    <row r="6" spans="1:10" x14ac:dyDescent="0.2">
      <c r="A6">
        <v>2012360</v>
      </c>
      <c r="B6">
        <v>2019</v>
      </c>
      <c r="C6" t="s">
        <v>6</v>
      </c>
      <c r="D6" t="s">
        <v>7</v>
      </c>
      <c r="E6" t="s">
        <v>8</v>
      </c>
      <c r="F6" s="28">
        <v>4828</v>
      </c>
      <c r="G6" t="s">
        <v>59</v>
      </c>
      <c r="H6" s="1">
        <v>3297349</v>
      </c>
      <c r="I6" s="1">
        <v>502179.0706753913</v>
      </c>
      <c r="J6" s="1">
        <v>3799528.0706753912</v>
      </c>
    </row>
    <row r="7" spans="1:10" x14ac:dyDescent="0.2">
      <c r="A7">
        <v>2012360</v>
      </c>
      <c r="B7">
        <v>2020</v>
      </c>
      <c r="C7" t="s">
        <v>6</v>
      </c>
      <c r="D7" t="s">
        <v>7</v>
      </c>
      <c r="E7" t="s">
        <v>8</v>
      </c>
      <c r="F7" s="28">
        <v>4828</v>
      </c>
      <c r="G7" t="s">
        <v>59</v>
      </c>
      <c r="H7" s="1">
        <v>4228066</v>
      </c>
      <c r="I7" s="1">
        <v>639642.22471598361</v>
      </c>
      <c r="J7" s="1">
        <v>4867708.2247159835</v>
      </c>
    </row>
    <row r="8" spans="1:10" x14ac:dyDescent="0.2">
      <c r="A8">
        <v>2012360</v>
      </c>
      <c r="B8">
        <v>2021</v>
      </c>
      <c r="C8" t="s">
        <v>6</v>
      </c>
      <c r="D8" t="s">
        <v>7</v>
      </c>
      <c r="E8" t="s">
        <v>8</v>
      </c>
      <c r="F8" s="28">
        <v>4828</v>
      </c>
      <c r="G8" t="s">
        <v>59</v>
      </c>
      <c r="H8" s="25">
        <v>4192926</v>
      </c>
      <c r="I8" s="1">
        <v>625975.00738264027</v>
      </c>
      <c r="J8" s="1">
        <v>4818901.0073826406</v>
      </c>
    </row>
    <row r="9" spans="1:10" x14ac:dyDescent="0.2">
      <c r="A9">
        <v>2012360</v>
      </c>
      <c r="B9">
        <v>2022</v>
      </c>
      <c r="C9" t="s">
        <v>6</v>
      </c>
      <c r="D9" t="s">
        <v>7</v>
      </c>
      <c r="E9" t="s">
        <v>8</v>
      </c>
      <c r="F9" s="28">
        <v>4828</v>
      </c>
      <c r="G9" t="s">
        <v>59</v>
      </c>
      <c r="H9" s="1">
        <v>3959848</v>
      </c>
      <c r="I9" s="1">
        <v>537769.35180589417</v>
      </c>
      <c r="J9" s="1">
        <v>4497617.3518058937</v>
      </c>
    </row>
    <row r="10" spans="1:10" x14ac:dyDescent="0.2">
      <c r="A10">
        <v>2012360</v>
      </c>
      <c r="B10">
        <v>2023</v>
      </c>
      <c r="C10" t="s">
        <v>6</v>
      </c>
      <c r="D10" t="s">
        <v>7</v>
      </c>
      <c r="E10" t="s">
        <v>8</v>
      </c>
      <c r="F10" s="28">
        <v>4828</v>
      </c>
      <c r="G10" s="10" t="s">
        <v>59</v>
      </c>
      <c r="H10" s="1">
        <v>4053735</v>
      </c>
      <c r="I10" s="1">
        <v>567534.96507838357</v>
      </c>
      <c r="J10" s="1">
        <v>4621269.9650783837</v>
      </c>
    </row>
    <row r="11" spans="1:10" x14ac:dyDescent="0.2">
      <c r="A11">
        <v>2010680</v>
      </c>
      <c r="B11">
        <v>2015</v>
      </c>
      <c r="C11" t="s">
        <v>6</v>
      </c>
      <c r="D11" t="s">
        <v>7</v>
      </c>
      <c r="E11" t="s">
        <v>8</v>
      </c>
      <c r="F11" s="29">
        <v>4829</v>
      </c>
      <c r="G11" s="3" t="s">
        <v>60</v>
      </c>
      <c r="H11" s="27">
        <v>772397</v>
      </c>
      <c r="I11" s="1">
        <v>124413.10655900174</v>
      </c>
      <c r="J11" s="1">
        <v>896810.10655900172</v>
      </c>
    </row>
    <row r="12" spans="1:10" x14ac:dyDescent="0.2">
      <c r="A12">
        <v>2010680</v>
      </c>
      <c r="B12">
        <v>2016</v>
      </c>
      <c r="C12" t="s">
        <v>6</v>
      </c>
      <c r="D12" t="s">
        <v>7</v>
      </c>
      <c r="E12" t="s">
        <v>8</v>
      </c>
      <c r="F12" s="29">
        <v>4829</v>
      </c>
      <c r="G12" s="3" t="s">
        <v>60</v>
      </c>
      <c r="H12" s="1">
        <v>1065379</v>
      </c>
      <c r="I12" s="26">
        <v>2813758.9182592612</v>
      </c>
      <c r="J12" s="26">
        <v>3879137.9182592612</v>
      </c>
    </row>
    <row r="13" spans="1:10" x14ac:dyDescent="0.2">
      <c r="A13">
        <v>2010680</v>
      </c>
      <c r="B13">
        <v>2017</v>
      </c>
      <c r="C13" t="s">
        <v>6</v>
      </c>
      <c r="D13" t="s">
        <v>7</v>
      </c>
      <c r="E13" t="s">
        <v>8</v>
      </c>
      <c r="F13" s="29">
        <v>4829</v>
      </c>
      <c r="G13" s="3" t="s">
        <v>60</v>
      </c>
      <c r="H13" s="1">
        <v>1109694</v>
      </c>
      <c r="I13" s="1">
        <v>173174.00848932631</v>
      </c>
      <c r="J13" s="1">
        <v>1282868.0084893263</v>
      </c>
    </row>
    <row r="14" spans="1:10" x14ac:dyDescent="0.2">
      <c r="A14">
        <v>2010680</v>
      </c>
      <c r="B14">
        <v>2018</v>
      </c>
      <c r="C14" t="s">
        <v>6</v>
      </c>
      <c r="D14" t="s">
        <v>7</v>
      </c>
      <c r="E14" t="s">
        <v>8</v>
      </c>
      <c r="F14" s="28">
        <v>4829</v>
      </c>
      <c r="G14" t="s">
        <v>60</v>
      </c>
      <c r="H14" s="1">
        <v>1364704</v>
      </c>
      <c r="I14" s="1">
        <v>206369.64820470306</v>
      </c>
      <c r="J14" s="1">
        <v>1571073.6482047031</v>
      </c>
    </row>
    <row r="15" spans="1:10" x14ac:dyDescent="0.2">
      <c r="A15">
        <v>2010680</v>
      </c>
      <c r="B15">
        <v>2019</v>
      </c>
      <c r="C15" t="s">
        <v>6</v>
      </c>
      <c r="D15" t="s">
        <v>7</v>
      </c>
      <c r="E15" t="s">
        <v>8</v>
      </c>
      <c r="F15" s="28">
        <v>4829</v>
      </c>
      <c r="G15" t="s">
        <v>60</v>
      </c>
      <c r="H15" s="1">
        <v>1608601</v>
      </c>
      <c r="I15" s="1">
        <v>244986.42857262155</v>
      </c>
      <c r="J15" s="1">
        <v>1853587.4285726217</v>
      </c>
    </row>
    <row r="16" spans="1:10" x14ac:dyDescent="0.2">
      <c r="A16">
        <v>2010680</v>
      </c>
      <c r="B16">
        <v>2020</v>
      </c>
      <c r="C16" t="s">
        <v>6</v>
      </c>
      <c r="D16" t="s">
        <v>7</v>
      </c>
      <c r="E16" t="s">
        <v>8</v>
      </c>
      <c r="F16" s="28">
        <v>4829</v>
      </c>
      <c r="G16" t="s">
        <v>60</v>
      </c>
      <c r="H16" s="1">
        <v>1915578</v>
      </c>
      <c r="I16" s="1">
        <v>289797.88242118136</v>
      </c>
      <c r="J16" s="1">
        <v>2205375.8824211815</v>
      </c>
    </row>
    <row r="17" spans="1:10" x14ac:dyDescent="0.2">
      <c r="A17">
        <v>2010680</v>
      </c>
      <c r="B17">
        <v>2021</v>
      </c>
      <c r="C17" t="s">
        <v>6</v>
      </c>
      <c r="D17" t="s">
        <v>7</v>
      </c>
      <c r="E17" t="s">
        <v>8</v>
      </c>
      <c r="F17" s="28">
        <v>4829</v>
      </c>
      <c r="G17" t="s">
        <v>60</v>
      </c>
      <c r="H17" s="25">
        <v>1982353</v>
      </c>
      <c r="I17" s="1">
        <v>295951.66568882903</v>
      </c>
      <c r="J17" s="1">
        <v>2278304.665688829</v>
      </c>
    </row>
    <row r="18" spans="1:10" x14ac:dyDescent="0.2">
      <c r="A18">
        <v>2010680</v>
      </c>
      <c r="B18">
        <v>2022</v>
      </c>
      <c r="C18" t="s">
        <v>6</v>
      </c>
      <c r="D18" t="s">
        <v>7</v>
      </c>
      <c r="E18" t="s">
        <v>8</v>
      </c>
      <c r="F18" s="28">
        <v>4829</v>
      </c>
      <c r="G18" t="s">
        <v>60</v>
      </c>
      <c r="H18" s="1">
        <v>2151162</v>
      </c>
      <c r="I18" s="1">
        <v>292139.74737653334</v>
      </c>
      <c r="J18" s="1">
        <v>2443301.7473765332</v>
      </c>
    </row>
    <row r="19" spans="1:10" x14ac:dyDescent="0.2">
      <c r="A19">
        <v>2010680</v>
      </c>
      <c r="B19">
        <v>2023</v>
      </c>
      <c r="C19" t="s">
        <v>6</v>
      </c>
      <c r="D19" t="s">
        <v>7</v>
      </c>
      <c r="E19" t="s">
        <v>8</v>
      </c>
      <c r="F19" s="28">
        <v>4829</v>
      </c>
      <c r="G19" s="10" t="s">
        <v>60</v>
      </c>
      <c r="H19" s="1">
        <v>2246981</v>
      </c>
      <c r="I19" s="1">
        <v>314584.02766011871</v>
      </c>
      <c r="J19" s="1">
        <v>2561565.0276601189</v>
      </c>
    </row>
    <row r="20" spans="1:10" x14ac:dyDescent="0.2">
      <c r="A20">
        <v>2008550</v>
      </c>
      <c r="B20">
        <v>2015</v>
      </c>
      <c r="C20" t="s">
        <v>6</v>
      </c>
      <c r="D20" t="s">
        <v>7</v>
      </c>
      <c r="E20" t="s">
        <v>8</v>
      </c>
      <c r="F20" s="29">
        <v>4871</v>
      </c>
      <c r="G20" s="3" t="s">
        <v>61</v>
      </c>
      <c r="H20" s="27">
        <v>324409</v>
      </c>
      <c r="I20" s="1">
        <v>52253.868782114892</v>
      </c>
      <c r="J20" s="1">
        <v>376662.86878211488</v>
      </c>
    </row>
    <row r="21" spans="1:10" x14ac:dyDescent="0.2">
      <c r="A21">
        <v>2008550</v>
      </c>
      <c r="B21">
        <v>2016</v>
      </c>
      <c r="C21" t="s">
        <v>6</v>
      </c>
      <c r="D21" t="s">
        <v>7</v>
      </c>
      <c r="E21" t="s">
        <v>8</v>
      </c>
      <c r="F21" s="29">
        <v>4871</v>
      </c>
      <c r="G21" s="3" t="s">
        <v>61</v>
      </c>
      <c r="H21" s="1">
        <v>305950</v>
      </c>
      <c r="I21" s="26">
        <v>808046.26598803443</v>
      </c>
      <c r="J21" s="26">
        <v>1113996.2659880344</v>
      </c>
    </row>
    <row r="22" spans="1:10" x14ac:dyDescent="0.2">
      <c r="A22">
        <v>2008550</v>
      </c>
      <c r="B22">
        <v>2017</v>
      </c>
      <c r="C22" t="s">
        <v>6</v>
      </c>
      <c r="D22" t="s">
        <v>7</v>
      </c>
      <c r="E22" t="s">
        <v>8</v>
      </c>
      <c r="F22" s="29">
        <v>4871</v>
      </c>
      <c r="G22" s="3" t="s">
        <v>61</v>
      </c>
      <c r="H22" s="1">
        <v>367483</v>
      </c>
      <c r="I22" s="1">
        <v>57347.795123415191</v>
      </c>
      <c r="J22" s="1">
        <v>424830.79512341518</v>
      </c>
    </row>
    <row r="23" spans="1:10" x14ac:dyDescent="0.2">
      <c r="A23">
        <v>2008550</v>
      </c>
      <c r="B23">
        <v>2018</v>
      </c>
      <c r="C23" t="s">
        <v>6</v>
      </c>
      <c r="D23" t="s">
        <v>7</v>
      </c>
      <c r="E23" t="s">
        <v>8</v>
      </c>
      <c r="F23" s="28">
        <v>4871</v>
      </c>
      <c r="G23" t="s">
        <v>61</v>
      </c>
      <c r="H23" s="1">
        <v>390226</v>
      </c>
      <c r="I23" s="1">
        <v>59009.721038648997</v>
      </c>
      <c r="J23" s="1">
        <v>449235.72103864898</v>
      </c>
    </row>
    <row r="24" spans="1:10" x14ac:dyDescent="0.2">
      <c r="A24">
        <v>2008550</v>
      </c>
      <c r="B24">
        <v>2019</v>
      </c>
      <c r="C24" t="s">
        <v>6</v>
      </c>
      <c r="D24" t="s">
        <v>7</v>
      </c>
      <c r="E24" t="s">
        <v>8</v>
      </c>
      <c r="F24" s="28">
        <v>4871</v>
      </c>
      <c r="G24" t="s">
        <v>61</v>
      </c>
      <c r="H24" s="1">
        <v>456320</v>
      </c>
      <c r="I24" s="1">
        <v>69496.542079893436</v>
      </c>
      <c r="J24" s="1">
        <v>525816.54207989341</v>
      </c>
    </row>
    <row r="25" spans="1:10" x14ac:dyDescent="0.2">
      <c r="A25">
        <v>2008550</v>
      </c>
      <c r="B25">
        <v>2020</v>
      </c>
      <c r="C25" t="s">
        <v>6</v>
      </c>
      <c r="D25" t="s">
        <v>7</v>
      </c>
      <c r="E25" t="s">
        <v>8</v>
      </c>
      <c r="F25" s="28">
        <v>4871</v>
      </c>
      <c r="G25" t="s">
        <v>61</v>
      </c>
      <c r="H25" s="1">
        <v>501651</v>
      </c>
      <c r="I25" s="1">
        <v>75892.183724425748</v>
      </c>
      <c r="J25" s="1">
        <v>577543.18372442573</v>
      </c>
    </row>
    <row r="26" spans="1:10" x14ac:dyDescent="0.2">
      <c r="A26">
        <v>2008550</v>
      </c>
      <c r="B26">
        <v>2021</v>
      </c>
      <c r="C26" t="s">
        <v>6</v>
      </c>
      <c r="D26" t="s">
        <v>7</v>
      </c>
      <c r="E26" t="s">
        <v>8</v>
      </c>
      <c r="F26" s="28">
        <v>4871</v>
      </c>
      <c r="G26" t="s">
        <v>61</v>
      </c>
      <c r="H26" s="25">
        <v>510604</v>
      </c>
      <c r="I26" s="1">
        <v>76229.664599281183</v>
      </c>
      <c r="J26" s="1">
        <v>586833.66459928115</v>
      </c>
    </row>
    <row r="27" spans="1:10" x14ac:dyDescent="0.2">
      <c r="A27">
        <v>2008550</v>
      </c>
      <c r="B27">
        <v>2022</v>
      </c>
      <c r="C27" t="s">
        <v>6</v>
      </c>
      <c r="D27" t="s">
        <v>7</v>
      </c>
      <c r="E27" t="s">
        <v>8</v>
      </c>
      <c r="F27" s="28">
        <v>4871</v>
      </c>
      <c r="G27" t="s">
        <v>61</v>
      </c>
      <c r="H27" s="1">
        <v>491417</v>
      </c>
      <c r="I27" s="1">
        <v>66737.157980911667</v>
      </c>
      <c r="J27" s="1">
        <v>558154.15798091167</v>
      </c>
    </row>
    <row r="28" spans="1:10" x14ac:dyDescent="0.2">
      <c r="A28">
        <v>2008550</v>
      </c>
      <c r="B28">
        <v>2023</v>
      </c>
      <c r="C28" t="s">
        <v>6</v>
      </c>
      <c r="D28" t="s">
        <v>7</v>
      </c>
      <c r="E28" t="s">
        <v>8</v>
      </c>
      <c r="F28" s="28">
        <v>4871</v>
      </c>
      <c r="G28" s="10" t="s">
        <v>61</v>
      </c>
      <c r="H28" s="1">
        <v>528579</v>
      </c>
      <c r="I28" s="1">
        <v>74002.633202754223</v>
      </c>
      <c r="J28" s="1">
        <v>602581.63320275419</v>
      </c>
    </row>
    <row r="29" spans="1:10" x14ac:dyDescent="0.2">
      <c r="A29">
        <v>2004050</v>
      </c>
      <c r="B29">
        <v>2015</v>
      </c>
      <c r="C29" t="s">
        <v>6</v>
      </c>
      <c r="D29" t="s">
        <v>7</v>
      </c>
      <c r="E29" t="s">
        <v>8</v>
      </c>
      <c r="F29" s="29">
        <v>4882</v>
      </c>
      <c r="G29" s="3" t="s">
        <v>62</v>
      </c>
      <c r="H29" s="27">
        <v>1504400</v>
      </c>
      <c r="I29" s="1">
        <v>242319.78827903554</v>
      </c>
      <c r="J29" s="1">
        <v>1746719.7882790356</v>
      </c>
    </row>
    <row r="30" spans="1:10" x14ac:dyDescent="0.2">
      <c r="A30">
        <v>2004050</v>
      </c>
      <c r="B30">
        <v>2016</v>
      </c>
      <c r="C30" t="s">
        <v>6</v>
      </c>
      <c r="D30" t="s">
        <v>7</v>
      </c>
      <c r="E30" t="s">
        <v>8</v>
      </c>
      <c r="F30" s="29">
        <v>4882</v>
      </c>
      <c r="G30" s="3" t="s">
        <v>62</v>
      </c>
      <c r="H30" s="1">
        <v>1785915</v>
      </c>
      <c r="I30" s="26">
        <v>4716764.6641523149</v>
      </c>
      <c r="J30" s="26">
        <v>6502679.6641523149</v>
      </c>
    </row>
    <row r="31" spans="1:10" x14ac:dyDescent="0.2">
      <c r="A31">
        <v>2004050</v>
      </c>
      <c r="B31">
        <v>2017</v>
      </c>
      <c r="C31" t="s">
        <v>6</v>
      </c>
      <c r="D31" t="s">
        <v>7</v>
      </c>
      <c r="E31" t="s">
        <v>8</v>
      </c>
      <c r="F31" s="29">
        <v>4882</v>
      </c>
      <c r="G31" s="3" t="s">
        <v>62</v>
      </c>
      <c r="H31" s="1">
        <v>2003420</v>
      </c>
      <c r="I31" s="1">
        <v>312644.99230209959</v>
      </c>
      <c r="J31" s="1">
        <v>2316064.9923020997</v>
      </c>
    </row>
    <row r="32" spans="1:10" x14ac:dyDescent="0.2">
      <c r="A32">
        <v>2004050</v>
      </c>
      <c r="B32">
        <v>2018</v>
      </c>
      <c r="C32" t="s">
        <v>6</v>
      </c>
      <c r="D32" t="s">
        <v>7</v>
      </c>
      <c r="E32" t="s">
        <v>8</v>
      </c>
      <c r="F32" s="28">
        <v>4882</v>
      </c>
      <c r="G32" t="s">
        <v>62</v>
      </c>
      <c r="H32" s="1">
        <v>2246022</v>
      </c>
      <c r="I32" s="1">
        <v>339641.98097171512</v>
      </c>
      <c r="J32" s="1">
        <v>2585663.9809717149</v>
      </c>
    </row>
    <row r="33" spans="1:10" x14ac:dyDescent="0.2">
      <c r="A33">
        <v>2004050</v>
      </c>
      <c r="B33">
        <v>2019</v>
      </c>
      <c r="C33" t="s">
        <v>6</v>
      </c>
      <c r="D33" t="s">
        <v>7</v>
      </c>
      <c r="E33" t="s">
        <v>8</v>
      </c>
      <c r="F33" s="28">
        <v>4882</v>
      </c>
      <c r="G33" t="s">
        <v>62</v>
      </c>
      <c r="H33" s="1">
        <v>2525381</v>
      </c>
      <c r="I33" s="1">
        <v>384610.02571498812</v>
      </c>
      <c r="J33" s="1">
        <v>2909991.0257149879</v>
      </c>
    </row>
    <row r="34" spans="1:10" x14ac:dyDescent="0.2">
      <c r="A34">
        <v>2004050</v>
      </c>
      <c r="B34">
        <v>2020</v>
      </c>
      <c r="C34" t="s">
        <v>6</v>
      </c>
      <c r="D34" t="s">
        <v>7</v>
      </c>
      <c r="E34" t="s">
        <v>8</v>
      </c>
      <c r="F34" s="28">
        <v>4882</v>
      </c>
      <c r="G34" t="s">
        <v>62</v>
      </c>
      <c r="H34" s="1">
        <v>2810002</v>
      </c>
      <c r="I34" s="1">
        <v>425110.6606983816</v>
      </c>
      <c r="J34" s="1">
        <v>3235112.6606983817</v>
      </c>
    </row>
    <row r="35" spans="1:10" x14ac:dyDescent="0.2">
      <c r="A35">
        <v>2004050</v>
      </c>
      <c r="B35">
        <v>2021</v>
      </c>
      <c r="C35" t="s">
        <v>6</v>
      </c>
      <c r="D35" t="s">
        <v>7</v>
      </c>
      <c r="E35" t="s">
        <v>8</v>
      </c>
      <c r="F35" s="28">
        <v>4882</v>
      </c>
      <c r="G35" t="s">
        <v>62</v>
      </c>
      <c r="H35" s="25">
        <v>2883682</v>
      </c>
      <c r="I35" s="1">
        <v>430513.8848716116</v>
      </c>
      <c r="J35" s="1">
        <v>3314195.8848716114</v>
      </c>
    </row>
    <row r="36" spans="1:10" x14ac:dyDescent="0.2">
      <c r="A36">
        <v>2004050</v>
      </c>
      <c r="B36">
        <v>2022</v>
      </c>
      <c r="C36" t="s">
        <v>6</v>
      </c>
      <c r="D36" t="s">
        <v>7</v>
      </c>
      <c r="E36" t="s">
        <v>8</v>
      </c>
      <c r="F36" s="28">
        <v>4882</v>
      </c>
      <c r="G36" t="s">
        <v>62</v>
      </c>
      <c r="H36" s="1">
        <v>2810886</v>
      </c>
      <c r="I36" s="1">
        <v>381733.9307519538</v>
      </c>
      <c r="J36" s="1">
        <v>3192619.9307519537</v>
      </c>
    </row>
    <row r="37" spans="1:10" x14ac:dyDescent="0.2">
      <c r="A37">
        <v>2004050</v>
      </c>
      <c r="B37">
        <v>2023</v>
      </c>
      <c r="C37" t="s">
        <v>6</v>
      </c>
      <c r="D37" t="s">
        <v>7</v>
      </c>
      <c r="E37" t="s">
        <v>8</v>
      </c>
      <c r="F37" s="28">
        <v>4882</v>
      </c>
      <c r="G37" s="10" t="s">
        <v>62</v>
      </c>
      <c r="H37" s="1">
        <v>2819319</v>
      </c>
      <c r="I37" s="1">
        <v>394713.05110221147</v>
      </c>
      <c r="J37" s="1">
        <v>3214032.0511022117</v>
      </c>
    </row>
    <row r="38" spans="1:10" x14ac:dyDescent="0.2">
      <c r="A38">
        <v>2006240</v>
      </c>
      <c r="B38">
        <v>2015</v>
      </c>
      <c r="C38" t="s">
        <v>6</v>
      </c>
      <c r="D38" t="s">
        <v>7</v>
      </c>
      <c r="E38" t="s">
        <v>8</v>
      </c>
      <c r="F38" s="29">
        <v>4912</v>
      </c>
      <c r="G38" s="3" t="s">
        <v>63</v>
      </c>
      <c r="H38" s="27">
        <v>273028</v>
      </c>
      <c r="I38" s="1">
        <v>43977.723447386677</v>
      </c>
      <c r="J38" s="1">
        <v>317005.7234473867</v>
      </c>
    </row>
    <row r="39" spans="1:10" x14ac:dyDescent="0.2">
      <c r="A39">
        <v>2006240</v>
      </c>
      <c r="B39">
        <v>2016</v>
      </c>
      <c r="C39" t="s">
        <v>6</v>
      </c>
      <c r="D39" t="s">
        <v>7</v>
      </c>
      <c r="E39" t="s">
        <v>8</v>
      </c>
      <c r="F39" s="29">
        <v>4912</v>
      </c>
      <c r="G39" s="3" t="s">
        <v>63</v>
      </c>
      <c r="H39" s="1">
        <v>337386</v>
      </c>
      <c r="I39" s="26">
        <v>891065.63858248491</v>
      </c>
      <c r="J39" s="26">
        <v>1228451.6385824848</v>
      </c>
    </row>
    <row r="40" spans="1:10" x14ac:dyDescent="0.2">
      <c r="A40">
        <v>2006240</v>
      </c>
      <c r="B40">
        <v>2017</v>
      </c>
      <c r="C40" t="s">
        <v>6</v>
      </c>
      <c r="D40" t="s">
        <v>7</v>
      </c>
      <c r="E40" t="s">
        <v>8</v>
      </c>
      <c r="F40" s="29">
        <v>4912</v>
      </c>
      <c r="G40" s="3" t="s">
        <v>63</v>
      </c>
      <c r="H40" s="1">
        <v>346435</v>
      </c>
      <c r="I40" s="1">
        <v>54063.1359915434</v>
      </c>
      <c r="J40" s="1">
        <v>400498.13599154342</v>
      </c>
    </row>
    <row r="41" spans="1:10" x14ac:dyDescent="0.2">
      <c r="A41">
        <v>2006240</v>
      </c>
      <c r="B41">
        <v>2018</v>
      </c>
      <c r="C41" t="s">
        <v>6</v>
      </c>
      <c r="D41" t="s">
        <v>7</v>
      </c>
      <c r="E41" t="s">
        <v>8</v>
      </c>
      <c r="F41" s="28">
        <v>4912</v>
      </c>
      <c r="G41" t="s">
        <v>63</v>
      </c>
      <c r="H41" s="1">
        <v>400544</v>
      </c>
      <c r="I41" s="1">
        <v>60570.002264597002</v>
      </c>
      <c r="J41" s="1">
        <v>461114.00226459699</v>
      </c>
    </row>
    <row r="42" spans="1:10" x14ac:dyDescent="0.2">
      <c r="A42">
        <v>2006240</v>
      </c>
      <c r="B42">
        <v>2019</v>
      </c>
      <c r="C42" t="s">
        <v>6</v>
      </c>
      <c r="D42" t="s">
        <v>7</v>
      </c>
      <c r="E42" t="s">
        <v>8</v>
      </c>
      <c r="F42" s="28">
        <v>4912</v>
      </c>
      <c r="G42" t="s">
        <v>63</v>
      </c>
      <c r="H42" s="1">
        <v>465239</v>
      </c>
      <c r="I42" s="1">
        <v>70854.886353233567</v>
      </c>
      <c r="J42" s="1">
        <v>536093.8863532336</v>
      </c>
    </row>
    <row r="43" spans="1:10" x14ac:dyDescent="0.2">
      <c r="A43">
        <v>2006240</v>
      </c>
      <c r="B43">
        <v>2020</v>
      </c>
      <c r="C43" t="s">
        <v>6</v>
      </c>
      <c r="D43" t="s">
        <v>7</v>
      </c>
      <c r="E43" t="s">
        <v>8</v>
      </c>
      <c r="F43" s="28">
        <v>4912</v>
      </c>
      <c r="G43" t="s">
        <v>63</v>
      </c>
      <c r="H43" s="1">
        <v>525084</v>
      </c>
      <c r="I43" s="1">
        <v>79437.24102763948</v>
      </c>
      <c r="J43" s="1">
        <v>604521.24102763948</v>
      </c>
    </row>
    <row r="44" spans="1:10" x14ac:dyDescent="0.2">
      <c r="A44">
        <v>2006240</v>
      </c>
      <c r="B44">
        <v>2021</v>
      </c>
      <c r="C44" t="s">
        <v>6</v>
      </c>
      <c r="D44" t="s">
        <v>7</v>
      </c>
      <c r="E44" t="s">
        <v>8</v>
      </c>
      <c r="F44" s="28">
        <v>4912</v>
      </c>
      <c r="G44" t="s">
        <v>63</v>
      </c>
      <c r="H44" s="25">
        <v>521436</v>
      </c>
      <c r="I44" s="1">
        <v>77846.807682647966</v>
      </c>
      <c r="J44" s="1">
        <v>599282.80768264795</v>
      </c>
    </row>
    <row r="45" spans="1:10" x14ac:dyDescent="0.2">
      <c r="A45">
        <v>2006240</v>
      </c>
      <c r="B45">
        <v>2022</v>
      </c>
      <c r="C45" t="s">
        <v>6</v>
      </c>
      <c r="D45" t="s">
        <v>7</v>
      </c>
      <c r="E45" t="s">
        <v>8</v>
      </c>
      <c r="F45" s="28">
        <v>4912</v>
      </c>
      <c r="G45" t="s">
        <v>63</v>
      </c>
      <c r="H45" s="1">
        <v>504295</v>
      </c>
      <c r="I45" s="1">
        <v>68486.061906657385</v>
      </c>
      <c r="J45" s="1">
        <v>572781.06190665741</v>
      </c>
    </row>
    <row r="46" spans="1:10" x14ac:dyDescent="0.2">
      <c r="A46">
        <v>2006240</v>
      </c>
      <c r="B46">
        <v>2023</v>
      </c>
      <c r="C46" t="s">
        <v>6</v>
      </c>
      <c r="D46" t="s">
        <v>7</v>
      </c>
      <c r="E46" t="s">
        <v>8</v>
      </c>
      <c r="F46" s="28">
        <v>4912</v>
      </c>
      <c r="G46" s="10" t="s">
        <v>63</v>
      </c>
      <c r="H46" s="1">
        <v>485997</v>
      </c>
      <c r="I46" s="1">
        <v>68041.026466505384</v>
      </c>
      <c r="J46" s="1">
        <v>554038.02646650537</v>
      </c>
    </row>
    <row r="47" spans="1:10" x14ac:dyDescent="0.2">
      <c r="B47">
        <v>2016</v>
      </c>
      <c r="C47" t="s">
        <v>6</v>
      </c>
      <c r="D47" t="s">
        <v>7</v>
      </c>
      <c r="E47" t="s">
        <v>8</v>
      </c>
      <c r="F47" s="29">
        <v>4930</v>
      </c>
      <c r="G47" s="3" t="s">
        <v>9</v>
      </c>
      <c r="H47" s="1">
        <v>3003</v>
      </c>
      <c r="I47" s="26">
        <v>7936.2227616463797</v>
      </c>
      <c r="J47" s="26">
        <v>10939.222761646379</v>
      </c>
    </row>
    <row r="48" spans="1:10" x14ac:dyDescent="0.2">
      <c r="B48">
        <v>2017</v>
      </c>
      <c r="C48" t="s">
        <v>6</v>
      </c>
      <c r="D48" t="s">
        <v>7</v>
      </c>
      <c r="E48" t="s">
        <v>8</v>
      </c>
      <c r="F48" s="29">
        <v>4930</v>
      </c>
      <c r="G48" s="3" t="s">
        <v>353</v>
      </c>
      <c r="H48" s="1">
        <v>6237</v>
      </c>
      <c r="I48" s="1">
        <v>973.31903294775691</v>
      </c>
      <c r="J48" s="1">
        <v>7210.3190329477566</v>
      </c>
    </row>
    <row r="49" spans="1:10" x14ac:dyDescent="0.2">
      <c r="B49">
        <v>2018</v>
      </c>
      <c r="C49" t="s">
        <v>6</v>
      </c>
      <c r="D49" t="s">
        <v>7</v>
      </c>
      <c r="E49" t="s">
        <v>8</v>
      </c>
      <c r="F49" s="28">
        <v>4930</v>
      </c>
      <c r="G49" t="s">
        <v>9</v>
      </c>
      <c r="H49" s="1">
        <v>15500</v>
      </c>
      <c r="I49" s="1">
        <v>2343.8998839110145</v>
      </c>
      <c r="J49" s="1">
        <v>17843.899883911014</v>
      </c>
    </row>
    <row r="50" spans="1:10" x14ac:dyDescent="0.2">
      <c r="B50">
        <v>2019</v>
      </c>
      <c r="C50" t="s">
        <v>6</v>
      </c>
      <c r="D50" t="s">
        <v>7</v>
      </c>
      <c r="E50" t="s">
        <v>8</v>
      </c>
      <c r="F50" s="28">
        <v>4930</v>
      </c>
      <c r="G50" t="s">
        <v>9</v>
      </c>
      <c r="H50" s="1">
        <v>5694</v>
      </c>
      <c r="I50" s="1">
        <v>867.1837977798765</v>
      </c>
      <c r="J50" s="1">
        <v>6561.1837977798768</v>
      </c>
    </row>
    <row r="51" spans="1:10" x14ac:dyDescent="0.2">
      <c r="B51">
        <v>2020</v>
      </c>
      <c r="C51" t="s">
        <v>6</v>
      </c>
      <c r="D51" t="s">
        <v>7</v>
      </c>
      <c r="E51" t="s">
        <v>8</v>
      </c>
      <c r="F51" s="28">
        <v>4930</v>
      </c>
      <c r="G51" t="s">
        <v>353</v>
      </c>
      <c r="H51" s="1">
        <v>8590</v>
      </c>
      <c r="I51" s="1">
        <v>1299.53664637929</v>
      </c>
      <c r="J51" s="1">
        <v>9889.5366463792907</v>
      </c>
    </row>
    <row r="52" spans="1:10" x14ac:dyDescent="0.2">
      <c r="B52">
        <v>2021</v>
      </c>
      <c r="C52" t="s">
        <v>6</v>
      </c>
      <c r="D52" t="s">
        <v>7</v>
      </c>
      <c r="E52" t="s">
        <v>8</v>
      </c>
      <c r="F52" s="28">
        <v>4930</v>
      </c>
      <c r="G52" t="s">
        <v>353</v>
      </c>
      <c r="H52" s="25">
        <v>8437</v>
      </c>
      <c r="I52" s="1">
        <v>1259.5860593025816</v>
      </c>
      <c r="J52" s="1">
        <v>9696.5860593025809</v>
      </c>
    </row>
    <row r="53" spans="1:10" x14ac:dyDescent="0.2">
      <c r="B53">
        <v>2022</v>
      </c>
      <c r="C53" t="s">
        <v>6</v>
      </c>
      <c r="D53" t="s">
        <v>7</v>
      </c>
      <c r="E53" t="s">
        <v>8</v>
      </c>
      <c r="F53" s="28">
        <v>4930</v>
      </c>
      <c r="G53" t="s">
        <v>9</v>
      </c>
      <c r="H53" s="1">
        <v>11291</v>
      </c>
      <c r="I53" s="1">
        <v>1533.3805113833537</v>
      </c>
      <c r="J53" s="1">
        <v>12824.380511383353</v>
      </c>
    </row>
    <row r="54" spans="1:10" x14ac:dyDescent="0.2">
      <c r="B54">
        <v>2023</v>
      </c>
      <c r="C54" t="s">
        <v>6</v>
      </c>
      <c r="D54" t="s">
        <v>7</v>
      </c>
      <c r="E54" t="s">
        <v>8</v>
      </c>
      <c r="F54" s="28">
        <v>4930</v>
      </c>
      <c r="G54" s="10" t="s">
        <v>9</v>
      </c>
      <c r="H54" s="1">
        <v>11026</v>
      </c>
      <c r="I54" s="1">
        <v>1543.6728165393783</v>
      </c>
      <c r="J54" s="1">
        <v>12569.672816539378</v>
      </c>
    </row>
    <row r="55" spans="1:10" x14ac:dyDescent="0.2">
      <c r="B55">
        <v>2016</v>
      </c>
      <c r="C55" t="s">
        <v>6</v>
      </c>
      <c r="D55" t="s">
        <v>7</v>
      </c>
      <c r="E55" t="s">
        <v>8</v>
      </c>
      <c r="F55" s="29">
        <v>4931</v>
      </c>
      <c r="G55" s="3" t="s">
        <v>10</v>
      </c>
      <c r="H55" s="1">
        <v>14091</v>
      </c>
      <c r="I55" s="26">
        <v>37214.221477578445</v>
      </c>
      <c r="J55" s="26">
        <v>51305.221477578445</v>
      </c>
    </row>
    <row r="56" spans="1:10" x14ac:dyDescent="0.2">
      <c r="B56">
        <v>2017</v>
      </c>
      <c r="C56" t="s">
        <v>6</v>
      </c>
      <c r="D56" t="s">
        <v>7</v>
      </c>
      <c r="E56" t="s">
        <v>8</v>
      </c>
      <c r="F56" s="29">
        <v>4931</v>
      </c>
      <c r="G56" s="3" t="s">
        <v>10</v>
      </c>
      <c r="H56" s="1">
        <v>11259</v>
      </c>
      <c r="I56" s="1">
        <v>1757.0304620745221</v>
      </c>
      <c r="J56" s="1">
        <v>13016.030462074523</v>
      </c>
    </row>
    <row r="57" spans="1:10" x14ac:dyDescent="0.2">
      <c r="B57">
        <v>2018</v>
      </c>
      <c r="C57" t="s">
        <v>6</v>
      </c>
      <c r="D57" t="s">
        <v>7</v>
      </c>
      <c r="E57" t="s">
        <v>8</v>
      </c>
      <c r="F57" s="28">
        <v>4931</v>
      </c>
      <c r="G57" t="s">
        <v>10</v>
      </c>
      <c r="H57" s="1"/>
      <c r="I57" s="1">
        <v>0</v>
      </c>
      <c r="J57" s="1">
        <v>0</v>
      </c>
    </row>
    <row r="58" spans="1:10" x14ac:dyDescent="0.2">
      <c r="B58">
        <v>2019</v>
      </c>
      <c r="C58" t="s">
        <v>6</v>
      </c>
      <c r="D58" t="s">
        <v>7</v>
      </c>
      <c r="E58" t="s">
        <v>8</v>
      </c>
      <c r="F58" s="28">
        <v>4931</v>
      </c>
      <c r="G58" t="s">
        <v>10</v>
      </c>
      <c r="H58" s="1">
        <v>3293</v>
      </c>
      <c r="I58" s="1">
        <v>501.51672744803886</v>
      </c>
      <c r="J58" s="1">
        <v>3794.5167274480391</v>
      </c>
    </row>
    <row r="59" spans="1:10" x14ac:dyDescent="0.2">
      <c r="B59">
        <v>2020</v>
      </c>
      <c r="C59" t="s">
        <v>6</v>
      </c>
      <c r="D59" t="s">
        <v>7</v>
      </c>
      <c r="E59" t="s">
        <v>8</v>
      </c>
      <c r="F59" s="28">
        <v>4931</v>
      </c>
      <c r="G59" t="s">
        <v>10</v>
      </c>
      <c r="H59" s="1">
        <v>4923</v>
      </c>
      <c r="I59" s="1">
        <v>744.77519326254298</v>
      </c>
      <c r="J59" s="1">
        <v>5667.7751932625433</v>
      </c>
    </row>
    <row r="60" spans="1:10" x14ac:dyDescent="0.2">
      <c r="B60">
        <v>2021</v>
      </c>
      <c r="C60" t="s">
        <v>6</v>
      </c>
      <c r="D60" t="s">
        <v>7</v>
      </c>
      <c r="E60" t="s">
        <v>8</v>
      </c>
      <c r="F60" s="28">
        <v>4931</v>
      </c>
      <c r="G60" t="s">
        <v>10</v>
      </c>
      <c r="H60" s="25">
        <v>3701</v>
      </c>
      <c r="I60" s="1">
        <v>552.53383969169784</v>
      </c>
      <c r="J60" s="1">
        <v>4253.5338396916977</v>
      </c>
    </row>
    <row r="61" spans="1:10" x14ac:dyDescent="0.2">
      <c r="B61">
        <v>2022</v>
      </c>
      <c r="C61" t="s">
        <v>6</v>
      </c>
      <c r="D61" t="s">
        <v>7</v>
      </c>
      <c r="E61" t="s">
        <v>8</v>
      </c>
      <c r="F61" s="28">
        <v>4931</v>
      </c>
      <c r="G61" t="s">
        <v>10</v>
      </c>
      <c r="H61" s="1">
        <v>3600</v>
      </c>
      <c r="I61" s="1">
        <v>488.89999477283448</v>
      </c>
      <c r="J61" s="1">
        <v>4088.8999947728344</v>
      </c>
    </row>
    <row r="62" spans="1:10" x14ac:dyDescent="0.2">
      <c r="B62">
        <v>2023</v>
      </c>
      <c r="C62" t="s">
        <v>6</v>
      </c>
      <c r="D62" t="s">
        <v>7</v>
      </c>
      <c r="E62" t="s">
        <v>8</v>
      </c>
      <c r="F62" s="28">
        <v>4931</v>
      </c>
      <c r="G62" s="10" t="s">
        <v>10</v>
      </c>
      <c r="H62" s="1">
        <v>3768</v>
      </c>
      <c r="I62" s="1">
        <v>527.53121464904575</v>
      </c>
      <c r="J62" s="1">
        <v>4295.531214649046</v>
      </c>
    </row>
    <row r="63" spans="1:10" x14ac:dyDescent="0.2">
      <c r="A63">
        <v>2009720</v>
      </c>
      <c r="B63">
        <v>2015</v>
      </c>
      <c r="C63" t="s">
        <v>6</v>
      </c>
      <c r="D63" t="s">
        <v>7</v>
      </c>
      <c r="E63" t="s">
        <v>8</v>
      </c>
      <c r="F63" s="29">
        <v>4977</v>
      </c>
      <c r="G63" s="3" t="s">
        <v>64</v>
      </c>
      <c r="H63" s="27">
        <v>172942</v>
      </c>
      <c r="I63" s="1">
        <v>27856.466913422606</v>
      </c>
      <c r="J63" s="1">
        <v>200798.4669134226</v>
      </c>
    </row>
    <row r="64" spans="1:10" x14ac:dyDescent="0.2">
      <c r="A64">
        <v>2009720</v>
      </c>
      <c r="B64">
        <v>2016</v>
      </c>
      <c r="C64" t="s">
        <v>6</v>
      </c>
      <c r="D64" t="s">
        <v>7</v>
      </c>
      <c r="E64" t="s">
        <v>8</v>
      </c>
      <c r="F64" s="29">
        <v>4977</v>
      </c>
      <c r="G64" s="3" t="s">
        <v>64</v>
      </c>
      <c r="H64" s="1">
        <v>169963</v>
      </c>
      <c r="I64" s="26">
        <v>448889.9261309508</v>
      </c>
      <c r="J64" s="26">
        <v>618852.9261309508</v>
      </c>
    </row>
    <row r="65" spans="1:10" x14ac:dyDescent="0.2">
      <c r="A65">
        <v>2009720</v>
      </c>
      <c r="B65">
        <v>2017</v>
      </c>
      <c r="C65" t="s">
        <v>6</v>
      </c>
      <c r="D65" t="s">
        <v>7</v>
      </c>
      <c r="E65" t="s">
        <v>8</v>
      </c>
      <c r="F65" s="29">
        <v>4977</v>
      </c>
      <c r="G65" s="3" t="s">
        <v>64</v>
      </c>
      <c r="H65" s="1">
        <v>192019</v>
      </c>
      <c r="I65" s="1">
        <v>29965.648130125915</v>
      </c>
      <c r="J65" s="1">
        <v>221984.64813012592</v>
      </c>
    </row>
    <row r="66" spans="1:10" x14ac:dyDescent="0.2">
      <c r="A66">
        <v>2009720</v>
      </c>
      <c r="B66">
        <v>2018</v>
      </c>
      <c r="C66" t="s">
        <v>6</v>
      </c>
      <c r="D66" t="s">
        <v>7</v>
      </c>
      <c r="E66" t="s">
        <v>8</v>
      </c>
      <c r="F66" s="28">
        <v>4977</v>
      </c>
      <c r="G66" t="s">
        <v>64</v>
      </c>
      <c r="H66" s="1">
        <v>196596</v>
      </c>
      <c r="I66" s="1">
        <v>29729.118811443215</v>
      </c>
      <c r="J66" s="1">
        <v>226325.11881144322</v>
      </c>
    </row>
    <row r="67" spans="1:10" x14ac:dyDescent="0.2">
      <c r="A67">
        <v>2009720</v>
      </c>
      <c r="B67">
        <v>2019</v>
      </c>
      <c r="C67" t="s">
        <v>6</v>
      </c>
      <c r="D67" t="s">
        <v>7</v>
      </c>
      <c r="E67" t="s">
        <v>8</v>
      </c>
      <c r="F67" s="28">
        <v>4977</v>
      </c>
      <c r="G67" t="s">
        <v>64</v>
      </c>
      <c r="H67" s="1">
        <v>219307</v>
      </c>
      <c r="I67" s="1">
        <v>33399.978422850611</v>
      </c>
      <c r="J67" s="1">
        <v>252706.9784228506</v>
      </c>
    </row>
    <row r="68" spans="1:10" x14ac:dyDescent="0.2">
      <c r="A68">
        <v>2009720</v>
      </c>
      <c r="B68">
        <v>2020</v>
      </c>
      <c r="C68" t="s">
        <v>6</v>
      </c>
      <c r="D68" t="s">
        <v>7</v>
      </c>
      <c r="E68" t="s">
        <v>8</v>
      </c>
      <c r="F68" s="28">
        <v>4977</v>
      </c>
      <c r="G68" t="s">
        <v>64</v>
      </c>
      <c r="H68" s="1">
        <v>225733</v>
      </c>
      <c r="I68" s="1">
        <v>34149.977391983266</v>
      </c>
      <c r="J68" s="1">
        <v>259882.97739198327</v>
      </c>
    </row>
    <row r="69" spans="1:10" x14ac:dyDescent="0.2">
      <c r="A69">
        <v>2009720</v>
      </c>
      <c r="B69">
        <v>2021</v>
      </c>
      <c r="C69" t="s">
        <v>6</v>
      </c>
      <c r="D69" t="s">
        <v>7</v>
      </c>
      <c r="E69" t="s">
        <v>8</v>
      </c>
      <c r="F69" s="28">
        <v>4977</v>
      </c>
      <c r="G69" t="s">
        <v>64</v>
      </c>
      <c r="H69" s="25">
        <v>218376</v>
      </c>
      <c r="I69" s="1">
        <v>32602.034524861985</v>
      </c>
      <c r="J69" s="1">
        <v>250978.03452486199</v>
      </c>
    </row>
    <row r="70" spans="1:10" x14ac:dyDescent="0.2">
      <c r="A70">
        <v>2009720</v>
      </c>
      <c r="B70">
        <v>2022</v>
      </c>
      <c r="C70" t="s">
        <v>6</v>
      </c>
      <c r="D70" t="s">
        <v>7</v>
      </c>
      <c r="E70" t="s">
        <v>8</v>
      </c>
      <c r="F70" s="28">
        <v>4977</v>
      </c>
      <c r="G70" t="s">
        <v>64</v>
      </c>
      <c r="H70" s="1">
        <v>213896</v>
      </c>
      <c r="I70" s="1">
        <v>29048.264800536166</v>
      </c>
      <c r="J70" s="1">
        <v>242944.26480053616</v>
      </c>
    </row>
    <row r="71" spans="1:10" x14ac:dyDescent="0.2">
      <c r="A71">
        <v>2009720</v>
      </c>
      <c r="B71">
        <v>2023</v>
      </c>
      <c r="C71" t="s">
        <v>6</v>
      </c>
      <c r="D71" t="s">
        <v>7</v>
      </c>
      <c r="E71" t="s">
        <v>8</v>
      </c>
      <c r="F71" s="28">
        <v>4977</v>
      </c>
      <c r="G71" s="10" t="s">
        <v>64</v>
      </c>
      <c r="H71" s="1">
        <v>203499</v>
      </c>
      <c r="I71" s="1">
        <v>28490.465671408216</v>
      </c>
      <c r="J71" s="1">
        <v>231989.46567140822</v>
      </c>
    </row>
    <row r="72" spans="1:10" x14ac:dyDescent="0.2">
      <c r="A72">
        <v>2010140</v>
      </c>
      <c r="B72">
        <v>2015</v>
      </c>
      <c r="C72" t="s">
        <v>6</v>
      </c>
      <c r="D72" t="s">
        <v>7</v>
      </c>
      <c r="E72" t="s">
        <v>8</v>
      </c>
      <c r="F72" s="29">
        <v>4978</v>
      </c>
      <c r="G72" s="3" t="s">
        <v>65</v>
      </c>
      <c r="H72" s="27">
        <v>17911502</v>
      </c>
      <c r="I72" s="1">
        <v>2885078.0194094134</v>
      </c>
      <c r="J72" s="1">
        <v>20796580.019409414</v>
      </c>
    </row>
    <row r="73" spans="1:10" x14ac:dyDescent="0.2">
      <c r="A73">
        <v>2010140</v>
      </c>
      <c r="B73">
        <v>2016</v>
      </c>
      <c r="C73" t="s">
        <v>6</v>
      </c>
      <c r="D73" t="s">
        <v>7</v>
      </c>
      <c r="E73" t="s">
        <v>8</v>
      </c>
      <c r="F73" s="29">
        <v>4978</v>
      </c>
      <c r="G73" s="3" t="s">
        <v>65</v>
      </c>
      <c r="H73" s="1">
        <v>19593235</v>
      </c>
      <c r="I73" s="26">
        <v>51747492.456244156</v>
      </c>
      <c r="J73" s="26">
        <v>71340727.456244156</v>
      </c>
    </row>
    <row r="74" spans="1:10" x14ac:dyDescent="0.2">
      <c r="A74">
        <v>2010140</v>
      </c>
      <c r="B74">
        <v>2017</v>
      </c>
      <c r="C74" t="s">
        <v>6</v>
      </c>
      <c r="D74" t="s">
        <v>7</v>
      </c>
      <c r="E74" t="s">
        <v>8</v>
      </c>
      <c r="F74" s="29">
        <v>4978</v>
      </c>
      <c r="G74" s="3" t="s">
        <v>65</v>
      </c>
      <c r="H74" s="1">
        <v>20383903</v>
      </c>
      <c r="I74" s="1">
        <v>3181023.0488473433</v>
      </c>
      <c r="J74" s="1">
        <v>23564926.048847344</v>
      </c>
    </row>
    <row r="75" spans="1:10" x14ac:dyDescent="0.2">
      <c r="A75">
        <v>2010140</v>
      </c>
      <c r="B75">
        <v>2018</v>
      </c>
      <c r="C75" t="s">
        <v>6</v>
      </c>
      <c r="D75" t="s">
        <v>7</v>
      </c>
      <c r="E75" t="s">
        <v>8</v>
      </c>
      <c r="F75" s="28">
        <v>4978</v>
      </c>
      <c r="G75" t="s">
        <v>65</v>
      </c>
      <c r="H75" s="1">
        <v>24484767</v>
      </c>
      <c r="I75" s="1">
        <v>3702570.4857347254</v>
      </c>
      <c r="J75" s="1">
        <v>28187337.485734724</v>
      </c>
    </row>
    <row r="76" spans="1:10" x14ac:dyDescent="0.2">
      <c r="A76">
        <v>2010140</v>
      </c>
      <c r="B76">
        <v>2019</v>
      </c>
      <c r="C76" t="s">
        <v>6</v>
      </c>
      <c r="D76" t="s">
        <v>7</v>
      </c>
      <c r="E76" t="s">
        <v>8</v>
      </c>
      <c r="F76" s="28">
        <v>4978</v>
      </c>
      <c r="G76" t="s">
        <v>65</v>
      </c>
      <c r="H76" s="1">
        <v>28650545</v>
      </c>
      <c r="I76" s="1">
        <v>4363415.5991505533</v>
      </c>
      <c r="J76" s="1">
        <v>33013960.599150553</v>
      </c>
    </row>
    <row r="77" spans="1:10" x14ac:dyDescent="0.2">
      <c r="A77">
        <v>2010140</v>
      </c>
      <c r="B77">
        <v>2020</v>
      </c>
      <c r="C77" t="s">
        <v>6</v>
      </c>
      <c r="D77" t="s">
        <v>7</v>
      </c>
      <c r="E77" t="s">
        <v>8</v>
      </c>
      <c r="F77" s="28">
        <v>4978</v>
      </c>
      <c r="G77" t="s">
        <v>65</v>
      </c>
      <c r="H77" s="1">
        <v>32673010</v>
      </c>
      <c r="I77" s="1">
        <v>4942930.5986632146</v>
      </c>
      <c r="J77" s="1">
        <v>37615940.598663211</v>
      </c>
    </row>
    <row r="78" spans="1:10" x14ac:dyDescent="0.2">
      <c r="A78">
        <v>2010140</v>
      </c>
      <c r="B78">
        <v>2021</v>
      </c>
      <c r="C78" t="s">
        <v>6</v>
      </c>
      <c r="D78" t="s">
        <v>7</v>
      </c>
      <c r="E78" t="s">
        <v>8</v>
      </c>
      <c r="F78" s="28">
        <v>4978</v>
      </c>
      <c r="G78" t="s">
        <v>65</v>
      </c>
      <c r="H78" s="25">
        <v>33315370</v>
      </c>
      <c r="I78" s="1">
        <v>4973755.5544041069</v>
      </c>
      <c r="J78" s="1">
        <v>38289125.55440411</v>
      </c>
    </row>
    <row r="79" spans="1:10" x14ac:dyDescent="0.2">
      <c r="A79">
        <v>2010140</v>
      </c>
      <c r="B79">
        <v>2022</v>
      </c>
      <c r="C79" t="s">
        <v>6</v>
      </c>
      <c r="D79" t="s">
        <v>7</v>
      </c>
      <c r="E79" t="s">
        <v>8</v>
      </c>
      <c r="F79" s="28">
        <v>4978</v>
      </c>
      <c r="G79" t="s">
        <v>65</v>
      </c>
      <c r="H79" s="1">
        <v>33634972</v>
      </c>
      <c r="I79" s="1">
        <v>4567816.0097178984</v>
      </c>
      <c r="J79" s="1">
        <v>38202788.009717897</v>
      </c>
    </row>
    <row r="80" spans="1:10" x14ac:dyDescent="0.2">
      <c r="A80">
        <v>2010140</v>
      </c>
      <c r="B80">
        <v>2023</v>
      </c>
      <c r="C80" t="s">
        <v>6</v>
      </c>
      <c r="D80" t="s">
        <v>7</v>
      </c>
      <c r="E80" t="s">
        <v>8</v>
      </c>
      <c r="F80" s="28">
        <v>4978</v>
      </c>
      <c r="G80" s="10" t="s">
        <v>65</v>
      </c>
      <c r="H80" s="1">
        <v>29701427</v>
      </c>
      <c r="I80" s="1">
        <v>4158288.1799681424</v>
      </c>
      <c r="J80" s="1">
        <v>33859715.179968141</v>
      </c>
    </row>
    <row r="81" spans="1:10" x14ac:dyDescent="0.2">
      <c r="A81">
        <v>2012900</v>
      </c>
      <c r="B81">
        <v>2015</v>
      </c>
      <c r="C81" t="s">
        <v>6</v>
      </c>
      <c r="D81" t="s">
        <v>7</v>
      </c>
      <c r="E81" t="s">
        <v>8</v>
      </c>
      <c r="F81" s="29">
        <v>4979</v>
      </c>
      <c r="G81" s="3" t="s">
        <v>66</v>
      </c>
      <c r="H81" s="27">
        <v>73865</v>
      </c>
      <c r="I81" s="1">
        <v>11897.734087497316</v>
      </c>
      <c r="J81" s="1">
        <v>85762.734087497316</v>
      </c>
    </row>
    <row r="82" spans="1:10" x14ac:dyDescent="0.2">
      <c r="A82">
        <v>2012900</v>
      </c>
      <c r="B82">
        <v>2016</v>
      </c>
      <c r="C82" t="s">
        <v>6</v>
      </c>
      <c r="D82" t="s">
        <v>7</v>
      </c>
      <c r="E82" t="s">
        <v>8</v>
      </c>
      <c r="F82" s="29">
        <v>4979</v>
      </c>
      <c r="G82" s="3" t="s">
        <v>66</v>
      </c>
      <c r="H82" s="1">
        <v>74463</v>
      </c>
      <c r="I82" s="26">
        <v>196661.10761301729</v>
      </c>
      <c r="J82" s="26">
        <v>271124.10761301726</v>
      </c>
    </row>
    <row r="83" spans="1:10" x14ac:dyDescent="0.2">
      <c r="A83">
        <v>2012900</v>
      </c>
      <c r="B83">
        <v>2017</v>
      </c>
      <c r="C83" t="s">
        <v>6</v>
      </c>
      <c r="D83" t="s">
        <v>7</v>
      </c>
      <c r="E83" t="s">
        <v>8</v>
      </c>
      <c r="F83" s="29">
        <v>4979</v>
      </c>
      <c r="G83" s="3" t="s">
        <v>66</v>
      </c>
      <c r="H83" s="1">
        <v>76444</v>
      </c>
      <c r="I83" s="1">
        <v>11929.517420980974</v>
      </c>
      <c r="J83" s="1">
        <v>88373.517420980977</v>
      </c>
    </row>
    <row r="84" spans="1:10" x14ac:dyDescent="0.2">
      <c r="A84">
        <v>2012900</v>
      </c>
      <c r="B84">
        <v>2018</v>
      </c>
      <c r="C84" t="s">
        <v>6</v>
      </c>
      <c r="D84" t="s">
        <v>7</v>
      </c>
      <c r="E84" t="s">
        <v>8</v>
      </c>
      <c r="F84" s="28">
        <v>4979</v>
      </c>
      <c r="G84" t="s">
        <v>66</v>
      </c>
      <c r="H84" s="1">
        <v>89630</v>
      </c>
      <c r="I84" s="1">
        <v>13553.790102899629</v>
      </c>
      <c r="J84" s="1">
        <v>103183.79010289963</v>
      </c>
    </row>
    <row r="85" spans="1:10" x14ac:dyDescent="0.2">
      <c r="A85">
        <v>2012900</v>
      </c>
      <c r="B85">
        <v>2019</v>
      </c>
      <c r="C85" t="s">
        <v>6</v>
      </c>
      <c r="D85" t="s">
        <v>7</v>
      </c>
      <c r="E85" t="s">
        <v>8</v>
      </c>
      <c r="F85" s="28">
        <v>4979</v>
      </c>
      <c r="G85" t="s">
        <v>66</v>
      </c>
      <c r="H85" s="1">
        <v>102476</v>
      </c>
      <c r="I85" s="1">
        <v>15606.871594887712</v>
      </c>
      <c r="J85" s="1">
        <v>118082.87159488771</v>
      </c>
    </row>
    <row r="86" spans="1:10" x14ac:dyDescent="0.2">
      <c r="A86">
        <v>2012900</v>
      </c>
      <c r="B86">
        <v>2020</v>
      </c>
      <c r="C86" t="s">
        <v>6</v>
      </c>
      <c r="D86" t="s">
        <v>7</v>
      </c>
      <c r="E86" t="s">
        <v>8</v>
      </c>
      <c r="F86" s="28">
        <v>4979</v>
      </c>
      <c r="G86" t="s">
        <v>66</v>
      </c>
      <c r="H86" s="1">
        <v>120180</v>
      </c>
      <c r="I86" s="1">
        <v>18181.410263313512</v>
      </c>
      <c r="J86" s="1">
        <v>138361.4102633135</v>
      </c>
    </row>
    <row r="87" spans="1:10" x14ac:dyDescent="0.2">
      <c r="A87">
        <v>2012900</v>
      </c>
      <c r="B87">
        <v>2021</v>
      </c>
      <c r="C87" t="s">
        <v>6</v>
      </c>
      <c r="D87" t="s">
        <v>7</v>
      </c>
      <c r="E87" t="s">
        <v>8</v>
      </c>
      <c r="F87" s="28">
        <v>4979</v>
      </c>
      <c r="G87" t="s">
        <v>66</v>
      </c>
      <c r="H87" s="25">
        <v>110096</v>
      </c>
      <c r="I87" s="1">
        <v>16436.575416021929</v>
      </c>
      <c r="J87" s="1">
        <v>126532.57541602192</v>
      </c>
    </row>
    <row r="88" spans="1:10" x14ac:dyDescent="0.2">
      <c r="A88">
        <v>2012900</v>
      </c>
      <c r="B88">
        <v>2022</v>
      </c>
      <c r="C88" t="s">
        <v>6</v>
      </c>
      <c r="D88" t="s">
        <v>7</v>
      </c>
      <c r="E88" t="s">
        <v>8</v>
      </c>
      <c r="F88" s="28">
        <v>4979</v>
      </c>
      <c r="G88" t="s">
        <v>66</v>
      </c>
      <c r="H88" s="1">
        <v>109825</v>
      </c>
      <c r="I88" s="1">
        <v>14914.844979424039</v>
      </c>
      <c r="J88" s="1">
        <v>124739.84497942404</v>
      </c>
    </row>
    <row r="89" spans="1:10" x14ac:dyDescent="0.2">
      <c r="A89">
        <v>2012900</v>
      </c>
      <c r="B89">
        <v>2023</v>
      </c>
      <c r="C89" t="s">
        <v>6</v>
      </c>
      <c r="D89" t="s">
        <v>7</v>
      </c>
      <c r="E89" t="s">
        <v>8</v>
      </c>
      <c r="F89" s="28">
        <v>4979</v>
      </c>
      <c r="G89" s="10" t="s">
        <v>66</v>
      </c>
      <c r="H89" s="1">
        <v>102980</v>
      </c>
      <c r="I89" s="1">
        <v>14417.506498025139</v>
      </c>
      <c r="J89" s="1">
        <v>117397.50649802513</v>
      </c>
    </row>
    <row r="90" spans="1:10" x14ac:dyDescent="0.2">
      <c r="A90">
        <v>2010710</v>
      </c>
      <c r="B90">
        <v>2015</v>
      </c>
      <c r="C90" t="s">
        <v>6</v>
      </c>
      <c r="D90" t="s">
        <v>7</v>
      </c>
      <c r="E90" t="s">
        <v>8</v>
      </c>
      <c r="F90" s="29">
        <v>4980</v>
      </c>
      <c r="G90" s="3" t="s">
        <v>67</v>
      </c>
      <c r="H90" s="27">
        <v>1524185</v>
      </c>
      <c r="I90" s="1">
        <v>245506.63819335404</v>
      </c>
      <c r="J90" s="1">
        <v>1769691.638193354</v>
      </c>
    </row>
    <row r="91" spans="1:10" x14ac:dyDescent="0.2">
      <c r="A91">
        <v>2010710</v>
      </c>
      <c r="B91">
        <v>2016</v>
      </c>
      <c r="C91" t="s">
        <v>6</v>
      </c>
      <c r="D91" t="s">
        <v>7</v>
      </c>
      <c r="E91" t="s">
        <v>8</v>
      </c>
      <c r="F91" s="29">
        <v>4980</v>
      </c>
      <c r="G91" s="3" t="s">
        <v>67</v>
      </c>
      <c r="H91" s="1">
        <v>1679237</v>
      </c>
      <c r="I91" s="26">
        <v>4435011.5409075432</v>
      </c>
      <c r="J91" s="26">
        <v>6114248.5409075432</v>
      </c>
    </row>
    <row r="92" spans="1:10" x14ac:dyDescent="0.2">
      <c r="A92">
        <v>2010710</v>
      </c>
      <c r="B92">
        <v>2017</v>
      </c>
      <c r="C92" t="s">
        <v>6</v>
      </c>
      <c r="D92" t="s">
        <v>7</v>
      </c>
      <c r="E92" t="s">
        <v>8</v>
      </c>
      <c r="F92" s="29">
        <v>4980</v>
      </c>
      <c r="G92" s="3" t="s">
        <v>67</v>
      </c>
      <c r="H92" s="1">
        <v>1826129</v>
      </c>
      <c r="I92" s="1">
        <v>284977.73165269435</v>
      </c>
      <c r="J92" s="1">
        <v>2111106.7316526943</v>
      </c>
    </row>
    <row r="93" spans="1:10" x14ac:dyDescent="0.2">
      <c r="A93">
        <v>2010710</v>
      </c>
      <c r="B93">
        <v>2018</v>
      </c>
      <c r="C93" t="s">
        <v>6</v>
      </c>
      <c r="D93" t="s">
        <v>7</v>
      </c>
      <c r="E93" t="s">
        <v>8</v>
      </c>
      <c r="F93" s="28">
        <v>4980</v>
      </c>
      <c r="G93" t="s">
        <v>67</v>
      </c>
      <c r="H93" s="1">
        <v>2025217</v>
      </c>
      <c r="I93" s="1">
        <v>306251.9929802976</v>
      </c>
      <c r="J93" s="1">
        <v>2331468.9929802977</v>
      </c>
    </row>
    <row r="94" spans="1:10" x14ac:dyDescent="0.2">
      <c r="A94">
        <v>2010710</v>
      </c>
      <c r="B94">
        <v>2019</v>
      </c>
      <c r="C94" t="s">
        <v>6</v>
      </c>
      <c r="D94" t="s">
        <v>7</v>
      </c>
      <c r="E94" t="s">
        <v>8</v>
      </c>
      <c r="F94" s="28">
        <v>4980</v>
      </c>
      <c r="G94" t="s">
        <v>67</v>
      </c>
      <c r="H94" s="1">
        <v>2298189</v>
      </c>
      <c r="I94" s="1">
        <v>350009.17896662041</v>
      </c>
      <c r="J94" s="1">
        <v>2648198.1789666205</v>
      </c>
    </row>
    <row r="95" spans="1:10" x14ac:dyDescent="0.2">
      <c r="A95">
        <v>2010710</v>
      </c>
      <c r="B95">
        <v>2020</v>
      </c>
      <c r="C95" t="s">
        <v>6</v>
      </c>
      <c r="D95" t="s">
        <v>7</v>
      </c>
      <c r="E95" t="s">
        <v>8</v>
      </c>
      <c r="F95" s="28">
        <v>4980</v>
      </c>
      <c r="G95" t="s">
        <v>67</v>
      </c>
      <c r="H95" s="1">
        <v>2563397</v>
      </c>
      <c r="I95" s="1">
        <v>387803.06643989903</v>
      </c>
      <c r="J95" s="1">
        <v>2951200.0664398992</v>
      </c>
    </row>
    <row r="96" spans="1:10" x14ac:dyDescent="0.2">
      <c r="A96">
        <v>2010710</v>
      </c>
      <c r="B96">
        <v>2021</v>
      </c>
      <c r="C96" t="s">
        <v>6</v>
      </c>
      <c r="D96" t="s">
        <v>7</v>
      </c>
      <c r="E96" t="s">
        <v>8</v>
      </c>
      <c r="F96" s="28">
        <v>4980</v>
      </c>
      <c r="G96" t="s">
        <v>67</v>
      </c>
      <c r="H96" s="25">
        <v>2583635</v>
      </c>
      <c r="I96" s="1">
        <v>385718.9318864792</v>
      </c>
      <c r="J96" s="1">
        <v>2969353.9318864793</v>
      </c>
    </row>
    <row r="97" spans="1:10" x14ac:dyDescent="0.2">
      <c r="A97">
        <v>2010710</v>
      </c>
      <c r="B97">
        <v>2022</v>
      </c>
      <c r="C97" t="s">
        <v>6</v>
      </c>
      <c r="D97" t="s">
        <v>7</v>
      </c>
      <c r="E97" t="s">
        <v>8</v>
      </c>
      <c r="F97" s="28">
        <v>4980</v>
      </c>
      <c r="G97" t="s">
        <v>67</v>
      </c>
      <c r="H97" s="1">
        <v>2636611</v>
      </c>
      <c r="I97" s="1">
        <v>358066.41781055497</v>
      </c>
      <c r="J97" s="1">
        <v>2994677.4178105551</v>
      </c>
    </row>
    <row r="98" spans="1:10" x14ac:dyDescent="0.2">
      <c r="A98">
        <v>2010710</v>
      </c>
      <c r="B98">
        <v>2023</v>
      </c>
      <c r="C98" t="s">
        <v>6</v>
      </c>
      <c r="D98" t="s">
        <v>7</v>
      </c>
      <c r="E98" t="s">
        <v>8</v>
      </c>
      <c r="F98" s="28">
        <v>4980</v>
      </c>
      <c r="G98" s="10" t="s">
        <v>67</v>
      </c>
      <c r="H98" s="1">
        <v>2724769</v>
      </c>
      <c r="I98" s="1">
        <v>381475.76969428494</v>
      </c>
      <c r="J98" s="1">
        <v>3106244.769694285</v>
      </c>
    </row>
    <row r="99" spans="1:10" x14ac:dyDescent="0.2">
      <c r="A99">
        <v>2005940</v>
      </c>
      <c r="B99">
        <v>2015</v>
      </c>
      <c r="C99" t="s">
        <v>6</v>
      </c>
      <c r="D99" t="s">
        <v>7</v>
      </c>
      <c r="E99" t="s">
        <v>8</v>
      </c>
      <c r="F99" s="29">
        <v>4981</v>
      </c>
      <c r="G99" s="3" t="s">
        <v>68</v>
      </c>
      <c r="H99" s="27">
        <v>3323093</v>
      </c>
      <c r="I99" s="1">
        <v>535264.02033471491</v>
      </c>
      <c r="J99" s="1">
        <v>3858357.020334715</v>
      </c>
    </row>
    <row r="100" spans="1:10" x14ac:dyDescent="0.2">
      <c r="A100">
        <v>2005940</v>
      </c>
      <c r="B100">
        <v>2016</v>
      </c>
      <c r="C100" t="s">
        <v>6</v>
      </c>
      <c r="D100" t="s">
        <v>7</v>
      </c>
      <c r="E100" t="s">
        <v>8</v>
      </c>
      <c r="F100" s="29">
        <v>4981</v>
      </c>
      <c r="G100" s="3" t="s">
        <v>68</v>
      </c>
      <c r="H100" s="1">
        <v>3467121</v>
      </c>
      <c r="I100" s="26">
        <v>9156972.8424439579</v>
      </c>
      <c r="J100" s="26">
        <v>12624093.842443958</v>
      </c>
    </row>
    <row r="101" spans="1:10" x14ac:dyDescent="0.2">
      <c r="A101">
        <v>2005940</v>
      </c>
      <c r="B101">
        <v>2017</v>
      </c>
      <c r="C101" t="s">
        <v>6</v>
      </c>
      <c r="D101" t="s">
        <v>7</v>
      </c>
      <c r="E101" t="s">
        <v>8</v>
      </c>
      <c r="F101" s="29">
        <v>4981</v>
      </c>
      <c r="G101" s="3" t="s">
        <v>68</v>
      </c>
      <c r="H101" s="1">
        <v>3686963</v>
      </c>
      <c r="I101" s="1">
        <v>575371.37432646484</v>
      </c>
      <c r="J101" s="1">
        <v>4262334.3743264647</v>
      </c>
    </row>
    <row r="102" spans="1:10" x14ac:dyDescent="0.2">
      <c r="A102">
        <v>2005940</v>
      </c>
      <c r="B102">
        <v>2018</v>
      </c>
      <c r="C102" t="s">
        <v>6</v>
      </c>
      <c r="D102" t="s">
        <v>7</v>
      </c>
      <c r="E102" t="s">
        <v>8</v>
      </c>
      <c r="F102" s="28">
        <v>4981</v>
      </c>
      <c r="G102" t="s">
        <v>68</v>
      </c>
      <c r="H102" s="1">
        <v>4227702</v>
      </c>
      <c r="I102" s="1">
        <v>639310.33722647512</v>
      </c>
      <c r="J102" s="1">
        <v>4867012.3372264747</v>
      </c>
    </row>
    <row r="103" spans="1:10" x14ac:dyDescent="0.2">
      <c r="A103">
        <v>2005940</v>
      </c>
      <c r="B103">
        <v>2019</v>
      </c>
      <c r="C103" t="s">
        <v>6</v>
      </c>
      <c r="D103" t="s">
        <v>7</v>
      </c>
      <c r="E103" t="s">
        <v>8</v>
      </c>
      <c r="F103" s="28">
        <v>4981</v>
      </c>
      <c r="G103" t="s">
        <v>68</v>
      </c>
      <c r="H103" s="1">
        <v>4903117</v>
      </c>
      <c r="I103" s="1">
        <v>746734.0395186292</v>
      </c>
      <c r="J103" s="1">
        <v>5649851.0395186292</v>
      </c>
    </row>
    <row r="104" spans="1:10" x14ac:dyDescent="0.2">
      <c r="A104">
        <v>2005940</v>
      </c>
      <c r="B104">
        <v>2020</v>
      </c>
      <c r="C104" t="s">
        <v>6</v>
      </c>
      <c r="D104" t="s">
        <v>7</v>
      </c>
      <c r="E104" t="s">
        <v>8</v>
      </c>
      <c r="F104" s="28">
        <v>4981</v>
      </c>
      <c r="G104" t="s">
        <v>68</v>
      </c>
      <c r="H104" s="1">
        <v>5466743</v>
      </c>
      <c r="I104" s="1">
        <v>827035.25783905224</v>
      </c>
      <c r="J104" s="1">
        <v>6293778.257839052</v>
      </c>
    </row>
    <row r="105" spans="1:10" x14ac:dyDescent="0.2">
      <c r="A105">
        <v>2005940</v>
      </c>
      <c r="B105">
        <v>2021</v>
      </c>
      <c r="C105" t="s">
        <v>6</v>
      </c>
      <c r="D105" t="s">
        <v>7</v>
      </c>
      <c r="E105" t="s">
        <v>8</v>
      </c>
      <c r="F105" s="28">
        <v>4981</v>
      </c>
      <c r="G105" t="s">
        <v>68</v>
      </c>
      <c r="H105" s="25">
        <v>5390604</v>
      </c>
      <c r="I105" s="1">
        <v>804780.09359022568</v>
      </c>
      <c r="J105" s="1">
        <v>6195384.093590226</v>
      </c>
    </row>
    <row r="106" spans="1:10" x14ac:dyDescent="0.2">
      <c r="A106">
        <v>2005940</v>
      </c>
      <c r="B106">
        <v>2022</v>
      </c>
      <c r="C106" t="s">
        <v>6</v>
      </c>
      <c r="D106" t="s">
        <v>7</v>
      </c>
      <c r="E106" t="s">
        <v>8</v>
      </c>
      <c r="F106" s="28">
        <v>4981</v>
      </c>
      <c r="G106" t="s">
        <v>68</v>
      </c>
      <c r="H106" s="1">
        <v>5097590</v>
      </c>
      <c r="I106" s="1">
        <v>692281.03454279248</v>
      </c>
      <c r="J106" s="1">
        <v>5789871.0345427925</v>
      </c>
    </row>
    <row r="107" spans="1:10" x14ac:dyDescent="0.2">
      <c r="A107">
        <v>2005940</v>
      </c>
      <c r="B107">
        <v>2023</v>
      </c>
      <c r="C107" t="s">
        <v>6</v>
      </c>
      <c r="D107" t="s">
        <v>7</v>
      </c>
      <c r="E107" t="s">
        <v>8</v>
      </c>
      <c r="F107" s="28">
        <v>4981</v>
      </c>
      <c r="G107" s="10" t="s">
        <v>68</v>
      </c>
      <c r="H107" s="1">
        <v>4927937</v>
      </c>
      <c r="I107" s="1">
        <v>689925.8469543457</v>
      </c>
      <c r="J107" s="1">
        <v>5617862.8469543457</v>
      </c>
    </row>
    <row r="108" spans="1:10" x14ac:dyDescent="0.2">
      <c r="A108">
        <v>2012990</v>
      </c>
      <c r="B108">
        <v>2015</v>
      </c>
      <c r="C108" t="s">
        <v>6</v>
      </c>
      <c r="D108" t="s">
        <v>7</v>
      </c>
      <c r="E108" t="s">
        <v>8</v>
      </c>
      <c r="F108" s="29">
        <v>4982</v>
      </c>
      <c r="G108" s="3" t="s">
        <v>69</v>
      </c>
      <c r="H108" s="27">
        <v>31321265</v>
      </c>
      <c r="I108" s="1">
        <v>5045042.7435732298</v>
      </c>
      <c r="J108" s="1">
        <v>36366307.743573233</v>
      </c>
    </row>
    <row r="109" spans="1:10" x14ac:dyDescent="0.2">
      <c r="A109">
        <v>2012990</v>
      </c>
      <c r="B109">
        <v>2016</v>
      </c>
      <c r="C109" t="s">
        <v>6</v>
      </c>
      <c r="D109" t="s">
        <v>7</v>
      </c>
      <c r="E109" t="s">
        <v>8</v>
      </c>
      <c r="F109" s="29">
        <v>4982</v>
      </c>
      <c r="G109" s="3" t="s">
        <v>69</v>
      </c>
      <c r="H109" s="1">
        <v>30921995</v>
      </c>
      <c r="I109" s="26">
        <v>81667766.385984719</v>
      </c>
      <c r="J109" s="26">
        <v>112589761.38598472</v>
      </c>
    </row>
    <row r="110" spans="1:10" x14ac:dyDescent="0.2">
      <c r="A110">
        <v>2012990</v>
      </c>
      <c r="B110">
        <v>2017</v>
      </c>
      <c r="C110" t="s">
        <v>6</v>
      </c>
      <c r="D110" t="s">
        <v>7</v>
      </c>
      <c r="E110" t="s">
        <v>8</v>
      </c>
      <c r="F110" s="29">
        <v>4982</v>
      </c>
      <c r="G110" s="3" t="s">
        <v>69</v>
      </c>
      <c r="H110" s="1">
        <v>35137103</v>
      </c>
      <c r="I110" s="1">
        <v>5483343.1317212973</v>
      </c>
      <c r="J110" s="1">
        <v>40620446.131721295</v>
      </c>
    </row>
    <row r="111" spans="1:10" x14ac:dyDescent="0.2">
      <c r="A111">
        <v>2012990</v>
      </c>
      <c r="B111">
        <v>2018</v>
      </c>
      <c r="C111" t="s">
        <v>6</v>
      </c>
      <c r="D111" t="s">
        <v>7</v>
      </c>
      <c r="E111" t="s">
        <v>8</v>
      </c>
      <c r="F111" s="28">
        <v>4982</v>
      </c>
      <c r="G111" t="s">
        <v>69</v>
      </c>
      <c r="H111" s="1">
        <v>45305760</v>
      </c>
      <c r="I111" s="1">
        <v>6851107.4583548568</v>
      </c>
      <c r="J111" s="1">
        <v>52156867.458354861</v>
      </c>
    </row>
    <row r="112" spans="1:10" x14ac:dyDescent="0.2">
      <c r="A112">
        <v>2012990</v>
      </c>
      <c r="B112">
        <v>2019</v>
      </c>
      <c r="C112" t="s">
        <v>6</v>
      </c>
      <c r="D112" t="s">
        <v>7</v>
      </c>
      <c r="E112" t="s">
        <v>8</v>
      </c>
      <c r="F112" s="28">
        <v>4982</v>
      </c>
      <c r="G112" t="s">
        <v>69</v>
      </c>
      <c r="H112" s="1">
        <v>48108249</v>
      </c>
      <c r="I112" s="1">
        <v>7326781.5371197658</v>
      </c>
      <c r="J112" s="1">
        <v>55435030.537119769</v>
      </c>
    </row>
    <row r="113" spans="1:10" x14ac:dyDescent="0.2">
      <c r="A113">
        <v>2012990</v>
      </c>
      <c r="B113">
        <v>2020</v>
      </c>
      <c r="C113" t="s">
        <v>6</v>
      </c>
      <c r="D113" t="s">
        <v>7</v>
      </c>
      <c r="E113" t="s">
        <v>8</v>
      </c>
      <c r="F113" s="28">
        <v>4982</v>
      </c>
      <c r="G113" t="s">
        <v>69</v>
      </c>
      <c r="H113" s="1">
        <v>53292998</v>
      </c>
      <c r="I113" s="1">
        <v>8062421.8738554372</v>
      </c>
      <c r="J113" s="1">
        <v>61355419.873855434</v>
      </c>
    </row>
    <row r="114" spans="1:10" x14ac:dyDescent="0.2">
      <c r="A114">
        <v>2012990</v>
      </c>
      <c r="B114">
        <v>2021</v>
      </c>
      <c r="C114" t="s">
        <v>6</v>
      </c>
      <c r="D114" t="s">
        <v>7</v>
      </c>
      <c r="E114" t="s">
        <v>8</v>
      </c>
      <c r="F114" s="28">
        <v>4982</v>
      </c>
      <c r="G114" t="s">
        <v>69</v>
      </c>
      <c r="H114" s="25">
        <v>51045464</v>
      </c>
      <c r="I114" s="1">
        <v>7620736.61787742</v>
      </c>
      <c r="J114" s="1">
        <v>58666200.617877424</v>
      </c>
    </row>
    <row r="115" spans="1:10" x14ac:dyDescent="0.2">
      <c r="A115">
        <v>2012990</v>
      </c>
      <c r="B115">
        <v>2022</v>
      </c>
      <c r="C115" t="s">
        <v>6</v>
      </c>
      <c r="D115" t="s">
        <v>7</v>
      </c>
      <c r="E115" t="s">
        <v>8</v>
      </c>
      <c r="F115" s="28">
        <v>4982</v>
      </c>
      <c r="G115" t="s">
        <v>69</v>
      </c>
      <c r="H115" s="1">
        <v>54772824</v>
      </c>
      <c r="I115" s="1">
        <v>7438453.7131370511</v>
      </c>
      <c r="J115" s="1">
        <v>62211277.713137053</v>
      </c>
    </row>
    <row r="116" spans="1:10" x14ac:dyDescent="0.2">
      <c r="A116">
        <v>2012990</v>
      </c>
      <c r="B116">
        <v>2023</v>
      </c>
      <c r="C116" t="s">
        <v>6</v>
      </c>
      <c r="D116" t="s">
        <v>7</v>
      </c>
      <c r="E116" t="s">
        <v>8</v>
      </c>
      <c r="F116" s="28">
        <v>4982</v>
      </c>
      <c r="G116" s="10" t="s">
        <v>69</v>
      </c>
      <c r="H116" s="1">
        <v>54571125</v>
      </c>
      <c r="I116" s="1">
        <v>7640119.9193245498</v>
      </c>
      <c r="J116" s="1">
        <v>62211244.919324547</v>
      </c>
    </row>
    <row r="117" spans="1:10" x14ac:dyDescent="0.2">
      <c r="A117">
        <v>2005460</v>
      </c>
      <c r="B117">
        <v>2015</v>
      </c>
      <c r="C117" t="s">
        <v>6</v>
      </c>
      <c r="D117" t="s">
        <v>7</v>
      </c>
      <c r="E117" t="s">
        <v>8</v>
      </c>
      <c r="F117" s="29">
        <v>4983</v>
      </c>
      <c r="G117" s="3" t="s">
        <v>70</v>
      </c>
      <c r="H117" s="27">
        <v>3193477</v>
      </c>
      <c r="I117" s="1">
        <v>514386.24735041853</v>
      </c>
      <c r="J117" s="1">
        <v>3707863.2473504185</v>
      </c>
    </row>
    <row r="118" spans="1:10" x14ac:dyDescent="0.2">
      <c r="A118">
        <v>2005460</v>
      </c>
      <c r="B118">
        <v>2016</v>
      </c>
      <c r="C118" t="s">
        <v>6</v>
      </c>
      <c r="D118" t="s">
        <v>7</v>
      </c>
      <c r="E118" t="s">
        <v>8</v>
      </c>
      <c r="F118" s="29">
        <v>4983</v>
      </c>
      <c r="G118" s="3" t="s">
        <v>70</v>
      </c>
      <c r="H118" s="1">
        <v>4437659</v>
      </c>
      <c r="I118" s="26">
        <v>11720254.908380713</v>
      </c>
      <c r="J118" s="26">
        <v>16157913.908380713</v>
      </c>
    </row>
    <row r="119" spans="1:10" x14ac:dyDescent="0.2">
      <c r="A119">
        <v>2005460</v>
      </c>
      <c r="B119">
        <v>2017</v>
      </c>
      <c r="C119" t="s">
        <v>6</v>
      </c>
      <c r="D119" t="s">
        <v>7</v>
      </c>
      <c r="E119" t="s">
        <v>8</v>
      </c>
      <c r="F119" s="29">
        <v>4983</v>
      </c>
      <c r="G119" s="3" t="s">
        <v>70</v>
      </c>
      <c r="H119" s="1">
        <v>4604513</v>
      </c>
      <c r="I119" s="1">
        <v>718560.22773053963</v>
      </c>
      <c r="J119" s="1">
        <v>5323073.2277305396</v>
      </c>
    </row>
    <row r="120" spans="1:10" x14ac:dyDescent="0.2">
      <c r="A120">
        <v>2005460</v>
      </c>
      <c r="B120">
        <v>2018</v>
      </c>
      <c r="C120" t="s">
        <v>6</v>
      </c>
      <c r="D120" t="s">
        <v>7</v>
      </c>
      <c r="E120" t="s">
        <v>8</v>
      </c>
      <c r="F120" s="28">
        <v>4983</v>
      </c>
      <c r="G120" t="s">
        <v>70</v>
      </c>
      <c r="H120" s="1">
        <v>5458916</v>
      </c>
      <c r="I120" s="1">
        <v>825493.7147535471</v>
      </c>
      <c r="J120" s="1">
        <v>6284409.7147535468</v>
      </c>
    </row>
    <row r="121" spans="1:10" x14ac:dyDescent="0.2">
      <c r="A121">
        <v>2005460</v>
      </c>
      <c r="B121">
        <v>2019</v>
      </c>
      <c r="C121" t="s">
        <v>6</v>
      </c>
      <c r="D121" t="s">
        <v>7</v>
      </c>
      <c r="E121" t="s">
        <v>8</v>
      </c>
      <c r="F121" s="28">
        <v>4983</v>
      </c>
      <c r="G121" t="s">
        <v>70</v>
      </c>
      <c r="H121" s="1">
        <v>6038281</v>
      </c>
      <c r="I121" s="1">
        <v>919617.044194252</v>
      </c>
      <c r="J121" s="1">
        <v>6957898.0441942522</v>
      </c>
    </row>
    <row r="122" spans="1:10" x14ac:dyDescent="0.2">
      <c r="A122">
        <v>2005460</v>
      </c>
      <c r="B122">
        <v>2020</v>
      </c>
      <c r="C122" t="s">
        <v>6</v>
      </c>
      <c r="D122" t="s">
        <v>7</v>
      </c>
      <c r="E122" t="s">
        <v>8</v>
      </c>
      <c r="F122" s="28">
        <v>4983</v>
      </c>
      <c r="G122" t="s">
        <v>70</v>
      </c>
      <c r="H122" s="1">
        <v>6692117</v>
      </c>
      <c r="I122" s="1">
        <v>1012415.7489357201</v>
      </c>
      <c r="J122" s="1">
        <v>7704532.74893572</v>
      </c>
    </row>
    <row r="123" spans="1:10" x14ac:dyDescent="0.2">
      <c r="A123">
        <v>2005460</v>
      </c>
      <c r="B123">
        <v>2021</v>
      </c>
      <c r="C123" t="s">
        <v>6</v>
      </c>
      <c r="D123" t="s">
        <v>7</v>
      </c>
      <c r="E123" t="s">
        <v>8</v>
      </c>
      <c r="F123" s="28">
        <v>4983</v>
      </c>
      <c r="G123" t="s">
        <v>70</v>
      </c>
      <c r="H123" s="25">
        <v>6679425</v>
      </c>
      <c r="I123" s="1">
        <v>997192.20269730303</v>
      </c>
      <c r="J123" s="1">
        <v>7676617.2026973031</v>
      </c>
    </row>
    <row r="124" spans="1:10" x14ac:dyDescent="0.2">
      <c r="A124">
        <v>2005460</v>
      </c>
      <c r="B124">
        <v>2022</v>
      </c>
      <c r="C124" t="s">
        <v>6</v>
      </c>
      <c r="D124" t="s">
        <v>7</v>
      </c>
      <c r="E124" t="s">
        <v>8</v>
      </c>
      <c r="F124" s="28">
        <v>4983</v>
      </c>
      <c r="G124" t="s">
        <v>70</v>
      </c>
      <c r="H124" s="1">
        <v>6816890</v>
      </c>
      <c r="I124" s="1">
        <v>925771.52371305204</v>
      </c>
      <c r="J124" s="1">
        <v>7742661.5237130523</v>
      </c>
    </row>
    <row r="125" spans="1:10" x14ac:dyDescent="0.2">
      <c r="A125">
        <v>2005460</v>
      </c>
      <c r="B125">
        <v>2023</v>
      </c>
      <c r="C125" t="s">
        <v>6</v>
      </c>
      <c r="D125" t="s">
        <v>7</v>
      </c>
      <c r="E125" t="s">
        <v>8</v>
      </c>
      <c r="F125" s="28">
        <v>4983</v>
      </c>
      <c r="G125" s="10" t="s">
        <v>70</v>
      </c>
      <c r="H125" s="1">
        <v>6745803</v>
      </c>
      <c r="I125" s="1">
        <v>944432.49744511046</v>
      </c>
      <c r="J125" s="1">
        <v>7690235.4974451102</v>
      </c>
    </row>
    <row r="126" spans="1:10" x14ac:dyDescent="0.2">
      <c r="A126">
        <v>2012510</v>
      </c>
      <c r="B126">
        <v>2015</v>
      </c>
      <c r="C126" t="s">
        <v>6</v>
      </c>
      <c r="D126" t="s">
        <v>7</v>
      </c>
      <c r="E126" t="s">
        <v>8</v>
      </c>
      <c r="F126" s="29">
        <v>4984</v>
      </c>
      <c r="G126" s="3" t="s">
        <v>71</v>
      </c>
      <c r="H126" s="27">
        <v>1247830</v>
      </c>
      <c r="I126" s="1">
        <v>200993.02140935184</v>
      </c>
      <c r="J126" s="1">
        <v>1448823.0214093518</v>
      </c>
    </row>
    <row r="127" spans="1:10" x14ac:dyDescent="0.2">
      <c r="A127">
        <v>2012510</v>
      </c>
      <c r="B127">
        <v>2016</v>
      </c>
      <c r="C127" t="s">
        <v>6</v>
      </c>
      <c r="D127" t="s">
        <v>7</v>
      </c>
      <c r="E127" t="s">
        <v>8</v>
      </c>
      <c r="F127" s="29">
        <v>4984</v>
      </c>
      <c r="G127" s="3" t="s">
        <v>71</v>
      </c>
      <c r="H127" s="1">
        <v>1347854</v>
      </c>
      <c r="I127" s="26">
        <v>3559806.2720616553</v>
      </c>
      <c r="J127" s="26">
        <v>4907660.2720616553</v>
      </c>
    </row>
    <row r="128" spans="1:10" x14ac:dyDescent="0.2">
      <c r="A128">
        <v>2012510</v>
      </c>
      <c r="B128">
        <v>2017</v>
      </c>
      <c r="C128" t="s">
        <v>6</v>
      </c>
      <c r="D128" t="s">
        <v>7</v>
      </c>
      <c r="E128" t="s">
        <v>8</v>
      </c>
      <c r="F128" s="29">
        <v>4984</v>
      </c>
      <c r="G128" s="3" t="s">
        <v>71</v>
      </c>
      <c r="H128" s="1">
        <v>1434322</v>
      </c>
      <c r="I128" s="1">
        <v>223834.03911747516</v>
      </c>
      <c r="J128" s="1">
        <v>1658156.039117475</v>
      </c>
    </row>
    <row r="129" spans="1:10" x14ac:dyDescent="0.2">
      <c r="A129">
        <v>2012510</v>
      </c>
      <c r="B129">
        <v>2018</v>
      </c>
      <c r="C129" t="s">
        <v>6</v>
      </c>
      <c r="D129" t="s">
        <v>7</v>
      </c>
      <c r="E129" t="s">
        <v>8</v>
      </c>
      <c r="F129" s="28">
        <v>4984</v>
      </c>
      <c r="G129" t="s">
        <v>71</v>
      </c>
      <c r="H129" s="1">
        <v>1749398</v>
      </c>
      <c r="I129" s="1">
        <v>264542.82381381688</v>
      </c>
      <c r="J129" s="1">
        <v>2013940.823813817</v>
      </c>
    </row>
    <row r="130" spans="1:10" x14ac:dyDescent="0.2">
      <c r="A130">
        <v>2012510</v>
      </c>
      <c r="B130">
        <v>2019</v>
      </c>
      <c r="C130" t="s">
        <v>6</v>
      </c>
      <c r="D130" t="s">
        <v>7</v>
      </c>
      <c r="E130" t="s">
        <v>8</v>
      </c>
      <c r="F130" s="28">
        <v>4984</v>
      </c>
      <c r="G130" t="s">
        <v>71</v>
      </c>
      <c r="H130" s="1">
        <v>1971383</v>
      </c>
      <c r="I130" s="1">
        <v>300237.33698958316</v>
      </c>
      <c r="J130" s="1">
        <v>2271620.336989583</v>
      </c>
    </row>
    <row r="131" spans="1:10" x14ac:dyDescent="0.2">
      <c r="A131">
        <v>2012510</v>
      </c>
      <c r="B131">
        <v>2020</v>
      </c>
      <c r="C131" t="s">
        <v>6</v>
      </c>
      <c r="D131" t="s">
        <v>7</v>
      </c>
      <c r="E131" t="s">
        <v>8</v>
      </c>
      <c r="F131" s="28">
        <v>4984</v>
      </c>
      <c r="G131" t="s">
        <v>71</v>
      </c>
      <c r="H131" s="1">
        <v>2293823</v>
      </c>
      <c r="I131" s="1">
        <v>347020.61103698279</v>
      </c>
      <c r="J131" s="1">
        <v>2640843.6110369829</v>
      </c>
    </row>
    <row r="132" spans="1:10" x14ac:dyDescent="0.2">
      <c r="A132">
        <v>2012510</v>
      </c>
      <c r="B132">
        <v>2021</v>
      </c>
      <c r="C132" t="s">
        <v>6</v>
      </c>
      <c r="D132" t="s">
        <v>7</v>
      </c>
      <c r="E132" t="s">
        <v>8</v>
      </c>
      <c r="F132" s="28">
        <v>4984</v>
      </c>
      <c r="G132" t="s">
        <v>71</v>
      </c>
      <c r="H132" s="25">
        <v>2408288</v>
      </c>
      <c r="I132" s="1">
        <v>359540.83105199662</v>
      </c>
      <c r="J132" s="1">
        <v>2767828.8310519964</v>
      </c>
    </row>
    <row r="133" spans="1:10" x14ac:dyDescent="0.2">
      <c r="A133">
        <v>2012510</v>
      </c>
      <c r="B133">
        <v>2022</v>
      </c>
      <c r="C133" t="s">
        <v>6</v>
      </c>
      <c r="D133" t="s">
        <v>7</v>
      </c>
      <c r="E133" t="s">
        <v>8</v>
      </c>
      <c r="F133" s="28">
        <v>4984</v>
      </c>
      <c r="G133" t="s">
        <v>71</v>
      </c>
      <c r="H133" s="1">
        <v>3117021</v>
      </c>
      <c r="I133" s="1">
        <v>423308.76405744866</v>
      </c>
      <c r="J133" s="1">
        <v>3540329.7640574486</v>
      </c>
    </row>
    <row r="134" spans="1:10" x14ac:dyDescent="0.2">
      <c r="A134">
        <v>2012510</v>
      </c>
      <c r="B134">
        <v>2023</v>
      </c>
      <c r="C134" t="s">
        <v>6</v>
      </c>
      <c r="D134" t="s">
        <v>7</v>
      </c>
      <c r="E134" t="s">
        <v>8</v>
      </c>
      <c r="F134" s="28">
        <v>4984</v>
      </c>
      <c r="G134" s="10" t="s">
        <v>71</v>
      </c>
      <c r="H134" s="1">
        <v>3299848</v>
      </c>
      <c r="I134" s="1">
        <v>461988.54129438003</v>
      </c>
      <c r="J134" s="1">
        <v>3761836.5412943801</v>
      </c>
    </row>
    <row r="135" spans="1:10" x14ac:dyDescent="0.2">
      <c r="A135">
        <v>2006540</v>
      </c>
      <c r="B135">
        <v>2015</v>
      </c>
      <c r="C135" t="s">
        <v>6</v>
      </c>
      <c r="D135" t="s">
        <v>7</v>
      </c>
      <c r="E135" t="s">
        <v>8</v>
      </c>
      <c r="F135" s="29">
        <v>4985</v>
      </c>
      <c r="G135" s="3" t="s">
        <v>72</v>
      </c>
      <c r="H135" s="27">
        <v>2666809</v>
      </c>
      <c r="I135" s="1">
        <v>429553.70397542312</v>
      </c>
      <c r="J135" s="1">
        <v>3096362.7039754232</v>
      </c>
    </row>
    <row r="136" spans="1:10" x14ac:dyDescent="0.2">
      <c r="A136">
        <v>2006540</v>
      </c>
      <c r="B136">
        <v>2016</v>
      </c>
      <c r="C136" t="s">
        <v>6</v>
      </c>
      <c r="D136" t="s">
        <v>7</v>
      </c>
      <c r="E136" t="s">
        <v>8</v>
      </c>
      <c r="F136" s="29">
        <v>4985</v>
      </c>
      <c r="G136" s="3" t="s">
        <v>72</v>
      </c>
      <c r="H136" s="1">
        <v>2793409</v>
      </c>
      <c r="I136" s="26">
        <v>7377643.2860249095</v>
      </c>
      <c r="J136" s="26">
        <v>10171052.286024909</v>
      </c>
    </row>
    <row r="137" spans="1:10" x14ac:dyDescent="0.2">
      <c r="A137">
        <v>2006540</v>
      </c>
      <c r="B137">
        <v>2017</v>
      </c>
      <c r="C137" t="s">
        <v>6</v>
      </c>
      <c r="D137" t="s">
        <v>7</v>
      </c>
      <c r="E137" t="s">
        <v>8</v>
      </c>
      <c r="F137" s="29">
        <v>4985</v>
      </c>
      <c r="G137" s="3" t="s">
        <v>72</v>
      </c>
      <c r="H137" s="1">
        <v>2987145</v>
      </c>
      <c r="I137" s="1">
        <v>466160.82774967572</v>
      </c>
      <c r="J137" s="1">
        <v>3453305.8277496756</v>
      </c>
    </row>
    <row r="138" spans="1:10" x14ac:dyDescent="0.2">
      <c r="A138">
        <v>2006540</v>
      </c>
      <c r="B138">
        <v>2018</v>
      </c>
      <c r="C138" t="s">
        <v>6</v>
      </c>
      <c r="D138" t="s">
        <v>7</v>
      </c>
      <c r="E138" t="s">
        <v>8</v>
      </c>
      <c r="F138" s="28">
        <v>4985</v>
      </c>
      <c r="G138" t="s">
        <v>72</v>
      </c>
      <c r="H138" s="1">
        <v>3815739</v>
      </c>
      <c r="I138" s="1">
        <v>577013.56123449875</v>
      </c>
      <c r="J138" s="1">
        <v>4392752.5612344984</v>
      </c>
    </row>
    <row r="139" spans="1:10" x14ac:dyDescent="0.2">
      <c r="A139">
        <v>2006540</v>
      </c>
      <c r="B139">
        <v>2019</v>
      </c>
      <c r="C139" t="s">
        <v>6</v>
      </c>
      <c r="D139" t="s">
        <v>7</v>
      </c>
      <c r="E139" t="s">
        <v>8</v>
      </c>
      <c r="F139" s="28">
        <v>4985</v>
      </c>
      <c r="G139" t="s">
        <v>72</v>
      </c>
      <c r="H139" s="1">
        <v>4032178</v>
      </c>
      <c r="I139" s="1">
        <v>614091.9268290248</v>
      </c>
      <c r="J139" s="1">
        <v>4646269.9268290251</v>
      </c>
    </row>
    <row r="140" spans="1:10" x14ac:dyDescent="0.2">
      <c r="A140">
        <v>2006540</v>
      </c>
      <c r="B140">
        <v>2020</v>
      </c>
      <c r="C140" t="s">
        <v>6</v>
      </c>
      <c r="D140" t="s">
        <v>7</v>
      </c>
      <c r="E140" t="s">
        <v>8</v>
      </c>
      <c r="F140" s="28">
        <v>4985</v>
      </c>
      <c r="G140" t="s">
        <v>72</v>
      </c>
      <c r="H140" s="1">
        <v>4632329</v>
      </c>
      <c r="I140" s="1">
        <v>700801.08190751227</v>
      </c>
      <c r="J140" s="1">
        <v>5333130.0819075126</v>
      </c>
    </row>
    <row r="141" spans="1:10" x14ac:dyDescent="0.2">
      <c r="A141">
        <v>2006540</v>
      </c>
      <c r="B141">
        <v>2021</v>
      </c>
      <c r="C141" t="s">
        <v>6</v>
      </c>
      <c r="D141" t="s">
        <v>7</v>
      </c>
      <c r="E141" t="s">
        <v>8</v>
      </c>
      <c r="F141" s="28">
        <v>4985</v>
      </c>
      <c r="G141" t="s">
        <v>72</v>
      </c>
      <c r="H141" s="25">
        <v>4876374</v>
      </c>
      <c r="I141" s="1">
        <v>728009.09213530482</v>
      </c>
      <c r="J141" s="1">
        <v>5604383.0921353046</v>
      </c>
    </row>
    <row r="142" spans="1:10" x14ac:dyDescent="0.2">
      <c r="A142">
        <v>2006540</v>
      </c>
      <c r="B142">
        <v>2022</v>
      </c>
      <c r="C142" t="s">
        <v>6</v>
      </c>
      <c r="D142" t="s">
        <v>7</v>
      </c>
      <c r="E142" t="s">
        <v>8</v>
      </c>
      <c r="F142" s="28">
        <v>4985</v>
      </c>
      <c r="G142" t="s">
        <v>72</v>
      </c>
      <c r="H142" s="1">
        <v>6163797</v>
      </c>
      <c r="I142" s="1">
        <v>837077.8669668925</v>
      </c>
      <c r="J142" s="1">
        <v>7000874.866966892</v>
      </c>
    </row>
    <row r="143" spans="1:10" x14ac:dyDescent="0.2">
      <c r="A143">
        <v>2006540</v>
      </c>
      <c r="B143">
        <v>2023</v>
      </c>
      <c r="C143" t="s">
        <v>6</v>
      </c>
      <c r="D143" t="s">
        <v>7</v>
      </c>
      <c r="E143" t="s">
        <v>8</v>
      </c>
      <c r="F143" s="28">
        <v>4985</v>
      </c>
      <c r="G143" s="10" t="s">
        <v>72</v>
      </c>
      <c r="H143" s="1">
        <v>6771271</v>
      </c>
      <c r="I143" s="1">
        <v>947998.09324518533</v>
      </c>
      <c r="J143" s="1">
        <v>7719269.093245185</v>
      </c>
    </row>
    <row r="144" spans="1:10" x14ac:dyDescent="0.2">
      <c r="A144">
        <v>2009140</v>
      </c>
      <c r="B144">
        <v>2015</v>
      </c>
      <c r="C144" t="s">
        <v>6</v>
      </c>
      <c r="D144" t="s">
        <v>7</v>
      </c>
      <c r="E144" t="s">
        <v>8</v>
      </c>
      <c r="F144" s="29">
        <v>4986</v>
      </c>
      <c r="G144" s="3" t="s">
        <v>73</v>
      </c>
      <c r="H144" s="27">
        <v>3112879</v>
      </c>
      <c r="I144" s="1">
        <v>501404.00174039882</v>
      </c>
      <c r="J144" s="1">
        <v>3614283.0017403988</v>
      </c>
    </row>
    <row r="145" spans="1:10" x14ac:dyDescent="0.2">
      <c r="A145">
        <v>2009140</v>
      </c>
      <c r="B145">
        <v>2016</v>
      </c>
      <c r="C145" t="s">
        <v>6</v>
      </c>
      <c r="D145" t="s">
        <v>7</v>
      </c>
      <c r="E145" t="s">
        <v>8</v>
      </c>
      <c r="F145" s="29">
        <v>4986</v>
      </c>
      <c r="G145" s="3" t="s">
        <v>73</v>
      </c>
      <c r="H145" s="1">
        <v>2908628</v>
      </c>
      <c r="I145" s="26">
        <v>7681947.4798159022</v>
      </c>
      <c r="J145" s="26">
        <v>10590575.479815902</v>
      </c>
    </row>
    <row r="146" spans="1:10" x14ac:dyDescent="0.2">
      <c r="A146">
        <v>2009140</v>
      </c>
      <c r="B146">
        <v>2017</v>
      </c>
      <c r="C146" t="s">
        <v>6</v>
      </c>
      <c r="D146" t="s">
        <v>7</v>
      </c>
      <c r="E146" t="s">
        <v>8</v>
      </c>
      <c r="F146" s="29">
        <v>4986</v>
      </c>
      <c r="G146" s="3" t="s">
        <v>73</v>
      </c>
      <c r="H146" s="1">
        <v>3470010</v>
      </c>
      <c r="I146" s="1">
        <v>541514.63484352187</v>
      </c>
      <c r="J146" s="1">
        <v>4011524.6348435218</v>
      </c>
    </row>
    <row r="147" spans="1:10" x14ac:dyDescent="0.2">
      <c r="A147">
        <v>2009140</v>
      </c>
      <c r="B147">
        <v>2018</v>
      </c>
      <c r="C147" t="s">
        <v>6</v>
      </c>
      <c r="D147" t="s">
        <v>7</v>
      </c>
      <c r="E147" t="s">
        <v>8</v>
      </c>
      <c r="F147" s="28">
        <v>4986</v>
      </c>
      <c r="G147" t="s">
        <v>73</v>
      </c>
      <c r="H147" s="1">
        <v>4215026</v>
      </c>
      <c r="I147" s="1">
        <v>637393.48077947798</v>
      </c>
      <c r="J147" s="1">
        <v>4852419.4807794783</v>
      </c>
    </row>
    <row r="148" spans="1:10" x14ac:dyDescent="0.2">
      <c r="A148">
        <v>2009140</v>
      </c>
      <c r="B148">
        <v>2019</v>
      </c>
      <c r="C148" t="s">
        <v>6</v>
      </c>
      <c r="D148" t="s">
        <v>7</v>
      </c>
      <c r="E148" t="s">
        <v>8</v>
      </c>
      <c r="F148" s="28">
        <v>4986</v>
      </c>
      <c r="G148" t="s">
        <v>73</v>
      </c>
      <c r="H148" s="1">
        <v>4603555</v>
      </c>
      <c r="I148" s="1">
        <v>701111.39940086752</v>
      </c>
      <c r="J148" s="1">
        <v>5304666.3994008675</v>
      </c>
    </row>
    <row r="149" spans="1:10" x14ac:dyDescent="0.2">
      <c r="A149">
        <v>2009140</v>
      </c>
      <c r="B149">
        <v>2020</v>
      </c>
      <c r="C149" t="s">
        <v>6</v>
      </c>
      <c r="D149" t="s">
        <v>7</v>
      </c>
      <c r="E149" t="s">
        <v>8</v>
      </c>
      <c r="F149" s="28">
        <v>4986</v>
      </c>
      <c r="G149" t="s">
        <v>73</v>
      </c>
      <c r="H149" s="1">
        <v>5178339</v>
      </c>
      <c r="I149" s="1">
        <v>783404.10918219865</v>
      </c>
      <c r="J149" s="1">
        <v>5961743.1091821985</v>
      </c>
    </row>
    <row r="150" spans="1:10" x14ac:dyDescent="0.2">
      <c r="A150">
        <v>2009140</v>
      </c>
      <c r="B150">
        <v>2021</v>
      </c>
      <c r="C150" t="s">
        <v>6</v>
      </c>
      <c r="D150" t="s">
        <v>7</v>
      </c>
      <c r="E150" t="s">
        <v>8</v>
      </c>
      <c r="F150" s="28">
        <v>4986</v>
      </c>
      <c r="G150" t="s">
        <v>73</v>
      </c>
      <c r="H150" s="25">
        <v>5592545</v>
      </c>
      <c r="I150" s="1">
        <v>834928.49567646743</v>
      </c>
      <c r="J150" s="1">
        <v>6427473.4956764672</v>
      </c>
    </row>
    <row r="151" spans="1:10" x14ac:dyDescent="0.2">
      <c r="A151">
        <v>2009140</v>
      </c>
      <c r="B151">
        <v>2022</v>
      </c>
      <c r="C151" t="s">
        <v>6</v>
      </c>
      <c r="D151" t="s">
        <v>7</v>
      </c>
      <c r="E151" t="s">
        <v>8</v>
      </c>
      <c r="F151" s="28">
        <v>4986</v>
      </c>
      <c r="G151" t="s">
        <v>73</v>
      </c>
      <c r="H151" s="1">
        <v>7701589</v>
      </c>
      <c r="I151" s="1">
        <v>1045918.561622922</v>
      </c>
      <c r="J151" s="1">
        <v>8747507.5616229214</v>
      </c>
    </row>
    <row r="152" spans="1:10" x14ac:dyDescent="0.2">
      <c r="A152">
        <v>2009140</v>
      </c>
      <c r="B152">
        <v>2023</v>
      </c>
      <c r="C152" t="s">
        <v>6</v>
      </c>
      <c r="D152" t="s">
        <v>7</v>
      </c>
      <c r="E152" t="s">
        <v>8</v>
      </c>
      <c r="F152" s="28">
        <v>4986</v>
      </c>
      <c r="G152" s="10" t="s">
        <v>73</v>
      </c>
      <c r="H152" s="1">
        <v>8791813</v>
      </c>
      <c r="I152" s="1">
        <v>1230879.9869578741</v>
      </c>
      <c r="J152" s="1">
        <v>10022692.986957874</v>
      </c>
    </row>
    <row r="153" spans="1:10" x14ac:dyDescent="0.2">
      <c r="A153">
        <v>2004670</v>
      </c>
      <c r="B153">
        <v>2015</v>
      </c>
      <c r="C153" t="s">
        <v>6</v>
      </c>
      <c r="D153" t="s">
        <v>7</v>
      </c>
      <c r="E153" t="s">
        <v>8</v>
      </c>
      <c r="F153" s="29">
        <v>4987</v>
      </c>
      <c r="G153" s="3" t="s">
        <v>74</v>
      </c>
      <c r="H153" s="27">
        <v>428601</v>
      </c>
      <c r="I153" s="1">
        <v>69036.495331150567</v>
      </c>
      <c r="J153" s="1">
        <v>497637.4953311506</v>
      </c>
    </row>
    <row r="154" spans="1:10" x14ac:dyDescent="0.2">
      <c r="A154">
        <v>2004670</v>
      </c>
      <c r="B154">
        <v>2016</v>
      </c>
      <c r="C154" t="s">
        <v>6</v>
      </c>
      <c r="D154" t="s">
        <v>7</v>
      </c>
      <c r="E154" t="s">
        <v>8</v>
      </c>
      <c r="F154" s="29">
        <v>4987</v>
      </c>
      <c r="G154" s="3" t="s">
        <v>74</v>
      </c>
      <c r="H154" s="1">
        <v>453816</v>
      </c>
      <c r="I154" s="26">
        <v>1198566.760468147</v>
      </c>
      <c r="J154" s="26">
        <v>1652382.760468147</v>
      </c>
    </row>
    <row r="155" spans="1:10" x14ac:dyDescent="0.2">
      <c r="A155">
        <v>2004670</v>
      </c>
      <c r="B155">
        <v>2017</v>
      </c>
      <c r="C155" t="s">
        <v>6</v>
      </c>
      <c r="D155" t="s">
        <v>7</v>
      </c>
      <c r="E155" t="s">
        <v>8</v>
      </c>
      <c r="F155" s="29">
        <v>4987</v>
      </c>
      <c r="G155" s="3" t="s">
        <v>74</v>
      </c>
      <c r="H155" s="1">
        <v>484456</v>
      </c>
      <c r="I155" s="1">
        <v>75602.091618685037</v>
      </c>
      <c r="J155" s="1">
        <v>560058.09161868505</v>
      </c>
    </row>
    <row r="156" spans="1:10" x14ac:dyDescent="0.2">
      <c r="A156">
        <v>2004670</v>
      </c>
      <c r="B156">
        <v>2018</v>
      </c>
      <c r="C156" t="s">
        <v>6</v>
      </c>
      <c r="D156" t="s">
        <v>7</v>
      </c>
      <c r="E156" t="s">
        <v>8</v>
      </c>
      <c r="F156" s="28">
        <v>4987</v>
      </c>
      <c r="G156" t="s">
        <v>74</v>
      </c>
      <c r="H156" s="1">
        <v>580215</v>
      </c>
      <c r="I156" s="1">
        <v>87739.733622156738</v>
      </c>
      <c r="J156" s="1">
        <v>667954.73362215678</v>
      </c>
    </row>
    <row r="157" spans="1:10" x14ac:dyDescent="0.2">
      <c r="A157">
        <v>2004670</v>
      </c>
      <c r="B157">
        <v>2019</v>
      </c>
      <c r="C157" t="s">
        <v>6</v>
      </c>
      <c r="D157" t="s">
        <v>7</v>
      </c>
      <c r="E157" t="s">
        <v>8</v>
      </c>
      <c r="F157" s="28">
        <v>4987</v>
      </c>
      <c r="G157" t="s">
        <v>74</v>
      </c>
      <c r="H157" s="1">
        <v>613871</v>
      </c>
      <c r="I157" s="1">
        <v>93491.216214775297</v>
      </c>
      <c r="J157" s="1">
        <v>707362.21621477534</v>
      </c>
    </row>
    <row r="158" spans="1:10" x14ac:dyDescent="0.2">
      <c r="A158">
        <v>2004670</v>
      </c>
      <c r="B158">
        <v>2020</v>
      </c>
      <c r="C158" t="s">
        <v>6</v>
      </c>
      <c r="D158" t="s">
        <v>7</v>
      </c>
      <c r="E158" t="s">
        <v>8</v>
      </c>
      <c r="F158" s="28">
        <v>4987</v>
      </c>
      <c r="G158" t="s">
        <v>74</v>
      </c>
      <c r="H158" s="1">
        <v>692004</v>
      </c>
      <c r="I158" s="1">
        <v>104689.70400943587</v>
      </c>
      <c r="J158" s="1">
        <v>796693.70400943584</v>
      </c>
    </row>
    <row r="159" spans="1:10" x14ac:dyDescent="0.2">
      <c r="A159">
        <v>2004670</v>
      </c>
      <c r="B159">
        <v>2021</v>
      </c>
      <c r="C159" t="s">
        <v>6</v>
      </c>
      <c r="D159" t="s">
        <v>7</v>
      </c>
      <c r="E159" t="s">
        <v>8</v>
      </c>
      <c r="F159" s="28">
        <v>4987</v>
      </c>
      <c r="G159" t="s">
        <v>74</v>
      </c>
      <c r="H159" s="25">
        <v>696995</v>
      </c>
      <c r="I159" s="1">
        <v>104056.55865871788</v>
      </c>
      <c r="J159" s="1">
        <v>801051.5586587179</v>
      </c>
    </row>
    <row r="160" spans="1:10" x14ac:dyDescent="0.2">
      <c r="A160">
        <v>2004670</v>
      </c>
      <c r="B160">
        <v>2022</v>
      </c>
      <c r="C160" t="s">
        <v>6</v>
      </c>
      <c r="D160" t="s">
        <v>7</v>
      </c>
      <c r="E160" t="s">
        <v>8</v>
      </c>
      <c r="F160" s="28">
        <v>4987</v>
      </c>
      <c r="G160" t="s">
        <v>74</v>
      </c>
      <c r="H160" s="1">
        <v>711950</v>
      </c>
      <c r="I160" s="1">
        <v>96686.764244033198</v>
      </c>
      <c r="J160" s="1">
        <v>808636.76424403326</v>
      </c>
    </row>
    <row r="161" spans="1:10" x14ac:dyDescent="0.2">
      <c r="A161">
        <v>2004670</v>
      </c>
      <c r="B161">
        <v>2023</v>
      </c>
      <c r="C161" t="s">
        <v>6</v>
      </c>
      <c r="D161" t="s">
        <v>7</v>
      </c>
      <c r="E161" t="s">
        <v>8</v>
      </c>
      <c r="F161" s="28">
        <v>4987</v>
      </c>
      <c r="G161" s="10" t="s">
        <v>74</v>
      </c>
      <c r="H161" s="1">
        <v>709889</v>
      </c>
      <c r="I161" s="1">
        <v>99386.572833332379</v>
      </c>
      <c r="J161" s="1">
        <v>809275.57283333235</v>
      </c>
    </row>
    <row r="162" spans="1:10" x14ac:dyDescent="0.2">
      <c r="A162">
        <v>2000015</v>
      </c>
      <c r="B162">
        <v>2015</v>
      </c>
      <c r="C162" t="s">
        <v>6</v>
      </c>
      <c r="D162" t="s">
        <v>7</v>
      </c>
      <c r="E162" t="s">
        <v>8</v>
      </c>
      <c r="F162" s="29">
        <v>4988</v>
      </c>
      <c r="G162" s="3" t="s">
        <v>75</v>
      </c>
      <c r="H162" s="27">
        <v>1505056</v>
      </c>
      <c r="I162" s="1">
        <v>242425.452850367</v>
      </c>
      <c r="J162" s="1">
        <v>1747481.4528503669</v>
      </c>
    </row>
    <row r="163" spans="1:10" x14ac:dyDescent="0.2">
      <c r="A163">
        <v>2000015</v>
      </c>
      <c r="B163">
        <v>2016</v>
      </c>
      <c r="C163" t="s">
        <v>6</v>
      </c>
      <c r="D163" t="s">
        <v>7</v>
      </c>
      <c r="E163" t="s">
        <v>8</v>
      </c>
      <c r="F163" s="29">
        <v>4988</v>
      </c>
      <c r="G163" s="3" t="s">
        <v>75</v>
      </c>
      <c r="H163" s="1">
        <v>1670926</v>
      </c>
      <c r="I163" s="26">
        <v>4413065.4370090887</v>
      </c>
      <c r="J163" s="26">
        <v>6083991.4370090887</v>
      </c>
    </row>
    <row r="164" spans="1:10" x14ac:dyDescent="0.2">
      <c r="A164">
        <v>2000015</v>
      </c>
      <c r="B164">
        <v>2017</v>
      </c>
      <c r="C164" t="s">
        <v>6</v>
      </c>
      <c r="D164" t="s">
        <v>7</v>
      </c>
      <c r="E164" t="s">
        <v>8</v>
      </c>
      <c r="F164" s="29">
        <v>4988</v>
      </c>
      <c r="G164" s="3" t="s">
        <v>75</v>
      </c>
      <c r="H164" s="1">
        <v>1735353</v>
      </c>
      <c r="I164" s="1">
        <v>270811.62478483067</v>
      </c>
      <c r="J164" s="1">
        <v>2006164.6247848307</v>
      </c>
    </row>
    <row r="165" spans="1:10" x14ac:dyDescent="0.2">
      <c r="A165">
        <v>2000015</v>
      </c>
      <c r="B165">
        <v>2018</v>
      </c>
      <c r="C165" t="s">
        <v>6</v>
      </c>
      <c r="D165" t="s">
        <v>7</v>
      </c>
      <c r="E165" t="s">
        <v>8</v>
      </c>
      <c r="F165" s="28">
        <v>4988</v>
      </c>
      <c r="G165" t="s">
        <v>75</v>
      </c>
      <c r="H165" s="1">
        <v>2057332</v>
      </c>
      <c r="I165" s="1">
        <v>311108.40232041391</v>
      </c>
      <c r="J165" s="1">
        <v>2368440.4023204139</v>
      </c>
    </row>
    <row r="166" spans="1:10" x14ac:dyDescent="0.2">
      <c r="A166">
        <v>2000015</v>
      </c>
      <c r="B166">
        <v>2019</v>
      </c>
      <c r="C166" t="s">
        <v>6</v>
      </c>
      <c r="D166" t="s">
        <v>7</v>
      </c>
      <c r="E166" t="s">
        <v>8</v>
      </c>
      <c r="F166" s="28">
        <v>4988</v>
      </c>
      <c r="G166" t="s">
        <v>75</v>
      </c>
      <c r="H166" s="1">
        <v>2300020</v>
      </c>
      <c r="I166" s="1">
        <v>350288.03627848113</v>
      </c>
      <c r="J166" s="1">
        <v>2650308.0362784811</v>
      </c>
    </row>
    <row r="167" spans="1:10" x14ac:dyDescent="0.2">
      <c r="A167">
        <v>2000015</v>
      </c>
      <c r="B167">
        <v>2020</v>
      </c>
      <c r="C167" t="s">
        <v>6</v>
      </c>
      <c r="D167" t="s">
        <v>7</v>
      </c>
      <c r="E167" t="s">
        <v>8</v>
      </c>
      <c r="F167" s="28">
        <v>4988</v>
      </c>
      <c r="G167" t="s">
        <v>75</v>
      </c>
      <c r="H167" s="1">
        <v>2567941</v>
      </c>
      <c r="I167" s="1">
        <v>388490.50468450296</v>
      </c>
      <c r="J167" s="1">
        <v>2956431.5046845032</v>
      </c>
    </row>
    <row r="168" spans="1:10" x14ac:dyDescent="0.2">
      <c r="A168">
        <v>2000015</v>
      </c>
      <c r="B168">
        <v>2021</v>
      </c>
      <c r="C168" t="s">
        <v>6</v>
      </c>
      <c r="D168" t="s">
        <v>7</v>
      </c>
      <c r="E168" t="s">
        <v>8</v>
      </c>
      <c r="F168" s="28">
        <v>4988</v>
      </c>
      <c r="G168" t="s">
        <v>75</v>
      </c>
      <c r="H168" s="25">
        <v>2555920</v>
      </c>
      <c r="I168" s="1">
        <v>381581.27304642106</v>
      </c>
      <c r="J168" s="1">
        <v>2937501.2730464209</v>
      </c>
    </row>
    <row r="169" spans="1:10" x14ac:dyDescent="0.2">
      <c r="A169">
        <v>2000015</v>
      </c>
      <c r="B169">
        <v>2022</v>
      </c>
      <c r="C169" t="s">
        <v>6</v>
      </c>
      <c r="D169" t="s">
        <v>7</v>
      </c>
      <c r="E169" t="s">
        <v>8</v>
      </c>
      <c r="F169" s="28">
        <v>4988</v>
      </c>
      <c r="G169" t="s">
        <v>75</v>
      </c>
      <c r="H169" s="1">
        <v>2515379</v>
      </c>
      <c r="I169" s="1">
        <v>341602.43887547153</v>
      </c>
      <c r="J169" s="1">
        <v>2856981.4388754717</v>
      </c>
    </row>
    <row r="170" spans="1:10" x14ac:dyDescent="0.2">
      <c r="A170">
        <v>2000015</v>
      </c>
      <c r="B170">
        <v>2023</v>
      </c>
      <c r="C170" t="s">
        <v>6</v>
      </c>
      <c r="D170" t="s">
        <v>7</v>
      </c>
      <c r="E170" t="s">
        <v>8</v>
      </c>
      <c r="F170" s="28">
        <v>4988</v>
      </c>
      <c r="G170" s="10" t="s">
        <v>75</v>
      </c>
      <c r="H170" s="1">
        <v>2535874</v>
      </c>
      <c r="I170" s="1">
        <v>355029.90748857061</v>
      </c>
      <c r="J170" s="1">
        <v>2890903.9074885705</v>
      </c>
    </row>
    <row r="171" spans="1:10" x14ac:dyDescent="0.2">
      <c r="A171">
        <v>2004080</v>
      </c>
      <c r="B171">
        <v>2015</v>
      </c>
      <c r="C171" t="s">
        <v>6</v>
      </c>
      <c r="D171" t="s">
        <v>7</v>
      </c>
      <c r="E171" t="s">
        <v>8</v>
      </c>
      <c r="F171" s="29">
        <v>4990</v>
      </c>
      <c r="G171" s="3" t="s">
        <v>76</v>
      </c>
      <c r="H171" s="27">
        <v>67172</v>
      </c>
      <c r="I171" s="1">
        <v>10819.665526641435</v>
      </c>
      <c r="J171" s="1">
        <v>77991.665526641431</v>
      </c>
    </row>
    <row r="172" spans="1:10" x14ac:dyDescent="0.2">
      <c r="A172">
        <v>2004080</v>
      </c>
      <c r="B172">
        <v>2016</v>
      </c>
      <c r="C172" t="s">
        <v>6</v>
      </c>
      <c r="D172" t="s">
        <v>7</v>
      </c>
      <c r="E172" t="s">
        <v>8</v>
      </c>
      <c r="F172" s="29">
        <v>4990</v>
      </c>
      <c r="G172" s="3" t="s">
        <v>76</v>
      </c>
      <c r="H172" s="1">
        <v>89067</v>
      </c>
      <c r="I172" s="26">
        <v>235232.88631677357</v>
      </c>
      <c r="J172" s="26">
        <v>324299.8863167736</v>
      </c>
    </row>
    <row r="173" spans="1:10" x14ac:dyDescent="0.2">
      <c r="A173">
        <v>2004080</v>
      </c>
      <c r="B173">
        <v>2017</v>
      </c>
      <c r="C173" t="s">
        <v>6</v>
      </c>
      <c r="D173" t="s">
        <v>7</v>
      </c>
      <c r="E173" t="s">
        <v>8</v>
      </c>
      <c r="F173" s="29">
        <v>4990</v>
      </c>
      <c r="G173" s="3" t="s">
        <v>76</v>
      </c>
      <c r="H173" s="1">
        <v>100402</v>
      </c>
      <c r="I173" s="1">
        <v>15668.298468177121</v>
      </c>
      <c r="J173" s="1">
        <v>116070.29846817712</v>
      </c>
    </row>
    <row r="174" spans="1:10" x14ac:dyDescent="0.2">
      <c r="A174">
        <v>2004080</v>
      </c>
      <c r="B174">
        <v>2018</v>
      </c>
      <c r="C174" t="s">
        <v>6</v>
      </c>
      <c r="D174" t="s">
        <v>7</v>
      </c>
      <c r="E174" t="s">
        <v>8</v>
      </c>
      <c r="F174" s="28">
        <v>4990</v>
      </c>
      <c r="G174" t="s">
        <v>76</v>
      </c>
      <c r="H174" s="1">
        <v>115191</v>
      </c>
      <c r="I174" s="1">
        <v>17419.107840489916</v>
      </c>
      <c r="J174" s="1">
        <v>132610.10784048992</v>
      </c>
    </row>
    <row r="175" spans="1:10" x14ac:dyDescent="0.2">
      <c r="A175">
        <v>2004080</v>
      </c>
      <c r="B175">
        <v>2019</v>
      </c>
      <c r="C175" t="s">
        <v>6</v>
      </c>
      <c r="D175" t="s">
        <v>7</v>
      </c>
      <c r="E175" t="s">
        <v>8</v>
      </c>
      <c r="F175" s="28">
        <v>4990</v>
      </c>
      <c r="G175" t="s">
        <v>76</v>
      </c>
      <c r="H175" s="1">
        <v>140097</v>
      </c>
      <c r="I175" s="1">
        <v>21336.467951803192</v>
      </c>
      <c r="J175" s="1">
        <v>161433.46795180318</v>
      </c>
    </row>
    <row r="176" spans="1:10" x14ac:dyDescent="0.2">
      <c r="A176">
        <v>2004080</v>
      </c>
      <c r="B176">
        <v>2020</v>
      </c>
      <c r="C176" t="s">
        <v>6</v>
      </c>
      <c r="D176" t="s">
        <v>7</v>
      </c>
      <c r="E176" t="s">
        <v>8</v>
      </c>
      <c r="F176" s="28">
        <v>4990</v>
      </c>
      <c r="G176" t="s">
        <v>76</v>
      </c>
      <c r="H176" s="1">
        <v>162177</v>
      </c>
      <c r="I176" s="1">
        <v>24534.919057026091</v>
      </c>
      <c r="J176" s="1">
        <v>186711.9190570261</v>
      </c>
    </row>
    <row r="177" spans="1:10" x14ac:dyDescent="0.2">
      <c r="A177">
        <v>2004080</v>
      </c>
      <c r="B177">
        <v>2021</v>
      </c>
      <c r="C177" t="s">
        <v>6</v>
      </c>
      <c r="D177" t="s">
        <v>7</v>
      </c>
      <c r="E177" t="s">
        <v>8</v>
      </c>
      <c r="F177" s="28">
        <v>4990</v>
      </c>
      <c r="G177" t="s">
        <v>76</v>
      </c>
      <c r="H177" s="25">
        <v>160178</v>
      </c>
      <c r="I177" s="1">
        <v>23913.473486662191</v>
      </c>
      <c r="J177" s="1">
        <v>184091.4734866622</v>
      </c>
    </row>
    <row r="178" spans="1:10" x14ac:dyDescent="0.2">
      <c r="A178">
        <v>2004080</v>
      </c>
      <c r="B178">
        <v>2022</v>
      </c>
      <c r="C178" t="s">
        <v>6</v>
      </c>
      <c r="D178" t="s">
        <v>7</v>
      </c>
      <c r="E178" t="s">
        <v>8</v>
      </c>
      <c r="F178" s="28">
        <v>4990</v>
      </c>
      <c r="G178" t="s">
        <v>76</v>
      </c>
      <c r="H178" s="1">
        <v>164417</v>
      </c>
      <c r="I178" s="1">
        <v>22328.741789045867</v>
      </c>
      <c r="J178" s="1">
        <v>186745.74178904586</v>
      </c>
    </row>
    <row r="179" spans="1:10" x14ac:dyDescent="0.2">
      <c r="A179">
        <v>2004080</v>
      </c>
      <c r="B179">
        <v>2023</v>
      </c>
      <c r="C179" t="s">
        <v>6</v>
      </c>
      <c r="D179" t="s">
        <v>7</v>
      </c>
      <c r="E179" t="s">
        <v>8</v>
      </c>
      <c r="F179" s="28">
        <v>4990</v>
      </c>
      <c r="G179" s="10" t="s">
        <v>76</v>
      </c>
      <c r="H179" s="1">
        <v>167394</v>
      </c>
      <c r="I179" s="1">
        <v>23435.658212569626</v>
      </c>
      <c r="J179" s="1">
        <v>190829.65821256963</v>
      </c>
    </row>
    <row r="180" spans="1:10" x14ac:dyDescent="0.2">
      <c r="A180">
        <v>2003720</v>
      </c>
      <c r="B180">
        <v>2015</v>
      </c>
      <c r="C180" t="s">
        <v>6</v>
      </c>
      <c r="D180" t="s">
        <v>7</v>
      </c>
      <c r="E180" t="s">
        <v>8</v>
      </c>
      <c r="F180" s="29">
        <v>4991</v>
      </c>
      <c r="G180" s="3" t="s">
        <v>77</v>
      </c>
      <c r="H180" s="27">
        <v>656120</v>
      </c>
      <c r="I180" s="1">
        <v>105683.90021645892</v>
      </c>
      <c r="J180" s="1">
        <v>761803.90021645895</v>
      </c>
    </row>
    <row r="181" spans="1:10" x14ac:dyDescent="0.2">
      <c r="A181">
        <v>2003720</v>
      </c>
      <c r="B181">
        <v>2016</v>
      </c>
      <c r="C181" t="s">
        <v>6</v>
      </c>
      <c r="D181" t="s">
        <v>7</v>
      </c>
      <c r="E181" t="s">
        <v>8</v>
      </c>
      <c r="F181" s="29">
        <v>4991</v>
      </c>
      <c r="G181" s="3" t="s">
        <v>77</v>
      </c>
      <c r="H181" s="1">
        <v>721540</v>
      </c>
      <c r="I181" s="26">
        <v>1905647.7669216357</v>
      </c>
      <c r="J181" s="26">
        <v>2627187.7669216357</v>
      </c>
    </row>
    <row r="182" spans="1:10" x14ac:dyDescent="0.2">
      <c r="A182">
        <v>2003720</v>
      </c>
      <c r="B182">
        <v>2017</v>
      </c>
      <c r="C182" t="s">
        <v>6</v>
      </c>
      <c r="D182" t="s">
        <v>7</v>
      </c>
      <c r="E182" t="s">
        <v>8</v>
      </c>
      <c r="F182" s="29">
        <v>4991</v>
      </c>
      <c r="G182" s="3" t="s">
        <v>77</v>
      </c>
      <c r="H182" s="1">
        <v>731786</v>
      </c>
      <c r="I182" s="1">
        <v>114199.33330843471</v>
      </c>
      <c r="J182" s="1">
        <v>845985.3333084347</v>
      </c>
    </row>
    <row r="183" spans="1:10" x14ac:dyDescent="0.2">
      <c r="A183">
        <v>2003720</v>
      </c>
      <c r="B183">
        <v>2018</v>
      </c>
      <c r="C183" t="s">
        <v>6</v>
      </c>
      <c r="D183" t="s">
        <v>7</v>
      </c>
      <c r="E183" t="s">
        <v>8</v>
      </c>
      <c r="F183" s="28">
        <v>4991</v>
      </c>
      <c r="G183" t="s">
        <v>77</v>
      </c>
      <c r="H183" s="1">
        <v>862098</v>
      </c>
      <c r="I183" s="1">
        <v>130365.89691096244</v>
      </c>
      <c r="J183" s="1">
        <v>992463.89691096242</v>
      </c>
    </row>
    <row r="184" spans="1:10" x14ac:dyDescent="0.2">
      <c r="A184">
        <v>2003720</v>
      </c>
      <c r="B184">
        <v>2019</v>
      </c>
      <c r="C184" t="s">
        <v>6</v>
      </c>
      <c r="D184" t="s">
        <v>7</v>
      </c>
      <c r="E184" t="s">
        <v>8</v>
      </c>
      <c r="F184" s="28">
        <v>4991</v>
      </c>
      <c r="G184" t="s">
        <v>77</v>
      </c>
      <c r="H184" s="1">
        <v>1025698</v>
      </c>
      <c r="I184" s="1">
        <v>156211.57130579973</v>
      </c>
      <c r="J184" s="1">
        <v>1181909.5713057998</v>
      </c>
    </row>
    <row r="185" spans="1:10" x14ac:dyDescent="0.2">
      <c r="A185">
        <v>2003720</v>
      </c>
      <c r="B185">
        <v>2020</v>
      </c>
      <c r="C185" t="s">
        <v>6</v>
      </c>
      <c r="D185" t="s">
        <v>7</v>
      </c>
      <c r="E185" t="s">
        <v>8</v>
      </c>
      <c r="F185" s="28">
        <v>4991</v>
      </c>
      <c r="G185" t="s">
        <v>77</v>
      </c>
      <c r="H185" s="1">
        <v>1126555</v>
      </c>
      <c r="I185" s="1">
        <v>170430.67597925742</v>
      </c>
      <c r="J185" s="1">
        <v>1296985.6759792573</v>
      </c>
    </row>
    <row r="186" spans="1:10" x14ac:dyDescent="0.2">
      <c r="A186">
        <v>2003720</v>
      </c>
      <c r="B186">
        <v>2021</v>
      </c>
      <c r="C186" t="s">
        <v>6</v>
      </c>
      <c r="D186" t="s">
        <v>7</v>
      </c>
      <c r="E186" t="s">
        <v>8</v>
      </c>
      <c r="F186" s="28">
        <v>4991</v>
      </c>
      <c r="G186" t="s">
        <v>77</v>
      </c>
      <c r="H186" s="25">
        <v>1101088</v>
      </c>
      <c r="I186" s="1">
        <v>164384.86367966823</v>
      </c>
      <c r="J186" s="1">
        <v>1265472.8636796682</v>
      </c>
    </row>
    <row r="187" spans="1:10" x14ac:dyDescent="0.2">
      <c r="A187">
        <v>2003720</v>
      </c>
      <c r="B187">
        <v>2022</v>
      </c>
      <c r="C187" t="s">
        <v>6</v>
      </c>
      <c r="D187" t="s">
        <v>7</v>
      </c>
      <c r="E187" t="s">
        <v>8</v>
      </c>
      <c r="F187" s="28">
        <v>4991</v>
      </c>
      <c r="G187" t="s">
        <v>77</v>
      </c>
      <c r="H187" s="1">
        <v>1066828</v>
      </c>
      <c r="I187" s="1">
        <v>144881.16767319816</v>
      </c>
      <c r="J187" s="1">
        <v>1211709.167673198</v>
      </c>
    </row>
    <row r="188" spans="1:10" x14ac:dyDescent="0.2">
      <c r="A188">
        <v>2003720</v>
      </c>
      <c r="B188">
        <v>2023</v>
      </c>
      <c r="C188" t="s">
        <v>6</v>
      </c>
      <c r="D188" t="s">
        <v>7</v>
      </c>
      <c r="E188" t="s">
        <v>8</v>
      </c>
      <c r="F188" s="28">
        <v>4991</v>
      </c>
      <c r="G188" s="10" t="s">
        <v>77</v>
      </c>
      <c r="H188" s="1">
        <v>1025018</v>
      </c>
      <c r="I188" s="1">
        <v>143505.57074764743</v>
      </c>
      <c r="J188" s="1">
        <v>1168523.5707476474</v>
      </c>
    </row>
    <row r="189" spans="1:10" x14ac:dyDescent="0.2">
      <c r="A189">
        <v>2011970</v>
      </c>
      <c r="B189">
        <v>2015</v>
      </c>
      <c r="C189" t="s">
        <v>6</v>
      </c>
      <c r="D189" t="s">
        <v>7</v>
      </c>
      <c r="E189" t="s">
        <v>8</v>
      </c>
      <c r="F189" s="29">
        <v>4992</v>
      </c>
      <c r="G189" s="3" t="s">
        <v>78</v>
      </c>
      <c r="H189" s="27">
        <v>158666</v>
      </c>
      <c r="I189" s="1">
        <v>25556.973894630057</v>
      </c>
      <c r="J189" s="1">
        <v>184222.97389463006</v>
      </c>
    </row>
    <row r="190" spans="1:10" x14ac:dyDescent="0.2">
      <c r="A190">
        <v>2011970</v>
      </c>
      <c r="B190">
        <v>2016</v>
      </c>
      <c r="C190" t="s">
        <v>6</v>
      </c>
      <c r="D190" t="s">
        <v>7</v>
      </c>
      <c r="E190" t="s">
        <v>8</v>
      </c>
      <c r="F190" s="29">
        <v>4992</v>
      </c>
      <c r="G190" s="3" t="s">
        <v>78</v>
      </c>
      <c r="H190" s="1">
        <v>171527</v>
      </c>
      <c r="I190" s="26">
        <v>453012.97674296331</v>
      </c>
      <c r="J190" s="26">
        <v>624539.97674296331</v>
      </c>
    </row>
    <row r="191" spans="1:10" x14ac:dyDescent="0.2">
      <c r="A191">
        <v>2011970</v>
      </c>
      <c r="B191">
        <v>2017</v>
      </c>
      <c r="C191" t="s">
        <v>6</v>
      </c>
      <c r="D191" t="s">
        <v>7</v>
      </c>
      <c r="E191" t="s">
        <v>8</v>
      </c>
      <c r="F191" s="29">
        <v>4992</v>
      </c>
      <c r="G191" s="3" t="s">
        <v>78</v>
      </c>
      <c r="H191" s="1">
        <v>175930</v>
      </c>
      <c r="I191" s="1">
        <v>27454.868921997575</v>
      </c>
      <c r="J191" s="1">
        <v>203384.86892199758</v>
      </c>
    </row>
    <row r="192" spans="1:10" x14ac:dyDescent="0.2">
      <c r="A192">
        <v>2011970</v>
      </c>
      <c r="B192">
        <v>2018</v>
      </c>
      <c r="C192" t="s">
        <v>6</v>
      </c>
      <c r="D192" t="s">
        <v>7</v>
      </c>
      <c r="E192" t="s">
        <v>8</v>
      </c>
      <c r="F192" s="28">
        <v>4992</v>
      </c>
      <c r="G192" t="s">
        <v>78</v>
      </c>
      <c r="H192" s="1">
        <v>211557</v>
      </c>
      <c r="I192" s="1">
        <v>31991.511467133063</v>
      </c>
      <c r="J192" s="1">
        <v>243548.51146713307</v>
      </c>
    </row>
    <row r="193" spans="1:10" x14ac:dyDescent="0.2">
      <c r="A193">
        <v>2011970</v>
      </c>
      <c r="B193">
        <v>2019</v>
      </c>
      <c r="C193" t="s">
        <v>6</v>
      </c>
      <c r="D193" t="s">
        <v>7</v>
      </c>
      <c r="E193" t="s">
        <v>8</v>
      </c>
      <c r="F193" s="28">
        <v>4992</v>
      </c>
      <c r="G193" t="s">
        <v>78</v>
      </c>
      <c r="H193" s="1">
        <v>242469</v>
      </c>
      <c r="I193" s="1">
        <v>36927.500573215468</v>
      </c>
      <c r="J193" s="1">
        <v>279396.50057321548</v>
      </c>
    </row>
    <row r="194" spans="1:10" x14ac:dyDescent="0.2">
      <c r="A194">
        <v>2011970</v>
      </c>
      <c r="B194">
        <v>2020</v>
      </c>
      <c r="C194" t="s">
        <v>6</v>
      </c>
      <c r="D194" t="s">
        <v>7</v>
      </c>
      <c r="E194" t="s">
        <v>8</v>
      </c>
      <c r="F194" s="28">
        <v>4992</v>
      </c>
      <c r="G194" t="s">
        <v>78</v>
      </c>
      <c r="H194" s="1">
        <v>276444</v>
      </c>
      <c r="I194" s="1">
        <v>41821.782150369785</v>
      </c>
      <c r="J194" s="1">
        <v>318265.78215036978</v>
      </c>
    </row>
    <row r="195" spans="1:10" x14ac:dyDescent="0.2">
      <c r="A195">
        <v>2011970</v>
      </c>
      <c r="B195">
        <v>2021</v>
      </c>
      <c r="C195" t="s">
        <v>6</v>
      </c>
      <c r="D195" t="s">
        <v>7</v>
      </c>
      <c r="E195" t="s">
        <v>8</v>
      </c>
      <c r="F195" s="28">
        <v>4992</v>
      </c>
      <c r="G195" t="s">
        <v>78</v>
      </c>
      <c r="H195" s="25">
        <v>288095</v>
      </c>
      <c r="I195" s="1">
        <v>43010.601606587319</v>
      </c>
      <c r="J195" s="1">
        <v>331105.6016065873</v>
      </c>
    </row>
    <row r="196" spans="1:10" x14ac:dyDescent="0.2">
      <c r="A196">
        <v>2011970</v>
      </c>
      <c r="B196">
        <v>2022</v>
      </c>
      <c r="C196" t="s">
        <v>6</v>
      </c>
      <c r="D196" t="s">
        <v>7</v>
      </c>
      <c r="E196" t="s">
        <v>8</v>
      </c>
      <c r="F196" s="28">
        <v>4992</v>
      </c>
      <c r="G196" t="s">
        <v>78</v>
      </c>
      <c r="H196" s="1">
        <v>328097</v>
      </c>
      <c r="I196" s="1">
        <v>44557.394884717403</v>
      </c>
      <c r="J196" s="1">
        <v>372654.39488471742</v>
      </c>
    </row>
    <row r="197" spans="1:10" x14ac:dyDescent="0.2">
      <c r="A197">
        <v>2011970</v>
      </c>
      <c r="B197">
        <v>2023</v>
      </c>
      <c r="C197" t="s">
        <v>6</v>
      </c>
      <c r="D197" t="s">
        <v>7</v>
      </c>
      <c r="E197" t="s">
        <v>8</v>
      </c>
      <c r="F197" s="28">
        <v>4992</v>
      </c>
      <c r="G197" s="10" t="s">
        <v>78</v>
      </c>
      <c r="H197" s="1">
        <v>325715</v>
      </c>
      <c r="I197" s="1">
        <v>45601.069421288194</v>
      </c>
      <c r="J197" s="1">
        <v>371316.06942128821</v>
      </c>
    </row>
    <row r="198" spans="1:10" x14ac:dyDescent="0.2">
      <c r="A198">
        <v>2006580</v>
      </c>
      <c r="B198">
        <v>2015</v>
      </c>
      <c r="C198" t="s">
        <v>6</v>
      </c>
      <c r="D198" t="s">
        <v>7</v>
      </c>
      <c r="E198" t="s">
        <v>8</v>
      </c>
      <c r="F198" s="29">
        <v>4993</v>
      </c>
      <c r="G198" s="3" t="s">
        <v>79</v>
      </c>
      <c r="H198" s="27">
        <v>534321</v>
      </c>
      <c r="I198" s="1">
        <v>86065.243015848551</v>
      </c>
      <c r="J198" s="1">
        <v>620386.24301584857</v>
      </c>
    </row>
    <row r="199" spans="1:10" x14ac:dyDescent="0.2">
      <c r="A199">
        <v>2006580</v>
      </c>
      <c r="B199">
        <v>2016</v>
      </c>
      <c r="C199" t="s">
        <v>6</v>
      </c>
      <c r="D199" t="s">
        <v>7</v>
      </c>
      <c r="E199" t="s">
        <v>8</v>
      </c>
      <c r="F199" s="29">
        <v>4993</v>
      </c>
      <c r="G199" s="3" t="s">
        <v>79</v>
      </c>
      <c r="H199" s="1">
        <v>585315</v>
      </c>
      <c r="I199" s="26">
        <v>1545873.5862505911</v>
      </c>
      <c r="J199" s="26">
        <v>2131188.5862505911</v>
      </c>
    </row>
    <row r="200" spans="1:10" x14ac:dyDescent="0.2">
      <c r="A200">
        <v>2006580</v>
      </c>
      <c r="B200">
        <v>2017</v>
      </c>
      <c r="C200" t="s">
        <v>6</v>
      </c>
      <c r="D200" t="s">
        <v>7</v>
      </c>
      <c r="E200" t="s">
        <v>8</v>
      </c>
      <c r="F200" s="29">
        <v>4993</v>
      </c>
      <c r="G200" s="3" t="s">
        <v>79</v>
      </c>
      <c r="H200" s="1">
        <v>617210</v>
      </c>
      <c r="I200" s="1">
        <v>96319.10218465369</v>
      </c>
      <c r="J200" s="1">
        <v>713529.10218465375</v>
      </c>
    </row>
    <row r="201" spans="1:10" x14ac:dyDescent="0.2">
      <c r="A201">
        <v>2006580</v>
      </c>
      <c r="B201">
        <v>2018</v>
      </c>
      <c r="C201" t="s">
        <v>6</v>
      </c>
      <c r="D201" t="s">
        <v>7</v>
      </c>
      <c r="E201" t="s">
        <v>8</v>
      </c>
      <c r="F201" s="28">
        <v>4993</v>
      </c>
      <c r="G201" t="s">
        <v>79</v>
      </c>
      <c r="H201" s="1">
        <v>699682</v>
      </c>
      <c r="I201" s="1">
        <v>105805.4553919114</v>
      </c>
      <c r="J201" s="1">
        <v>805487.45539191144</v>
      </c>
    </row>
    <row r="202" spans="1:10" x14ac:dyDescent="0.2">
      <c r="A202">
        <v>2006580</v>
      </c>
      <c r="B202">
        <v>2019</v>
      </c>
      <c r="C202" t="s">
        <v>6</v>
      </c>
      <c r="D202" t="s">
        <v>7</v>
      </c>
      <c r="E202" t="s">
        <v>8</v>
      </c>
      <c r="F202" s="28">
        <v>4993</v>
      </c>
      <c r="G202" t="s">
        <v>79</v>
      </c>
      <c r="H202" s="1">
        <v>779588</v>
      </c>
      <c r="I202" s="1">
        <v>118729.5543631223</v>
      </c>
      <c r="J202" s="1">
        <v>898317.55436312233</v>
      </c>
    </row>
    <row r="203" spans="1:10" x14ac:dyDescent="0.2">
      <c r="A203">
        <v>2006580</v>
      </c>
      <c r="B203">
        <v>2020</v>
      </c>
      <c r="C203" t="s">
        <v>6</v>
      </c>
      <c r="D203" t="s">
        <v>7</v>
      </c>
      <c r="E203" t="s">
        <v>8</v>
      </c>
      <c r="F203" s="28">
        <v>4993</v>
      </c>
      <c r="G203" t="s">
        <v>79</v>
      </c>
      <c r="H203" s="1">
        <v>870239</v>
      </c>
      <c r="I203" s="1">
        <v>131653.95478561899</v>
      </c>
      <c r="J203" s="1">
        <v>1001892.9547856189</v>
      </c>
    </row>
    <row r="204" spans="1:10" x14ac:dyDescent="0.2">
      <c r="A204">
        <v>2006580</v>
      </c>
      <c r="B204">
        <v>2021</v>
      </c>
      <c r="C204" t="s">
        <v>6</v>
      </c>
      <c r="D204" t="s">
        <v>7</v>
      </c>
      <c r="E204" t="s">
        <v>8</v>
      </c>
      <c r="F204" s="28">
        <v>4993</v>
      </c>
      <c r="G204" t="s">
        <v>79</v>
      </c>
      <c r="H204" s="25">
        <v>836222</v>
      </c>
      <c r="I204" s="1">
        <v>124842.19197370195</v>
      </c>
      <c r="J204" s="1">
        <v>961064.19197370193</v>
      </c>
    </row>
    <row r="205" spans="1:10" x14ac:dyDescent="0.2">
      <c r="A205">
        <v>2006580</v>
      </c>
      <c r="B205">
        <v>2022</v>
      </c>
      <c r="C205" t="s">
        <v>6</v>
      </c>
      <c r="D205" t="s">
        <v>7</v>
      </c>
      <c r="E205" t="s">
        <v>8</v>
      </c>
      <c r="F205" s="28">
        <v>4993</v>
      </c>
      <c r="G205" t="s">
        <v>79</v>
      </c>
      <c r="H205" s="1">
        <v>842163</v>
      </c>
      <c r="I205" s="1">
        <v>114370.41286052071</v>
      </c>
      <c r="J205" s="1">
        <v>956533.41286052065</v>
      </c>
    </row>
    <row r="206" spans="1:10" x14ac:dyDescent="0.2">
      <c r="A206">
        <v>2006580</v>
      </c>
      <c r="B206">
        <v>2023</v>
      </c>
      <c r="C206" t="s">
        <v>6</v>
      </c>
      <c r="D206" t="s">
        <v>7</v>
      </c>
      <c r="E206" t="s">
        <v>8</v>
      </c>
      <c r="F206" s="28">
        <v>4993</v>
      </c>
      <c r="G206" s="10" t="s">
        <v>79</v>
      </c>
      <c r="H206" s="1">
        <v>794621</v>
      </c>
      <c r="I206" s="1">
        <v>111249.30502007414</v>
      </c>
      <c r="J206" s="1">
        <v>905870.30502007413</v>
      </c>
    </row>
    <row r="207" spans="1:10" x14ac:dyDescent="0.2">
      <c r="A207">
        <v>2003430</v>
      </c>
      <c r="B207">
        <v>2015</v>
      </c>
      <c r="C207" t="s">
        <v>6</v>
      </c>
      <c r="D207" t="s">
        <v>7</v>
      </c>
      <c r="E207" t="s">
        <v>8</v>
      </c>
      <c r="F207" s="29">
        <v>4994</v>
      </c>
      <c r="G207" s="3" t="s">
        <v>80</v>
      </c>
      <c r="H207" s="27">
        <v>116172</v>
      </c>
      <c r="I207" s="1">
        <v>18712.293568168119</v>
      </c>
      <c r="J207" s="1">
        <v>134884.29356816813</v>
      </c>
    </row>
    <row r="208" spans="1:10" x14ac:dyDescent="0.2">
      <c r="A208">
        <v>2003430</v>
      </c>
      <c r="B208">
        <v>2016</v>
      </c>
      <c r="C208" t="s">
        <v>6</v>
      </c>
      <c r="D208" t="s">
        <v>7</v>
      </c>
      <c r="E208" t="s">
        <v>8</v>
      </c>
      <c r="F208" s="29">
        <v>4994</v>
      </c>
      <c r="G208" s="3" t="s">
        <v>80</v>
      </c>
      <c r="H208" s="1">
        <v>136607</v>
      </c>
      <c r="I208" s="26">
        <v>360786.11110245559</v>
      </c>
      <c r="J208" s="26">
        <v>497393.11110245559</v>
      </c>
    </row>
    <row r="209" spans="1:10" x14ac:dyDescent="0.2">
      <c r="A209">
        <v>2003430</v>
      </c>
      <c r="B209">
        <v>2017</v>
      </c>
      <c r="C209" t="s">
        <v>6</v>
      </c>
      <c r="D209" t="s">
        <v>7</v>
      </c>
      <c r="E209" t="s">
        <v>8</v>
      </c>
      <c r="F209" s="29">
        <v>4994</v>
      </c>
      <c r="G209" s="3" t="s">
        <v>80</v>
      </c>
      <c r="H209" s="1">
        <v>146810</v>
      </c>
      <c r="I209" s="1">
        <v>22910.528655933977</v>
      </c>
      <c r="J209" s="1">
        <v>169720.52865593397</v>
      </c>
    </row>
    <row r="210" spans="1:10" x14ac:dyDescent="0.2">
      <c r="A210">
        <v>2003430</v>
      </c>
      <c r="B210">
        <v>2018</v>
      </c>
      <c r="C210" t="s">
        <v>6</v>
      </c>
      <c r="D210" t="s">
        <v>7</v>
      </c>
      <c r="E210" t="s">
        <v>8</v>
      </c>
      <c r="F210" s="28">
        <v>4994</v>
      </c>
      <c r="G210" t="s">
        <v>80</v>
      </c>
      <c r="H210" s="1">
        <v>171579</v>
      </c>
      <c r="I210" s="1">
        <v>25946.064398810839</v>
      </c>
      <c r="J210" s="1">
        <v>197525.06439881085</v>
      </c>
    </row>
    <row r="211" spans="1:10" x14ac:dyDescent="0.2">
      <c r="A211">
        <v>2003430</v>
      </c>
      <c r="B211">
        <v>2019</v>
      </c>
      <c r="C211" t="s">
        <v>6</v>
      </c>
      <c r="D211" t="s">
        <v>7</v>
      </c>
      <c r="E211" t="s">
        <v>8</v>
      </c>
      <c r="F211" s="28">
        <v>4994</v>
      </c>
      <c r="G211" t="s">
        <v>80</v>
      </c>
      <c r="H211" s="1">
        <v>172781</v>
      </c>
      <c r="I211" s="1">
        <v>26314.169962101307</v>
      </c>
      <c r="J211" s="1">
        <v>199095.1699621013</v>
      </c>
    </row>
    <row r="212" spans="1:10" x14ac:dyDescent="0.2">
      <c r="A212">
        <v>2003430</v>
      </c>
      <c r="B212">
        <v>2020</v>
      </c>
      <c r="C212" t="s">
        <v>6</v>
      </c>
      <c r="D212" t="s">
        <v>7</v>
      </c>
      <c r="E212" t="s">
        <v>8</v>
      </c>
      <c r="F212" s="28">
        <v>4994</v>
      </c>
      <c r="G212" t="s">
        <v>80</v>
      </c>
      <c r="H212" s="1">
        <v>204167</v>
      </c>
      <c r="I212" s="1">
        <v>30887.368856963971</v>
      </c>
      <c r="J212" s="1">
        <v>235054.36885696396</v>
      </c>
    </row>
    <row r="213" spans="1:10" x14ac:dyDescent="0.2">
      <c r="A213">
        <v>2003430</v>
      </c>
      <c r="B213">
        <v>2021</v>
      </c>
      <c r="C213" t="s">
        <v>6</v>
      </c>
      <c r="D213" t="s">
        <v>7</v>
      </c>
      <c r="E213" t="s">
        <v>8</v>
      </c>
      <c r="F213" s="28">
        <v>4994</v>
      </c>
      <c r="G213" t="s">
        <v>80</v>
      </c>
      <c r="H213" s="25">
        <v>197504</v>
      </c>
      <c r="I213" s="1">
        <v>29485.988509718747</v>
      </c>
      <c r="J213" s="1">
        <v>226989.98850971874</v>
      </c>
    </row>
    <row r="214" spans="1:10" x14ac:dyDescent="0.2">
      <c r="A214">
        <v>2003430</v>
      </c>
      <c r="B214">
        <v>2022</v>
      </c>
      <c r="C214" t="s">
        <v>6</v>
      </c>
      <c r="D214" t="s">
        <v>7</v>
      </c>
      <c r="E214" t="s">
        <v>8</v>
      </c>
      <c r="F214" s="28">
        <v>4994</v>
      </c>
      <c r="G214" t="s">
        <v>80</v>
      </c>
      <c r="H214" s="1">
        <v>199865</v>
      </c>
      <c r="I214" s="1">
        <v>27142.777070909044</v>
      </c>
      <c r="J214" s="1">
        <v>227007.77707090904</v>
      </c>
    </row>
    <row r="215" spans="1:10" x14ac:dyDescent="0.2">
      <c r="A215">
        <v>2003430</v>
      </c>
      <c r="B215">
        <v>2023</v>
      </c>
      <c r="C215" t="s">
        <v>6</v>
      </c>
      <c r="D215" t="s">
        <v>7</v>
      </c>
      <c r="E215" t="s">
        <v>8</v>
      </c>
      <c r="F215" s="28">
        <v>4994</v>
      </c>
      <c r="G215" s="10" t="s">
        <v>80</v>
      </c>
      <c r="H215" s="1">
        <v>198467</v>
      </c>
      <c r="I215" s="1">
        <v>27785.970694732525</v>
      </c>
      <c r="J215" s="1">
        <v>226252.97069473253</v>
      </c>
    </row>
    <row r="216" spans="1:10" x14ac:dyDescent="0.2">
      <c r="A216">
        <v>2007350</v>
      </c>
      <c r="B216">
        <v>2015</v>
      </c>
      <c r="C216" t="s">
        <v>6</v>
      </c>
      <c r="D216" t="s">
        <v>7</v>
      </c>
      <c r="E216" t="s">
        <v>8</v>
      </c>
      <c r="F216" s="29">
        <v>4995</v>
      </c>
      <c r="G216" s="3" t="s">
        <v>81</v>
      </c>
      <c r="H216" s="27">
        <v>552857</v>
      </c>
      <c r="I216" s="1">
        <v>89050.91145212893</v>
      </c>
      <c r="J216" s="1">
        <v>641907.9114521289</v>
      </c>
    </row>
    <row r="217" spans="1:10" x14ac:dyDescent="0.2">
      <c r="A217">
        <v>2007350</v>
      </c>
      <c r="B217">
        <v>2016</v>
      </c>
      <c r="C217" t="s">
        <v>6</v>
      </c>
      <c r="D217" t="s">
        <v>7</v>
      </c>
      <c r="E217" t="s">
        <v>8</v>
      </c>
      <c r="F217" s="29">
        <v>4995</v>
      </c>
      <c r="G217" s="3" t="s">
        <v>81</v>
      </c>
      <c r="H217" s="1">
        <v>569155</v>
      </c>
      <c r="I217" s="26">
        <v>1503191.6311010164</v>
      </c>
      <c r="J217" s="26">
        <v>2072346.6311010164</v>
      </c>
    </row>
    <row r="218" spans="1:10" x14ac:dyDescent="0.2">
      <c r="A218">
        <v>2007350</v>
      </c>
      <c r="B218">
        <v>2017</v>
      </c>
      <c r="C218" t="s">
        <v>6</v>
      </c>
      <c r="D218" t="s">
        <v>7</v>
      </c>
      <c r="E218" t="s">
        <v>8</v>
      </c>
      <c r="F218" s="29">
        <v>4995</v>
      </c>
      <c r="G218" s="3" t="s">
        <v>81</v>
      </c>
      <c r="H218" s="1">
        <v>598772</v>
      </c>
      <c r="I218" s="1">
        <v>93441.74827580477</v>
      </c>
      <c r="J218" s="1">
        <v>692213.7482758048</v>
      </c>
    </row>
    <row r="219" spans="1:10" x14ac:dyDescent="0.2">
      <c r="A219">
        <v>2007350</v>
      </c>
      <c r="B219">
        <v>2018</v>
      </c>
      <c r="C219" t="s">
        <v>6</v>
      </c>
      <c r="D219" t="s">
        <v>7</v>
      </c>
      <c r="E219" t="s">
        <v>8</v>
      </c>
      <c r="F219" s="28">
        <v>4995</v>
      </c>
      <c r="G219" t="s">
        <v>81</v>
      </c>
      <c r="H219" s="1">
        <v>702856</v>
      </c>
      <c r="I219" s="1">
        <v>106285.42560039743</v>
      </c>
      <c r="J219" s="1">
        <v>809141.4256003974</v>
      </c>
    </row>
    <row r="220" spans="1:10" x14ac:dyDescent="0.2">
      <c r="A220">
        <v>2007350</v>
      </c>
      <c r="B220">
        <v>2019</v>
      </c>
      <c r="C220" t="s">
        <v>6</v>
      </c>
      <c r="D220" t="s">
        <v>7</v>
      </c>
      <c r="E220" t="s">
        <v>8</v>
      </c>
      <c r="F220" s="28">
        <v>4995</v>
      </c>
      <c r="G220" t="s">
        <v>81</v>
      </c>
      <c r="H220" s="1">
        <v>770068</v>
      </c>
      <c r="I220" s="1">
        <v>117279.6790988328</v>
      </c>
      <c r="J220" s="1">
        <v>887347.67909883277</v>
      </c>
    </row>
    <row r="221" spans="1:10" x14ac:dyDescent="0.2">
      <c r="A221">
        <v>2007350</v>
      </c>
      <c r="B221">
        <v>2020</v>
      </c>
      <c r="C221" t="s">
        <v>6</v>
      </c>
      <c r="D221" t="s">
        <v>7</v>
      </c>
      <c r="E221" t="s">
        <v>8</v>
      </c>
      <c r="F221" s="28">
        <v>4995</v>
      </c>
      <c r="G221" t="s">
        <v>81</v>
      </c>
      <c r="H221" s="1">
        <v>840544</v>
      </c>
      <c r="I221" s="1">
        <v>127161.55190852549</v>
      </c>
      <c r="J221" s="1">
        <v>967705.55190852552</v>
      </c>
    </row>
    <row r="222" spans="1:10" x14ac:dyDescent="0.2">
      <c r="A222">
        <v>2007350</v>
      </c>
      <c r="B222">
        <v>2021</v>
      </c>
      <c r="C222" t="s">
        <v>6</v>
      </c>
      <c r="D222" t="s">
        <v>7</v>
      </c>
      <c r="E222" t="s">
        <v>8</v>
      </c>
      <c r="F222" s="28">
        <v>4995</v>
      </c>
      <c r="G222" t="s">
        <v>81</v>
      </c>
      <c r="H222" s="25">
        <v>862081</v>
      </c>
      <c r="I222" s="1">
        <v>128702.76278175048</v>
      </c>
      <c r="J222" s="1">
        <v>990783.76278175053</v>
      </c>
    </row>
    <row r="223" spans="1:10" x14ac:dyDescent="0.2">
      <c r="A223">
        <v>2007350</v>
      </c>
      <c r="B223">
        <v>2022</v>
      </c>
      <c r="C223" t="s">
        <v>6</v>
      </c>
      <c r="D223" t="s">
        <v>7</v>
      </c>
      <c r="E223" t="s">
        <v>8</v>
      </c>
      <c r="F223" s="28">
        <v>4995</v>
      </c>
      <c r="G223" t="s">
        <v>81</v>
      </c>
      <c r="H223" s="1">
        <v>887660</v>
      </c>
      <c r="I223" s="1">
        <v>120549.15815557062</v>
      </c>
      <c r="J223" s="1">
        <v>1008209.1581555706</v>
      </c>
    </row>
    <row r="224" spans="1:10" x14ac:dyDescent="0.2">
      <c r="A224">
        <v>2007350</v>
      </c>
      <c r="B224">
        <v>2023</v>
      </c>
      <c r="C224" t="s">
        <v>6</v>
      </c>
      <c r="D224" t="s">
        <v>7</v>
      </c>
      <c r="E224" t="s">
        <v>8</v>
      </c>
      <c r="F224" s="28">
        <v>4995</v>
      </c>
      <c r="G224" s="10" t="s">
        <v>81</v>
      </c>
      <c r="H224" s="1">
        <v>945490</v>
      </c>
      <c r="I224" s="1">
        <v>132371.41404950269</v>
      </c>
      <c r="J224" s="1">
        <v>1077861.4140495027</v>
      </c>
    </row>
    <row r="225" spans="1:10" x14ac:dyDescent="0.2">
      <c r="A225">
        <v>2009630</v>
      </c>
      <c r="B225">
        <v>2015</v>
      </c>
      <c r="C225" t="s">
        <v>6</v>
      </c>
      <c r="D225" t="s">
        <v>7</v>
      </c>
      <c r="E225" t="s">
        <v>8</v>
      </c>
      <c r="F225" s="29">
        <v>4996</v>
      </c>
      <c r="G225" s="3" t="s">
        <v>82</v>
      </c>
      <c r="H225" s="27">
        <v>174982</v>
      </c>
      <c r="I225" s="1">
        <v>28185.057958416775</v>
      </c>
      <c r="J225" s="1">
        <v>203167.05795841679</v>
      </c>
    </row>
    <row r="226" spans="1:10" x14ac:dyDescent="0.2">
      <c r="A226">
        <v>2009630</v>
      </c>
      <c r="B226">
        <v>2016</v>
      </c>
      <c r="C226" t="s">
        <v>6</v>
      </c>
      <c r="D226" t="s">
        <v>7</v>
      </c>
      <c r="E226" t="s">
        <v>8</v>
      </c>
      <c r="F226" s="29">
        <v>4996</v>
      </c>
      <c r="G226" s="3" t="s">
        <v>82</v>
      </c>
      <c r="H226" s="1">
        <v>180364</v>
      </c>
      <c r="I226" s="26">
        <v>476353.50393128116</v>
      </c>
      <c r="J226" s="26">
        <v>656717.50393128116</v>
      </c>
    </row>
    <row r="227" spans="1:10" x14ac:dyDescent="0.2">
      <c r="A227">
        <v>2009630</v>
      </c>
      <c r="B227">
        <v>2017</v>
      </c>
      <c r="C227" t="s">
        <v>6</v>
      </c>
      <c r="D227" t="s">
        <v>7</v>
      </c>
      <c r="E227" t="s">
        <v>8</v>
      </c>
      <c r="F227" s="29">
        <v>4996</v>
      </c>
      <c r="G227" s="3" t="s">
        <v>82</v>
      </c>
      <c r="H227" s="1">
        <v>187741</v>
      </c>
      <c r="I227" s="1">
        <v>29298.042097906819</v>
      </c>
      <c r="J227" s="1">
        <v>217039.04209790681</v>
      </c>
    </row>
    <row r="228" spans="1:10" x14ac:dyDescent="0.2">
      <c r="A228">
        <v>2009630</v>
      </c>
      <c r="B228">
        <v>2018</v>
      </c>
      <c r="C228" t="s">
        <v>6</v>
      </c>
      <c r="D228" t="s">
        <v>7</v>
      </c>
      <c r="E228" t="s">
        <v>8</v>
      </c>
      <c r="F228" s="28">
        <v>4996</v>
      </c>
      <c r="G228" t="s">
        <v>82</v>
      </c>
      <c r="H228" s="1">
        <v>204456</v>
      </c>
      <c r="I228" s="1">
        <v>30917.702881607125</v>
      </c>
      <c r="J228" s="1">
        <v>235373.70288160711</v>
      </c>
    </row>
    <row r="229" spans="1:10" x14ac:dyDescent="0.2">
      <c r="A229">
        <v>2009630</v>
      </c>
      <c r="B229">
        <v>2019</v>
      </c>
      <c r="C229" t="s">
        <v>6</v>
      </c>
      <c r="D229" t="s">
        <v>7</v>
      </c>
      <c r="E229" t="s">
        <v>8</v>
      </c>
      <c r="F229" s="28">
        <v>4996</v>
      </c>
      <c r="G229" t="s">
        <v>82</v>
      </c>
      <c r="H229" s="1">
        <v>235838</v>
      </c>
      <c r="I229" s="1">
        <v>35917.613716334832</v>
      </c>
      <c r="J229" s="1">
        <v>271755.6137163348</v>
      </c>
    </row>
    <row r="230" spans="1:10" x14ac:dyDescent="0.2">
      <c r="A230">
        <v>2009630</v>
      </c>
      <c r="B230">
        <v>2020</v>
      </c>
      <c r="C230" t="s">
        <v>6</v>
      </c>
      <c r="D230" t="s">
        <v>7</v>
      </c>
      <c r="E230" t="s">
        <v>8</v>
      </c>
      <c r="F230" s="28">
        <v>4996</v>
      </c>
      <c r="G230" t="s">
        <v>82</v>
      </c>
      <c r="H230" s="1">
        <v>267922</v>
      </c>
      <c r="I230" s="1">
        <v>40532.532872087562</v>
      </c>
      <c r="J230" s="1">
        <v>308454.53287208756</v>
      </c>
    </row>
    <row r="231" spans="1:10" x14ac:dyDescent="0.2">
      <c r="A231">
        <v>2009630</v>
      </c>
      <c r="B231">
        <v>2021</v>
      </c>
      <c r="C231" t="s">
        <v>6</v>
      </c>
      <c r="D231" t="s">
        <v>7</v>
      </c>
      <c r="E231" t="s">
        <v>8</v>
      </c>
      <c r="F231" s="28">
        <v>4996</v>
      </c>
      <c r="G231" t="s">
        <v>82</v>
      </c>
      <c r="H231" s="25">
        <v>261574</v>
      </c>
      <c r="I231" s="1">
        <v>39051.198752638789</v>
      </c>
      <c r="J231" s="1">
        <v>300625.19875263877</v>
      </c>
    </row>
    <row r="232" spans="1:10" x14ac:dyDescent="0.2">
      <c r="A232">
        <v>2009630</v>
      </c>
      <c r="B232">
        <v>2022</v>
      </c>
      <c r="C232" t="s">
        <v>6</v>
      </c>
      <c r="D232" t="s">
        <v>7</v>
      </c>
      <c r="E232" t="s">
        <v>8</v>
      </c>
      <c r="F232" s="28">
        <v>4996</v>
      </c>
      <c r="G232" t="s">
        <v>82</v>
      </c>
      <c r="H232" s="1">
        <v>241732</v>
      </c>
      <c r="I232" s="1">
        <v>32828.548204563005</v>
      </c>
      <c r="J232" s="1">
        <v>274560.54820456298</v>
      </c>
    </row>
    <row r="233" spans="1:10" x14ac:dyDescent="0.2">
      <c r="A233">
        <v>2009630</v>
      </c>
      <c r="B233">
        <v>2023</v>
      </c>
      <c r="C233" t="s">
        <v>6</v>
      </c>
      <c r="D233" t="s">
        <v>7</v>
      </c>
      <c r="E233" t="s">
        <v>8</v>
      </c>
      <c r="F233" s="28">
        <v>4996</v>
      </c>
      <c r="G233" s="10" t="s">
        <v>82</v>
      </c>
      <c r="H233" s="1">
        <v>249704</v>
      </c>
      <c r="I233" s="1">
        <v>34959.303190744504</v>
      </c>
      <c r="J233" s="1">
        <v>284663.30319074448</v>
      </c>
    </row>
    <row r="234" spans="1:10" x14ac:dyDescent="0.2">
      <c r="A234">
        <v>2009960</v>
      </c>
      <c r="B234">
        <v>2015</v>
      </c>
      <c r="C234" t="s">
        <v>6</v>
      </c>
      <c r="D234" t="s">
        <v>7</v>
      </c>
      <c r="E234" t="s">
        <v>8</v>
      </c>
      <c r="F234" s="29">
        <v>4997</v>
      </c>
      <c r="G234" s="3" t="s">
        <v>83</v>
      </c>
      <c r="H234" s="27">
        <v>2365919</v>
      </c>
      <c r="I234" s="1">
        <v>381088.13557919936</v>
      </c>
      <c r="J234" s="1">
        <v>2747007.1355791995</v>
      </c>
    </row>
    <row r="235" spans="1:10" x14ac:dyDescent="0.2">
      <c r="A235">
        <v>2009960</v>
      </c>
      <c r="B235">
        <v>2016</v>
      </c>
      <c r="C235" t="s">
        <v>6</v>
      </c>
      <c r="D235" t="s">
        <v>7</v>
      </c>
      <c r="E235" t="s">
        <v>8</v>
      </c>
      <c r="F235" s="29">
        <v>4997</v>
      </c>
      <c r="G235" s="3" t="s">
        <v>83</v>
      </c>
      <c r="H235" s="1">
        <v>2478737</v>
      </c>
      <c r="I235" s="26">
        <v>6546564.7745519392</v>
      </c>
      <c r="J235" s="26">
        <v>9025301.7745519392</v>
      </c>
    </row>
    <row r="236" spans="1:10" x14ac:dyDescent="0.2">
      <c r="A236">
        <v>2009960</v>
      </c>
      <c r="B236">
        <v>2017</v>
      </c>
      <c r="C236" t="s">
        <v>6</v>
      </c>
      <c r="D236" t="s">
        <v>7</v>
      </c>
      <c r="E236" t="s">
        <v>8</v>
      </c>
      <c r="F236" s="29">
        <v>4997</v>
      </c>
      <c r="G236" s="3" t="s">
        <v>83</v>
      </c>
      <c r="H236" s="1">
        <v>2692478</v>
      </c>
      <c r="I236" s="1">
        <v>420176.3801816756</v>
      </c>
      <c r="J236" s="1">
        <v>3112654.3801816758</v>
      </c>
    </row>
    <row r="237" spans="1:10" x14ac:dyDescent="0.2">
      <c r="A237">
        <v>2009960</v>
      </c>
      <c r="B237">
        <v>2018</v>
      </c>
      <c r="C237" t="s">
        <v>6</v>
      </c>
      <c r="D237" t="s">
        <v>7</v>
      </c>
      <c r="E237" t="s">
        <v>8</v>
      </c>
      <c r="F237" s="28">
        <v>4997</v>
      </c>
      <c r="G237" t="s">
        <v>83</v>
      </c>
      <c r="H237" s="1">
        <v>3260183</v>
      </c>
      <c r="I237" s="1">
        <v>493002.74549862341</v>
      </c>
      <c r="J237" s="1">
        <v>3753185.7454986232</v>
      </c>
    </row>
    <row r="238" spans="1:10" x14ac:dyDescent="0.2">
      <c r="A238">
        <v>2009960</v>
      </c>
      <c r="B238">
        <v>2019</v>
      </c>
      <c r="C238" t="s">
        <v>6</v>
      </c>
      <c r="D238" t="s">
        <v>7</v>
      </c>
      <c r="E238" t="s">
        <v>8</v>
      </c>
      <c r="F238" s="28">
        <v>4997</v>
      </c>
      <c r="G238" t="s">
        <v>83</v>
      </c>
      <c r="H238" s="1">
        <v>3450533</v>
      </c>
      <c r="I238" s="1">
        <v>525508.66022212687</v>
      </c>
      <c r="J238" s="1">
        <v>3976041.6602221271</v>
      </c>
    </row>
    <row r="239" spans="1:10" x14ac:dyDescent="0.2">
      <c r="A239">
        <v>2009960</v>
      </c>
      <c r="B239">
        <v>2020</v>
      </c>
      <c r="C239" t="s">
        <v>6</v>
      </c>
      <c r="D239" t="s">
        <v>7</v>
      </c>
      <c r="E239" t="s">
        <v>8</v>
      </c>
      <c r="F239" s="28">
        <v>4997</v>
      </c>
      <c r="G239" t="s">
        <v>83</v>
      </c>
      <c r="H239" s="1">
        <v>3901254</v>
      </c>
      <c r="I239" s="1">
        <v>590200.52850218746</v>
      </c>
      <c r="J239" s="1">
        <v>4491454.5285021877</v>
      </c>
    </row>
    <row r="240" spans="1:10" x14ac:dyDescent="0.2">
      <c r="A240">
        <v>2009960</v>
      </c>
      <c r="B240">
        <v>2021</v>
      </c>
      <c r="C240" t="s">
        <v>6</v>
      </c>
      <c r="D240" t="s">
        <v>7</v>
      </c>
      <c r="E240" t="s">
        <v>8</v>
      </c>
      <c r="F240" s="28">
        <v>4997</v>
      </c>
      <c r="G240" t="s">
        <v>83</v>
      </c>
      <c r="H240" s="25">
        <v>3793574</v>
      </c>
      <c r="I240" s="1">
        <v>566354.50104690425</v>
      </c>
      <c r="J240" s="1">
        <v>4359928.5010469044</v>
      </c>
    </row>
    <row r="241" spans="1:10" x14ac:dyDescent="0.2">
      <c r="A241">
        <v>2009960</v>
      </c>
      <c r="B241">
        <v>2022</v>
      </c>
      <c r="C241" t="s">
        <v>6</v>
      </c>
      <c r="D241" t="s">
        <v>7</v>
      </c>
      <c r="E241" t="s">
        <v>8</v>
      </c>
      <c r="F241" s="28">
        <v>4997</v>
      </c>
      <c r="G241" t="s">
        <v>83</v>
      </c>
      <c r="H241" s="1">
        <v>3697285</v>
      </c>
      <c r="I241" s="1">
        <v>502111.83810379973</v>
      </c>
      <c r="J241" s="1">
        <v>4199396.8381038001</v>
      </c>
    </row>
    <row r="242" spans="1:10" x14ac:dyDescent="0.2">
      <c r="A242">
        <v>2009960</v>
      </c>
      <c r="B242">
        <v>2023</v>
      </c>
      <c r="C242" t="s">
        <v>6</v>
      </c>
      <c r="D242" t="s">
        <v>7</v>
      </c>
      <c r="E242" t="s">
        <v>8</v>
      </c>
      <c r="F242" s="28">
        <v>4997</v>
      </c>
      <c r="G242" s="10" t="s">
        <v>83</v>
      </c>
      <c r="H242" s="1">
        <v>3694115</v>
      </c>
      <c r="I242" s="1">
        <v>517187.09474608791</v>
      </c>
      <c r="J242" s="1">
        <v>4211302.0947460877</v>
      </c>
    </row>
    <row r="243" spans="1:10" x14ac:dyDescent="0.2">
      <c r="A243">
        <v>2012030</v>
      </c>
      <c r="B243">
        <v>2015</v>
      </c>
      <c r="C243" t="s">
        <v>6</v>
      </c>
      <c r="D243" t="s">
        <v>7</v>
      </c>
      <c r="E243" t="s">
        <v>8</v>
      </c>
      <c r="F243" s="29">
        <v>4998</v>
      </c>
      <c r="G243" s="3" t="s">
        <v>84</v>
      </c>
      <c r="H243" s="27">
        <v>285658</v>
      </c>
      <c r="I243" s="1">
        <v>46012.088593600594</v>
      </c>
      <c r="J243" s="1">
        <v>331670.08859360061</v>
      </c>
    </row>
    <row r="244" spans="1:10" x14ac:dyDescent="0.2">
      <c r="A244">
        <v>2012030</v>
      </c>
      <c r="B244">
        <v>2016</v>
      </c>
      <c r="C244" t="s">
        <v>6</v>
      </c>
      <c r="D244" t="s">
        <v>7</v>
      </c>
      <c r="E244" t="s">
        <v>8</v>
      </c>
      <c r="F244" s="29">
        <v>4998</v>
      </c>
      <c r="G244" s="3" t="s">
        <v>84</v>
      </c>
      <c r="H244" s="1">
        <v>352150</v>
      </c>
      <c r="I244" s="26">
        <v>930057.25523607922</v>
      </c>
      <c r="J244" s="26">
        <v>1282207.2552360792</v>
      </c>
    </row>
    <row r="245" spans="1:10" x14ac:dyDescent="0.2">
      <c r="A245">
        <v>2012030</v>
      </c>
      <c r="B245">
        <v>2017</v>
      </c>
      <c r="C245" t="s">
        <v>6</v>
      </c>
      <c r="D245" t="s">
        <v>7</v>
      </c>
      <c r="E245" t="s">
        <v>8</v>
      </c>
      <c r="F245" s="29">
        <v>4998</v>
      </c>
      <c r="G245" s="3" t="s">
        <v>84</v>
      </c>
      <c r="H245" s="1">
        <v>362767</v>
      </c>
      <c r="I245" s="1">
        <v>56611.836720435938</v>
      </c>
      <c r="J245" s="1">
        <v>419378.83672043594</v>
      </c>
    </row>
    <row r="246" spans="1:10" x14ac:dyDescent="0.2">
      <c r="A246">
        <v>2012030</v>
      </c>
      <c r="B246">
        <v>2018</v>
      </c>
      <c r="C246" t="s">
        <v>6</v>
      </c>
      <c r="D246" t="s">
        <v>7</v>
      </c>
      <c r="E246" t="s">
        <v>8</v>
      </c>
      <c r="F246" s="28">
        <v>4998</v>
      </c>
      <c r="G246" t="s">
        <v>84</v>
      </c>
      <c r="H246" s="1">
        <v>396135</v>
      </c>
      <c r="I246" s="1">
        <v>59903.276162134825</v>
      </c>
      <c r="J246" s="1">
        <v>456038.27616213483</v>
      </c>
    </row>
    <row r="247" spans="1:10" x14ac:dyDescent="0.2">
      <c r="A247">
        <v>2012030</v>
      </c>
      <c r="B247">
        <v>2019</v>
      </c>
      <c r="C247" t="s">
        <v>6</v>
      </c>
      <c r="D247" t="s">
        <v>7</v>
      </c>
      <c r="E247" t="s">
        <v>8</v>
      </c>
      <c r="F247" s="28">
        <v>4998</v>
      </c>
      <c r="G247" t="s">
        <v>84</v>
      </c>
      <c r="H247" s="1">
        <v>435545</v>
      </c>
      <c r="I247" s="1">
        <v>66332.554830354115</v>
      </c>
      <c r="J247" s="1">
        <v>501877.55483035411</v>
      </c>
    </row>
    <row r="248" spans="1:10" x14ac:dyDescent="0.2">
      <c r="A248">
        <v>2012030</v>
      </c>
      <c r="B248">
        <v>2020</v>
      </c>
      <c r="C248" t="s">
        <v>6</v>
      </c>
      <c r="D248" t="s">
        <v>7</v>
      </c>
      <c r="E248" t="s">
        <v>8</v>
      </c>
      <c r="F248" s="28">
        <v>4998</v>
      </c>
      <c r="G248" t="s">
        <v>84</v>
      </c>
      <c r="H248" s="1">
        <v>471554</v>
      </c>
      <c r="I248" s="1">
        <v>71338.964347699613</v>
      </c>
      <c r="J248" s="1">
        <v>542892.96434769966</v>
      </c>
    </row>
    <row r="249" spans="1:10" x14ac:dyDescent="0.2">
      <c r="A249">
        <v>2012030</v>
      </c>
      <c r="B249">
        <v>2021</v>
      </c>
      <c r="C249" t="s">
        <v>6</v>
      </c>
      <c r="D249" t="s">
        <v>7</v>
      </c>
      <c r="E249" t="s">
        <v>8</v>
      </c>
      <c r="F249" s="28">
        <v>4998</v>
      </c>
      <c r="G249" t="s">
        <v>84</v>
      </c>
      <c r="H249" s="25">
        <v>463150</v>
      </c>
      <c r="I249" s="1">
        <v>69145.108849827026</v>
      </c>
      <c r="J249" s="1">
        <v>532295.10884982697</v>
      </c>
    </row>
    <row r="250" spans="1:10" x14ac:dyDescent="0.2">
      <c r="A250">
        <v>2012030</v>
      </c>
      <c r="B250">
        <v>2022</v>
      </c>
      <c r="C250" t="s">
        <v>6</v>
      </c>
      <c r="D250" t="s">
        <v>7</v>
      </c>
      <c r="E250" t="s">
        <v>8</v>
      </c>
      <c r="F250" s="28">
        <v>4998</v>
      </c>
      <c r="G250" t="s">
        <v>84</v>
      </c>
      <c r="H250" s="1">
        <v>458546</v>
      </c>
      <c r="I250" s="1">
        <v>62273.093611973374</v>
      </c>
      <c r="J250" s="1">
        <v>520819.0936119734</v>
      </c>
    </row>
    <row r="251" spans="1:10" x14ac:dyDescent="0.2">
      <c r="A251">
        <v>2012030</v>
      </c>
      <c r="B251">
        <v>2023</v>
      </c>
      <c r="C251" t="s">
        <v>6</v>
      </c>
      <c r="D251" t="s">
        <v>7</v>
      </c>
      <c r="E251" t="s">
        <v>8</v>
      </c>
      <c r="F251" s="28">
        <v>4998</v>
      </c>
      <c r="G251" s="10" t="s">
        <v>84</v>
      </c>
      <c r="H251" s="1">
        <v>435858</v>
      </c>
      <c r="I251" s="1">
        <v>61021.417238456408</v>
      </c>
      <c r="J251" s="1">
        <v>496879.41723845643</v>
      </c>
    </row>
    <row r="252" spans="1:10" x14ac:dyDescent="0.2">
      <c r="A252">
        <v>2009180</v>
      </c>
      <c r="B252">
        <v>2015</v>
      </c>
      <c r="C252" t="s">
        <v>6</v>
      </c>
      <c r="D252" t="s">
        <v>7</v>
      </c>
      <c r="E252" t="s">
        <v>8</v>
      </c>
      <c r="F252" s="29">
        <v>4999</v>
      </c>
      <c r="G252" s="3" t="s">
        <v>352</v>
      </c>
      <c r="H252" s="27">
        <v>3365446</v>
      </c>
      <c r="I252" s="1">
        <v>542085.98922130221</v>
      </c>
      <c r="J252" s="1">
        <v>3907531.9892213023</v>
      </c>
    </row>
    <row r="253" spans="1:10" x14ac:dyDescent="0.2">
      <c r="A253">
        <v>2009180</v>
      </c>
      <c r="B253">
        <v>2016</v>
      </c>
      <c r="C253" t="s">
        <v>6</v>
      </c>
      <c r="D253" t="s">
        <v>7</v>
      </c>
      <c r="E253" t="s">
        <v>8</v>
      </c>
      <c r="F253" s="29">
        <v>4999</v>
      </c>
      <c r="G253" s="3" t="s">
        <v>352</v>
      </c>
      <c r="H253" s="1">
        <v>4401566</v>
      </c>
      <c r="I253" s="26">
        <v>11624929.956401696</v>
      </c>
      <c r="J253" s="26">
        <v>16026495.956401696</v>
      </c>
    </row>
    <row r="254" spans="1:10" x14ac:dyDescent="0.2">
      <c r="A254">
        <v>2009180</v>
      </c>
      <c r="B254">
        <v>2017</v>
      </c>
      <c r="C254" t="s">
        <v>6</v>
      </c>
      <c r="D254" t="s">
        <v>7</v>
      </c>
      <c r="E254" t="s">
        <v>8</v>
      </c>
      <c r="F254" s="29">
        <v>4999</v>
      </c>
      <c r="G254" s="3" t="s">
        <v>352</v>
      </c>
      <c r="H254" s="1">
        <v>4753263</v>
      </c>
      <c r="I254" s="1">
        <v>741773.50433002319</v>
      </c>
      <c r="J254" s="1">
        <v>5495036.5043300232</v>
      </c>
    </row>
    <row r="255" spans="1:10" x14ac:dyDescent="0.2">
      <c r="A255">
        <v>2009180</v>
      </c>
      <c r="B255">
        <v>2018</v>
      </c>
      <c r="C255" t="s">
        <v>6</v>
      </c>
      <c r="D255" t="s">
        <v>7</v>
      </c>
      <c r="E255" t="s">
        <v>8</v>
      </c>
      <c r="F255" s="28">
        <v>4999</v>
      </c>
      <c r="G255" t="s">
        <v>352</v>
      </c>
      <c r="H255" s="1">
        <v>5398053</v>
      </c>
      <c r="I255" s="1">
        <v>816290.05161583889</v>
      </c>
      <c r="J255" s="1">
        <v>6214343.0516158389</v>
      </c>
    </row>
    <row r="256" spans="1:10" x14ac:dyDescent="0.2">
      <c r="A256">
        <v>2009180</v>
      </c>
      <c r="B256">
        <v>2019</v>
      </c>
      <c r="C256" t="s">
        <v>6</v>
      </c>
      <c r="D256" t="s">
        <v>7</v>
      </c>
      <c r="E256" t="s">
        <v>8</v>
      </c>
      <c r="F256" s="28">
        <v>4999</v>
      </c>
      <c r="G256" t="s">
        <v>352</v>
      </c>
      <c r="H256" s="1">
        <v>6170079</v>
      </c>
      <c r="I256" s="1">
        <v>939689.59252228006</v>
      </c>
      <c r="J256" s="1">
        <v>7109768.5925222803</v>
      </c>
    </row>
    <row r="257" spans="1:10" x14ac:dyDescent="0.2">
      <c r="A257">
        <v>2009180</v>
      </c>
      <c r="B257">
        <v>2020</v>
      </c>
      <c r="C257" t="s">
        <v>6</v>
      </c>
      <c r="D257" t="s">
        <v>7</v>
      </c>
      <c r="E257" t="s">
        <v>8</v>
      </c>
      <c r="F257" s="28">
        <v>4999</v>
      </c>
      <c r="G257" t="s">
        <v>352</v>
      </c>
      <c r="H257" s="1">
        <v>7341180</v>
      </c>
      <c r="I257" s="1">
        <v>1110609.1312766841</v>
      </c>
      <c r="J257" s="1">
        <v>8451789.1312766839</v>
      </c>
    </row>
    <row r="258" spans="1:10" x14ac:dyDescent="0.2">
      <c r="A258">
        <v>2009180</v>
      </c>
      <c r="B258">
        <v>2021</v>
      </c>
      <c r="C258" t="s">
        <v>6</v>
      </c>
      <c r="D258" t="s">
        <v>7</v>
      </c>
      <c r="E258" t="s">
        <v>8</v>
      </c>
      <c r="F258" s="28">
        <v>4999</v>
      </c>
      <c r="G258" t="s">
        <v>352</v>
      </c>
      <c r="H258" s="25">
        <v>7084430</v>
      </c>
      <c r="I258" s="1">
        <v>1057656.6630443272</v>
      </c>
      <c r="J258" s="1">
        <v>8142086.6630443269</v>
      </c>
    </row>
    <row r="259" spans="1:10" x14ac:dyDescent="0.2">
      <c r="A259">
        <v>2009180</v>
      </c>
      <c r="B259">
        <v>2022</v>
      </c>
      <c r="C259" t="s">
        <v>6</v>
      </c>
      <c r="D259" t="s">
        <v>7</v>
      </c>
      <c r="E259" t="s">
        <v>8</v>
      </c>
      <c r="F259" s="28">
        <v>4999</v>
      </c>
      <c r="G259" t="s">
        <v>352</v>
      </c>
      <c r="H259" s="1">
        <v>7648620</v>
      </c>
      <c r="I259" s="1">
        <v>1038725.0772276103</v>
      </c>
      <c r="J259" s="1">
        <v>8687345.0772276111</v>
      </c>
    </row>
    <row r="260" spans="1:10" x14ac:dyDescent="0.2">
      <c r="A260">
        <v>2009180</v>
      </c>
      <c r="B260">
        <v>2023</v>
      </c>
      <c r="C260" t="s">
        <v>6</v>
      </c>
      <c r="D260" t="s">
        <v>7</v>
      </c>
      <c r="E260" t="s">
        <v>8</v>
      </c>
      <c r="F260" s="28">
        <v>4999</v>
      </c>
      <c r="G260" s="10" t="s">
        <v>85</v>
      </c>
      <c r="H260" s="1">
        <v>7512087</v>
      </c>
      <c r="I260" s="1">
        <v>1051714.5381261427</v>
      </c>
      <c r="J260" s="1">
        <v>8563801.5381261427</v>
      </c>
    </row>
    <row r="261" spans="1:10" x14ac:dyDescent="0.2">
      <c r="A261">
        <v>2003360</v>
      </c>
      <c r="B261">
        <v>2015</v>
      </c>
      <c r="C261" t="s">
        <v>6</v>
      </c>
      <c r="D261" t="s">
        <v>7</v>
      </c>
      <c r="E261" t="s">
        <v>8</v>
      </c>
      <c r="F261" s="29">
        <v>5000</v>
      </c>
      <c r="G261" s="3" t="s">
        <v>86</v>
      </c>
      <c r="H261" s="27">
        <v>2596464</v>
      </c>
      <c r="I261" s="1">
        <v>418222.95051458245</v>
      </c>
      <c r="J261" s="1">
        <v>3014686.9505145825</v>
      </c>
    </row>
    <row r="262" spans="1:10" x14ac:dyDescent="0.2">
      <c r="A262">
        <v>2003360</v>
      </c>
      <c r="B262">
        <v>2016</v>
      </c>
      <c r="C262" t="s">
        <v>6</v>
      </c>
      <c r="D262" t="s">
        <v>7</v>
      </c>
      <c r="E262" t="s">
        <v>8</v>
      </c>
      <c r="F262" s="29">
        <v>5000</v>
      </c>
      <c r="G262" s="3" t="s">
        <v>86</v>
      </c>
      <c r="H262" s="1">
        <v>2661740</v>
      </c>
      <c r="I262" s="26">
        <v>7029891.8320156373</v>
      </c>
      <c r="J262" s="26">
        <v>9691631.8320156373</v>
      </c>
    </row>
    <row r="263" spans="1:10" x14ac:dyDescent="0.2">
      <c r="A263">
        <v>2003360</v>
      </c>
      <c r="B263">
        <v>2017</v>
      </c>
      <c r="C263" t="s">
        <v>6</v>
      </c>
      <c r="D263" t="s">
        <v>7</v>
      </c>
      <c r="E263" t="s">
        <v>8</v>
      </c>
      <c r="F263" s="29">
        <v>5000</v>
      </c>
      <c r="G263" s="3" t="s">
        <v>86</v>
      </c>
      <c r="H263" s="1">
        <v>2793449</v>
      </c>
      <c r="I263" s="1">
        <v>435933.47430958453</v>
      </c>
      <c r="J263" s="1">
        <v>3229382.4743095846</v>
      </c>
    </row>
    <row r="264" spans="1:10" x14ac:dyDescent="0.2">
      <c r="A264">
        <v>2003360</v>
      </c>
      <c r="B264">
        <v>2018</v>
      </c>
      <c r="C264" t="s">
        <v>6</v>
      </c>
      <c r="D264" t="s">
        <v>7</v>
      </c>
      <c r="E264" t="s">
        <v>8</v>
      </c>
      <c r="F264" s="28">
        <v>5000</v>
      </c>
      <c r="G264" t="s">
        <v>86</v>
      </c>
      <c r="H264" s="1">
        <v>3339758</v>
      </c>
      <c r="I264" s="1">
        <v>505036.02506392787</v>
      </c>
      <c r="J264" s="1">
        <v>3844794.0250639278</v>
      </c>
    </row>
    <row r="265" spans="1:10" x14ac:dyDescent="0.2">
      <c r="A265">
        <v>2003360</v>
      </c>
      <c r="B265">
        <v>2019</v>
      </c>
      <c r="C265" t="s">
        <v>6</v>
      </c>
      <c r="D265" t="s">
        <v>7</v>
      </c>
      <c r="E265" t="s">
        <v>8</v>
      </c>
      <c r="F265" s="28">
        <v>5000</v>
      </c>
      <c r="G265" t="s">
        <v>86</v>
      </c>
      <c r="H265" s="1">
        <v>3742073</v>
      </c>
      <c r="I265" s="1">
        <v>569909.56721277407</v>
      </c>
      <c r="J265" s="1">
        <v>4311982.5672127744</v>
      </c>
    </row>
    <row r="266" spans="1:10" x14ac:dyDescent="0.2">
      <c r="A266">
        <v>2003360</v>
      </c>
      <c r="B266">
        <v>2020</v>
      </c>
      <c r="C266" t="s">
        <v>6</v>
      </c>
      <c r="D266" t="s">
        <v>7</v>
      </c>
      <c r="E266" t="s">
        <v>8</v>
      </c>
      <c r="F266" s="28">
        <v>5000</v>
      </c>
      <c r="G266" t="s">
        <v>86</v>
      </c>
      <c r="H266" s="1">
        <v>4132138</v>
      </c>
      <c r="I266" s="1">
        <v>625129.77402752347</v>
      </c>
      <c r="J266" s="1">
        <v>4757267.7740275236</v>
      </c>
    </row>
    <row r="267" spans="1:10" x14ac:dyDescent="0.2">
      <c r="A267">
        <v>2003360</v>
      </c>
      <c r="B267">
        <v>2021</v>
      </c>
      <c r="C267" t="s">
        <v>6</v>
      </c>
      <c r="D267" t="s">
        <v>7</v>
      </c>
      <c r="E267" t="s">
        <v>8</v>
      </c>
      <c r="F267" s="28">
        <v>5000</v>
      </c>
      <c r="G267" t="s">
        <v>86</v>
      </c>
      <c r="H267" s="25">
        <v>4345118</v>
      </c>
      <c r="I267" s="1">
        <v>648696.22600743326</v>
      </c>
      <c r="J267" s="1">
        <v>4993814.2260074336</v>
      </c>
    </row>
    <row r="268" spans="1:10" x14ac:dyDescent="0.2">
      <c r="A268">
        <v>2003360</v>
      </c>
      <c r="B268">
        <v>2022</v>
      </c>
      <c r="C268" t="s">
        <v>6</v>
      </c>
      <c r="D268" t="s">
        <v>7</v>
      </c>
      <c r="E268" t="s">
        <v>8</v>
      </c>
      <c r="F268" s="28">
        <v>5000</v>
      </c>
      <c r="G268" t="s">
        <v>86</v>
      </c>
      <c r="H268" s="1">
        <v>4443809</v>
      </c>
      <c r="I268" s="1">
        <v>603493.94357540959</v>
      </c>
      <c r="J268" s="1">
        <v>5047302.9435754092</v>
      </c>
    </row>
    <row r="269" spans="1:10" x14ac:dyDescent="0.2">
      <c r="A269">
        <v>2003360</v>
      </c>
      <c r="B269">
        <v>2023</v>
      </c>
      <c r="C269" t="s">
        <v>6</v>
      </c>
      <c r="D269" t="s">
        <v>7</v>
      </c>
      <c r="E269" t="s">
        <v>8</v>
      </c>
      <c r="F269" s="28">
        <v>5000</v>
      </c>
      <c r="G269" s="10" t="s">
        <v>86</v>
      </c>
      <c r="H269" s="1">
        <v>4519903</v>
      </c>
      <c r="I269" s="1">
        <v>632799.87252809596</v>
      </c>
      <c r="J269" s="1">
        <v>5152702.8725280957</v>
      </c>
    </row>
    <row r="270" spans="1:10" x14ac:dyDescent="0.2">
      <c r="A270">
        <v>2009090</v>
      </c>
      <c r="B270">
        <v>2015</v>
      </c>
      <c r="C270" t="s">
        <v>6</v>
      </c>
      <c r="D270" t="s">
        <v>7</v>
      </c>
      <c r="E270" t="s">
        <v>8</v>
      </c>
      <c r="F270" s="29">
        <v>5001</v>
      </c>
      <c r="G270" s="3" t="s">
        <v>87</v>
      </c>
      <c r="H270" s="27">
        <v>180461</v>
      </c>
      <c r="I270" s="1">
        <v>29067.582632692789</v>
      </c>
      <c r="J270" s="1">
        <v>209528.58263269279</v>
      </c>
    </row>
    <row r="271" spans="1:10" x14ac:dyDescent="0.2">
      <c r="A271">
        <v>2009090</v>
      </c>
      <c r="B271">
        <v>2016</v>
      </c>
      <c r="C271" t="s">
        <v>6</v>
      </c>
      <c r="D271" t="s">
        <v>7</v>
      </c>
      <c r="E271" t="s">
        <v>8</v>
      </c>
      <c r="F271" s="29">
        <v>5001</v>
      </c>
      <c r="G271" s="3" t="s">
        <v>87</v>
      </c>
      <c r="H271" s="1">
        <v>152855</v>
      </c>
      <c r="I271" s="26">
        <v>403702.45615214022</v>
      </c>
      <c r="J271" s="26">
        <v>556557.45615214028</v>
      </c>
    </row>
    <row r="272" spans="1:10" x14ac:dyDescent="0.2">
      <c r="A272">
        <v>2009090</v>
      </c>
      <c r="B272">
        <v>2017</v>
      </c>
      <c r="C272" t="s">
        <v>6</v>
      </c>
      <c r="D272" t="s">
        <v>7</v>
      </c>
      <c r="E272" t="s">
        <v>8</v>
      </c>
      <c r="F272" s="29">
        <v>5001</v>
      </c>
      <c r="G272" s="3" t="s">
        <v>87</v>
      </c>
      <c r="H272" s="1">
        <v>198971</v>
      </c>
      <c r="I272" s="1">
        <v>31050.546946392198</v>
      </c>
      <c r="J272" s="1">
        <v>230021.54694639219</v>
      </c>
    </row>
    <row r="273" spans="1:10" x14ac:dyDescent="0.2">
      <c r="A273">
        <v>2009090</v>
      </c>
      <c r="B273">
        <v>2018</v>
      </c>
      <c r="C273" t="s">
        <v>6</v>
      </c>
      <c r="D273" t="s">
        <v>7</v>
      </c>
      <c r="E273" t="s">
        <v>8</v>
      </c>
      <c r="F273" s="28">
        <v>5001</v>
      </c>
      <c r="G273" t="s">
        <v>87</v>
      </c>
      <c r="H273" s="1">
        <v>235833</v>
      </c>
      <c r="I273" s="1">
        <v>35662.512343379763</v>
      </c>
      <c r="J273" s="1">
        <v>271495.51234337979</v>
      </c>
    </row>
    <row r="274" spans="1:10" x14ac:dyDescent="0.2">
      <c r="A274">
        <v>2009090</v>
      </c>
      <c r="B274">
        <v>2019</v>
      </c>
      <c r="C274" t="s">
        <v>6</v>
      </c>
      <c r="D274" t="s">
        <v>7</v>
      </c>
      <c r="E274" t="s">
        <v>8</v>
      </c>
      <c r="F274" s="28">
        <v>5001</v>
      </c>
      <c r="G274" t="s">
        <v>87</v>
      </c>
      <c r="H274" s="1">
        <v>235904</v>
      </c>
      <c r="I274" s="1">
        <v>35927.665372578849</v>
      </c>
      <c r="J274" s="1">
        <v>271831.66537257883</v>
      </c>
    </row>
    <row r="275" spans="1:10" x14ac:dyDescent="0.2">
      <c r="A275">
        <v>2009090</v>
      </c>
      <c r="B275">
        <v>2020</v>
      </c>
      <c r="C275" t="s">
        <v>6</v>
      </c>
      <c r="D275" t="s">
        <v>7</v>
      </c>
      <c r="E275" t="s">
        <v>8</v>
      </c>
      <c r="F275" s="28">
        <v>5001</v>
      </c>
      <c r="G275" t="s">
        <v>87</v>
      </c>
      <c r="H275" s="1">
        <v>271606</v>
      </c>
      <c r="I275" s="1">
        <v>41089.866167228574</v>
      </c>
      <c r="J275" s="1">
        <v>312695.86616722855</v>
      </c>
    </row>
    <row r="276" spans="1:10" x14ac:dyDescent="0.2">
      <c r="A276">
        <v>2009090</v>
      </c>
      <c r="B276">
        <v>2021</v>
      </c>
      <c r="C276" t="s">
        <v>6</v>
      </c>
      <c r="D276" t="s">
        <v>7</v>
      </c>
      <c r="E276" t="s">
        <v>8</v>
      </c>
      <c r="F276" s="28">
        <v>5001</v>
      </c>
      <c r="G276" t="s">
        <v>87</v>
      </c>
      <c r="H276" s="25">
        <v>270026</v>
      </c>
      <c r="I276" s="1">
        <v>40313.024208751791</v>
      </c>
      <c r="J276" s="1">
        <v>310339.0242087518</v>
      </c>
    </row>
    <row r="277" spans="1:10" x14ac:dyDescent="0.2">
      <c r="A277">
        <v>2009090</v>
      </c>
      <c r="B277">
        <v>2022</v>
      </c>
      <c r="C277" t="s">
        <v>6</v>
      </c>
      <c r="D277" t="s">
        <v>7</v>
      </c>
      <c r="E277" t="s">
        <v>8</v>
      </c>
      <c r="F277" s="28">
        <v>5001</v>
      </c>
      <c r="G277" t="s">
        <v>87</v>
      </c>
      <c r="H277" s="1">
        <v>263209</v>
      </c>
      <c r="I277" s="1">
        <v>35745.244090045271</v>
      </c>
      <c r="J277" s="1">
        <v>298954.24409004528</v>
      </c>
    </row>
    <row r="278" spans="1:10" x14ac:dyDescent="0.2">
      <c r="A278">
        <v>2009090</v>
      </c>
      <c r="B278">
        <v>2023</v>
      </c>
      <c r="C278" t="s">
        <v>6</v>
      </c>
      <c r="D278" t="s">
        <v>7</v>
      </c>
      <c r="E278" t="s">
        <v>8</v>
      </c>
      <c r="F278" s="28">
        <v>5001</v>
      </c>
      <c r="G278" s="10" t="s">
        <v>87</v>
      </c>
      <c r="H278" s="1">
        <v>264831</v>
      </c>
      <c r="I278" s="1">
        <v>37077.128213036471</v>
      </c>
      <c r="J278" s="1">
        <v>301908.12821303646</v>
      </c>
    </row>
    <row r="279" spans="1:10" x14ac:dyDescent="0.2">
      <c r="A279">
        <v>2006870</v>
      </c>
      <c r="B279">
        <v>2015</v>
      </c>
      <c r="C279" t="s">
        <v>6</v>
      </c>
      <c r="D279" t="s">
        <v>7</v>
      </c>
      <c r="E279" t="s">
        <v>8</v>
      </c>
      <c r="F279" s="29">
        <v>5002</v>
      </c>
      <c r="G279" s="3" t="s">
        <v>88</v>
      </c>
      <c r="H279" s="27">
        <v>67440</v>
      </c>
      <c r="I279" s="1">
        <v>10862.833369807337</v>
      </c>
      <c r="J279" s="1">
        <v>78302.83336980734</v>
      </c>
    </row>
    <row r="280" spans="1:10" x14ac:dyDescent="0.2">
      <c r="A280">
        <v>2006870</v>
      </c>
      <c r="B280">
        <v>2016</v>
      </c>
      <c r="C280" t="s">
        <v>6</v>
      </c>
      <c r="D280" t="s">
        <v>7</v>
      </c>
      <c r="E280" t="s">
        <v>8</v>
      </c>
      <c r="F280" s="29">
        <v>5002</v>
      </c>
      <c r="G280" s="3" t="s">
        <v>88</v>
      </c>
      <c r="H280" s="1">
        <v>74931</v>
      </c>
      <c r="I280" s="26">
        <v>197895.51183374206</v>
      </c>
      <c r="J280" s="26">
        <v>272826.51183374209</v>
      </c>
    </row>
    <row r="281" spans="1:10" x14ac:dyDescent="0.2">
      <c r="A281">
        <v>2006870</v>
      </c>
      <c r="B281">
        <v>2017</v>
      </c>
      <c r="C281" t="s">
        <v>6</v>
      </c>
      <c r="D281" t="s">
        <v>7</v>
      </c>
      <c r="E281" t="s">
        <v>8</v>
      </c>
      <c r="F281" s="29">
        <v>5002</v>
      </c>
      <c r="G281" s="3" t="s">
        <v>88</v>
      </c>
      <c r="H281" s="1">
        <v>78618</v>
      </c>
      <c r="I281" s="1">
        <v>12268.782384525695</v>
      </c>
      <c r="J281" s="1">
        <v>90886.782384525693</v>
      </c>
    </row>
    <row r="282" spans="1:10" x14ac:dyDescent="0.2">
      <c r="A282">
        <v>2006870</v>
      </c>
      <c r="B282">
        <v>2018</v>
      </c>
      <c r="C282" t="s">
        <v>6</v>
      </c>
      <c r="D282" t="s">
        <v>7</v>
      </c>
      <c r="E282" t="s">
        <v>8</v>
      </c>
      <c r="F282" s="28">
        <v>5002</v>
      </c>
      <c r="G282" t="s">
        <v>88</v>
      </c>
      <c r="H282" s="1">
        <v>81551</v>
      </c>
      <c r="I282" s="1">
        <v>12332.088995666267</v>
      </c>
      <c r="J282" s="1">
        <v>93883.088995666272</v>
      </c>
    </row>
    <row r="283" spans="1:10" x14ac:dyDescent="0.2">
      <c r="A283">
        <v>2006870</v>
      </c>
      <c r="B283">
        <v>2019</v>
      </c>
      <c r="C283" t="s">
        <v>6</v>
      </c>
      <c r="D283" t="s">
        <v>7</v>
      </c>
      <c r="E283" t="s">
        <v>8</v>
      </c>
      <c r="F283" s="28">
        <v>5002</v>
      </c>
      <c r="G283" t="s">
        <v>88</v>
      </c>
      <c r="H283" s="1">
        <v>89919</v>
      </c>
      <c r="I283" s="1">
        <v>13694.467845551233</v>
      </c>
      <c r="J283" s="1">
        <v>103613.46784555123</v>
      </c>
    </row>
    <row r="284" spans="1:10" x14ac:dyDescent="0.2">
      <c r="A284">
        <v>2006870</v>
      </c>
      <c r="B284">
        <v>2020</v>
      </c>
      <c r="C284" t="s">
        <v>6</v>
      </c>
      <c r="D284" t="s">
        <v>7</v>
      </c>
      <c r="E284" t="s">
        <v>8</v>
      </c>
      <c r="F284" s="28">
        <v>5002</v>
      </c>
      <c r="G284" t="s">
        <v>88</v>
      </c>
      <c r="H284" s="1">
        <v>103877</v>
      </c>
      <c r="I284" s="1">
        <v>15715.013762042085</v>
      </c>
      <c r="J284" s="1">
        <v>119592.01376204209</v>
      </c>
    </row>
    <row r="285" spans="1:10" x14ac:dyDescent="0.2">
      <c r="A285">
        <v>2006870</v>
      </c>
      <c r="B285">
        <v>2021</v>
      </c>
      <c r="C285" t="s">
        <v>6</v>
      </c>
      <c r="D285" t="s">
        <v>7</v>
      </c>
      <c r="E285" t="s">
        <v>8</v>
      </c>
      <c r="F285" s="28">
        <v>5002</v>
      </c>
      <c r="G285" t="s">
        <v>88</v>
      </c>
      <c r="H285" s="25">
        <v>108349</v>
      </c>
      <c r="I285" s="1">
        <v>16175.760334167999</v>
      </c>
      <c r="J285" s="1">
        <v>124524.76033416799</v>
      </c>
    </row>
    <row r="286" spans="1:10" x14ac:dyDescent="0.2">
      <c r="A286">
        <v>2006870</v>
      </c>
      <c r="B286">
        <v>2022</v>
      </c>
      <c r="C286" t="s">
        <v>6</v>
      </c>
      <c r="D286" t="s">
        <v>7</v>
      </c>
      <c r="E286" t="s">
        <v>8</v>
      </c>
      <c r="F286" s="28">
        <v>5002</v>
      </c>
      <c r="G286" t="s">
        <v>88</v>
      </c>
      <c r="H286" s="1">
        <v>92823</v>
      </c>
      <c r="I286" s="1">
        <v>12605.878948555226</v>
      </c>
      <c r="J286" s="1">
        <v>105428.87894855523</v>
      </c>
    </row>
    <row r="287" spans="1:10" x14ac:dyDescent="0.2">
      <c r="A287">
        <v>2006870</v>
      </c>
      <c r="B287">
        <v>2023</v>
      </c>
      <c r="C287" t="s">
        <v>6</v>
      </c>
      <c r="D287" t="s">
        <v>7</v>
      </c>
      <c r="E287" t="s">
        <v>8</v>
      </c>
      <c r="F287" s="28">
        <v>5002</v>
      </c>
      <c r="G287" s="10" t="s">
        <v>88</v>
      </c>
      <c r="H287" s="1">
        <v>106164</v>
      </c>
      <c r="I287" s="1">
        <v>14863.275974522634</v>
      </c>
      <c r="J287" s="1">
        <v>121027.27597452264</v>
      </c>
    </row>
    <row r="288" spans="1:10" x14ac:dyDescent="0.2">
      <c r="A288">
        <v>2011250</v>
      </c>
      <c r="B288">
        <v>2015</v>
      </c>
      <c r="C288" t="s">
        <v>6</v>
      </c>
      <c r="D288" t="s">
        <v>7</v>
      </c>
      <c r="E288" t="s">
        <v>8</v>
      </c>
      <c r="F288" s="29">
        <v>5004</v>
      </c>
      <c r="G288" s="3" t="s">
        <v>89</v>
      </c>
      <c r="H288" s="27">
        <v>708787</v>
      </c>
      <c r="I288" s="1">
        <v>114167.1867687668</v>
      </c>
      <c r="J288" s="1">
        <v>822954.18676876684</v>
      </c>
    </row>
    <row r="289" spans="1:10" x14ac:dyDescent="0.2">
      <c r="A289">
        <v>2011250</v>
      </c>
      <c r="B289">
        <v>2016</v>
      </c>
      <c r="C289" t="s">
        <v>6</v>
      </c>
      <c r="D289" t="s">
        <v>7</v>
      </c>
      <c r="E289" t="s">
        <v>8</v>
      </c>
      <c r="F289" s="29">
        <v>5004</v>
      </c>
      <c r="G289" s="3" t="s">
        <v>89</v>
      </c>
      <c r="H289" s="1">
        <v>851996</v>
      </c>
      <c r="I289" s="26">
        <v>2250201.9734844393</v>
      </c>
      <c r="J289" s="26">
        <v>3102197.9734844393</v>
      </c>
    </row>
    <row r="290" spans="1:10" x14ac:dyDescent="0.2">
      <c r="A290">
        <v>2011250</v>
      </c>
      <c r="B290">
        <v>2017</v>
      </c>
      <c r="C290" t="s">
        <v>6</v>
      </c>
      <c r="D290" t="s">
        <v>7</v>
      </c>
      <c r="E290" t="s">
        <v>8</v>
      </c>
      <c r="F290" s="29">
        <v>5004</v>
      </c>
      <c r="G290" s="3" t="s">
        <v>89</v>
      </c>
      <c r="H290" s="1">
        <v>887054</v>
      </c>
      <c r="I290" s="1">
        <v>138429.78057598841</v>
      </c>
      <c r="J290" s="1">
        <v>1025483.7805759883</v>
      </c>
    </row>
    <row r="291" spans="1:10" x14ac:dyDescent="0.2">
      <c r="A291">
        <v>2011250</v>
      </c>
      <c r="B291">
        <v>2018</v>
      </c>
      <c r="C291" t="s">
        <v>6</v>
      </c>
      <c r="D291" t="s">
        <v>7</v>
      </c>
      <c r="E291" t="s">
        <v>8</v>
      </c>
      <c r="F291" s="28">
        <v>5004</v>
      </c>
      <c r="G291" t="s">
        <v>89</v>
      </c>
      <c r="H291" s="1">
        <v>1002492</v>
      </c>
      <c r="I291" s="1">
        <v>151596.18596269167</v>
      </c>
      <c r="J291" s="1">
        <v>1154088.1859626917</v>
      </c>
    </row>
    <row r="292" spans="1:10" x14ac:dyDescent="0.2">
      <c r="A292">
        <v>2011250</v>
      </c>
      <c r="B292">
        <v>2019</v>
      </c>
      <c r="C292" t="s">
        <v>6</v>
      </c>
      <c r="D292" t="s">
        <v>7</v>
      </c>
      <c r="E292" t="s">
        <v>8</v>
      </c>
      <c r="F292" s="28">
        <v>5004</v>
      </c>
      <c r="G292" t="s">
        <v>89</v>
      </c>
      <c r="H292" s="1">
        <v>1154156</v>
      </c>
      <c r="I292" s="1">
        <v>175775.44490875152</v>
      </c>
      <c r="J292" s="1">
        <v>1329931.4449087516</v>
      </c>
    </row>
    <row r="293" spans="1:10" x14ac:dyDescent="0.2">
      <c r="A293">
        <v>2011250</v>
      </c>
      <c r="B293">
        <v>2020</v>
      </c>
      <c r="C293" t="s">
        <v>6</v>
      </c>
      <c r="D293" t="s">
        <v>7</v>
      </c>
      <c r="E293" t="s">
        <v>8</v>
      </c>
      <c r="F293" s="28">
        <v>5004</v>
      </c>
      <c r="G293" t="s">
        <v>89</v>
      </c>
      <c r="H293" s="1">
        <v>1320526</v>
      </c>
      <c r="I293" s="1">
        <v>199775.54476096141</v>
      </c>
      <c r="J293" s="1">
        <v>1520301.5447609613</v>
      </c>
    </row>
    <row r="294" spans="1:10" x14ac:dyDescent="0.2">
      <c r="A294">
        <v>2011250</v>
      </c>
      <c r="B294">
        <v>2021</v>
      </c>
      <c r="C294" t="s">
        <v>6</v>
      </c>
      <c r="D294" t="s">
        <v>7</v>
      </c>
      <c r="E294" t="s">
        <v>8</v>
      </c>
      <c r="F294" s="28">
        <v>5004</v>
      </c>
      <c r="G294" t="s">
        <v>89</v>
      </c>
      <c r="H294" s="25">
        <v>1308556</v>
      </c>
      <c r="I294" s="1">
        <v>195358.40884399062</v>
      </c>
      <c r="J294" s="1">
        <v>1503914.4088439906</v>
      </c>
    </row>
    <row r="295" spans="1:10" x14ac:dyDescent="0.2">
      <c r="A295">
        <v>2011250</v>
      </c>
      <c r="B295">
        <v>2022</v>
      </c>
      <c r="C295" t="s">
        <v>6</v>
      </c>
      <c r="D295" t="s">
        <v>7</v>
      </c>
      <c r="E295" t="s">
        <v>8</v>
      </c>
      <c r="F295" s="28">
        <v>5004</v>
      </c>
      <c r="G295" t="s">
        <v>89</v>
      </c>
      <c r="H295" s="1">
        <v>1343332</v>
      </c>
      <c r="I295" s="1">
        <v>182431.94660505035</v>
      </c>
      <c r="J295" s="1">
        <v>1525763.9466050505</v>
      </c>
    </row>
    <row r="296" spans="1:10" x14ac:dyDescent="0.2">
      <c r="A296">
        <v>2011250</v>
      </c>
      <c r="B296">
        <v>2023</v>
      </c>
      <c r="C296" t="s">
        <v>6</v>
      </c>
      <c r="D296" t="s">
        <v>7</v>
      </c>
      <c r="E296" t="s">
        <v>8</v>
      </c>
      <c r="F296" s="28">
        <v>5004</v>
      </c>
      <c r="G296" s="10" t="s">
        <v>89</v>
      </c>
      <c r="H296" s="1">
        <v>1407230</v>
      </c>
      <c r="I296" s="1">
        <v>197016.38832021671</v>
      </c>
      <c r="J296" s="1">
        <v>1604246.3883202167</v>
      </c>
    </row>
    <row r="297" spans="1:10" x14ac:dyDescent="0.2">
      <c r="A297">
        <v>2005610</v>
      </c>
      <c r="B297">
        <v>2015</v>
      </c>
      <c r="C297" t="s">
        <v>6</v>
      </c>
      <c r="D297" t="s">
        <v>7</v>
      </c>
      <c r="E297" t="s">
        <v>8</v>
      </c>
      <c r="F297" s="29">
        <v>5005</v>
      </c>
      <c r="G297" s="3" t="s">
        <v>90</v>
      </c>
      <c r="H297" s="27">
        <v>394178</v>
      </c>
      <c r="I297" s="1">
        <v>63491.843594957245</v>
      </c>
      <c r="J297" s="1">
        <v>457669.84359495726</v>
      </c>
    </row>
    <row r="298" spans="1:10" x14ac:dyDescent="0.2">
      <c r="A298">
        <v>2005610</v>
      </c>
      <c r="B298">
        <v>2016</v>
      </c>
      <c r="C298" t="s">
        <v>6</v>
      </c>
      <c r="D298" t="s">
        <v>7</v>
      </c>
      <c r="E298" t="s">
        <v>8</v>
      </c>
      <c r="F298" s="29">
        <v>5005</v>
      </c>
      <c r="G298" s="3" t="s">
        <v>90</v>
      </c>
      <c r="H298" s="1">
        <v>438898</v>
      </c>
      <c r="I298" s="26">
        <v>1159167.8606791091</v>
      </c>
      <c r="J298" s="26">
        <v>1598065.8606791091</v>
      </c>
    </row>
    <row r="299" spans="1:10" x14ac:dyDescent="0.2">
      <c r="A299">
        <v>2005610</v>
      </c>
      <c r="B299">
        <v>2017</v>
      </c>
      <c r="C299" t="s">
        <v>6</v>
      </c>
      <c r="D299" t="s">
        <v>7</v>
      </c>
      <c r="E299" t="s">
        <v>8</v>
      </c>
      <c r="F299" s="29">
        <v>5005</v>
      </c>
      <c r="G299" s="3" t="s">
        <v>90</v>
      </c>
      <c r="H299" s="1">
        <v>478190</v>
      </c>
      <c r="I299" s="1">
        <v>74624.246972148132</v>
      </c>
      <c r="J299" s="1">
        <v>552814.24697214807</v>
      </c>
    </row>
    <row r="300" spans="1:10" x14ac:dyDescent="0.2">
      <c r="A300">
        <v>2005610</v>
      </c>
      <c r="B300">
        <v>2018</v>
      </c>
      <c r="C300" t="s">
        <v>6</v>
      </c>
      <c r="D300" t="s">
        <v>7</v>
      </c>
      <c r="E300" t="s">
        <v>8</v>
      </c>
      <c r="F300" s="28">
        <v>5005</v>
      </c>
      <c r="G300" t="s">
        <v>90</v>
      </c>
      <c r="H300" s="1">
        <v>546423</v>
      </c>
      <c r="I300" s="1">
        <v>82629.729436536029</v>
      </c>
      <c r="J300" s="1">
        <v>629052.72943653609</v>
      </c>
    </row>
    <row r="301" spans="1:10" x14ac:dyDescent="0.2">
      <c r="A301">
        <v>2005610</v>
      </c>
      <c r="B301">
        <v>2019</v>
      </c>
      <c r="C301" t="s">
        <v>6</v>
      </c>
      <c r="D301" t="s">
        <v>7</v>
      </c>
      <c r="E301" t="s">
        <v>8</v>
      </c>
      <c r="F301" s="28">
        <v>5005</v>
      </c>
      <c r="G301" t="s">
        <v>90</v>
      </c>
      <c r="H301" s="1">
        <v>603167</v>
      </c>
      <c r="I301" s="1">
        <v>91861.020329380888</v>
      </c>
      <c r="J301" s="1">
        <v>695028.02032938087</v>
      </c>
    </row>
    <row r="302" spans="1:10" x14ac:dyDescent="0.2">
      <c r="A302">
        <v>2005610</v>
      </c>
      <c r="B302">
        <v>2020</v>
      </c>
      <c r="C302" t="s">
        <v>6</v>
      </c>
      <c r="D302" t="s">
        <v>7</v>
      </c>
      <c r="E302" t="s">
        <v>8</v>
      </c>
      <c r="F302" s="28">
        <v>5005</v>
      </c>
      <c r="G302" t="s">
        <v>90</v>
      </c>
      <c r="H302" s="1">
        <v>652275</v>
      </c>
      <c r="I302" s="1">
        <v>98679.30919872543</v>
      </c>
      <c r="J302" s="1">
        <v>750954.30919872539</v>
      </c>
    </row>
    <row r="303" spans="1:10" x14ac:dyDescent="0.2">
      <c r="A303">
        <v>2005610</v>
      </c>
      <c r="B303">
        <v>2021</v>
      </c>
      <c r="C303" t="s">
        <v>6</v>
      </c>
      <c r="D303" t="s">
        <v>7</v>
      </c>
      <c r="E303" t="s">
        <v>8</v>
      </c>
      <c r="F303" s="28">
        <v>5005</v>
      </c>
      <c r="G303" t="s">
        <v>90</v>
      </c>
      <c r="H303" s="25">
        <v>641408</v>
      </c>
      <c r="I303" s="1">
        <v>95757.801958652402</v>
      </c>
      <c r="J303" s="1">
        <v>737165.80195865245</v>
      </c>
    </row>
    <row r="304" spans="1:10" x14ac:dyDescent="0.2">
      <c r="A304">
        <v>2005610</v>
      </c>
      <c r="B304">
        <v>2022</v>
      </c>
      <c r="C304" t="s">
        <v>6</v>
      </c>
      <c r="D304" t="s">
        <v>7</v>
      </c>
      <c r="E304" t="s">
        <v>8</v>
      </c>
      <c r="F304" s="28">
        <v>5005</v>
      </c>
      <c r="G304" t="s">
        <v>90</v>
      </c>
      <c r="H304" s="1">
        <v>602133</v>
      </c>
      <c r="I304" s="1">
        <v>81773.005709041972</v>
      </c>
      <c r="J304" s="1">
        <v>683906.00570904196</v>
      </c>
    </row>
    <row r="305" spans="1:10" x14ac:dyDescent="0.2">
      <c r="A305">
        <v>2005610</v>
      </c>
      <c r="B305">
        <v>2023</v>
      </c>
      <c r="C305" t="s">
        <v>6</v>
      </c>
      <c r="D305" t="s">
        <v>7</v>
      </c>
      <c r="E305" t="s">
        <v>8</v>
      </c>
      <c r="F305" s="28">
        <v>5005</v>
      </c>
      <c r="G305" s="10" t="s">
        <v>90</v>
      </c>
      <c r="H305" s="1">
        <v>618952</v>
      </c>
      <c r="I305" s="1">
        <v>86655.12217873038</v>
      </c>
      <c r="J305" s="1">
        <v>705607.12217873032</v>
      </c>
    </row>
    <row r="306" spans="1:10" x14ac:dyDescent="0.2">
      <c r="A306">
        <v>2010590</v>
      </c>
      <c r="B306">
        <v>2015</v>
      </c>
      <c r="C306" t="s">
        <v>6</v>
      </c>
      <c r="D306" t="s">
        <v>7</v>
      </c>
      <c r="E306" t="s">
        <v>8</v>
      </c>
      <c r="F306" s="29">
        <v>5006</v>
      </c>
      <c r="G306" s="3" t="s">
        <v>91</v>
      </c>
      <c r="H306" s="27">
        <v>174067</v>
      </c>
      <c r="I306" s="1">
        <v>28037.67521029439</v>
      </c>
      <c r="J306" s="1">
        <v>202104.6752102944</v>
      </c>
    </row>
    <row r="307" spans="1:10" x14ac:dyDescent="0.2">
      <c r="A307">
        <v>2010590</v>
      </c>
      <c r="B307">
        <v>2016</v>
      </c>
      <c r="C307" t="s">
        <v>6</v>
      </c>
      <c r="D307" t="s">
        <v>7</v>
      </c>
      <c r="E307" t="s">
        <v>8</v>
      </c>
      <c r="F307" s="29">
        <v>5006</v>
      </c>
      <c r="G307" s="3" t="s">
        <v>91</v>
      </c>
      <c r="H307" s="1">
        <v>187796</v>
      </c>
      <c r="I307" s="26">
        <v>495990.65878152492</v>
      </c>
      <c r="J307" s="26">
        <v>683786.65878152498</v>
      </c>
    </row>
    <row r="308" spans="1:10" x14ac:dyDescent="0.2">
      <c r="A308">
        <v>2010590</v>
      </c>
      <c r="B308">
        <v>2017</v>
      </c>
      <c r="C308" t="s">
        <v>6</v>
      </c>
      <c r="D308" t="s">
        <v>7</v>
      </c>
      <c r="E308" t="s">
        <v>8</v>
      </c>
      <c r="F308" s="29">
        <v>5006</v>
      </c>
      <c r="G308" s="3" t="s">
        <v>91</v>
      </c>
      <c r="H308" s="1">
        <v>182185</v>
      </c>
      <c r="I308" s="1">
        <v>28430.996956483425</v>
      </c>
      <c r="J308" s="1">
        <v>210615.99695648343</v>
      </c>
    </row>
    <row r="309" spans="1:10" x14ac:dyDescent="0.2">
      <c r="A309">
        <v>2010590</v>
      </c>
      <c r="B309">
        <v>2018</v>
      </c>
      <c r="C309" t="s">
        <v>6</v>
      </c>
      <c r="D309" t="s">
        <v>7</v>
      </c>
      <c r="E309" t="s">
        <v>8</v>
      </c>
      <c r="F309" s="28">
        <v>5006</v>
      </c>
      <c r="G309" t="s">
        <v>91</v>
      </c>
      <c r="H309" s="1">
        <v>210785</v>
      </c>
      <c r="I309" s="1">
        <v>31874.770130979567</v>
      </c>
      <c r="J309" s="1">
        <v>242659.77013097957</v>
      </c>
    </row>
    <row r="310" spans="1:10" x14ac:dyDescent="0.2">
      <c r="A310">
        <v>2010590</v>
      </c>
      <c r="B310">
        <v>2019</v>
      </c>
      <c r="C310" t="s">
        <v>6</v>
      </c>
      <c r="D310" t="s">
        <v>7</v>
      </c>
      <c r="E310" t="s">
        <v>8</v>
      </c>
      <c r="F310" s="28">
        <v>5006</v>
      </c>
      <c r="G310" t="s">
        <v>91</v>
      </c>
      <c r="H310" s="1">
        <v>251915</v>
      </c>
      <c r="I310" s="1">
        <v>38366.105798685916</v>
      </c>
      <c r="J310" s="1">
        <v>290281.10579868592</v>
      </c>
    </row>
    <row r="311" spans="1:10" x14ac:dyDescent="0.2">
      <c r="A311">
        <v>2010590</v>
      </c>
      <c r="B311">
        <v>2020</v>
      </c>
      <c r="C311" t="s">
        <v>6</v>
      </c>
      <c r="D311" t="s">
        <v>7</v>
      </c>
      <c r="E311" t="s">
        <v>8</v>
      </c>
      <c r="F311" s="28">
        <v>5006</v>
      </c>
      <c r="G311" t="s">
        <v>91</v>
      </c>
      <c r="H311" s="1">
        <v>256126</v>
      </c>
      <c r="I311" s="1">
        <v>38747.977076896634</v>
      </c>
      <c r="J311" s="1">
        <v>294873.97707689664</v>
      </c>
    </row>
    <row r="312" spans="1:10" x14ac:dyDescent="0.2">
      <c r="A312">
        <v>2010590</v>
      </c>
      <c r="B312">
        <v>2021</v>
      </c>
      <c r="C312" t="s">
        <v>6</v>
      </c>
      <c r="D312" t="s">
        <v>7</v>
      </c>
      <c r="E312" t="s">
        <v>8</v>
      </c>
      <c r="F312" s="28">
        <v>5006</v>
      </c>
      <c r="G312" t="s">
        <v>91</v>
      </c>
      <c r="H312" s="25">
        <v>274114</v>
      </c>
      <c r="I312" s="1">
        <v>40923.334486152409</v>
      </c>
      <c r="J312" s="1">
        <v>315037.33448615239</v>
      </c>
    </row>
    <row r="313" spans="1:10" x14ac:dyDescent="0.2">
      <c r="A313">
        <v>2010590</v>
      </c>
      <c r="B313">
        <v>2022</v>
      </c>
      <c r="C313" t="s">
        <v>6</v>
      </c>
      <c r="D313" t="s">
        <v>7</v>
      </c>
      <c r="E313" t="s">
        <v>8</v>
      </c>
      <c r="F313" s="28">
        <v>5006</v>
      </c>
      <c r="G313" t="s">
        <v>91</v>
      </c>
      <c r="H313" s="1">
        <v>267684</v>
      </c>
      <c r="I313" s="1">
        <v>36352.973944658734</v>
      </c>
      <c r="J313" s="1">
        <v>304036.97394465876</v>
      </c>
    </row>
    <row r="314" spans="1:10" x14ac:dyDescent="0.2">
      <c r="A314">
        <v>2010590</v>
      </c>
      <c r="B314">
        <v>2023</v>
      </c>
      <c r="C314" t="s">
        <v>6</v>
      </c>
      <c r="D314" t="s">
        <v>7</v>
      </c>
      <c r="E314" t="s">
        <v>8</v>
      </c>
      <c r="F314" s="28">
        <v>5006</v>
      </c>
      <c r="G314" s="10" t="s">
        <v>91</v>
      </c>
      <c r="H314" s="1">
        <v>230834</v>
      </c>
      <c r="I314" s="1">
        <v>32317.44702821067</v>
      </c>
      <c r="J314" s="1">
        <v>263151.44702821068</v>
      </c>
    </row>
    <row r="315" spans="1:10" x14ac:dyDescent="0.2">
      <c r="A315">
        <v>2009850</v>
      </c>
      <c r="B315">
        <v>2015</v>
      </c>
      <c r="C315" t="s">
        <v>6</v>
      </c>
      <c r="D315" t="s">
        <v>7</v>
      </c>
      <c r="E315" t="s">
        <v>8</v>
      </c>
      <c r="F315" s="29">
        <v>5007</v>
      </c>
      <c r="G315" s="3" t="s">
        <v>143</v>
      </c>
      <c r="H315" s="27">
        <v>108005</v>
      </c>
      <c r="I315" s="1">
        <v>17396.801869899784</v>
      </c>
      <c r="J315" s="1">
        <v>125401.80186989979</v>
      </c>
    </row>
    <row r="316" spans="1:10" x14ac:dyDescent="0.2">
      <c r="A316">
        <v>2009850</v>
      </c>
      <c r="B316">
        <v>2016</v>
      </c>
      <c r="C316" t="s">
        <v>6</v>
      </c>
      <c r="D316" t="s">
        <v>7</v>
      </c>
      <c r="E316" t="s">
        <v>8</v>
      </c>
      <c r="F316" s="29">
        <v>5007</v>
      </c>
      <c r="G316" s="3" t="s">
        <v>143</v>
      </c>
      <c r="H316" s="1">
        <v>115900</v>
      </c>
      <c r="I316" s="26">
        <v>306106.05989219947</v>
      </c>
      <c r="J316" s="26">
        <v>422006.05989219947</v>
      </c>
    </row>
    <row r="317" spans="1:10" x14ac:dyDescent="0.2">
      <c r="A317">
        <v>2009850</v>
      </c>
      <c r="B317">
        <v>2017</v>
      </c>
      <c r="C317" t="s">
        <v>6</v>
      </c>
      <c r="D317" t="s">
        <v>7</v>
      </c>
      <c r="E317" t="s">
        <v>8</v>
      </c>
      <c r="F317" s="29">
        <v>5007</v>
      </c>
      <c r="G317" s="3" t="s">
        <v>143</v>
      </c>
      <c r="H317" s="1">
        <v>124452</v>
      </c>
      <c r="I317" s="1">
        <v>19421.436634345719</v>
      </c>
      <c r="J317" s="1">
        <v>143873.43663434571</v>
      </c>
    </row>
    <row r="318" spans="1:10" x14ac:dyDescent="0.2">
      <c r="A318">
        <v>2009850</v>
      </c>
      <c r="B318">
        <v>2018</v>
      </c>
      <c r="C318" t="s">
        <v>6</v>
      </c>
      <c r="D318" t="s">
        <v>7</v>
      </c>
      <c r="E318" t="s">
        <v>8</v>
      </c>
      <c r="F318" s="28">
        <v>5007</v>
      </c>
      <c r="G318" t="s">
        <v>143</v>
      </c>
      <c r="H318" s="1">
        <v>138820</v>
      </c>
      <c r="I318" s="1">
        <v>20992.269799001744</v>
      </c>
      <c r="J318" s="1">
        <v>159812.26979900175</v>
      </c>
    </row>
    <row r="319" spans="1:10" x14ac:dyDescent="0.2">
      <c r="A319">
        <v>2009850</v>
      </c>
      <c r="B319">
        <v>2019</v>
      </c>
      <c r="C319" t="s">
        <v>6</v>
      </c>
      <c r="D319" t="s">
        <v>7</v>
      </c>
      <c r="E319" t="s">
        <v>8</v>
      </c>
      <c r="F319" s="28">
        <v>5007</v>
      </c>
      <c r="G319" t="s">
        <v>143</v>
      </c>
      <c r="H319" s="1">
        <v>153613</v>
      </c>
      <c r="I319" s="1">
        <v>23394.925312321775</v>
      </c>
      <c r="J319" s="1">
        <v>177007.92531232178</v>
      </c>
    </row>
    <row r="320" spans="1:10" x14ac:dyDescent="0.2">
      <c r="A320">
        <v>2009850</v>
      </c>
      <c r="B320">
        <v>2020</v>
      </c>
      <c r="C320" t="s">
        <v>6</v>
      </c>
      <c r="D320" t="s">
        <v>7</v>
      </c>
      <c r="E320" t="s">
        <v>8</v>
      </c>
      <c r="F320" s="28">
        <v>5007</v>
      </c>
      <c r="G320" t="s">
        <v>143</v>
      </c>
      <c r="H320" s="1">
        <v>156494</v>
      </c>
      <c r="I320" s="1">
        <v>23675.167396796347</v>
      </c>
      <c r="J320" s="1">
        <v>180169.16739679634</v>
      </c>
    </row>
    <row r="321" spans="1:10" x14ac:dyDescent="0.2">
      <c r="A321">
        <v>2009850</v>
      </c>
      <c r="B321">
        <v>2021</v>
      </c>
      <c r="C321" t="s">
        <v>6</v>
      </c>
      <c r="D321" t="s">
        <v>7</v>
      </c>
      <c r="E321" t="s">
        <v>8</v>
      </c>
      <c r="F321" s="28">
        <v>5007</v>
      </c>
      <c r="G321" t="s">
        <v>143</v>
      </c>
      <c r="H321" s="25">
        <v>154343</v>
      </c>
      <c r="I321" s="1">
        <v>23042.348127407648</v>
      </c>
      <c r="J321" s="1">
        <v>177385.34812740766</v>
      </c>
    </row>
    <row r="322" spans="1:10" x14ac:dyDescent="0.2">
      <c r="A322">
        <v>2009850</v>
      </c>
      <c r="B322">
        <v>2022</v>
      </c>
      <c r="C322" t="s">
        <v>6</v>
      </c>
      <c r="D322" t="s">
        <v>7</v>
      </c>
      <c r="E322" t="s">
        <v>8</v>
      </c>
      <c r="F322" s="28">
        <v>5007</v>
      </c>
      <c r="G322" t="s">
        <v>143</v>
      </c>
      <c r="H322" s="1">
        <v>140898</v>
      </c>
      <c r="I322" s="1">
        <v>19134.730962084119</v>
      </c>
      <c r="J322" s="1">
        <v>160032.73096208411</v>
      </c>
    </row>
    <row r="323" spans="1:10" x14ac:dyDescent="0.2">
      <c r="A323">
        <v>2009850</v>
      </c>
      <c r="B323">
        <v>2023</v>
      </c>
      <c r="C323" t="s">
        <v>6</v>
      </c>
      <c r="D323" t="s">
        <v>7</v>
      </c>
      <c r="E323" t="s">
        <v>8</v>
      </c>
      <c r="F323" s="28">
        <v>5007</v>
      </c>
      <c r="G323" s="10" t="s">
        <v>143</v>
      </c>
      <c r="H323" s="1">
        <v>148485</v>
      </c>
      <c r="I323" s="1">
        <v>20788.341933960604</v>
      </c>
      <c r="J323" s="1">
        <v>169273.34193396062</v>
      </c>
    </row>
    <row r="324" spans="1:10" x14ac:dyDescent="0.2">
      <c r="A324">
        <v>2011130</v>
      </c>
      <c r="B324">
        <v>2015</v>
      </c>
      <c r="C324" t="s">
        <v>6</v>
      </c>
      <c r="D324" t="s">
        <v>7</v>
      </c>
      <c r="E324" t="s">
        <v>8</v>
      </c>
      <c r="F324" s="29">
        <v>5008</v>
      </c>
      <c r="G324" s="3" t="s">
        <v>92</v>
      </c>
      <c r="H324" s="27">
        <v>455875</v>
      </c>
      <c r="I324" s="1">
        <v>73429.628743489317</v>
      </c>
      <c r="J324" s="1">
        <v>529304.62874348927</v>
      </c>
    </row>
    <row r="325" spans="1:10" x14ac:dyDescent="0.2">
      <c r="A325">
        <v>2011130</v>
      </c>
      <c r="B325">
        <v>2016</v>
      </c>
      <c r="C325" t="s">
        <v>6</v>
      </c>
      <c r="D325" t="s">
        <v>7</v>
      </c>
      <c r="E325" t="s">
        <v>8</v>
      </c>
      <c r="F325" s="29">
        <v>5008</v>
      </c>
      <c r="G325" s="3" t="s">
        <v>92</v>
      </c>
      <c r="H325" s="1">
        <v>497109</v>
      </c>
      <c r="I325" s="26">
        <v>1312911.9845388432</v>
      </c>
      <c r="J325" s="26">
        <v>1810020.9845388432</v>
      </c>
    </row>
    <row r="326" spans="1:10" x14ac:dyDescent="0.2">
      <c r="A326">
        <v>2011130</v>
      </c>
      <c r="B326">
        <v>2017</v>
      </c>
      <c r="C326" t="s">
        <v>6</v>
      </c>
      <c r="D326" t="s">
        <v>7</v>
      </c>
      <c r="E326" t="s">
        <v>8</v>
      </c>
      <c r="F326" s="29">
        <v>5008</v>
      </c>
      <c r="G326" s="3" t="s">
        <v>92</v>
      </c>
      <c r="H326" s="1">
        <v>505140</v>
      </c>
      <c r="I326" s="1">
        <v>78829.946497231038</v>
      </c>
      <c r="J326" s="1">
        <v>583969.94649723102</v>
      </c>
    </row>
    <row r="327" spans="1:10" x14ac:dyDescent="0.2">
      <c r="A327">
        <v>2011130</v>
      </c>
      <c r="B327">
        <v>2018</v>
      </c>
      <c r="C327" t="s">
        <v>6</v>
      </c>
      <c r="D327" t="s">
        <v>7</v>
      </c>
      <c r="E327" t="s">
        <v>8</v>
      </c>
      <c r="F327" s="28">
        <v>5008</v>
      </c>
      <c r="G327" t="s">
        <v>92</v>
      </c>
      <c r="H327" s="1">
        <v>581526</v>
      </c>
      <c r="I327" s="1">
        <v>87937.982186531401</v>
      </c>
      <c r="J327" s="1">
        <v>669463.98218653142</v>
      </c>
    </row>
    <row r="328" spans="1:10" x14ac:dyDescent="0.2">
      <c r="A328">
        <v>2011130</v>
      </c>
      <c r="B328">
        <v>2019</v>
      </c>
      <c r="C328" t="s">
        <v>6</v>
      </c>
      <c r="D328" t="s">
        <v>7</v>
      </c>
      <c r="E328" t="s">
        <v>8</v>
      </c>
      <c r="F328" s="28">
        <v>5008</v>
      </c>
      <c r="G328" t="s">
        <v>92</v>
      </c>
      <c r="H328" s="1">
        <v>626506</v>
      </c>
      <c r="I328" s="1">
        <v>95415.499194218355</v>
      </c>
      <c r="J328" s="1">
        <v>721921.49919421831</v>
      </c>
    </row>
    <row r="329" spans="1:10" x14ac:dyDescent="0.2">
      <c r="A329">
        <v>2011130</v>
      </c>
      <c r="B329">
        <v>2020</v>
      </c>
      <c r="C329" t="s">
        <v>6</v>
      </c>
      <c r="D329" t="s">
        <v>7</v>
      </c>
      <c r="E329" t="s">
        <v>8</v>
      </c>
      <c r="F329" s="28">
        <v>5008</v>
      </c>
      <c r="G329" t="s">
        <v>92</v>
      </c>
      <c r="H329" s="1">
        <v>731038</v>
      </c>
      <c r="I329" s="1">
        <v>110594.95586680133</v>
      </c>
      <c r="J329" s="1">
        <v>841632.95586680132</v>
      </c>
    </row>
    <row r="330" spans="1:10" x14ac:dyDescent="0.2">
      <c r="A330">
        <v>2011130</v>
      </c>
      <c r="B330">
        <v>2021</v>
      </c>
      <c r="C330" t="s">
        <v>6</v>
      </c>
      <c r="D330" t="s">
        <v>7</v>
      </c>
      <c r="E330" t="s">
        <v>8</v>
      </c>
      <c r="F330" s="28">
        <v>5008</v>
      </c>
      <c r="G330" t="s">
        <v>92</v>
      </c>
      <c r="H330" s="25">
        <v>703381</v>
      </c>
      <c r="I330" s="1">
        <v>105009.94452747529</v>
      </c>
      <c r="J330" s="1">
        <v>808390.94452747528</v>
      </c>
    </row>
    <row r="331" spans="1:10" x14ac:dyDescent="0.2">
      <c r="A331">
        <v>2011130</v>
      </c>
      <c r="B331">
        <v>2022</v>
      </c>
      <c r="C331" t="s">
        <v>6</v>
      </c>
      <c r="D331" t="s">
        <v>7</v>
      </c>
      <c r="E331" t="s">
        <v>8</v>
      </c>
      <c r="F331" s="28">
        <v>5008</v>
      </c>
      <c r="G331" t="s">
        <v>92</v>
      </c>
      <c r="H331" s="1">
        <v>661756</v>
      </c>
      <c r="I331" s="1">
        <v>89870.140261358843</v>
      </c>
      <c r="J331" s="1">
        <v>751626.14026135881</v>
      </c>
    </row>
    <row r="332" spans="1:10" x14ac:dyDescent="0.2">
      <c r="A332">
        <v>2011130</v>
      </c>
      <c r="B332">
        <v>2023</v>
      </c>
      <c r="C332" t="s">
        <v>6</v>
      </c>
      <c r="D332" t="s">
        <v>7</v>
      </c>
      <c r="E332" t="s">
        <v>8</v>
      </c>
      <c r="F332" s="28">
        <v>5008</v>
      </c>
      <c r="G332" s="10" t="s">
        <v>92</v>
      </c>
      <c r="H332" s="1">
        <v>706292</v>
      </c>
      <c r="I332" s="1">
        <v>98882.982127628376</v>
      </c>
      <c r="J332" s="1">
        <v>805174.98212762841</v>
      </c>
    </row>
    <row r="333" spans="1:10" x14ac:dyDescent="0.2">
      <c r="A333">
        <v>2003540</v>
      </c>
      <c r="B333">
        <v>2015</v>
      </c>
      <c r="C333" t="s">
        <v>6</v>
      </c>
      <c r="D333" t="s">
        <v>7</v>
      </c>
      <c r="E333" t="s">
        <v>8</v>
      </c>
      <c r="F333" s="29">
        <v>5010</v>
      </c>
      <c r="G333" s="3" t="s">
        <v>93</v>
      </c>
      <c r="H333" s="27">
        <v>1013440</v>
      </c>
      <c r="I333" s="1">
        <v>163238.87678377147</v>
      </c>
      <c r="J333" s="1">
        <v>1176678.8767837714</v>
      </c>
    </row>
    <row r="334" spans="1:10" x14ac:dyDescent="0.2">
      <c r="A334">
        <v>2003540</v>
      </c>
      <c r="B334">
        <v>2016</v>
      </c>
      <c r="C334" t="s">
        <v>6</v>
      </c>
      <c r="D334" t="s">
        <v>7</v>
      </c>
      <c r="E334" t="s">
        <v>8</v>
      </c>
      <c r="F334" s="29">
        <v>5010</v>
      </c>
      <c r="G334" s="3" t="s">
        <v>93</v>
      </c>
      <c r="H334" s="1">
        <v>1173508</v>
      </c>
      <c r="I334" s="26">
        <v>3099338.7265234599</v>
      </c>
      <c r="J334" s="26">
        <v>4272846.7265234599</v>
      </c>
    </row>
    <row r="335" spans="1:10" x14ac:dyDescent="0.2">
      <c r="A335">
        <v>2003540</v>
      </c>
      <c r="B335">
        <v>2017</v>
      </c>
      <c r="C335" t="s">
        <v>6</v>
      </c>
      <c r="D335" t="s">
        <v>7</v>
      </c>
      <c r="E335" t="s">
        <v>8</v>
      </c>
      <c r="F335" s="29">
        <v>5010</v>
      </c>
      <c r="G335" s="3" t="s">
        <v>93</v>
      </c>
      <c r="H335" s="1">
        <v>1168166</v>
      </c>
      <c r="I335" s="1">
        <v>182298.89393016667</v>
      </c>
      <c r="J335" s="1">
        <v>1350464.8939301667</v>
      </c>
    </row>
    <row r="336" spans="1:10" x14ac:dyDescent="0.2">
      <c r="A336">
        <v>2003540</v>
      </c>
      <c r="B336">
        <v>2018</v>
      </c>
      <c r="C336" t="s">
        <v>6</v>
      </c>
      <c r="D336" t="s">
        <v>7</v>
      </c>
      <c r="E336" t="s">
        <v>8</v>
      </c>
      <c r="F336" s="28">
        <v>5010</v>
      </c>
      <c r="G336" t="s">
        <v>93</v>
      </c>
      <c r="H336" s="1">
        <v>1396967</v>
      </c>
      <c r="I336" s="1">
        <v>211248.43800822698</v>
      </c>
      <c r="J336" s="1">
        <v>1608215.4380082269</v>
      </c>
    </row>
    <row r="337" spans="1:10" x14ac:dyDescent="0.2">
      <c r="A337">
        <v>2003540</v>
      </c>
      <c r="B337">
        <v>2019</v>
      </c>
      <c r="C337" t="s">
        <v>6</v>
      </c>
      <c r="D337" t="s">
        <v>7</v>
      </c>
      <c r="E337" t="s">
        <v>8</v>
      </c>
      <c r="F337" s="28">
        <v>5010</v>
      </c>
      <c r="G337" t="s">
        <v>93</v>
      </c>
      <c r="H337" s="1">
        <v>1551828</v>
      </c>
      <c r="I337" s="1">
        <v>236340.02433107659</v>
      </c>
      <c r="J337" s="1">
        <v>1788168.0243310765</v>
      </c>
    </row>
    <row r="338" spans="1:10" x14ac:dyDescent="0.2">
      <c r="A338">
        <v>2003540</v>
      </c>
      <c r="B338">
        <v>2020</v>
      </c>
      <c r="C338" t="s">
        <v>6</v>
      </c>
      <c r="D338" t="s">
        <v>7</v>
      </c>
      <c r="E338" t="s">
        <v>8</v>
      </c>
      <c r="F338" s="28">
        <v>5010</v>
      </c>
      <c r="G338" t="s">
        <v>93</v>
      </c>
      <c r="H338" s="1">
        <v>1876557</v>
      </c>
      <c r="I338" s="1">
        <v>283894.59726654034</v>
      </c>
      <c r="J338" s="1">
        <v>2160451.5972665404</v>
      </c>
    </row>
    <row r="339" spans="1:10" x14ac:dyDescent="0.2">
      <c r="A339">
        <v>2003540</v>
      </c>
      <c r="B339">
        <v>2021</v>
      </c>
      <c r="C339" t="s">
        <v>6</v>
      </c>
      <c r="D339" t="s">
        <v>7</v>
      </c>
      <c r="E339" t="s">
        <v>8</v>
      </c>
      <c r="F339" s="28">
        <v>5010</v>
      </c>
      <c r="G339" t="s">
        <v>93</v>
      </c>
      <c r="H339" s="25">
        <v>1692803</v>
      </c>
      <c r="I339" s="1">
        <v>252723.84259163067</v>
      </c>
      <c r="J339" s="1">
        <v>1945526.8425916308</v>
      </c>
    </row>
    <row r="340" spans="1:10" x14ac:dyDescent="0.2">
      <c r="A340">
        <v>2003540</v>
      </c>
      <c r="B340">
        <v>2022</v>
      </c>
      <c r="C340" t="s">
        <v>6</v>
      </c>
      <c r="D340" t="s">
        <v>7</v>
      </c>
      <c r="E340" t="s">
        <v>8</v>
      </c>
      <c r="F340" s="28">
        <v>5010</v>
      </c>
      <c r="G340" t="s">
        <v>93</v>
      </c>
      <c r="H340" s="1">
        <v>1497968</v>
      </c>
      <c r="I340" s="1">
        <v>203432.37426940925</v>
      </c>
      <c r="J340" s="1">
        <v>1701400.3742694093</v>
      </c>
    </row>
    <row r="341" spans="1:10" x14ac:dyDescent="0.2">
      <c r="A341">
        <v>2003540</v>
      </c>
      <c r="B341">
        <v>2023</v>
      </c>
      <c r="C341" t="s">
        <v>6</v>
      </c>
      <c r="D341" t="s">
        <v>7</v>
      </c>
      <c r="E341" t="s">
        <v>8</v>
      </c>
      <c r="F341" s="28">
        <v>5010</v>
      </c>
      <c r="G341" s="10" t="s">
        <v>93</v>
      </c>
      <c r="H341" s="1">
        <v>1646501</v>
      </c>
      <c r="I341" s="1">
        <v>230515.04045935997</v>
      </c>
      <c r="J341" s="1">
        <v>1877016.04045936</v>
      </c>
    </row>
    <row r="342" spans="1:10" x14ac:dyDescent="0.2">
      <c r="A342">
        <v>2010230</v>
      </c>
      <c r="B342">
        <v>2015</v>
      </c>
      <c r="C342" t="s">
        <v>6</v>
      </c>
      <c r="D342" t="s">
        <v>7</v>
      </c>
      <c r="E342" t="s">
        <v>8</v>
      </c>
      <c r="F342" s="29">
        <v>5011</v>
      </c>
      <c r="G342" s="3" t="s">
        <v>94</v>
      </c>
      <c r="H342" s="27">
        <v>292495</v>
      </c>
      <c r="I342" s="1">
        <v>47113.351816456066</v>
      </c>
      <c r="J342" s="1">
        <v>339608.35181645607</v>
      </c>
    </row>
    <row r="343" spans="1:10" x14ac:dyDescent="0.2">
      <c r="A343">
        <v>2010230</v>
      </c>
      <c r="B343">
        <v>2016</v>
      </c>
      <c r="C343" t="s">
        <v>6</v>
      </c>
      <c r="D343" t="s">
        <v>7</v>
      </c>
      <c r="E343" t="s">
        <v>8</v>
      </c>
      <c r="F343" s="29">
        <v>5011</v>
      </c>
      <c r="G343" s="3" t="s">
        <v>94</v>
      </c>
      <c r="H343" s="1">
        <v>381275</v>
      </c>
      <c r="I343" s="26">
        <v>1006978.817881977</v>
      </c>
      <c r="J343" s="26">
        <v>1388253.817881977</v>
      </c>
    </row>
    <row r="344" spans="1:10" x14ac:dyDescent="0.2">
      <c r="A344">
        <v>2010230</v>
      </c>
      <c r="B344">
        <v>2017</v>
      </c>
      <c r="C344" t="s">
        <v>6</v>
      </c>
      <c r="D344" t="s">
        <v>7</v>
      </c>
      <c r="E344" t="s">
        <v>8</v>
      </c>
      <c r="F344" s="29">
        <v>5011</v>
      </c>
      <c r="G344" s="3" t="s">
        <v>94</v>
      </c>
      <c r="H344" s="1">
        <v>386739</v>
      </c>
      <c r="I344" s="1">
        <v>60352.802546606159</v>
      </c>
      <c r="J344" s="1">
        <v>447091.80254660617</v>
      </c>
    </row>
    <row r="345" spans="1:10" x14ac:dyDescent="0.2">
      <c r="A345">
        <v>2010230</v>
      </c>
      <c r="B345">
        <v>2018</v>
      </c>
      <c r="C345" t="s">
        <v>6</v>
      </c>
      <c r="D345" t="s">
        <v>7</v>
      </c>
      <c r="E345" t="s">
        <v>8</v>
      </c>
      <c r="F345" s="28">
        <v>5011</v>
      </c>
      <c r="G345" t="s">
        <v>94</v>
      </c>
      <c r="H345" s="1">
        <v>479264</v>
      </c>
      <c r="I345" s="1">
        <v>72473.989287917968</v>
      </c>
      <c r="J345" s="1">
        <v>551737.98928791797</v>
      </c>
    </row>
    <row r="346" spans="1:10" x14ac:dyDescent="0.2">
      <c r="A346">
        <v>2010230</v>
      </c>
      <c r="B346">
        <v>2019</v>
      </c>
      <c r="C346" t="s">
        <v>6</v>
      </c>
      <c r="D346" t="s">
        <v>7</v>
      </c>
      <c r="E346" t="s">
        <v>8</v>
      </c>
      <c r="F346" s="28">
        <v>5011</v>
      </c>
      <c r="G346" t="s">
        <v>94</v>
      </c>
      <c r="H346" s="1">
        <v>535856</v>
      </c>
      <c r="I346" s="1">
        <v>81609.701640873463</v>
      </c>
      <c r="J346" s="1">
        <v>617465.70164087345</v>
      </c>
    </row>
    <row r="347" spans="1:10" x14ac:dyDescent="0.2">
      <c r="A347">
        <v>2010230</v>
      </c>
      <c r="B347">
        <v>2020</v>
      </c>
      <c r="C347" t="s">
        <v>6</v>
      </c>
      <c r="D347" t="s">
        <v>7</v>
      </c>
      <c r="E347" t="s">
        <v>8</v>
      </c>
      <c r="F347" s="28">
        <v>5011</v>
      </c>
      <c r="G347" t="s">
        <v>94</v>
      </c>
      <c r="H347" s="1">
        <v>595267</v>
      </c>
      <c r="I347" s="1">
        <v>90054.863897585659</v>
      </c>
      <c r="J347" s="1">
        <v>685321.86389758566</v>
      </c>
    </row>
    <row r="348" spans="1:10" x14ac:dyDescent="0.2">
      <c r="A348">
        <v>2010230</v>
      </c>
      <c r="B348">
        <v>2021</v>
      </c>
      <c r="C348" t="s">
        <v>6</v>
      </c>
      <c r="D348" t="s">
        <v>7</v>
      </c>
      <c r="E348" t="s">
        <v>8</v>
      </c>
      <c r="F348" s="28">
        <v>5011</v>
      </c>
      <c r="G348" t="s">
        <v>94</v>
      </c>
      <c r="H348" s="25">
        <v>587086</v>
      </c>
      <c r="I348" s="1">
        <v>87647.901056265895</v>
      </c>
      <c r="J348" s="1">
        <v>674733.90105626592</v>
      </c>
    </row>
    <row r="349" spans="1:10" x14ac:dyDescent="0.2">
      <c r="A349">
        <v>2010230</v>
      </c>
      <c r="B349">
        <v>2022</v>
      </c>
      <c r="C349" t="s">
        <v>6</v>
      </c>
      <c r="D349" t="s">
        <v>7</v>
      </c>
      <c r="E349" t="s">
        <v>8</v>
      </c>
      <c r="F349" s="28">
        <v>5011</v>
      </c>
      <c r="G349" t="s">
        <v>94</v>
      </c>
      <c r="H349" s="1">
        <v>606812</v>
      </c>
      <c r="I349" s="1">
        <v>82408.439896692566</v>
      </c>
      <c r="J349" s="1">
        <v>689220.43989669252</v>
      </c>
    </row>
    <row r="350" spans="1:10" x14ac:dyDescent="0.2">
      <c r="A350">
        <v>2010230</v>
      </c>
      <c r="B350">
        <v>2023</v>
      </c>
      <c r="C350" t="s">
        <v>6</v>
      </c>
      <c r="D350" t="s">
        <v>7</v>
      </c>
      <c r="E350" t="s">
        <v>8</v>
      </c>
      <c r="F350" s="28">
        <v>5011</v>
      </c>
      <c r="G350" s="10" t="s">
        <v>94</v>
      </c>
      <c r="H350" s="1">
        <v>612739</v>
      </c>
      <c r="I350" s="1">
        <v>85785.283687059869</v>
      </c>
      <c r="J350" s="1">
        <v>698524.28368705988</v>
      </c>
    </row>
    <row r="351" spans="1:10" x14ac:dyDescent="0.2">
      <c r="A351">
        <v>2009000</v>
      </c>
      <c r="B351">
        <v>2015</v>
      </c>
      <c r="C351" t="s">
        <v>6</v>
      </c>
      <c r="D351" t="s">
        <v>7</v>
      </c>
      <c r="E351" t="s">
        <v>8</v>
      </c>
      <c r="F351" s="29">
        <v>5012</v>
      </c>
      <c r="G351" s="3" t="s">
        <v>95</v>
      </c>
      <c r="H351" s="27">
        <v>216871</v>
      </c>
      <c r="I351" s="1">
        <v>34932.288489672108</v>
      </c>
      <c r="J351" s="1">
        <v>251803.28848967212</v>
      </c>
    </row>
    <row r="352" spans="1:10" x14ac:dyDescent="0.2">
      <c r="A352">
        <v>2009000</v>
      </c>
      <c r="B352">
        <v>2016</v>
      </c>
      <c r="C352" t="s">
        <v>6</v>
      </c>
      <c r="D352" t="s">
        <v>7</v>
      </c>
      <c r="E352" t="s">
        <v>8</v>
      </c>
      <c r="F352" s="29">
        <v>5012</v>
      </c>
      <c r="G352" s="3" t="s">
        <v>95</v>
      </c>
      <c r="H352" s="1">
        <v>232768</v>
      </c>
      <c r="I352" s="26">
        <v>614755.61840861873</v>
      </c>
      <c r="J352" s="26">
        <v>847523.61840861873</v>
      </c>
    </row>
    <row r="353" spans="1:10" x14ac:dyDescent="0.2">
      <c r="A353">
        <v>2009000</v>
      </c>
      <c r="B353">
        <v>2017</v>
      </c>
      <c r="C353" t="s">
        <v>6</v>
      </c>
      <c r="D353" t="s">
        <v>7</v>
      </c>
      <c r="E353" t="s">
        <v>8</v>
      </c>
      <c r="F353" s="29">
        <v>5012</v>
      </c>
      <c r="G353" s="3" t="s">
        <v>95</v>
      </c>
      <c r="H353" s="1">
        <v>244959</v>
      </c>
      <c r="I353" s="1">
        <v>38227.233764926983</v>
      </c>
      <c r="J353" s="1">
        <v>283186.23376492696</v>
      </c>
    </row>
    <row r="354" spans="1:10" x14ac:dyDescent="0.2">
      <c r="A354">
        <v>2009000</v>
      </c>
      <c r="B354">
        <v>2018</v>
      </c>
      <c r="C354" t="s">
        <v>6</v>
      </c>
      <c r="D354" t="s">
        <v>7</v>
      </c>
      <c r="E354" t="s">
        <v>8</v>
      </c>
      <c r="F354" s="28">
        <v>5012</v>
      </c>
      <c r="G354" t="s">
        <v>95</v>
      </c>
      <c r="H354" s="1">
        <v>316427</v>
      </c>
      <c r="I354" s="1">
        <v>47849.884423632939</v>
      </c>
      <c r="J354" s="1">
        <v>364276.88442363293</v>
      </c>
    </row>
    <row r="355" spans="1:10" x14ac:dyDescent="0.2">
      <c r="A355">
        <v>2009000</v>
      </c>
      <c r="B355">
        <v>2019</v>
      </c>
      <c r="C355" t="s">
        <v>6</v>
      </c>
      <c r="D355" t="s">
        <v>7</v>
      </c>
      <c r="E355" t="s">
        <v>8</v>
      </c>
      <c r="F355" s="28">
        <v>5012</v>
      </c>
      <c r="G355" t="s">
        <v>95</v>
      </c>
      <c r="H355" s="1">
        <v>344489</v>
      </c>
      <c r="I355" s="1">
        <v>52464.924361326288</v>
      </c>
      <c r="J355" s="1">
        <v>396953.92436132627</v>
      </c>
    </row>
    <row r="356" spans="1:10" x14ac:dyDescent="0.2">
      <c r="A356">
        <v>2009000</v>
      </c>
      <c r="B356">
        <v>2020</v>
      </c>
      <c r="C356" t="s">
        <v>6</v>
      </c>
      <c r="D356" t="s">
        <v>7</v>
      </c>
      <c r="E356" t="s">
        <v>8</v>
      </c>
      <c r="F356" s="28">
        <v>5012</v>
      </c>
      <c r="G356" t="s">
        <v>95</v>
      </c>
      <c r="H356" s="1">
        <v>377694</v>
      </c>
      <c r="I356" s="1">
        <v>57139.370677250241</v>
      </c>
      <c r="J356" s="1">
        <v>434833.37067725026</v>
      </c>
    </row>
    <row r="357" spans="1:10" x14ac:dyDescent="0.2">
      <c r="A357">
        <v>2009000</v>
      </c>
      <c r="B357">
        <v>2021</v>
      </c>
      <c r="C357" t="s">
        <v>6</v>
      </c>
      <c r="D357" t="s">
        <v>7</v>
      </c>
      <c r="E357" t="s">
        <v>8</v>
      </c>
      <c r="F357" s="28">
        <v>5012</v>
      </c>
      <c r="G357" t="s">
        <v>95</v>
      </c>
      <c r="H357" s="25">
        <v>386506</v>
      </c>
      <c r="I357" s="1">
        <v>57702.686907289746</v>
      </c>
      <c r="J357" s="1">
        <v>444208.68690728972</v>
      </c>
    </row>
    <row r="358" spans="1:10" x14ac:dyDescent="0.2">
      <c r="A358">
        <v>2009000</v>
      </c>
      <c r="B358">
        <v>2022</v>
      </c>
      <c r="C358" t="s">
        <v>6</v>
      </c>
      <c r="D358" t="s">
        <v>7</v>
      </c>
      <c r="E358" t="s">
        <v>8</v>
      </c>
      <c r="F358" s="28">
        <v>5012</v>
      </c>
      <c r="G358" t="s">
        <v>95</v>
      </c>
      <c r="H358" s="1">
        <v>394071</v>
      </c>
      <c r="I358" s="1">
        <v>53517.030511146011</v>
      </c>
      <c r="J358" s="1">
        <v>447588.030511146</v>
      </c>
    </row>
    <row r="359" spans="1:10" x14ac:dyDescent="0.2">
      <c r="A359">
        <v>2009000</v>
      </c>
      <c r="B359">
        <v>2023</v>
      </c>
      <c r="C359" t="s">
        <v>6</v>
      </c>
      <c r="D359" t="s">
        <v>7</v>
      </c>
      <c r="E359" t="s">
        <v>8</v>
      </c>
      <c r="F359" s="28">
        <v>5012</v>
      </c>
      <c r="G359" s="10" t="s">
        <v>95</v>
      </c>
      <c r="H359" s="1">
        <v>401009</v>
      </c>
      <c r="I359" s="1">
        <v>56142.453517834168</v>
      </c>
      <c r="J359" s="1">
        <v>457151.45351783419</v>
      </c>
    </row>
    <row r="360" spans="1:10" x14ac:dyDescent="0.2">
      <c r="A360">
        <v>2005580</v>
      </c>
      <c r="B360">
        <v>2015</v>
      </c>
      <c r="C360" t="s">
        <v>6</v>
      </c>
      <c r="D360" t="s">
        <v>7</v>
      </c>
      <c r="E360" t="s">
        <v>8</v>
      </c>
      <c r="F360" s="29">
        <v>5013</v>
      </c>
      <c r="G360" s="3" t="s">
        <v>96</v>
      </c>
      <c r="H360" s="27">
        <v>4068536</v>
      </c>
      <c r="I360" s="1">
        <v>655335.53717471031</v>
      </c>
      <c r="J360" s="1">
        <v>4723871.5371747101</v>
      </c>
    </row>
    <row r="361" spans="1:10" x14ac:dyDescent="0.2">
      <c r="A361">
        <v>2005580</v>
      </c>
      <c r="B361">
        <v>2016</v>
      </c>
      <c r="C361" t="s">
        <v>6</v>
      </c>
      <c r="D361" t="s">
        <v>7</v>
      </c>
      <c r="E361" t="s">
        <v>8</v>
      </c>
      <c r="F361" s="29">
        <v>5013</v>
      </c>
      <c r="G361" s="3" t="s">
        <v>96</v>
      </c>
      <c r="H361" s="1">
        <v>4785134</v>
      </c>
      <c r="I361" s="26">
        <v>12637968.919789042</v>
      </c>
      <c r="J361" s="26">
        <v>17423102.919789042</v>
      </c>
    </row>
    <row r="362" spans="1:10" x14ac:dyDescent="0.2">
      <c r="A362">
        <v>2005580</v>
      </c>
      <c r="B362">
        <v>2017</v>
      </c>
      <c r="C362" t="s">
        <v>6</v>
      </c>
      <c r="D362" t="s">
        <v>7</v>
      </c>
      <c r="E362" t="s">
        <v>8</v>
      </c>
      <c r="F362" s="29">
        <v>5013</v>
      </c>
      <c r="G362" s="3" t="s">
        <v>96</v>
      </c>
      <c r="H362" s="1">
        <v>4626910</v>
      </c>
      <c r="I362" s="1">
        <v>722055.40592212707</v>
      </c>
      <c r="J362" s="1">
        <v>5348965.405922127</v>
      </c>
    </row>
    <row r="363" spans="1:10" x14ac:dyDescent="0.2">
      <c r="A363">
        <v>2005580</v>
      </c>
      <c r="B363">
        <v>2018</v>
      </c>
      <c r="C363" t="s">
        <v>6</v>
      </c>
      <c r="D363" t="s">
        <v>7</v>
      </c>
      <c r="E363" t="s">
        <v>8</v>
      </c>
      <c r="F363" s="28">
        <v>5013</v>
      </c>
      <c r="G363" t="s">
        <v>96</v>
      </c>
      <c r="H363" s="1">
        <v>5497940</v>
      </c>
      <c r="I363" s="1">
        <v>831394.89856449829</v>
      </c>
      <c r="J363" s="1">
        <v>6329334.8985644979</v>
      </c>
    </row>
    <row r="364" spans="1:10" x14ac:dyDescent="0.2">
      <c r="A364">
        <v>2005580</v>
      </c>
      <c r="B364">
        <v>2019</v>
      </c>
      <c r="C364" t="s">
        <v>6</v>
      </c>
      <c r="D364" t="s">
        <v>7</v>
      </c>
      <c r="E364" t="s">
        <v>8</v>
      </c>
      <c r="F364" s="28">
        <v>5013</v>
      </c>
      <c r="G364" t="s">
        <v>96</v>
      </c>
      <c r="H364" s="1">
        <v>6746387</v>
      </c>
      <c r="I364" s="1">
        <v>1027460.0456538089</v>
      </c>
      <c r="J364" s="1">
        <v>7773847.0456538089</v>
      </c>
    </row>
    <row r="365" spans="1:10" x14ac:dyDescent="0.2">
      <c r="A365">
        <v>2005580</v>
      </c>
      <c r="B365">
        <v>2020</v>
      </c>
      <c r="C365" t="s">
        <v>6</v>
      </c>
      <c r="D365" t="s">
        <v>7</v>
      </c>
      <c r="E365" t="s">
        <v>8</v>
      </c>
      <c r="F365" s="28">
        <v>5013</v>
      </c>
      <c r="G365" t="s">
        <v>355</v>
      </c>
      <c r="H365" s="1">
        <v>7273752</v>
      </c>
      <c r="I365" s="1">
        <v>1100408.2980994941</v>
      </c>
      <c r="J365" s="1">
        <v>8374160.2980994936</v>
      </c>
    </row>
    <row r="366" spans="1:10" x14ac:dyDescent="0.2">
      <c r="A366">
        <v>2005580</v>
      </c>
      <c r="B366">
        <v>2021</v>
      </c>
      <c r="C366" t="s">
        <v>6</v>
      </c>
      <c r="D366" t="s">
        <v>7</v>
      </c>
      <c r="E366" t="s">
        <v>8</v>
      </c>
      <c r="F366" s="28">
        <v>5013</v>
      </c>
      <c r="G366" t="s">
        <v>355</v>
      </c>
      <c r="H366" s="25">
        <v>7482992</v>
      </c>
      <c r="I366" s="1">
        <v>1117159.2278147142</v>
      </c>
      <c r="J366" s="1">
        <v>8600151.2278147135</v>
      </c>
    </row>
    <row r="367" spans="1:10" x14ac:dyDescent="0.2">
      <c r="A367">
        <v>2005580</v>
      </c>
      <c r="B367">
        <v>2022</v>
      </c>
      <c r="C367" t="s">
        <v>6</v>
      </c>
      <c r="D367" t="s">
        <v>7</v>
      </c>
      <c r="E367" t="s">
        <v>8</v>
      </c>
      <c r="F367" s="28">
        <v>5013</v>
      </c>
      <c r="G367" t="s">
        <v>96</v>
      </c>
      <c r="H367" s="1">
        <v>7152808</v>
      </c>
      <c r="I367" s="1">
        <v>971391.05383641343</v>
      </c>
      <c r="J367" s="1">
        <v>8124199.0538364137</v>
      </c>
    </row>
    <row r="368" spans="1:10" x14ac:dyDescent="0.2">
      <c r="A368">
        <v>2005580</v>
      </c>
      <c r="B368">
        <v>2023</v>
      </c>
      <c r="C368" t="s">
        <v>6</v>
      </c>
      <c r="D368" t="s">
        <v>7</v>
      </c>
      <c r="E368" t="s">
        <v>8</v>
      </c>
      <c r="F368" s="28">
        <v>5013</v>
      </c>
      <c r="G368" s="10" t="s">
        <v>96</v>
      </c>
      <c r="H368" s="1">
        <v>7658423</v>
      </c>
      <c r="I368" s="1">
        <v>1072202.0136640626</v>
      </c>
      <c r="J368" s="1">
        <v>8730625.0136640631</v>
      </c>
    </row>
    <row r="369" spans="1:10" x14ac:dyDescent="0.2">
      <c r="A369">
        <v>2007650</v>
      </c>
      <c r="B369">
        <v>2015</v>
      </c>
      <c r="C369" t="s">
        <v>6</v>
      </c>
      <c r="D369" t="s">
        <v>7</v>
      </c>
      <c r="E369" t="s">
        <v>8</v>
      </c>
      <c r="F369" s="29">
        <v>5014</v>
      </c>
      <c r="G369" s="3" t="s">
        <v>97</v>
      </c>
      <c r="H369" s="27">
        <v>1046996</v>
      </c>
      <c r="I369" s="1">
        <v>168643.87732584227</v>
      </c>
      <c r="J369" s="1">
        <v>1215639.8773258422</v>
      </c>
    </row>
    <row r="370" spans="1:10" x14ac:dyDescent="0.2">
      <c r="A370">
        <v>2007650</v>
      </c>
      <c r="B370">
        <v>2016</v>
      </c>
      <c r="C370" t="s">
        <v>6</v>
      </c>
      <c r="D370" t="s">
        <v>7</v>
      </c>
      <c r="E370" t="s">
        <v>8</v>
      </c>
      <c r="F370" s="29">
        <v>5014</v>
      </c>
      <c r="G370" s="3" t="s">
        <v>97</v>
      </c>
      <c r="H370" s="1">
        <v>1132261</v>
      </c>
      <c r="I370" s="26">
        <v>2990399.5797840832</v>
      </c>
      <c r="J370" s="26">
        <v>4122660.5797840832</v>
      </c>
    </row>
    <row r="371" spans="1:10" x14ac:dyDescent="0.2">
      <c r="A371">
        <v>2007650</v>
      </c>
      <c r="B371">
        <v>2017</v>
      </c>
      <c r="C371" t="s">
        <v>6</v>
      </c>
      <c r="D371" t="s">
        <v>7</v>
      </c>
      <c r="E371" t="s">
        <v>8</v>
      </c>
      <c r="F371" s="29">
        <v>5014</v>
      </c>
      <c r="G371" s="3" t="s">
        <v>97</v>
      </c>
      <c r="H371" s="1">
        <v>1182900</v>
      </c>
      <c r="I371" s="1">
        <v>184598.21774473332</v>
      </c>
      <c r="J371" s="1">
        <v>1367498.2177447332</v>
      </c>
    </row>
    <row r="372" spans="1:10" x14ac:dyDescent="0.2">
      <c r="A372">
        <v>2007650</v>
      </c>
      <c r="B372">
        <v>2018</v>
      </c>
      <c r="C372" t="s">
        <v>6</v>
      </c>
      <c r="D372" t="s">
        <v>7</v>
      </c>
      <c r="E372" t="s">
        <v>8</v>
      </c>
      <c r="F372" s="28">
        <v>5014</v>
      </c>
      <c r="G372" t="s">
        <v>97</v>
      </c>
      <c r="H372" s="1">
        <v>1365518</v>
      </c>
      <c r="I372" s="1">
        <v>206492.74075344522</v>
      </c>
      <c r="J372" s="1">
        <v>1572010.7407534453</v>
      </c>
    </row>
    <row r="373" spans="1:10" x14ac:dyDescent="0.2">
      <c r="A373">
        <v>2007650</v>
      </c>
      <c r="B373">
        <v>2019</v>
      </c>
      <c r="C373" t="s">
        <v>6</v>
      </c>
      <c r="D373" t="s">
        <v>7</v>
      </c>
      <c r="E373" t="s">
        <v>8</v>
      </c>
      <c r="F373" s="28">
        <v>5014</v>
      </c>
      <c r="G373" t="s">
        <v>97</v>
      </c>
      <c r="H373" s="1">
        <v>1512165</v>
      </c>
      <c r="I373" s="1">
        <v>230299.4358218839</v>
      </c>
      <c r="J373" s="1">
        <v>1742464.4358218838</v>
      </c>
    </row>
    <row r="374" spans="1:10" x14ac:dyDescent="0.2">
      <c r="A374">
        <v>2007650</v>
      </c>
      <c r="B374">
        <v>2020</v>
      </c>
      <c r="C374" t="s">
        <v>6</v>
      </c>
      <c r="D374" t="s">
        <v>7</v>
      </c>
      <c r="E374" t="s">
        <v>8</v>
      </c>
      <c r="F374" s="28">
        <v>5014</v>
      </c>
      <c r="G374" t="s">
        <v>97</v>
      </c>
      <c r="H374" s="1">
        <v>1684928</v>
      </c>
      <c r="I374" s="1">
        <v>254904.03754488524</v>
      </c>
      <c r="J374" s="1">
        <v>1939832.0375448852</v>
      </c>
    </row>
    <row r="375" spans="1:10" x14ac:dyDescent="0.2">
      <c r="A375">
        <v>2007650</v>
      </c>
      <c r="B375">
        <v>2021</v>
      </c>
      <c r="C375" t="s">
        <v>6</v>
      </c>
      <c r="D375" t="s">
        <v>7</v>
      </c>
      <c r="E375" t="s">
        <v>8</v>
      </c>
      <c r="F375" s="28">
        <v>5014</v>
      </c>
      <c r="G375" t="s">
        <v>97</v>
      </c>
      <c r="H375" s="25">
        <v>1530355</v>
      </c>
      <c r="I375" s="1">
        <v>228471.47372099114</v>
      </c>
      <c r="J375" s="1">
        <v>1758826.4737209911</v>
      </c>
    </row>
    <row r="376" spans="1:10" x14ac:dyDescent="0.2">
      <c r="A376">
        <v>2007650</v>
      </c>
      <c r="B376">
        <v>2022</v>
      </c>
      <c r="C376" t="s">
        <v>6</v>
      </c>
      <c r="D376" t="s">
        <v>7</v>
      </c>
      <c r="E376" t="s">
        <v>8</v>
      </c>
      <c r="F376" s="28">
        <v>5014</v>
      </c>
      <c r="G376" t="s">
        <v>97</v>
      </c>
      <c r="H376" s="1">
        <v>1617165</v>
      </c>
      <c r="I376" s="1">
        <v>219619.98890189189</v>
      </c>
      <c r="J376" s="1">
        <v>1836784.988901892</v>
      </c>
    </row>
    <row r="377" spans="1:10" x14ac:dyDescent="0.2">
      <c r="A377">
        <v>2007650</v>
      </c>
      <c r="B377">
        <v>2023</v>
      </c>
      <c r="C377" t="s">
        <v>6</v>
      </c>
      <c r="D377" t="s">
        <v>7</v>
      </c>
      <c r="E377" t="s">
        <v>8</v>
      </c>
      <c r="F377" s="28">
        <v>5014</v>
      </c>
      <c r="G377" s="10" t="s">
        <v>97</v>
      </c>
      <c r="H377" s="1">
        <v>1658615</v>
      </c>
      <c r="I377" s="1">
        <v>232211.03651409951</v>
      </c>
      <c r="J377" s="1">
        <v>1890826.0365140995</v>
      </c>
    </row>
    <row r="378" spans="1:10" x14ac:dyDescent="0.2">
      <c r="A378">
        <v>2007710</v>
      </c>
      <c r="B378">
        <v>2015</v>
      </c>
      <c r="C378" t="s">
        <v>6</v>
      </c>
      <c r="D378" t="s">
        <v>7</v>
      </c>
      <c r="E378" t="s">
        <v>8</v>
      </c>
      <c r="F378" s="29">
        <v>5015</v>
      </c>
      <c r="G378" s="3" t="s">
        <v>98</v>
      </c>
      <c r="H378" s="27">
        <v>281374</v>
      </c>
      <c r="I378" s="1">
        <v>45322.047399112838</v>
      </c>
      <c r="J378" s="1">
        <v>326696.04739911284</v>
      </c>
    </row>
    <row r="379" spans="1:10" x14ac:dyDescent="0.2">
      <c r="A379">
        <v>2007710</v>
      </c>
      <c r="B379">
        <v>2016</v>
      </c>
      <c r="C379" t="s">
        <v>6</v>
      </c>
      <c r="D379" t="s">
        <v>7</v>
      </c>
      <c r="E379" t="s">
        <v>8</v>
      </c>
      <c r="F379" s="29">
        <v>5015</v>
      </c>
      <c r="G379" s="3" t="s">
        <v>98</v>
      </c>
      <c r="H379" s="1">
        <v>264405</v>
      </c>
      <c r="I379" s="26">
        <v>698317.34325476165</v>
      </c>
      <c r="J379" s="26">
        <v>962722.34325476165</v>
      </c>
    </row>
    <row r="380" spans="1:10" x14ac:dyDescent="0.2">
      <c r="A380">
        <v>2007710</v>
      </c>
      <c r="B380">
        <v>2017</v>
      </c>
      <c r="C380" t="s">
        <v>6</v>
      </c>
      <c r="D380" t="s">
        <v>7</v>
      </c>
      <c r="E380" t="s">
        <v>8</v>
      </c>
      <c r="F380" s="29">
        <v>5015</v>
      </c>
      <c r="G380" s="3" t="s">
        <v>98</v>
      </c>
      <c r="H380" s="1">
        <v>316889</v>
      </c>
      <c r="I380" s="1">
        <v>49452.316022411695</v>
      </c>
      <c r="J380" s="1">
        <v>366341.31602241169</v>
      </c>
    </row>
    <row r="381" spans="1:10" x14ac:dyDescent="0.2">
      <c r="A381">
        <v>2007710</v>
      </c>
      <c r="B381">
        <v>2018</v>
      </c>
      <c r="C381" t="s">
        <v>6</v>
      </c>
      <c r="D381" t="s">
        <v>7</v>
      </c>
      <c r="E381" t="s">
        <v>8</v>
      </c>
      <c r="F381" s="28">
        <v>5015</v>
      </c>
      <c r="G381" t="s">
        <v>98</v>
      </c>
      <c r="H381" s="1">
        <v>320706</v>
      </c>
      <c r="I381" s="1">
        <v>48496.952010939734</v>
      </c>
      <c r="J381" s="1">
        <v>369202.95201093971</v>
      </c>
    </row>
    <row r="382" spans="1:10" x14ac:dyDescent="0.2">
      <c r="A382">
        <v>2007710</v>
      </c>
      <c r="B382">
        <v>2019</v>
      </c>
      <c r="C382" t="s">
        <v>6</v>
      </c>
      <c r="D382" t="s">
        <v>7</v>
      </c>
      <c r="E382" t="s">
        <v>8</v>
      </c>
      <c r="F382" s="28">
        <v>5015</v>
      </c>
      <c r="G382" t="s">
        <v>98</v>
      </c>
      <c r="H382" s="1">
        <v>390701</v>
      </c>
      <c r="I382" s="1">
        <v>59502.911306005539</v>
      </c>
      <c r="J382" s="1">
        <v>450203.91130600555</v>
      </c>
    </row>
    <row r="383" spans="1:10" x14ac:dyDescent="0.2">
      <c r="A383">
        <v>2007710</v>
      </c>
      <c r="B383">
        <v>2020</v>
      </c>
      <c r="C383" t="s">
        <v>6</v>
      </c>
      <c r="D383" t="s">
        <v>7</v>
      </c>
      <c r="E383" t="s">
        <v>8</v>
      </c>
      <c r="F383" s="28">
        <v>5015</v>
      </c>
      <c r="G383" t="s">
        <v>98</v>
      </c>
      <c r="H383" s="1">
        <v>426909</v>
      </c>
      <c r="I383" s="1">
        <v>64584.853337501321</v>
      </c>
      <c r="J383" s="1">
        <v>491493.85333750129</v>
      </c>
    </row>
    <row r="384" spans="1:10" x14ac:dyDescent="0.2">
      <c r="A384">
        <v>2007710</v>
      </c>
      <c r="B384">
        <v>2021</v>
      </c>
      <c r="C384" t="s">
        <v>6</v>
      </c>
      <c r="D384" t="s">
        <v>7</v>
      </c>
      <c r="E384" t="s">
        <v>8</v>
      </c>
      <c r="F384" s="28">
        <v>5015</v>
      </c>
      <c r="G384" t="s">
        <v>98</v>
      </c>
      <c r="H384" s="25">
        <v>428165</v>
      </c>
      <c r="I384" s="1">
        <v>63922.089022317152</v>
      </c>
      <c r="J384" s="1">
        <v>492087.08902231714</v>
      </c>
    </row>
    <row r="385" spans="1:10" x14ac:dyDescent="0.2">
      <c r="A385">
        <v>2007710</v>
      </c>
      <c r="B385">
        <v>2022</v>
      </c>
      <c r="C385" t="s">
        <v>6</v>
      </c>
      <c r="D385" t="s">
        <v>7</v>
      </c>
      <c r="E385" t="s">
        <v>8</v>
      </c>
      <c r="F385" s="28">
        <v>5015</v>
      </c>
      <c r="G385" t="s">
        <v>98</v>
      </c>
      <c r="H385" s="1">
        <v>421652</v>
      </c>
      <c r="I385" s="1">
        <v>57262.683498876446</v>
      </c>
      <c r="J385" s="1">
        <v>478914.68349887646</v>
      </c>
    </row>
    <row r="386" spans="1:10" x14ac:dyDescent="0.2">
      <c r="A386">
        <v>2007710</v>
      </c>
      <c r="B386">
        <v>2023</v>
      </c>
      <c r="C386" t="s">
        <v>6</v>
      </c>
      <c r="D386" t="s">
        <v>7</v>
      </c>
      <c r="E386" t="s">
        <v>8</v>
      </c>
      <c r="F386" s="28">
        <v>5015</v>
      </c>
      <c r="G386" s="10" t="s">
        <v>98</v>
      </c>
      <c r="H386" s="1">
        <v>421646</v>
      </c>
      <c r="I386" s="1">
        <v>59031.694939466957</v>
      </c>
      <c r="J386" s="1">
        <v>480677.69493946695</v>
      </c>
    </row>
    <row r="387" spans="1:10" x14ac:dyDescent="0.2">
      <c r="A387">
        <v>2005640</v>
      </c>
      <c r="B387">
        <v>2015</v>
      </c>
      <c r="C387" t="s">
        <v>6</v>
      </c>
      <c r="D387" t="s">
        <v>7</v>
      </c>
      <c r="E387" t="s">
        <v>8</v>
      </c>
      <c r="F387" s="29">
        <v>5016</v>
      </c>
      <c r="G387" s="3" t="s">
        <v>99</v>
      </c>
      <c r="H387" s="27">
        <v>366770</v>
      </c>
      <c r="I387" s="1">
        <v>59077.126261035541</v>
      </c>
      <c r="J387" s="1">
        <v>425847.12626103556</v>
      </c>
    </row>
    <row r="388" spans="1:10" x14ac:dyDescent="0.2">
      <c r="A388">
        <v>2005640</v>
      </c>
      <c r="B388">
        <v>2016</v>
      </c>
      <c r="C388" t="s">
        <v>6</v>
      </c>
      <c r="D388" t="s">
        <v>7</v>
      </c>
      <c r="E388" t="s">
        <v>8</v>
      </c>
      <c r="F388" s="29">
        <v>5016</v>
      </c>
      <c r="G388" s="3" t="s">
        <v>99</v>
      </c>
      <c r="H388" s="1">
        <v>407650</v>
      </c>
      <c r="I388" s="26">
        <v>1076642.3775136685</v>
      </c>
      <c r="J388" s="26">
        <v>1484292.3775136685</v>
      </c>
    </row>
    <row r="389" spans="1:10" x14ac:dyDescent="0.2">
      <c r="A389">
        <v>2005640</v>
      </c>
      <c r="B389">
        <v>2017</v>
      </c>
      <c r="C389" t="s">
        <v>6</v>
      </c>
      <c r="D389" t="s">
        <v>7</v>
      </c>
      <c r="E389" t="s">
        <v>8</v>
      </c>
      <c r="F389" s="29">
        <v>5016</v>
      </c>
      <c r="G389" s="3" t="s">
        <v>99</v>
      </c>
      <c r="H389" s="1">
        <v>411709</v>
      </c>
      <c r="I389" s="1">
        <v>64249.511902499296</v>
      </c>
      <c r="J389" s="1">
        <v>475958.5119024993</v>
      </c>
    </row>
    <row r="390" spans="1:10" x14ac:dyDescent="0.2">
      <c r="A390">
        <v>2005640</v>
      </c>
      <c r="B390">
        <v>2018</v>
      </c>
      <c r="C390" t="s">
        <v>6</v>
      </c>
      <c r="D390" t="s">
        <v>7</v>
      </c>
      <c r="E390" t="s">
        <v>8</v>
      </c>
      <c r="F390" s="28">
        <v>5016</v>
      </c>
      <c r="G390" t="s">
        <v>99</v>
      </c>
      <c r="H390" s="1">
        <v>471611</v>
      </c>
      <c r="I390" s="1">
        <v>71316.707622655318</v>
      </c>
      <c r="J390" s="1">
        <v>542927.70762265532</v>
      </c>
    </row>
    <row r="391" spans="1:10" x14ac:dyDescent="0.2">
      <c r="A391">
        <v>2005640</v>
      </c>
      <c r="B391">
        <v>2019</v>
      </c>
      <c r="C391" t="s">
        <v>6</v>
      </c>
      <c r="D391" t="s">
        <v>7</v>
      </c>
      <c r="E391" t="s">
        <v>8</v>
      </c>
      <c r="F391" s="28">
        <v>5016</v>
      </c>
      <c r="G391" t="s">
        <v>99</v>
      </c>
      <c r="H391" s="1">
        <v>504210</v>
      </c>
      <c r="I391" s="1">
        <v>76790.084769685898</v>
      </c>
      <c r="J391" s="1">
        <v>581000.08476968587</v>
      </c>
    </row>
    <row r="392" spans="1:10" x14ac:dyDescent="0.2">
      <c r="A392">
        <v>2005640</v>
      </c>
      <c r="B392">
        <v>2020</v>
      </c>
      <c r="C392" t="s">
        <v>6</v>
      </c>
      <c r="D392" t="s">
        <v>7</v>
      </c>
      <c r="E392" t="s">
        <v>8</v>
      </c>
      <c r="F392" s="28">
        <v>5016</v>
      </c>
      <c r="G392" t="s">
        <v>99</v>
      </c>
      <c r="H392" s="1">
        <v>578462</v>
      </c>
      <c r="I392" s="1">
        <v>87512.522414185907</v>
      </c>
      <c r="J392" s="1">
        <v>665974.52241418592</v>
      </c>
    </row>
    <row r="393" spans="1:10" x14ac:dyDescent="0.2">
      <c r="A393">
        <v>2005640</v>
      </c>
      <c r="B393">
        <v>2021</v>
      </c>
      <c r="C393" t="s">
        <v>6</v>
      </c>
      <c r="D393" t="s">
        <v>7</v>
      </c>
      <c r="E393" t="s">
        <v>8</v>
      </c>
      <c r="F393" s="28">
        <v>5016</v>
      </c>
      <c r="G393" t="s">
        <v>99</v>
      </c>
      <c r="H393" s="25">
        <v>586407</v>
      </c>
      <c r="I393" s="1">
        <v>87546.531027314093</v>
      </c>
      <c r="J393" s="1">
        <v>673953.53102731414</v>
      </c>
    </row>
    <row r="394" spans="1:10" x14ac:dyDescent="0.2">
      <c r="A394">
        <v>2005640</v>
      </c>
      <c r="B394">
        <v>2022</v>
      </c>
      <c r="C394" t="s">
        <v>6</v>
      </c>
      <c r="D394" t="s">
        <v>7</v>
      </c>
      <c r="E394" t="s">
        <v>8</v>
      </c>
      <c r="F394" s="28">
        <v>5016</v>
      </c>
      <c r="G394" t="s">
        <v>99</v>
      </c>
      <c r="H394" s="1">
        <v>581189</v>
      </c>
      <c r="I394" s="1">
        <v>78928.694183896921</v>
      </c>
      <c r="J394" s="1">
        <v>660117.69418389688</v>
      </c>
    </row>
    <row r="395" spans="1:10" x14ac:dyDescent="0.2">
      <c r="A395">
        <v>2005640</v>
      </c>
      <c r="B395">
        <v>2023</v>
      </c>
      <c r="C395" t="s">
        <v>6</v>
      </c>
      <c r="D395" t="s">
        <v>7</v>
      </c>
      <c r="E395" t="s">
        <v>8</v>
      </c>
      <c r="F395" s="28">
        <v>5016</v>
      </c>
      <c r="G395" s="10" t="s">
        <v>99</v>
      </c>
      <c r="H395" s="1">
        <v>612351</v>
      </c>
      <c r="I395" s="1">
        <v>85730.962532260557</v>
      </c>
      <c r="J395" s="1">
        <v>698081.96253226057</v>
      </c>
    </row>
    <row r="396" spans="1:10" x14ac:dyDescent="0.2">
      <c r="A396">
        <v>2008430</v>
      </c>
      <c r="B396">
        <v>2015</v>
      </c>
      <c r="C396" t="s">
        <v>6</v>
      </c>
      <c r="D396" t="s">
        <v>7</v>
      </c>
      <c r="E396" t="s">
        <v>8</v>
      </c>
      <c r="F396" s="29">
        <v>5017</v>
      </c>
      <c r="G396" s="3" t="s">
        <v>100</v>
      </c>
      <c r="H396" s="27">
        <v>2510305</v>
      </c>
      <c r="I396" s="1">
        <v>404344.97215887025</v>
      </c>
      <c r="J396" s="1">
        <v>2914649.9721588702</v>
      </c>
    </row>
    <row r="397" spans="1:10" x14ac:dyDescent="0.2">
      <c r="A397">
        <v>2008430</v>
      </c>
      <c r="B397">
        <v>2016</v>
      </c>
      <c r="C397" t="s">
        <v>6</v>
      </c>
      <c r="D397" t="s">
        <v>7</v>
      </c>
      <c r="E397" t="s">
        <v>8</v>
      </c>
      <c r="F397" s="29">
        <v>5017</v>
      </c>
      <c r="G397" s="3" t="s">
        <v>100</v>
      </c>
      <c r="H397" s="1">
        <v>2556996</v>
      </c>
      <c r="I397" s="26">
        <v>6753260.1769444961</v>
      </c>
      <c r="J397" s="26">
        <v>9310256.1769444961</v>
      </c>
    </row>
    <row r="398" spans="1:10" x14ac:dyDescent="0.2">
      <c r="A398">
        <v>2008430</v>
      </c>
      <c r="B398">
        <v>2017</v>
      </c>
      <c r="C398" t="s">
        <v>6</v>
      </c>
      <c r="D398" t="s">
        <v>7</v>
      </c>
      <c r="E398" t="s">
        <v>8</v>
      </c>
      <c r="F398" s="29">
        <v>5017</v>
      </c>
      <c r="G398" s="3" t="s">
        <v>100</v>
      </c>
      <c r="H398" s="1">
        <v>2615248</v>
      </c>
      <c r="I398" s="1">
        <v>408124.20302686479</v>
      </c>
      <c r="J398" s="1">
        <v>3023372.2030268647</v>
      </c>
    </row>
    <row r="399" spans="1:10" x14ac:dyDescent="0.2">
      <c r="A399">
        <v>2008430</v>
      </c>
      <c r="B399">
        <v>2018</v>
      </c>
      <c r="C399" t="s">
        <v>6</v>
      </c>
      <c r="D399" t="s">
        <v>7</v>
      </c>
      <c r="E399" t="s">
        <v>8</v>
      </c>
      <c r="F399" s="28">
        <v>5017</v>
      </c>
      <c r="G399" t="s">
        <v>100</v>
      </c>
      <c r="H399" s="1">
        <v>3060192</v>
      </c>
      <c r="I399" s="1">
        <v>462760.23700293008</v>
      </c>
      <c r="J399" s="1">
        <v>3522952.2370029301</v>
      </c>
    </row>
    <row r="400" spans="1:10" x14ac:dyDescent="0.2">
      <c r="A400">
        <v>2008430</v>
      </c>
      <c r="B400">
        <v>2019</v>
      </c>
      <c r="C400" t="s">
        <v>6</v>
      </c>
      <c r="D400" t="s">
        <v>7</v>
      </c>
      <c r="E400" t="s">
        <v>8</v>
      </c>
      <c r="F400" s="28">
        <v>5017</v>
      </c>
      <c r="G400" t="s">
        <v>100</v>
      </c>
      <c r="H400" s="1">
        <v>3436441</v>
      </c>
      <c r="I400" s="1">
        <v>523362.47931620595</v>
      </c>
      <c r="J400" s="1">
        <v>3959803.4793162057</v>
      </c>
    </row>
    <row r="401" spans="1:10" x14ac:dyDescent="0.2">
      <c r="A401">
        <v>2008430</v>
      </c>
      <c r="B401">
        <v>2020</v>
      </c>
      <c r="C401" t="s">
        <v>6</v>
      </c>
      <c r="D401" t="s">
        <v>7</v>
      </c>
      <c r="E401" t="s">
        <v>8</v>
      </c>
      <c r="F401" s="28">
        <v>5017</v>
      </c>
      <c r="G401" t="s">
        <v>100</v>
      </c>
      <c r="H401" s="1">
        <v>3775591</v>
      </c>
      <c r="I401" s="1">
        <v>571189.62354363559</v>
      </c>
      <c r="J401" s="1">
        <v>4346780.6235436359</v>
      </c>
    </row>
    <row r="402" spans="1:10" x14ac:dyDescent="0.2">
      <c r="A402">
        <v>2008430</v>
      </c>
      <c r="B402">
        <v>2021</v>
      </c>
      <c r="C402" t="s">
        <v>6</v>
      </c>
      <c r="D402" t="s">
        <v>7</v>
      </c>
      <c r="E402" t="s">
        <v>8</v>
      </c>
      <c r="F402" s="28">
        <v>5017</v>
      </c>
      <c r="G402" t="s">
        <v>100</v>
      </c>
      <c r="H402" s="25">
        <v>3789590</v>
      </c>
      <c r="I402" s="1">
        <v>565759.7172540559</v>
      </c>
      <c r="J402" s="1">
        <v>4355349.7172540557</v>
      </c>
    </row>
    <row r="403" spans="1:10" x14ac:dyDescent="0.2">
      <c r="A403">
        <v>2008430</v>
      </c>
      <c r="B403">
        <v>2022</v>
      </c>
      <c r="C403" t="s">
        <v>6</v>
      </c>
      <c r="D403" t="s">
        <v>7</v>
      </c>
      <c r="E403" t="s">
        <v>8</v>
      </c>
      <c r="F403" s="28">
        <v>5017</v>
      </c>
      <c r="G403" t="s">
        <v>100</v>
      </c>
      <c r="H403" s="1">
        <v>3766952</v>
      </c>
      <c r="I403" s="1">
        <v>511573.00364153285</v>
      </c>
      <c r="J403" s="1">
        <v>4278525.0036415327</v>
      </c>
    </row>
    <row r="404" spans="1:10" x14ac:dyDescent="0.2">
      <c r="A404">
        <v>2008430</v>
      </c>
      <c r="B404">
        <v>2023</v>
      </c>
      <c r="C404" t="s">
        <v>6</v>
      </c>
      <c r="D404" t="s">
        <v>7</v>
      </c>
      <c r="E404" t="s">
        <v>8</v>
      </c>
      <c r="F404" s="28">
        <v>5017</v>
      </c>
      <c r="G404" s="10" t="s">
        <v>100</v>
      </c>
      <c r="H404" s="1">
        <v>3653466</v>
      </c>
      <c r="I404" s="1">
        <v>511496.11376300169</v>
      </c>
      <c r="J404" s="1">
        <v>4164962.1137630017</v>
      </c>
    </row>
    <row r="405" spans="1:10" x14ac:dyDescent="0.2">
      <c r="A405">
        <v>2009480</v>
      </c>
      <c r="B405">
        <v>2015</v>
      </c>
      <c r="C405" t="s">
        <v>6</v>
      </c>
      <c r="D405" t="s">
        <v>7</v>
      </c>
      <c r="E405" t="s">
        <v>8</v>
      </c>
      <c r="F405" s="29">
        <v>5018</v>
      </c>
      <c r="G405" s="3" t="s">
        <v>101</v>
      </c>
      <c r="H405" s="27">
        <v>191095</v>
      </c>
      <c r="I405" s="1">
        <v>30780.443991745742</v>
      </c>
      <c r="J405" s="1">
        <v>221875.44399174573</v>
      </c>
    </row>
    <row r="406" spans="1:10" x14ac:dyDescent="0.2">
      <c r="A406">
        <v>2009480</v>
      </c>
      <c r="B406">
        <v>2016</v>
      </c>
      <c r="C406" t="s">
        <v>6</v>
      </c>
      <c r="D406" t="s">
        <v>7</v>
      </c>
      <c r="E406" t="s">
        <v>8</v>
      </c>
      <c r="F406" s="29">
        <v>5018</v>
      </c>
      <c r="G406" s="3" t="s">
        <v>101</v>
      </c>
      <c r="H406" s="1">
        <v>194268</v>
      </c>
      <c r="I406" s="26">
        <v>513073.99565574958</v>
      </c>
      <c r="J406" s="26">
        <v>707341.99565574958</v>
      </c>
    </row>
    <row r="407" spans="1:10" x14ac:dyDescent="0.2">
      <c r="A407">
        <v>2009480</v>
      </c>
      <c r="B407">
        <v>2017</v>
      </c>
      <c r="C407" t="s">
        <v>6</v>
      </c>
      <c r="D407" t="s">
        <v>7</v>
      </c>
      <c r="E407" t="s">
        <v>8</v>
      </c>
      <c r="F407" s="29">
        <v>5018</v>
      </c>
      <c r="G407" s="3" t="s">
        <v>101</v>
      </c>
      <c r="H407" s="1">
        <v>195558</v>
      </c>
      <c r="I407" s="1">
        <v>30517.929043642369</v>
      </c>
      <c r="J407" s="1">
        <v>226075.92904364236</v>
      </c>
    </row>
    <row r="408" spans="1:10" x14ac:dyDescent="0.2">
      <c r="A408">
        <v>2009480</v>
      </c>
      <c r="B408">
        <v>2018</v>
      </c>
      <c r="C408" t="s">
        <v>6</v>
      </c>
      <c r="D408" t="s">
        <v>7</v>
      </c>
      <c r="E408" t="s">
        <v>8</v>
      </c>
      <c r="F408" s="28">
        <v>5018</v>
      </c>
      <c r="G408" t="s">
        <v>101</v>
      </c>
      <c r="H408" s="1">
        <v>224638</v>
      </c>
      <c r="I408" s="1">
        <v>33969.611749806609</v>
      </c>
      <c r="J408" s="1">
        <v>258607.61174980662</v>
      </c>
    </row>
    <row r="409" spans="1:10" x14ac:dyDescent="0.2">
      <c r="A409">
        <v>2009480</v>
      </c>
      <c r="B409">
        <v>2019</v>
      </c>
      <c r="C409" t="s">
        <v>6</v>
      </c>
      <c r="D409" t="s">
        <v>7</v>
      </c>
      <c r="E409" t="s">
        <v>8</v>
      </c>
      <c r="F409" s="28">
        <v>5018</v>
      </c>
      <c r="G409" t="s">
        <v>101</v>
      </c>
      <c r="H409" s="1">
        <v>239764</v>
      </c>
      <c r="I409" s="1">
        <v>36515.53496503237</v>
      </c>
      <c r="J409" s="1">
        <v>276279.53496503236</v>
      </c>
    </row>
    <row r="410" spans="1:10" x14ac:dyDescent="0.2">
      <c r="A410">
        <v>2009480</v>
      </c>
      <c r="B410">
        <v>2020</v>
      </c>
      <c r="C410" t="s">
        <v>6</v>
      </c>
      <c r="D410" t="s">
        <v>7</v>
      </c>
      <c r="E410" t="s">
        <v>8</v>
      </c>
      <c r="F410" s="28">
        <v>5018</v>
      </c>
      <c r="G410" t="s">
        <v>101</v>
      </c>
      <c r="H410" s="1">
        <v>273572</v>
      </c>
      <c r="I410" s="1">
        <v>41387.292133093732</v>
      </c>
      <c r="J410" s="1">
        <v>314959.29213309375</v>
      </c>
    </row>
    <row r="411" spans="1:10" x14ac:dyDescent="0.2">
      <c r="A411">
        <v>2009480</v>
      </c>
      <c r="B411">
        <v>2021</v>
      </c>
      <c r="C411" t="s">
        <v>6</v>
      </c>
      <c r="D411" t="s">
        <v>7</v>
      </c>
      <c r="E411" t="s">
        <v>8</v>
      </c>
      <c r="F411" s="28">
        <v>5018</v>
      </c>
      <c r="G411" t="s">
        <v>101</v>
      </c>
      <c r="H411" s="25">
        <v>255474</v>
      </c>
      <c r="I411" s="1">
        <v>38140.510716400109</v>
      </c>
      <c r="J411" s="1">
        <v>293614.51071640011</v>
      </c>
    </row>
    <row r="412" spans="1:10" x14ac:dyDescent="0.2">
      <c r="A412">
        <v>2009480</v>
      </c>
      <c r="B412">
        <v>2022</v>
      </c>
      <c r="C412" t="s">
        <v>6</v>
      </c>
      <c r="D412" t="s">
        <v>7</v>
      </c>
      <c r="E412" t="s">
        <v>8</v>
      </c>
      <c r="F412" s="28">
        <v>5018</v>
      </c>
      <c r="G412" t="s">
        <v>101</v>
      </c>
      <c r="H412" s="1">
        <v>267061</v>
      </c>
      <c r="I412" s="1">
        <v>36268.367084452206</v>
      </c>
      <c r="J412" s="1">
        <v>303329.36708445218</v>
      </c>
    </row>
    <row r="413" spans="1:10" x14ac:dyDescent="0.2">
      <c r="A413">
        <v>2009480</v>
      </c>
      <c r="B413">
        <v>2023</v>
      </c>
      <c r="C413" t="s">
        <v>6</v>
      </c>
      <c r="D413" t="s">
        <v>7</v>
      </c>
      <c r="E413" t="s">
        <v>8</v>
      </c>
      <c r="F413" s="28">
        <v>5018</v>
      </c>
      <c r="G413" s="10" t="s">
        <v>101</v>
      </c>
      <c r="H413" s="1">
        <v>268447</v>
      </c>
      <c r="I413" s="1">
        <v>37583.378975289903</v>
      </c>
      <c r="J413" s="1">
        <v>306030.37897528987</v>
      </c>
    </row>
    <row r="414" spans="1:10" x14ac:dyDescent="0.2">
      <c r="A414">
        <v>2003450</v>
      </c>
      <c r="B414">
        <v>2015</v>
      </c>
      <c r="C414" t="s">
        <v>6</v>
      </c>
      <c r="D414" t="s">
        <v>7</v>
      </c>
      <c r="E414" t="s">
        <v>8</v>
      </c>
      <c r="F414" s="29">
        <v>5019</v>
      </c>
      <c r="G414" s="3" t="s">
        <v>102</v>
      </c>
      <c r="H414" s="27">
        <v>1531446</v>
      </c>
      <c r="I414" s="1">
        <v>246676.19680987496</v>
      </c>
      <c r="J414" s="1">
        <v>1778122.1968098748</v>
      </c>
    </row>
    <row r="415" spans="1:10" x14ac:dyDescent="0.2">
      <c r="A415">
        <v>2003450</v>
      </c>
      <c r="B415">
        <v>2016</v>
      </c>
      <c r="C415" t="s">
        <v>6</v>
      </c>
      <c r="D415" t="s">
        <v>7</v>
      </c>
      <c r="E415" t="s">
        <v>8</v>
      </c>
      <c r="F415" s="29">
        <v>5019</v>
      </c>
      <c r="G415" s="3" t="s">
        <v>102</v>
      </c>
      <c r="H415" s="1">
        <v>1733778</v>
      </c>
      <c r="I415" s="26">
        <v>4579066.1984030064</v>
      </c>
      <c r="J415" s="26">
        <v>6312844.1984030064</v>
      </c>
    </row>
    <row r="416" spans="1:10" x14ac:dyDescent="0.2">
      <c r="A416">
        <v>2003450</v>
      </c>
      <c r="B416">
        <v>2017</v>
      </c>
      <c r="C416" t="s">
        <v>6</v>
      </c>
      <c r="D416" t="s">
        <v>7</v>
      </c>
      <c r="E416" t="s">
        <v>8</v>
      </c>
      <c r="F416" s="29">
        <v>5019</v>
      </c>
      <c r="G416" s="3" t="s">
        <v>102</v>
      </c>
      <c r="H416" s="1">
        <v>1753283</v>
      </c>
      <c r="I416" s="1">
        <v>273609.70242804906</v>
      </c>
      <c r="J416" s="1">
        <v>2026892.7024280489</v>
      </c>
    </row>
    <row r="417" spans="1:10" x14ac:dyDescent="0.2">
      <c r="A417">
        <v>2003450</v>
      </c>
      <c r="B417">
        <v>2018</v>
      </c>
      <c r="C417" t="s">
        <v>6</v>
      </c>
      <c r="D417" t="s">
        <v>7</v>
      </c>
      <c r="E417" t="s">
        <v>8</v>
      </c>
      <c r="F417" s="28">
        <v>5019</v>
      </c>
      <c r="G417" t="s">
        <v>102</v>
      </c>
      <c r="H417" s="1">
        <v>2100406</v>
      </c>
      <c r="I417" s="1">
        <v>317622.02448812895</v>
      </c>
      <c r="J417" s="1">
        <v>2418028.0244881287</v>
      </c>
    </row>
    <row r="418" spans="1:10" x14ac:dyDescent="0.2">
      <c r="A418">
        <v>2003450</v>
      </c>
      <c r="B418">
        <v>2019</v>
      </c>
      <c r="C418" t="s">
        <v>6</v>
      </c>
      <c r="D418" t="s">
        <v>7</v>
      </c>
      <c r="E418" t="s">
        <v>8</v>
      </c>
      <c r="F418" s="28">
        <v>5019</v>
      </c>
      <c r="G418" t="s">
        <v>102</v>
      </c>
      <c r="H418" s="1">
        <v>2293139</v>
      </c>
      <c r="I418" s="1">
        <v>349240.07496613072</v>
      </c>
      <c r="J418" s="1">
        <v>2642379.0749661308</v>
      </c>
    </row>
    <row r="419" spans="1:10" x14ac:dyDescent="0.2">
      <c r="A419">
        <v>2003450</v>
      </c>
      <c r="B419">
        <v>2020</v>
      </c>
      <c r="C419" t="s">
        <v>6</v>
      </c>
      <c r="D419" t="s">
        <v>7</v>
      </c>
      <c r="E419" t="s">
        <v>8</v>
      </c>
      <c r="F419" s="28">
        <v>5019</v>
      </c>
      <c r="G419" t="s">
        <v>102</v>
      </c>
      <c r="H419" s="1">
        <v>2762146</v>
      </c>
      <c r="I419" s="1">
        <v>417870.77411524684</v>
      </c>
      <c r="J419" s="1">
        <v>3180016.7741152467</v>
      </c>
    </row>
    <row r="420" spans="1:10" x14ac:dyDescent="0.2">
      <c r="A420">
        <v>2003450</v>
      </c>
      <c r="B420">
        <v>2021</v>
      </c>
      <c r="C420" t="s">
        <v>6</v>
      </c>
      <c r="D420" t="s">
        <v>7</v>
      </c>
      <c r="E420" t="s">
        <v>8</v>
      </c>
      <c r="F420" s="28">
        <v>5019</v>
      </c>
      <c r="G420" t="s">
        <v>102</v>
      </c>
      <c r="H420" s="25">
        <v>2678494</v>
      </c>
      <c r="I420" s="1">
        <v>399880.72802247352</v>
      </c>
      <c r="J420" s="1">
        <v>3078374.7280224734</v>
      </c>
    </row>
    <row r="421" spans="1:10" x14ac:dyDescent="0.2">
      <c r="A421">
        <v>2003450</v>
      </c>
      <c r="B421">
        <v>2022</v>
      </c>
      <c r="C421" t="s">
        <v>6</v>
      </c>
      <c r="D421" t="s">
        <v>7</v>
      </c>
      <c r="E421" t="s">
        <v>8</v>
      </c>
      <c r="F421" s="28">
        <v>5019</v>
      </c>
      <c r="G421" t="s">
        <v>102</v>
      </c>
      <c r="H421" s="1">
        <v>2748353</v>
      </c>
      <c r="I421" s="1">
        <v>373241.60203719552</v>
      </c>
      <c r="J421" s="1">
        <v>3121594.6020371956</v>
      </c>
    </row>
    <row r="422" spans="1:10" x14ac:dyDescent="0.2">
      <c r="A422">
        <v>2003450</v>
      </c>
      <c r="B422">
        <v>2023</v>
      </c>
      <c r="C422" t="s">
        <v>6</v>
      </c>
      <c r="D422" t="s">
        <v>7</v>
      </c>
      <c r="E422" t="s">
        <v>8</v>
      </c>
      <c r="F422" s="28">
        <v>5019</v>
      </c>
      <c r="G422" s="10" t="s">
        <v>102</v>
      </c>
      <c r="H422" s="1">
        <v>2987626</v>
      </c>
      <c r="I422" s="1">
        <v>418276.53203213104</v>
      </c>
      <c r="J422" s="1">
        <v>3405902.5320321312</v>
      </c>
    </row>
    <row r="423" spans="1:10" x14ac:dyDescent="0.2">
      <c r="A423">
        <v>2007890</v>
      </c>
      <c r="B423">
        <v>2015</v>
      </c>
      <c r="C423" t="s">
        <v>6</v>
      </c>
      <c r="D423" t="s">
        <v>7</v>
      </c>
      <c r="E423" t="s">
        <v>8</v>
      </c>
      <c r="F423" s="29">
        <v>5020</v>
      </c>
      <c r="G423" s="3" t="s">
        <v>103</v>
      </c>
      <c r="H423" s="27">
        <v>4813107</v>
      </c>
      <c r="I423" s="1">
        <v>775266.59745037486</v>
      </c>
      <c r="J423" s="1">
        <v>5588373.5974503746</v>
      </c>
    </row>
    <row r="424" spans="1:10" x14ac:dyDescent="0.2">
      <c r="A424">
        <v>2007890</v>
      </c>
      <c r="B424">
        <v>2016</v>
      </c>
      <c r="C424" t="s">
        <v>6</v>
      </c>
      <c r="D424" t="s">
        <v>7</v>
      </c>
      <c r="E424" t="s">
        <v>8</v>
      </c>
      <c r="F424" s="29">
        <v>5020</v>
      </c>
      <c r="G424" s="3" t="s">
        <v>103</v>
      </c>
      <c r="H424" s="1">
        <v>5666089</v>
      </c>
      <c r="I424" s="26">
        <v>14964648.466396149</v>
      </c>
      <c r="J424" s="26">
        <v>20630737.466396149</v>
      </c>
    </row>
    <row r="425" spans="1:10" x14ac:dyDescent="0.2">
      <c r="A425">
        <v>2007890</v>
      </c>
      <c r="B425">
        <v>2017</v>
      </c>
      <c r="C425" t="s">
        <v>6</v>
      </c>
      <c r="D425" t="s">
        <v>7</v>
      </c>
      <c r="E425" t="s">
        <v>8</v>
      </c>
      <c r="F425" s="29">
        <v>5020</v>
      </c>
      <c r="G425" s="3" t="s">
        <v>103</v>
      </c>
      <c r="H425" s="1">
        <v>5988714</v>
      </c>
      <c r="I425" s="1">
        <v>934572.60206520651</v>
      </c>
      <c r="J425" s="1">
        <v>6923286.6020652065</v>
      </c>
    </row>
    <row r="426" spans="1:10" x14ac:dyDescent="0.2">
      <c r="A426">
        <v>2007890</v>
      </c>
      <c r="B426">
        <v>2018</v>
      </c>
      <c r="C426" t="s">
        <v>6</v>
      </c>
      <c r="D426" t="s">
        <v>7</v>
      </c>
      <c r="E426" t="s">
        <v>8</v>
      </c>
      <c r="F426" s="28">
        <v>5020</v>
      </c>
      <c r="G426" t="s">
        <v>103</v>
      </c>
      <c r="H426" s="1">
        <v>6589894</v>
      </c>
      <c r="I426" s="1">
        <v>996519.46977973497</v>
      </c>
      <c r="J426" s="1">
        <v>7586413.4697797354</v>
      </c>
    </row>
    <row r="427" spans="1:10" x14ac:dyDescent="0.2">
      <c r="A427">
        <v>2007890</v>
      </c>
      <c r="B427">
        <v>2019</v>
      </c>
      <c r="C427" t="s">
        <v>6</v>
      </c>
      <c r="D427" t="s">
        <v>7</v>
      </c>
      <c r="E427" t="s">
        <v>8</v>
      </c>
      <c r="F427" s="28">
        <v>5020</v>
      </c>
      <c r="G427" t="s">
        <v>103</v>
      </c>
      <c r="H427" s="1">
        <v>7355778</v>
      </c>
      <c r="I427" s="1">
        <v>1120268.9676265656</v>
      </c>
      <c r="J427" s="1">
        <v>8476046.9676265661</v>
      </c>
    </row>
    <row r="428" spans="1:10" x14ac:dyDescent="0.2">
      <c r="A428">
        <v>2007890</v>
      </c>
      <c r="B428">
        <v>2020</v>
      </c>
      <c r="C428" t="s">
        <v>6</v>
      </c>
      <c r="D428" t="s">
        <v>7</v>
      </c>
      <c r="E428" t="s">
        <v>8</v>
      </c>
      <c r="F428" s="28">
        <v>5020</v>
      </c>
      <c r="G428" t="s">
        <v>103</v>
      </c>
      <c r="H428" s="1">
        <v>7907556</v>
      </c>
      <c r="I428" s="1">
        <v>1196293.2252964417</v>
      </c>
      <c r="J428" s="1">
        <v>9103849.2252964415</v>
      </c>
    </row>
    <row r="429" spans="1:10" x14ac:dyDescent="0.2">
      <c r="A429">
        <v>2007890</v>
      </c>
      <c r="B429">
        <v>2021</v>
      </c>
      <c r="C429" t="s">
        <v>6</v>
      </c>
      <c r="D429" t="s">
        <v>7</v>
      </c>
      <c r="E429" t="s">
        <v>8</v>
      </c>
      <c r="F429" s="28">
        <v>5020</v>
      </c>
      <c r="G429" t="s">
        <v>103</v>
      </c>
      <c r="H429" s="25">
        <v>7635691</v>
      </c>
      <c r="I429" s="1">
        <v>1139956.1380516996</v>
      </c>
      <c r="J429" s="1">
        <v>8775647.1380516998</v>
      </c>
    </row>
    <row r="430" spans="1:10" x14ac:dyDescent="0.2">
      <c r="A430">
        <v>2007890</v>
      </c>
      <c r="B430">
        <v>2022</v>
      </c>
      <c r="C430" t="s">
        <v>6</v>
      </c>
      <c r="D430" t="s">
        <v>7</v>
      </c>
      <c r="E430" t="s">
        <v>8</v>
      </c>
      <c r="F430" s="28">
        <v>5020</v>
      </c>
      <c r="G430" t="s">
        <v>103</v>
      </c>
      <c r="H430" s="1">
        <v>7897844</v>
      </c>
      <c r="I430" s="1">
        <v>1072571.0806435172</v>
      </c>
      <c r="J430" s="1">
        <v>8970415.0806435179</v>
      </c>
    </row>
    <row r="431" spans="1:10" x14ac:dyDescent="0.2">
      <c r="A431">
        <v>2007890</v>
      </c>
      <c r="B431">
        <v>2023</v>
      </c>
      <c r="C431" t="s">
        <v>6</v>
      </c>
      <c r="D431" t="s">
        <v>7</v>
      </c>
      <c r="E431" t="s">
        <v>8</v>
      </c>
      <c r="F431" s="28">
        <v>5020</v>
      </c>
      <c r="G431" s="10" t="s">
        <v>103</v>
      </c>
      <c r="H431" s="1">
        <v>7784014</v>
      </c>
      <c r="I431" s="1">
        <v>1089785.1274589112</v>
      </c>
      <c r="J431" s="1">
        <v>8873799.1274589114</v>
      </c>
    </row>
    <row r="432" spans="1:10" x14ac:dyDescent="0.2">
      <c r="A432">
        <v>2007680</v>
      </c>
      <c r="B432">
        <v>2015</v>
      </c>
      <c r="C432" t="s">
        <v>6</v>
      </c>
      <c r="D432" t="s">
        <v>7</v>
      </c>
      <c r="E432" t="s">
        <v>8</v>
      </c>
      <c r="F432" s="29">
        <v>5021</v>
      </c>
      <c r="G432" s="3" t="s">
        <v>104</v>
      </c>
      <c r="H432" s="27">
        <v>198054</v>
      </c>
      <c r="I432" s="1">
        <v>31901.358247684198</v>
      </c>
      <c r="J432" s="1">
        <v>229955.3582476842</v>
      </c>
    </row>
    <row r="433" spans="1:10" x14ac:dyDescent="0.2">
      <c r="A433">
        <v>2007680</v>
      </c>
      <c r="B433">
        <v>2016</v>
      </c>
      <c r="C433" t="s">
        <v>6</v>
      </c>
      <c r="D433" t="s">
        <v>7</v>
      </c>
      <c r="E433" t="s">
        <v>8</v>
      </c>
      <c r="F433" s="29">
        <v>5021</v>
      </c>
      <c r="G433" s="3" t="s">
        <v>104</v>
      </c>
      <c r="H433" s="1">
        <v>204756</v>
      </c>
      <c r="I433" s="26">
        <v>540783.40043928707</v>
      </c>
      <c r="J433" s="26">
        <v>745539.40043928707</v>
      </c>
    </row>
    <row r="434" spans="1:10" x14ac:dyDescent="0.2">
      <c r="A434">
        <v>2007680</v>
      </c>
      <c r="B434">
        <v>2017</v>
      </c>
      <c r="C434" t="s">
        <v>6</v>
      </c>
      <c r="D434" t="s">
        <v>7</v>
      </c>
      <c r="E434" t="s">
        <v>8</v>
      </c>
      <c r="F434" s="29">
        <v>5021</v>
      </c>
      <c r="G434" s="3" t="s">
        <v>104</v>
      </c>
      <c r="H434" s="1">
        <v>183292</v>
      </c>
      <c r="I434" s="1">
        <v>28603.750551075882</v>
      </c>
      <c r="J434" s="1">
        <v>211895.75055107588</v>
      </c>
    </row>
    <row r="435" spans="1:10" x14ac:dyDescent="0.2">
      <c r="A435">
        <v>2007680</v>
      </c>
      <c r="B435">
        <v>2018</v>
      </c>
      <c r="C435" t="s">
        <v>6</v>
      </c>
      <c r="D435" t="s">
        <v>7</v>
      </c>
      <c r="E435" t="s">
        <v>8</v>
      </c>
      <c r="F435" s="28">
        <v>5021</v>
      </c>
      <c r="G435" t="s">
        <v>104</v>
      </c>
      <c r="H435" s="1">
        <v>205075</v>
      </c>
      <c r="I435" s="1">
        <v>31011.307657616217</v>
      </c>
      <c r="J435" s="1">
        <v>236086.30765761621</v>
      </c>
    </row>
    <row r="436" spans="1:10" x14ac:dyDescent="0.2">
      <c r="A436">
        <v>2007680</v>
      </c>
      <c r="B436">
        <v>2019</v>
      </c>
      <c r="C436" t="s">
        <v>6</v>
      </c>
      <c r="D436" t="s">
        <v>7</v>
      </c>
      <c r="E436" t="s">
        <v>8</v>
      </c>
      <c r="F436" s="28">
        <v>5021</v>
      </c>
      <c r="G436" t="s">
        <v>104</v>
      </c>
      <c r="H436" s="1">
        <v>242126</v>
      </c>
      <c r="I436" s="1">
        <v>36875.262420310923</v>
      </c>
      <c r="J436" s="1">
        <v>279001.26242031093</v>
      </c>
    </row>
    <row r="437" spans="1:10" x14ac:dyDescent="0.2">
      <c r="A437">
        <v>2007680</v>
      </c>
      <c r="B437">
        <v>2020</v>
      </c>
      <c r="C437" t="s">
        <v>6</v>
      </c>
      <c r="D437" t="s">
        <v>7</v>
      </c>
      <c r="E437" t="s">
        <v>8</v>
      </c>
      <c r="F437" s="28">
        <v>5021</v>
      </c>
      <c r="G437" t="s">
        <v>104</v>
      </c>
      <c r="H437" s="1">
        <v>267159</v>
      </c>
      <c r="I437" s="1">
        <v>40417.102550645483</v>
      </c>
      <c r="J437" s="1">
        <v>307576.10255064548</v>
      </c>
    </row>
    <row r="438" spans="1:10" x14ac:dyDescent="0.2">
      <c r="A438">
        <v>2007680</v>
      </c>
      <c r="B438">
        <v>2021</v>
      </c>
      <c r="C438" t="s">
        <v>6</v>
      </c>
      <c r="D438" t="s">
        <v>7</v>
      </c>
      <c r="E438" t="s">
        <v>8</v>
      </c>
      <c r="F438" s="28">
        <v>5021</v>
      </c>
      <c r="G438" t="s">
        <v>104</v>
      </c>
      <c r="H438" s="25">
        <v>275004</v>
      </c>
      <c r="I438" s="1">
        <v>41056.205363570836</v>
      </c>
      <c r="J438" s="1">
        <v>316060.20536357083</v>
      </c>
    </row>
    <row r="439" spans="1:10" x14ac:dyDescent="0.2">
      <c r="A439">
        <v>2007680</v>
      </c>
      <c r="B439">
        <v>2022</v>
      </c>
      <c r="C439" t="s">
        <v>6</v>
      </c>
      <c r="D439" t="s">
        <v>7</v>
      </c>
      <c r="E439" t="s">
        <v>8</v>
      </c>
      <c r="F439" s="28">
        <v>5021</v>
      </c>
      <c r="G439" t="s">
        <v>104</v>
      </c>
      <c r="H439" s="1">
        <v>287163</v>
      </c>
      <c r="I439" s="1">
        <v>38998.330333042068</v>
      </c>
      <c r="J439" s="1">
        <v>326161.33033304207</v>
      </c>
    </row>
    <row r="440" spans="1:10" x14ac:dyDescent="0.2">
      <c r="A440">
        <v>2007680</v>
      </c>
      <c r="B440">
        <v>2023</v>
      </c>
      <c r="C440" t="s">
        <v>6</v>
      </c>
      <c r="D440" t="s">
        <v>7</v>
      </c>
      <c r="E440" t="s">
        <v>8</v>
      </c>
      <c r="F440" s="28">
        <v>5021</v>
      </c>
      <c r="G440" s="10" t="s">
        <v>104</v>
      </c>
      <c r="H440" s="1">
        <v>279454</v>
      </c>
      <c r="I440" s="1">
        <v>39124.391735279838</v>
      </c>
      <c r="J440" s="1">
        <v>318578.39173527982</v>
      </c>
    </row>
    <row r="441" spans="1:10" x14ac:dyDescent="0.2">
      <c r="A441">
        <v>2008730</v>
      </c>
      <c r="B441">
        <v>2015</v>
      </c>
      <c r="C441" t="s">
        <v>6</v>
      </c>
      <c r="D441" t="s">
        <v>7</v>
      </c>
      <c r="E441" t="s">
        <v>8</v>
      </c>
      <c r="F441" s="29">
        <v>5022</v>
      </c>
      <c r="G441" s="3" t="s">
        <v>105</v>
      </c>
      <c r="H441" s="27">
        <v>2865935</v>
      </c>
      <c r="I441" s="1">
        <v>461627.7335957709</v>
      </c>
      <c r="J441" s="1">
        <v>3327562.7335957708</v>
      </c>
    </row>
    <row r="442" spans="1:10" x14ac:dyDescent="0.2">
      <c r="A442">
        <v>2008730</v>
      </c>
      <c r="B442">
        <v>2016</v>
      </c>
      <c r="C442" t="s">
        <v>6</v>
      </c>
      <c r="D442" t="s">
        <v>7</v>
      </c>
      <c r="E442" t="s">
        <v>8</v>
      </c>
      <c r="F442" s="29">
        <v>5022</v>
      </c>
      <c r="G442" s="3" t="s">
        <v>105</v>
      </c>
      <c r="H442" s="1">
        <v>3191528</v>
      </c>
      <c r="I442" s="26">
        <v>8429118.0009443648</v>
      </c>
      <c r="J442" s="26">
        <v>11620646.000944365</v>
      </c>
    </row>
    <row r="443" spans="1:10" x14ac:dyDescent="0.2">
      <c r="A443">
        <v>2008730</v>
      </c>
      <c r="B443">
        <v>2017</v>
      </c>
      <c r="C443" t="s">
        <v>6</v>
      </c>
      <c r="D443" t="s">
        <v>7</v>
      </c>
      <c r="E443" t="s">
        <v>8</v>
      </c>
      <c r="F443" s="29">
        <v>5022</v>
      </c>
      <c r="G443" s="3" t="s">
        <v>105</v>
      </c>
      <c r="H443" s="1">
        <v>3323897</v>
      </c>
      <c r="I443" s="1">
        <v>518712.87696936831</v>
      </c>
      <c r="J443" s="1">
        <v>3842609.8769693682</v>
      </c>
    </row>
    <row r="444" spans="1:10" x14ac:dyDescent="0.2">
      <c r="A444">
        <v>2008730</v>
      </c>
      <c r="B444">
        <v>2018</v>
      </c>
      <c r="C444" t="s">
        <v>6</v>
      </c>
      <c r="D444" t="s">
        <v>7</v>
      </c>
      <c r="E444" t="s">
        <v>8</v>
      </c>
      <c r="F444" s="28">
        <v>5022</v>
      </c>
      <c r="G444" t="s">
        <v>105</v>
      </c>
      <c r="H444" s="1">
        <v>3925597</v>
      </c>
      <c r="I444" s="1">
        <v>593626.21629557596</v>
      </c>
      <c r="J444" s="1">
        <v>4519223.2162955757</v>
      </c>
    </row>
    <row r="445" spans="1:10" x14ac:dyDescent="0.2">
      <c r="A445">
        <v>2008730</v>
      </c>
      <c r="B445">
        <v>2019</v>
      </c>
      <c r="C445" t="s">
        <v>6</v>
      </c>
      <c r="D445" t="s">
        <v>7</v>
      </c>
      <c r="E445" t="s">
        <v>8</v>
      </c>
      <c r="F445" s="28">
        <v>5022</v>
      </c>
      <c r="G445" t="s">
        <v>105</v>
      </c>
      <c r="H445" s="1">
        <v>4567722</v>
      </c>
      <c r="I445" s="1">
        <v>695654.11154947185</v>
      </c>
      <c r="J445" s="1">
        <v>5263376.1115494715</v>
      </c>
    </row>
    <row r="446" spans="1:10" x14ac:dyDescent="0.2">
      <c r="A446">
        <v>2008730</v>
      </c>
      <c r="B446">
        <v>2020</v>
      </c>
      <c r="C446" t="s">
        <v>6</v>
      </c>
      <c r="D446" t="s">
        <v>7</v>
      </c>
      <c r="E446" t="s">
        <v>8</v>
      </c>
      <c r="F446" s="28">
        <v>5022</v>
      </c>
      <c r="G446" t="s">
        <v>105</v>
      </c>
      <c r="H446" s="1">
        <v>4941168</v>
      </c>
      <c r="I446" s="1">
        <v>747523.735962359</v>
      </c>
      <c r="J446" s="1">
        <v>5688691.7359623592</v>
      </c>
    </row>
    <row r="447" spans="1:10" x14ac:dyDescent="0.2">
      <c r="A447">
        <v>2008730</v>
      </c>
      <c r="B447">
        <v>2021</v>
      </c>
      <c r="C447" t="s">
        <v>6</v>
      </c>
      <c r="D447" t="s">
        <v>7</v>
      </c>
      <c r="E447" t="s">
        <v>8</v>
      </c>
      <c r="F447" s="28">
        <v>5022</v>
      </c>
      <c r="G447" t="s">
        <v>105</v>
      </c>
      <c r="H447" s="25">
        <v>4757528</v>
      </c>
      <c r="I447" s="1">
        <v>710266.20191320276</v>
      </c>
      <c r="J447" s="1">
        <v>5467794.2019132031</v>
      </c>
    </row>
    <row r="448" spans="1:10" x14ac:dyDescent="0.2">
      <c r="A448">
        <v>2008730</v>
      </c>
      <c r="B448">
        <v>2022</v>
      </c>
      <c r="C448" t="s">
        <v>6</v>
      </c>
      <c r="D448" t="s">
        <v>7</v>
      </c>
      <c r="E448" t="s">
        <v>8</v>
      </c>
      <c r="F448" s="28">
        <v>5022</v>
      </c>
      <c r="G448" t="s">
        <v>105</v>
      </c>
      <c r="H448" s="1">
        <v>4333600</v>
      </c>
      <c r="I448" s="1">
        <v>588526.94926320983</v>
      </c>
      <c r="J448" s="1">
        <v>4922126.9492632095</v>
      </c>
    </row>
    <row r="449" spans="1:10" x14ac:dyDescent="0.2">
      <c r="A449">
        <v>2008730</v>
      </c>
      <c r="B449">
        <v>2023</v>
      </c>
      <c r="C449" t="s">
        <v>6</v>
      </c>
      <c r="D449" t="s">
        <v>7</v>
      </c>
      <c r="E449" t="s">
        <v>8</v>
      </c>
      <c r="F449" s="28">
        <v>5022</v>
      </c>
      <c r="G449" s="10" t="s">
        <v>105</v>
      </c>
      <c r="H449" s="1">
        <v>5099765</v>
      </c>
      <c r="I449" s="1">
        <v>713982.27836377127</v>
      </c>
      <c r="J449" s="1">
        <v>5813747.2783637717</v>
      </c>
    </row>
    <row r="450" spans="1:10" x14ac:dyDescent="0.2">
      <c r="A450">
        <v>2008280</v>
      </c>
      <c r="B450">
        <v>2015</v>
      </c>
      <c r="C450" t="s">
        <v>6</v>
      </c>
      <c r="D450" t="s">
        <v>7</v>
      </c>
      <c r="E450" t="s">
        <v>8</v>
      </c>
      <c r="F450" s="29">
        <v>5024</v>
      </c>
      <c r="G450" s="3" t="s">
        <v>106</v>
      </c>
      <c r="H450" s="27">
        <v>410937</v>
      </c>
      <c r="I450" s="1">
        <v>66191.283459201033</v>
      </c>
      <c r="J450" s="1">
        <v>477128.28345920105</v>
      </c>
    </row>
    <row r="451" spans="1:10" x14ac:dyDescent="0.2">
      <c r="A451">
        <v>2008280</v>
      </c>
      <c r="B451">
        <v>2016</v>
      </c>
      <c r="C451" t="s">
        <v>6</v>
      </c>
      <c r="D451" t="s">
        <v>7</v>
      </c>
      <c r="E451" t="s">
        <v>8</v>
      </c>
      <c r="F451" s="29">
        <v>5024</v>
      </c>
      <c r="G451" s="3" t="s">
        <v>106</v>
      </c>
      <c r="H451" s="1">
        <v>442856</v>
      </c>
      <c r="I451" s="26">
        <v>1169622.312760286</v>
      </c>
      <c r="J451" s="26">
        <v>1612478.312760286</v>
      </c>
    </row>
    <row r="452" spans="1:10" x14ac:dyDescent="0.2">
      <c r="A452">
        <v>2008280</v>
      </c>
      <c r="B452">
        <v>2017</v>
      </c>
      <c r="C452" t="s">
        <v>6</v>
      </c>
      <c r="D452" t="s">
        <v>7</v>
      </c>
      <c r="E452" t="s">
        <v>8</v>
      </c>
      <c r="F452" s="29">
        <v>5024</v>
      </c>
      <c r="G452" s="3" t="s">
        <v>106</v>
      </c>
      <c r="H452" s="1">
        <v>389362</v>
      </c>
      <c r="I452" s="1">
        <v>60762.136492962083</v>
      </c>
      <c r="J452" s="1">
        <v>450124.13649296208</v>
      </c>
    </row>
    <row r="453" spans="1:10" x14ac:dyDescent="0.2">
      <c r="A453">
        <v>2008280</v>
      </c>
      <c r="B453">
        <v>2018</v>
      </c>
      <c r="C453" t="s">
        <v>6</v>
      </c>
      <c r="D453" t="s">
        <v>7</v>
      </c>
      <c r="E453" t="s">
        <v>8</v>
      </c>
      <c r="F453" s="28">
        <v>5024</v>
      </c>
      <c r="G453" t="s">
        <v>106</v>
      </c>
      <c r="H453" s="1">
        <v>529323</v>
      </c>
      <c r="I453" s="1">
        <v>80043.878596866445</v>
      </c>
      <c r="J453" s="1">
        <v>609366.8785968665</v>
      </c>
    </row>
    <row r="454" spans="1:10" x14ac:dyDescent="0.2">
      <c r="A454">
        <v>2008280</v>
      </c>
      <c r="B454">
        <v>2019</v>
      </c>
      <c r="C454" t="s">
        <v>6</v>
      </c>
      <c r="D454" t="s">
        <v>7</v>
      </c>
      <c r="E454" t="s">
        <v>8</v>
      </c>
      <c r="F454" s="28">
        <v>5024</v>
      </c>
      <c r="G454" t="s">
        <v>106</v>
      </c>
      <c r="H454" s="1">
        <v>583094</v>
      </c>
      <c r="I454" s="1">
        <v>88803.946150800723</v>
      </c>
      <c r="J454" s="1">
        <v>671897.94615080068</v>
      </c>
    </row>
    <row r="455" spans="1:10" x14ac:dyDescent="0.2">
      <c r="A455">
        <v>2008280</v>
      </c>
      <c r="B455">
        <v>2020</v>
      </c>
      <c r="C455" t="s">
        <v>6</v>
      </c>
      <c r="D455" t="s">
        <v>7</v>
      </c>
      <c r="E455" t="s">
        <v>8</v>
      </c>
      <c r="F455" s="28">
        <v>5024</v>
      </c>
      <c r="G455" t="s">
        <v>106</v>
      </c>
      <c r="H455" s="1">
        <v>668358</v>
      </c>
      <c r="I455" s="1">
        <v>101112.42303850634</v>
      </c>
      <c r="J455" s="1">
        <v>769470.4230385063</v>
      </c>
    </row>
    <row r="456" spans="1:10" x14ac:dyDescent="0.2">
      <c r="A456">
        <v>2008280</v>
      </c>
      <c r="B456">
        <v>2021</v>
      </c>
      <c r="C456" t="s">
        <v>6</v>
      </c>
      <c r="D456" t="s">
        <v>7</v>
      </c>
      <c r="E456" t="s">
        <v>8</v>
      </c>
      <c r="F456" s="28">
        <v>5024</v>
      </c>
      <c r="G456" t="s">
        <v>106</v>
      </c>
      <c r="H456" s="25">
        <v>694693</v>
      </c>
      <c r="I456" s="1">
        <v>103712.88589487832</v>
      </c>
      <c r="J456" s="1">
        <v>798405.8858948783</v>
      </c>
    </row>
    <row r="457" spans="1:10" x14ac:dyDescent="0.2">
      <c r="A457">
        <v>2008280</v>
      </c>
      <c r="B457">
        <v>2022</v>
      </c>
      <c r="C457" t="s">
        <v>6</v>
      </c>
      <c r="D457" t="s">
        <v>7</v>
      </c>
      <c r="E457" t="s">
        <v>8</v>
      </c>
      <c r="F457" s="28">
        <v>5024</v>
      </c>
      <c r="G457" t="s">
        <v>106</v>
      </c>
      <c r="H457" s="1">
        <v>637187</v>
      </c>
      <c r="I457" s="1">
        <v>86533.533602588344</v>
      </c>
      <c r="J457" s="1">
        <v>723720.53360258834</v>
      </c>
    </row>
    <row r="458" spans="1:10" x14ac:dyDescent="0.2">
      <c r="A458">
        <v>2008280</v>
      </c>
      <c r="B458">
        <v>2023</v>
      </c>
      <c r="C458" t="s">
        <v>6</v>
      </c>
      <c r="D458" t="s">
        <v>7</v>
      </c>
      <c r="E458" t="s">
        <v>8</v>
      </c>
      <c r="F458" s="28">
        <v>5024</v>
      </c>
      <c r="G458" s="10" t="s">
        <v>106</v>
      </c>
      <c r="H458" s="1">
        <v>611706</v>
      </c>
      <c r="I458" s="1">
        <v>85640.660612555512</v>
      </c>
      <c r="J458" s="1">
        <v>697346.66061255545</v>
      </c>
    </row>
    <row r="459" spans="1:10" x14ac:dyDescent="0.2">
      <c r="A459">
        <v>2006180</v>
      </c>
      <c r="B459">
        <v>2015</v>
      </c>
      <c r="C459" t="s">
        <v>6</v>
      </c>
      <c r="D459" t="s">
        <v>7</v>
      </c>
      <c r="E459" t="s">
        <v>8</v>
      </c>
      <c r="F459" s="29">
        <v>5025</v>
      </c>
      <c r="G459" s="3" t="s">
        <v>107</v>
      </c>
      <c r="H459" s="27">
        <v>1138246</v>
      </c>
      <c r="I459" s="1">
        <v>183341.88362766494</v>
      </c>
      <c r="J459" s="1">
        <v>1321587.883627665</v>
      </c>
    </row>
    <row r="460" spans="1:10" x14ac:dyDescent="0.2">
      <c r="A460">
        <v>2006180</v>
      </c>
      <c r="B460">
        <v>2016</v>
      </c>
      <c r="C460" t="s">
        <v>6</v>
      </c>
      <c r="D460" t="s">
        <v>7</v>
      </c>
      <c r="E460" t="s">
        <v>8</v>
      </c>
      <c r="F460" s="29">
        <v>5025</v>
      </c>
      <c r="G460" s="3" t="s">
        <v>107</v>
      </c>
      <c r="H460" s="1">
        <v>1279687</v>
      </c>
      <c r="I460" s="26">
        <v>3379771.3182816394</v>
      </c>
      <c r="J460" s="26">
        <v>4659458.3182816394</v>
      </c>
    </row>
    <row r="461" spans="1:10" x14ac:dyDescent="0.2">
      <c r="A461">
        <v>2006180</v>
      </c>
      <c r="B461">
        <v>2017</v>
      </c>
      <c r="C461" t="s">
        <v>6</v>
      </c>
      <c r="D461" t="s">
        <v>7</v>
      </c>
      <c r="E461" t="s">
        <v>8</v>
      </c>
      <c r="F461" s="29">
        <v>5025</v>
      </c>
      <c r="G461" s="3" t="s">
        <v>107</v>
      </c>
      <c r="H461" s="1">
        <v>1271033</v>
      </c>
      <c r="I461" s="1">
        <v>198351.86955342095</v>
      </c>
      <c r="J461" s="1">
        <v>1469384.8695534209</v>
      </c>
    </row>
    <row r="462" spans="1:10" x14ac:dyDescent="0.2">
      <c r="A462">
        <v>2006180</v>
      </c>
      <c r="B462">
        <v>2018</v>
      </c>
      <c r="C462" t="s">
        <v>6</v>
      </c>
      <c r="D462" t="s">
        <v>7</v>
      </c>
      <c r="E462" t="s">
        <v>8</v>
      </c>
      <c r="F462" s="28">
        <v>5025</v>
      </c>
      <c r="G462" t="s">
        <v>107</v>
      </c>
      <c r="H462" s="1">
        <v>1475474</v>
      </c>
      <c r="I462" s="1">
        <v>223120.21531056261</v>
      </c>
      <c r="J462" s="1">
        <v>1698594.2153105626</v>
      </c>
    </row>
    <row r="463" spans="1:10" x14ac:dyDescent="0.2">
      <c r="A463">
        <v>2006180</v>
      </c>
      <c r="B463">
        <v>2019</v>
      </c>
      <c r="C463" t="s">
        <v>6</v>
      </c>
      <c r="D463" t="s">
        <v>7</v>
      </c>
      <c r="E463" t="s">
        <v>8</v>
      </c>
      <c r="F463" s="28">
        <v>5025</v>
      </c>
      <c r="G463" t="s">
        <v>107</v>
      </c>
      <c r="H463" s="1">
        <v>1661130</v>
      </c>
      <c r="I463" s="1">
        <v>252986.48085811138</v>
      </c>
      <c r="J463" s="1">
        <v>1914116.4808581113</v>
      </c>
    </row>
    <row r="464" spans="1:10" x14ac:dyDescent="0.2">
      <c r="A464">
        <v>2006180</v>
      </c>
      <c r="B464">
        <v>2020</v>
      </c>
      <c r="C464" t="s">
        <v>6</v>
      </c>
      <c r="D464" t="s">
        <v>7</v>
      </c>
      <c r="E464" t="s">
        <v>8</v>
      </c>
      <c r="F464" s="28">
        <v>5025</v>
      </c>
      <c r="G464" t="s">
        <v>107</v>
      </c>
      <c r="H464" s="1">
        <v>1864244</v>
      </c>
      <c r="I464" s="1">
        <v>282031.82721684669</v>
      </c>
      <c r="J464" s="1">
        <v>2146275.8272168469</v>
      </c>
    </row>
    <row r="465" spans="1:10" x14ac:dyDescent="0.2">
      <c r="A465">
        <v>2006180</v>
      </c>
      <c r="B465">
        <v>2021</v>
      </c>
      <c r="C465" t="s">
        <v>6</v>
      </c>
      <c r="D465" t="s">
        <v>7</v>
      </c>
      <c r="E465" t="s">
        <v>8</v>
      </c>
      <c r="F465" s="28">
        <v>5025</v>
      </c>
      <c r="G465" t="s">
        <v>107</v>
      </c>
      <c r="H465" s="25">
        <v>1942652</v>
      </c>
      <c r="I465" s="1">
        <v>290024.57950412214</v>
      </c>
      <c r="J465" s="1">
        <v>2232676.579504122</v>
      </c>
    </row>
    <row r="466" spans="1:10" x14ac:dyDescent="0.2">
      <c r="A466">
        <v>2006180</v>
      </c>
      <c r="B466">
        <v>2022</v>
      </c>
      <c r="C466" t="s">
        <v>6</v>
      </c>
      <c r="D466" t="s">
        <v>7</v>
      </c>
      <c r="E466" t="s">
        <v>8</v>
      </c>
      <c r="F466" s="28">
        <v>5025</v>
      </c>
      <c r="G466" t="s">
        <v>107</v>
      </c>
      <c r="H466" s="1">
        <v>1847442</v>
      </c>
      <c r="I466" s="1">
        <v>250892.88448419856</v>
      </c>
      <c r="J466" s="1">
        <v>2098334.8844841984</v>
      </c>
    </row>
    <row r="467" spans="1:10" x14ac:dyDescent="0.2">
      <c r="A467">
        <v>2006180</v>
      </c>
      <c r="B467">
        <v>2023</v>
      </c>
      <c r="C467" t="s">
        <v>6</v>
      </c>
      <c r="D467" t="s">
        <v>7</v>
      </c>
      <c r="E467" t="s">
        <v>8</v>
      </c>
      <c r="F467" s="28">
        <v>5025</v>
      </c>
      <c r="G467" s="10" t="s">
        <v>107</v>
      </c>
      <c r="H467" s="1">
        <v>2006999</v>
      </c>
      <c r="I467" s="1">
        <v>280985.83340483549</v>
      </c>
      <c r="J467" s="1">
        <v>2287984.8334048353</v>
      </c>
    </row>
    <row r="468" spans="1:10" x14ac:dyDescent="0.2">
      <c r="A468">
        <v>2003210</v>
      </c>
      <c r="B468">
        <v>2015</v>
      </c>
      <c r="C468" t="s">
        <v>6</v>
      </c>
      <c r="D468" t="s">
        <v>7</v>
      </c>
      <c r="E468" t="s">
        <v>8</v>
      </c>
      <c r="F468" s="29">
        <v>5026</v>
      </c>
      <c r="G468" s="3" t="s">
        <v>108</v>
      </c>
      <c r="H468" s="27">
        <v>310906</v>
      </c>
      <c r="I468" s="1">
        <v>50078.885997528465</v>
      </c>
      <c r="J468" s="1">
        <v>360984.88599752844</v>
      </c>
    </row>
    <row r="469" spans="1:10" x14ac:dyDescent="0.2">
      <c r="A469">
        <v>2003210</v>
      </c>
      <c r="B469">
        <v>2016</v>
      </c>
      <c r="C469" t="s">
        <v>6</v>
      </c>
      <c r="D469" t="s">
        <v>7</v>
      </c>
      <c r="E469" t="s">
        <v>8</v>
      </c>
      <c r="F469" s="29">
        <v>5026</v>
      </c>
      <c r="G469" s="3" t="s">
        <v>108</v>
      </c>
      <c r="H469" s="1">
        <v>320419</v>
      </c>
      <c r="I469" s="26">
        <v>846260.18243442825</v>
      </c>
      <c r="J469" s="26">
        <v>1166679.1824344283</v>
      </c>
    </row>
    <row r="470" spans="1:10" x14ac:dyDescent="0.2">
      <c r="A470">
        <v>2003210</v>
      </c>
      <c r="B470">
        <v>2017</v>
      </c>
      <c r="C470" t="s">
        <v>6</v>
      </c>
      <c r="D470" t="s">
        <v>7</v>
      </c>
      <c r="E470" t="s">
        <v>8</v>
      </c>
      <c r="F470" s="29">
        <v>5026</v>
      </c>
      <c r="G470" s="3" t="s">
        <v>108</v>
      </c>
      <c r="H470" s="1">
        <v>324631</v>
      </c>
      <c r="I470" s="1">
        <v>50660.498795071871</v>
      </c>
      <c r="J470" s="1">
        <v>375291.49879507185</v>
      </c>
    </row>
    <row r="471" spans="1:10" x14ac:dyDescent="0.2">
      <c r="A471">
        <v>2003210</v>
      </c>
      <c r="B471">
        <v>2018</v>
      </c>
      <c r="C471" t="s">
        <v>6</v>
      </c>
      <c r="D471" t="s">
        <v>7</v>
      </c>
      <c r="E471" t="s">
        <v>8</v>
      </c>
      <c r="F471" s="28">
        <v>5026</v>
      </c>
      <c r="G471" t="s">
        <v>108</v>
      </c>
      <c r="H471" s="1">
        <v>347008</v>
      </c>
      <c r="I471" s="1">
        <v>52474.323284915699</v>
      </c>
      <c r="J471" s="1">
        <v>399482.32328491571</v>
      </c>
    </row>
    <row r="472" spans="1:10" x14ac:dyDescent="0.2">
      <c r="A472">
        <v>2003210</v>
      </c>
      <c r="B472">
        <v>2019</v>
      </c>
      <c r="C472" t="s">
        <v>6</v>
      </c>
      <c r="D472" t="s">
        <v>7</v>
      </c>
      <c r="E472" t="s">
        <v>8</v>
      </c>
      <c r="F472" s="28">
        <v>5026</v>
      </c>
      <c r="G472" t="s">
        <v>108</v>
      </c>
      <c r="H472" s="1">
        <v>358470</v>
      </c>
      <c r="I472" s="1">
        <v>54594.200209018672</v>
      </c>
      <c r="J472" s="1">
        <v>413064.20020901866</v>
      </c>
    </row>
    <row r="473" spans="1:10" x14ac:dyDescent="0.2">
      <c r="A473">
        <v>2003210</v>
      </c>
      <c r="B473">
        <v>2020</v>
      </c>
      <c r="C473" t="s">
        <v>6</v>
      </c>
      <c r="D473" t="s">
        <v>7</v>
      </c>
      <c r="E473" t="s">
        <v>8</v>
      </c>
      <c r="F473" s="28">
        <v>5026</v>
      </c>
      <c r="G473" t="s">
        <v>108</v>
      </c>
      <c r="H473" s="1">
        <v>408455</v>
      </c>
      <c r="I473" s="1">
        <v>61793.043177747713</v>
      </c>
      <c r="J473" s="1">
        <v>470248.04317774769</v>
      </c>
    </row>
    <row r="474" spans="1:10" x14ac:dyDescent="0.2">
      <c r="A474">
        <v>2003210</v>
      </c>
      <c r="B474">
        <v>2021</v>
      </c>
      <c r="C474" t="s">
        <v>6</v>
      </c>
      <c r="D474" t="s">
        <v>7</v>
      </c>
      <c r="E474" t="s">
        <v>8</v>
      </c>
      <c r="F474" s="28">
        <v>5026</v>
      </c>
      <c r="G474" t="s">
        <v>108</v>
      </c>
      <c r="H474" s="25">
        <v>407049</v>
      </c>
      <c r="I474" s="1">
        <v>60769.615485724367</v>
      </c>
      <c r="J474" s="1">
        <v>467818.61548572435</v>
      </c>
    </row>
    <row r="475" spans="1:10" x14ac:dyDescent="0.2">
      <c r="A475">
        <v>2003210</v>
      </c>
      <c r="B475">
        <v>2022</v>
      </c>
      <c r="C475" t="s">
        <v>6</v>
      </c>
      <c r="D475" t="s">
        <v>7</v>
      </c>
      <c r="E475" t="s">
        <v>8</v>
      </c>
      <c r="F475" s="28">
        <v>5026</v>
      </c>
      <c r="G475" t="s">
        <v>108</v>
      </c>
      <c r="H475" s="1">
        <v>386757</v>
      </c>
      <c r="I475" s="1">
        <v>52523.748688432541</v>
      </c>
      <c r="J475" s="1">
        <v>439280.74868843256</v>
      </c>
    </row>
    <row r="476" spans="1:10" x14ac:dyDescent="0.2">
      <c r="A476">
        <v>2003210</v>
      </c>
      <c r="B476">
        <v>2023</v>
      </c>
      <c r="C476" t="s">
        <v>6</v>
      </c>
      <c r="D476" t="s">
        <v>7</v>
      </c>
      <c r="E476" t="s">
        <v>8</v>
      </c>
      <c r="F476" s="28">
        <v>5026</v>
      </c>
      <c r="G476" s="10" t="s">
        <v>108</v>
      </c>
      <c r="H476" s="1">
        <v>400189</v>
      </c>
      <c r="I476" s="1">
        <v>56027.651077278912</v>
      </c>
      <c r="J476" s="1">
        <v>456216.65107727889</v>
      </c>
    </row>
    <row r="477" spans="1:10" x14ac:dyDescent="0.2">
      <c r="A477">
        <v>2007050</v>
      </c>
      <c r="B477">
        <v>2015</v>
      </c>
      <c r="C477" t="s">
        <v>6</v>
      </c>
      <c r="D477" t="s">
        <v>7</v>
      </c>
      <c r="E477" t="s">
        <v>8</v>
      </c>
      <c r="F477" s="29">
        <v>5027</v>
      </c>
      <c r="G477" s="3" t="s">
        <v>109</v>
      </c>
      <c r="H477" s="27">
        <v>3411987</v>
      </c>
      <c r="I477" s="1">
        <v>549582.53619437758</v>
      </c>
      <c r="J477" s="1">
        <v>3961569.5361943776</v>
      </c>
    </row>
    <row r="478" spans="1:10" x14ac:dyDescent="0.2">
      <c r="A478">
        <v>2007050</v>
      </c>
      <c r="B478">
        <v>2016</v>
      </c>
      <c r="C478" t="s">
        <v>6</v>
      </c>
      <c r="D478" t="s">
        <v>7</v>
      </c>
      <c r="E478" t="s">
        <v>8</v>
      </c>
      <c r="F478" s="29">
        <v>5027</v>
      </c>
      <c r="G478" s="3" t="s">
        <v>109</v>
      </c>
      <c r="H478" s="1">
        <v>3493148</v>
      </c>
      <c r="I478" s="26">
        <v>9225722.6746968012</v>
      </c>
      <c r="J478" s="26">
        <v>12718870.674696801</v>
      </c>
    </row>
    <row r="479" spans="1:10" x14ac:dyDescent="0.2">
      <c r="A479">
        <v>2007050</v>
      </c>
      <c r="B479">
        <v>2017</v>
      </c>
      <c r="C479" t="s">
        <v>6</v>
      </c>
      <c r="D479" t="s">
        <v>7</v>
      </c>
      <c r="E479" t="s">
        <v>8</v>
      </c>
      <c r="F479" s="29">
        <v>5027</v>
      </c>
      <c r="G479" s="3" t="s">
        <v>109</v>
      </c>
      <c r="H479" s="1">
        <v>3996066</v>
      </c>
      <c r="I479" s="1">
        <v>623608.6411280121</v>
      </c>
      <c r="J479" s="1">
        <v>4619674.641128012</v>
      </c>
    </row>
    <row r="480" spans="1:10" x14ac:dyDescent="0.2">
      <c r="A480">
        <v>2007050</v>
      </c>
      <c r="B480">
        <v>2018</v>
      </c>
      <c r="C480" t="s">
        <v>6</v>
      </c>
      <c r="D480" t="s">
        <v>7</v>
      </c>
      <c r="E480" t="s">
        <v>8</v>
      </c>
      <c r="F480" s="28">
        <v>5027</v>
      </c>
      <c r="G480" t="s">
        <v>109</v>
      </c>
      <c r="H480" s="1">
        <v>4741804</v>
      </c>
      <c r="I480" s="1">
        <v>717052.50613734103</v>
      </c>
      <c r="J480" s="1">
        <v>5458856.5061373413</v>
      </c>
    </row>
    <row r="481" spans="1:10" x14ac:dyDescent="0.2">
      <c r="A481">
        <v>2007050</v>
      </c>
      <c r="B481">
        <v>2019</v>
      </c>
      <c r="C481" t="s">
        <v>6</v>
      </c>
      <c r="D481" t="s">
        <v>7</v>
      </c>
      <c r="E481" t="s">
        <v>8</v>
      </c>
      <c r="F481" s="28">
        <v>5027</v>
      </c>
      <c r="G481" t="s">
        <v>109</v>
      </c>
      <c r="H481" s="1">
        <v>5536929</v>
      </c>
      <c r="I481" s="1">
        <v>843262.22659949667</v>
      </c>
      <c r="J481" s="1">
        <v>6380191.2265994968</v>
      </c>
    </row>
    <row r="482" spans="1:10" x14ac:dyDescent="0.2">
      <c r="A482">
        <v>2007050</v>
      </c>
      <c r="B482">
        <v>2020</v>
      </c>
      <c r="C482" t="s">
        <v>6</v>
      </c>
      <c r="D482" t="s">
        <v>7</v>
      </c>
      <c r="E482" t="s">
        <v>8</v>
      </c>
      <c r="F482" s="28">
        <v>5027</v>
      </c>
      <c r="G482" t="s">
        <v>109</v>
      </c>
      <c r="H482" s="1">
        <v>6181190</v>
      </c>
      <c r="I482" s="1">
        <v>935120.24717499455</v>
      </c>
      <c r="J482" s="1">
        <v>7116310.247174995</v>
      </c>
    </row>
    <row r="483" spans="1:10" x14ac:dyDescent="0.2">
      <c r="A483">
        <v>2007050</v>
      </c>
      <c r="B483">
        <v>2021</v>
      </c>
      <c r="C483" t="s">
        <v>6</v>
      </c>
      <c r="D483" t="s">
        <v>7</v>
      </c>
      <c r="E483" t="s">
        <v>8</v>
      </c>
      <c r="F483" s="28">
        <v>5027</v>
      </c>
      <c r="G483" t="s">
        <v>109</v>
      </c>
      <c r="H483" s="25">
        <v>6070902</v>
      </c>
      <c r="I483" s="1">
        <v>906343.90501270129</v>
      </c>
      <c r="J483" s="1">
        <v>6977245.9050127016</v>
      </c>
    </row>
    <row r="484" spans="1:10" x14ac:dyDescent="0.2">
      <c r="A484">
        <v>2007050</v>
      </c>
      <c r="B484">
        <v>2022</v>
      </c>
      <c r="C484" t="s">
        <v>6</v>
      </c>
      <c r="D484" t="s">
        <v>7</v>
      </c>
      <c r="E484" t="s">
        <v>8</v>
      </c>
      <c r="F484" s="28">
        <v>5027</v>
      </c>
      <c r="G484" t="s">
        <v>109</v>
      </c>
      <c r="H484" s="1">
        <v>6113073</v>
      </c>
      <c r="I484" s="1">
        <v>830189.26604054309</v>
      </c>
      <c r="J484" s="1">
        <v>6943262.2660405431</v>
      </c>
    </row>
    <row r="485" spans="1:10" x14ac:dyDescent="0.2">
      <c r="A485">
        <v>2007050</v>
      </c>
      <c r="B485">
        <v>2023</v>
      </c>
      <c r="C485" t="s">
        <v>6</v>
      </c>
      <c r="D485" t="s">
        <v>7</v>
      </c>
      <c r="E485" t="s">
        <v>8</v>
      </c>
      <c r="F485" s="28">
        <v>5027</v>
      </c>
      <c r="G485" s="10" t="s">
        <v>109</v>
      </c>
      <c r="H485" s="1">
        <v>5999612</v>
      </c>
      <c r="I485" s="1">
        <v>839963.53656661103</v>
      </c>
      <c r="J485" s="1">
        <v>6839575.5365666114</v>
      </c>
    </row>
    <row r="486" spans="1:10" x14ac:dyDescent="0.2">
      <c r="A486">
        <v>2011080</v>
      </c>
      <c r="B486">
        <v>2015</v>
      </c>
      <c r="C486" t="s">
        <v>6</v>
      </c>
      <c r="D486" t="s">
        <v>7</v>
      </c>
      <c r="E486" t="s">
        <v>8</v>
      </c>
      <c r="F486" s="29">
        <v>5028</v>
      </c>
      <c r="G486" s="3" t="s">
        <v>110</v>
      </c>
      <c r="H486" s="27">
        <v>820372</v>
      </c>
      <c r="I486" s="1">
        <v>132140.63370782303</v>
      </c>
      <c r="J486" s="1">
        <v>952512.633707823</v>
      </c>
    </row>
    <row r="487" spans="1:10" x14ac:dyDescent="0.2">
      <c r="A487">
        <v>2011080</v>
      </c>
      <c r="B487">
        <v>2016</v>
      </c>
      <c r="C487" t="s">
        <v>6</v>
      </c>
      <c r="D487" t="s">
        <v>7</v>
      </c>
      <c r="E487" t="s">
        <v>8</v>
      </c>
      <c r="F487" s="29">
        <v>5028</v>
      </c>
      <c r="G487" s="3" t="s">
        <v>110</v>
      </c>
      <c r="H487" s="1">
        <v>902353</v>
      </c>
      <c r="I487" s="26">
        <v>2383197.8509545578</v>
      </c>
      <c r="J487" s="26">
        <v>3285550.8509545578</v>
      </c>
    </row>
    <row r="488" spans="1:10" x14ac:dyDescent="0.2">
      <c r="A488">
        <v>2011080</v>
      </c>
      <c r="B488">
        <v>2017</v>
      </c>
      <c r="C488" t="s">
        <v>6</v>
      </c>
      <c r="D488" t="s">
        <v>7</v>
      </c>
      <c r="E488" t="s">
        <v>8</v>
      </c>
      <c r="F488" s="29">
        <v>5028</v>
      </c>
      <c r="G488" s="3" t="s">
        <v>110</v>
      </c>
      <c r="H488" s="1">
        <v>981719</v>
      </c>
      <c r="I488" s="1">
        <v>153202.78783172023</v>
      </c>
      <c r="J488" s="1">
        <v>1134921.7878317202</v>
      </c>
    </row>
    <row r="489" spans="1:10" x14ac:dyDescent="0.2">
      <c r="A489">
        <v>2011080</v>
      </c>
      <c r="B489">
        <v>2018</v>
      </c>
      <c r="C489" t="s">
        <v>6</v>
      </c>
      <c r="D489" t="s">
        <v>7</v>
      </c>
      <c r="E489" t="s">
        <v>8</v>
      </c>
      <c r="F489" s="28">
        <v>5028</v>
      </c>
      <c r="G489" t="s">
        <v>110</v>
      </c>
      <c r="H489" s="1">
        <v>1274108</v>
      </c>
      <c r="I489" s="1">
        <v>192669.78021226422</v>
      </c>
      <c r="J489" s="1">
        <v>1466777.7802122643</v>
      </c>
    </row>
    <row r="490" spans="1:10" x14ac:dyDescent="0.2">
      <c r="A490">
        <v>2011080</v>
      </c>
      <c r="B490">
        <v>2019</v>
      </c>
      <c r="C490" t="s">
        <v>6</v>
      </c>
      <c r="D490" t="s">
        <v>7</v>
      </c>
      <c r="E490" t="s">
        <v>8</v>
      </c>
      <c r="F490" s="28">
        <v>5028</v>
      </c>
      <c r="G490" t="s">
        <v>110</v>
      </c>
      <c r="H490" s="1">
        <v>1363986</v>
      </c>
      <c r="I490" s="1">
        <v>207732.09687365341</v>
      </c>
      <c r="J490" s="1">
        <v>1571718.0968736534</v>
      </c>
    </row>
    <row r="491" spans="1:10" x14ac:dyDescent="0.2">
      <c r="A491">
        <v>2011080</v>
      </c>
      <c r="B491">
        <v>2020</v>
      </c>
      <c r="C491" t="s">
        <v>6</v>
      </c>
      <c r="D491" t="s">
        <v>7</v>
      </c>
      <c r="E491" t="s">
        <v>8</v>
      </c>
      <c r="F491" s="28">
        <v>5028</v>
      </c>
      <c r="G491" t="s">
        <v>110</v>
      </c>
      <c r="H491" s="1">
        <v>1398579</v>
      </c>
      <c r="I491" s="1">
        <v>211583.77920331794</v>
      </c>
      <c r="J491" s="1">
        <v>1610162.7792033181</v>
      </c>
    </row>
    <row r="492" spans="1:10" x14ac:dyDescent="0.2">
      <c r="A492">
        <v>2011080</v>
      </c>
      <c r="B492">
        <v>2021</v>
      </c>
      <c r="C492" t="s">
        <v>6</v>
      </c>
      <c r="D492" t="s">
        <v>7</v>
      </c>
      <c r="E492" t="s">
        <v>8</v>
      </c>
      <c r="F492" s="28">
        <v>5028</v>
      </c>
      <c r="G492" t="s">
        <v>110</v>
      </c>
      <c r="H492" s="25">
        <v>1450227</v>
      </c>
      <c r="I492" s="1">
        <v>216508.91454595292</v>
      </c>
      <c r="J492" s="1">
        <v>1666735.9145459528</v>
      </c>
    </row>
    <row r="493" spans="1:10" x14ac:dyDescent="0.2">
      <c r="A493">
        <v>2011080</v>
      </c>
      <c r="B493">
        <v>2022</v>
      </c>
      <c r="C493" t="s">
        <v>6</v>
      </c>
      <c r="D493" t="s">
        <v>7</v>
      </c>
      <c r="E493" t="s">
        <v>8</v>
      </c>
      <c r="F493" s="28">
        <v>5028</v>
      </c>
      <c r="G493" t="s">
        <v>110</v>
      </c>
      <c r="H493" s="1">
        <v>1399992</v>
      </c>
      <c r="I493" s="1">
        <v>190126.68930055833</v>
      </c>
      <c r="J493" s="1">
        <v>1590118.6893005583</v>
      </c>
    </row>
    <row r="494" spans="1:10" x14ac:dyDescent="0.2">
      <c r="A494">
        <v>2011080</v>
      </c>
      <c r="B494">
        <v>2023</v>
      </c>
      <c r="C494" t="s">
        <v>6</v>
      </c>
      <c r="D494" t="s">
        <v>7</v>
      </c>
      <c r="E494" t="s">
        <v>8</v>
      </c>
      <c r="F494" s="28">
        <v>5028</v>
      </c>
      <c r="G494" s="10" t="s">
        <v>110</v>
      </c>
      <c r="H494" s="1">
        <v>1301640</v>
      </c>
      <c r="I494" s="1">
        <v>182233.47405408273</v>
      </c>
      <c r="J494" s="1">
        <v>1483873.4740540828</v>
      </c>
    </row>
    <row r="495" spans="1:10" x14ac:dyDescent="0.2">
      <c r="A495">
        <v>2000014</v>
      </c>
      <c r="B495">
        <v>2015</v>
      </c>
      <c r="C495" t="s">
        <v>6</v>
      </c>
      <c r="D495" t="s">
        <v>7</v>
      </c>
      <c r="E495" t="s">
        <v>8</v>
      </c>
      <c r="F495" s="29">
        <v>5029</v>
      </c>
      <c r="G495" s="3" t="s">
        <v>111</v>
      </c>
      <c r="H495" s="27">
        <v>389565</v>
      </c>
      <c r="I495" s="1">
        <v>62748.809040762091</v>
      </c>
      <c r="J495" s="1">
        <v>452313.80904076208</v>
      </c>
    </row>
    <row r="496" spans="1:10" x14ac:dyDescent="0.2">
      <c r="A496">
        <v>2000014</v>
      </c>
      <c r="B496">
        <v>2016</v>
      </c>
      <c r="C496" t="s">
        <v>6</v>
      </c>
      <c r="D496" t="s">
        <v>7</v>
      </c>
      <c r="E496" t="s">
        <v>8</v>
      </c>
      <c r="F496" s="29">
        <v>5029</v>
      </c>
      <c r="G496" s="3" t="s">
        <v>111</v>
      </c>
      <c r="H496" s="1">
        <v>372965</v>
      </c>
      <c r="I496" s="26">
        <v>985032.87365942285</v>
      </c>
      <c r="J496" s="26">
        <v>1357997.8736594229</v>
      </c>
    </row>
    <row r="497" spans="1:10" x14ac:dyDescent="0.2">
      <c r="A497">
        <v>2000014</v>
      </c>
      <c r="B497">
        <v>2017</v>
      </c>
      <c r="C497" t="s">
        <v>6</v>
      </c>
      <c r="D497" t="s">
        <v>7</v>
      </c>
      <c r="E497" t="s">
        <v>8</v>
      </c>
      <c r="F497" s="29">
        <v>5029</v>
      </c>
      <c r="G497" s="3" t="s">
        <v>111</v>
      </c>
      <c r="H497" s="1">
        <v>434944</v>
      </c>
      <c r="I497" s="1">
        <v>67875.464721248863</v>
      </c>
      <c r="J497" s="1">
        <v>502819.46472124883</v>
      </c>
    </row>
    <row r="498" spans="1:10" x14ac:dyDescent="0.2">
      <c r="A498">
        <v>2000014</v>
      </c>
      <c r="B498">
        <v>2018</v>
      </c>
      <c r="C498" t="s">
        <v>6</v>
      </c>
      <c r="D498" t="s">
        <v>7</v>
      </c>
      <c r="E498" t="s">
        <v>8</v>
      </c>
      <c r="F498" s="28">
        <v>5029</v>
      </c>
      <c r="G498" t="s">
        <v>111</v>
      </c>
      <c r="H498" s="1">
        <v>507329</v>
      </c>
      <c r="I498" s="1">
        <v>76717.960271270407</v>
      </c>
      <c r="J498" s="1">
        <v>584046.96027127036</v>
      </c>
    </row>
    <row r="499" spans="1:10" x14ac:dyDescent="0.2">
      <c r="A499">
        <v>2000014</v>
      </c>
      <c r="B499">
        <v>2019</v>
      </c>
      <c r="C499" t="s">
        <v>6</v>
      </c>
      <c r="D499" t="s">
        <v>7</v>
      </c>
      <c r="E499" t="s">
        <v>8</v>
      </c>
      <c r="F499" s="28">
        <v>5029</v>
      </c>
      <c r="G499" t="s">
        <v>111</v>
      </c>
      <c r="H499" s="1">
        <v>442518</v>
      </c>
      <c r="I499" s="1">
        <v>67394.527542317417</v>
      </c>
      <c r="J499" s="1">
        <v>509912.5275423174</v>
      </c>
    </row>
    <row r="500" spans="1:10" x14ac:dyDescent="0.2">
      <c r="A500">
        <v>2000014</v>
      </c>
      <c r="B500">
        <v>2020</v>
      </c>
      <c r="C500" t="s">
        <v>6</v>
      </c>
      <c r="D500" t="s">
        <v>7</v>
      </c>
      <c r="E500" t="s">
        <v>8</v>
      </c>
      <c r="F500" s="28">
        <v>5029</v>
      </c>
      <c r="G500" t="s">
        <v>111</v>
      </c>
      <c r="H500" s="1">
        <v>545588</v>
      </c>
      <c r="I500" s="1">
        <v>82539.185078554612</v>
      </c>
      <c r="J500" s="1">
        <v>628127.18507855455</v>
      </c>
    </row>
    <row r="501" spans="1:10" x14ac:dyDescent="0.2">
      <c r="A501">
        <v>2000014</v>
      </c>
      <c r="B501">
        <v>2021</v>
      </c>
      <c r="C501" t="s">
        <v>6</v>
      </c>
      <c r="D501" t="s">
        <v>7</v>
      </c>
      <c r="E501" t="s">
        <v>8</v>
      </c>
      <c r="F501" s="28">
        <v>5029</v>
      </c>
      <c r="G501" t="s">
        <v>111</v>
      </c>
      <c r="H501" s="25">
        <v>504729</v>
      </c>
      <c r="I501" s="1">
        <v>75352.567515198854</v>
      </c>
      <c r="J501" s="1">
        <v>580081.56751519884</v>
      </c>
    </row>
    <row r="502" spans="1:10" x14ac:dyDescent="0.2">
      <c r="A502">
        <v>2000014</v>
      </c>
      <c r="B502">
        <v>2022</v>
      </c>
      <c r="C502" t="s">
        <v>6</v>
      </c>
      <c r="D502" t="s">
        <v>7</v>
      </c>
      <c r="E502" t="s">
        <v>8</v>
      </c>
      <c r="F502" s="28">
        <v>5029</v>
      </c>
      <c r="G502" t="s">
        <v>111</v>
      </c>
      <c r="H502" s="1">
        <v>493869</v>
      </c>
      <c r="I502" s="1">
        <v>67070.153199573615</v>
      </c>
      <c r="J502" s="1">
        <v>560939.15319957363</v>
      </c>
    </row>
    <row r="503" spans="1:10" x14ac:dyDescent="0.2">
      <c r="A503">
        <v>2000014</v>
      </c>
      <c r="B503">
        <v>2023</v>
      </c>
      <c r="C503" t="s">
        <v>6</v>
      </c>
      <c r="D503" t="s">
        <v>7</v>
      </c>
      <c r="E503" t="s">
        <v>8</v>
      </c>
      <c r="F503" s="28">
        <v>5029</v>
      </c>
      <c r="G503" s="10" t="s">
        <v>111</v>
      </c>
      <c r="H503" s="1">
        <v>488418</v>
      </c>
      <c r="I503" s="1">
        <v>68379.973672095963</v>
      </c>
      <c r="J503" s="1">
        <v>556797.97367209592</v>
      </c>
    </row>
    <row r="504" spans="1:10" x14ac:dyDescent="0.2">
      <c r="A504">
        <v>2011370</v>
      </c>
      <c r="B504">
        <v>2015</v>
      </c>
      <c r="C504" t="s">
        <v>6</v>
      </c>
      <c r="D504" t="s">
        <v>7</v>
      </c>
      <c r="E504" t="s">
        <v>8</v>
      </c>
      <c r="F504" s="29">
        <v>5031</v>
      </c>
      <c r="G504" s="3" t="s">
        <v>112</v>
      </c>
      <c r="H504" s="27">
        <v>5840097</v>
      </c>
      <c r="I504" s="1">
        <v>940688.02749869099</v>
      </c>
      <c r="J504" s="1">
        <v>6780785.0274986913</v>
      </c>
    </row>
    <row r="505" spans="1:10" x14ac:dyDescent="0.2">
      <c r="A505">
        <v>2011370</v>
      </c>
      <c r="B505">
        <v>2016</v>
      </c>
      <c r="C505" t="s">
        <v>6</v>
      </c>
      <c r="D505" t="s">
        <v>7</v>
      </c>
      <c r="E505" t="s">
        <v>8</v>
      </c>
      <c r="F505" s="29">
        <v>5031</v>
      </c>
      <c r="G505" s="3" t="s">
        <v>112</v>
      </c>
      <c r="H505" s="1">
        <v>6373406</v>
      </c>
      <c r="I505" s="26">
        <v>16832736.225369539</v>
      </c>
      <c r="J505" s="26">
        <v>23206142.225369539</v>
      </c>
    </row>
    <row r="506" spans="1:10" x14ac:dyDescent="0.2">
      <c r="A506">
        <v>2011370</v>
      </c>
      <c r="B506">
        <v>2017</v>
      </c>
      <c r="C506" t="s">
        <v>6</v>
      </c>
      <c r="D506" t="s">
        <v>7</v>
      </c>
      <c r="E506" t="s">
        <v>8</v>
      </c>
      <c r="F506" s="29">
        <v>5031</v>
      </c>
      <c r="G506" s="3" t="s">
        <v>112</v>
      </c>
      <c r="H506" s="1">
        <v>6721269</v>
      </c>
      <c r="I506" s="1">
        <v>1048891.942161574</v>
      </c>
      <c r="J506" s="1">
        <v>7770160.942161574</v>
      </c>
    </row>
    <row r="507" spans="1:10" x14ac:dyDescent="0.2">
      <c r="A507">
        <v>2011370</v>
      </c>
      <c r="B507">
        <v>2018</v>
      </c>
      <c r="C507" t="s">
        <v>6</v>
      </c>
      <c r="D507" t="s">
        <v>7</v>
      </c>
      <c r="E507" t="s">
        <v>8</v>
      </c>
      <c r="F507" s="28">
        <v>5031</v>
      </c>
      <c r="G507" t="s">
        <v>112</v>
      </c>
      <c r="H507" s="1">
        <v>7919218</v>
      </c>
      <c r="I507" s="1">
        <v>1197538.9774752269</v>
      </c>
      <c r="J507" s="1">
        <v>9116756.9774752259</v>
      </c>
    </row>
    <row r="508" spans="1:10" x14ac:dyDescent="0.2">
      <c r="A508">
        <v>2011370</v>
      </c>
      <c r="B508">
        <v>2019</v>
      </c>
      <c r="C508" t="s">
        <v>6</v>
      </c>
      <c r="D508" t="s">
        <v>7</v>
      </c>
      <c r="E508" t="s">
        <v>8</v>
      </c>
      <c r="F508" s="28">
        <v>5031</v>
      </c>
      <c r="G508" t="s">
        <v>112</v>
      </c>
      <c r="H508" s="1">
        <v>8830249</v>
      </c>
      <c r="I508" s="1">
        <v>1344827.6893505368</v>
      </c>
      <c r="J508" s="1">
        <v>10175076.689350536</v>
      </c>
    </row>
    <row r="509" spans="1:10" x14ac:dyDescent="0.2">
      <c r="A509">
        <v>2011370</v>
      </c>
      <c r="B509">
        <v>2020</v>
      </c>
      <c r="C509" t="s">
        <v>6</v>
      </c>
      <c r="D509" t="s">
        <v>7</v>
      </c>
      <c r="E509" t="s">
        <v>8</v>
      </c>
      <c r="F509" s="28">
        <v>5031</v>
      </c>
      <c r="G509" t="s">
        <v>112</v>
      </c>
      <c r="H509" s="1">
        <v>9613989</v>
      </c>
      <c r="I509" s="1">
        <v>1454450.6430020237</v>
      </c>
      <c r="J509" s="1">
        <v>11068439.643002024</v>
      </c>
    </row>
    <row r="510" spans="1:10" x14ac:dyDescent="0.2">
      <c r="A510">
        <v>2011370</v>
      </c>
      <c r="B510">
        <v>2021</v>
      </c>
      <c r="C510" t="s">
        <v>6</v>
      </c>
      <c r="D510" t="s">
        <v>7</v>
      </c>
      <c r="E510" t="s">
        <v>8</v>
      </c>
      <c r="F510" s="28">
        <v>5031</v>
      </c>
      <c r="G510" t="s">
        <v>112</v>
      </c>
      <c r="H510" s="25">
        <v>9468666</v>
      </c>
      <c r="I510" s="1">
        <v>1413606.6959573708</v>
      </c>
      <c r="J510" s="1">
        <v>10882272.69595737</v>
      </c>
    </row>
    <row r="511" spans="1:10" x14ac:dyDescent="0.2">
      <c r="A511">
        <v>2011370</v>
      </c>
      <c r="B511">
        <v>2022</v>
      </c>
      <c r="C511" t="s">
        <v>6</v>
      </c>
      <c r="D511" t="s">
        <v>7</v>
      </c>
      <c r="E511" t="s">
        <v>8</v>
      </c>
      <c r="F511" s="28">
        <v>5031</v>
      </c>
      <c r="G511" t="s">
        <v>112</v>
      </c>
      <c r="H511" s="1">
        <v>9696223</v>
      </c>
      <c r="I511" s="1">
        <v>1316800.9372267327</v>
      </c>
      <c r="J511" s="1">
        <v>11013023.937226733</v>
      </c>
    </row>
    <row r="512" spans="1:10" x14ac:dyDescent="0.2">
      <c r="A512">
        <v>2011370</v>
      </c>
      <c r="B512">
        <v>2023</v>
      </c>
      <c r="C512" t="s">
        <v>6</v>
      </c>
      <c r="D512" t="s">
        <v>7</v>
      </c>
      <c r="E512" t="s">
        <v>8</v>
      </c>
      <c r="F512" s="28">
        <v>5031</v>
      </c>
      <c r="G512" s="10" t="s">
        <v>112</v>
      </c>
      <c r="H512" s="1">
        <v>9714019</v>
      </c>
      <c r="I512" s="1">
        <v>1359991.5717075127</v>
      </c>
      <c r="J512" s="1">
        <v>11074010.571707513</v>
      </c>
    </row>
    <row r="513" spans="1:10" x14ac:dyDescent="0.2">
      <c r="A513">
        <v>2003390</v>
      </c>
      <c r="B513">
        <v>2015</v>
      </c>
      <c r="C513" t="s">
        <v>6</v>
      </c>
      <c r="D513" t="s">
        <v>7</v>
      </c>
      <c r="E513" t="s">
        <v>8</v>
      </c>
      <c r="F513" s="29">
        <v>5032</v>
      </c>
      <c r="G513" s="3" t="s">
        <v>359</v>
      </c>
      <c r="H513" s="27">
        <v>502064</v>
      </c>
      <c r="I513" s="1">
        <v>80869.477653899041</v>
      </c>
      <c r="J513" s="1">
        <v>582933.477653899</v>
      </c>
    </row>
    <row r="514" spans="1:10" x14ac:dyDescent="0.2">
      <c r="A514">
        <v>2003390</v>
      </c>
      <c r="B514">
        <v>2016</v>
      </c>
      <c r="C514" t="s">
        <v>6</v>
      </c>
      <c r="D514" t="s">
        <v>7</v>
      </c>
      <c r="E514" t="s">
        <v>8</v>
      </c>
      <c r="F514" s="29">
        <v>5032</v>
      </c>
      <c r="G514" s="3" t="s">
        <v>359</v>
      </c>
      <c r="H514" s="1">
        <v>582931</v>
      </c>
      <c r="I514" s="26">
        <v>1539578.5718174139</v>
      </c>
      <c r="J514" s="26">
        <v>2122509.5718174139</v>
      </c>
    </row>
    <row r="515" spans="1:10" x14ac:dyDescent="0.2">
      <c r="A515">
        <v>2003390</v>
      </c>
      <c r="B515">
        <v>2017</v>
      </c>
      <c r="C515" t="s">
        <v>6</v>
      </c>
      <c r="D515" t="s">
        <v>7</v>
      </c>
      <c r="E515" t="s">
        <v>8</v>
      </c>
      <c r="F515" s="29">
        <v>5032</v>
      </c>
      <c r="G515" s="3" t="s">
        <v>359</v>
      </c>
      <c r="H515" s="1">
        <v>577499</v>
      </c>
      <c r="I515" s="1">
        <v>90121.976624706862</v>
      </c>
      <c r="J515" s="1">
        <v>667620.97662470688</v>
      </c>
    </row>
    <row r="516" spans="1:10" x14ac:dyDescent="0.2">
      <c r="A516">
        <v>2003390</v>
      </c>
      <c r="B516">
        <v>2018</v>
      </c>
      <c r="C516" t="s">
        <v>6</v>
      </c>
      <c r="D516" t="s">
        <v>7</v>
      </c>
      <c r="E516" t="s">
        <v>8</v>
      </c>
      <c r="F516" s="28">
        <v>5032</v>
      </c>
      <c r="G516" t="s">
        <v>359</v>
      </c>
      <c r="H516" s="1">
        <v>658275</v>
      </c>
      <c r="I516" s="1">
        <v>99543.9158762273</v>
      </c>
      <c r="J516" s="1">
        <v>757818.91587622731</v>
      </c>
    </row>
    <row r="517" spans="1:10" x14ac:dyDescent="0.2">
      <c r="A517">
        <v>2003390</v>
      </c>
      <c r="B517">
        <v>2019</v>
      </c>
      <c r="C517" t="s">
        <v>6</v>
      </c>
      <c r="D517" t="s">
        <v>7</v>
      </c>
      <c r="E517" t="s">
        <v>8</v>
      </c>
      <c r="F517" s="28">
        <v>5032</v>
      </c>
      <c r="G517" t="s">
        <v>359</v>
      </c>
      <c r="H517" s="1">
        <v>732554</v>
      </c>
      <c r="I517" s="1">
        <v>111566.37860885839</v>
      </c>
      <c r="J517" s="1">
        <v>844120.37860885845</v>
      </c>
    </row>
    <row r="518" spans="1:10" x14ac:dyDescent="0.2">
      <c r="A518">
        <v>2003390</v>
      </c>
      <c r="B518">
        <v>2020</v>
      </c>
      <c r="C518" t="s">
        <v>6</v>
      </c>
      <c r="D518" t="s">
        <v>7</v>
      </c>
      <c r="E518" t="s">
        <v>8</v>
      </c>
      <c r="F518" s="28">
        <v>5032</v>
      </c>
      <c r="G518" t="s">
        <v>359</v>
      </c>
      <c r="H518" s="1">
        <v>809978</v>
      </c>
      <c r="I518" s="1">
        <v>122537.37994889458</v>
      </c>
      <c r="J518" s="1">
        <v>932515.37994889461</v>
      </c>
    </row>
    <row r="519" spans="1:10" x14ac:dyDescent="0.2">
      <c r="A519">
        <v>2003390</v>
      </c>
      <c r="B519">
        <v>2021</v>
      </c>
      <c r="C519" t="s">
        <v>6</v>
      </c>
      <c r="D519" t="s">
        <v>7</v>
      </c>
      <c r="E519" t="s">
        <v>8</v>
      </c>
      <c r="F519" s="28">
        <v>5032</v>
      </c>
      <c r="G519" t="s">
        <v>113</v>
      </c>
      <c r="H519" s="25">
        <v>840263</v>
      </c>
      <c r="I519" s="1">
        <v>125445.48547442989</v>
      </c>
      <c r="J519" s="1">
        <v>965708.48547442991</v>
      </c>
    </row>
    <row r="520" spans="1:10" x14ac:dyDescent="0.2">
      <c r="A520">
        <v>2003390</v>
      </c>
      <c r="B520">
        <v>2022</v>
      </c>
      <c r="C520" t="s">
        <v>6</v>
      </c>
      <c r="D520" t="s">
        <v>7</v>
      </c>
      <c r="E520" t="s">
        <v>8</v>
      </c>
      <c r="F520" s="28">
        <v>5032</v>
      </c>
      <c r="G520" t="s">
        <v>113</v>
      </c>
      <c r="H520" s="1">
        <v>854686</v>
      </c>
      <c r="I520" s="1">
        <v>116071.10581455966</v>
      </c>
      <c r="J520" s="1">
        <v>970757.10581455962</v>
      </c>
    </row>
    <row r="521" spans="1:10" x14ac:dyDescent="0.2">
      <c r="A521">
        <v>2003390</v>
      </c>
      <c r="B521">
        <v>2023</v>
      </c>
      <c r="C521" t="s">
        <v>6</v>
      </c>
      <c r="D521" t="s">
        <v>7</v>
      </c>
      <c r="E521" t="s">
        <v>8</v>
      </c>
      <c r="F521" s="28">
        <v>5032</v>
      </c>
      <c r="G521" s="10" t="s">
        <v>113</v>
      </c>
      <c r="H521" s="1">
        <v>870188</v>
      </c>
      <c r="I521" s="1">
        <v>121828.90992914644</v>
      </c>
      <c r="J521" s="1">
        <v>992016.90992914641</v>
      </c>
    </row>
    <row r="522" spans="1:10" x14ac:dyDescent="0.2">
      <c r="A522">
        <v>2011100</v>
      </c>
      <c r="B522">
        <v>2015</v>
      </c>
      <c r="C522" t="s">
        <v>6</v>
      </c>
      <c r="D522" t="s">
        <v>7</v>
      </c>
      <c r="E522" t="s">
        <v>8</v>
      </c>
      <c r="F522" s="29">
        <v>5033</v>
      </c>
      <c r="G522" s="3" t="s">
        <v>114</v>
      </c>
      <c r="H522" s="27">
        <v>353946</v>
      </c>
      <c r="I522" s="1">
        <v>57011.512750738846</v>
      </c>
      <c r="J522" s="1">
        <v>410957.51275073882</v>
      </c>
    </row>
    <row r="523" spans="1:10" x14ac:dyDescent="0.2">
      <c r="A523">
        <v>2011100</v>
      </c>
      <c r="B523">
        <v>2016</v>
      </c>
      <c r="C523" t="s">
        <v>6</v>
      </c>
      <c r="D523" t="s">
        <v>7</v>
      </c>
      <c r="E523" t="s">
        <v>8</v>
      </c>
      <c r="F523" s="29">
        <v>5033</v>
      </c>
      <c r="G523" s="3" t="s">
        <v>114</v>
      </c>
      <c r="H523" s="1">
        <v>392132</v>
      </c>
      <c r="I523" s="26">
        <v>1035651.6902742425</v>
      </c>
      <c r="J523" s="26">
        <v>1427783.6902742425</v>
      </c>
    </row>
    <row r="524" spans="1:10" x14ac:dyDescent="0.2">
      <c r="A524">
        <v>2011100</v>
      </c>
      <c r="B524">
        <v>2017</v>
      </c>
      <c r="C524" t="s">
        <v>6</v>
      </c>
      <c r="D524" t="s">
        <v>7</v>
      </c>
      <c r="E524" t="s">
        <v>8</v>
      </c>
      <c r="F524" s="29">
        <v>5033</v>
      </c>
      <c r="G524" s="3" t="s">
        <v>114</v>
      </c>
      <c r="H524" s="1">
        <v>405268</v>
      </c>
      <c r="I524" s="1">
        <v>63244.357518786528</v>
      </c>
      <c r="J524" s="1">
        <v>468512.35751878651</v>
      </c>
    </row>
    <row r="525" spans="1:10" x14ac:dyDescent="0.2">
      <c r="A525">
        <v>2011100</v>
      </c>
      <c r="B525">
        <v>2018</v>
      </c>
      <c r="C525" t="s">
        <v>6</v>
      </c>
      <c r="D525" t="s">
        <v>7</v>
      </c>
      <c r="E525" t="s">
        <v>8</v>
      </c>
      <c r="F525" s="28">
        <v>5033</v>
      </c>
      <c r="G525" t="s">
        <v>114</v>
      </c>
      <c r="H525" s="1">
        <v>454458</v>
      </c>
      <c r="I525" s="1">
        <v>68722.842157576262</v>
      </c>
      <c r="J525" s="1">
        <v>523180.84215757623</v>
      </c>
    </row>
    <row r="526" spans="1:10" x14ac:dyDescent="0.2">
      <c r="A526">
        <v>2011100</v>
      </c>
      <c r="B526">
        <v>2019</v>
      </c>
      <c r="C526" t="s">
        <v>6</v>
      </c>
      <c r="D526" t="s">
        <v>7</v>
      </c>
      <c r="E526" t="s">
        <v>8</v>
      </c>
      <c r="F526" s="28">
        <v>5033</v>
      </c>
      <c r="G526" t="s">
        <v>114</v>
      </c>
      <c r="H526" s="1">
        <v>531005</v>
      </c>
      <c r="I526" s="1">
        <v>80870.904906937722</v>
      </c>
      <c r="J526" s="1">
        <v>611875.90490693774</v>
      </c>
    </row>
    <row r="527" spans="1:10" x14ac:dyDescent="0.2">
      <c r="A527">
        <v>2011100</v>
      </c>
      <c r="B527">
        <v>2020</v>
      </c>
      <c r="C527" t="s">
        <v>6</v>
      </c>
      <c r="D527" t="s">
        <v>7</v>
      </c>
      <c r="E527" t="s">
        <v>8</v>
      </c>
      <c r="F527" s="28">
        <v>5033</v>
      </c>
      <c r="G527" t="s">
        <v>114</v>
      </c>
      <c r="H527" s="1">
        <v>613380</v>
      </c>
      <c r="I527" s="1">
        <v>92795.085932028975</v>
      </c>
      <c r="J527" s="1">
        <v>706175.08593202895</v>
      </c>
    </row>
    <row r="528" spans="1:10" x14ac:dyDescent="0.2">
      <c r="A528">
        <v>2011100</v>
      </c>
      <c r="B528">
        <v>2021</v>
      </c>
      <c r="C528" t="s">
        <v>6</v>
      </c>
      <c r="D528" t="s">
        <v>7</v>
      </c>
      <c r="E528" t="s">
        <v>8</v>
      </c>
      <c r="F528" s="28">
        <v>5033</v>
      </c>
      <c r="G528" t="s">
        <v>114</v>
      </c>
      <c r="H528" s="25">
        <v>578725</v>
      </c>
      <c r="I528" s="1">
        <v>86399.661274136131</v>
      </c>
      <c r="J528" s="1">
        <v>665124.66127413616</v>
      </c>
    </row>
    <row r="529" spans="1:10" x14ac:dyDescent="0.2">
      <c r="A529">
        <v>2011100</v>
      </c>
      <c r="B529">
        <v>2022</v>
      </c>
      <c r="C529" t="s">
        <v>6</v>
      </c>
      <c r="D529" t="s">
        <v>7</v>
      </c>
      <c r="E529" t="s">
        <v>8</v>
      </c>
      <c r="F529" s="28">
        <v>5033</v>
      </c>
      <c r="G529" t="s">
        <v>114</v>
      </c>
      <c r="H529" s="1">
        <v>559676</v>
      </c>
      <c r="I529" s="1">
        <v>76007.109298466923</v>
      </c>
      <c r="J529" s="1">
        <v>635683.10929846694</v>
      </c>
    </row>
    <row r="530" spans="1:10" x14ac:dyDescent="0.2">
      <c r="A530">
        <v>2011100</v>
      </c>
      <c r="B530">
        <v>2023</v>
      </c>
      <c r="C530" t="s">
        <v>6</v>
      </c>
      <c r="D530" t="s">
        <v>7</v>
      </c>
      <c r="E530" t="s">
        <v>8</v>
      </c>
      <c r="F530" s="28">
        <v>5033</v>
      </c>
      <c r="G530" s="10" t="s">
        <v>114</v>
      </c>
      <c r="H530" s="1">
        <v>569264</v>
      </c>
      <c r="I530" s="1">
        <v>79698.65429298683</v>
      </c>
      <c r="J530" s="1">
        <v>648962.65429298684</v>
      </c>
    </row>
    <row r="531" spans="1:10" x14ac:dyDescent="0.2">
      <c r="A531">
        <v>2004020</v>
      </c>
      <c r="B531">
        <v>2015</v>
      </c>
      <c r="C531" t="s">
        <v>6</v>
      </c>
      <c r="D531" t="s">
        <v>7</v>
      </c>
      <c r="E531" t="s">
        <v>8</v>
      </c>
      <c r="F531" s="29">
        <v>5034</v>
      </c>
      <c r="G531" s="3" t="s">
        <v>115</v>
      </c>
      <c r="H531" s="27">
        <v>188521</v>
      </c>
      <c r="I531" s="1">
        <v>30365.8394085031</v>
      </c>
      <c r="J531" s="1">
        <v>218886.83940850309</v>
      </c>
    </row>
    <row r="532" spans="1:10" x14ac:dyDescent="0.2">
      <c r="A532">
        <v>2004020</v>
      </c>
      <c r="B532">
        <v>2016</v>
      </c>
      <c r="C532" t="s">
        <v>6</v>
      </c>
      <c r="D532" t="s">
        <v>7</v>
      </c>
      <c r="E532" t="s">
        <v>8</v>
      </c>
      <c r="F532" s="29">
        <v>5034</v>
      </c>
      <c r="G532" s="3" t="s">
        <v>115</v>
      </c>
      <c r="H532" s="1">
        <v>174052</v>
      </c>
      <c r="I532" s="26">
        <v>459690.00500689459</v>
      </c>
      <c r="J532" s="26">
        <v>633742.00500689459</v>
      </c>
    </row>
    <row r="533" spans="1:10" x14ac:dyDescent="0.2">
      <c r="A533">
        <v>2004020</v>
      </c>
      <c r="B533">
        <v>2017</v>
      </c>
      <c r="C533" t="s">
        <v>6</v>
      </c>
      <c r="D533" t="s">
        <v>7</v>
      </c>
      <c r="E533" t="s">
        <v>8</v>
      </c>
      <c r="F533" s="29">
        <v>5034</v>
      </c>
      <c r="G533" s="3" t="s">
        <v>115</v>
      </c>
      <c r="H533" s="1">
        <v>205116</v>
      </c>
      <c r="I533" s="1">
        <v>32009.508860367503</v>
      </c>
      <c r="J533" s="1">
        <v>237125.5088603675</v>
      </c>
    </row>
    <row r="534" spans="1:10" x14ac:dyDescent="0.2">
      <c r="A534">
        <v>2004020</v>
      </c>
      <c r="B534">
        <v>2018</v>
      </c>
      <c r="C534" t="s">
        <v>6</v>
      </c>
      <c r="D534" t="s">
        <v>7</v>
      </c>
      <c r="E534" t="s">
        <v>8</v>
      </c>
      <c r="F534" s="28">
        <v>5034</v>
      </c>
      <c r="G534" t="s">
        <v>115</v>
      </c>
      <c r="H534" s="1">
        <v>224414</v>
      </c>
      <c r="I534" s="1">
        <v>33935.738616000417</v>
      </c>
      <c r="J534" s="1">
        <v>258349.73861600042</v>
      </c>
    </row>
    <row r="535" spans="1:10" x14ac:dyDescent="0.2">
      <c r="A535">
        <v>2004020</v>
      </c>
      <c r="B535">
        <v>2019</v>
      </c>
      <c r="C535" t="s">
        <v>6</v>
      </c>
      <c r="D535" t="s">
        <v>7</v>
      </c>
      <c r="E535" t="s">
        <v>8</v>
      </c>
      <c r="F535" s="28">
        <v>5034</v>
      </c>
      <c r="G535" t="s">
        <v>115</v>
      </c>
      <c r="H535" s="1">
        <v>251885</v>
      </c>
      <c r="I535" s="1">
        <v>38361.536864029542</v>
      </c>
      <c r="J535" s="1">
        <v>290246.53686402953</v>
      </c>
    </row>
    <row r="536" spans="1:10" x14ac:dyDescent="0.2">
      <c r="A536">
        <v>2004020</v>
      </c>
      <c r="B536">
        <v>2020</v>
      </c>
      <c r="C536" t="s">
        <v>6</v>
      </c>
      <c r="D536" t="s">
        <v>7</v>
      </c>
      <c r="E536" t="s">
        <v>8</v>
      </c>
      <c r="F536" s="28">
        <v>5034</v>
      </c>
      <c r="G536" t="s">
        <v>115</v>
      </c>
      <c r="H536" s="1">
        <v>266622</v>
      </c>
      <c r="I536" s="1">
        <v>40335.86259964366</v>
      </c>
      <c r="J536" s="1">
        <v>306957.86259964365</v>
      </c>
    </row>
    <row r="537" spans="1:10" x14ac:dyDescent="0.2">
      <c r="A537">
        <v>2004020</v>
      </c>
      <c r="B537">
        <v>2021</v>
      </c>
      <c r="C537" t="s">
        <v>6</v>
      </c>
      <c r="D537" t="s">
        <v>7</v>
      </c>
      <c r="E537" t="s">
        <v>8</v>
      </c>
      <c r="F537" s="28">
        <v>5034</v>
      </c>
      <c r="G537" t="s">
        <v>115</v>
      </c>
      <c r="H537" s="25">
        <v>266378</v>
      </c>
      <c r="I537" s="1">
        <v>39768.402904456925</v>
      </c>
      <c r="J537" s="1">
        <v>306146.40290445695</v>
      </c>
    </row>
    <row r="538" spans="1:10" x14ac:dyDescent="0.2">
      <c r="A538">
        <v>2004020</v>
      </c>
      <c r="B538">
        <v>2022</v>
      </c>
      <c r="C538" t="s">
        <v>6</v>
      </c>
      <c r="D538" t="s">
        <v>7</v>
      </c>
      <c r="E538" t="s">
        <v>8</v>
      </c>
      <c r="F538" s="28">
        <v>5034</v>
      </c>
      <c r="G538" t="s">
        <v>115</v>
      </c>
      <c r="H538" s="1">
        <v>248245</v>
      </c>
      <c r="I538" s="1">
        <v>33713.049778439519</v>
      </c>
      <c r="J538" s="1">
        <v>281958.04977843951</v>
      </c>
    </row>
    <row r="539" spans="1:10" x14ac:dyDescent="0.2">
      <c r="A539">
        <v>2004020</v>
      </c>
      <c r="B539">
        <v>2023</v>
      </c>
      <c r="C539" t="s">
        <v>6</v>
      </c>
      <c r="D539" t="s">
        <v>7</v>
      </c>
      <c r="E539" t="s">
        <v>8</v>
      </c>
      <c r="F539" s="28">
        <v>5034</v>
      </c>
      <c r="G539" s="10" t="s">
        <v>115</v>
      </c>
      <c r="H539" s="1">
        <v>240866</v>
      </c>
      <c r="I539" s="1">
        <v>33721.95688632087</v>
      </c>
      <c r="J539" s="1">
        <v>274587.95688632084</v>
      </c>
    </row>
    <row r="540" spans="1:10" x14ac:dyDescent="0.2">
      <c r="A540">
        <v>2004590</v>
      </c>
      <c r="B540">
        <v>2015</v>
      </c>
      <c r="C540" t="s">
        <v>6</v>
      </c>
      <c r="D540" t="s">
        <v>7</v>
      </c>
      <c r="E540" t="s">
        <v>8</v>
      </c>
      <c r="F540" s="29">
        <v>5035</v>
      </c>
      <c r="G540" s="3" t="s">
        <v>116</v>
      </c>
      <c r="H540" s="27">
        <v>933849</v>
      </c>
      <c r="I540" s="1">
        <v>150418.83273370718</v>
      </c>
      <c r="J540" s="1">
        <v>1084267.8327337073</v>
      </c>
    </row>
    <row r="541" spans="1:10" x14ac:dyDescent="0.2">
      <c r="A541">
        <v>2004590</v>
      </c>
      <c r="B541">
        <v>2016</v>
      </c>
      <c r="C541" t="s">
        <v>6</v>
      </c>
      <c r="D541" t="s">
        <v>7</v>
      </c>
      <c r="E541" t="s">
        <v>8</v>
      </c>
      <c r="F541" s="29">
        <v>5035</v>
      </c>
      <c r="G541" s="3" t="s">
        <v>116</v>
      </c>
      <c r="H541" s="1">
        <v>1016037</v>
      </c>
      <c r="I541" s="26">
        <v>2683441.608529612</v>
      </c>
      <c r="J541" s="26">
        <v>3699478.608529612</v>
      </c>
    </row>
    <row r="542" spans="1:10" x14ac:dyDescent="0.2">
      <c r="A542">
        <v>2004590</v>
      </c>
      <c r="B542">
        <v>2017</v>
      </c>
      <c r="C542" t="s">
        <v>6</v>
      </c>
      <c r="D542" t="s">
        <v>7</v>
      </c>
      <c r="E542" t="s">
        <v>8</v>
      </c>
      <c r="F542" s="29">
        <v>5035</v>
      </c>
      <c r="G542" s="3" t="s">
        <v>116</v>
      </c>
      <c r="H542" s="1">
        <v>1027898</v>
      </c>
      <c r="I542" s="1">
        <v>160409.28127768694</v>
      </c>
      <c r="J542" s="1">
        <v>1188307.2812776868</v>
      </c>
    </row>
    <row r="543" spans="1:10" x14ac:dyDescent="0.2">
      <c r="A543">
        <v>2004590</v>
      </c>
      <c r="B543">
        <v>2018</v>
      </c>
      <c r="C543" t="s">
        <v>6</v>
      </c>
      <c r="D543" t="s">
        <v>7</v>
      </c>
      <c r="E543" t="s">
        <v>8</v>
      </c>
      <c r="F543" s="28">
        <v>5035</v>
      </c>
      <c r="G543" t="s">
        <v>116</v>
      </c>
      <c r="H543" s="1">
        <v>1210952</v>
      </c>
      <c r="I543" s="1">
        <v>183119.37111108459</v>
      </c>
      <c r="J543" s="1">
        <v>1394071.3711110847</v>
      </c>
    </row>
    <row r="544" spans="1:10" x14ac:dyDescent="0.2">
      <c r="A544">
        <v>2004590</v>
      </c>
      <c r="B544">
        <v>2019</v>
      </c>
      <c r="C544" t="s">
        <v>6</v>
      </c>
      <c r="D544" t="s">
        <v>7</v>
      </c>
      <c r="E544" t="s">
        <v>8</v>
      </c>
      <c r="F544" s="28">
        <v>5035</v>
      </c>
      <c r="G544" t="s">
        <v>116</v>
      </c>
      <c r="H544" s="1">
        <v>1354557</v>
      </c>
      <c r="I544" s="1">
        <v>206296.08071115494</v>
      </c>
      <c r="J544" s="1">
        <v>1560853.080711155</v>
      </c>
    </row>
    <row r="545" spans="1:10" x14ac:dyDescent="0.2">
      <c r="A545">
        <v>2004590</v>
      </c>
      <c r="B545">
        <v>2020</v>
      </c>
      <c r="C545" t="s">
        <v>6</v>
      </c>
      <c r="D545" t="s">
        <v>7</v>
      </c>
      <c r="E545" t="s">
        <v>8</v>
      </c>
      <c r="F545" s="28">
        <v>5035</v>
      </c>
      <c r="G545" t="s">
        <v>116</v>
      </c>
      <c r="H545" s="1">
        <v>1449925</v>
      </c>
      <c r="I545" s="1">
        <v>219351.64982555204</v>
      </c>
      <c r="J545" s="1">
        <v>1669276.649825552</v>
      </c>
    </row>
    <row r="546" spans="1:10" x14ac:dyDescent="0.2">
      <c r="A546">
        <v>2004590</v>
      </c>
      <c r="B546">
        <v>2021</v>
      </c>
      <c r="C546" t="s">
        <v>6</v>
      </c>
      <c r="D546" t="s">
        <v>7</v>
      </c>
      <c r="E546" t="s">
        <v>8</v>
      </c>
      <c r="F546" s="28">
        <v>5035</v>
      </c>
      <c r="G546" t="s">
        <v>116</v>
      </c>
      <c r="H546" s="25">
        <v>1536527</v>
      </c>
      <c r="I546" s="1">
        <v>229392.91086191984</v>
      </c>
      <c r="J546" s="1">
        <v>1765919.9108619199</v>
      </c>
    </row>
    <row r="547" spans="1:10" x14ac:dyDescent="0.2">
      <c r="A547">
        <v>2004590</v>
      </c>
      <c r="B547">
        <v>2022</v>
      </c>
      <c r="C547" t="s">
        <v>6</v>
      </c>
      <c r="D547" t="s">
        <v>7</v>
      </c>
      <c r="E547" t="s">
        <v>8</v>
      </c>
      <c r="F547" s="28">
        <v>5035</v>
      </c>
      <c r="G547" t="s">
        <v>116</v>
      </c>
      <c r="H547" s="1">
        <v>1584817</v>
      </c>
      <c r="I547" s="1">
        <v>215226.95083774978</v>
      </c>
      <c r="J547" s="1">
        <v>1800043.9508377498</v>
      </c>
    </row>
    <row r="548" spans="1:10" x14ac:dyDescent="0.2">
      <c r="A548">
        <v>2004590</v>
      </c>
      <c r="B548">
        <v>2023</v>
      </c>
      <c r="C548" t="s">
        <v>6</v>
      </c>
      <c r="D548" t="s">
        <v>7</v>
      </c>
      <c r="E548" t="s">
        <v>8</v>
      </c>
      <c r="F548" s="28">
        <v>5035</v>
      </c>
      <c r="G548" s="10" t="s">
        <v>116</v>
      </c>
      <c r="H548" s="1">
        <v>1557606</v>
      </c>
      <c r="I548" s="1">
        <v>218069.47588233586</v>
      </c>
      <c r="J548" s="1">
        <v>1775675.4758823358</v>
      </c>
    </row>
    <row r="549" spans="1:10" x14ac:dyDescent="0.2">
      <c r="A549">
        <v>2000006</v>
      </c>
      <c r="B549">
        <v>2015</v>
      </c>
      <c r="C549" t="s">
        <v>6</v>
      </c>
      <c r="D549" t="s">
        <v>7</v>
      </c>
      <c r="E549" t="s">
        <v>8</v>
      </c>
      <c r="F549" s="29">
        <v>5036</v>
      </c>
      <c r="G549" s="3" t="s">
        <v>117</v>
      </c>
      <c r="H549" s="27">
        <v>484351</v>
      </c>
      <c r="I549" s="1">
        <v>78016.373153907974</v>
      </c>
      <c r="J549" s="1">
        <v>562367.37315390795</v>
      </c>
    </row>
    <row r="550" spans="1:10" x14ac:dyDescent="0.2">
      <c r="A550">
        <v>2000006</v>
      </c>
      <c r="B550">
        <v>2016</v>
      </c>
      <c r="C550" t="s">
        <v>6</v>
      </c>
      <c r="D550" t="s">
        <v>7</v>
      </c>
      <c r="E550" t="s">
        <v>8</v>
      </c>
      <c r="F550" s="29">
        <v>5036</v>
      </c>
      <c r="G550" s="3" t="s">
        <v>117</v>
      </c>
      <c r="H550" s="1">
        <v>525844</v>
      </c>
      <c r="I550" s="26">
        <v>1388797.145828139</v>
      </c>
      <c r="J550" s="26">
        <v>1914641.145828139</v>
      </c>
    </row>
    <row r="551" spans="1:10" x14ac:dyDescent="0.2">
      <c r="A551">
        <v>2000006</v>
      </c>
      <c r="B551">
        <v>2017</v>
      </c>
      <c r="C551" t="s">
        <v>6</v>
      </c>
      <c r="D551" t="s">
        <v>7</v>
      </c>
      <c r="E551" t="s">
        <v>8</v>
      </c>
      <c r="F551" s="29">
        <v>5036</v>
      </c>
      <c r="G551" s="3" t="s">
        <v>117</v>
      </c>
      <c r="H551" s="1">
        <v>545963</v>
      </c>
      <c r="I551" s="1">
        <v>85200.60592997534</v>
      </c>
      <c r="J551" s="1">
        <v>631163.6059299754</v>
      </c>
    </row>
    <row r="552" spans="1:10" x14ac:dyDescent="0.2">
      <c r="A552">
        <v>2000006</v>
      </c>
      <c r="B552">
        <v>2018</v>
      </c>
      <c r="C552" t="s">
        <v>6</v>
      </c>
      <c r="D552" t="s">
        <v>7</v>
      </c>
      <c r="E552" t="s">
        <v>8</v>
      </c>
      <c r="F552" s="28">
        <v>5036</v>
      </c>
      <c r="G552" t="s">
        <v>117</v>
      </c>
      <c r="H552" s="1">
        <v>663420</v>
      </c>
      <c r="I552" s="1">
        <v>100321.9394183384</v>
      </c>
      <c r="J552" s="1">
        <v>763741.93941833836</v>
      </c>
    </row>
    <row r="553" spans="1:10" x14ac:dyDescent="0.2">
      <c r="A553">
        <v>2000006</v>
      </c>
      <c r="B553">
        <v>2019</v>
      </c>
      <c r="C553" t="s">
        <v>6</v>
      </c>
      <c r="D553" t="s">
        <v>7</v>
      </c>
      <c r="E553" t="s">
        <v>8</v>
      </c>
      <c r="F553" s="28">
        <v>5036</v>
      </c>
      <c r="G553" t="s">
        <v>117</v>
      </c>
      <c r="H553" s="1">
        <v>744314</v>
      </c>
      <c r="I553" s="1">
        <v>113357.40099415719</v>
      </c>
      <c r="J553" s="1">
        <v>857671.40099415719</v>
      </c>
    </row>
    <row r="554" spans="1:10" x14ac:dyDescent="0.2">
      <c r="A554">
        <v>2000006</v>
      </c>
      <c r="B554">
        <v>2020</v>
      </c>
      <c r="C554" t="s">
        <v>6</v>
      </c>
      <c r="D554" t="s">
        <v>7</v>
      </c>
      <c r="E554" t="s">
        <v>8</v>
      </c>
      <c r="F554" s="28">
        <v>5036</v>
      </c>
      <c r="G554" t="s">
        <v>117</v>
      </c>
      <c r="H554" s="1">
        <v>841586</v>
      </c>
      <c r="I554" s="1">
        <v>127319.19069613052</v>
      </c>
      <c r="J554" s="1">
        <v>968905.19069613051</v>
      </c>
    </row>
    <row r="555" spans="1:10" x14ac:dyDescent="0.2">
      <c r="A555">
        <v>2000006</v>
      </c>
      <c r="B555">
        <v>2021</v>
      </c>
      <c r="C555" t="s">
        <v>6</v>
      </c>
      <c r="D555" t="s">
        <v>7</v>
      </c>
      <c r="E555" t="s">
        <v>8</v>
      </c>
      <c r="F555" s="28">
        <v>5036</v>
      </c>
      <c r="G555" t="s">
        <v>117</v>
      </c>
      <c r="H555" s="25">
        <v>840788</v>
      </c>
      <c r="I555" s="1">
        <v>125523.8643627947</v>
      </c>
      <c r="J555" s="1">
        <v>966311.86436279467</v>
      </c>
    </row>
    <row r="556" spans="1:10" x14ac:dyDescent="0.2">
      <c r="A556">
        <v>2000006</v>
      </c>
      <c r="B556">
        <v>2022</v>
      </c>
      <c r="C556" t="s">
        <v>6</v>
      </c>
      <c r="D556" t="s">
        <v>7</v>
      </c>
      <c r="E556" t="s">
        <v>8</v>
      </c>
      <c r="F556" s="28">
        <v>5036</v>
      </c>
      <c r="G556" t="s">
        <v>117</v>
      </c>
      <c r="H556" s="1">
        <v>847286</v>
      </c>
      <c r="I556" s="1">
        <v>115066.14471419329</v>
      </c>
      <c r="J556" s="1">
        <v>962352.1447141933</v>
      </c>
    </row>
    <row r="557" spans="1:10" x14ac:dyDescent="0.2">
      <c r="A557">
        <v>2000006</v>
      </c>
      <c r="B557">
        <v>2023</v>
      </c>
      <c r="C557" t="s">
        <v>6</v>
      </c>
      <c r="D557" t="s">
        <v>7</v>
      </c>
      <c r="E557" t="s">
        <v>8</v>
      </c>
      <c r="F557" s="28">
        <v>5036</v>
      </c>
      <c r="G557" s="10" t="s">
        <v>117</v>
      </c>
      <c r="H557" s="1">
        <v>838404</v>
      </c>
      <c r="I557" s="1">
        <v>117379.05533084355</v>
      </c>
      <c r="J557" s="1">
        <v>955783.05533084355</v>
      </c>
    </row>
    <row r="558" spans="1:10" x14ac:dyDescent="0.2">
      <c r="A558">
        <v>2009390</v>
      </c>
      <c r="B558">
        <v>2015</v>
      </c>
      <c r="C558" t="s">
        <v>6</v>
      </c>
      <c r="D558" t="s">
        <v>7</v>
      </c>
      <c r="E558" t="s">
        <v>8</v>
      </c>
      <c r="F558" s="29">
        <v>5037</v>
      </c>
      <c r="G558" s="3" t="s">
        <v>118</v>
      </c>
      <c r="H558" s="27">
        <v>1758445</v>
      </c>
      <c r="I558" s="1">
        <v>283239.84319351811</v>
      </c>
      <c r="J558" s="1">
        <v>2041684.843193518</v>
      </c>
    </row>
    <row r="559" spans="1:10" x14ac:dyDescent="0.2">
      <c r="A559">
        <v>2009390</v>
      </c>
      <c r="B559">
        <v>2016</v>
      </c>
      <c r="C559" t="s">
        <v>6</v>
      </c>
      <c r="D559" t="s">
        <v>7</v>
      </c>
      <c r="E559" t="s">
        <v>8</v>
      </c>
      <c r="F559" s="29">
        <v>5037</v>
      </c>
      <c r="G559" s="3" t="s">
        <v>118</v>
      </c>
      <c r="H559" s="1">
        <v>1999870</v>
      </c>
      <c r="I559" s="26">
        <v>5281839.3448983533</v>
      </c>
      <c r="J559" s="26">
        <v>7281709.3448983533</v>
      </c>
    </row>
    <row r="560" spans="1:10" x14ac:dyDescent="0.2">
      <c r="A560">
        <v>2009390</v>
      </c>
      <c r="B560">
        <v>2017</v>
      </c>
      <c r="C560" t="s">
        <v>6</v>
      </c>
      <c r="D560" t="s">
        <v>7</v>
      </c>
      <c r="E560" t="s">
        <v>8</v>
      </c>
      <c r="F560" s="29">
        <v>5037</v>
      </c>
      <c r="G560" s="3" t="s">
        <v>118</v>
      </c>
      <c r="H560" s="1">
        <v>2121477</v>
      </c>
      <c r="I560" s="1">
        <v>331068.45311221882</v>
      </c>
      <c r="J560" s="1">
        <v>2452545.453112219</v>
      </c>
    </row>
    <row r="561" spans="1:10" x14ac:dyDescent="0.2">
      <c r="A561">
        <v>2009390</v>
      </c>
      <c r="B561">
        <v>2018</v>
      </c>
      <c r="C561" t="s">
        <v>6</v>
      </c>
      <c r="D561" t="s">
        <v>7</v>
      </c>
      <c r="E561" t="s">
        <v>8</v>
      </c>
      <c r="F561" s="28">
        <v>5037</v>
      </c>
      <c r="G561" t="s">
        <v>118</v>
      </c>
      <c r="H561" s="1">
        <v>2684773</v>
      </c>
      <c r="I561" s="1">
        <v>405989.62084047915</v>
      </c>
      <c r="J561" s="1">
        <v>3090762.6208404792</v>
      </c>
    </row>
    <row r="562" spans="1:10" x14ac:dyDescent="0.2">
      <c r="A562">
        <v>2009390</v>
      </c>
      <c r="B562">
        <v>2019</v>
      </c>
      <c r="C562" t="s">
        <v>6</v>
      </c>
      <c r="D562" t="s">
        <v>7</v>
      </c>
      <c r="E562" t="s">
        <v>8</v>
      </c>
      <c r="F562" s="28">
        <v>5037</v>
      </c>
      <c r="G562" t="s">
        <v>118</v>
      </c>
      <c r="H562" s="1">
        <v>2639305</v>
      </c>
      <c r="I562" s="1">
        <v>401960.40277474833</v>
      </c>
      <c r="J562" s="1">
        <v>3041265.4027747484</v>
      </c>
    </row>
    <row r="563" spans="1:10" x14ac:dyDescent="0.2">
      <c r="A563">
        <v>2009390</v>
      </c>
      <c r="B563">
        <v>2020</v>
      </c>
      <c r="C563" t="s">
        <v>6</v>
      </c>
      <c r="D563" t="s">
        <v>7</v>
      </c>
      <c r="E563" t="s">
        <v>8</v>
      </c>
      <c r="F563" s="28">
        <v>5037</v>
      </c>
      <c r="G563" t="s">
        <v>118</v>
      </c>
      <c r="H563" s="1">
        <v>3059453</v>
      </c>
      <c r="I563" s="1">
        <v>462848.81156869128</v>
      </c>
      <c r="J563" s="1">
        <v>3522301.8115686914</v>
      </c>
    </row>
    <row r="564" spans="1:10" x14ac:dyDescent="0.2">
      <c r="A564">
        <v>2009390</v>
      </c>
      <c r="B564">
        <v>2021</v>
      </c>
      <c r="C564" t="s">
        <v>6</v>
      </c>
      <c r="D564" t="s">
        <v>7</v>
      </c>
      <c r="E564" t="s">
        <v>8</v>
      </c>
      <c r="F564" s="28">
        <v>5037</v>
      </c>
      <c r="G564" t="s">
        <v>118</v>
      </c>
      <c r="H564" s="25">
        <v>2976881</v>
      </c>
      <c r="I564" s="1">
        <v>444427.85442725237</v>
      </c>
      <c r="J564" s="1">
        <v>3421308.8544272524</v>
      </c>
    </row>
    <row r="565" spans="1:10" x14ac:dyDescent="0.2">
      <c r="A565">
        <v>2009390</v>
      </c>
      <c r="B565">
        <v>2022</v>
      </c>
      <c r="C565" t="s">
        <v>6</v>
      </c>
      <c r="D565" t="s">
        <v>7</v>
      </c>
      <c r="E565" t="s">
        <v>8</v>
      </c>
      <c r="F565" s="28">
        <v>5037</v>
      </c>
      <c r="G565" t="s">
        <v>118</v>
      </c>
      <c r="H565" s="1">
        <v>2863924</v>
      </c>
      <c r="I565" s="1">
        <v>388936.78573049867</v>
      </c>
      <c r="J565" s="1">
        <v>3252860.7857304988</v>
      </c>
    </row>
    <row r="566" spans="1:10" x14ac:dyDescent="0.2">
      <c r="A566">
        <v>2009390</v>
      </c>
      <c r="B566">
        <v>2023</v>
      </c>
      <c r="C566" t="s">
        <v>6</v>
      </c>
      <c r="D566" t="s">
        <v>7</v>
      </c>
      <c r="E566" t="s">
        <v>8</v>
      </c>
      <c r="F566" s="28">
        <v>5037</v>
      </c>
      <c r="G566" s="10" t="s">
        <v>118</v>
      </c>
      <c r="H566" s="1">
        <v>2909653</v>
      </c>
      <c r="I566" s="1">
        <v>407360.07996211242</v>
      </c>
      <c r="J566" s="1">
        <v>3317013.0799621125</v>
      </c>
    </row>
    <row r="567" spans="1:10" x14ac:dyDescent="0.2">
      <c r="A567">
        <v>2006720</v>
      </c>
      <c r="B567">
        <v>2015</v>
      </c>
      <c r="C567" t="s">
        <v>6</v>
      </c>
      <c r="D567" t="s">
        <v>7</v>
      </c>
      <c r="E567" t="s">
        <v>8</v>
      </c>
      <c r="F567" s="29">
        <v>5038</v>
      </c>
      <c r="G567" s="3" t="s">
        <v>119</v>
      </c>
      <c r="H567" s="27">
        <v>271429</v>
      </c>
      <c r="I567" s="1">
        <v>43720.166054766247</v>
      </c>
      <c r="J567" s="1">
        <v>315149.16605476628</v>
      </c>
    </row>
    <row r="568" spans="1:10" x14ac:dyDescent="0.2">
      <c r="A568">
        <v>2006720</v>
      </c>
      <c r="B568">
        <v>2016</v>
      </c>
      <c r="C568" t="s">
        <v>6</v>
      </c>
      <c r="D568" t="s">
        <v>7</v>
      </c>
      <c r="E568" t="s">
        <v>8</v>
      </c>
      <c r="F568" s="29">
        <v>5038</v>
      </c>
      <c r="G568" s="3" t="s">
        <v>119</v>
      </c>
      <c r="H568" s="1">
        <v>244055</v>
      </c>
      <c r="I568" s="26">
        <v>644575.65002444386</v>
      </c>
      <c r="J568" s="26">
        <v>888630.65002444386</v>
      </c>
    </row>
    <row r="569" spans="1:10" x14ac:dyDescent="0.2">
      <c r="A569">
        <v>2006720</v>
      </c>
      <c r="B569">
        <v>2017</v>
      </c>
      <c r="C569" t="s">
        <v>6</v>
      </c>
      <c r="D569" t="s">
        <v>7</v>
      </c>
      <c r="E569" t="s">
        <v>8</v>
      </c>
      <c r="F569" s="29">
        <v>5038</v>
      </c>
      <c r="G569" s="3" t="s">
        <v>119</v>
      </c>
      <c r="H569" s="1">
        <v>243655</v>
      </c>
      <c r="I569" s="1">
        <v>38023.737209056555</v>
      </c>
      <c r="J569" s="1">
        <v>281678.73720905656</v>
      </c>
    </row>
    <row r="570" spans="1:10" x14ac:dyDescent="0.2">
      <c r="A570">
        <v>2006720</v>
      </c>
      <c r="B570">
        <v>2018</v>
      </c>
      <c r="C570" t="s">
        <v>6</v>
      </c>
      <c r="D570" t="s">
        <v>7</v>
      </c>
      <c r="E570" t="s">
        <v>8</v>
      </c>
      <c r="F570" s="28">
        <v>5038</v>
      </c>
      <c r="G570" t="s">
        <v>119</v>
      </c>
      <c r="H570" s="1">
        <v>258450</v>
      </c>
      <c r="I570" s="1">
        <v>39082.640322374304</v>
      </c>
      <c r="J570" s="1">
        <v>297532.6403223743</v>
      </c>
    </row>
    <row r="571" spans="1:10" x14ac:dyDescent="0.2">
      <c r="A571">
        <v>2006720</v>
      </c>
      <c r="B571">
        <v>2019</v>
      </c>
      <c r="C571" t="s">
        <v>6</v>
      </c>
      <c r="D571" t="s">
        <v>7</v>
      </c>
      <c r="E571" t="s">
        <v>8</v>
      </c>
      <c r="F571" s="28">
        <v>5038</v>
      </c>
      <c r="G571" t="s">
        <v>119</v>
      </c>
      <c r="H571" s="1">
        <v>291670</v>
      </c>
      <c r="I571" s="1">
        <v>44420.705707491499</v>
      </c>
      <c r="J571" s="1">
        <v>336090.70570749149</v>
      </c>
    </row>
    <row r="572" spans="1:10" x14ac:dyDescent="0.2">
      <c r="A572">
        <v>2006720</v>
      </c>
      <c r="B572">
        <v>2020</v>
      </c>
      <c r="C572" t="s">
        <v>6</v>
      </c>
      <c r="D572" t="s">
        <v>7</v>
      </c>
      <c r="E572" t="s">
        <v>8</v>
      </c>
      <c r="F572" s="28">
        <v>5038</v>
      </c>
      <c r="G572" t="s">
        <v>119</v>
      </c>
      <c r="H572" s="1">
        <v>358644</v>
      </c>
      <c r="I572" s="1">
        <v>54257.394761822361</v>
      </c>
      <c r="J572" s="1">
        <v>412901.39476182236</v>
      </c>
    </row>
    <row r="573" spans="1:10" x14ac:dyDescent="0.2">
      <c r="A573">
        <v>2006720</v>
      </c>
      <c r="B573">
        <v>2021</v>
      </c>
      <c r="C573" t="s">
        <v>6</v>
      </c>
      <c r="D573" t="s">
        <v>7</v>
      </c>
      <c r="E573" t="s">
        <v>8</v>
      </c>
      <c r="F573" s="28">
        <v>5038</v>
      </c>
      <c r="G573" t="s">
        <v>119</v>
      </c>
      <c r="H573" s="25">
        <v>383685</v>
      </c>
      <c r="I573" s="1">
        <v>57281.53101380953</v>
      </c>
      <c r="J573" s="1">
        <v>440966.53101380955</v>
      </c>
    </row>
    <row r="574" spans="1:10" x14ac:dyDescent="0.2">
      <c r="A574">
        <v>2006720</v>
      </c>
      <c r="B574">
        <v>2022</v>
      </c>
      <c r="C574" t="s">
        <v>6</v>
      </c>
      <c r="D574" t="s">
        <v>7</v>
      </c>
      <c r="E574" t="s">
        <v>8</v>
      </c>
      <c r="F574" s="28">
        <v>5038</v>
      </c>
      <c r="G574" t="s">
        <v>119</v>
      </c>
      <c r="H574" s="1">
        <v>379378</v>
      </c>
      <c r="I574" s="1">
        <v>51521.639504702332</v>
      </c>
      <c r="J574" s="1">
        <v>430899.63950470235</v>
      </c>
    </row>
    <row r="575" spans="1:10" x14ac:dyDescent="0.2">
      <c r="A575">
        <v>2006720</v>
      </c>
      <c r="B575">
        <v>2023</v>
      </c>
      <c r="C575" t="s">
        <v>6</v>
      </c>
      <c r="D575" t="s">
        <v>7</v>
      </c>
      <c r="E575" t="s">
        <v>8</v>
      </c>
      <c r="F575" s="28">
        <v>5038</v>
      </c>
      <c r="G575" s="10" t="s">
        <v>119</v>
      </c>
      <c r="H575" s="1">
        <v>365813</v>
      </c>
      <c r="I575" s="1">
        <v>51214.908764440384</v>
      </c>
      <c r="J575" s="1">
        <v>417027.90876444039</v>
      </c>
    </row>
    <row r="576" spans="1:10" x14ac:dyDescent="0.2">
      <c r="A576">
        <v>2011550</v>
      </c>
      <c r="B576">
        <v>2015</v>
      </c>
      <c r="C576" t="s">
        <v>6</v>
      </c>
      <c r="D576" t="s">
        <v>7</v>
      </c>
      <c r="E576" t="s">
        <v>8</v>
      </c>
      <c r="F576" s="29">
        <v>5039</v>
      </c>
      <c r="G576" s="3" t="s">
        <v>120</v>
      </c>
      <c r="H576" s="27">
        <v>272572</v>
      </c>
      <c r="I576" s="1">
        <v>43904.273684387976</v>
      </c>
      <c r="J576" s="1">
        <v>316476.27368438797</v>
      </c>
    </row>
    <row r="577" spans="1:10" x14ac:dyDescent="0.2">
      <c r="A577">
        <v>2011550</v>
      </c>
      <c r="B577">
        <v>2016</v>
      </c>
      <c r="C577" t="s">
        <v>6</v>
      </c>
      <c r="D577" t="s">
        <v>7</v>
      </c>
      <c r="E577" t="s">
        <v>8</v>
      </c>
      <c r="F577" s="29">
        <v>5039</v>
      </c>
      <c r="G577" s="3" t="s">
        <v>120</v>
      </c>
      <c r="H577" s="1">
        <v>266134</v>
      </c>
      <c r="I577" s="26">
        <v>702884.22371410416</v>
      </c>
      <c r="J577" s="26">
        <v>969018.22371410416</v>
      </c>
    </row>
    <row r="578" spans="1:10" x14ac:dyDescent="0.2">
      <c r="A578">
        <v>2011550</v>
      </c>
      <c r="B578">
        <v>2017</v>
      </c>
      <c r="C578" t="s">
        <v>6</v>
      </c>
      <c r="D578" t="s">
        <v>7</v>
      </c>
      <c r="E578" t="s">
        <v>8</v>
      </c>
      <c r="F578" s="29">
        <v>5039</v>
      </c>
      <c r="G578" s="3" t="s">
        <v>120</v>
      </c>
      <c r="H578" s="1">
        <v>318803</v>
      </c>
      <c r="I578" s="1">
        <v>49751.006519295137</v>
      </c>
      <c r="J578" s="1">
        <v>368554.00651929516</v>
      </c>
    </row>
    <row r="579" spans="1:10" x14ac:dyDescent="0.2">
      <c r="A579">
        <v>2011550</v>
      </c>
      <c r="B579">
        <v>2018</v>
      </c>
      <c r="C579" t="s">
        <v>6</v>
      </c>
      <c r="D579" t="s">
        <v>7</v>
      </c>
      <c r="E579" t="s">
        <v>8</v>
      </c>
      <c r="F579" s="28">
        <v>5039</v>
      </c>
      <c r="G579" t="s">
        <v>120</v>
      </c>
      <c r="H579" s="1">
        <v>401753</v>
      </c>
      <c r="I579" s="1">
        <v>60752.826455542061</v>
      </c>
      <c r="J579" s="1">
        <v>462505.82645554206</v>
      </c>
    </row>
    <row r="580" spans="1:10" x14ac:dyDescent="0.2">
      <c r="A580">
        <v>2011550</v>
      </c>
      <c r="B580">
        <v>2019</v>
      </c>
      <c r="C580" t="s">
        <v>6</v>
      </c>
      <c r="D580" t="s">
        <v>7</v>
      </c>
      <c r="E580" t="s">
        <v>8</v>
      </c>
      <c r="F580" s="28">
        <v>5039</v>
      </c>
      <c r="G580" t="s">
        <v>120</v>
      </c>
      <c r="H580" s="1">
        <v>411814</v>
      </c>
      <c r="I580" s="1">
        <v>62718.375219340021</v>
      </c>
      <c r="J580" s="1">
        <v>474532.37521934003</v>
      </c>
    </row>
    <row r="581" spans="1:10" x14ac:dyDescent="0.2">
      <c r="A581">
        <v>2011550</v>
      </c>
      <c r="B581">
        <v>2020</v>
      </c>
      <c r="C581" t="s">
        <v>6</v>
      </c>
      <c r="D581" t="s">
        <v>7</v>
      </c>
      <c r="E581" t="s">
        <v>8</v>
      </c>
      <c r="F581" s="28">
        <v>5039</v>
      </c>
      <c r="G581" t="s">
        <v>120</v>
      </c>
      <c r="H581" s="1">
        <v>463970</v>
      </c>
      <c r="I581" s="1">
        <v>70191.620235226917</v>
      </c>
      <c r="J581" s="1">
        <v>534161.62023522693</v>
      </c>
    </row>
    <row r="582" spans="1:10" x14ac:dyDescent="0.2">
      <c r="A582">
        <v>2011550</v>
      </c>
      <c r="B582">
        <v>2021</v>
      </c>
      <c r="C582" t="s">
        <v>6</v>
      </c>
      <c r="D582" t="s">
        <v>7</v>
      </c>
      <c r="E582" t="s">
        <v>8</v>
      </c>
      <c r="F582" s="28">
        <v>5039</v>
      </c>
      <c r="G582" t="s">
        <v>120</v>
      </c>
      <c r="H582" s="25">
        <v>465291</v>
      </c>
      <c r="I582" s="1">
        <v>69464.745421234737</v>
      </c>
      <c r="J582" s="1">
        <v>534755.74542123475</v>
      </c>
    </row>
    <row r="583" spans="1:10" x14ac:dyDescent="0.2">
      <c r="A583">
        <v>2011550</v>
      </c>
      <c r="B583">
        <v>2022</v>
      </c>
      <c r="C583" t="s">
        <v>6</v>
      </c>
      <c r="D583" t="s">
        <v>7</v>
      </c>
      <c r="E583" t="s">
        <v>8</v>
      </c>
      <c r="F583" s="28">
        <v>5039</v>
      </c>
      <c r="G583" t="s">
        <v>120</v>
      </c>
      <c r="H583" s="1">
        <v>471512</v>
      </c>
      <c r="I583" s="1">
        <v>64033.948426480201</v>
      </c>
      <c r="J583" s="1">
        <v>535545.94842648017</v>
      </c>
    </row>
    <row r="584" spans="1:10" x14ac:dyDescent="0.2">
      <c r="A584">
        <v>2011550</v>
      </c>
      <c r="B584">
        <v>2023</v>
      </c>
      <c r="C584" t="s">
        <v>6</v>
      </c>
      <c r="D584" t="s">
        <v>7</v>
      </c>
      <c r="E584" t="s">
        <v>8</v>
      </c>
      <c r="F584" s="28">
        <v>5039</v>
      </c>
      <c r="G584" s="10" t="s">
        <v>120</v>
      </c>
      <c r="H584" s="1">
        <v>419595</v>
      </c>
      <c r="I584" s="1">
        <v>58744.548835102527</v>
      </c>
      <c r="J584" s="1">
        <v>478339.54883510253</v>
      </c>
    </row>
    <row r="585" spans="1:10" x14ac:dyDescent="0.2">
      <c r="A585">
        <v>2004980</v>
      </c>
      <c r="B585">
        <v>2015</v>
      </c>
      <c r="C585" t="s">
        <v>6</v>
      </c>
      <c r="D585" t="s">
        <v>7</v>
      </c>
      <c r="E585" t="s">
        <v>8</v>
      </c>
      <c r="F585" s="29">
        <v>5040</v>
      </c>
      <c r="G585" s="3" t="s">
        <v>121</v>
      </c>
      <c r="H585" s="27">
        <v>878130</v>
      </c>
      <c r="I585" s="1">
        <v>141443.94820624133</v>
      </c>
      <c r="J585" s="1">
        <v>1019573.9482062414</v>
      </c>
    </row>
    <row r="586" spans="1:10" x14ac:dyDescent="0.2">
      <c r="A586">
        <v>2004980</v>
      </c>
      <c r="B586">
        <v>2016</v>
      </c>
      <c r="C586" t="s">
        <v>6</v>
      </c>
      <c r="D586" t="s">
        <v>7</v>
      </c>
      <c r="E586" t="s">
        <v>8</v>
      </c>
      <c r="F586" s="29">
        <v>5040</v>
      </c>
      <c r="G586" s="3" t="s">
        <v>121</v>
      </c>
      <c r="H586" s="1">
        <v>954856</v>
      </c>
      <c r="I586" s="26">
        <v>2521859.305284895</v>
      </c>
      <c r="J586" s="26">
        <v>3476715.305284895</v>
      </c>
    </row>
    <row r="587" spans="1:10" x14ac:dyDescent="0.2">
      <c r="A587">
        <v>2004980</v>
      </c>
      <c r="B587">
        <v>2017</v>
      </c>
      <c r="C587" t="s">
        <v>6</v>
      </c>
      <c r="D587" t="s">
        <v>7</v>
      </c>
      <c r="E587" t="s">
        <v>8</v>
      </c>
      <c r="F587" s="29">
        <v>5040</v>
      </c>
      <c r="G587" s="3" t="s">
        <v>121</v>
      </c>
      <c r="H587" s="1">
        <v>987677</v>
      </c>
      <c r="I587" s="1">
        <v>154132.56734082761</v>
      </c>
      <c r="J587" s="1">
        <v>1141809.5673408275</v>
      </c>
    </row>
    <row r="588" spans="1:10" x14ac:dyDescent="0.2">
      <c r="A588">
        <v>2004980</v>
      </c>
      <c r="B588">
        <v>2018</v>
      </c>
      <c r="C588" t="s">
        <v>6</v>
      </c>
      <c r="D588" t="s">
        <v>7</v>
      </c>
      <c r="E588" t="s">
        <v>8</v>
      </c>
      <c r="F588" s="28">
        <v>5040</v>
      </c>
      <c r="G588" t="s">
        <v>121</v>
      </c>
      <c r="H588" s="1">
        <v>1133585</v>
      </c>
      <c r="I588" s="1">
        <v>171419.98386472694</v>
      </c>
      <c r="J588" s="1">
        <v>1305004.983864727</v>
      </c>
    </row>
    <row r="589" spans="1:10" x14ac:dyDescent="0.2">
      <c r="A589">
        <v>2004980</v>
      </c>
      <c r="B589">
        <v>2019</v>
      </c>
      <c r="C589" t="s">
        <v>6</v>
      </c>
      <c r="D589" t="s">
        <v>7</v>
      </c>
      <c r="E589" t="s">
        <v>8</v>
      </c>
      <c r="F589" s="28">
        <v>5040</v>
      </c>
      <c r="G589" t="s">
        <v>121</v>
      </c>
      <c r="H589" s="1">
        <v>1289655</v>
      </c>
      <c r="I589" s="1">
        <v>196411.64747555437</v>
      </c>
      <c r="J589" s="1">
        <v>1486066.6474755544</v>
      </c>
    </row>
    <row r="590" spans="1:10" x14ac:dyDescent="0.2">
      <c r="A590">
        <v>2004980</v>
      </c>
      <c r="B590">
        <v>2020</v>
      </c>
      <c r="C590" t="s">
        <v>6</v>
      </c>
      <c r="D590" t="s">
        <v>7</v>
      </c>
      <c r="E590" t="s">
        <v>8</v>
      </c>
      <c r="F590" s="28">
        <v>5040</v>
      </c>
      <c r="G590" t="s">
        <v>121</v>
      </c>
      <c r="H590" s="1">
        <v>1459665</v>
      </c>
      <c r="I590" s="1">
        <v>220825.1640206317</v>
      </c>
      <c r="J590" s="1">
        <v>1680490.1640206317</v>
      </c>
    </row>
    <row r="591" spans="1:10" x14ac:dyDescent="0.2">
      <c r="A591">
        <v>2004980</v>
      </c>
      <c r="B591">
        <v>2021</v>
      </c>
      <c r="C591" t="s">
        <v>6</v>
      </c>
      <c r="D591" t="s">
        <v>7</v>
      </c>
      <c r="E591" t="s">
        <v>8</v>
      </c>
      <c r="F591" s="28">
        <v>5040</v>
      </c>
      <c r="G591" t="s">
        <v>121</v>
      </c>
      <c r="H591" s="25">
        <v>1556567</v>
      </c>
      <c r="I591" s="1">
        <v>232384.74500064497</v>
      </c>
      <c r="J591" s="1">
        <v>1788951.7450006451</v>
      </c>
    </row>
    <row r="592" spans="1:10" x14ac:dyDescent="0.2">
      <c r="A592">
        <v>2004980</v>
      </c>
      <c r="B592">
        <v>2022</v>
      </c>
      <c r="C592" t="s">
        <v>6</v>
      </c>
      <c r="D592" t="s">
        <v>7</v>
      </c>
      <c r="E592" t="s">
        <v>8</v>
      </c>
      <c r="F592" s="28">
        <v>5040</v>
      </c>
      <c r="G592" t="s">
        <v>121</v>
      </c>
      <c r="H592" s="1">
        <v>1482181</v>
      </c>
      <c r="I592" s="1">
        <v>201288.41198677625</v>
      </c>
      <c r="J592" s="1">
        <v>1683469.4119867762</v>
      </c>
    </row>
    <row r="593" spans="1:10" x14ac:dyDescent="0.2">
      <c r="A593">
        <v>2004980</v>
      </c>
      <c r="B593">
        <v>2023</v>
      </c>
      <c r="C593" t="s">
        <v>6</v>
      </c>
      <c r="D593" t="s">
        <v>7</v>
      </c>
      <c r="E593" t="s">
        <v>8</v>
      </c>
      <c r="F593" s="28">
        <v>5040</v>
      </c>
      <c r="G593" s="10" t="s">
        <v>121</v>
      </c>
      <c r="H593" s="1">
        <v>1483004</v>
      </c>
      <c r="I593" s="1">
        <v>207624.97384538042</v>
      </c>
      <c r="J593" s="1">
        <v>1690628.9738453804</v>
      </c>
    </row>
    <row r="594" spans="1:10" x14ac:dyDescent="0.2">
      <c r="A594">
        <v>2006390</v>
      </c>
      <c r="B594">
        <v>2015</v>
      </c>
      <c r="C594" t="s">
        <v>6</v>
      </c>
      <c r="D594" t="s">
        <v>7</v>
      </c>
      <c r="E594" t="s">
        <v>8</v>
      </c>
      <c r="F594" s="29">
        <v>5041</v>
      </c>
      <c r="G594" s="3" t="s">
        <v>122</v>
      </c>
      <c r="H594" s="27">
        <v>4956202</v>
      </c>
      <c r="I594" s="1">
        <v>798315.4874422577</v>
      </c>
      <c r="J594" s="1">
        <v>5754517.4874422578</v>
      </c>
    </row>
    <row r="595" spans="1:10" x14ac:dyDescent="0.2">
      <c r="A595">
        <v>2006390</v>
      </c>
      <c r="B595">
        <v>2016</v>
      </c>
      <c r="C595" t="s">
        <v>6</v>
      </c>
      <c r="D595" t="s">
        <v>7</v>
      </c>
      <c r="E595" t="s">
        <v>8</v>
      </c>
      <c r="F595" s="29">
        <v>5041</v>
      </c>
      <c r="G595" s="3" t="s">
        <v>122</v>
      </c>
      <c r="H595" s="1">
        <v>5052945</v>
      </c>
      <c r="I595" s="26">
        <v>13345284.156466741</v>
      </c>
      <c r="J595" s="26">
        <v>18398229.156466741</v>
      </c>
    </row>
    <row r="596" spans="1:10" x14ac:dyDescent="0.2">
      <c r="A596">
        <v>2006390</v>
      </c>
      <c r="B596">
        <v>2017</v>
      </c>
      <c r="C596" t="s">
        <v>6</v>
      </c>
      <c r="D596" t="s">
        <v>7</v>
      </c>
      <c r="E596" t="s">
        <v>8</v>
      </c>
      <c r="F596" s="29">
        <v>5041</v>
      </c>
      <c r="G596" s="3" t="s">
        <v>122</v>
      </c>
      <c r="H596" s="1">
        <v>5322800</v>
      </c>
      <c r="I596" s="1">
        <v>830652.96594104881</v>
      </c>
      <c r="J596" s="1">
        <v>6153452.9659410492</v>
      </c>
    </row>
    <row r="597" spans="1:10" x14ac:dyDescent="0.2">
      <c r="A597">
        <v>2006390</v>
      </c>
      <c r="B597">
        <v>2018</v>
      </c>
      <c r="C597" t="s">
        <v>6</v>
      </c>
      <c r="D597" t="s">
        <v>7</v>
      </c>
      <c r="E597" t="s">
        <v>8</v>
      </c>
      <c r="F597" s="28">
        <v>5041</v>
      </c>
      <c r="G597" t="s">
        <v>122</v>
      </c>
      <c r="H597" s="1">
        <v>6034326</v>
      </c>
      <c r="I597" s="1">
        <v>912506.83941169153</v>
      </c>
      <c r="J597" s="1">
        <v>6946832.8394116918</v>
      </c>
    </row>
    <row r="598" spans="1:10" x14ac:dyDescent="0.2">
      <c r="A598">
        <v>2006390</v>
      </c>
      <c r="B598">
        <v>2019</v>
      </c>
      <c r="C598" t="s">
        <v>6</v>
      </c>
      <c r="D598" t="s">
        <v>7</v>
      </c>
      <c r="E598" t="s">
        <v>8</v>
      </c>
      <c r="F598" s="28">
        <v>5041</v>
      </c>
      <c r="G598" t="s">
        <v>122</v>
      </c>
      <c r="H598" s="1">
        <v>6805599</v>
      </c>
      <c r="I598" s="1">
        <v>1036477.904282917</v>
      </c>
      <c r="J598" s="1">
        <v>7842076.9042829173</v>
      </c>
    </row>
    <row r="599" spans="1:10" x14ac:dyDescent="0.2">
      <c r="A599">
        <v>2006390</v>
      </c>
      <c r="B599">
        <v>2020</v>
      </c>
      <c r="C599" t="s">
        <v>6</v>
      </c>
      <c r="D599" t="s">
        <v>7</v>
      </c>
      <c r="E599" t="s">
        <v>8</v>
      </c>
      <c r="F599" s="28">
        <v>5041</v>
      </c>
      <c r="G599" t="s">
        <v>122</v>
      </c>
      <c r="H599" s="1">
        <v>7458817</v>
      </c>
      <c r="I599" s="1">
        <v>1128405.8242301324</v>
      </c>
      <c r="J599" s="1">
        <v>8587222.8242301326</v>
      </c>
    </row>
    <row r="600" spans="1:10" x14ac:dyDescent="0.2">
      <c r="A600">
        <v>2006390</v>
      </c>
      <c r="B600">
        <v>2021</v>
      </c>
      <c r="C600" t="s">
        <v>6</v>
      </c>
      <c r="D600" t="s">
        <v>7</v>
      </c>
      <c r="E600" t="s">
        <v>8</v>
      </c>
      <c r="F600" s="28">
        <v>5041</v>
      </c>
      <c r="G600" t="s">
        <v>122</v>
      </c>
      <c r="H600" s="25">
        <v>7501749</v>
      </c>
      <c r="I600" s="1">
        <v>1119959.5188795878</v>
      </c>
      <c r="J600" s="1">
        <v>8621708.5188795887</v>
      </c>
    </row>
    <row r="601" spans="1:10" x14ac:dyDescent="0.2">
      <c r="A601">
        <v>2006390</v>
      </c>
      <c r="B601">
        <v>2022</v>
      </c>
      <c r="C601" t="s">
        <v>6</v>
      </c>
      <c r="D601" t="s">
        <v>7</v>
      </c>
      <c r="E601" t="s">
        <v>8</v>
      </c>
      <c r="F601" s="28">
        <v>5041</v>
      </c>
      <c r="G601" t="s">
        <v>122</v>
      </c>
      <c r="H601" s="1">
        <v>7217682</v>
      </c>
      <c r="I601" s="1">
        <v>980201.30335332802</v>
      </c>
      <c r="J601" s="1">
        <v>8197883.3033533283</v>
      </c>
    </row>
    <row r="602" spans="1:10" x14ac:dyDescent="0.2">
      <c r="A602">
        <v>2006390</v>
      </c>
      <c r="B602">
        <v>2023</v>
      </c>
      <c r="C602" t="s">
        <v>6</v>
      </c>
      <c r="D602" t="s">
        <v>7</v>
      </c>
      <c r="E602" t="s">
        <v>8</v>
      </c>
      <c r="F602" s="28">
        <v>5041</v>
      </c>
      <c r="G602" s="10" t="s">
        <v>122</v>
      </c>
      <c r="H602" s="1">
        <v>7457590</v>
      </c>
      <c r="I602" s="1">
        <v>1044084.7959274354</v>
      </c>
      <c r="J602" s="1">
        <v>8501674.7959274352</v>
      </c>
    </row>
    <row r="603" spans="1:10" x14ac:dyDescent="0.2">
      <c r="A603">
        <v>2003780</v>
      </c>
      <c r="B603">
        <v>2015</v>
      </c>
      <c r="C603" t="s">
        <v>6</v>
      </c>
      <c r="D603" t="s">
        <v>7</v>
      </c>
      <c r="E603" t="s">
        <v>8</v>
      </c>
      <c r="F603" s="29">
        <v>5042</v>
      </c>
      <c r="G603" s="3" t="s">
        <v>123</v>
      </c>
      <c r="H603" s="27">
        <v>1183756</v>
      </c>
      <c r="I603" s="1">
        <v>190672.36326378488</v>
      </c>
      <c r="J603" s="1">
        <v>1374428.3632637849</v>
      </c>
    </row>
    <row r="604" spans="1:10" x14ac:dyDescent="0.2">
      <c r="A604">
        <v>2003780</v>
      </c>
      <c r="B604">
        <v>2016</v>
      </c>
      <c r="C604" t="s">
        <v>6</v>
      </c>
      <c r="D604" t="s">
        <v>7</v>
      </c>
      <c r="E604" t="s">
        <v>8</v>
      </c>
      <c r="F604" s="29">
        <v>5042</v>
      </c>
      <c r="G604" s="3" t="s">
        <v>123</v>
      </c>
      <c r="H604" s="1">
        <v>1390985</v>
      </c>
      <c r="I604" s="26">
        <v>3673719.742071717</v>
      </c>
      <c r="J604" s="26">
        <v>5064704.742071717</v>
      </c>
    </row>
    <row r="605" spans="1:10" x14ac:dyDescent="0.2">
      <c r="A605">
        <v>2003780</v>
      </c>
      <c r="B605">
        <v>2017</v>
      </c>
      <c r="C605" t="s">
        <v>6</v>
      </c>
      <c r="D605" t="s">
        <v>7</v>
      </c>
      <c r="E605" t="s">
        <v>8</v>
      </c>
      <c r="F605" s="29">
        <v>5042</v>
      </c>
      <c r="G605" s="3" t="s">
        <v>123</v>
      </c>
      <c r="H605" s="1">
        <v>1418823</v>
      </c>
      <c r="I605" s="1">
        <v>221415.33273753975</v>
      </c>
      <c r="J605" s="1">
        <v>1640238.3327375397</v>
      </c>
    </row>
    <row r="606" spans="1:10" x14ac:dyDescent="0.2">
      <c r="A606">
        <v>2003780</v>
      </c>
      <c r="B606">
        <v>2018</v>
      </c>
      <c r="C606" t="s">
        <v>6</v>
      </c>
      <c r="D606" t="s">
        <v>7</v>
      </c>
      <c r="E606" t="s">
        <v>8</v>
      </c>
      <c r="F606" s="28">
        <v>5042</v>
      </c>
      <c r="G606" t="s">
        <v>123</v>
      </c>
      <c r="H606" s="1">
        <v>1785254</v>
      </c>
      <c r="I606" s="1">
        <v>269964.94473236613</v>
      </c>
      <c r="J606" s="1">
        <v>2055218.9447323661</v>
      </c>
    </row>
    <row r="607" spans="1:10" x14ac:dyDescent="0.2">
      <c r="A607">
        <v>2003780</v>
      </c>
      <c r="B607">
        <v>2019</v>
      </c>
      <c r="C607" t="s">
        <v>6</v>
      </c>
      <c r="D607" t="s">
        <v>7</v>
      </c>
      <c r="E607" t="s">
        <v>8</v>
      </c>
      <c r="F607" s="28">
        <v>5042</v>
      </c>
      <c r="G607" t="s">
        <v>123</v>
      </c>
      <c r="H607" s="1">
        <v>2053932</v>
      </c>
      <c r="I607" s="1">
        <v>312809.369887885</v>
      </c>
      <c r="J607" s="1">
        <v>2366741.3698878852</v>
      </c>
    </row>
    <row r="608" spans="1:10" x14ac:dyDescent="0.2">
      <c r="A608">
        <v>2003780</v>
      </c>
      <c r="B608">
        <v>2020</v>
      </c>
      <c r="C608" t="s">
        <v>6</v>
      </c>
      <c r="D608" t="s">
        <v>7</v>
      </c>
      <c r="E608" t="s">
        <v>8</v>
      </c>
      <c r="F608" s="28">
        <v>5042</v>
      </c>
      <c r="G608" t="s">
        <v>123</v>
      </c>
      <c r="H608" s="1">
        <v>2345628</v>
      </c>
      <c r="I608" s="1">
        <v>354857.92139387212</v>
      </c>
      <c r="J608" s="1">
        <v>2700485.9213938722</v>
      </c>
    </row>
    <row r="609" spans="1:10" x14ac:dyDescent="0.2">
      <c r="A609">
        <v>2003780</v>
      </c>
      <c r="B609">
        <v>2021</v>
      </c>
      <c r="C609" t="s">
        <v>6</v>
      </c>
      <c r="D609" t="s">
        <v>7</v>
      </c>
      <c r="E609" t="s">
        <v>8</v>
      </c>
      <c r="F609" s="28">
        <v>5042</v>
      </c>
      <c r="G609" t="s">
        <v>123</v>
      </c>
      <c r="H609" s="25">
        <v>2462467</v>
      </c>
      <c r="I609" s="1">
        <v>367629.38303812378</v>
      </c>
      <c r="J609" s="1">
        <v>2830096.3830381236</v>
      </c>
    </row>
    <row r="610" spans="1:10" x14ac:dyDescent="0.2">
      <c r="A610">
        <v>2003780</v>
      </c>
      <c r="B610">
        <v>2022</v>
      </c>
      <c r="C610" t="s">
        <v>6</v>
      </c>
      <c r="D610" t="s">
        <v>7</v>
      </c>
      <c r="E610" t="s">
        <v>8</v>
      </c>
      <c r="F610" s="28">
        <v>5042</v>
      </c>
      <c r="G610" t="s">
        <v>123</v>
      </c>
      <c r="H610" s="1">
        <v>2536196</v>
      </c>
      <c r="I610" s="1">
        <v>344429.50309524545</v>
      </c>
      <c r="J610" s="1">
        <v>2880625.5030952455</v>
      </c>
    </row>
    <row r="611" spans="1:10" x14ac:dyDescent="0.2">
      <c r="A611">
        <v>2003780</v>
      </c>
      <c r="B611">
        <v>2023</v>
      </c>
      <c r="C611" t="s">
        <v>6</v>
      </c>
      <c r="D611" t="s">
        <v>7</v>
      </c>
      <c r="E611" t="s">
        <v>8</v>
      </c>
      <c r="F611" s="28">
        <v>5042</v>
      </c>
      <c r="G611" s="10" t="s">
        <v>123</v>
      </c>
      <c r="H611" s="1">
        <v>2649129</v>
      </c>
      <c r="I611" s="1">
        <v>370885.94456794369</v>
      </c>
      <c r="J611" s="1">
        <v>3020014.9445679439</v>
      </c>
    </row>
    <row r="612" spans="1:10" x14ac:dyDescent="0.2">
      <c r="A612">
        <v>2013050</v>
      </c>
      <c r="B612">
        <v>2015</v>
      </c>
      <c r="C612" t="s">
        <v>6</v>
      </c>
      <c r="D612" t="s">
        <v>7</v>
      </c>
      <c r="E612" t="s">
        <v>8</v>
      </c>
      <c r="F612" s="29">
        <v>5043</v>
      </c>
      <c r="G612" s="3" t="s">
        <v>124</v>
      </c>
      <c r="H612" s="27">
        <v>1913068</v>
      </c>
      <c r="I612" s="1">
        <v>308145.59473770141</v>
      </c>
      <c r="J612" s="1">
        <v>2221213.5947377016</v>
      </c>
    </row>
    <row r="613" spans="1:10" x14ac:dyDescent="0.2">
      <c r="A613">
        <v>2013050</v>
      </c>
      <c r="B613">
        <v>2016</v>
      </c>
      <c r="C613" t="s">
        <v>6</v>
      </c>
      <c r="D613" t="s">
        <v>7</v>
      </c>
      <c r="E613" t="s">
        <v>8</v>
      </c>
      <c r="F613" s="29">
        <v>5043</v>
      </c>
      <c r="G613" s="3" t="s">
        <v>124</v>
      </c>
      <c r="H613" s="1">
        <v>2003914</v>
      </c>
      <c r="I613" s="26">
        <v>5292516.2707688436</v>
      </c>
      <c r="J613" s="26">
        <v>7296430.2707688436</v>
      </c>
    </row>
    <row r="614" spans="1:10" x14ac:dyDescent="0.2">
      <c r="A614">
        <v>2013050</v>
      </c>
      <c r="B614">
        <v>2017</v>
      </c>
      <c r="C614" t="s">
        <v>6</v>
      </c>
      <c r="D614" t="s">
        <v>7</v>
      </c>
      <c r="E614" t="s">
        <v>8</v>
      </c>
      <c r="F614" s="29">
        <v>5043</v>
      </c>
      <c r="G614" s="3" t="s">
        <v>124</v>
      </c>
      <c r="H614" s="1">
        <v>2185583</v>
      </c>
      <c r="I614" s="1">
        <v>341072.55603448092</v>
      </c>
      <c r="J614" s="1">
        <v>2526655.5560344812</v>
      </c>
    </row>
    <row r="615" spans="1:10" x14ac:dyDescent="0.2">
      <c r="A615">
        <v>2013050</v>
      </c>
      <c r="B615">
        <v>2018</v>
      </c>
      <c r="C615" t="s">
        <v>6</v>
      </c>
      <c r="D615" t="s">
        <v>7</v>
      </c>
      <c r="E615" t="s">
        <v>8</v>
      </c>
      <c r="F615" s="28">
        <v>5043</v>
      </c>
      <c r="G615" t="s">
        <v>124</v>
      </c>
      <c r="H615" s="1">
        <v>2543794</v>
      </c>
      <c r="I615" s="1">
        <v>384670.86847055069</v>
      </c>
      <c r="J615" s="1">
        <v>2928464.8684705505</v>
      </c>
    </row>
    <row r="616" spans="1:10" x14ac:dyDescent="0.2">
      <c r="A616">
        <v>2013050</v>
      </c>
      <c r="B616">
        <v>2019</v>
      </c>
      <c r="C616" t="s">
        <v>6</v>
      </c>
      <c r="D616" t="s">
        <v>7</v>
      </c>
      <c r="E616" t="s">
        <v>8</v>
      </c>
      <c r="F616" s="28">
        <v>5043</v>
      </c>
      <c r="G616" t="s">
        <v>124</v>
      </c>
      <c r="H616" s="1">
        <v>3045546</v>
      </c>
      <c r="I616" s="1">
        <v>463830.02223275584</v>
      </c>
      <c r="J616" s="1">
        <v>3509376.022232756</v>
      </c>
    </row>
    <row r="617" spans="1:10" x14ac:dyDescent="0.2">
      <c r="A617">
        <v>2013050</v>
      </c>
      <c r="B617">
        <v>2020</v>
      </c>
      <c r="C617" t="s">
        <v>6</v>
      </c>
      <c r="D617" t="s">
        <v>7</v>
      </c>
      <c r="E617" t="s">
        <v>8</v>
      </c>
      <c r="F617" s="28">
        <v>5043</v>
      </c>
      <c r="G617" t="s">
        <v>124</v>
      </c>
      <c r="H617" s="1">
        <v>3300215</v>
      </c>
      <c r="I617" s="1">
        <v>499272.44859495095</v>
      </c>
      <c r="J617" s="1">
        <v>3799487.4485949511</v>
      </c>
    </row>
    <row r="618" spans="1:10" x14ac:dyDescent="0.2">
      <c r="A618">
        <v>2013050</v>
      </c>
      <c r="B618">
        <v>2021</v>
      </c>
      <c r="C618" t="s">
        <v>6</v>
      </c>
      <c r="D618" t="s">
        <v>7</v>
      </c>
      <c r="E618" t="s">
        <v>8</v>
      </c>
      <c r="F618" s="28">
        <v>5043</v>
      </c>
      <c r="G618" t="s">
        <v>124</v>
      </c>
      <c r="H618" s="25">
        <v>3255808</v>
      </c>
      <c r="I618" s="1">
        <v>486069.73670330917</v>
      </c>
      <c r="J618" s="1">
        <v>3741877.7367033092</v>
      </c>
    </row>
    <row r="619" spans="1:10" x14ac:dyDescent="0.2">
      <c r="A619">
        <v>2013050</v>
      </c>
      <c r="B619">
        <v>2022</v>
      </c>
      <c r="C619" t="s">
        <v>6</v>
      </c>
      <c r="D619" t="s">
        <v>7</v>
      </c>
      <c r="E619" t="s">
        <v>8</v>
      </c>
      <c r="F619" s="28">
        <v>5043</v>
      </c>
      <c r="G619" t="s">
        <v>124</v>
      </c>
      <c r="H619" s="1">
        <v>3402427</v>
      </c>
      <c r="I619" s="1">
        <v>462068.4840319308</v>
      </c>
      <c r="J619" s="1">
        <v>3864495.4840319306</v>
      </c>
    </row>
    <row r="620" spans="1:10" x14ac:dyDescent="0.2">
      <c r="A620">
        <v>2013050</v>
      </c>
      <c r="B620">
        <v>2023</v>
      </c>
      <c r="C620" t="s">
        <v>6</v>
      </c>
      <c r="D620" t="s">
        <v>7</v>
      </c>
      <c r="E620" t="s">
        <v>8</v>
      </c>
      <c r="F620" s="28">
        <v>5043</v>
      </c>
      <c r="G620" s="10" t="s">
        <v>124</v>
      </c>
      <c r="H620" s="1">
        <v>3409537</v>
      </c>
      <c r="I620" s="1">
        <v>477345.32776031405</v>
      </c>
      <c r="J620" s="1">
        <v>3886882.3277603141</v>
      </c>
    </row>
    <row r="621" spans="1:10" x14ac:dyDescent="0.2">
      <c r="B621">
        <v>2016</v>
      </c>
      <c r="C621" t="s">
        <v>6</v>
      </c>
      <c r="D621" t="s">
        <v>7</v>
      </c>
      <c r="E621" t="s">
        <v>8</v>
      </c>
      <c r="F621" s="29">
        <v>5045</v>
      </c>
      <c r="G621" s="3" t="s">
        <v>11</v>
      </c>
      <c r="H621" s="1">
        <v>2750</v>
      </c>
      <c r="I621" s="26">
        <v>7258.0030142063242</v>
      </c>
      <c r="J621" s="26">
        <v>10008.003014206324</v>
      </c>
    </row>
    <row r="622" spans="1:10" x14ac:dyDescent="0.2">
      <c r="B622">
        <v>2017</v>
      </c>
      <c r="C622" t="s">
        <v>6</v>
      </c>
      <c r="D622" t="s">
        <v>7</v>
      </c>
      <c r="E622" t="s">
        <v>8</v>
      </c>
      <c r="F622" s="29">
        <v>5045</v>
      </c>
      <c r="G622" s="3" t="s">
        <v>11</v>
      </c>
      <c r="H622" s="1">
        <v>2936</v>
      </c>
      <c r="I622" s="1">
        <v>458.17936199047853</v>
      </c>
      <c r="J622" s="1">
        <v>3394.1793619904784</v>
      </c>
    </row>
    <row r="623" spans="1:10" x14ac:dyDescent="0.2">
      <c r="B623">
        <v>2018</v>
      </c>
      <c r="C623" t="s">
        <v>6</v>
      </c>
      <c r="D623" t="s">
        <v>7</v>
      </c>
      <c r="E623" t="s">
        <v>8</v>
      </c>
      <c r="F623" s="28">
        <v>5045</v>
      </c>
      <c r="G623" t="s">
        <v>11</v>
      </c>
      <c r="H623" s="1">
        <v>3372</v>
      </c>
      <c r="I623" s="1">
        <v>509.91163926115752</v>
      </c>
      <c r="J623" s="1">
        <v>3881.9116392611577</v>
      </c>
    </row>
    <row r="624" spans="1:10" x14ac:dyDescent="0.2">
      <c r="B624">
        <v>2019</v>
      </c>
      <c r="C624" t="s">
        <v>6</v>
      </c>
      <c r="D624" t="s">
        <v>7</v>
      </c>
      <c r="E624" t="s">
        <v>8</v>
      </c>
      <c r="F624" s="28">
        <v>5045</v>
      </c>
      <c r="G624" t="s">
        <v>11</v>
      </c>
      <c r="H624" s="1">
        <v>5083</v>
      </c>
      <c r="I624" s="1">
        <v>774.12982861171622</v>
      </c>
      <c r="J624" s="1">
        <v>5857.1298286117162</v>
      </c>
    </row>
    <row r="625" spans="2:10" x14ac:dyDescent="0.2">
      <c r="B625">
        <v>2020</v>
      </c>
      <c r="C625" t="s">
        <v>6</v>
      </c>
      <c r="D625" t="s">
        <v>7</v>
      </c>
      <c r="E625" t="s">
        <v>8</v>
      </c>
      <c r="F625" s="28">
        <v>5045</v>
      </c>
      <c r="G625" t="s">
        <v>11</v>
      </c>
      <c r="H625" s="1">
        <v>5507</v>
      </c>
      <c r="I625" s="1">
        <v>833.12553103734001</v>
      </c>
      <c r="J625" s="1">
        <v>6340.1255310373399</v>
      </c>
    </row>
    <row r="626" spans="2:10" x14ac:dyDescent="0.2">
      <c r="B626">
        <v>2021</v>
      </c>
      <c r="C626" t="s">
        <v>6</v>
      </c>
      <c r="D626" t="s">
        <v>7</v>
      </c>
      <c r="E626" t="s">
        <v>8</v>
      </c>
      <c r="F626" s="28">
        <v>5045</v>
      </c>
      <c r="G626" t="s">
        <v>11</v>
      </c>
      <c r="H626" s="25">
        <v>3217</v>
      </c>
      <c r="I626" s="1">
        <v>480.27596927538281</v>
      </c>
      <c r="J626" s="1">
        <v>3697.275969275383</v>
      </c>
    </row>
    <row r="627" spans="2:10" x14ac:dyDescent="0.2">
      <c r="B627">
        <v>2022</v>
      </c>
      <c r="C627" t="s">
        <v>6</v>
      </c>
      <c r="D627" t="s">
        <v>7</v>
      </c>
      <c r="E627" t="s">
        <v>8</v>
      </c>
      <c r="F627" s="28">
        <v>5045</v>
      </c>
      <c r="G627" t="s">
        <v>11</v>
      </c>
      <c r="H627" s="1"/>
      <c r="I627" s="1">
        <v>0</v>
      </c>
      <c r="J627" s="1">
        <v>0</v>
      </c>
    </row>
    <row r="628" spans="2:10" x14ac:dyDescent="0.2">
      <c r="B628">
        <v>2023</v>
      </c>
      <c r="C628" t="s">
        <v>6</v>
      </c>
      <c r="D628" t="s">
        <v>7</v>
      </c>
      <c r="E628" t="s">
        <v>8</v>
      </c>
      <c r="F628" s="28">
        <v>5045</v>
      </c>
      <c r="G628" s="10" t="s">
        <v>11</v>
      </c>
      <c r="H628" s="1"/>
      <c r="I628" s="1">
        <v>0</v>
      </c>
      <c r="J628" s="1">
        <v>0</v>
      </c>
    </row>
    <row r="629" spans="2:10" x14ac:dyDescent="0.2">
      <c r="B629">
        <v>2016</v>
      </c>
      <c r="C629" t="s">
        <v>6</v>
      </c>
      <c r="D629" t="s">
        <v>7</v>
      </c>
      <c r="E629" t="s">
        <v>8</v>
      </c>
      <c r="F629" s="29">
        <v>5046</v>
      </c>
      <c r="G629" s="3" t="s">
        <v>12</v>
      </c>
      <c r="H629" s="1">
        <v>0</v>
      </c>
      <c r="I629" s="26">
        <v>0</v>
      </c>
      <c r="J629" s="26">
        <v>0</v>
      </c>
    </row>
    <row r="630" spans="2:10" x14ac:dyDescent="0.2">
      <c r="B630">
        <v>2017</v>
      </c>
      <c r="C630" t="s">
        <v>6</v>
      </c>
      <c r="D630" t="s">
        <v>7</v>
      </c>
      <c r="E630" t="s">
        <v>8</v>
      </c>
      <c r="F630" s="29">
        <v>5046</v>
      </c>
      <c r="G630" s="3" t="s">
        <v>12</v>
      </c>
      <c r="H630" s="1"/>
      <c r="I630" s="1">
        <v>0</v>
      </c>
      <c r="J630" s="1">
        <v>0</v>
      </c>
    </row>
    <row r="631" spans="2:10" x14ac:dyDescent="0.2">
      <c r="B631">
        <v>2018</v>
      </c>
      <c r="C631" t="s">
        <v>6</v>
      </c>
      <c r="D631" t="s">
        <v>7</v>
      </c>
      <c r="E631" t="s">
        <v>8</v>
      </c>
      <c r="F631" s="28">
        <v>5046</v>
      </c>
      <c r="G631" t="s">
        <v>12</v>
      </c>
      <c r="H631" s="1"/>
      <c r="I631" s="1">
        <v>0</v>
      </c>
      <c r="J631" s="1">
        <v>0</v>
      </c>
    </row>
    <row r="632" spans="2:10" x14ac:dyDescent="0.2">
      <c r="B632">
        <v>2019</v>
      </c>
      <c r="C632" t="s">
        <v>6</v>
      </c>
      <c r="D632" t="s">
        <v>7</v>
      </c>
      <c r="E632" t="s">
        <v>8</v>
      </c>
      <c r="F632" s="28">
        <v>5046</v>
      </c>
      <c r="G632" t="s">
        <v>12</v>
      </c>
      <c r="H632" s="1"/>
      <c r="I632" s="1">
        <v>0</v>
      </c>
      <c r="J632" s="1">
        <v>0</v>
      </c>
    </row>
    <row r="633" spans="2:10" x14ac:dyDescent="0.2">
      <c r="B633">
        <v>2020</v>
      </c>
      <c r="C633" t="s">
        <v>6</v>
      </c>
      <c r="D633" t="s">
        <v>7</v>
      </c>
      <c r="E633" t="s">
        <v>8</v>
      </c>
      <c r="F633" s="28">
        <v>5046</v>
      </c>
      <c r="G633" t="s">
        <v>12</v>
      </c>
      <c r="H633" s="1">
        <v>142</v>
      </c>
      <c r="I633" s="1">
        <v>21.48244514387185</v>
      </c>
      <c r="J633" s="1">
        <v>163.48244514387184</v>
      </c>
    </row>
    <row r="634" spans="2:10" x14ac:dyDescent="0.2">
      <c r="B634">
        <v>2022</v>
      </c>
      <c r="C634" t="s">
        <v>6</v>
      </c>
      <c r="D634" t="s">
        <v>7</v>
      </c>
      <c r="E634" t="s">
        <v>8</v>
      </c>
      <c r="F634" s="28">
        <v>5046</v>
      </c>
      <c r="G634" t="s">
        <v>12</v>
      </c>
      <c r="H634" s="1">
        <v>16820</v>
      </c>
      <c r="I634" s="1">
        <v>2284.2494200219653</v>
      </c>
      <c r="J634" s="1">
        <v>19104.249420021966</v>
      </c>
    </row>
    <row r="635" spans="2:10" x14ac:dyDescent="0.2">
      <c r="B635">
        <v>2023</v>
      </c>
      <c r="C635" t="s">
        <v>6</v>
      </c>
      <c r="D635" t="s">
        <v>7</v>
      </c>
      <c r="E635" t="s">
        <v>8</v>
      </c>
      <c r="F635" s="28">
        <v>5046</v>
      </c>
      <c r="G635" s="10" t="s">
        <v>12</v>
      </c>
      <c r="H635" s="1"/>
      <c r="I635" s="1">
        <v>0</v>
      </c>
      <c r="J635" s="1">
        <v>0</v>
      </c>
    </row>
    <row r="636" spans="2:10" x14ac:dyDescent="0.2">
      <c r="B636">
        <v>2016</v>
      </c>
      <c r="C636" t="s">
        <v>6</v>
      </c>
      <c r="D636" t="s">
        <v>7</v>
      </c>
      <c r="E636" t="s">
        <v>8</v>
      </c>
      <c r="F636" s="29">
        <v>5047</v>
      </c>
      <c r="G636" s="3" t="s">
        <v>13</v>
      </c>
      <c r="H636" s="1">
        <v>1460</v>
      </c>
      <c r="I636" s="26">
        <v>3851.3156205173773</v>
      </c>
      <c r="J636" s="26">
        <v>5311.3156205173773</v>
      </c>
    </row>
    <row r="637" spans="2:10" x14ac:dyDescent="0.2">
      <c r="B637">
        <v>2017</v>
      </c>
      <c r="C637" t="s">
        <v>6</v>
      </c>
      <c r="D637" t="s">
        <v>7</v>
      </c>
      <c r="E637" t="s">
        <v>8</v>
      </c>
      <c r="F637" s="29">
        <v>5047</v>
      </c>
      <c r="G637" s="3" t="s">
        <v>13</v>
      </c>
      <c r="H637" s="1">
        <v>7505</v>
      </c>
      <c r="I637" s="1">
        <v>1171.19758574201</v>
      </c>
      <c r="J637" s="1">
        <v>8676.1975857420093</v>
      </c>
    </row>
    <row r="638" spans="2:10" x14ac:dyDescent="0.2">
      <c r="B638">
        <v>2018</v>
      </c>
      <c r="C638" t="s">
        <v>6</v>
      </c>
      <c r="D638" t="s">
        <v>7</v>
      </c>
      <c r="E638" t="s">
        <v>8</v>
      </c>
      <c r="F638" s="28">
        <v>5047</v>
      </c>
      <c r="G638" t="s">
        <v>13</v>
      </c>
      <c r="H638" s="1">
        <v>7474</v>
      </c>
      <c r="I638" s="1">
        <v>1130.2134020871563</v>
      </c>
      <c r="J638" s="1">
        <v>8604.2134020871563</v>
      </c>
    </row>
    <row r="639" spans="2:10" x14ac:dyDescent="0.2">
      <c r="B639">
        <v>2019</v>
      </c>
      <c r="C639" t="s">
        <v>6</v>
      </c>
      <c r="D639" t="s">
        <v>7</v>
      </c>
      <c r="E639" t="s">
        <v>8</v>
      </c>
      <c r="F639" s="28">
        <v>5047</v>
      </c>
      <c r="G639" t="s">
        <v>13</v>
      </c>
      <c r="H639" s="1">
        <v>4500</v>
      </c>
      <c r="I639" s="1">
        <v>685.34019845617217</v>
      </c>
      <c r="J639" s="1">
        <v>5185.3401984561724</v>
      </c>
    </row>
    <row r="640" spans="2:10" x14ac:dyDescent="0.2">
      <c r="B640">
        <v>2020</v>
      </c>
      <c r="C640" t="s">
        <v>6</v>
      </c>
      <c r="D640" t="s">
        <v>7</v>
      </c>
      <c r="E640" t="s">
        <v>8</v>
      </c>
      <c r="F640" s="28">
        <v>5047</v>
      </c>
      <c r="G640" t="s">
        <v>13</v>
      </c>
      <c r="H640" s="1">
        <v>10534</v>
      </c>
      <c r="I640" s="1">
        <v>1593.6343460953949</v>
      </c>
      <c r="J640" s="1">
        <v>12127.634346095394</v>
      </c>
    </row>
    <row r="641" spans="2:10" x14ac:dyDescent="0.2">
      <c r="B641">
        <v>2021</v>
      </c>
      <c r="C641" t="s">
        <v>6</v>
      </c>
      <c r="D641" t="s">
        <v>7</v>
      </c>
      <c r="E641" t="s">
        <v>8</v>
      </c>
      <c r="F641" s="28">
        <v>5047</v>
      </c>
      <c r="G641" t="s">
        <v>13</v>
      </c>
      <c r="H641" s="25">
        <v>5650</v>
      </c>
      <c r="I641" s="1">
        <v>843.50613192599099</v>
      </c>
      <c r="J641" s="1">
        <v>6493.5061319259912</v>
      </c>
    </row>
    <row r="642" spans="2:10" x14ac:dyDescent="0.2">
      <c r="B642">
        <v>2022</v>
      </c>
      <c r="C642" t="s">
        <v>6</v>
      </c>
      <c r="D642" t="s">
        <v>7</v>
      </c>
      <c r="E642" t="s">
        <v>8</v>
      </c>
      <c r="F642" s="28">
        <v>5047</v>
      </c>
      <c r="G642" t="s">
        <v>13</v>
      </c>
      <c r="H642" s="1">
        <v>10020</v>
      </c>
      <c r="I642" s="1">
        <v>1360.7716521177226</v>
      </c>
      <c r="J642" s="1">
        <v>11380.771652117723</v>
      </c>
    </row>
    <row r="643" spans="2:10" x14ac:dyDescent="0.2">
      <c r="B643">
        <v>2023</v>
      </c>
      <c r="C643" t="s">
        <v>6</v>
      </c>
      <c r="D643" t="s">
        <v>7</v>
      </c>
      <c r="E643" t="s">
        <v>8</v>
      </c>
      <c r="F643" s="28">
        <v>5047</v>
      </c>
      <c r="G643" s="10" t="s">
        <v>13</v>
      </c>
      <c r="H643" s="1">
        <v>12710</v>
      </c>
      <c r="I643" s="1">
        <v>1779.437828606521</v>
      </c>
      <c r="J643" s="1">
        <v>14489.43782860652</v>
      </c>
    </row>
    <row r="644" spans="2:10" x14ac:dyDescent="0.2">
      <c r="B644">
        <v>2016</v>
      </c>
      <c r="C644" t="s">
        <v>6</v>
      </c>
      <c r="D644" t="s">
        <v>7</v>
      </c>
      <c r="E644" t="s">
        <v>8</v>
      </c>
      <c r="F644" s="29">
        <v>5048</v>
      </c>
      <c r="G644" s="3" t="s">
        <v>14</v>
      </c>
      <c r="H644" s="1">
        <v>27378</v>
      </c>
      <c r="I644" s="26">
        <v>72305.420984373952</v>
      </c>
      <c r="J644" s="26">
        <v>99683.420984373952</v>
      </c>
    </row>
    <row r="645" spans="2:10" x14ac:dyDescent="0.2">
      <c r="B645">
        <v>2017</v>
      </c>
      <c r="C645" t="s">
        <v>6</v>
      </c>
      <c r="D645" t="s">
        <v>7</v>
      </c>
      <c r="E645" t="s">
        <v>8</v>
      </c>
      <c r="F645" s="29">
        <v>5048</v>
      </c>
      <c r="G645" s="3" t="s">
        <v>14</v>
      </c>
      <c r="H645" s="1">
        <v>60813</v>
      </c>
      <c r="I645" s="1">
        <v>9490.2116964328907</v>
      </c>
      <c r="J645" s="1">
        <v>70303.211696432889</v>
      </c>
    </row>
    <row r="646" spans="2:10" x14ac:dyDescent="0.2">
      <c r="B646">
        <v>2018</v>
      </c>
      <c r="C646" t="s">
        <v>6</v>
      </c>
      <c r="D646" t="s">
        <v>7</v>
      </c>
      <c r="E646" t="s">
        <v>8</v>
      </c>
      <c r="F646" s="28">
        <v>5048</v>
      </c>
      <c r="G646" t="s">
        <v>14</v>
      </c>
      <c r="H646" s="1">
        <v>57805</v>
      </c>
      <c r="I646" s="1">
        <v>8741.2343735145932</v>
      </c>
      <c r="J646" s="1">
        <v>66546.234373514599</v>
      </c>
    </row>
    <row r="647" spans="2:10" x14ac:dyDescent="0.2">
      <c r="B647">
        <v>2019</v>
      </c>
      <c r="C647" t="s">
        <v>6</v>
      </c>
      <c r="D647" t="s">
        <v>7</v>
      </c>
      <c r="E647" t="s">
        <v>8</v>
      </c>
      <c r="F647" s="28">
        <v>5048</v>
      </c>
      <c r="G647" t="s">
        <v>14</v>
      </c>
      <c r="H647" s="1">
        <v>66702</v>
      </c>
      <c r="I647" s="1">
        <v>10158.569314983022</v>
      </c>
      <c r="J647" s="1">
        <v>76860.569314983019</v>
      </c>
    </row>
    <row r="648" spans="2:10" x14ac:dyDescent="0.2">
      <c r="B648">
        <v>2020</v>
      </c>
      <c r="C648" t="s">
        <v>6</v>
      </c>
      <c r="D648" t="s">
        <v>7</v>
      </c>
      <c r="E648" t="s">
        <v>8</v>
      </c>
      <c r="F648" s="28">
        <v>5048</v>
      </c>
      <c r="G648" t="s">
        <v>14</v>
      </c>
      <c r="H648" s="1">
        <v>68518</v>
      </c>
      <c r="I648" s="1">
        <v>10365.733636393037</v>
      </c>
      <c r="J648" s="1">
        <v>78883.733636393037</v>
      </c>
    </row>
    <row r="649" spans="2:10" x14ac:dyDescent="0.2">
      <c r="B649">
        <v>2021</v>
      </c>
      <c r="C649" t="s">
        <v>6</v>
      </c>
      <c r="D649" t="s">
        <v>7</v>
      </c>
      <c r="E649" t="s">
        <v>8</v>
      </c>
      <c r="F649" s="28">
        <v>5048</v>
      </c>
      <c r="G649" t="s">
        <v>14</v>
      </c>
      <c r="H649" s="25">
        <v>66995</v>
      </c>
      <c r="I649" s="1">
        <v>10001.892620952525</v>
      </c>
      <c r="J649" s="1">
        <v>76996.892620952523</v>
      </c>
    </row>
    <row r="650" spans="2:10" x14ac:dyDescent="0.2">
      <c r="B650">
        <v>2022</v>
      </c>
      <c r="C650" t="s">
        <v>6</v>
      </c>
      <c r="D650" t="s">
        <v>7</v>
      </c>
      <c r="E650" t="s">
        <v>8</v>
      </c>
      <c r="F650" s="28">
        <v>5048</v>
      </c>
      <c r="G650" t="s">
        <v>14</v>
      </c>
      <c r="H650" s="1">
        <v>58388</v>
      </c>
      <c r="I650" s="1">
        <v>7929.4146929989602</v>
      </c>
      <c r="J650" s="1">
        <v>66317.414692998966</v>
      </c>
    </row>
    <row r="651" spans="2:10" x14ac:dyDescent="0.2">
      <c r="B651">
        <v>2023</v>
      </c>
      <c r="C651" t="s">
        <v>6</v>
      </c>
      <c r="D651" t="s">
        <v>7</v>
      </c>
      <c r="E651" t="s">
        <v>8</v>
      </c>
      <c r="F651" s="28">
        <v>5048</v>
      </c>
      <c r="G651" s="10" t="s">
        <v>14</v>
      </c>
      <c r="H651" s="1">
        <v>79632</v>
      </c>
      <c r="I651" s="1">
        <v>11148.717007678559</v>
      </c>
      <c r="J651" s="1">
        <v>90780.717007678555</v>
      </c>
    </row>
    <row r="652" spans="2:10" x14ac:dyDescent="0.2">
      <c r="B652">
        <v>2016</v>
      </c>
      <c r="C652" t="s">
        <v>6</v>
      </c>
      <c r="D652" t="s">
        <v>7</v>
      </c>
      <c r="E652" t="s">
        <v>8</v>
      </c>
      <c r="F652" s="29">
        <v>5049</v>
      </c>
      <c r="G652" s="3" t="s">
        <v>15</v>
      </c>
      <c r="H652" s="1">
        <v>164240</v>
      </c>
      <c r="I652" s="26">
        <v>433770.07118606899</v>
      </c>
      <c r="J652" s="26">
        <v>598010.07118606893</v>
      </c>
    </row>
    <row r="653" spans="2:10" x14ac:dyDescent="0.2">
      <c r="B653">
        <v>2017</v>
      </c>
      <c r="C653" t="s">
        <v>6</v>
      </c>
      <c r="D653" t="s">
        <v>7</v>
      </c>
      <c r="E653" t="s">
        <v>8</v>
      </c>
      <c r="F653" s="29">
        <v>5049</v>
      </c>
      <c r="G653" s="3" t="s">
        <v>15</v>
      </c>
      <c r="H653" s="1">
        <v>160234</v>
      </c>
      <c r="I653" s="1">
        <v>25005.419580784172</v>
      </c>
      <c r="J653" s="1">
        <v>185239.41958078416</v>
      </c>
    </row>
    <row r="654" spans="2:10" x14ac:dyDescent="0.2">
      <c r="B654">
        <v>2018</v>
      </c>
      <c r="C654" t="s">
        <v>6</v>
      </c>
      <c r="D654" t="s">
        <v>7</v>
      </c>
      <c r="E654" t="s">
        <v>8</v>
      </c>
      <c r="F654" s="28">
        <v>5049</v>
      </c>
      <c r="G654" t="s">
        <v>15</v>
      </c>
      <c r="H654" s="1">
        <v>147872</v>
      </c>
      <c r="I654" s="1">
        <v>22361.107331205778</v>
      </c>
      <c r="J654" s="1">
        <v>170233.10733120577</v>
      </c>
    </row>
    <row r="655" spans="2:10" x14ac:dyDescent="0.2">
      <c r="B655">
        <v>2019</v>
      </c>
      <c r="C655" t="s">
        <v>6</v>
      </c>
      <c r="D655" t="s">
        <v>7</v>
      </c>
      <c r="E655" t="s">
        <v>8</v>
      </c>
      <c r="F655" s="28">
        <v>5049</v>
      </c>
      <c r="G655" t="s">
        <v>15</v>
      </c>
      <c r="H655" s="1">
        <v>108247</v>
      </c>
      <c r="I655" s="1">
        <v>16485.782324952281</v>
      </c>
      <c r="J655" s="1">
        <v>124732.78232495228</v>
      </c>
    </row>
    <row r="656" spans="2:10" x14ac:dyDescent="0.2">
      <c r="B656">
        <v>2020</v>
      </c>
      <c r="C656" t="s">
        <v>6</v>
      </c>
      <c r="D656" t="s">
        <v>7</v>
      </c>
      <c r="E656" t="s">
        <v>8</v>
      </c>
      <c r="F656" s="28">
        <v>5049</v>
      </c>
      <c r="G656" t="s">
        <v>15</v>
      </c>
      <c r="H656" s="1">
        <v>157689</v>
      </c>
      <c r="I656" s="1">
        <v>23855.952762619774</v>
      </c>
      <c r="J656" s="1">
        <v>181544.95276261977</v>
      </c>
    </row>
    <row r="657" spans="1:10" x14ac:dyDescent="0.2">
      <c r="B657">
        <v>2021</v>
      </c>
      <c r="C657" t="s">
        <v>6</v>
      </c>
      <c r="D657" t="s">
        <v>7</v>
      </c>
      <c r="E657" t="s">
        <v>8</v>
      </c>
      <c r="F657" s="28">
        <v>5049</v>
      </c>
      <c r="G657" t="s">
        <v>15</v>
      </c>
      <c r="H657" s="25">
        <v>103870</v>
      </c>
      <c r="I657" s="1">
        <v>15507.076446575697</v>
      </c>
      <c r="J657" s="1">
        <v>119377.07644657569</v>
      </c>
    </row>
    <row r="658" spans="1:10" x14ac:dyDescent="0.2">
      <c r="B658">
        <v>2022</v>
      </c>
      <c r="C658" t="s">
        <v>6</v>
      </c>
      <c r="D658" t="s">
        <v>7</v>
      </c>
      <c r="E658" t="s">
        <v>8</v>
      </c>
      <c r="F658" s="28">
        <v>5049</v>
      </c>
      <c r="G658" t="s">
        <v>15</v>
      </c>
      <c r="H658" s="1">
        <v>103306</v>
      </c>
      <c r="I658" s="1">
        <v>14029.528572222898</v>
      </c>
      <c r="J658" s="1">
        <v>117335.5285722229</v>
      </c>
    </row>
    <row r="659" spans="1:10" x14ac:dyDescent="0.2">
      <c r="B659">
        <v>2023</v>
      </c>
      <c r="C659" t="s">
        <v>6</v>
      </c>
      <c r="D659" t="s">
        <v>7</v>
      </c>
      <c r="E659" t="s">
        <v>8</v>
      </c>
      <c r="F659" s="28">
        <v>5049</v>
      </c>
      <c r="G659" s="10" t="s">
        <v>15</v>
      </c>
      <c r="H659" s="1">
        <v>173633</v>
      </c>
      <c r="I659" s="1">
        <v>24309.136781623605</v>
      </c>
      <c r="J659" s="1">
        <v>197942.13678162362</v>
      </c>
    </row>
    <row r="660" spans="1:10" x14ac:dyDescent="0.2">
      <c r="B660">
        <v>2016</v>
      </c>
      <c r="C660" t="s">
        <v>6</v>
      </c>
      <c r="D660" t="s">
        <v>7</v>
      </c>
      <c r="E660" t="s">
        <v>8</v>
      </c>
      <c r="F660" s="29">
        <v>5050</v>
      </c>
      <c r="G660" s="3" t="s">
        <v>16</v>
      </c>
      <c r="H660" s="1">
        <v>16225</v>
      </c>
      <c r="I660" s="26">
        <v>42854.688709008245</v>
      </c>
      <c r="J660" s="26">
        <v>59079.688709008245</v>
      </c>
    </row>
    <row r="661" spans="1:10" x14ac:dyDescent="0.2">
      <c r="B661">
        <v>2017</v>
      </c>
      <c r="C661" t="s">
        <v>6</v>
      </c>
      <c r="D661" t="s">
        <v>7</v>
      </c>
      <c r="E661" t="s">
        <v>8</v>
      </c>
      <c r="F661" s="29">
        <v>5050</v>
      </c>
      <c r="G661" s="3" t="s">
        <v>16</v>
      </c>
      <c r="H661" s="1">
        <v>25658</v>
      </c>
      <c r="I661" s="1">
        <v>4004.0756369045289</v>
      </c>
      <c r="J661" s="1">
        <v>29662.07563690453</v>
      </c>
    </row>
    <row r="662" spans="1:10" x14ac:dyDescent="0.2">
      <c r="B662">
        <v>2018</v>
      </c>
      <c r="C662" t="s">
        <v>6</v>
      </c>
      <c r="D662" t="s">
        <v>7</v>
      </c>
      <c r="E662" t="s">
        <v>8</v>
      </c>
      <c r="F662" s="28">
        <v>5050</v>
      </c>
      <c r="G662" t="s">
        <v>16</v>
      </c>
      <c r="H662" s="1">
        <v>19339</v>
      </c>
      <c r="I662" s="1">
        <v>2924.4309583842009</v>
      </c>
      <c r="J662" s="1">
        <v>22263.4309583842</v>
      </c>
    </row>
    <row r="663" spans="1:10" x14ac:dyDescent="0.2">
      <c r="B663">
        <v>2019</v>
      </c>
      <c r="C663" t="s">
        <v>6</v>
      </c>
      <c r="D663" t="s">
        <v>7</v>
      </c>
      <c r="E663" t="s">
        <v>8</v>
      </c>
      <c r="F663" s="28">
        <v>5050</v>
      </c>
      <c r="G663" t="s">
        <v>16</v>
      </c>
      <c r="H663" s="1">
        <v>4987</v>
      </c>
      <c r="I663" s="1">
        <v>759.50923771131795</v>
      </c>
      <c r="J663" s="1">
        <v>5746.5092377113178</v>
      </c>
    </row>
    <row r="664" spans="1:10" x14ac:dyDescent="0.2">
      <c r="B664">
        <v>2020</v>
      </c>
      <c r="C664" t="s">
        <v>6</v>
      </c>
      <c r="D664" t="s">
        <v>7</v>
      </c>
      <c r="E664" t="s">
        <v>8</v>
      </c>
      <c r="F664" s="28">
        <v>5050</v>
      </c>
      <c r="G664" t="s">
        <v>16</v>
      </c>
      <c r="H664" s="1">
        <v>13988</v>
      </c>
      <c r="I664" s="1">
        <v>2116.1721314963338</v>
      </c>
      <c r="J664" s="1">
        <v>16104.172131496334</v>
      </c>
    </row>
    <row r="665" spans="1:10" x14ac:dyDescent="0.2">
      <c r="B665">
        <v>2021</v>
      </c>
      <c r="C665" t="s">
        <v>6</v>
      </c>
      <c r="D665" t="s">
        <v>7</v>
      </c>
      <c r="E665" t="s">
        <v>8</v>
      </c>
      <c r="F665" s="28">
        <v>5050</v>
      </c>
      <c r="G665" t="s">
        <v>16</v>
      </c>
      <c r="H665" s="25">
        <v>19969</v>
      </c>
      <c r="I665" s="1">
        <v>2981.234327155772</v>
      </c>
      <c r="J665" s="1">
        <v>22950.234327155773</v>
      </c>
    </row>
    <row r="666" spans="1:10" x14ac:dyDescent="0.2">
      <c r="B666">
        <v>2022</v>
      </c>
      <c r="C666" t="s">
        <v>6</v>
      </c>
      <c r="D666" t="s">
        <v>7</v>
      </c>
      <c r="E666" t="s">
        <v>8</v>
      </c>
      <c r="F666" s="28">
        <v>5050</v>
      </c>
      <c r="G666" t="s">
        <v>16</v>
      </c>
      <c r="H666" s="1">
        <v>10261</v>
      </c>
      <c r="I666" s="1">
        <v>1393.5007906566816</v>
      </c>
      <c r="J666" s="1">
        <v>11654.500790656683</v>
      </c>
    </row>
    <row r="667" spans="1:10" x14ac:dyDescent="0.2">
      <c r="B667">
        <v>2023</v>
      </c>
      <c r="C667" t="s">
        <v>6</v>
      </c>
      <c r="D667" t="s">
        <v>7</v>
      </c>
      <c r="E667" t="s">
        <v>8</v>
      </c>
      <c r="F667" s="28">
        <v>5050</v>
      </c>
      <c r="G667" s="10" t="s">
        <v>16</v>
      </c>
      <c r="H667" s="1">
        <v>12445</v>
      </c>
      <c r="I667" s="1">
        <v>1742.337039890492</v>
      </c>
      <c r="J667" s="1">
        <v>14187.337039890492</v>
      </c>
    </row>
    <row r="668" spans="1:10" x14ac:dyDescent="0.2">
      <c r="A668">
        <v>2000012</v>
      </c>
      <c r="B668">
        <v>2015</v>
      </c>
      <c r="C668" t="s">
        <v>6</v>
      </c>
      <c r="D668" t="s">
        <v>7</v>
      </c>
      <c r="E668" t="s">
        <v>8</v>
      </c>
      <c r="F668" s="29">
        <v>5056</v>
      </c>
      <c r="G668" s="3" t="s">
        <v>125</v>
      </c>
      <c r="H668" s="27">
        <v>233614</v>
      </c>
      <c r="I668" s="1">
        <v>37629.151169249271</v>
      </c>
      <c r="J668" s="1">
        <v>271243.15116924926</v>
      </c>
    </row>
    <row r="669" spans="1:10" x14ac:dyDescent="0.2">
      <c r="A669">
        <v>2000012</v>
      </c>
      <c r="B669">
        <v>2016</v>
      </c>
      <c r="C669" t="s">
        <v>6</v>
      </c>
      <c r="D669" t="s">
        <v>7</v>
      </c>
      <c r="E669" t="s">
        <v>8</v>
      </c>
      <c r="F669" s="29">
        <v>5056</v>
      </c>
      <c r="G669" s="3" t="s">
        <v>125</v>
      </c>
      <c r="H669" s="1">
        <v>254480</v>
      </c>
      <c r="I669" s="26">
        <v>672101.04384135024</v>
      </c>
      <c r="J669" s="26">
        <v>926581.04384135024</v>
      </c>
    </row>
    <row r="670" spans="1:10" x14ac:dyDescent="0.2">
      <c r="A670">
        <v>2000012</v>
      </c>
      <c r="B670">
        <v>2017</v>
      </c>
      <c r="C670" t="s">
        <v>6</v>
      </c>
      <c r="D670" t="s">
        <v>7</v>
      </c>
      <c r="E670" t="s">
        <v>8</v>
      </c>
      <c r="F670" s="29">
        <v>5056</v>
      </c>
      <c r="G670" s="3" t="s">
        <v>125</v>
      </c>
      <c r="H670" s="1">
        <v>253800</v>
      </c>
      <c r="I670" s="1">
        <v>39606.921687051581</v>
      </c>
      <c r="J670" s="1">
        <v>293406.9216870516</v>
      </c>
    </row>
    <row r="671" spans="1:10" x14ac:dyDescent="0.2">
      <c r="A671">
        <v>2000012</v>
      </c>
      <c r="B671">
        <v>2018</v>
      </c>
      <c r="C671" t="s">
        <v>6</v>
      </c>
      <c r="D671" t="s">
        <v>7</v>
      </c>
      <c r="E671" t="s">
        <v>8</v>
      </c>
      <c r="F671" s="28">
        <v>5056</v>
      </c>
      <c r="G671" t="s">
        <v>125</v>
      </c>
      <c r="H671" s="1">
        <v>287338</v>
      </c>
      <c r="I671" s="1">
        <v>43451.064828595037</v>
      </c>
      <c r="J671" s="1">
        <v>330789.06482859503</v>
      </c>
    </row>
    <row r="672" spans="1:10" x14ac:dyDescent="0.2">
      <c r="A672">
        <v>2000012</v>
      </c>
      <c r="B672">
        <v>2019</v>
      </c>
      <c r="C672" t="s">
        <v>6</v>
      </c>
      <c r="D672" t="s">
        <v>7</v>
      </c>
      <c r="E672" t="s">
        <v>8</v>
      </c>
      <c r="F672" s="28">
        <v>5056</v>
      </c>
      <c r="G672" t="s">
        <v>125</v>
      </c>
      <c r="H672" s="1">
        <v>322832</v>
      </c>
      <c r="I672" s="1">
        <v>49166.610432889553</v>
      </c>
      <c r="J672" s="1">
        <v>371998.61043288955</v>
      </c>
    </row>
    <row r="673" spans="1:10" x14ac:dyDescent="0.2">
      <c r="A673">
        <v>2000012</v>
      </c>
      <c r="B673">
        <v>2020</v>
      </c>
      <c r="C673" t="s">
        <v>6</v>
      </c>
      <c r="D673" t="s">
        <v>7</v>
      </c>
      <c r="E673" t="s">
        <v>8</v>
      </c>
      <c r="F673" s="28">
        <v>5056</v>
      </c>
      <c r="G673" t="s">
        <v>125</v>
      </c>
      <c r="H673" s="1">
        <v>353065</v>
      </c>
      <c r="I673" s="1">
        <v>53413.37672338813</v>
      </c>
      <c r="J673" s="1">
        <v>406478.37672338815</v>
      </c>
    </row>
    <row r="674" spans="1:10" x14ac:dyDescent="0.2">
      <c r="A674">
        <v>2000012</v>
      </c>
      <c r="B674">
        <v>2021</v>
      </c>
      <c r="C674" t="s">
        <v>6</v>
      </c>
      <c r="D674" t="s">
        <v>7</v>
      </c>
      <c r="E674" t="s">
        <v>8</v>
      </c>
      <c r="F674" s="28">
        <v>5056</v>
      </c>
      <c r="G674" t="s">
        <v>125</v>
      </c>
      <c r="H674" s="25">
        <v>349966</v>
      </c>
      <c r="I674" s="1">
        <v>52247.516277099356</v>
      </c>
      <c r="J674" s="1">
        <v>402213.51627709938</v>
      </c>
    </row>
    <row r="675" spans="1:10" x14ac:dyDescent="0.2">
      <c r="A675">
        <v>2000012</v>
      </c>
      <c r="B675">
        <v>2022</v>
      </c>
      <c r="C675" t="s">
        <v>6</v>
      </c>
      <c r="D675" t="s">
        <v>7</v>
      </c>
      <c r="E675" t="s">
        <v>8</v>
      </c>
      <c r="F675" s="28">
        <v>5056</v>
      </c>
      <c r="G675" t="s">
        <v>125</v>
      </c>
      <c r="H675" s="1">
        <v>361672</v>
      </c>
      <c r="I675" s="1">
        <v>49117.066363744605</v>
      </c>
      <c r="J675" s="1">
        <v>410789.06636374461</v>
      </c>
    </row>
    <row r="676" spans="1:10" x14ac:dyDescent="0.2">
      <c r="A676">
        <v>2000012</v>
      </c>
      <c r="B676">
        <v>2023</v>
      </c>
      <c r="C676" t="s">
        <v>6</v>
      </c>
      <c r="D676" t="s">
        <v>7</v>
      </c>
      <c r="E676" t="s">
        <v>8</v>
      </c>
      <c r="F676" s="28">
        <v>5056</v>
      </c>
      <c r="G676" s="10" t="s">
        <v>125</v>
      </c>
      <c r="H676" s="1">
        <v>361820</v>
      </c>
      <c r="I676" s="1">
        <v>50655.87688012678</v>
      </c>
      <c r="J676" s="1">
        <v>412475.87688012677</v>
      </c>
    </row>
    <row r="677" spans="1:10" x14ac:dyDescent="0.2">
      <c r="A677">
        <v>2007590</v>
      </c>
      <c r="B677">
        <v>2015</v>
      </c>
      <c r="C677" t="s">
        <v>6</v>
      </c>
      <c r="D677" t="s">
        <v>7</v>
      </c>
      <c r="E677" t="s">
        <v>8</v>
      </c>
      <c r="F677" s="29">
        <v>5057</v>
      </c>
      <c r="G677" s="3" t="s">
        <v>126</v>
      </c>
      <c r="H677" s="27">
        <v>379454</v>
      </c>
      <c r="I677" s="1">
        <v>61120.189405499303</v>
      </c>
      <c r="J677" s="1">
        <v>440574.18940549932</v>
      </c>
    </row>
    <row r="678" spans="1:10" x14ac:dyDescent="0.2">
      <c r="A678">
        <v>2007590</v>
      </c>
      <c r="B678">
        <v>2016</v>
      </c>
      <c r="C678" t="s">
        <v>6</v>
      </c>
      <c r="D678" t="s">
        <v>7</v>
      </c>
      <c r="E678" t="s">
        <v>8</v>
      </c>
      <c r="F678" s="29">
        <v>5057</v>
      </c>
      <c r="G678" s="3" t="s">
        <v>126</v>
      </c>
      <c r="H678" s="1">
        <v>393745</v>
      </c>
      <c r="I678" s="26">
        <v>1039921.7261133003</v>
      </c>
      <c r="J678" s="26">
        <v>1433666.7261133003</v>
      </c>
    </row>
    <row r="679" spans="1:10" x14ac:dyDescent="0.2">
      <c r="A679">
        <v>2007590</v>
      </c>
      <c r="B679">
        <v>2017</v>
      </c>
      <c r="C679" t="s">
        <v>6</v>
      </c>
      <c r="D679" t="s">
        <v>7</v>
      </c>
      <c r="E679" t="s">
        <v>8</v>
      </c>
      <c r="F679" s="29">
        <v>5057</v>
      </c>
      <c r="G679" s="3" t="s">
        <v>126</v>
      </c>
      <c r="H679" s="1">
        <v>408994</v>
      </c>
      <c r="I679" s="1">
        <v>63825.820837170904</v>
      </c>
      <c r="J679" s="1">
        <v>472819.82083717093</v>
      </c>
    </row>
    <row r="680" spans="1:10" x14ac:dyDescent="0.2">
      <c r="A680">
        <v>2007590</v>
      </c>
      <c r="B680">
        <v>2018</v>
      </c>
      <c r="C680" t="s">
        <v>6</v>
      </c>
      <c r="D680" t="s">
        <v>7</v>
      </c>
      <c r="E680" t="s">
        <v>8</v>
      </c>
      <c r="F680" s="28">
        <v>5057</v>
      </c>
      <c r="G680" t="s">
        <v>126</v>
      </c>
      <c r="H680" s="1">
        <v>487793</v>
      </c>
      <c r="I680" s="1">
        <v>73763.739101458428</v>
      </c>
      <c r="J680" s="1">
        <v>561556.73910145846</v>
      </c>
    </row>
    <row r="681" spans="1:10" x14ac:dyDescent="0.2">
      <c r="A681">
        <v>2007590</v>
      </c>
      <c r="B681">
        <v>2019</v>
      </c>
      <c r="C681" t="s">
        <v>6</v>
      </c>
      <c r="D681" t="s">
        <v>7</v>
      </c>
      <c r="E681" t="s">
        <v>8</v>
      </c>
      <c r="F681" s="28">
        <v>5057</v>
      </c>
      <c r="G681" t="s">
        <v>126</v>
      </c>
      <c r="H681" s="1">
        <v>539593</v>
      </c>
      <c r="I681" s="1">
        <v>82178.838601235839</v>
      </c>
      <c r="J681" s="1">
        <v>621771.83860123588</v>
      </c>
    </row>
    <row r="682" spans="1:10" x14ac:dyDescent="0.2">
      <c r="A682">
        <v>2007590</v>
      </c>
      <c r="B682">
        <v>2020</v>
      </c>
      <c r="C682" t="s">
        <v>6</v>
      </c>
      <c r="D682" t="s">
        <v>7</v>
      </c>
      <c r="E682" t="s">
        <v>8</v>
      </c>
      <c r="F682" s="28">
        <v>5057</v>
      </c>
      <c r="G682" t="s">
        <v>126</v>
      </c>
      <c r="H682" s="1">
        <v>618530</v>
      </c>
      <c r="I682" s="1">
        <v>93574.202780556734</v>
      </c>
      <c r="J682" s="1">
        <v>712104.20278055675</v>
      </c>
    </row>
    <row r="683" spans="1:10" x14ac:dyDescent="0.2">
      <c r="A683">
        <v>2007590</v>
      </c>
      <c r="B683">
        <v>2021</v>
      </c>
      <c r="C683" t="s">
        <v>6</v>
      </c>
      <c r="D683" t="s">
        <v>7</v>
      </c>
      <c r="E683" t="s">
        <v>8</v>
      </c>
      <c r="F683" s="28">
        <v>5057</v>
      </c>
      <c r="G683" t="s">
        <v>126</v>
      </c>
      <c r="H683" s="25">
        <v>649989</v>
      </c>
      <c r="I683" s="1">
        <v>97038.886227335039</v>
      </c>
      <c r="J683" s="1">
        <v>747027.88622733508</v>
      </c>
    </row>
    <row r="684" spans="1:10" x14ac:dyDescent="0.2">
      <c r="A684">
        <v>2007590</v>
      </c>
      <c r="B684">
        <v>2022</v>
      </c>
      <c r="C684" t="s">
        <v>6</v>
      </c>
      <c r="D684" t="s">
        <v>7</v>
      </c>
      <c r="E684" t="s">
        <v>8</v>
      </c>
      <c r="F684" s="28">
        <v>5057</v>
      </c>
      <c r="G684" t="s">
        <v>126</v>
      </c>
      <c r="H684" s="1">
        <v>652976</v>
      </c>
      <c r="I684" s="1">
        <v>88677.767496329543</v>
      </c>
      <c r="J684" s="1">
        <v>741653.7674963295</v>
      </c>
    </row>
    <row r="685" spans="1:10" x14ac:dyDescent="0.2">
      <c r="A685">
        <v>2007590</v>
      </c>
      <c r="B685">
        <v>2023</v>
      </c>
      <c r="C685" t="s">
        <v>6</v>
      </c>
      <c r="D685" t="s">
        <v>7</v>
      </c>
      <c r="E685" t="s">
        <v>8</v>
      </c>
      <c r="F685" s="28">
        <v>5057</v>
      </c>
      <c r="G685" s="10" t="s">
        <v>126</v>
      </c>
      <c r="H685" s="1">
        <v>668696</v>
      </c>
      <c r="I685" s="1">
        <v>93619.430231146034</v>
      </c>
      <c r="J685" s="1">
        <v>762315.43023114605</v>
      </c>
    </row>
    <row r="686" spans="1:10" x14ac:dyDescent="0.2">
      <c r="A686">
        <v>2003870</v>
      </c>
      <c r="B686">
        <v>2015</v>
      </c>
      <c r="C686" t="s">
        <v>6</v>
      </c>
      <c r="D686" t="s">
        <v>7</v>
      </c>
      <c r="E686" t="s">
        <v>8</v>
      </c>
      <c r="F686" s="29">
        <v>5058</v>
      </c>
      <c r="G686" s="3" t="s">
        <v>127</v>
      </c>
      <c r="H686" s="27">
        <v>811694</v>
      </c>
      <c r="I686" s="1">
        <v>130742.83317426448</v>
      </c>
      <c r="J686" s="1">
        <v>942436.83317426452</v>
      </c>
    </row>
    <row r="687" spans="1:10" x14ac:dyDescent="0.2">
      <c r="A687">
        <v>2003870</v>
      </c>
      <c r="B687">
        <v>2016</v>
      </c>
      <c r="C687" t="s">
        <v>6</v>
      </c>
      <c r="D687" t="s">
        <v>7</v>
      </c>
      <c r="E687" t="s">
        <v>8</v>
      </c>
      <c r="F687" s="29">
        <v>5058</v>
      </c>
      <c r="G687" s="3" t="s">
        <v>127</v>
      </c>
      <c r="H687" s="1">
        <v>877512</v>
      </c>
      <c r="I687" s="26">
        <v>2317582.971103908</v>
      </c>
      <c r="J687" s="26">
        <v>3195094.971103908</v>
      </c>
    </row>
    <row r="688" spans="1:10" x14ac:dyDescent="0.2">
      <c r="A688">
        <v>2003870</v>
      </c>
      <c r="B688">
        <v>2017</v>
      </c>
      <c r="C688" t="s">
        <v>6</v>
      </c>
      <c r="D688" t="s">
        <v>7</v>
      </c>
      <c r="E688" t="s">
        <v>8</v>
      </c>
      <c r="F688" s="29">
        <v>5058</v>
      </c>
      <c r="G688" s="3" t="s">
        <v>127</v>
      </c>
      <c r="H688" s="1">
        <v>910116</v>
      </c>
      <c r="I688" s="1">
        <v>142028.73576884411</v>
      </c>
      <c r="J688" s="1">
        <v>1052144.7357688441</v>
      </c>
    </row>
    <row r="689" spans="1:10" x14ac:dyDescent="0.2">
      <c r="A689">
        <v>2003870</v>
      </c>
      <c r="B689">
        <v>2018</v>
      </c>
      <c r="C689" t="s">
        <v>6</v>
      </c>
      <c r="D689" t="s">
        <v>7</v>
      </c>
      <c r="E689" t="s">
        <v>8</v>
      </c>
      <c r="F689" s="28">
        <v>5058</v>
      </c>
      <c r="G689" t="s">
        <v>127</v>
      </c>
      <c r="H689" s="1">
        <v>988604</v>
      </c>
      <c r="I689" s="1">
        <v>149496.05166670741</v>
      </c>
      <c r="J689" s="1">
        <v>1138100.0516667075</v>
      </c>
    </row>
    <row r="690" spans="1:10" x14ac:dyDescent="0.2">
      <c r="A690">
        <v>2003870</v>
      </c>
      <c r="B690">
        <v>2019</v>
      </c>
      <c r="C690" t="s">
        <v>6</v>
      </c>
      <c r="D690" t="s">
        <v>7</v>
      </c>
      <c r="E690" t="s">
        <v>8</v>
      </c>
      <c r="F690" s="28">
        <v>5058</v>
      </c>
      <c r="G690" t="s">
        <v>127</v>
      </c>
      <c r="H690" s="1">
        <v>1196550</v>
      </c>
      <c r="I690" s="1">
        <v>182231.95876949618</v>
      </c>
      <c r="J690" s="1">
        <v>1378781.9587694961</v>
      </c>
    </row>
    <row r="691" spans="1:10" x14ac:dyDescent="0.2">
      <c r="A691">
        <v>2003870</v>
      </c>
      <c r="B691">
        <v>2020</v>
      </c>
      <c r="C691" t="s">
        <v>6</v>
      </c>
      <c r="D691" t="s">
        <v>7</v>
      </c>
      <c r="E691" t="s">
        <v>8</v>
      </c>
      <c r="F691" s="28">
        <v>5058</v>
      </c>
      <c r="G691" t="s">
        <v>127</v>
      </c>
      <c r="H691" s="1">
        <v>1368489</v>
      </c>
      <c r="I691" s="1">
        <v>207031.61882036648</v>
      </c>
      <c r="J691" s="1">
        <v>1575520.6188203664</v>
      </c>
    </row>
    <row r="692" spans="1:10" x14ac:dyDescent="0.2">
      <c r="A692">
        <v>2003870</v>
      </c>
      <c r="B692">
        <v>2021</v>
      </c>
      <c r="C692" t="s">
        <v>6</v>
      </c>
      <c r="D692" t="s">
        <v>7</v>
      </c>
      <c r="E692" t="s">
        <v>8</v>
      </c>
      <c r="F692" s="28">
        <v>5058</v>
      </c>
      <c r="G692" t="s">
        <v>127</v>
      </c>
      <c r="H692" s="25">
        <v>1332116</v>
      </c>
      <c r="I692" s="1">
        <v>198875.75476756165</v>
      </c>
      <c r="J692" s="1">
        <v>1530991.7547675616</v>
      </c>
    </row>
    <row r="693" spans="1:10" x14ac:dyDescent="0.2">
      <c r="A693">
        <v>2003870</v>
      </c>
      <c r="B693">
        <v>2022</v>
      </c>
      <c r="C693" t="s">
        <v>6</v>
      </c>
      <c r="D693" t="s">
        <v>7</v>
      </c>
      <c r="E693" t="s">
        <v>8</v>
      </c>
      <c r="F693" s="28">
        <v>5058</v>
      </c>
      <c r="G693" t="s">
        <v>127</v>
      </c>
      <c r="H693" s="1">
        <v>1276599</v>
      </c>
      <c r="I693" s="1">
        <v>173369.23456305714</v>
      </c>
      <c r="J693" s="1">
        <v>1449968.2345630571</v>
      </c>
    </row>
    <row r="694" spans="1:10" x14ac:dyDescent="0.2">
      <c r="A694">
        <v>2003870</v>
      </c>
      <c r="B694">
        <v>2023</v>
      </c>
      <c r="C694" t="s">
        <v>6</v>
      </c>
      <c r="D694" t="s">
        <v>7</v>
      </c>
      <c r="E694" t="s">
        <v>8</v>
      </c>
      <c r="F694" s="28">
        <v>5058</v>
      </c>
      <c r="G694" s="10" t="s">
        <v>127</v>
      </c>
      <c r="H694" s="1">
        <v>1305603</v>
      </c>
      <c r="I694" s="1">
        <v>182788.30584910774</v>
      </c>
      <c r="J694" s="1">
        <v>1488391.3058491077</v>
      </c>
    </row>
    <row r="695" spans="1:10" x14ac:dyDescent="0.2">
      <c r="A695">
        <v>2005250</v>
      </c>
      <c r="B695">
        <v>2015</v>
      </c>
      <c r="C695" t="s">
        <v>6</v>
      </c>
      <c r="D695" t="s">
        <v>7</v>
      </c>
      <c r="E695" t="s">
        <v>8</v>
      </c>
      <c r="F695" s="29">
        <v>5059</v>
      </c>
      <c r="G695" s="3" t="s">
        <v>128</v>
      </c>
      <c r="H695" s="27">
        <v>246348</v>
      </c>
      <c r="I695" s="1">
        <v>39680.268015796231</v>
      </c>
      <c r="J695" s="1">
        <v>286028.2680157962</v>
      </c>
    </row>
    <row r="696" spans="1:10" x14ac:dyDescent="0.2">
      <c r="A696">
        <v>2005250</v>
      </c>
      <c r="B696">
        <v>2016</v>
      </c>
      <c r="C696" t="s">
        <v>6</v>
      </c>
      <c r="D696" t="s">
        <v>7</v>
      </c>
      <c r="E696" t="s">
        <v>8</v>
      </c>
      <c r="F696" s="29">
        <v>5059</v>
      </c>
      <c r="G696" s="3" t="s">
        <v>128</v>
      </c>
      <c r="H696" s="1">
        <v>253520</v>
      </c>
      <c r="I696" s="26">
        <v>669570.41938332468</v>
      </c>
      <c r="J696" s="26">
        <v>923090.41938332468</v>
      </c>
    </row>
    <row r="697" spans="1:10" x14ac:dyDescent="0.2">
      <c r="A697">
        <v>2005250</v>
      </c>
      <c r="B697">
        <v>2017</v>
      </c>
      <c r="C697" t="s">
        <v>6</v>
      </c>
      <c r="D697" t="s">
        <v>7</v>
      </c>
      <c r="E697" t="s">
        <v>8</v>
      </c>
      <c r="F697" s="29">
        <v>5059</v>
      </c>
      <c r="G697" s="3" t="s">
        <v>128</v>
      </c>
      <c r="H697" s="1">
        <v>272186</v>
      </c>
      <c r="I697" s="1">
        <v>42476.160702568246</v>
      </c>
      <c r="J697" s="1">
        <v>314662.16070256825</v>
      </c>
    </row>
    <row r="698" spans="1:10" x14ac:dyDescent="0.2">
      <c r="A698">
        <v>2005250</v>
      </c>
      <c r="B698">
        <v>2018</v>
      </c>
      <c r="C698" t="s">
        <v>6</v>
      </c>
      <c r="D698" t="s">
        <v>7</v>
      </c>
      <c r="E698" t="s">
        <v>8</v>
      </c>
      <c r="F698" s="28">
        <v>5059</v>
      </c>
      <c r="G698" t="s">
        <v>128</v>
      </c>
      <c r="H698" s="1">
        <v>320568</v>
      </c>
      <c r="I698" s="1">
        <v>48476.083741005554</v>
      </c>
      <c r="J698" s="1">
        <v>369044.08374100557</v>
      </c>
    </row>
    <row r="699" spans="1:10" x14ac:dyDescent="0.2">
      <c r="A699">
        <v>2005250</v>
      </c>
      <c r="B699">
        <v>2019</v>
      </c>
      <c r="C699" t="s">
        <v>6</v>
      </c>
      <c r="D699" t="s">
        <v>7</v>
      </c>
      <c r="E699" t="s">
        <v>8</v>
      </c>
      <c r="F699" s="28">
        <v>5059</v>
      </c>
      <c r="G699" t="s">
        <v>128</v>
      </c>
      <c r="H699" s="1">
        <v>345821</v>
      </c>
      <c r="I699" s="1">
        <v>52667.785060069313</v>
      </c>
      <c r="J699" s="1">
        <v>398488.78506006929</v>
      </c>
    </row>
    <row r="700" spans="1:10" x14ac:dyDescent="0.2">
      <c r="A700">
        <v>2005250</v>
      </c>
      <c r="B700">
        <v>2020</v>
      </c>
      <c r="C700" t="s">
        <v>6</v>
      </c>
      <c r="D700" t="s">
        <v>7</v>
      </c>
      <c r="E700" t="s">
        <v>8</v>
      </c>
      <c r="F700" s="28">
        <v>5059</v>
      </c>
      <c r="G700" t="s">
        <v>128</v>
      </c>
      <c r="H700" s="1">
        <v>368818</v>
      </c>
      <c r="I700" s="1">
        <v>55796.56657093329</v>
      </c>
      <c r="J700" s="1">
        <v>424614.56657093327</v>
      </c>
    </row>
    <row r="701" spans="1:10" x14ac:dyDescent="0.2">
      <c r="A701">
        <v>2005250</v>
      </c>
      <c r="B701">
        <v>2021</v>
      </c>
      <c r="C701" t="s">
        <v>6</v>
      </c>
      <c r="D701" t="s">
        <v>7</v>
      </c>
      <c r="E701" t="s">
        <v>8</v>
      </c>
      <c r="F701" s="28">
        <v>5059</v>
      </c>
      <c r="G701" t="s">
        <v>128</v>
      </c>
      <c r="H701" s="25">
        <v>401032</v>
      </c>
      <c r="I701" s="1">
        <v>59871.318778503366</v>
      </c>
      <c r="J701" s="1">
        <v>460903.31877850334</v>
      </c>
    </row>
    <row r="702" spans="1:10" x14ac:dyDescent="0.2">
      <c r="A702">
        <v>2005250</v>
      </c>
      <c r="B702">
        <v>2022</v>
      </c>
      <c r="C702" t="s">
        <v>6</v>
      </c>
      <c r="D702" t="s">
        <v>7</v>
      </c>
      <c r="E702" t="s">
        <v>8</v>
      </c>
      <c r="F702" s="28">
        <v>5059</v>
      </c>
      <c r="G702" t="s">
        <v>128</v>
      </c>
      <c r="H702" s="1">
        <v>378466</v>
      </c>
      <c r="I702" s="1">
        <v>51397.784839359883</v>
      </c>
      <c r="J702" s="1">
        <v>429863.78483935987</v>
      </c>
    </row>
    <row r="703" spans="1:10" x14ac:dyDescent="0.2">
      <c r="A703">
        <v>2005250</v>
      </c>
      <c r="B703">
        <v>2023</v>
      </c>
      <c r="C703" t="s">
        <v>6</v>
      </c>
      <c r="D703" t="s">
        <v>7</v>
      </c>
      <c r="E703" t="s">
        <v>8</v>
      </c>
      <c r="F703" s="28">
        <v>5059</v>
      </c>
      <c r="G703" s="10" t="s">
        <v>128</v>
      </c>
      <c r="H703" s="1">
        <v>402659</v>
      </c>
      <c r="I703" s="1">
        <v>56373.458428707563</v>
      </c>
      <c r="J703" s="1">
        <v>459032.45842870756</v>
      </c>
    </row>
    <row r="704" spans="1:10" x14ac:dyDescent="0.2">
      <c r="A704">
        <v>2004500</v>
      </c>
      <c r="B704">
        <v>2015</v>
      </c>
      <c r="C704" t="s">
        <v>6</v>
      </c>
      <c r="D704" t="s">
        <v>7</v>
      </c>
      <c r="E704" t="s">
        <v>8</v>
      </c>
      <c r="F704" s="29">
        <v>5060</v>
      </c>
      <c r="G704" s="3" t="s">
        <v>129</v>
      </c>
      <c r="H704" s="27">
        <v>90844</v>
      </c>
      <c r="I704" s="1">
        <v>14632.610240907145</v>
      </c>
      <c r="J704" s="1">
        <v>105476.61024090715</v>
      </c>
    </row>
    <row r="705" spans="1:10" x14ac:dyDescent="0.2">
      <c r="A705">
        <v>2004500</v>
      </c>
      <c r="B705">
        <v>2016</v>
      </c>
      <c r="C705" t="s">
        <v>6</v>
      </c>
      <c r="D705" t="s">
        <v>7</v>
      </c>
      <c r="E705" t="s">
        <v>8</v>
      </c>
      <c r="F705" s="29">
        <v>5060</v>
      </c>
      <c r="G705" s="3" t="s">
        <v>129</v>
      </c>
      <c r="H705" s="1">
        <v>103533</v>
      </c>
      <c r="I705" s="26">
        <v>273434.72697647166</v>
      </c>
      <c r="J705" s="26">
        <v>376967.72697647166</v>
      </c>
    </row>
    <row r="706" spans="1:10" x14ac:dyDescent="0.2">
      <c r="A706">
        <v>2004500</v>
      </c>
      <c r="B706">
        <v>2017</v>
      </c>
      <c r="C706" t="s">
        <v>6</v>
      </c>
      <c r="D706" t="s">
        <v>7</v>
      </c>
      <c r="E706" t="s">
        <v>8</v>
      </c>
      <c r="F706" s="29">
        <v>5060</v>
      </c>
      <c r="G706" s="3" t="s">
        <v>129</v>
      </c>
      <c r="H706" s="1">
        <v>125070</v>
      </c>
      <c r="I706" s="1">
        <v>19517.879020486769</v>
      </c>
      <c r="J706" s="1">
        <v>144587.87902048678</v>
      </c>
    </row>
    <row r="707" spans="1:10" x14ac:dyDescent="0.2">
      <c r="A707">
        <v>2004500</v>
      </c>
      <c r="B707">
        <v>2018</v>
      </c>
      <c r="C707" t="s">
        <v>6</v>
      </c>
      <c r="D707" t="s">
        <v>7</v>
      </c>
      <c r="E707" t="s">
        <v>8</v>
      </c>
      <c r="F707" s="28">
        <v>5060</v>
      </c>
      <c r="G707" t="s">
        <v>129</v>
      </c>
      <c r="H707" s="1">
        <v>144210</v>
      </c>
      <c r="I707" s="1">
        <v>21807.342081213381</v>
      </c>
      <c r="J707" s="1">
        <v>166017.34208121337</v>
      </c>
    </row>
    <row r="708" spans="1:10" x14ac:dyDescent="0.2">
      <c r="A708">
        <v>2004500</v>
      </c>
      <c r="B708">
        <v>2019</v>
      </c>
      <c r="C708" t="s">
        <v>6</v>
      </c>
      <c r="D708" t="s">
        <v>7</v>
      </c>
      <c r="E708" t="s">
        <v>8</v>
      </c>
      <c r="F708" s="28">
        <v>5060</v>
      </c>
      <c r="G708" t="s">
        <v>129</v>
      </c>
      <c r="H708" s="1">
        <v>162999</v>
      </c>
      <c r="I708" s="1">
        <v>24824.392668479468</v>
      </c>
      <c r="J708" s="1">
        <v>187823.39266847947</v>
      </c>
    </row>
    <row r="709" spans="1:10" x14ac:dyDescent="0.2">
      <c r="A709">
        <v>2004500</v>
      </c>
      <c r="B709">
        <v>2020</v>
      </c>
      <c r="C709" t="s">
        <v>6</v>
      </c>
      <c r="D709" t="s">
        <v>7</v>
      </c>
      <c r="E709" t="s">
        <v>8</v>
      </c>
      <c r="F709" s="28">
        <v>5060</v>
      </c>
      <c r="G709" t="s">
        <v>129</v>
      </c>
      <c r="H709" s="1">
        <v>181830</v>
      </c>
      <c r="I709" s="1">
        <v>27508.119721902945</v>
      </c>
      <c r="J709" s="1">
        <v>209338.11972190294</v>
      </c>
    </row>
    <row r="710" spans="1:10" x14ac:dyDescent="0.2">
      <c r="A710">
        <v>2004500</v>
      </c>
      <c r="B710">
        <v>2021</v>
      </c>
      <c r="C710" t="s">
        <v>6</v>
      </c>
      <c r="D710" t="s">
        <v>7</v>
      </c>
      <c r="E710" t="s">
        <v>8</v>
      </c>
      <c r="F710" s="28">
        <v>5060</v>
      </c>
      <c r="G710" t="s">
        <v>129</v>
      </c>
      <c r="H710" s="25">
        <v>175191</v>
      </c>
      <c r="I710" s="1">
        <v>26154.811107654212</v>
      </c>
      <c r="J710" s="1">
        <v>201345.81110765421</v>
      </c>
    </row>
    <row r="711" spans="1:10" x14ac:dyDescent="0.2">
      <c r="A711">
        <v>2004500</v>
      </c>
      <c r="B711">
        <v>2022</v>
      </c>
      <c r="C711" t="s">
        <v>6</v>
      </c>
      <c r="D711" t="s">
        <v>7</v>
      </c>
      <c r="E711" t="s">
        <v>8</v>
      </c>
      <c r="F711" s="28">
        <v>5060</v>
      </c>
      <c r="G711" t="s">
        <v>129</v>
      </c>
      <c r="H711" s="1">
        <v>182602</v>
      </c>
      <c r="I711" s="1">
        <v>24798.365790419197</v>
      </c>
      <c r="J711" s="1">
        <v>207400.36579041919</v>
      </c>
    </row>
    <row r="712" spans="1:10" x14ac:dyDescent="0.2">
      <c r="A712">
        <v>2004500</v>
      </c>
      <c r="B712">
        <v>2023</v>
      </c>
      <c r="C712" t="s">
        <v>6</v>
      </c>
      <c r="D712" t="s">
        <v>7</v>
      </c>
      <c r="E712" t="s">
        <v>8</v>
      </c>
      <c r="F712" s="28">
        <v>5060</v>
      </c>
      <c r="G712" s="10" t="s">
        <v>129</v>
      </c>
      <c r="H712" s="1">
        <v>186351</v>
      </c>
      <c r="I712" s="1">
        <v>26089.694634040421</v>
      </c>
      <c r="J712" s="1">
        <v>212440.69463404041</v>
      </c>
    </row>
    <row r="713" spans="1:10" x14ac:dyDescent="0.2">
      <c r="A713">
        <v>2011520</v>
      </c>
      <c r="B713">
        <v>2015</v>
      </c>
      <c r="C713" t="s">
        <v>6</v>
      </c>
      <c r="D713" t="s">
        <v>7</v>
      </c>
      <c r="E713" t="s">
        <v>8</v>
      </c>
      <c r="F713" s="29">
        <v>5061</v>
      </c>
      <c r="G713" s="3" t="s">
        <v>130</v>
      </c>
      <c r="H713" s="27">
        <v>228160</v>
      </c>
      <c r="I713" s="1">
        <v>36750.653346014857</v>
      </c>
      <c r="J713" s="1">
        <v>264910.65334601485</v>
      </c>
    </row>
    <row r="714" spans="1:10" x14ac:dyDescent="0.2">
      <c r="A714">
        <v>2011520</v>
      </c>
      <c r="B714">
        <v>2016</v>
      </c>
      <c r="C714" t="s">
        <v>6</v>
      </c>
      <c r="D714" t="s">
        <v>7</v>
      </c>
      <c r="E714" t="s">
        <v>8</v>
      </c>
      <c r="F714" s="29">
        <v>5061</v>
      </c>
      <c r="G714" s="3" t="s">
        <v>130</v>
      </c>
      <c r="H714" s="1">
        <v>238603</v>
      </c>
      <c r="I714" s="26">
        <v>630171.67927018658</v>
      </c>
      <c r="J714" s="26">
        <v>868774.67927018658</v>
      </c>
    </row>
    <row r="715" spans="1:10" x14ac:dyDescent="0.2">
      <c r="A715">
        <v>2011520</v>
      </c>
      <c r="B715">
        <v>2017</v>
      </c>
      <c r="C715" t="s">
        <v>6</v>
      </c>
      <c r="D715" t="s">
        <v>7</v>
      </c>
      <c r="E715" t="s">
        <v>8</v>
      </c>
      <c r="F715" s="29">
        <v>5061</v>
      </c>
      <c r="G715" s="3" t="s">
        <v>130</v>
      </c>
      <c r="H715" s="1">
        <v>236279</v>
      </c>
      <c r="I715" s="1">
        <v>36872.670801004184</v>
      </c>
      <c r="J715" s="1">
        <v>273151.67080100416</v>
      </c>
    </row>
    <row r="716" spans="1:10" x14ac:dyDescent="0.2">
      <c r="A716">
        <v>2011520</v>
      </c>
      <c r="B716">
        <v>2018</v>
      </c>
      <c r="C716" t="s">
        <v>6</v>
      </c>
      <c r="D716" t="s">
        <v>7</v>
      </c>
      <c r="E716" t="s">
        <v>8</v>
      </c>
      <c r="F716" s="28">
        <v>5061</v>
      </c>
      <c r="G716" t="s">
        <v>130</v>
      </c>
      <c r="H716" s="1">
        <v>285456</v>
      </c>
      <c r="I716" s="1">
        <v>43166.470016884035</v>
      </c>
      <c r="J716" s="1">
        <v>328622.47001688404</v>
      </c>
    </row>
    <row r="717" spans="1:10" x14ac:dyDescent="0.2">
      <c r="A717">
        <v>2011520</v>
      </c>
      <c r="B717">
        <v>2019</v>
      </c>
      <c r="C717" t="s">
        <v>6</v>
      </c>
      <c r="D717" t="s">
        <v>7</v>
      </c>
      <c r="E717" t="s">
        <v>8</v>
      </c>
      <c r="F717" s="28">
        <v>5061</v>
      </c>
      <c r="G717" t="s">
        <v>130</v>
      </c>
      <c r="H717" s="1">
        <v>311783</v>
      </c>
      <c r="I717" s="1">
        <v>47483.871798946828</v>
      </c>
      <c r="J717" s="1">
        <v>359266.87179894681</v>
      </c>
    </row>
    <row r="718" spans="1:10" x14ac:dyDescent="0.2">
      <c r="A718">
        <v>2011520</v>
      </c>
      <c r="B718">
        <v>2020</v>
      </c>
      <c r="C718" t="s">
        <v>6</v>
      </c>
      <c r="D718" t="s">
        <v>7</v>
      </c>
      <c r="E718" t="s">
        <v>8</v>
      </c>
      <c r="F718" s="28">
        <v>5061</v>
      </c>
      <c r="G718" t="s">
        <v>130</v>
      </c>
      <c r="H718" s="1">
        <v>345620</v>
      </c>
      <c r="I718" s="1">
        <v>52287.061201584431</v>
      </c>
      <c r="J718" s="1">
        <v>397907.06120158441</v>
      </c>
    </row>
    <row r="719" spans="1:10" x14ac:dyDescent="0.2">
      <c r="A719">
        <v>2011520</v>
      </c>
      <c r="B719">
        <v>2021</v>
      </c>
      <c r="C719" t="s">
        <v>6</v>
      </c>
      <c r="D719" t="s">
        <v>7</v>
      </c>
      <c r="E719" t="s">
        <v>8</v>
      </c>
      <c r="F719" s="28">
        <v>5061</v>
      </c>
      <c r="G719" t="s">
        <v>130</v>
      </c>
      <c r="H719" s="25">
        <v>369534</v>
      </c>
      <c r="I719" s="1">
        <v>55168.884062856487</v>
      </c>
      <c r="J719" s="1">
        <v>424702.88406285649</v>
      </c>
    </row>
    <row r="720" spans="1:10" x14ac:dyDescent="0.2">
      <c r="A720">
        <v>2011520</v>
      </c>
      <c r="B720">
        <v>2022</v>
      </c>
      <c r="C720" t="s">
        <v>6</v>
      </c>
      <c r="D720" t="s">
        <v>7</v>
      </c>
      <c r="E720" t="s">
        <v>8</v>
      </c>
      <c r="F720" s="28">
        <v>5061</v>
      </c>
      <c r="G720" t="s">
        <v>130</v>
      </c>
      <c r="H720" s="1">
        <v>378119</v>
      </c>
      <c r="I720" s="1">
        <v>51350.660312085944</v>
      </c>
      <c r="J720" s="1">
        <v>429469.66031208594</v>
      </c>
    </row>
    <row r="721" spans="1:10" x14ac:dyDescent="0.2">
      <c r="A721">
        <v>2011520</v>
      </c>
      <c r="B721">
        <v>2023</v>
      </c>
      <c r="C721" t="s">
        <v>6</v>
      </c>
      <c r="D721" t="s">
        <v>7</v>
      </c>
      <c r="E721" t="s">
        <v>8</v>
      </c>
      <c r="F721" s="28">
        <v>5061</v>
      </c>
      <c r="G721" s="10" t="s">
        <v>130</v>
      </c>
      <c r="H721" s="1">
        <v>388024</v>
      </c>
      <c r="I721" s="1">
        <v>54324.514870748753</v>
      </c>
      <c r="J721" s="1">
        <v>442348.51487074874</v>
      </c>
    </row>
    <row r="722" spans="1:10" x14ac:dyDescent="0.2">
      <c r="A722">
        <v>2010800</v>
      </c>
      <c r="B722">
        <v>2015</v>
      </c>
      <c r="C722" t="s">
        <v>6</v>
      </c>
      <c r="D722" t="s">
        <v>7</v>
      </c>
      <c r="E722" t="s">
        <v>8</v>
      </c>
      <c r="F722" s="29">
        <v>5062</v>
      </c>
      <c r="G722" s="3" t="s">
        <v>131</v>
      </c>
      <c r="H722" s="27">
        <v>397463</v>
      </c>
      <c r="I722" s="1">
        <v>64020.971821822859</v>
      </c>
      <c r="J722" s="1">
        <v>461483.97182182287</v>
      </c>
    </row>
    <row r="723" spans="1:10" x14ac:dyDescent="0.2">
      <c r="A723">
        <v>2010800</v>
      </c>
      <c r="B723">
        <v>2016</v>
      </c>
      <c r="C723" t="s">
        <v>6</v>
      </c>
      <c r="D723" t="s">
        <v>7</v>
      </c>
      <c r="E723" t="s">
        <v>8</v>
      </c>
      <c r="F723" s="29">
        <v>5062</v>
      </c>
      <c r="G723" s="3" t="s">
        <v>131</v>
      </c>
      <c r="H723" s="1">
        <v>369752</v>
      </c>
      <c r="I723" s="26">
        <v>976552.86156298686</v>
      </c>
      <c r="J723" s="26">
        <v>1346304.8615629869</v>
      </c>
    </row>
    <row r="724" spans="1:10" x14ac:dyDescent="0.2">
      <c r="A724">
        <v>2010800</v>
      </c>
      <c r="B724">
        <v>2017</v>
      </c>
      <c r="C724" t="s">
        <v>6</v>
      </c>
      <c r="D724" t="s">
        <v>7</v>
      </c>
      <c r="E724" t="s">
        <v>8</v>
      </c>
      <c r="F724" s="29">
        <v>5062</v>
      </c>
      <c r="G724" s="3" t="s">
        <v>131</v>
      </c>
      <c r="H724" s="1">
        <v>443068</v>
      </c>
      <c r="I724" s="1">
        <v>69143.260748772926</v>
      </c>
      <c r="J724" s="1">
        <v>512211.26074877294</v>
      </c>
    </row>
    <row r="725" spans="1:10" x14ac:dyDescent="0.2">
      <c r="A725">
        <v>2010800</v>
      </c>
      <c r="B725">
        <v>2018</v>
      </c>
      <c r="C725" t="s">
        <v>6</v>
      </c>
      <c r="D725" t="s">
        <v>7</v>
      </c>
      <c r="E725" t="s">
        <v>8</v>
      </c>
      <c r="F725" s="28">
        <v>5062</v>
      </c>
      <c r="G725" t="s">
        <v>131</v>
      </c>
      <c r="H725" s="1">
        <v>579205</v>
      </c>
      <c r="I725" s="1">
        <v>87587.00208133414</v>
      </c>
      <c r="J725" s="1">
        <v>666792.00208133413</v>
      </c>
    </row>
    <row r="726" spans="1:10" x14ac:dyDescent="0.2">
      <c r="A726">
        <v>2010800</v>
      </c>
      <c r="B726">
        <v>2019</v>
      </c>
      <c r="C726" t="s">
        <v>6</v>
      </c>
      <c r="D726" t="s">
        <v>7</v>
      </c>
      <c r="E726" t="s">
        <v>8</v>
      </c>
      <c r="F726" s="28">
        <v>5062</v>
      </c>
      <c r="G726" t="s">
        <v>131</v>
      </c>
      <c r="H726" s="1">
        <v>590087</v>
      </c>
      <c r="I726" s="1">
        <v>89868.964819201618</v>
      </c>
      <c r="J726" s="1">
        <v>679955.96481920162</v>
      </c>
    </row>
    <row r="727" spans="1:10" x14ac:dyDescent="0.2">
      <c r="A727">
        <v>2010800</v>
      </c>
      <c r="B727">
        <v>2020</v>
      </c>
      <c r="C727" t="s">
        <v>6</v>
      </c>
      <c r="D727" t="s">
        <v>7</v>
      </c>
      <c r="E727" t="s">
        <v>8</v>
      </c>
      <c r="F727" s="28">
        <v>5062</v>
      </c>
      <c r="G727" t="s">
        <v>131</v>
      </c>
      <c r="H727" s="1">
        <v>653961</v>
      </c>
      <c r="I727" s="1">
        <v>98934.375413602655</v>
      </c>
      <c r="J727" s="1">
        <v>752895.37541360268</v>
      </c>
    </row>
    <row r="728" spans="1:10" x14ac:dyDescent="0.2">
      <c r="A728">
        <v>2010800</v>
      </c>
      <c r="B728">
        <v>2021</v>
      </c>
      <c r="C728" t="s">
        <v>6</v>
      </c>
      <c r="D728" t="s">
        <v>7</v>
      </c>
      <c r="E728" t="s">
        <v>8</v>
      </c>
      <c r="F728" s="28">
        <v>5062</v>
      </c>
      <c r="G728" t="s">
        <v>131</v>
      </c>
      <c r="H728" s="25">
        <v>631755</v>
      </c>
      <c r="I728" s="1">
        <v>94316.675464584856</v>
      </c>
      <c r="J728" s="1">
        <v>726071.67546458484</v>
      </c>
    </row>
    <row r="729" spans="1:10" x14ac:dyDescent="0.2">
      <c r="A729">
        <v>2010800</v>
      </c>
      <c r="B729">
        <v>2022</v>
      </c>
      <c r="C729" t="s">
        <v>6</v>
      </c>
      <c r="D729" t="s">
        <v>7</v>
      </c>
      <c r="E729" t="s">
        <v>8</v>
      </c>
      <c r="F729" s="28">
        <v>5062</v>
      </c>
      <c r="G729" t="s">
        <v>131</v>
      </c>
      <c r="H729" s="1">
        <v>629330</v>
      </c>
      <c r="I729" s="1">
        <v>85466.509363996636</v>
      </c>
      <c r="J729" s="1">
        <v>714796.50936399668</v>
      </c>
    </row>
    <row r="730" spans="1:10" x14ac:dyDescent="0.2">
      <c r="A730">
        <v>2010800</v>
      </c>
      <c r="B730">
        <v>2023</v>
      </c>
      <c r="C730" t="s">
        <v>6</v>
      </c>
      <c r="D730" t="s">
        <v>7</v>
      </c>
      <c r="E730" t="s">
        <v>8</v>
      </c>
      <c r="F730" s="28">
        <v>5062</v>
      </c>
      <c r="G730" s="10" t="s">
        <v>131</v>
      </c>
      <c r="H730" s="1">
        <v>627948</v>
      </c>
      <c r="I730" s="1">
        <v>87914.588953407365</v>
      </c>
      <c r="J730" s="1">
        <v>715862.58895340736</v>
      </c>
    </row>
    <row r="731" spans="1:10" x14ac:dyDescent="0.2">
      <c r="A731">
        <v>2005870</v>
      </c>
      <c r="B731">
        <v>2015</v>
      </c>
      <c r="C731" t="s">
        <v>6</v>
      </c>
      <c r="D731" t="s">
        <v>7</v>
      </c>
      <c r="E731" t="s">
        <v>8</v>
      </c>
      <c r="F731" s="29">
        <v>5063</v>
      </c>
      <c r="G731" s="3" t="s">
        <v>132</v>
      </c>
      <c r="H731" s="27">
        <v>332630</v>
      </c>
      <c r="I731" s="1">
        <v>53578.05847863308</v>
      </c>
      <c r="J731" s="1">
        <v>386208.05847863306</v>
      </c>
    </row>
    <row r="732" spans="1:10" x14ac:dyDescent="0.2">
      <c r="A732">
        <v>2005870</v>
      </c>
      <c r="B732">
        <v>2016</v>
      </c>
      <c r="C732" t="s">
        <v>6</v>
      </c>
      <c r="D732" t="s">
        <v>7</v>
      </c>
      <c r="E732" t="s">
        <v>8</v>
      </c>
      <c r="F732" s="29">
        <v>5063</v>
      </c>
      <c r="G732" s="3" t="s">
        <v>132</v>
      </c>
      <c r="H732" s="1">
        <v>360311</v>
      </c>
      <c r="I732" s="26">
        <v>951608.31146168534</v>
      </c>
      <c r="J732" s="26">
        <v>1311919.3114616855</v>
      </c>
    </row>
    <row r="733" spans="1:10" x14ac:dyDescent="0.2">
      <c r="A733">
        <v>2005870</v>
      </c>
      <c r="B733">
        <v>2017</v>
      </c>
      <c r="C733" t="s">
        <v>6</v>
      </c>
      <c r="D733" t="s">
        <v>7</v>
      </c>
      <c r="E733" t="s">
        <v>8</v>
      </c>
      <c r="F733" s="29">
        <v>5063</v>
      </c>
      <c r="G733" s="3" t="s">
        <v>132</v>
      </c>
      <c r="H733" s="1">
        <v>372136</v>
      </c>
      <c r="I733" s="1">
        <v>58073.922021011138</v>
      </c>
      <c r="J733" s="1">
        <v>430209.92202101112</v>
      </c>
    </row>
    <row r="734" spans="1:10" x14ac:dyDescent="0.2">
      <c r="A734">
        <v>2005870</v>
      </c>
      <c r="B734">
        <v>2018</v>
      </c>
      <c r="C734" t="s">
        <v>6</v>
      </c>
      <c r="D734" t="s">
        <v>7</v>
      </c>
      <c r="E734" t="s">
        <v>8</v>
      </c>
      <c r="F734" s="28">
        <v>5063</v>
      </c>
      <c r="G734" t="s">
        <v>132</v>
      </c>
      <c r="H734" s="1">
        <v>446095</v>
      </c>
      <c r="I734" s="1">
        <v>67458.194755695746</v>
      </c>
      <c r="J734" s="1">
        <v>513553.19475569576</v>
      </c>
    </row>
    <row r="735" spans="1:10" x14ac:dyDescent="0.2">
      <c r="A735">
        <v>2005870</v>
      </c>
      <c r="B735">
        <v>2019</v>
      </c>
      <c r="C735" t="s">
        <v>6</v>
      </c>
      <c r="D735" t="s">
        <v>7</v>
      </c>
      <c r="E735" t="s">
        <v>8</v>
      </c>
      <c r="F735" s="28">
        <v>5063</v>
      </c>
      <c r="G735" t="s">
        <v>132</v>
      </c>
      <c r="H735" s="1">
        <v>509087</v>
      </c>
      <c r="I735" s="1">
        <v>77532.841246990516</v>
      </c>
      <c r="J735" s="1">
        <v>586619.84124699049</v>
      </c>
    </row>
    <row r="736" spans="1:10" x14ac:dyDescent="0.2">
      <c r="A736">
        <v>2005870</v>
      </c>
      <c r="B736">
        <v>2020</v>
      </c>
      <c r="C736" t="s">
        <v>6</v>
      </c>
      <c r="D736" t="s">
        <v>7</v>
      </c>
      <c r="E736" t="s">
        <v>8</v>
      </c>
      <c r="F736" s="28">
        <v>5063</v>
      </c>
      <c r="G736" t="s">
        <v>132</v>
      </c>
      <c r="H736" s="1">
        <v>556593</v>
      </c>
      <c r="I736" s="1">
        <v>84204.074577204679</v>
      </c>
      <c r="J736" s="1">
        <v>640797.07457720465</v>
      </c>
    </row>
    <row r="737" spans="1:10" x14ac:dyDescent="0.2">
      <c r="A737">
        <v>2005870</v>
      </c>
      <c r="B737">
        <v>2021</v>
      </c>
      <c r="C737" t="s">
        <v>6</v>
      </c>
      <c r="D737" t="s">
        <v>7</v>
      </c>
      <c r="E737" t="s">
        <v>8</v>
      </c>
      <c r="F737" s="28">
        <v>5063</v>
      </c>
      <c r="G737" t="s">
        <v>132</v>
      </c>
      <c r="H737" s="25">
        <v>557665</v>
      </c>
      <c r="I737" s="1">
        <v>83255.548152302261</v>
      </c>
      <c r="J737" s="1">
        <v>640920.54815230228</v>
      </c>
    </row>
    <row r="738" spans="1:10" x14ac:dyDescent="0.2">
      <c r="A738">
        <v>2005870</v>
      </c>
      <c r="B738">
        <v>2022</v>
      </c>
      <c r="C738" t="s">
        <v>6</v>
      </c>
      <c r="D738" t="s">
        <v>7</v>
      </c>
      <c r="E738" t="s">
        <v>8</v>
      </c>
      <c r="F738" s="28">
        <v>5063</v>
      </c>
      <c r="G738" t="s">
        <v>132</v>
      </c>
      <c r="H738" s="1">
        <v>527972</v>
      </c>
      <c r="I738" s="1">
        <v>71701.530011167488</v>
      </c>
      <c r="J738" s="1">
        <v>599673.53001116752</v>
      </c>
    </row>
    <row r="739" spans="1:10" x14ac:dyDescent="0.2">
      <c r="A739">
        <v>2005870</v>
      </c>
      <c r="B739">
        <v>2023</v>
      </c>
      <c r="C739" t="s">
        <v>6</v>
      </c>
      <c r="D739" t="s">
        <v>7</v>
      </c>
      <c r="E739" t="s">
        <v>8</v>
      </c>
      <c r="F739" s="28">
        <v>5063</v>
      </c>
      <c r="G739" s="10" t="s">
        <v>132</v>
      </c>
      <c r="H739" s="1">
        <v>533967</v>
      </c>
      <c r="I739" s="1">
        <v>74756.969238988051</v>
      </c>
      <c r="J739" s="1">
        <v>608723.96923898801</v>
      </c>
    </row>
    <row r="740" spans="1:10" x14ac:dyDescent="0.2">
      <c r="A740">
        <v>2012540</v>
      </c>
      <c r="B740">
        <v>2015</v>
      </c>
      <c r="C740" t="s">
        <v>6</v>
      </c>
      <c r="D740" t="s">
        <v>7</v>
      </c>
      <c r="E740" t="s">
        <v>8</v>
      </c>
      <c r="F740" s="29">
        <v>5064</v>
      </c>
      <c r="G740" s="3" t="s">
        <v>133</v>
      </c>
      <c r="H740" s="27">
        <v>242776</v>
      </c>
      <c r="I740" s="1">
        <v>39104.911538973101</v>
      </c>
      <c r="J740" s="1">
        <v>281880.9115389731</v>
      </c>
    </row>
    <row r="741" spans="1:10" x14ac:dyDescent="0.2">
      <c r="A741">
        <v>2012540</v>
      </c>
      <c r="B741">
        <v>2016</v>
      </c>
      <c r="C741" t="s">
        <v>6</v>
      </c>
      <c r="D741" t="s">
        <v>7</v>
      </c>
      <c r="E741" t="s">
        <v>8</v>
      </c>
      <c r="F741" s="29">
        <v>5064</v>
      </c>
      <c r="G741" s="3" t="s">
        <v>133</v>
      </c>
      <c r="H741" s="1">
        <v>244408</v>
      </c>
      <c r="I741" s="26">
        <v>645501.77254178689</v>
      </c>
      <c r="J741" s="26">
        <v>889909.77254178689</v>
      </c>
    </row>
    <row r="742" spans="1:10" x14ac:dyDescent="0.2">
      <c r="A742">
        <v>2012540</v>
      </c>
      <c r="B742">
        <v>2017</v>
      </c>
      <c r="C742" t="s">
        <v>6</v>
      </c>
      <c r="D742" t="s">
        <v>7</v>
      </c>
      <c r="E742" t="s">
        <v>8</v>
      </c>
      <c r="F742" s="29">
        <v>5064</v>
      </c>
      <c r="G742" s="3" t="s">
        <v>133</v>
      </c>
      <c r="H742" s="1">
        <v>278236</v>
      </c>
      <c r="I742" s="1">
        <v>43420.297330648085</v>
      </c>
      <c r="J742" s="1">
        <v>321656.29733064806</v>
      </c>
    </row>
    <row r="743" spans="1:10" x14ac:dyDescent="0.2">
      <c r="A743">
        <v>2012540</v>
      </c>
      <c r="B743">
        <v>2018</v>
      </c>
      <c r="C743" t="s">
        <v>6</v>
      </c>
      <c r="D743" t="s">
        <v>7</v>
      </c>
      <c r="E743" t="s">
        <v>8</v>
      </c>
      <c r="F743" s="28">
        <v>5064</v>
      </c>
      <c r="G743" t="s">
        <v>133</v>
      </c>
      <c r="H743" s="1">
        <v>329832</v>
      </c>
      <c r="I743" s="1">
        <v>49876.979774847598</v>
      </c>
      <c r="J743" s="1">
        <v>379708.97977484763</v>
      </c>
    </row>
    <row r="744" spans="1:10" x14ac:dyDescent="0.2">
      <c r="A744">
        <v>2012540</v>
      </c>
      <c r="B744">
        <v>2019</v>
      </c>
      <c r="C744" t="s">
        <v>6</v>
      </c>
      <c r="D744" t="s">
        <v>7</v>
      </c>
      <c r="E744" t="s">
        <v>8</v>
      </c>
      <c r="F744" s="28">
        <v>5064</v>
      </c>
      <c r="G744" t="s">
        <v>133</v>
      </c>
      <c r="H744" s="1">
        <v>310147</v>
      </c>
      <c r="I744" s="1">
        <v>47234.712562352543</v>
      </c>
      <c r="J744" s="1">
        <v>357381.71256235254</v>
      </c>
    </row>
    <row r="745" spans="1:10" x14ac:dyDescent="0.2">
      <c r="A745">
        <v>2012540</v>
      </c>
      <c r="B745">
        <v>2020</v>
      </c>
      <c r="C745" t="s">
        <v>6</v>
      </c>
      <c r="D745" t="s">
        <v>7</v>
      </c>
      <c r="E745" t="s">
        <v>8</v>
      </c>
      <c r="F745" s="28">
        <v>5064</v>
      </c>
      <c r="G745" t="s">
        <v>133</v>
      </c>
      <c r="H745" s="1">
        <v>342099</v>
      </c>
      <c r="I745" s="1">
        <v>51754.387332911378</v>
      </c>
      <c r="J745" s="1">
        <v>393853.38733291137</v>
      </c>
    </row>
    <row r="746" spans="1:10" x14ac:dyDescent="0.2">
      <c r="A746">
        <v>2012540</v>
      </c>
      <c r="B746">
        <v>2021</v>
      </c>
      <c r="C746" t="s">
        <v>6</v>
      </c>
      <c r="D746" t="s">
        <v>7</v>
      </c>
      <c r="E746" t="s">
        <v>8</v>
      </c>
      <c r="F746" s="28">
        <v>5064</v>
      </c>
      <c r="G746" t="s">
        <v>133</v>
      </c>
      <c r="H746" s="25">
        <v>351864</v>
      </c>
      <c r="I746" s="1">
        <v>52530.874620178212</v>
      </c>
      <c r="J746" s="1">
        <v>404394.87462017819</v>
      </c>
    </row>
    <row r="747" spans="1:10" x14ac:dyDescent="0.2">
      <c r="A747">
        <v>2012540</v>
      </c>
      <c r="B747">
        <v>2022</v>
      </c>
      <c r="C747" t="s">
        <v>6</v>
      </c>
      <c r="D747" t="s">
        <v>7</v>
      </c>
      <c r="E747" t="s">
        <v>8</v>
      </c>
      <c r="F747" s="28">
        <v>5064</v>
      </c>
      <c r="G747" t="s">
        <v>133</v>
      </c>
      <c r="H747" s="1">
        <v>363560</v>
      </c>
      <c r="I747" s="1">
        <v>49373.467249892135</v>
      </c>
      <c r="J747" s="1">
        <v>412933.46724989213</v>
      </c>
    </row>
    <row r="748" spans="1:10" x14ac:dyDescent="0.2">
      <c r="A748">
        <v>2012540</v>
      </c>
      <c r="B748">
        <v>2023</v>
      </c>
      <c r="C748" t="s">
        <v>6</v>
      </c>
      <c r="D748" t="s">
        <v>7</v>
      </c>
      <c r="E748" t="s">
        <v>8</v>
      </c>
      <c r="F748" s="28">
        <v>5064</v>
      </c>
      <c r="G748" s="10" t="s">
        <v>133</v>
      </c>
      <c r="H748" s="1">
        <v>357514</v>
      </c>
      <c r="I748" s="1">
        <v>50053.024064235382</v>
      </c>
      <c r="J748" s="1">
        <v>407567.02406423539</v>
      </c>
    </row>
    <row r="749" spans="1:10" x14ac:dyDescent="0.2">
      <c r="A749">
        <v>2009360</v>
      </c>
      <c r="B749">
        <v>2015</v>
      </c>
      <c r="C749" t="s">
        <v>6</v>
      </c>
      <c r="D749" t="s">
        <v>7</v>
      </c>
      <c r="E749" t="s">
        <v>8</v>
      </c>
      <c r="F749" s="29">
        <v>5065</v>
      </c>
      <c r="G749" s="3" t="s">
        <v>134</v>
      </c>
      <c r="H749" s="27">
        <v>245414</v>
      </c>
      <c r="I749" s="1">
        <v>39529.824860882232</v>
      </c>
      <c r="J749" s="1">
        <v>284943.82486088225</v>
      </c>
    </row>
    <row r="750" spans="1:10" x14ac:dyDescent="0.2">
      <c r="A750">
        <v>2009360</v>
      </c>
      <c r="B750">
        <v>2016</v>
      </c>
      <c r="C750" t="s">
        <v>6</v>
      </c>
      <c r="D750" t="s">
        <v>7</v>
      </c>
      <c r="E750" t="s">
        <v>8</v>
      </c>
      <c r="F750" s="29">
        <v>5065</v>
      </c>
      <c r="G750" s="3" t="s">
        <v>134</v>
      </c>
      <c r="H750" s="1">
        <v>275487</v>
      </c>
      <c r="I750" s="26">
        <v>727582.78715629887</v>
      </c>
      <c r="J750" s="26">
        <v>1003069.7871562989</v>
      </c>
    </row>
    <row r="751" spans="1:10" x14ac:dyDescent="0.2">
      <c r="A751">
        <v>2009360</v>
      </c>
      <c r="B751">
        <v>2017</v>
      </c>
      <c r="C751" t="s">
        <v>6</v>
      </c>
      <c r="D751" t="s">
        <v>7</v>
      </c>
      <c r="E751" t="s">
        <v>8</v>
      </c>
      <c r="F751" s="29">
        <v>5065</v>
      </c>
      <c r="G751" s="3" t="s">
        <v>134</v>
      </c>
      <c r="H751" s="1">
        <v>296491</v>
      </c>
      <c r="I751" s="1">
        <v>46269.093057193109</v>
      </c>
      <c r="J751" s="1">
        <v>342760.09305719309</v>
      </c>
    </row>
    <row r="752" spans="1:10" x14ac:dyDescent="0.2">
      <c r="A752">
        <v>2009360</v>
      </c>
      <c r="B752">
        <v>2018</v>
      </c>
      <c r="C752" t="s">
        <v>6</v>
      </c>
      <c r="D752" t="s">
        <v>7</v>
      </c>
      <c r="E752" t="s">
        <v>8</v>
      </c>
      <c r="F752" s="28">
        <v>5065</v>
      </c>
      <c r="G752" t="s">
        <v>134</v>
      </c>
      <c r="H752" s="1">
        <v>324437</v>
      </c>
      <c r="I752" s="1">
        <v>49061.151395899222</v>
      </c>
      <c r="J752" s="1">
        <v>373498.15139589924</v>
      </c>
    </row>
    <row r="753" spans="1:10" x14ac:dyDescent="0.2">
      <c r="A753">
        <v>2009360</v>
      </c>
      <c r="B753">
        <v>2019</v>
      </c>
      <c r="C753" t="s">
        <v>6</v>
      </c>
      <c r="D753" t="s">
        <v>7</v>
      </c>
      <c r="E753" t="s">
        <v>8</v>
      </c>
      <c r="F753" s="28">
        <v>5065</v>
      </c>
      <c r="G753" t="s">
        <v>134</v>
      </c>
      <c r="H753" s="1">
        <v>385159</v>
      </c>
      <c r="I753" s="1">
        <v>58658.876777151294</v>
      </c>
      <c r="J753" s="1">
        <v>443817.87677715131</v>
      </c>
    </row>
    <row r="754" spans="1:10" x14ac:dyDescent="0.2">
      <c r="A754">
        <v>2009360</v>
      </c>
      <c r="B754">
        <v>2020</v>
      </c>
      <c r="C754" t="s">
        <v>6</v>
      </c>
      <c r="D754" t="s">
        <v>7</v>
      </c>
      <c r="E754" t="s">
        <v>8</v>
      </c>
      <c r="F754" s="28">
        <v>5065</v>
      </c>
      <c r="G754" t="s">
        <v>134</v>
      </c>
      <c r="H754" s="1">
        <v>413063</v>
      </c>
      <c r="I754" s="1">
        <v>62490.163651148854</v>
      </c>
      <c r="J754" s="1">
        <v>475553.16365114885</v>
      </c>
    </row>
    <row r="755" spans="1:10" x14ac:dyDescent="0.2">
      <c r="A755">
        <v>2009360</v>
      </c>
      <c r="B755">
        <v>2021</v>
      </c>
      <c r="C755" t="s">
        <v>6</v>
      </c>
      <c r="D755" t="s">
        <v>7</v>
      </c>
      <c r="E755" t="s">
        <v>8</v>
      </c>
      <c r="F755" s="28">
        <v>5065</v>
      </c>
      <c r="G755" t="s">
        <v>134</v>
      </c>
      <c r="H755" s="25">
        <v>422238</v>
      </c>
      <c r="I755" s="1">
        <v>63037.228695958685</v>
      </c>
      <c r="J755" s="1">
        <v>485275.22869595868</v>
      </c>
    </row>
    <row r="756" spans="1:10" x14ac:dyDescent="0.2">
      <c r="A756">
        <v>2009360</v>
      </c>
      <c r="B756">
        <v>2022</v>
      </c>
      <c r="C756" t="s">
        <v>6</v>
      </c>
      <c r="D756" t="s">
        <v>7</v>
      </c>
      <c r="E756" t="s">
        <v>8</v>
      </c>
      <c r="F756" s="28">
        <v>5065</v>
      </c>
      <c r="G756" t="s">
        <v>134</v>
      </c>
      <c r="H756" s="1">
        <v>437287</v>
      </c>
      <c r="I756" s="1">
        <v>59386.003337285678</v>
      </c>
      <c r="J756" s="1">
        <v>496673.00333728566</v>
      </c>
    </row>
    <row r="757" spans="1:10" x14ac:dyDescent="0.2">
      <c r="A757">
        <v>2009360</v>
      </c>
      <c r="B757">
        <v>2023</v>
      </c>
      <c r="C757" t="s">
        <v>6</v>
      </c>
      <c r="D757" t="s">
        <v>7</v>
      </c>
      <c r="E757" t="s">
        <v>8</v>
      </c>
      <c r="F757" s="28">
        <v>5065</v>
      </c>
      <c r="G757" s="10" t="s">
        <v>134</v>
      </c>
      <c r="H757" s="1">
        <v>428638</v>
      </c>
      <c r="I757" s="1">
        <v>60010.595749664979</v>
      </c>
      <c r="J757" s="1">
        <v>488648.59574966499</v>
      </c>
    </row>
    <row r="758" spans="1:10" x14ac:dyDescent="0.2">
      <c r="A758">
        <v>2004560</v>
      </c>
      <c r="B758">
        <v>2015</v>
      </c>
      <c r="C758" t="s">
        <v>6</v>
      </c>
      <c r="D758" t="s">
        <v>7</v>
      </c>
      <c r="E758" t="s">
        <v>8</v>
      </c>
      <c r="F758" s="29">
        <v>5066</v>
      </c>
      <c r="G758" s="3" t="s">
        <v>135</v>
      </c>
      <c r="H758" s="27">
        <v>335678</v>
      </c>
      <c r="I758" s="1">
        <v>54069.012157624369</v>
      </c>
      <c r="J758" s="1">
        <v>389747.01215762435</v>
      </c>
    </row>
    <row r="759" spans="1:10" x14ac:dyDescent="0.2">
      <c r="A759">
        <v>2004560</v>
      </c>
      <c r="B759">
        <v>2016</v>
      </c>
      <c r="C759" t="s">
        <v>6</v>
      </c>
      <c r="D759" t="s">
        <v>7</v>
      </c>
      <c r="E759" t="s">
        <v>8</v>
      </c>
      <c r="F759" s="29">
        <v>5066</v>
      </c>
      <c r="G759" s="3" t="s">
        <v>135</v>
      </c>
      <c r="H759" s="1">
        <v>338264</v>
      </c>
      <c r="I759" s="26">
        <v>893386.02471379214</v>
      </c>
      <c r="J759" s="26">
        <v>1231650.0247137921</v>
      </c>
    </row>
    <row r="760" spans="1:10" x14ac:dyDescent="0.2">
      <c r="A760">
        <v>2004560</v>
      </c>
      <c r="B760">
        <v>2017</v>
      </c>
      <c r="C760" t="s">
        <v>6</v>
      </c>
      <c r="D760" t="s">
        <v>7</v>
      </c>
      <c r="E760" t="s">
        <v>8</v>
      </c>
      <c r="F760" s="29">
        <v>5066</v>
      </c>
      <c r="G760" s="3" t="s">
        <v>135</v>
      </c>
      <c r="H760" s="1">
        <v>357890</v>
      </c>
      <c r="I760" s="1">
        <v>55850.753359254893</v>
      </c>
      <c r="J760" s="1">
        <v>413740.75335925492</v>
      </c>
    </row>
    <row r="761" spans="1:10" x14ac:dyDescent="0.2">
      <c r="A761">
        <v>2004560</v>
      </c>
      <c r="B761">
        <v>2018</v>
      </c>
      <c r="C761" t="s">
        <v>6</v>
      </c>
      <c r="D761" t="s">
        <v>7</v>
      </c>
      <c r="E761" t="s">
        <v>8</v>
      </c>
      <c r="F761" s="28">
        <v>5066</v>
      </c>
      <c r="G761" t="s">
        <v>135</v>
      </c>
      <c r="H761" s="1">
        <v>390673</v>
      </c>
      <c r="I761" s="1">
        <v>59077.316086914056</v>
      </c>
      <c r="J761" s="1">
        <v>449750.31608691404</v>
      </c>
    </row>
    <row r="762" spans="1:10" x14ac:dyDescent="0.2">
      <c r="A762">
        <v>2004560</v>
      </c>
      <c r="B762">
        <v>2019</v>
      </c>
      <c r="C762" t="s">
        <v>6</v>
      </c>
      <c r="D762" t="s">
        <v>7</v>
      </c>
      <c r="E762" t="s">
        <v>8</v>
      </c>
      <c r="F762" s="28">
        <v>5066</v>
      </c>
      <c r="G762" t="s">
        <v>135</v>
      </c>
      <c r="H762" s="1">
        <v>453440</v>
      </c>
      <c r="I762" s="1">
        <v>69057.924352881484</v>
      </c>
      <c r="J762" s="1">
        <v>522497.9243528815</v>
      </c>
    </row>
    <row r="763" spans="1:10" x14ac:dyDescent="0.2">
      <c r="A763">
        <v>2004560</v>
      </c>
      <c r="B763">
        <v>2020</v>
      </c>
      <c r="C763" t="s">
        <v>6</v>
      </c>
      <c r="D763" t="s">
        <v>7</v>
      </c>
      <c r="E763" t="s">
        <v>8</v>
      </c>
      <c r="F763" s="28">
        <v>5066</v>
      </c>
      <c r="G763" t="s">
        <v>135</v>
      </c>
      <c r="H763" s="1">
        <v>502721</v>
      </c>
      <c r="I763" s="1">
        <v>76054.058487129572</v>
      </c>
      <c r="J763" s="1">
        <v>578775.05848712963</v>
      </c>
    </row>
    <row r="764" spans="1:10" x14ac:dyDescent="0.2">
      <c r="A764">
        <v>2004560</v>
      </c>
      <c r="B764">
        <v>2021</v>
      </c>
      <c r="C764" t="s">
        <v>6</v>
      </c>
      <c r="D764" t="s">
        <v>7</v>
      </c>
      <c r="E764" t="s">
        <v>8</v>
      </c>
      <c r="F764" s="28">
        <v>5066</v>
      </c>
      <c r="G764" t="s">
        <v>135</v>
      </c>
      <c r="H764" s="25">
        <v>495273</v>
      </c>
      <c r="I764" s="1">
        <v>73940.851765908199</v>
      </c>
      <c r="J764" s="1">
        <v>569213.85176590818</v>
      </c>
    </row>
    <row r="765" spans="1:10" x14ac:dyDescent="0.2">
      <c r="A765">
        <v>2004560</v>
      </c>
      <c r="B765">
        <v>2022</v>
      </c>
      <c r="C765" t="s">
        <v>6</v>
      </c>
      <c r="D765" t="s">
        <v>7</v>
      </c>
      <c r="E765" t="s">
        <v>8</v>
      </c>
      <c r="F765" s="28">
        <v>5066</v>
      </c>
      <c r="G765" t="s">
        <v>135</v>
      </c>
      <c r="H765" s="1">
        <v>490227</v>
      </c>
      <c r="I765" s="1">
        <v>66575.549371528425</v>
      </c>
      <c r="J765" s="1">
        <v>556802.54937152844</v>
      </c>
    </row>
    <row r="766" spans="1:10" x14ac:dyDescent="0.2">
      <c r="A766">
        <v>2004560</v>
      </c>
      <c r="B766">
        <v>2023</v>
      </c>
      <c r="C766" t="s">
        <v>6</v>
      </c>
      <c r="D766" t="s">
        <v>7</v>
      </c>
      <c r="E766" t="s">
        <v>8</v>
      </c>
      <c r="F766" s="28">
        <v>5066</v>
      </c>
      <c r="G766" s="10" t="s">
        <v>135</v>
      </c>
      <c r="H766" s="1">
        <v>509741</v>
      </c>
      <c r="I766" s="1">
        <v>71365.257135461565</v>
      </c>
      <c r="J766" s="1">
        <v>581106.25713546155</v>
      </c>
    </row>
    <row r="767" spans="1:10" x14ac:dyDescent="0.2">
      <c r="A767">
        <v>2006120</v>
      </c>
      <c r="B767">
        <v>2015</v>
      </c>
      <c r="C767" t="s">
        <v>6</v>
      </c>
      <c r="D767" t="s">
        <v>7</v>
      </c>
      <c r="E767" t="s">
        <v>8</v>
      </c>
      <c r="F767" s="29">
        <v>5067</v>
      </c>
      <c r="G767" s="3" t="s">
        <v>136</v>
      </c>
      <c r="H767" s="27">
        <v>480491</v>
      </c>
      <c r="I767" s="1">
        <v>77394.627353085671</v>
      </c>
      <c r="J767" s="1">
        <v>557885.62735308567</v>
      </c>
    </row>
    <row r="768" spans="1:10" x14ac:dyDescent="0.2">
      <c r="A768">
        <v>2006120</v>
      </c>
      <c r="B768">
        <v>2016</v>
      </c>
      <c r="C768" t="s">
        <v>6</v>
      </c>
      <c r="D768" t="s">
        <v>7</v>
      </c>
      <c r="E768" t="s">
        <v>8</v>
      </c>
      <c r="F768" s="29">
        <v>5067</v>
      </c>
      <c r="G768" s="3" t="s">
        <v>136</v>
      </c>
      <c r="H768" s="1">
        <v>460957</v>
      </c>
      <c r="I768" s="26">
        <v>1217426.8538147889</v>
      </c>
      <c r="J768" s="26">
        <v>1678383.8538147889</v>
      </c>
    </row>
    <row r="769" spans="1:10" x14ac:dyDescent="0.2">
      <c r="A769">
        <v>2006120</v>
      </c>
      <c r="B769">
        <v>2017</v>
      </c>
      <c r="C769" t="s">
        <v>6</v>
      </c>
      <c r="D769" t="s">
        <v>7</v>
      </c>
      <c r="E769" t="s">
        <v>8</v>
      </c>
      <c r="F769" s="29">
        <v>5067</v>
      </c>
      <c r="G769" s="3" t="s">
        <v>136</v>
      </c>
      <c r="H769" s="1">
        <v>555522</v>
      </c>
      <c r="I769" s="1">
        <v>86692.341802341485</v>
      </c>
      <c r="J769" s="1">
        <v>642214.34180234151</v>
      </c>
    </row>
    <row r="770" spans="1:10" x14ac:dyDescent="0.2">
      <c r="A770">
        <v>2006120</v>
      </c>
      <c r="B770">
        <v>2018</v>
      </c>
      <c r="C770" t="s">
        <v>6</v>
      </c>
      <c r="D770" t="s">
        <v>7</v>
      </c>
      <c r="E770" t="s">
        <v>8</v>
      </c>
      <c r="F770" s="28">
        <v>5067</v>
      </c>
      <c r="G770" t="s">
        <v>136</v>
      </c>
      <c r="H770" s="1">
        <v>625945</v>
      </c>
      <c r="I770" s="1">
        <v>94654.994376430972</v>
      </c>
      <c r="J770" s="1">
        <v>720599.99437643099</v>
      </c>
    </row>
    <row r="771" spans="1:10" x14ac:dyDescent="0.2">
      <c r="A771">
        <v>2006120</v>
      </c>
      <c r="B771">
        <v>2019</v>
      </c>
      <c r="C771" t="s">
        <v>6</v>
      </c>
      <c r="D771" t="s">
        <v>7</v>
      </c>
      <c r="E771" t="s">
        <v>8</v>
      </c>
      <c r="F771" s="28">
        <v>5067</v>
      </c>
      <c r="G771" t="s">
        <v>136</v>
      </c>
      <c r="H771" s="1">
        <v>695412</v>
      </c>
      <c r="I771" s="1">
        <v>105909.73290862302</v>
      </c>
      <c r="J771" s="1">
        <v>801321.73290862306</v>
      </c>
    </row>
    <row r="772" spans="1:10" x14ac:dyDescent="0.2">
      <c r="A772">
        <v>2006120</v>
      </c>
      <c r="B772">
        <v>2020</v>
      </c>
      <c r="C772" t="s">
        <v>6</v>
      </c>
      <c r="D772" t="s">
        <v>7</v>
      </c>
      <c r="E772" t="s">
        <v>8</v>
      </c>
      <c r="F772" s="28">
        <v>5067</v>
      </c>
      <c r="G772" t="s">
        <v>136</v>
      </c>
      <c r="H772" s="1">
        <v>752012</v>
      </c>
      <c r="I772" s="1">
        <v>113768.00378544617</v>
      </c>
      <c r="J772" s="1">
        <v>865780.00378544617</v>
      </c>
    </row>
    <row r="773" spans="1:10" x14ac:dyDescent="0.2">
      <c r="A773">
        <v>2006120</v>
      </c>
      <c r="B773">
        <v>2021</v>
      </c>
      <c r="C773" t="s">
        <v>6</v>
      </c>
      <c r="D773" t="s">
        <v>7</v>
      </c>
      <c r="E773" t="s">
        <v>8</v>
      </c>
      <c r="F773" s="28">
        <v>5067</v>
      </c>
      <c r="G773" t="s">
        <v>136</v>
      </c>
      <c r="H773" s="25">
        <v>766042</v>
      </c>
      <c r="I773" s="1">
        <v>114364.80076333627</v>
      </c>
      <c r="J773" s="1">
        <v>880406.80076333624</v>
      </c>
    </row>
    <row r="774" spans="1:10" x14ac:dyDescent="0.2">
      <c r="A774">
        <v>2006120</v>
      </c>
      <c r="B774">
        <v>2022</v>
      </c>
      <c r="C774" t="s">
        <v>6</v>
      </c>
      <c r="D774" t="s">
        <v>7</v>
      </c>
      <c r="E774" t="s">
        <v>8</v>
      </c>
      <c r="F774" s="28">
        <v>5067</v>
      </c>
      <c r="G774" t="s">
        <v>136</v>
      </c>
      <c r="H774" s="1">
        <v>767254</v>
      </c>
      <c r="I774" s="1">
        <v>104197.35460817676</v>
      </c>
      <c r="J774" s="1">
        <v>871451.35460817674</v>
      </c>
    </row>
    <row r="775" spans="1:10" x14ac:dyDescent="0.2">
      <c r="A775">
        <v>2006120</v>
      </c>
      <c r="B775">
        <v>2023</v>
      </c>
      <c r="C775" t="s">
        <v>6</v>
      </c>
      <c r="D775" t="s">
        <v>7</v>
      </c>
      <c r="E775" t="s">
        <v>8</v>
      </c>
      <c r="F775" s="28">
        <v>5067</v>
      </c>
      <c r="G775" s="10" t="s">
        <v>136</v>
      </c>
      <c r="H775" s="1">
        <v>784980</v>
      </c>
      <c r="I775" s="1">
        <v>109899.53632569211</v>
      </c>
      <c r="J775" s="1">
        <v>894879.53632569208</v>
      </c>
    </row>
    <row r="776" spans="1:10" x14ac:dyDescent="0.2">
      <c r="B776">
        <v>2015</v>
      </c>
      <c r="C776" t="s">
        <v>6</v>
      </c>
      <c r="D776" t="s">
        <v>7</v>
      </c>
      <c r="E776" t="s">
        <v>8</v>
      </c>
      <c r="F776" s="29">
        <v>5068</v>
      </c>
      <c r="G776" s="3" t="s">
        <v>137</v>
      </c>
      <c r="H776" s="27">
        <v>364148</v>
      </c>
      <c r="I776" s="1">
        <v>58654.790123793027</v>
      </c>
      <c r="J776" s="1">
        <v>422802.79012379301</v>
      </c>
    </row>
    <row r="777" spans="1:10" x14ac:dyDescent="0.2">
      <c r="B777">
        <v>2016</v>
      </c>
      <c r="C777" t="s">
        <v>6</v>
      </c>
      <c r="D777" t="s">
        <v>7</v>
      </c>
      <c r="E777" t="s">
        <v>8</v>
      </c>
      <c r="F777" s="29">
        <v>5068</v>
      </c>
      <c r="G777" s="3" t="s">
        <v>137</v>
      </c>
      <c r="H777" s="1">
        <v>465598</v>
      </c>
      <c r="I777" s="26">
        <v>1229683.4913489721</v>
      </c>
      <c r="J777" s="26">
        <v>1695281.4913489721</v>
      </c>
    </row>
    <row r="778" spans="1:10" x14ac:dyDescent="0.2">
      <c r="B778">
        <v>2017</v>
      </c>
      <c r="C778" t="s">
        <v>6</v>
      </c>
      <c r="D778" t="s">
        <v>7</v>
      </c>
      <c r="E778" t="s">
        <v>8</v>
      </c>
      <c r="F778" s="29">
        <v>5068</v>
      </c>
      <c r="G778" s="3" t="s">
        <v>137</v>
      </c>
      <c r="H778" s="1">
        <v>495731</v>
      </c>
      <c r="I778" s="1">
        <v>77361.618971015632</v>
      </c>
      <c r="J778" s="1">
        <v>573092.61897101568</v>
      </c>
    </row>
    <row r="779" spans="1:10" x14ac:dyDescent="0.2">
      <c r="B779">
        <v>2018</v>
      </c>
      <c r="C779" t="s">
        <v>6</v>
      </c>
      <c r="D779" t="s">
        <v>7</v>
      </c>
      <c r="E779" t="s">
        <v>8</v>
      </c>
      <c r="F779" s="28">
        <v>5068</v>
      </c>
      <c r="G779" t="s">
        <v>137</v>
      </c>
      <c r="H779" s="1">
        <v>607210</v>
      </c>
      <c r="I779" s="1">
        <v>91821.899903845624</v>
      </c>
      <c r="J779" s="1">
        <v>699031.89990384562</v>
      </c>
    </row>
    <row r="780" spans="1:10" x14ac:dyDescent="0.2">
      <c r="B780">
        <v>2019</v>
      </c>
      <c r="C780" t="s">
        <v>6</v>
      </c>
      <c r="D780" t="s">
        <v>7</v>
      </c>
      <c r="E780" t="s">
        <v>8</v>
      </c>
      <c r="F780" s="28">
        <v>5068</v>
      </c>
      <c r="G780" t="s">
        <v>137</v>
      </c>
      <c r="H780" s="1">
        <v>625699</v>
      </c>
      <c r="I780" s="1">
        <v>95292.594851961869</v>
      </c>
      <c r="J780" s="1">
        <v>720991.59485196183</v>
      </c>
    </row>
    <row r="781" spans="1:10" x14ac:dyDescent="0.2">
      <c r="B781">
        <v>2020</v>
      </c>
      <c r="C781" t="s">
        <v>6</v>
      </c>
      <c r="D781" t="s">
        <v>7</v>
      </c>
      <c r="E781" t="s">
        <v>8</v>
      </c>
      <c r="F781" s="28">
        <v>5068</v>
      </c>
      <c r="G781" t="s">
        <v>137</v>
      </c>
      <c r="H781" s="1">
        <v>682206</v>
      </c>
      <c r="I781" s="1">
        <v>103207.41529450873</v>
      </c>
      <c r="J781" s="1">
        <v>785413.41529450868</v>
      </c>
    </row>
    <row r="782" spans="1:10" x14ac:dyDescent="0.2">
      <c r="B782">
        <v>2021</v>
      </c>
      <c r="C782" t="s">
        <v>6</v>
      </c>
      <c r="D782" t="s">
        <v>7</v>
      </c>
      <c r="E782" t="s">
        <v>8</v>
      </c>
      <c r="F782" s="28">
        <v>5068</v>
      </c>
      <c r="G782" t="s">
        <v>137</v>
      </c>
      <c r="H782" s="25">
        <v>733490</v>
      </c>
      <c r="I782" s="1">
        <v>109505.01109847701</v>
      </c>
      <c r="J782" s="1">
        <v>842995.01109847706</v>
      </c>
    </row>
    <row r="783" spans="1:10" x14ac:dyDescent="0.2">
      <c r="B783">
        <v>2022</v>
      </c>
      <c r="C783" t="s">
        <v>6</v>
      </c>
      <c r="D783" t="s">
        <v>7</v>
      </c>
      <c r="E783" t="s">
        <v>8</v>
      </c>
      <c r="F783" s="28">
        <v>5068</v>
      </c>
      <c r="G783" t="s">
        <v>137</v>
      </c>
      <c r="H783" s="1">
        <v>737573</v>
      </c>
      <c r="I783" s="1">
        <v>100166.50995682884</v>
      </c>
      <c r="J783" s="1">
        <v>837739.50995682878</v>
      </c>
    </row>
    <row r="784" spans="1:10" x14ac:dyDescent="0.2">
      <c r="B784">
        <v>2023</v>
      </c>
      <c r="C784" t="s">
        <v>6</v>
      </c>
      <c r="D784" t="s">
        <v>7</v>
      </c>
      <c r="E784" t="s">
        <v>8</v>
      </c>
      <c r="F784" s="28">
        <v>5068</v>
      </c>
      <c r="G784" s="10" t="s">
        <v>137</v>
      </c>
      <c r="H784" s="1">
        <v>745887</v>
      </c>
      <c r="I784" s="1">
        <v>104426.39997370826</v>
      </c>
      <c r="J784" s="1">
        <v>850313.3999737082</v>
      </c>
    </row>
    <row r="785" spans="1:10" x14ac:dyDescent="0.2">
      <c r="A785">
        <v>2006840</v>
      </c>
      <c r="B785">
        <v>2015</v>
      </c>
      <c r="C785" t="s">
        <v>6</v>
      </c>
      <c r="D785" t="s">
        <v>7</v>
      </c>
      <c r="E785" t="s">
        <v>8</v>
      </c>
      <c r="F785" s="29">
        <v>5069</v>
      </c>
      <c r="G785" s="3" t="s">
        <v>138</v>
      </c>
      <c r="H785" s="27">
        <v>414398</v>
      </c>
      <c r="I785" s="1">
        <v>66748.760717399477</v>
      </c>
      <c r="J785" s="1">
        <v>481146.76071739948</v>
      </c>
    </row>
    <row r="786" spans="1:10" x14ac:dyDescent="0.2">
      <c r="A786">
        <v>2006840</v>
      </c>
      <c r="B786">
        <v>2016</v>
      </c>
      <c r="C786" t="s">
        <v>6</v>
      </c>
      <c r="D786" t="s">
        <v>7</v>
      </c>
      <c r="E786" t="s">
        <v>8</v>
      </c>
      <c r="F786" s="29">
        <v>5069</v>
      </c>
      <c r="G786" s="3" t="s">
        <v>138</v>
      </c>
      <c r="H786" s="1">
        <v>445774</v>
      </c>
      <c r="I786" s="26">
        <v>1177324.6246495214</v>
      </c>
      <c r="J786" s="26">
        <v>1623098.6246495214</v>
      </c>
    </row>
    <row r="787" spans="1:10" x14ac:dyDescent="0.2">
      <c r="A787">
        <v>2006840</v>
      </c>
      <c r="B787">
        <v>2017</v>
      </c>
      <c r="C787" t="s">
        <v>6</v>
      </c>
      <c r="D787" t="s">
        <v>7</v>
      </c>
      <c r="E787" t="s">
        <v>8</v>
      </c>
      <c r="F787" s="29">
        <v>5069</v>
      </c>
      <c r="G787" s="3" t="s">
        <v>138</v>
      </c>
      <c r="H787" s="1">
        <v>470067</v>
      </c>
      <c r="I787" s="1">
        <v>73356.607000265081</v>
      </c>
      <c r="J787" s="1">
        <v>543423.60700026504</v>
      </c>
    </row>
    <row r="788" spans="1:10" x14ac:dyDescent="0.2">
      <c r="A788">
        <v>2006840</v>
      </c>
      <c r="B788">
        <v>2018</v>
      </c>
      <c r="C788" t="s">
        <v>6</v>
      </c>
      <c r="D788" t="s">
        <v>7</v>
      </c>
      <c r="E788" t="s">
        <v>8</v>
      </c>
      <c r="F788" s="28">
        <v>5069</v>
      </c>
      <c r="G788" t="s">
        <v>138</v>
      </c>
      <c r="H788" s="1">
        <v>524362</v>
      </c>
      <c r="I788" s="1">
        <v>79293.679414667582</v>
      </c>
      <c r="J788" s="1">
        <v>603655.67941466754</v>
      </c>
    </row>
    <row r="789" spans="1:10" x14ac:dyDescent="0.2">
      <c r="A789">
        <v>2006840</v>
      </c>
      <c r="B789">
        <v>2019</v>
      </c>
      <c r="C789" t="s">
        <v>6</v>
      </c>
      <c r="D789" t="s">
        <v>7</v>
      </c>
      <c r="E789" t="s">
        <v>8</v>
      </c>
      <c r="F789" s="28">
        <v>5069</v>
      </c>
      <c r="G789" t="s">
        <v>138</v>
      </c>
      <c r="H789" s="1">
        <v>618298</v>
      </c>
      <c r="I789" s="1">
        <v>94165.43867223429</v>
      </c>
      <c r="J789" s="1">
        <v>712463.4386722343</v>
      </c>
    </row>
    <row r="790" spans="1:10" x14ac:dyDescent="0.2">
      <c r="A790">
        <v>2006840</v>
      </c>
      <c r="B790">
        <v>2020</v>
      </c>
      <c r="C790" t="s">
        <v>6</v>
      </c>
      <c r="D790" t="s">
        <v>7</v>
      </c>
      <c r="E790" t="s">
        <v>8</v>
      </c>
      <c r="F790" s="28">
        <v>5069</v>
      </c>
      <c r="G790" t="s">
        <v>138</v>
      </c>
      <c r="H790" s="1">
        <v>676732</v>
      </c>
      <c r="I790" s="1">
        <v>102379.28216269496</v>
      </c>
      <c r="J790" s="1">
        <v>779111.28216269496</v>
      </c>
    </row>
    <row r="791" spans="1:10" x14ac:dyDescent="0.2">
      <c r="A791">
        <v>2006840</v>
      </c>
      <c r="B791">
        <v>2021</v>
      </c>
      <c r="C791" t="s">
        <v>6</v>
      </c>
      <c r="D791" t="s">
        <v>7</v>
      </c>
      <c r="E791" t="s">
        <v>8</v>
      </c>
      <c r="F791" s="28">
        <v>5069</v>
      </c>
      <c r="G791" t="s">
        <v>138</v>
      </c>
      <c r="H791" s="25">
        <v>674977</v>
      </c>
      <c r="I791" s="1">
        <v>100769.42272725834</v>
      </c>
      <c r="J791" s="1">
        <v>775746.42272725829</v>
      </c>
    </row>
    <row r="792" spans="1:10" x14ac:dyDescent="0.2">
      <c r="A792">
        <v>2006840</v>
      </c>
      <c r="B792">
        <v>2022</v>
      </c>
      <c r="C792" t="s">
        <v>6</v>
      </c>
      <c r="D792" t="s">
        <v>7</v>
      </c>
      <c r="E792" t="s">
        <v>8</v>
      </c>
      <c r="F792" s="28">
        <v>5069</v>
      </c>
      <c r="G792" t="s">
        <v>138</v>
      </c>
      <c r="H792" s="1">
        <v>653714</v>
      </c>
      <c r="I792" s="1">
        <v>88777.991995257966</v>
      </c>
      <c r="J792" s="1">
        <v>742491.99199525802</v>
      </c>
    </row>
    <row r="793" spans="1:10" x14ac:dyDescent="0.2">
      <c r="A793">
        <v>2006840</v>
      </c>
      <c r="B793">
        <v>2023</v>
      </c>
      <c r="C793" t="s">
        <v>6</v>
      </c>
      <c r="D793" t="s">
        <v>7</v>
      </c>
      <c r="E793" t="s">
        <v>8</v>
      </c>
      <c r="F793" s="28">
        <v>5069</v>
      </c>
      <c r="G793" s="10" t="s">
        <v>138</v>
      </c>
      <c r="H793" s="1">
        <v>693217</v>
      </c>
      <c r="I793" s="1">
        <v>97052.443212677157</v>
      </c>
      <c r="J793" s="1">
        <v>790269.44321267714</v>
      </c>
    </row>
    <row r="794" spans="1:10" x14ac:dyDescent="0.2">
      <c r="A794">
        <v>2012210</v>
      </c>
      <c r="B794">
        <v>2015</v>
      </c>
      <c r="C794" t="s">
        <v>6</v>
      </c>
      <c r="D794" t="s">
        <v>7</v>
      </c>
      <c r="E794" t="s">
        <v>8</v>
      </c>
      <c r="F794" s="29">
        <v>5070</v>
      </c>
      <c r="G794" s="3" t="s">
        <v>139</v>
      </c>
      <c r="H794" s="27">
        <v>1020141</v>
      </c>
      <c r="I794" s="1">
        <v>164318.23393696063</v>
      </c>
      <c r="J794" s="1">
        <v>1184459.2339369606</v>
      </c>
    </row>
    <row r="795" spans="1:10" x14ac:dyDescent="0.2">
      <c r="A795">
        <v>2012210</v>
      </c>
      <c r="B795">
        <v>2016</v>
      </c>
      <c r="C795" t="s">
        <v>6</v>
      </c>
      <c r="D795" t="s">
        <v>7</v>
      </c>
      <c r="E795" t="s">
        <v>8</v>
      </c>
      <c r="F795" s="29">
        <v>5070</v>
      </c>
      <c r="G795" s="3" t="s">
        <v>139</v>
      </c>
      <c r="H795" s="1">
        <v>1110280</v>
      </c>
      <c r="I795" s="26">
        <v>2932350.1862715231</v>
      </c>
      <c r="J795" s="26">
        <v>4042630.1862715231</v>
      </c>
    </row>
    <row r="796" spans="1:10" x14ac:dyDescent="0.2">
      <c r="A796">
        <v>2012210</v>
      </c>
      <c r="B796">
        <v>2017</v>
      </c>
      <c r="C796" t="s">
        <v>6</v>
      </c>
      <c r="D796" t="s">
        <v>7</v>
      </c>
      <c r="E796" t="s">
        <v>8</v>
      </c>
      <c r="F796" s="29">
        <v>5070</v>
      </c>
      <c r="G796" s="3" t="s">
        <v>139</v>
      </c>
      <c r="H796" s="1">
        <v>1161323</v>
      </c>
      <c r="I796" s="1">
        <v>181231.0051787699</v>
      </c>
      <c r="J796" s="1">
        <v>1342554.0051787698</v>
      </c>
    </row>
    <row r="797" spans="1:10" x14ac:dyDescent="0.2">
      <c r="A797">
        <v>2012210</v>
      </c>
      <c r="B797">
        <v>2018</v>
      </c>
      <c r="C797" t="s">
        <v>6</v>
      </c>
      <c r="D797" t="s">
        <v>7</v>
      </c>
      <c r="E797" t="s">
        <v>8</v>
      </c>
      <c r="F797" s="28">
        <v>5070</v>
      </c>
      <c r="G797" t="s">
        <v>139</v>
      </c>
      <c r="H797" s="1">
        <v>1324833</v>
      </c>
      <c r="I797" s="1">
        <v>200340.38160654719</v>
      </c>
      <c r="J797" s="1">
        <v>1525173.3816065472</v>
      </c>
    </row>
    <row r="798" spans="1:10" x14ac:dyDescent="0.2">
      <c r="A798">
        <v>2012210</v>
      </c>
      <c r="B798">
        <v>2019</v>
      </c>
      <c r="C798" t="s">
        <v>6</v>
      </c>
      <c r="D798" t="s">
        <v>7</v>
      </c>
      <c r="E798" t="s">
        <v>8</v>
      </c>
      <c r="F798" s="28">
        <v>5070</v>
      </c>
      <c r="G798" t="s">
        <v>139</v>
      </c>
      <c r="H798" s="1">
        <v>1494224</v>
      </c>
      <c r="I798" s="1">
        <v>227567.06059955008</v>
      </c>
      <c r="J798" s="1">
        <v>1721791.0605995501</v>
      </c>
    </row>
    <row r="799" spans="1:10" x14ac:dyDescent="0.2">
      <c r="A799">
        <v>2012210</v>
      </c>
      <c r="B799">
        <v>2020</v>
      </c>
      <c r="C799" t="s">
        <v>6</v>
      </c>
      <c r="D799" t="s">
        <v>7</v>
      </c>
      <c r="E799" t="s">
        <v>8</v>
      </c>
      <c r="F799" s="28">
        <v>5070</v>
      </c>
      <c r="G799" t="s">
        <v>139</v>
      </c>
      <c r="H799" s="1">
        <v>1686386</v>
      </c>
      <c r="I799" s="1">
        <v>255124.61081967232</v>
      </c>
      <c r="J799" s="1">
        <v>1941510.6108196722</v>
      </c>
    </row>
    <row r="800" spans="1:10" x14ac:dyDescent="0.2">
      <c r="A800">
        <v>2012210</v>
      </c>
      <c r="B800">
        <v>2021</v>
      </c>
      <c r="C800" t="s">
        <v>6</v>
      </c>
      <c r="D800" t="s">
        <v>7</v>
      </c>
      <c r="E800" t="s">
        <v>8</v>
      </c>
      <c r="F800" s="28">
        <v>5070</v>
      </c>
      <c r="G800" t="s">
        <v>139</v>
      </c>
      <c r="H800" s="25">
        <v>1652586</v>
      </c>
      <c r="I800" s="1">
        <v>246719.72115664528</v>
      </c>
      <c r="J800" s="1">
        <v>1899305.7211566453</v>
      </c>
    </row>
    <row r="801" spans="1:10" x14ac:dyDescent="0.2">
      <c r="A801">
        <v>2012210</v>
      </c>
      <c r="B801">
        <v>2022</v>
      </c>
      <c r="C801" t="s">
        <v>6</v>
      </c>
      <c r="D801" t="s">
        <v>7</v>
      </c>
      <c r="E801" t="s">
        <v>8</v>
      </c>
      <c r="F801" s="28">
        <v>5070</v>
      </c>
      <c r="G801" t="s">
        <v>139</v>
      </c>
      <c r="H801" s="1">
        <v>1651071</v>
      </c>
      <c r="I801" s="1">
        <v>224224.61201932738</v>
      </c>
      <c r="J801" s="1">
        <v>1875295.6120193275</v>
      </c>
    </row>
    <row r="802" spans="1:10" x14ac:dyDescent="0.2">
      <c r="A802">
        <v>2012210</v>
      </c>
      <c r="B802">
        <v>2023</v>
      </c>
      <c r="C802" t="s">
        <v>6</v>
      </c>
      <c r="D802" t="s">
        <v>7</v>
      </c>
      <c r="E802" t="s">
        <v>8</v>
      </c>
      <c r="F802" s="28">
        <v>5070</v>
      </c>
      <c r="G802" s="10" t="s">
        <v>139</v>
      </c>
      <c r="H802" s="1">
        <v>1638004</v>
      </c>
      <c r="I802" s="1">
        <v>229325.43516985019</v>
      </c>
      <c r="J802" s="1">
        <v>1867329.4351698502</v>
      </c>
    </row>
    <row r="803" spans="1:10" x14ac:dyDescent="0.2">
      <c r="A803">
        <v>2005550</v>
      </c>
      <c r="B803">
        <v>2015</v>
      </c>
      <c r="C803" t="s">
        <v>6</v>
      </c>
      <c r="D803" t="s">
        <v>7</v>
      </c>
      <c r="E803" t="s">
        <v>8</v>
      </c>
      <c r="F803" s="29">
        <v>5072</v>
      </c>
      <c r="G803" s="3" t="s">
        <v>140</v>
      </c>
      <c r="H803" s="27">
        <v>135455</v>
      </c>
      <c r="I803" s="1">
        <v>21818.284313571367</v>
      </c>
      <c r="J803" s="1">
        <v>157273.28431357138</v>
      </c>
    </row>
    <row r="804" spans="1:10" x14ac:dyDescent="0.2">
      <c r="A804">
        <v>2005550</v>
      </c>
      <c r="B804">
        <v>2016</v>
      </c>
      <c r="C804" t="s">
        <v>6</v>
      </c>
      <c r="D804" t="s">
        <v>7</v>
      </c>
      <c r="E804" t="s">
        <v>8</v>
      </c>
      <c r="F804" s="29">
        <v>5072</v>
      </c>
      <c r="G804" s="3" t="s">
        <v>140</v>
      </c>
      <c r="H804" s="1">
        <v>138019</v>
      </c>
      <c r="I804" s="26">
        <v>364525.39144881768</v>
      </c>
      <c r="J804" s="26">
        <v>502544.39144881768</v>
      </c>
    </row>
    <row r="805" spans="1:10" x14ac:dyDescent="0.2">
      <c r="A805">
        <v>2005550</v>
      </c>
      <c r="B805">
        <v>2017</v>
      </c>
      <c r="C805" t="s">
        <v>6</v>
      </c>
      <c r="D805" t="s">
        <v>7</v>
      </c>
      <c r="E805" t="s">
        <v>8</v>
      </c>
      <c r="F805" s="29">
        <v>5072</v>
      </c>
      <c r="G805" s="3" t="s">
        <v>140</v>
      </c>
      <c r="H805" s="1">
        <v>161561</v>
      </c>
      <c r="I805" s="1">
        <v>25212.505416397718</v>
      </c>
      <c r="J805" s="1">
        <v>186773.5054163977</v>
      </c>
    </row>
    <row r="806" spans="1:10" x14ac:dyDescent="0.2">
      <c r="A806">
        <v>2005550</v>
      </c>
      <c r="B806">
        <v>2018</v>
      </c>
      <c r="C806" t="s">
        <v>6</v>
      </c>
      <c r="D806" t="s">
        <v>7</v>
      </c>
      <c r="E806" t="s">
        <v>8</v>
      </c>
      <c r="F806" s="28">
        <v>5072</v>
      </c>
      <c r="G806" t="s">
        <v>140</v>
      </c>
      <c r="H806" s="1">
        <v>189707</v>
      </c>
      <c r="I806" s="1">
        <v>28687.368727555284</v>
      </c>
      <c r="J806" s="1">
        <v>218394.36872755529</v>
      </c>
    </row>
    <row r="807" spans="1:10" x14ac:dyDescent="0.2">
      <c r="A807">
        <v>2005550</v>
      </c>
      <c r="B807">
        <v>2019</v>
      </c>
      <c r="C807" t="s">
        <v>6</v>
      </c>
      <c r="D807" t="s">
        <v>7</v>
      </c>
      <c r="E807" t="s">
        <v>8</v>
      </c>
      <c r="F807" s="28">
        <v>5072</v>
      </c>
      <c r="G807" t="s">
        <v>140</v>
      </c>
      <c r="H807" s="1">
        <v>212101</v>
      </c>
      <c r="I807" s="1">
        <v>32302.520318389459</v>
      </c>
      <c r="J807" s="1">
        <v>244403.52031838946</v>
      </c>
    </row>
    <row r="808" spans="1:10" x14ac:dyDescent="0.2">
      <c r="A808">
        <v>2005550</v>
      </c>
      <c r="B808">
        <v>2020</v>
      </c>
      <c r="C808" t="s">
        <v>6</v>
      </c>
      <c r="D808" t="s">
        <v>7</v>
      </c>
      <c r="E808" t="s">
        <v>8</v>
      </c>
      <c r="F808" s="28">
        <v>5072</v>
      </c>
      <c r="G808" t="s">
        <v>140</v>
      </c>
      <c r="H808" s="1">
        <v>229954</v>
      </c>
      <c r="I808" s="1">
        <v>34788.550638126108</v>
      </c>
      <c r="J808" s="1">
        <v>264742.55063812609</v>
      </c>
    </row>
    <row r="809" spans="1:10" x14ac:dyDescent="0.2">
      <c r="A809">
        <v>2005550</v>
      </c>
      <c r="B809">
        <v>2021</v>
      </c>
      <c r="C809" t="s">
        <v>6</v>
      </c>
      <c r="D809" t="s">
        <v>7</v>
      </c>
      <c r="E809" t="s">
        <v>8</v>
      </c>
      <c r="F809" s="28">
        <v>5072</v>
      </c>
      <c r="G809" t="s">
        <v>140</v>
      </c>
      <c r="H809" s="25">
        <v>230609</v>
      </c>
      <c r="I809" s="1">
        <v>34428.337270322278</v>
      </c>
      <c r="J809" s="1">
        <v>265037.33727032226</v>
      </c>
    </row>
    <row r="810" spans="1:10" x14ac:dyDescent="0.2">
      <c r="A810">
        <v>2005550</v>
      </c>
      <c r="B810">
        <v>2022</v>
      </c>
      <c r="C810" t="s">
        <v>6</v>
      </c>
      <c r="D810" t="s">
        <v>7</v>
      </c>
      <c r="E810" t="s">
        <v>8</v>
      </c>
      <c r="F810" s="28">
        <v>5072</v>
      </c>
      <c r="G810" t="s">
        <v>140</v>
      </c>
      <c r="H810" s="1">
        <v>218435</v>
      </c>
      <c r="I810" s="1">
        <v>29664.68621061225</v>
      </c>
      <c r="J810" s="1">
        <v>248099.68621061224</v>
      </c>
    </row>
    <row r="811" spans="1:10" x14ac:dyDescent="0.2">
      <c r="A811">
        <v>2005550</v>
      </c>
      <c r="B811">
        <v>2023</v>
      </c>
      <c r="C811" t="s">
        <v>6</v>
      </c>
      <c r="D811" t="s">
        <v>7</v>
      </c>
      <c r="E811" t="s">
        <v>8</v>
      </c>
      <c r="F811" s="28">
        <v>5072</v>
      </c>
      <c r="G811" s="10" t="s">
        <v>140</v>
      </c>
      <c r="H811" s="1">
        <v>223050</v>
      </c>
      <c r="I811" s="1">
        <v>31227.663860793429</v>
      </c>
      <c r="J811" s="1">
        <v>254277.66386079343</v>
      </c>
    </row>
    <row r="812" spans="1:10" x14ac:dyDescent="0.2">
      <c r="A812">
        <v>2007110</v>
      </c>
      <c r="B812">
        <v>2015</v>
      </c>
      <c r="C812" t="s">
        <v>6</v>
      </c>
      <c r="D812" t="s">
        <v>7</v>
      </c>
      <c r="E812" t="s">
        <v>8</v>
      </c>
      <c r="F812" s="29">
        <v>5073</v>
      </c>
      <c r="G812" s="3" t="s">
        <v>141</v>
      </c>
      <c r="H812" s="27">
        <v>268593</v>
      </c>
      <c r="I812" s="1">
        <v>43263.360072607684</v>
      </c>
      <c r="J812" s="1">
        <v>311856.3600726077</v>
      </c>
    </row>
    <row r="813" spans="1:10" x14ac:dyDescent="0.2">
      <c r="A813">
        <v>2007110</v>
      </c>
      <c r="B813">
        <v>2016</v>
      </c>
      <c r="C813" t="s">
        <v>6</v>
      </c>
      <c r="D813" t="s">
        <v>7</v>
      </c>
      <c r="E813" t="s">
        <v>8</v>
      </c>
      <c r="F813" s="29">
        <v>5073</v>
      </c>
      <c r="G813" s="3" t="s">
        <v>141</v>
      </c>
      <c r="H813" s="1">
        <v>307310</v>
      </c>
      <c r="I813" s="26">
        <v>811638.08207965211</v>
      </c>
      <c r="J813" s="26">
        <v>1118948.0820796522</v>
      </c>
    </row>
    <row r="814" spans="1:10" x14ac:dyDescent="0.2">
      <c r="A814">
        <v>2007110</v>
      </c>
      <c r="B814">
        <v>2017</v>
      </c>
      <c r="C814" t="s">
        <v>6</v>
      </c>
      <c r="D814" t="s">
        <v>7</v>
      </c>
      <c r="E814" t="s">
        <v>8</v>
      </c>
      <c r="F814" s="29">
        <v>5073</v>
      </c>
      <c r="G814" s="3" t="s">
        <v>141</v>
      </c>
      <c r="H814" s="1">
        <v>295921</v>
      </c>
      <c r="I814" s="1">
        <v>46180.141341820294</v>
      </c>
      <c r="J814" s="1">
        <v>342101.1413418203</v>
      </c>
    </row>
    <row r="815" spans="1:10" x14ac:dyDescent="0.2">
      <c r="A815">
        <v>2007110</v>
      </c>
      <c r="B815">
        <v>2018</v>
      </c>
      <c r="C815" t="s">
        <v>6</v>
      </c>
      <c r="D815" t="s">
        <v>7</v>
      </c>
      <c r="E815" t="s">
        <v>8</v>
      </c>
      <c r="F815" s="28">
        <v>5073</v>
      </c>
      <c r="G815" t="s">
        <v>141</v>
      </c>
      <c r="H815" s="1">
        <v>342891</v>
      </c>
      <c r="I815" s="1">
        <v>51851.753231879462</v>
      </c>
      <c r="J815" s="1">
        <v>394742.75323187944</v>
      </c>
    </row>
    <row r="816" spans="1:10" x14ac:dyDescent="0.2">
      <c r="A816">
        <v>2007110</v>
      </c>
      <c r="B816">
        <v>2019</v>
      </c>
      <c r="C816" t="s">
        <v>6</v>
      </c>
      <c r="D816" t="s">
        <v>7</v>
      </c>
      <c r="E816" t="s">
        <v>8</v>
      </c>
      <c r="F816" s="28">
        <v>5073</v>
      </c>
      <c r="G816" t="s">
        <v>141</v>
      </c>
      <c r="H816" s="1">
        <v>381597</v>
      </c>
      <c r="I816" s="1">
        <v>58116.391935617758</v>
      </c>
      <c r="J816" s="1">
        <v>439713.39193561778</v>
      </c>
    </row>
    <row r="817" spans="1:10" x14ac:dyDescent="0.2">
      <c r="A817">
        <v>2007110</v>
      </c>
      <c r="B817">
        <v>2020</v>
      </c>
      <c r="C817" t="s">
        <v>6</v>
      </c>
      <c r="D817" t="s">
        <v>7</v>
      </c>
      <c r="E817" t="s">
        <v>8</v>
      </c>
      <c r="F817" s="28">
        <v>5073</v>
      </c>
      <c r="G817" t="s">
        <v>141</v>
      </c>
      <c r="H817" s="1">
        <v>420301</v>
      </c>
      <c r="I817" s="1">
        <v>63585.16321418649</v>
      </c>
      <c r="J817" s="1">
        <v>483886.1632141865</v>
      </c>
    </row>
    <row r="818" spans="1:10" x14ac:dyDescent="0.2">
      <c r="A818">
        <v>2007110</v>
      </c>
      <c r="B818">
        <v>2021</v>
      </c>
      <c r="C818" t="s">
        <v>6</v>
      </c>
      <c r="D818" t="s">
        <v>7</v>
      </c>
      <c r="E818" t="s">
        <v>8</v>
      </c>
      <c r="F818" s="28">
        <v>5073</v>
      </c>
      <c r="G818" t="s">
        <v>141</v>
      </c>
      <c r="H818" s="25">
        <v>422830</v>
      </c>
      <c r="I818" s="1">
        <v>63125.610223410047</v>
      </c>
      <c r="J818" s="1">
        <v>485955.61022341007</v>
      </c>
    </row>
    <row r="819" spans="1:10" x14ac:dyDescent="0.2">
      <c r="A819">
        <v>2007110</v>
      </c>
      <c r="B819">
        <v>2022</v>
      </c>
      <c r="C819" t="s">
        <v>6</v>
      </c>
      <c r="D819" t="s">
        <v>7</v>
      </c>
      <c r="E819" t="s">
        <v>8</v>
      </c>
      <c r="F819" s="28">
        <v>5073</v>
      </c>
      <c r="G819" t="s">
        <v>141</v>
      </c>
      <c r="H819" s="1">
        <v>411197</v>
      </c>
      <c r="I819" s="1">
        <v>55842.836430723662</v>
      </c>
      <c r="J819" s="1">
        <v>467039.83643072366</v>
      </c>
    </row>
    <row r="820" spans="1:10" x14ac:dyDescent="0.2">
      <c r="A820">
        <v>2007110</v>
      </c>
      <c r="B820">
        <v>2023</v>
      </c>
      <c r="C820" t="s">
        <v>6</v>
      </c>
      <c r="D820" t="s">
        <v>7</v>
      </c>
      <c r="E820" t="s">
        <v>8</v>
      </c>
      <c r="F820" s="28">
        <v>5073</v>
      </c>
      <c r="G820" s="10" t="s">
        <v>141</v>
      </c>
      <c r="H820" s="1">
        <v>442348</v>
      </c>
      <c r="I820" s="1">
        <v>61930.036554558406</v>
      </c>
      <c r="J820" s="1">
        <v>504278.03655455844</v>
      </c>
    </row>
    <row r="821" spans="1:10" x14ac:dyDescent="0.2">
      <c r="A821">
        <v>2011190</v>
      </c>
      <c r="B821">
        <v>2015</v>
      </c>
      <c r="C821" t="s">
        <v>6</v>
      </c>
      <c r="D821" t="s">
        <v>7</v>
      </c>
      <c r="E821" t="s">
        <v>8</v>
      </c>
      <c r="F821" s="29">
        <v>5076</v>
      </c>
      <c r="G821" s="3" t="s">
        <v>142</v>
      </c>
      <c r="H821" s="27">
        <v>154212</v>
      </c>
      <c r="I821" s="1">
        <v>24839.550113059446</v>
      </c>
      <c r="J821" s="1">
        <v>179051.55011305943</v>
      </c>
    </row>
    <row r="822" spans="1:10" x14ac:dyDescent="0.2">
      <c r="A822">
        <v>2011190</v>
      </c>
      <c r="B822">
        <v>2016</v>
      </c>
      <c r="C822" t="s">
        <v>6</v>
      </c>
      <c r="D822" t="s">
        <v>7</v>
      </c>
      <c r="E822" t="s">
        <v>8</v>
      </c>
      <c r="F822" s="29">
        <v>5076</v>
      </c>
      <c r="G822" s="3" t="s">
        <v>142</v>
      </c>
      <c r="H822" s="1">
        <v>165014</v>
      </c>
      <c r="I822" s="26">
        <v>435818.72232588101</v>
      </c>
      <c r="J822" s="26">
        <v>600832.72232588101</v>
      </c>
    </row>
    <row r="823" spans="1:10" x14ac:dyDescent="0.2">
      <c r="A823">
        <v>2011190</v>
      </c>
      <c r="B823">
        <v>2017</v>
      </c>
      <c r="C823" t="s">
        <v>6</v>
      </c>
      <c r="D823" t="s">
        <v>7</v>
      </c>
      <c r="E823" t="s">
        <v>8</v>
      </c>
      <c r="F823" s="29">
        <v>5076</v>
      </c>
      <c r="G823" s="3" t="s">
        <v>142</v>
      </c>
      <c r="H823" s="1">
        <v>158604</v>
      </c>
      <c r="I823" s="1">
        <v>24751.048885946137</v>
      </c>
      <c r="J823" s="1">
        <v>183355.04888594613</v>
      </c>
    </row>
    <row r="824" spans="1:10" x14ac:dyDescent="0.2">
      <c r="A824">
        <v>2011190</v>
      </c>
      <c r="B824">
        <v>2018</v>
      </c>
      <c r="C824" t="s">
        <v>6</v>
      </c>
      <c r="D824" t="s">
        <v>7</v>
      </c>
      <c r="E824" t="s">
        <v>8</v>
      </c>
      <c r="F824" s="28">
        <v>5076</v>
      </c>
      <c r="G824" t="s">
        <v>142</v>
      </c>
      <c r="H824" s="1">
        <v>176343</v>
      </c>
      <c r="I824" s="1">
        <v>26666.473369581938</v>
      </c>
      <c r="J824" s="1">
        <v>203009.47336958195</v>
      </c>
    </row>
    <row r="825" spans="1:10" x14ac:dyDescent="0.2">
      <c r="A825">
        <v>2011190</v>
      </c>
      <c r="B825">
        <v>2019</v>
      </c>
      <c r="C825" t="s">
        <v>6</v>
      </c>
      <c r="D825" t="s">
        <v>7</v>
      </c>
      <c r="E825" t="s">
        <v>8</v>
      </c>
      <c r="F825" s="28">
        <v>5076</v>
      </c>
      <c r="G825" t="s">
        <v>142</v>
      </c>
      <c r="H825" s="1">
        <v>177290</v>
      </c>
      <c r="I825" s="1">
        <v>27000.880840954389</v>
      </c>
      <c r="J825" s="1">
        <v>204290.8808409544</v>
      </c>
    </row>
    <row r="826" spans="1:10" x14ac:dyDescent="0.2">
      <c r="A826">
        <v>2011190</v>
      </c>
      <c r="B826">
        <v>2020</v>
      </c>
      <c r="C826" t="s">
        <v>6</v>
      </c>
      <c r="D826" t="s">
        <v>7</v>
      </c>
      <c r="E826" t="s">
        <v>8</v>
      </c>
      <c r="F826" s="28">
        <v>5076</v>
      </c>
      <c r="G826" t="s">
        <v>142</v>
      </c>
      <c r="H826" s="1">
        <v>178690</v>
      </c>
      <c r="I826" s="1">
        <v>27033.085371538455</v>
      </c>
      <c r="J826" s="1">
        <v>205723.08537153844</v>
      </c>
    </row>
    <row r="827" spans="1:10" x14ac:dyDescent="0.2">
      <c r="A827">
        <v>2011190</v>
      </c>
      <c r="B827">
        <v>2021</v>
      </c>
      <c r="C827" t="s">
        <v>6</v>
      </c>
      <c r="D827" t="s">
        <v>7</v>
      </c>
      <c r="E827" t="s">
        <v>8</v>
      </c>
      <c r="F827" s="28">
        <v>5076</v>
      </c>
      <c r="G827" t="s">
        <v>142</v>
      </c>
      <c r="H827" s="25">
        <v>169661</v>
      </c>
      <c r="I827" s="1">
        <v>25329.220150211604</v>
      </c>
      <c r="J827" s="1">
        <v>194990.22015021159</v>
      </c>
    </row>
    <row r="828" spans="1:10" x14ac:dyDescent="0.2">
      <c r="A828">
        <v>2011190</v>
      </c>
      <c r="B828">
        <v>2022</v>
      </c>
      <c r="C828" t="s">
        <v>6</v>
      </c>
      <c r="D828" t="s">
        <v>7</v>
      </c>
      <c r="E828" t="s">
        <v>8</v>
      </c>
      <c r="F828" s="28">
        <v>5076</v>
      </c>
      <c r="G828" t="s">
        <v>142</v>
      </c>
      <c r="H828" s="1">
        <v>168780</v>
      </c>
      <c r="I828" s="1">
        <v>22921.261421599724</v>
      </c>
      <c r="J828" s="1">
        <v>191701.26142159972</v>
      </c>
    </row>
    <row r="829" spans="1:10" x14ac:dyDescent="0.2">
      <c r="A829">
        <v>2011190</v>
      </c>
      <c r="B829">
        <v>2023</v>
      </c>
      <c r="C829" t="s">
        <v>6</v>
      </c>
      <c r="D829" t="s">
        <v>7</v>
      </c>
      <c r="E829" t="s">
        <v>8</v>
      </c>
      <c r="F829" s="28">
        <v>5076</v>
      </c>
      <c r="G829" s="10" t="s">
        <v>142</v>
      </c>
      <c r="H829" s="1">
        <v>180194</v>
      </c>
      <c r="I829" s="1">
        <v>25227.696309041967</v>
      </c>
      <c r="J829" s="1">
        <v>205421.69630904196</v>
      </c>
    </row>
    <row r="830" spans="1:10" x14ac:dyDescent="0.2">
      <c r="A830">
        <v>2005790</v>
      </c>
      <c r="B830">
        <v>2015</v>
      </c>
      <c r="C830" t="s">
        <v>6</v>
      </c>
      <c r="D830" t="s">
        <v>7</v>
      </c>
      <c r="E830" t="s">
        <v>8</v>
      </c>
      <c r="F830" s="29">
        <v>5077</v>
      </c>
      <c r="G830" s="3" t="s">
        <v>195</v>
      </c>
      <c r="H830" s="27">
        <v>351302</v>
      </c>
      <c r="I830" s="1">
        <v>56585.63298457973</v>
      </c>
      <c r="J830" s="1">
        <v>407887.63298457972</v>
      </c>
    </row>
    <row r="831" spans="1:10" x14ac:dyDescent="0.2">
      <c r="A831">
        <v>2005790</v>
      </c>
      <c r="B831">
        <v>2016</v>
      </c>
      <c r="C831" t="s">
        <v>6</v>
      </c>
      <c r="D831" t="s">
        <v>7</v>
      </c>
      <c r="E831" t="s">
        <v>8</v>
      </c>
      <c r="F831" s="29">
        <v>5077</v>
      </c>
      <c r="G831" s="3" t="s">
        <v>195</v>
      </c>
      <c r="H831" s="1">
        <v>366151</v>
      </c>
      <c r="I831" s="26">
        <v>967036.76746174833</v>
      </c>
      <c r="J831" s="26">
        <v>1333187.7674617483</v>
      </c>
    </row>
    <row r="832" spans="1:10" x14ac:dyDescent="0.2">
      <c r="A832">
        <v>2005790</v>
      </c>
      <c r="B832">
        <v>2017</v>
      </c>
      <c r="C832" t="s">
        <v>6</v>
      </c>
      <c r="D832" t="s">
        <v>7</v>
      </c>
      <c r="E832" t="s">
        <v>8</v>
      </c>
      <c r="F832" s="29">
        <v>5077</v>
      </c>
      <c r="G832" s="3" t="s">
        <v>195</v>
      </c>
      <c r="H832" s="1">
        <v>375646</v>
      </c>
      <c r="I832" s="1">
        <v>58621.677320938456</v>
      </c>
      <c r="J832" s="1">
        <v>434267.67732093844</v>
      </c>
    </row>
    <row r="833" spans="1:10" x14ac:dyDescent="0.2">
      <c r="A833">
        <v>2005790</v>
      </c>
      <c r="B833">
        <v>2018</v>
      </c>
      <c r="C833" t="s">
        <v>6</v>
      </c>
      <c r="D833" t="s">
        <v>7</v>
      </c>
      <c r="E833" t="s">
        <v>8</v>
      </c>
      <c r="F833" s="28">
        <v>5077</v>
      </c>
      <c r="G833" t="s">
        <v>195</v>
      </c>
      <c r="H833" s="1">
        <v>465605</v>
      </c>
      <c r="I833" s="1">
        <v>70408.484222476647</v>
      </c>
      <c r="J833" s="1">
        <v>536013.4842224766</v>
      </c>
    </row>
    <row r="834" spans="1:10" x14ac:dyDescent="0.2">
      <c r="A834">
        <v>2005790</v>
      </c>
      <c r="B834">
        <v>2019</v>
      </c>
      <c r="C834" t="s">
        <v>6</v>
      </c>
      <c r="D834" t="s">
        <v>7</v>
      </c>
      <c r="E834" t="s">
        <v>8</v>
      </c>
      <c r="F834" s="28">
        <v>5077</v>
      </c>
      <c r="G834" t="s">
        <v>195</v>
      </c>
      <c r="H834" s="1">
        <v>461364</v>
      </c>
      <c r="I834" s="1">
        <v>70264.732293451874</v>
      </c>
      <c r="J834" s="1">
        <v>531628.7322934519</v>
      </c>
    </row>
    <row r="835" spans="1:10" x14ac:dyDescent="0.2">
      <c r="A835">
        <v>2005790</v>
      </c>
      <c r="B835">
        <v>2020</v>
      </c>
      <c r="C835" t="s">
        <v>6</v>
      </c>
      <c r="D835" t="s">
        <v>7</v>
      </c>
      <c r="E835" t="s">
        <v>8</v>
      </c>
      <c r="F835" s="28">
        <v>5077</v>
      </c>
      <c r="G835" t="s">
        <v>195</v>
      </c>
      <c r="H835" s="1">
        <v>476915</v>
      </c>
      <c r="I835" s="1">
        <v>72150.002294293256</v>
      </c>
      <c r="J835" s="1">
        <v>549065.00229429326</v>
      </c>
    </row>
    <row r="836" spans="1:10" x14ac:dyDescent="0.2">
      <c r="A836">
        <v>2005790</v>
      </c>
      <c r="B836">
        <v>2021</v>
      </c>
      <c r="C836" t="s">
        <v>6</v>
      </c>
      <c r="D836" t="s">
        <v>7</v>
      </c>
      <c r="E836" t="s">
        <v>8</v>
      </c>
      <c r="F836" s="28">
        <v>5077</v>
      </c>
      <c r="G836" t="s">
        <v>195</v>
      </c>
      <c r="H836" s="25">
        <v>465615</v>
      </c>
      <c r="I836" s="1">
        <v>69513.116392339871</v>
      </c>
      <c r="J836" s="1">
        <v>535128.11639233981</v>
      </c>
    </row>
    <row r="837" spans="1:10" x14ac:dyDescent="0.2">
      <c r="A837">
        <v>2005790</v>
      </c>
      <c r="B837">
        <v>2022</v>
      </c>
      <c r="C837" t="s">
        <v>6</v>
      </c>
      <c r="D837" t="s">
        <v>7</v>
      </c>
      <c r="E837" t="s">
        <v>8</v>
      </c>
      <c r="F837" s="28">
        <v>5077</v>
      </c>
      <c r="G837" t="s">
        <v>195</v>
      </c>
      <c r="H837" s="1">
        <v>464633</v>
      </c>
      <c r="I837" s="1">
        <v>63099.742019801772</v>
      </c>
      <c r="J837" s="1">
        <v>527732.74201980175</v>
      </c>
    </row>
    <row r="838" spans="1:10" x14ac:dyDescent="0.2">
      <c r="A838">
        <v>2005790</v>
      </c>
      <c r="B838">
        <v>2023</v>
      </c>
      <c r="C838" t="s">
        <v>6</v>
      </c>
      <c r="D838" t="s">
        <v>7</v>
      </c>
      <c r="E838" t="s">
        <v>8</v>
      </c>
      <c r="F838" s="28">
        <v>5077</v>
      </c>
      <c r="G838" s="10" t="s">
        <v>195</v>
      </c>
      <c r="H838" s="1">
        <v>452987</v>
      </c>
      <c r="I838" s="1">
        <v>63419.528219274747</v>
      </c>
      <c r="J838" s="1">
        <v>516406.52821927477</v>
      </c>
    </row>
    <row r="839" spans="1:10" x14ac:dyDescent="0.2">
      <c r="A839">
        <v>2009420</v>
      </c>
      <c r="B839">
        <v>2015</v>
      </c>
      <c r="C839" t="s">
        <v>6</v>
      </c>
      <c r="D839" t="s">
        <v>7</v>
      </c>
      <c r="E839" t="s">
        <v>8</v>
      </c>
      <c r="F839" s="29">
        <v>5078</v>
      </c>
      <c r="G839" s="3" t="s">
        <v>144</v>
      </c>
      <c r="H839" s="27">
        <v>279143</v>
      </c>
      <c r="I839" s="1">
        <v>44962.691212160877</v>
      </c>
      <c r="J839" s="1">
        <v>324105.69121216086</v>
      </c>
    </row>
    <row r="840" spans="1:10" x14ac:dyDescent="0.2">
      <c r="A840">
        <v>2009420</v>
      </c>
      <c r="B840">
        <v>2016</v>
      </c>
      <c r="C840" t="s">
        <v>6</v>
      </c>
      <c r="D840" t="s">
        <v>7</v>
      </c>
      <c r="E840" t="s">
        <v>8</v>
      </c>
      <c r="F840" s="29">
        <v>5078</v>
      </c>
      <c r="G840" s="3" t="s">
        <v>144</v>
      </c>
      <c r="H840" s="1">
        <v>246139</v>
      </c>
      <c r="I840" s="26">
        <v>650080.56911192555</v>
      </c>
      <c r="J840" s="26">
        <v>896219.56911192555</v>
      </c>
    </row>
    <row r="841" spans="1:10" x14ac:dyDescent="0.2">
      <c r="A841">
        <v>2009420</v>
      </c>
      <c r="B841">
        <v>2017</v>
      </c>
      <c r="C841" t="s">
        <v>6</v>
      </c>
      <c r="D841" t="s">
        <v>7</v>
      </c>
      <c r="E841" t="s">
        <v>8</v>
      </c>
      <c r="F841" s="29">
        <v>5078</v>
      </c>
      <c r="G841" s="3" t="s">
        <v>144</v>
      </c>
      <c r="H841" s="1">
        <v>286701</v>
      </c>
      <c r="I841" s="1">
        <v>44741.30833175483</v>
      </c>
      <c r="J841" s="1">
        <v>331442.30833175482</v>
      </c>
    </row>
    <row r="842" spans="1:10" x14ac:dyDescent="0.2">
      <c r="A842">
        <v>2009420</v>
      </c>
      <c r="B842">
        <v>2018</v>
      </c>
      <c r="C842" t="s">
        <v>6</v>
      </c>
      <c r="D842" t="s">
        <v>7</v>
      </c>
      <c r="E842" t="s">
        <v>8</v>
      </c>
      <c r="F842" s="28">
        <v>5078</v>
      </c>
      <c r="G842" t="s">
        <v>144</v>
      </c>
      <c r="H842" s="1">
        <v>364582</v>
      </c>
      <c r="I842" s="1">
        <v>55131.852095228744</v>
      </c>
      <c r="J842" s="1">
        <v>419713.85209522874</v>
      </c>
    </row>
    <row r="843" spans="1:10" x14ac:dyDescent="0.2">
      <c r="A843">
        <v>2009420</v>
      </c>
      <c r="B843">
        <v>2019</v>
      </c>
      <c r="C843" t="s">
        <v>6</v>
      </c>
      <c r="D843" t="s">
        <v>7</v>
      </c>
      <c r="E843" t="s">
        <v>8</v>
      </c>
      <c r="F843" s="28">
        <v>5078</v>
      </c>
      <c r="G843" t="s">
        <v>144</v>
      </c>
      <c r="H843" s="1">
        <v>385474</v>
      </c>
      <c r="I843" s="1">
        <v>58706.850591043229</v>
      </c>
      <c r="J843" s="1">
        <v>444180.85059104324</v>
      </c>
    </row>
    <row r="844" spans="1:10" x14ac:dyDescent="0.2">
      <c r="A844">
        <v>2009420</v>
      </c>
      <c r="B844">
        <v>2020</v>
      </c>
      <c r="C844" t="s">
        <v>6</v>
      </c>
      <c r="D844" t="s">
        <v>7</v>
      </c>
      <c r="E844" t="s">
        <v>8</v>
      </c>
      <c r="F844" s="28">
        <v>5078</v>
      </c>
      <c r="G844" t="s">
        <v>144</v>
      </c>
      <c r="H844" s="1">
        <v>417404</v>
      </c>
      <c r="I844" s="1">
        <v>63146.89107628652</v>
      </c>
      <c r="J844" s="1">
        <v>480550.8910762865</v>
      </c>
    </row>
    <row r="845" spans="1:10" x14ac:dyDescent="0.2">
      <c r="A845">
        <v>2009420</v>
      </c>
      <c r="B845">
        <v>2021</v>
      </c>
      <c r="C845" t="s">
        <v>6</v>
      </c>
      <c r="D845" t="s">
        <v>7</v>
      </c>
      <c r="E845" t="s">
        <v>8</v>
      </c>
      <c r="F845" s="28">
        <v>5078</v>
      </c>
      <c r="G845" t="s">
        <v>144</v>
      </c>
      <c r="H845" s="25">
        <v>397532</v>
      </c>
      <c r="I845" s="1">
        <v>59348.792856071334</v>
      </c>
      <c r="J845" s="1">
        <v>456880.79285607132</v>
      </c>
    </row>
    <row r="846" spans="1:10" x14ac:dyDescent="0.2">
      <c r="A846">
        <v>2009420</v>
      </c>
      <c r="B846">
        <v>2022</v>
      </c>
      <c r="C846" t="s">
        <v>6</v>
      </c>
      <c r="D846" t="s">
        <v>7</v>
      </c>
      <c r="E846" t="s">
        <v>8</v>
      </c>
      <c r="F846" s="28">
        <v>5078</v>
      </c>
      <c r="G846" t="s">
        <v>144</v>
      </c>
      <c r="H846" s="1">
        <v>346818</v>
      </c>
      <c r="I846" s="1">
        <v>47099.810663090255</v>
      </c>
      <c r="J846" s="1">
        <v>393917.81066309026</v>
      </c>
    </row>
    <row r="847" spans="1:10" x14ac:dyDescent="0.2">
      <c r="A847">
        <v>2009420</v>
      </c>
      <c r="B847">
        <v>2023</v>
      </c>
      <c r="C847" t="s">
        <v>6</v>
      </c>
      <c r="D847" t="s">
        <v>7</v>
      </c>
      <c r="E847" t="s">
        <v>8</v>
      </c>
      <c r="F847" s="28">
        <v>5078</v>
      </c>
      <c r="G847" s="10" t="s">
        <v>144</v>
      </c>
      <c r="H847" s="1">
        <v>403487</v>
      </c>
      <c r="I847" s="1">
        <v>56489.38089307311</v>
      </c>
      <c r="J847" s="1">
        <v>459976.3808930731</v>
      </c>
    </row>
    <row r="848" spans="1:10" x14ac:dyDescent="0.2">
      <c r="A848">
        <v>2012450</v>
      </c>
      <c r="B848">
        <v>2015</v>
      </c>
      <c r="C848" t="s">
        <v>6</v>
      </c>
      <c r="D848" t="s">
        <v>7</v>
      </c>
      <c r="E848" t="s">
        <v>8</v>
      </c>
      <c r="F848" s="29">
        <v>5079</v>
      </c>
      <c r="G848" s="3" t="s">
        <v>145</v>
      </c>
      <c r="H848" s="27">
        <v>316333</v>
      </c>
      <c r="I848" s="1">
        <v>50953.034821637972</v>
      </c>
      <c r="J848" s="1">
        <v>367286.03482163796</v>
      </c>
    </row>
    <row r="849" spans="1:10" x14ac:dyDescent="0.2">
      <c r="A849">
        <v>2012450</v>
      </c>
      <c r="B849">
        <v>2016</v>
      </c>
      <c r="C849" t="s">
        <v>6</v>
      </c>
      <c r="D849" t="s">
        <v>7</v>
      </c>
      <c r="E849" t="s">
        <v>8</v>
      </c>
      <c r="F849" s="29">
        <v>5079</v>
      </c>
      <c r="G849" s="3" t="s">
        <v>145</v>
      </c>
      <c r="H849" s="1">
        <v>350962</v>
      </c>
      <c r="I849" s="26">
        <v>926921.9834820861</v>
      </c>
      <c r="J849" s="26">
        <v>1277883.9834820861</v>
      </c>
    </row>
    <row r="850" spans="1:10" x14ac:dyDescent="0.2">
      <c r="A850">
        <v>2012450</v>
      </c>
      <c r="B850">
        <v>2017</v>
      </c>
      <c r="C850" t="s">
        <v>6</v>
      </c>
      <c r="D850" t="s">
        <v>7</v>
      </c>
      <c r="E850" t="s">
        <v>8</v>
      </c>
      <c r="F850" s="29">
        <v>5079</v>
      </c>
      <c r="G850" s="3" t="s">
        <v>145</v>
      </c>
      <c r="H850" s="1">
        <v>360845</v>
      </c>
      <c r="I850" s="1">
        <v>56311.897778424456</v>
      </c>
      <c r="J850" s="1">
        <v>417156.89777842443</v>
      </c>
    </row>
    <row r="851" spans="1:10" x14ac:dyDescent="0.2">
      <c r="A851">
        <v>2012450</v>
      </c>
      <c r="B851">
        <v>2018</v>
      </c>
      <c r="C851" t="s">
        <v>6</v>
      </c>
      <c r="D851" t="s">
        <v>7</v>
      </c>
      <c r="E851" t="s">
        <v>8</v>
      </c>
      <c r="F851" s="28">
        <v>5079</v>
      </c>
      <c r="G851" t="s">
        <v>145</v>
      </c>
      <c r="H851" s="1">
        <v>411490</v>
      </c>
      <c r="I851" s="1">
        <v>62225.249240680227</v>
      </c>
      <c r="J851" s="1">
        <v>473715.24924068025</v>
      </c>
    </row>
    <row r="852" spans="1:10" x14ac:dyDescent="0.2">
      <c r="A852">
        <v>2012450</v>
      </c>
      <c r="B852">
        <v>2019</v>
      </c>
      <c r="C852" t="s">
        <v>6</v>
      </c>
      <c r="D852" t="s">
        <v>7</v>
      </c>
      <c r="E852" t="s">
        <v>8</v>
      </c>
      <c r="F852" s="28">
        <v>5079</v>
      </c>
      <c r="G852" t="s">
        <v>145</v>
      </c>
      <c r="H852" s="1">
        <v>423503</v>
      </c>
      <c r="I852" s="1">
        <v>64498.58445928539</v>
      </c>
      <c r="J852" s="1">
        <v>488001.58445928537</v>
      </c>
    </row>
    <row r="853" spans="1:10" x14ac:dyDescent="0.2">
      <c r="A853">
        <v>2012450</v>
      </c>
      <c r="B853">
        <v>2020</v>
      </c>
      <c r="C853" t="s">
        <v>6</v>
      </c>
      <c r="D853" t="s">
        <v>7</v>
      </c>
      <c r="E853" t="s">
        <v>8</v>
      </c>
      <c r="F853" s="28">
        <v>5079</v>
      </c>
      <c r="G853" t="s">
        <v>145</v>
      </c>
      <c r="H853" s="1">
        <v>449882</v>
      </c>
      <c r="I853" s="1">
        <v>68060.319621234899</v>
      </c>
      <c r="J853" s="1">
        <v>517942.3196212349</v>
      </c>
    </row>
    <row r="854" spans="1:10" x14ac:dyDescent="0.2">
      <c r="A854">
        <v>2012450</v>
      </c>
      <c r="B854">
        <v>2021</v>
      </c>
      <c r="C854" t="s">
        <v>6</v>
      </c>
      <c r="D854" t="s">
        <v>7</v>
      </c>
      <c r="E854" t="s">
        <v>8</v>
      </c>
      <c r="F854" s="28">
        <v>5079</v>
      </c>
      <c r="G854" t="s">
        <v>145</v>
      </c>
      <c r="H854" s="25">
        <v>466175</v>
      </c>
      <c r="I854" s="1">
        <v>69596.720539928996</v>
      </c>
      <c r="J854" s="1">
        <v>535771.720539929</v>
      </c>
    </row>
    <row r="855" spans="1:10" x14ac:dyDescent="0.2">
      <c r="A855">
        <v>2012450</v>
      </c>
      <c r="B855">
        <v>2022</v>
      </c>
      <c r="C855" t="s">
        <v>6</v>
      </c>
      <c r="D855" t="s">
        <v>7</v>
      </c>
      <c r="E855" t="s">
        <v>8</v>
      </c>
      <c r="F855" s="28">
        <v>5079</v>
      </c>
      <c r="G855" t="s">
        <v>145</v>
      </c>
      <c r="H855" s="1">
        <v>461533</v>
      </c>
      <c r="I855" s="1">
        <v>62678.744802080721</v>
      </c>
      <c r="J855" s="1">
        <v>524211.74480208074</v>
      </c>
    </row>
    <row r="856" spans="1:10" x14ac:dyDescent="0.2">
      <c r="A856">
        <v>2012450</v>
      </c>
      <c r="B856">
        <v>2023</v>
      </c>
      <c r="C856" t="s">
        <v>6</v>
      </c>
      <c r="D856" t="s">
        <v>7</v>
      </c>
      <c r="E856" t="s">
        <v>8</v>
      </c>
      <c r="F856" s="28">
        <v>5079</v>
      </c>
      <c r="G856" s="10" t="s">
        <v>145</v>
      </c>
      <c r="H856" s="1">
        <v>469612</v>
      </c>
      <c r="I856" s="1">
        <v>65747.077700044494</v>
      </c>
      <c r="J856" s="1">
        <v>535359.07770004449</v>
      </c>
    </row>
    <row r="857" spans="1:10" x14ac:dyDescent="0.2">
      <c r="A857">
        <v>2006930</v>
      </c>
      <c r="B857">
        <v>2015</v>
      </c>
      <c r="C857" t="s">
        <v>6</v>
      </c>
      <c r="D857" t="s">
        <v>7</v>
      </c>
      <c r="E857" t="s">
        <v>8</v>
      </c>
      <c r="F857" s="29">
        <v>5080</v>
      </c>
      <c r="G857" s="3" t="s">
        <v>146</v>
      </c>
      <c r="H857" s="27">
        <v>293224</v>
      </c>
      <c r="I857" s="1">
        <v>47230.774792828983</v>
      </c>
      <c r="J857" s="1">
        <v>340454.774792829</v>
      </c>
    </row>
    <row r="858" spans="1:10" x14ac:dyDescent="0.2">
      <c r="A858">
        <v>2006930</v>
      </c>
      <c r="B858">
        <v>2016</v>
      </c>
      <c r="C858" t="s">
        <v>6</v>
      </c>
      <c r="D858" t="s">
        <v>7</v>
      </c>
      <c r="E858" t="s">
        <v>8</v>
      </c>
      <c r="F858" s="29">
        <v>5080</v>
      </c>
      <c r="G858" s="3" t="s">
        <v>146</v>
      </c>
      <c r="H858" s="1">
        <v>317392</v>
      </c>
      <c r="I858" s="26">
        <v>838262.14365620585</v>
      </c>
      <c r="J858" s="26">
        <v>1155654.1436562059</v>
      </c>
    </row>
    <row r="859" spans="1:10" x14ac:dyDescent="0.2">
      <c r="A859">
        <v>2006930</v>
      </c>
      <c r="B859">
        <v>2017</v>
      </c>
      <c r="C859" t="s">
        <v>6</v>
      </c>
      <c r="D859" t="s">
        <v>7</v>
      </c>
      <c r="E859" t="s">
        <v>8</v>
      </c>
      <c r="F859" s="29">
        <v>5080</v>
      </c>
      <c r="G859" s="3" t="s">
        <v>146</v>
      </c>
      <c r="H859" s="1">
        <v>372974</v>
      </c>
      <c r="I859" s="1">
        <v>58204.696648173274</v>
      </c>
      <c r="J859" s="1">
        <v>431178.69664817327</v>
      </c>
    </row>
    <row r="860" spans="1:10" x14ac:dyDescent="0.2">
      <c r="A860">
        <v>2006930</v>
      </c>
      <c r="B860">
        <v>2018</v>
      </c>
      <c r="C860" t="s">
        <v>6</v>
      </c>
      <c r="D860" t="s">
        <v>7</v>
      </c>
      <c r="E860" t="s">
        <v>8</v>
      </c>
      <c r="F860" s="28">
        <v>5080</v>
      </c>
      <c r="G860" t="s">
        <v>146</v>
      </c>
      <c r="H860" s="1">
        <v>425492</v>
      </c>
      <c r="I860" s="1">
        <v>64342.622542262288</v>
      </c>
      <c r="J860" s="1">
        <v>489834.62254226231</v>
      </c>
    </row>
    <row r="861" spans="1:10" x14ac:dyDescent="0.2">
      <c r="A861">
        <v>2006930</v>
      </c>
      <c r="B861">
        <v>2019</v>
      </c>
      <c r="C861" t="s">
        <v>6</v>
      </c>
      <c r="D861" t="s">
        <v>7</v>
      </c>
      <c r="E861" t="s">
        <v>8</v>
      </c>
      <c r="F861" s="28">
        <v>5080</v>
      </c>
      <c r="G861" t="s">
        <v>146</v>
      </c>
      <c r="H861" s="1">
        <v>477096</v>
      </c>
      <c r="I861" s="1">
        <v>72660.681627254642</v>
      </c>
      <c r="J861" s="1">
        <v>549756.6816272547</v>
      </c>
    </row>
    <row r="862" spans="1:10" x14ac:dyDescent="0.2">
      <c r="A862">
        <v>2006930</v>
      </c>
      <c r="B862">
        <v>2020</v>
      </c>
      <c r="C862" t="s">
        <v>6</v>
      </c>
      <c r="D862" t="s">
        <v>7</v>
      </c>
      <c r="E862" t="s">
        <v>8</v>
      </c>
      <c r="F862" s="28">
        <v>5080</v>
      </c>
      <c r="G862" t="s">
        <v>146</v>
      </c>
      <c r="H862" s="1">
        <v>549527</v>
      </c>
      <c r="I862" s="1">
        <v>83135.096004059611</v>
      </c>
      <c r="J862" s="1">
        <v>632662.09600405965</v>
      </c>
    </row>
    <row r="863" spans="1:10" x14ac:dyDescent="0.2">
      <c r="A863">
        <v>2006930</v>
      </c>
      <c r="B863">
        <v>2021</v>
      </c>
      <c r="C863" t="s">
        <v>6</v>
      </c>
      <c r="D863" t="s">
        <v>7</v>
      </c>
      <c r="E863" t="s">
        <v>8</v>
      </c>
      <c r="F863" s="28">
        <v>5080</v>
      </c>
      <c r="G863" t="s">
        <v>146</v>
      </c>
      <c r="H863" s="25">
        <v>557778</v>
      </c>
      <c r="I863" s="1">
        <v>83272.418274940777</v>
      </c>
      <c r="J863" s="1">
        <v>641050.41827494081</v>
      </c>
    </row>
    <row r="864" spans="1:10" x14ac:dyDescent="0.2">
      <c r="A864">
        <v>2006930</v>
      </c>
      <c r="B864">
        <v>2022</v>
      </c>
      <c r="C864" t="s">
        <v>6</v>
      </c>
      <c r="D864" t="s">
        <v>7</v>
      </c>
      <c r="E864" t="s">
        <v>8</v>
      </c>
      <c r="F864" s="28">
        <v>5080</v>
      </c>
      <c r="G864" t="s">
        <v>146</v>
      </c>
      <c r="H864" s="1">
        <v>587561</v>
      </c>
      <c r="I864" s="1">
        <v>79794.047174644831</v>
      </c>
      <c r="J864" s="1">
        <v>667355.04717464489</v>
      </c>
    </row>
    <row r="865" spans="1:10" x14ac:dyDescent="0.2">
      <c r="A865">
        <v>2006930</v>
      </c>
      <c r="B865">
        <v>2023</v>
      </c>
      <c r="C865" t="s">
        <v>6</v>
      </c>
      <c r="D865" t="s">
        <v>7</v>
      </c>
      <c r="E865" t="s">
        <v>8</v>
      </c>
      <c r="F865" s="28">
        <v>5080</v>
      </c>
      <c r="G865" s="10" t="s">
        <v>146</v>
      </c>
      <c r="H865" s="1">
        <v>649302</v>
      </c>
      <c r="I865" s="1">
        <v>90904.212509037869</v>
      </c>
      <c r="J865" s="1">
        <v>740206.21250903793</v>
      </c>
    </row>
    <row r="866" spans="1:10" x14ac:dyDescent="0.2">
      <c r="A866">
        <v>2009450</v>
      </c>
      <c r="B866">
        <v>2015</v>
      </c>
      <c r="C866" t="s">
        <v>6</v>
      </c>
      <c r="D866" t="s">
        <v>7</v>
      </c>
      <c r="E866" t="s">
        <v>8</v>
      </c>
      <c r="F866" s="29">
        <v>5081</v>
      </c>
      <c r="G866" s="3" t="s">
        <v>147</v>
      </c>
      <c r="H866" s="27">
        <v>250613</v>
      </c>
      <c r="I866" s="1">
        <v>40367.248803492381</v>
      </c>
      <c r="J866" s="1">
        <v>290980.2488034924</v>
      </c>
    </row>
    <row r="867" spans="1:10" x14ac:dyDescent="0.2">
      <c r="A867">
        <v>2009450</v>
      </c>
      <c r="B867">
        <v>2016</v>
      </c>
      <c r="C867" t="s">
        <v>6</v>
      </c>
      <c r="D867" t="s">
        <v>7</v>
      </c>
      <c r="E867" t="s">
        <v>8</v>
      </c>
      <c r="F867" s="29">
        <v>5081</v>
      </c>
      <c r="G867" s="3" t="s">
        <v>147</v>
      </c>
      <c r="H867" s="1">
        <v>295008</v>
      </c>
      <c r="I867" s="26">
        <v>779139.48272335797</v>
      </c>
      <c r="J867" s="26">
        <v>1074147.4827233581</v>
      </c>
    </row>
    <row r="868" spans="1:10" x14ac:dyDescent="0.2">
      <c r="A868">
        <v>2009450</v>
      </c>
      <c r="B868">
        <v>2017</v>
      </c>
      <c r="C868" t="s">
        <v>6</v>
      </c>
      <c r="D868" t="s">
        <v>7</v>
      </c>
      <c r="E868" t="s">
        <v>8</v>
      </c>
      <c r="F868" s="29">
        <v>5081</v>
      </c>
      <c r="G868" s="3" t="s">
        <v>147</v>
      </c>
      <c r="H868" s="1">
        <v>316604</v>
      </c>
      <c r="I868" s="1">
        <v>49407.84016472529</v>
      </c>
      <c r="J868" s="1">
        <v>366011.84016472532</v>
      </c>
    </row>
    <row r="869" spans="1:10" x14ac:dyDescent="0.2">
      <c r="A869">
        <v>2009450</v>
      </c>
      <c r="B869">
        <v>2018</v>
      </c>
      <c r="C869" t="s">
        <v>6</v>
      </c>
      <c r="D869" t="s">
        <v>7</v>
      </c>
      <c r="E869" t="s">
        <v>8</v>
      </c>
      <c r="F869" s="28">
        <v>5081</v>
      </c>
      <c r="G869" t="s">
        <v>147</v>
      </c>
      <c r="H869" s="1">
        <v>362753</v>
      </c>
      <c r="I869" s="1">
        <v>54855.271908927243</v>
      </c>
      <c r="J869" s="1">
        <v>417608.27190892724</v>
      </c>
    </row>
    <row r="870" spans="1:10" x14ac:dyDescent="0.2">
      <c r="A870">
        <v>2009450</v>
      </c>
      <c r="B870">
        <v>2019</v>
      </c>
      <c r="C870" t="s">
        <v>6</v>
      </c>
      <c r="D870" t="s">
        <v>7</v>
      </c>
      <c r="E870" t="s">
        <v>8</v>
      </c>
      <c r="F870" s="28">
        <v>5081</v>
      </c>
      <c r="G870" t="s">
        <v>147</v>
      </c>
      <c r="H870" s="1">
        <v>411465</v>
      </c>
      <c r="I870" s="1">
        <v>62665.2232795042</v>
      </c>
      <c r="J870" s="1">
        <v>474130.22327950422</v>
      </c>
    </row>
    <row r="871" spans="1:10" x14ac:dyDescent="0.2">
      <c r="A871">
        <v>2009450</v>
      </c>
      <c r="B871">
        <v>2020</v>
      </c>
      <c r="C871" t="s">
        <v>6</v>
      </c>
      <c r="D871" t="s">
        <v>7</v>
      </c>
      <c r="E871" t="s">
        <v>8</v>
      </c>
      <c r="F871" s="28">
        <v>5081</v>
      </c>
      <c r="G871" t="s">
        <v>147</v>
      </c>
      <c r="H871" s="1">
        <v>470000</v>
      </c>
      <c r="I871" s="1">
        <v>71103.867729716687</v>
      </c>
      <c r="J871" s="1">
        <v>541103.8677297167</v>
      </c>
    </row>
    <row r="872" spans="1:10" x14ac:dyDescent="0.2">
      <c r="A872">
        <v>2009450</v>
      </c>
      <c r="B872">
        <v>2021</v>
      </c>
      <c r="C872" t="s">
        <v>6</v>
      </c>
      <c r="D872" t="s">
        <v>7</v>
      </c>
      <c r="E872" t="s">
        <v>8</v>
      </c>
      <c r="F872" s="28">
        <v>5081</v>
      </c>
      <c r="G872" t="s">
        <v>147</v>
      </c>
      <c r="H872" s="25">
        <v>478503</v>
      </c>
      <c r="I872" s="1">
        <v>71437.206131855302</v>
      </c>
      <c r="J872" s="1">
        <v>549940.20613185526</v>
      </c>
    </row>
    <row r="873" spans="1:10" x14ac:dyDescent="0.2">
      <c r="A873">
        <v>2009450</v>
      </c>
      <c r="B873">
        <v>2022</v>
      </c>
      <c r="C873" t="s">
        <v>6</v>
      </c>
      <c r="D873" t="s">
        <v>7</v>
      </c>
      <c r="E873" t="s">
        <v>8</v>
      </c>
      <c r="F873" s="28">
        <v>5081</v>
      </c>
      <c r="G873" t="s">
        <v>147</v>
      </c>
      <c r="H873" s="1">
        <v>504930</v>
      </c>
      <c r="I873" s="1">
        <v>68572.298433513133</v>
      </c>
      <c r="J873" s="1">
        <v>573502.29843351315</v>
      </c>
    </row>
    <row r="874" spans="1:10" x14ac:dyDescent="0.2">
      <c r="A874">
        <v>2009450</v>
      </c>
      <c r="B874">
        <v>2023</v>
      </c>
      <c r="C874" t="s">
        <v>6</v>
      </c>
      <c r="D874" t="s">
        <v>7</v>
      </c>
      <c r="E874" t="s">
        <v>8</v>
      </c>
      <c r="F874" s="28">
        <v>5081</v>
      </c>
      <c r="G874" s="10" t="s">
        <v>147</v>
      </c>
      <c r="H874" s="1">
        <v>484445</v>
      </c>
      <c r="I874" s="1">
        <v>67823.741847308105</v>
      </c>
      <c r="J874" s="1">
        <v>552268.74184730812</v>
      </c>
    </row>
    <row r="875" spans="1:10" x14ac:dyDescent="0.2">
      <c r="A875">
        <v>2010470</v>
      </c>
      <c r="B875">
        <v>2015</v>
      </c>
      <c r="C875" t="s">
        <v>6</v>
      </c>
      <c r="D875" t="s">
        <v>7</v>
      </c>
      <c r="E875" t="s">
        <v>8</v>
      </c>
      <c r="F875" s="29">
        <v>5082</v>
      </c>
      <c r="G875" s="3" t="s">
        <v>148</v>
      </c>
      <c r="H875" s="27">
        <v>115636</v>
      </c>
      <c r="I875" s="1">
        <v>18625.957881836315</v>
      </c>
      <c r="J875" s="1">
        <v>134261.95788183631</v>
      </c>
    </row>
    <row r="876" spans="1:10" x14ac:dyDescent="0.2">
      <c r="A876">
        <v>2010470</v>
      </c>
      <c r="B876">
        <v>2016</v>
      </c>
      <c r="C876" t="s">
        <v>6</v>
      </c>
      <c r="D876" t="s">
        <v>7</v>
      </c>
      <c r="E876" t="s">
        <v>8</v>
      </c>
      <c r="F876" s="29">
        <v>5082</v>
      </c>
      <c r="G876" s="3" t="s">
        <v>148</v>
      </c>
      <c r="H876" s="1">
        <v>113916</v>
      </c>
      <c r="I876" s="26">
        <v>300860.64033361751</v>
      </c>
      <c r="J876" s="26">
        <v>414776.64033361751</v>
      </c>
    </row>
    <row r="877" spans="1:10" x14ac:dyDescent="0.2">
      <c r="A877">
        <v>2010470</v>
      </c>
      <c r="B877">
        <v>2017</v>
      </c>
      <c r="C877" t="s">
        <v>6</v>
      </c>
      <c r="D877" t="s">
        <v>7</v>
      </c>
      <c r="E877" t="s">
        <v>8</v>
      </c>
      <c r="F877" s="29">
        <v>5082</v>
      </c>
      <c r="G877" s="3" t="s">
        <v>148</v>
      </c>
      <c r="H877" s="1">
        <v>118930</v>
      </c>
      <c r="I877" s="1">
        <v>18559.697384716488</v>
      </c>
      <c r="J877" s="1">
        <v>137489.69738471648</v>
      </c>
    </row>
    <row r="878" spans="1:10" x14ac:dyDescent="0.2">
      <c r="A878">
        <v>2010470</v>
      </c>
      <c r="B878">
        <v>2018</v>
      </c>
      <c r="C878" t="s">
        <v>6</v>
      </c>
      <c r="D878" t="s">
        <v>7</v>
      </c>
      <c r="E878" t="s">
        <v>8</v>
      </c>
      <c r="F878" s="28">
        <v>5082</v>
      </c>
      <c r="G878" t="s">
        <v>148</v>
      </c>
      <c r="H878" s="1">
        <v>114508</v>
      </c>
      <c r="I878" s="1">
        <v>17315.825026250481</v>
      </c>
      <c r="J878" s="1">
        <v>131823.82502625047</v>
      </c>
    </row>
    <row r="879" spans="1:10" x14ac:dyDescent="0.2">
      <c r="A879">
        <v>2010470</v>
      </c>
      <c r="B879">
        <v>2019</v>
      </c>
      <c r="C879" t="s">
        <v>6</v>
      </c>
      <c r="D879" t="s">
        <v>7</v>
      </c>
      <c r="E879" t="s">
        <v>8</v>
      </c>
      <c r="F879" s="28">
        <v>5082</v>
      </c>
      <c r="G879" t="s">
        <v>148</v>
      </c>
      <c r="H879" s="1">
        <v>122551</v>
      </c>
      <c r="I879" s="1">
        <v>18664.250369111636</v>
      </c>
      <c r="J879" s="1">
        <v>141215.25036911163</v>
      </c>
    </row>
    <row r="880" spans="1:10" x14ac:dyDescent="0.2">
      <c r="A880">
        <v>2010470</v>
      </c>
      <c r="B880">
        <v>2020</v>
      </c>
      <c r="C880" t="s">
        <v>6</v>
      </c>
      <c r="D880" t="s">
        <v>7</v>
      </c>
      <c r="E880" t="s">
        <v>8</v>
      </c>
      <c r="F880" s="28">
        <v>5082</v>
      </c>
      <c r="G880" t="s">
        <v>148</v>
      </c>
      <c r="H880" s="1">
        <v>120396</v>
      </c>
      <c r="I880" s="1">
        <v>18214.087785504191</v>
      </c>
      <c r="J880" s="1">
        <v>138610.08778550418</v>
      </c>
    </row>
    <row r="881" spans="1:10" x14ac:dyDescent="0.2">
      <c r="A881">
        <v>2010470</v>
      </c>
      <c r="B881">
        <v>2021</v>
      </c>
      <c r="C881" t="s">
        <v>6</v>
      </c>
      <c r="D881" t="s">
        <v>7</v>
      </c>
      <c r="E881" t="s">
        <v>8</v>
      </c>
      <c r="F881" s="28">
        <v>5082</v>
      </c>
      <c r="G881" t="s">
        <v>356</v>
      </c>
      <c r="H881" s="25">
        <v>115838</v>
      </c>
      <c r="I881" s="1">
        <v>17293.816515051847</v>
      </c>
      <c r="J881" s="1">
        <v>133131.81651505185</v>
      </c>
    </row>
    <row r="882" spans="1:10" x14ac:dyDescent="0.2">
      <c r="A882">
        <v>2010470</v>
      </c>
      <c r="B882">
        <v>2022</v>
      </c>
      <c r="C882" t="s">
        <v>6</v>
      </c>
      <c r="D882" t="s">
        <v>7</v>
      </c>
      <c r="E882" t="s">
        <v>8</v>
      </c>
      <c r="F882" s="28">
        <v>5082</v>
      </c>
      <c r="G882" t="s">
        <v>148</v>
      </c>
      <c r="H882" s="1">
        <v>118744</v>
      </c>
      <c r="I882" s="1">
        <v>16126.094716473737</v>
      </c>
      <c r="J882" s="1">
        <v>134870.09471647374</v>
      </c>
    </row>
    <row r="883" spans="1:10" x14ac:dyDescent="0.2">
      <c r="A883">
        <v>2010470</v>
      </c>
      <c r="B883">
        <v>2023</v>
      </c>
      <c r="C883" t="s">
        <v>6</v>
      </c>
      <c r="D883" t="s">
        <v>7</v>
      </c>
      <c r="E883" t="s">
        <v>8</v>
      </c>
      <c r="F883" s="28">
        <v>5082</v>
      </c>
      <c r="G883" s="10" t="s">
        <v>148</v>
      </c>
      <c r="H883" s="1">
        <v>112724</v>
      </c>
      <c r="I883" s="1">
        <v>15781.695498964709</v>
      </c>
      <c r="J883" s="1">
        <v>128505.69549896471</v>
      </c>
    </row>
    <row r="884" spans="1:10" x14ac:dyDescent="0.2">
      <c r="A884">
        <v>2010740</v>
      </c>
      <c r="B884">
        <v>2015</v>
      </c>
      <c r="C884" t="s">
        <v>6</v>
      </c>
      <c r="D884" t="s">
        <v>7</v>
      </c>
      <c r="E884" t="s">
        <v>8</v>
      </c>
      <c r="F884" s="29">
        <v>5083</v>
      </c>
      <c r="G884" s="3" t="s">
        <v>149</v>
      </c>
      <c r="H884" s="27">
        <v>185711</v>
      </c>
      <c r="I884" s="1">
        <v>29913.221351427794</v>
      </c>
      <c r="J884" s="1">
        <v>215624.22135142778</v>
      </c>
    </row>
    <row r="885" spans="1:10" x14ac:dyDescent="0.2">
      <c r="A885">
        <v>2010740</v>
      </c>
      <c r="B885">
        <v>2016</v>
      </c>
      <c r="C885" t="s">
        <v>6</v>
      </c>
      <c r="D885" t="s">
        <v>7</v>
      </c>
      <c r="E885" t="s">
        <v>8</v>
      </c>
      <c r="F885" s="29">
        <v>5083</v>
      </c>
      <c r="G885" s="3" t="s">
        <v>149</v>
      </c>
      <c r="H885" s="1">
        <v>241794</v>
      </c>
      <c r="I885" s="26">
        <v>638601.79146084259</v>
      </c>
      <c r="J885" s="26">
        <v>880395.79146084259</v>
      </c>
    </row>
    <row r="886" spans="1:10" x14ac:dyDescent="0.2">
      <c r="A886">
        <v>2010740</v>
      </c>
      <c r="B886">
        <v>2017</v>
      </c>
      <c r="C886" t="s">
        <v>6</v>
      </c>
      <c r="D886" t="s">
        <v>7</v>
      </c>
      <c r="E886" t="s">
        <v>8</v>
      </c>
      <c r="F886" s="29">
        <v>5083</v>
      </c>
      <c r="G886" s="3" t="s">
        <v>149</v>
      </c>
      <c r="H886" s="1">
        <v>240484</v>
      </c>
      <c r="I886" s="1">
        <v>37528.884771429919</v>
      </c>
      <c r="J886" s="1">
        <v>278012.88477142993</v>
      </c>
    </row>
    <row r="887" spans="1:10" x14ac:dyDescent="0.2">
      <c r="A887">
        <v>2010740</v>
      </c>
      <c r="B887">
        <v>2018</v>
      </c>
      <c r="C887" t="s">
        <v>6</v>
      </c>
      <c r="D887" t="s">
        <v>7</v>
      </c>
      <c r="E887" t="s">
        <v>8</v>
      </c>
      <c r="F887" s="28">
        <v>5083</v>
      </c>
      <c r="G887" t="s">
        <v>149</v>
      </c>
      <c r="H887" s="1">
        <v>265504</v>
      </c>
      <c r="I887" s="1">
        <v>40149.341598574836</v>
      </c>
      <c r="J887" s="1">
        <v>305653.34159857483</v>
      </c>
    </row>
    <row r="888" spans="1:10" x14ac:dyDescent="0.2">
      <c r="A888">
        <v>2010740</v>
      </c>
      <c r="B888">
        <v>2019</v>
      </c>
      <c r="C888" t="s">
        <v>6</v>
      </c>
      <c r="D888" t="s">
        <v>7</v>
      </c>
      <c r="E888" t="s">
        <v>8</v>
      </c>
      <c r="F888" s="28">
        <v>5083</v>
      </c>
      <c r="G888" t="s">
        <v>149</v>
      </c>
      <c r="H888" s="1">
        <v>300004</v>
      </c>
      <c r="I888" s="1">
        <v>45689.95575503233</v>
      </c>
      <c r="J888" s="1">
        <v>345693.95575503231</v>
      </c>
    </row>
    <row r="889" spans="1:10" x14ac:dyDescent="0.2">
      <c r="A889">
        <v>2010740</v>
      </c>
      <c r="B889">
        <v>2020</v>
      </c>
      <c r="C889" t="s">
        <v>6</v>
      </c>
      <c r="D889" t="s">
        <v>7</v>
      </c>
      <c r="E889" t="s">
        <v>8</v>
      </c>
      <c r="F889" s="28">
        <v>5083</v>
      </c>
      <c r="G889" t="s">
        <v>149</v>
      </c>
      <c r="H889" s="1">
        <v>339735</v>
      </c>
      <c r="I889" s="1">
        <v>51396.750006713402</v>
      </c>
      <c r="J889" s="1">
        <v>391131.75000671338</v>
      </c>
    </row>
    <row r="890" spans="1:10" x14ac:dyDescent="0.2">
      <c r="A890">
        <v>2010740</v>
      </c>
      <c r="B890">
        <v>2021</v>
      </c>
      <c r="C890" t="s">
        <v>6</v>
      </c>
      <c r="D890" t="s">
        <v>7</v>
      </c>
      <c r="E890" t="s">
        <v>8</v>
      </c>
      <c r="F890" s="28">
        <v>5083</v>
      </c>
      <c r="G890" t="s">
        <v>149</v>
      </c>
      <c r="H890" s="25">
        <v>351244</v>
      </c>
      <c r="I890" s="1">
        <v>52438.312885347397</v>
      </c>
      <c r="J890" s="1">
        <v>403682.3128853474</v>
      </c>
    </row>
    <row r="891" spans="1:10" x14ac:dyDescent="0.2">
      <c r="A891">
        <v>2010740</v>
      </c>
      <c r="B891">
        <v>2022</v>
      </c>
      <c r="C891" t="s">
        <v>6</v>
      </c>
      <c r="D891" t="s">
        <v>7</v>
      </c>
      <c r="E891" t="s">
        <v>8</v>
      </c>
      <c r="F891" s="28">
        <v>5083</v>
      </c>
      <c r="G891" t="s">
        <v>149</v>
      </c>
      <c r="H891" s="1">
        <v>340722</v>
      </c>
      <c r="I891" s="1">
        <v>46271.940005274919</v>
      </c>
      <c r="J891" s="1">
        <v>386993.9400052749</v>
      </c>
    </row>
    <row r="892" spans="1:10" x14ac:dyDescent="0.2">
      <c r="A892">
        <v>2010740</v>
      </c>
      <c r="B892">
        <v>2023</v>
      </c>
      <c r="C892" t="s">
        <v>6</v>
      </c>
      <c r="D892" t="s">
        <v>7</v>
      </c>
      <c r="E892" t="s">
        <v>8</v>
      </c>
      <c r="F892" s="28">
        <v>5083</v>
      </c>
      <c r="G892" s="10" t="s">
        <v>149</v>
      </c>
      <c r="H892" s="1">
        <v>376088</v>
      </c>
      <c r="I892" s="1">
        <v>52653.439345788291</v>
      </c>
      <c r="J892" s="1">
        <v>428741.43934578827</v>
      </c>
    </row>
    <row r="893" spans="1:10" x14ac:dyDescent="0.2">
      <c r="A893">
        <v>2007260</v>
      </c>
      <c r="B893">
        <v>2015</v>
      </c>
      <c r="C893" t="s">
        <v>6</v>
      </c>
      <c r="D893" t="s">
        <v>7</v>
      </c>
      <c r="E893" t="s">
        <v>8</v>
      </c>
      <c r="F893" s="29">
        <v>5087</v>
      </c>
      <c r="G893" s="3" t="s">
        <v>360</v>
      </c>
      <c r="H893" s="27">
        <v>228802</v>
      </c>
      <c r="I893" s="1">
        <v>36854.062880763027</v>
      </c>
      <c r="J893" s="1">
        <v>265656.06288076303</v>
      </c>
    </row>
    <row r="894" spans="1:10" x14ac:dyDescent="0.2">
      <c r="A894">
        <v>2007260</v>
      </c>
      <c r="B894">
        <v>2016</v>
      </c>
      <c r="C894" t="s">
        <v>6</v>
      </c>
      <c r="D894" t="s">
        <v>7</v>
      </c>
      <c r="E894" t="s">
        <v>8</v>
      </c>
      <c r="F894" s="29">
        <v>5087</v>
      </c>
      <c r="G894" s="3" t="s">
        <v>360</v>
      </c>
      <c r="H894" s="1">
        <v>251501</v>
      </c>
      <c r="I894" s="26">
        <v>664238.23385527672</v>
      </c>
      <c r="J894" s="26">
        <v>915739.23385527672</v>
      </c>
    </row>
    <row r="895" spans="1:10" x14ac:dyDescent="0.2">
      <c r="A895">
        <v>2007260</v>
      </c>
      <c r="B895">
        <v>2017</v>
      </c>
      <c r="C895" t="s">
        <v>6</v>
      </c>
      <c r="D895" t="s">
        <v>7</v>
      </c>
      <c r="E895" t="s">
        <v>8</v>
      </c>
      <c r="F895" s="29">
        <v>5087</v>
      </c>
      <c r="G895" s="3" t="s">
        <v>360</v>
      </c>
      <c r="H895" s="1">
        <v>258468</v>
      </c>
      <c r="I895" s="1">
        <v>40335.389419262603</v>
      </c>
      <c r="J895" s="1">
        <v>298803.38941926259</v>
      </c>
    </row>
    <row r="896" spans="1:10" x14ac:dyDescent="0.2">
      <c r="A896">
        <v>2007260</v>
      </c>
      <c r="B896">
        <v>2018</v>
      </c>
      <c r="C896" t="s">
        <v>6</v>
      </c>
      <c r="D896" t="s">
        <v>7</v>
      </c>
      <c r="E896" t="s">
        <v>8</v>
      </c>
      <c r="F896" s="28">
        <v>5087</v>
      </c>
      <c r="G896" t="s">
        <v>360</v>
      </c>
      <c r="H896" s="1">
        <v>291946</v>
      </c>
      <c r="I896" s="1">
        <v>44147.883581179689</v>
      </c>
      <c r="J896" s="1">
        <v>336093.88358117966</v>
      </c>
    </row>
    <row r="897" spans="1:10" x14ac:dyDescent="0.2">
      <c r="A897">
        <v>2007260</v>
      </c>
      <c r="B897">
        <v>2019</v>
      </c>
      <c r="C897" t="s">
        <v>6</v>
      </c>
      <c r="D897" t="s">
        <v>7</v>
      </c>
      <c r="E897" t="s">
        <v>8</v>
      </c>
      <c r="F897" s="28">
        <v>5087</v>
      </c>
      <c r="G897" t="s">
        <v>360</v>
      </c>
      <c r="H897" s="1">
        <v>336061</v>
      </c>
      <c r="I897" s="1">
        <v>51181.358318528815</v>
      </c>
      <c r="J897" s="1">
        <v>387242.3583185288</v>
      </c>
    </row>
    <row r="898" spans="1:10" x14ac:dyDescent="0.2">
      <c r="A898">
        <v>2007260</v>
      </c>
      <c r="B898">
        <v>2020</v>
      </c>
      <c r="C898" t="s">
        <v>6</v>
      </c>
      <c r="D898" t="s">
        <v>7</v>
      </c>
      <c r="E898" t="s">
        <v>8</v>
      </c>
      <c r="F898" s="28">
        <v>5087</v>
      </c>
      <c r="G898" t="s">
        <v>360</v>
      </c>
      <c r="H898" s="1">
        <v>368175</v>
      </c>
      <c r="I898" s="1">
        <v>55699.290428486041</v>
      </c>
      <c r="J898" s="1">
        <v>423874.29042848607</v>
      </c>
    </row>
    <row r="899" spans="1:10" x14ac:dyDescent="0.2">
      <c r="A899">
        <v>2007260</v>
      </c>
      <c r="B899">
        <v>2021</v>
      </c>
      <c r="C899" t="s">
        <v>6</v>
      </c>
      <c r="D899" t="s">
        <v>7</v>
      </c>
      <c r="E899" t="s">
        <v>8</v>
      </c>
      <c r="F899" s="28">
        <v>5087</v>
      </c>
      <c r="G899" t="s">
        <v>150</v>
      </c>
      <c r="H899" s="25">
        <v>358500</v>
      </c>
      <c r="I899" s="1">
        <v>53521.58376910934</v>
      </c>
      <c r="J899" s="1">
        <v>412021.58376910933</v>
      </c>
    </row>
    <row r="900" spans="1:10" x14ac:dyDescent="0.2">
      <c r="A900">
        <v>2007260</v>
      </c>
      <c r="B900">
        <v>2022</v>
      </c>
      <c r="C900" t="s">
        <v>6</v>
      </c>
      <c r="D900" t="s">
        <v>7</v>
      </c>
      <c r="E900" t="s">
        <v>8</v>
      </c>
      <c r="F900" s="28">
        <v>5087</v>
      </c>
      <c r="G900" t="s">
        <v>150</v>
      </c>
      <c r="H900" s="1">
        <v>356716</v>
      </c>
      <c r="I900" s="1">
        <v>48444.01403760734</v>
      </c>
      <c r="J900" s="1">
        <v>405160.01403760735</v>
      </c>
    </row>
    <row r="901" spans="1:10" x14ac:dyDescent="0.2">
      <c r="A901">
        <v>2007260</v>
      </c>
      <c r="B901">
        <v>2023</v>
      </c>
      <c r="C901" t="s">
        <v>6</v>
      </c>
      <c r="D901" t="s">
        <v>7</v>
      </c>
      <c r="E901" t="s">
        <v>8</v>
      </c>
      <c r="F901" s="28">
        <v>5087</v>
      </c>
      <c r="G901" s="10" t="s">
        <v>150</v>
      </c>
      <c r="H901" s="1">
        <v>362284</v>
      </c>
      <c r="I901" s="1">
        <v>50720.838261123899</v>
      </c>
      <c r="J901" s="1">
        <v>413004.83826112392</v>
      </c>
    </row>
    <row r="902" spans="1:10" x14ac:dyDescent="0.2">
      <c r="A902">
        <v>2012870</v>
      </c>
      <c r="B902">
        <v>2015</v>
      </c>
      <c r="C902" t="s">
        <v>6</v>
      </c>
      <c r="D902" t="s">
        <v>7</v>
      </c>
      <c r="E902" t="s">
        <v>8</v>
      </c>
      <c r="F902" s="29">
        <v>5088</v>
      </c>
      <c r="G902" s="3" t="s">
        <v>151</v>
      </c>
      <c r="H902" s="27">
        <v>438187</v>
      </c>
      <c r="I902" s="1">
        <v>70580.551094539856</v>
      </c>
      <c r="J902" s="1">
        <v>508767.55109453987</v>
      </c>
    </row>
    <row r="903" spans="1:10" x14ac:dyDescent="0.2">
      <c r="A903">
        <v>2012870</v>
      </c>
      <c r="B903">
        <v>2016</v>
      </c>
      <c r="C903" t="s">
        <v>6</v>
      </c>
      <c r="D903" t="s">
        <v>7</v>
      </c>
      <c r="E903" t="s">
        <v>8</v>
      </c>
      <c r="F903" s="29">
        <v>5088</v>
      </c>
      <c r="G903" s="3" t="s">
        <v>151</v>
      </c>
      <c r="H903" s="1">
        <v>459902</v>
      </c>
      <c r="I903" s="26">
        <v>1214637.5282073619</v>
      </c>
      <c r="J903" s="26">
        <v>1674539.5282073619</v>
      </c>
    </row>
    <row r="904" spans="1:10" x14ac:dyDescent="0.2">
      <c r="A904">
        <v>2012870</v>
      </c>
      <c r="B904">
        <v>2017</v>
      </c>
      <c r="C904" t="s">
        <v>6</v>
      </c>
      <c r="D904" t="s">
        <v>7</v>
      </c>
      <c r="E904" t="s">
        <v>8</v>
      </c>
      <c r="F904" s="29">
        <v>5088</v>
      </c>
      <c r="G904" s="3" t="s">
        <v>151</v>
      </c>
      <c r="H904" s="1">
        <v>474951</v>
      </c>
      <c r="I904" s="1">
        <v>74118.782750933169</v>
      </c>
      <c r="J904" s="1">
        <v>549069.7827509332</v>
      </c>
    </row>
    <row r="905" spans="1:10" x14ac:dyDescent="0.2">
      <c r="A905">
        <v>2012870</v>
      </c>
      <c r="B905">
        <v>2018</v>
      </c>
      <c r="C905" t="s">
        <v>6</v>
      </c>
      <c r="D905" t="s">
        <v>7</v>
      </c>
      <c r="E905" t="s">
        <v>8</v>
      </c>
      <c r="F905" s="28">
        <v>5088</v>
      </c>
      <c r="G905" t="s">
        <v>151</v>
      </c>
      <c r="H905" s="1">
        <v>546331</v>
      </c>
      <c r="I905" s="1">
        <v>82615.817256579903</v>
      </c>
      <c r="J905" s="1">
        <v>628946.81725657987</v>
      </c>
    </row>
    <row r="906" spans="1:10" x14ac:dyDescent="0.2">
      <c r="A906">
        <v>2012870</v>
      </c>
      <c r="B906">
        <v>2019</v>
      </c>
      <c r="C906" t="s">
        <v>6</v>
      </c>
      <c r="D906" t="s">
        <v>7</v>
      </c>
      <c r="E906" t="s">
        <v>8</v>
      </c>
      <c r="F906" s="28">
        <v>5088</v>
      </c>
      <c r="G906" t="s">
        <v>151</v>
      </c>
      <c r="H906" s="1">
        <v>599650</v>
      </c>
      <c r="I906" s="1">
        <v>91325.388889831927</v>
      </c>
      <c r="J906" s="1">
        <v>690975.38888983196</v>
      </c>
    </row>
    <row r="907" spans="1:10" x14ac:dyDescent="0.2">
      <c r="A907">
        <v>2012870</v>
      </c>
      <c r="B907">
        <v>2020</v>
      </c>
      <c r="C907" t="s">
        <v>6</v>
      </c>
      <c r="D907" t="s">
        <v>7</v>
      </c>
      <c r="E907" t="s">
        <v>8</v>
      </c>
      <c r="F907" s="28">
        <v>5088</v>
      </c>
      <c r="G907" t="s">
        <v>151</v>
      </c>
      <c r="H907" s="1">
        <v>687758</v>
      </c>
      <c r="I907" s="1">
        <v>104047.34864266911</v>
      </c>
      <c r="J907" s="1">
        <v>791805.34864266915</v>
      </c>
    </row>
    <row r="908" spans="1:10" x14ac:dyDescent="0.2">
      <c r="A908">
        <v>2012870</v>
      </c>
      <c r="B908">
        <v>2021</v>
      </c>
      <c r="C908" t="s">
        <v>6</v>
      </c>
      <c r="D908" t="s">
        <v>7</v>
      </c>
      <c r="E908" t="s">
        <v>8</v>
      </c>
      <c r="F908" s="28">
        <v>5088</v>
      </c>
      <c r="G908" t="s">
        <v>151</v>
      </c>
      <c r="H908" s="25">
        <v>682053</v>
      </c>
      <c r="I908" s="1">
        <v>101825.8208492952</v>
      </c>
      <c r="J908" s="1">
        <v>783878.82084929524</v>
      </c>
    </row>
    <row r="909" spans="1:10" x14ac:dyDescent="0.2">
      <c r="A909">
        <v>2012870</v>
      </c>
      <c r="B909">
        <v>2022</v>
      </c>
      <c r="C909" t="s">
        <v>6</v>
      </c>
      <c r="D909" t="s">
        <v>7</v>
      </c>
      <c r="E909" t="s">
        <v>8</v>
      </c>
      <c r="F909" s="28">
        <v>5088</v>
      </c>
      <c r="G909" t="s">
        <v>151</v>
      </c>
      <c r="H909" s="1">
        <v>661413</v>
      </c>
      <c r="I909" s="1">
        <v>89823.55895630132</v>
      </c>
      <c r="J909" s="1">
        <v>751236.55895630131</v>
      </c>
    </row>
    <row r="910" spans="1:10" x14ac:dyDescent="0.2">
      <c r="A910">
        <v>2012870</v>
      </c>
      <c r="B910">
        <v>2023</v>
      </c>
      <c r="C910" t="s">
        <v>6</v>
      </c>
      <c r="D910" t="s">
        <v>7</v>
      </c>
      <c r="E910" t="s">
        <v>8</v>
      </c>
      <c r="F910" s="28">
        <v>5088</v>
      </c>
      <c r="G910" s="10" t="s">
        <v>151</v>
      </c>
      <c r="H910" s="1">
        <v>668026</v>
      </c>
      <c r="I910" s="1">
        <v>93525.628237033801</v>
      </c>
      <c r="J910" s="1">
        <v>761551.62823703384</v>
      </c>
    </row>
    <row r="911" spans="1:10" x14ac:dyDescent="0.2">
      <c r="A911">
        <v>2008790</v>
      </c>
      <c r="B911">
        <v>2015</v>
      </c>
      <c r="C911" t="s">
        <v>6</v>
      </c>
      <c r="D911" t="s">
        <v>7</v>
      </c>
      <c r="E911" t="s">
        <v>8</v>
      </c>
      <c r="F911" s="29">
        <v>5089</v>
      </c>
      <c r="G911" s="3" t="s">
        <v>152</v>
      </c>
      <c r="H911" s="27">
        <v>234870</v>
      </c>
      <c r="I911" s="1">
        <v>37831.460165579025</v>
      </c>
      <c r="J911" s="1">
        <v>272701.46016557905</v>
      </c>
    </row>
    <row r="912" spans="1:10" x14ac:dyDescent="0.2">
      <c r="A912">
        <v>2008790</v>
      </c>
      <c r="B912">
        <v>2016</v>
      </c>
      <c r="C912" t="s">
        <v>6</v>
      </c>
      <c r="D912" t="s">
        <v>7</v>
      </c>
      <c r="E912" t="s">
        <v>8</v>
      </c>
      <c r="F912" s="29">
        <v>5089</v>
      </c>
      <c r="G912" s="3" t="s">
        <v>152</v>
      </c>
      <c r="H912" s="1">
        <v>251906</v>
      </c>
      <c r="I912" s="26">
        <v>665311.82062736398</v>
      </c>
      <c r="J912" s="26">
        <v>917217.82062736398</v>
      </c>
    </row>
    <row r="913" spans="1:10" x14ac:dyDescent="0.2">
      <c r="A913">
        <v>2008790</v>
      </c>
      <c r="B913">
        <v>2017</v>
      </c>
      <c r="C913" t="s">
        <v>6</v>
      </c>
      <c r="D913" t="s">
        <v>7</v>
      </c>
      <c r="E913" t="s">
        <v>8</v>
      </c>
      <c r="F913" s="29">
        <v>5089</v>
      </c>
      <c r="G913" s="3" t="s">
        <v>152</v>
      </c>
      <c r="H913" s="1">
        <v>267832</v>
      </c>
      <c r="I913" s="1">
        <v>41796.694441632782</v>
      </c>
      <c r="J913" s="1">
        <v>309628.69444163278</v>
      </c>
    </row>
    <row r="914" spans="1:10" x14ac:dyDescent="0.2">
      <c r="A914">
        <v>2008790</v>
      </c>
      <c r="B914">
        <v>2018</v>
      </c>
      <c r="C914" t="s">
        <v>6</v>
      </c>
      <c r="D914" t="s">
        <v>7</v>
      </c>
      <c r="E914" t="s">
        <v>8</v>
      </c>
      <c r="F914" s="28">
        <v>5089</v>
      </c>
      <c r="G914" t="s">
        <v>152</v>
      </c>
      <c r="H914" s="1">
        <v>292747</v>
      </c>
      <c r="I914" s="1">
        <v>44269.010278406313</v>
      </c>
      <c r="J914" s="1">
        <v>337016.01027840632</v>
      </c>
    </row>
    <row r="915" spans="1:10" x14ac:dyDescent="0.2">
      <c r="A915">
        <v>2008790</v>
      </c>
      <c r="B915">
        <v>2019</v>
      </c>
      <c r="C915" t="s">
        <v>6</v>
      </c>
      <c r="D915" t="s">
        <v>7</v>
      </c>
      <c r="E915" t="s">
        <v>8</v>
      </c>
      <c r="F915" s="28">
        <v>5089</v>
      </c>
      <c r="G915" t="s">
        <v>152</v>
      </c>
      <c r="H915" s="1">
        <v>316287</v>
      </c>
      <c r="I915" s="1">
        <v>48169.821188690519</v>
      </c>
      <c r="J915" s="1">
        <v>364456.82118869049</v>
      </c>
    </row>
    <row r="916" spans="1:10" x14ac:dyDescent="0.2">
      <c r="A916">
        <v>2008790</v>
      </c>
      <c r="B916">
        <v>2020</v>
      </c>
      <c r="C916" t="s">
        <v>6</v>
      </c>
      <c r="D916" t="s">
        <v>7</v>
      </c>
      <c r="E916" t="s">
        <v>8</v>
      </c>
      <c r="F916" s="28">
        <v>5089</v>
      </c>
      <c r="G916" t="s">
        <v>152</v>
      </c>
      <c r="H916" s="1">
        <v>347125</v>
      </c>
      <c r="I916" s="1">
        <v>52514.744863144479</v>
      </c>
      <c r="J916" s="1">
        <v>399639.74486314447</v>
      </c>
    </row>
    <row r="917" spans="1:10" x14ac:dyDescent="0.2">
      <c r="A917">
        <v>2008790</v>
      </c>
      <c r="B917">
        <v>2021</v>
      </c>
      <c r="C917" t="s">
        <v>6</v>
      </c>
      <c r="D917" t="s">
        <v>7</v>
      </c>
      <c r="E917" t="s">
        <v>8</v>
      </c>
      <c r="F917" s="28">
        <v>5089</v>
      </c>
      <c r="G917" t="s">
        <v>152</v>
      </c>
      <c r="H917" s="25">
        <v>323435</v>
      </c>
      <c r="I917" s="1">
        <v>48286.620491943875</v>
      </c>
      <c r="J917" s="1">
        <v>371721.6204919439</v>
      </c>
    </row>
    <row r="918" spans="1:10" x14ac:dyDescent="0.2">
      <c r="A918">
        <v>2008790</v>
      </c>
      <c r="B918">
        <v>2022</v>
      </c>
      <c r="C918" t="s">
        <v>6</v>
      </c>
      <c r="D918" t="s">
        <v>7</v>
      </c>
      <c r="E918" t="s">
        <v>8</v>
      </c>
      <c r="F918" s="28">
        <v>5089</v>
      </c>
      <c r="G918" t="s">
        <v>152</v>
      </c>
      <c r="H918" s="1">
        <v>300584</v>
      </c>
      <c r="I918" s="1">
        <v>40820.976674666017</v>
      </c>
      <c r="J918" s="1">
        <v>341404.97667466605</v>
      </c>
    </row>
    <row r="919" spans="1:10" x14ac:dyDescent="0.2">
      <c r="A919">
        <v>2008790</v>
      </c>
      <c r="B919">
        <v>2023</v>
      </c>
      <c r="C919" t="s">
        <v>6</v>
      </c>
      <c r="D919" t="s">
        <v>7</v>
      </c>
      <c r="E919" t="s">
        <v>8</v>
      </c>
      <c r="F919" s="28">
        <v>5089</v>
      </c>
      <c r="G919" s="10" t="s">
        <v>152</v>
      </c>
      <c r="H919" s="1">
        <v>287516</v>
      </c>
      <c r="I919" s="1">
        <v>40253.095730104833</v>
      </c>
      <c r="J919" s="1">
        <v>327769.09573010483</v>
      </c>
    </row>
    <row r="920" spans="1:10" x14ac:dyDescent="0.2">
      <c r="A920">
        <v>2009930</v>
      </c>
      <c r="B920">
        <v>2015</v>
      </c>
      <c r="C920" t="s">
        <v>6</v>
      </c>
      <c r="D920" t="s">
        <v>7</v>
      </c>
      <c r="E920" t="s">
        <v>8</v>
      </c>
      <c r="F920" s="29">
        <v>5090</v>
      </c>
      <c r="G920" s="3" t="s">
        <v>153</v>
      </c>
      <c r="H920" s="27">
        <v>170906</v>
      </c>
      <c r="I920" s="1">
        <v>27528.520164595084</v>
      </c>
      <c r="J920" s="1">
        <v>198434.52016459507</v>
      </c>
    </row>
    <row r="921" spans="1:10" x14ac:dyDescent="0.2">
      <c r="A921">
        <v>2009930</v>
      </c>
      <c r="B921">
        <v>2016</v>
      </c>
      <c r="C921" t="s">
        <v>6</v>
      </c>
      <c r="D921" t="s">
        <v>7</v>
      </c>
      <c r="E921" t="s">
        <v>8</v>
      </c>
      <c r="F921" s="29">
        <v>5090</v>
      </c>
      <c r="G921" s="3" t="s">
        <v>153</v>
      </c>
      <c r="H921" s="1">
        <v>177248</v>
      </c>
      <c r="I921" s="26">
        <v>468132.51233604579</v>
      </c>
      <c r="J921" s="26">
        <v>645380.51233604574</v>
      </c>
    </row>
    <row r="922" spans="1:10" x14ac:dyDescent="0.2">
      <c r="A922">
        <v>2009930</v>
      </c>
      <c r="B922">
        <v>2017</v>
      </c>
      <c r="C922" t="s">
        <v>6</v>
      </c>
      <c r="D922" t="s">
        <v>7</v>
      </c>
      <c r="E922" t="s">
        <v>8</v>
      </c>
      <c r="F922" s="29">
        <v>5090</v>
      </c>
      <c r="G922" s="3" t="s">
        <v>153</v>
      </c>
      <c r="H922" s="1">
        <v>201495</v>
      </c>
      <c r="I922" s="1">
        <v>31444.431384288648</v>
      </c>
      <c r="J922" s="1">
        <v>232939.43138428865</v>
      </c>
    </row>
    <row r="923" spans="1:10" x14ac:dyDescent="0.2">
      <c r="A923">
        <v>2009930</v>
      </c>
      <c r="B923">
        <v>2018</v>
      </c>
      <c r="C923" t="s">
        <v>6</v>
      </c>
      <c r="D923" t="s">
        <v>7</v>
      </c>
      <c r="E923" t="s">
        <v>8</v>
      </c>
      <c r="F923" s="28">
        <v>5090</v>
      </c>
      <c r="G923" t="s">
        <v>153</v>
      </c>
      <c r="H923" s="1">
        <v>233054</v>
      </c>
      <c r="I923" s="1">
        <v>35242.27377709662</v>
      </c>
      <c r="J923" s="1">
        <v>268296.27377709665</v>
      </c>
    </row>
    <row r="924" spans="1:10" x14ac:dyDescent="0.2">
      <c r="A924">
        <v>2009930</v>
      </c>
      <c r="B924">
        <v>2019</v>
      </c>
      <c r="C924" t="s">
        <v>6</v>
      </c>
      <c r="D924" t="s">
        <v>7</v>
      </c>
      <c r="E924" t="s">
        <v>8</v>
      </c>
      <c r="F924" s="28">
        <v>5090</v>
      </c>
      <c r="G924" t="s">
        <v>153</v>
      </c>
      <c r="H924" s="1">
        <v>232419</v>
      </c>
      <c r="I924" s="1">
        <v>35396.907463330019</v>
      </c>
      <c r="J924" s="1">
        <v>267815.90746333002</v>
      </c>
    </row>
    <row r="925" spans="1:10" x14ac:dyDescent="0.2">
      <c r="A925">
        <v>2009930</v>
      </c>
      <c r="B925">
        <v>2020</v>
      </c>
      <c r="C925" t="s">
        <v>6</v>
      </c>
      <c r="D925" t="s">
        <v>7</v>
      </c>
      <c r="E925" t="s">
        <v>8</v>
      </c>
      <c r="F925" s="28">
        <v>5090</v>
      </c>
      <c r="G925" t="s">
        <v>153</v>
      </c>
      <c r="H925" s="1">
        <v>274002</v>
      </c>
      <c r="I925" s="1">
        <v>41452.344607825173</v>
      </c>
      <c r="J925" s="1">
        <v>315454.34460782516</v>
      </c>
    </row>
    <row r="926" spans="1:10" x14ac:dyDescent="0.2">
      <c r="A926">
        <v>2009930</v>
      </c>
      <c r="B926">
        <v>2021</v>
      </c>
      <c r="C926" t="s">
        <v>6</v>
      </c>
      <c r="D926" t="s">
        <v>7</v>
      </c>
      <c r="E926" t="s">
        <v>8</v>
      </c>
      <c r="F926" s="28">
        <v>5090</v>
      </c>
      <c r="G926" t="s">
        <v>153</v>
      </c>
      <c r="H926" s="25">
        <v>269666</v>
      </c>
      <c r="I926" s="1">
        <v>40259.278685301644</v>
      </c>
      <c r="J926" s="1">
        <v>309925.27868530166</v>
      </c>
    </row>
    <row r="927" spans="1:10" x14ac:dyDescent="0.2">
      <c r="A927">
        <v>2009930</v>
      </c>
      <c r="B927">
        <v>2022</v>
      </c>
      <c r="C927" t="s">
        <v>6</v>
      </c>
      <c r="D927" t="s">
        <v>7</v>
      </c>
      <c r="E927" t="s">
        <v>8</v>
      </c>
      <c r="F927" s="28">
        <v>5090</v>
      </c>
      <c r="G927" t="s">
        <v>153</v>
      </c>
      <c r="H927" s="1">
        <v>278161</v>
      </c>
      <c r="I927" s="1">
        <v>37775.808735001781</v>
      </c>
      <c r="J927" s="1">
        <v>315936.80873500177</v>
      </c>
    </row>
    <row r="928" spans="1:10" x14ac:dyDescent="0.2">
      <c r="A928">
        <v>2009930</v>
      </c>
      <c r="B928">
        <v>2023</v>
      </c>
      <c r="C928" t="s">
        <v>6</v>
      </c>
      <c r="D928" t="s">
        <v>7</v>
      </c>
      <c r="E928" t="s">
        <v>8</v>
      </c>
      <c r="F928" s="28">
        <v>5090</v>
      </c>
      <c r="G928" s="10" t="s">
        <v>153</v>
      </c>
      <c r="H928" s="1">
        <v>275133</v>
      </c>
      <c r="I928" s="1">
        <v>38519.438874744133</v>
      </c>
      <c r="J928" s="1">
        <v>313652.43887474411</v>
      </c>
    </row>
    <row r="929" spans="1:10" x14ac:dyDescent="0.2">
      <c r="A929">
        <v>2007970</v>
      </c>
      <c r="B929">
        <v>2015</v>
      </c>
      <c r="C929" t="s">
        <v>6</v>
      </c>
      <c r="D929" t="s">
        <v>7</v>
      </c>
      <c r="E929" t="s">
        <v>8</v>
      </c>
      <c r="F929" s="29">
        <v>5092</v>
      </c>
      <c r="G929" s="3" t="s">
        <v>154</v>
      </c>
      <c r="H929" s="27">
        <v>802217</v>
      </c>
      <c r="I929" s="1">
        <v>129216.33448141656</v>
      </c>
      <c r="J929" s="1">
        <v>931433.3344814165</v>
      </c>
    </row>
    <row r="930" spans="1:10" x14ac:dyDescent="0.2">
      <c r="A930">
        <v>2007970</v>
      </c>
      <c r="B930">
        <v>2016</v>
      </c>
      <c r="C930" t="s">
        <v>6</v>
      </c>
      <c r="D930" t="s">
        <v>7</v>
      </c>
      <c r="E930" t="s">
        <v>8</v>
      </c>
      <c r="F930" s="29">
        <v>5092</v>
      </c>
      <c r="G930" s="3" t="s">
        <v>154</v>
      </c>
      <c r="H930" s="1">
        <v>890519</v>
      </c>
      <c r="I930" s="26">
        <v>2351945.2525779852</v>
      </c>
      <c r="J930" s="26">
        <v>3242464.2525779852</v>
      </c>
    </row>
    <row r="931" spans="1:10" x14ac:dyDescent="0.2">
      <c r="A931">
        <v>2007970</v>
      </c>
      <c r="B931">
        <v>2017</v>
      </c>
      <c r="C931" t="s">
        <v>6</v>
      </c>
      <c r="D931" t="s">
        <v>7</v>
      </c>
      <c r="E931" t="s">
        <v>8</v>
      </c>
      <c r="F931" s="29">
        <v>5092</v>
      </c>
      <c r="G931" s="3" t="s">
        <v>154</v>
      </c>
      <c r="H931" s="1">
        <v>901835</v>
      </c>
      <c r="I931" s="1">
        <v>140736.43900568227</v>
      </c>
      <c r="J931" s="1">
        <v>1042571.4390056822</v>
      </c>
    </row>
    <row r="932" spans="1:10" x14ac:dyDescent="0.2">
      <c r="A932">
        <v>2007970</v>
      </c>
      <c r="B932">
        <v>2018</v>
      </c>
      <c r="C932" t="s">
        <v>6</v>
      </c>
      <c r="D932" t="s">
        <v>7</v>
      </c>
      <c r="E932" t="s">
        <v>8</v>
      </c>
      <c r="F932" s="28">
        <v>5092</v>
      </c>
      <c r="G932" t="s">
        <v>154</v>
      </c>
      <c r="H932" s="1">
        <v>1079614</v>
      </c>
      <c r="I932" s="1">
        <v>163258.5244689488</v>
      </c>
      <c r="J932" s="1">
        <v>1242872.5244689488</v>
      </c>
    </row>
    <row r="933" spans="1:10" x14ac:dyDescent="0.2">
      <c r="A933">
        <v>2007970</v>
      </c>
      <c r="B933">
        <v>2019</v>
      </c>
      <c r="C933" t="s">
        <v>6</v>
      </c>
      <c r="D933" t="s">
        <v>7</v>
      </c>
      <c r="E933" t="s">
        <v>8</v>
      </c>
      <c r="F933" s="28">
        <v>5092</v>
      </c>
      <c r="G933" t="s">
        <v>154</v>
      </c>
      <c r="H933" s="1">
        <v>1236792</v>
      </c>
      <c r="I933" s="1">
        <v>188360.7277175569</v>
      </c>
      <c r="J933" s="1">
        <v>1425152.727717557</v>
      </c>
    </row>
    <row r="934" spans="1:10" x14ac:dyDescent="0.2">
      <c r="A934">
        <v>2007970</v>
      </c>
      <c r="B934">
        <v>2020</v>
      </c>
      <c r="C934" t="s">
        <v>6</v>
      </c>
      <c r="D934" t="s">
        <v>7</v>
      </c>
      <c r="E934" t="s">
        <v>8</v>
      </c>
      <c r="F934" s="28">
        <v>5092</v>
      </c>
      <c r="G934" t="s">
        <v>154</v>
      </c>
      <c r="H934" s="1">
        <v>1363396</v>
      </c>
      <c r="I934" s="1">
        <v>206261.1252068613</v>
      </c>
      <c r="J934" s="1">
        <v>1569657.1252068612</v>
      </c>
    </row>
    <row r="935" spans="1:10" x14ac:dyDescent="0.2">
      <c r="A935">
        <v>2007970</v>
      </c>
      <c r="B935">
        <v>2021</v>
      </c>
      <c r="C935" t="s">
        <v>6</v>
      </c>
      <c r="D935" t="s">
        <v>7</v>
      </c>
      <c r="E935" t="s">
        <v>8</v>
      </c>
      <c r="F935" s="28">
        <v>5092</v>
      </c>
      <c r="G935" t="s">
        <v>154</v>
      </c>
      <c r="H935" s="25">
        <v>1334491</v>
      </c>
      <c r="I935" s="1">
        <v>199230.32592921195</v>
      </c>
      <c r="J935" s="1">
        <v>1533721.3259292119</v>
      </c>
    </row>
    <row r="936" spans="1:10" x14ac:dyDescent="0.2">
      <c r="A936">
        <v>2007970</v>
      </c>
      <c r="B936">
        <v>2022</v>
      </c>
      <c r="C936" t="s">
        <v>6</v>
      </c>
      <c r="D936" t="s">
        <v>7</v>
      </c>
      <c r="E936" t="s">
        <v>8</v>
      </c>
      <c r="F936" s="28">
        <v>5092</v>
      </c>
      <c r="G936" t="s">
        <v>154</v>
      </c>
      <c r="H936" s="1">
        <v>1296711</v>
      </c>
      <c r="I936" s="1">
        <v>176100.55586718803</v>
      </c>
      <c r="J936" s="1">
        <v>1472811.5558671881</v>
      </c>
    </row>
    <row r="937" spans="1:10" x14ac:dyDescent="0.2">
      <c r="A937">
        <v>2007970</v>
      </c>
      <c r="B937">
        <v>2023</v>
      </c>
      <c r="C937" t="s">
        <v>6</v>
      </c>
      <c r="D937" t="s">
        <v>7</v>
      </c>
      <c r="E937" t="s">
        <v>8</v>
      </c>
      <c r="F937" s="28">
        <v>5092</v>
      </c>
      <c r="G937" s="10" t="s">
        <v>154</v>
      </c>
      <c r="H937" s="1">
        <v>1294943</v>
      </c>
      <c r="I937" s="1">
        <v>181295.87412188938</v>
      </c>
      <c r="J937" s="1">
        <v>1476238.8741218895</v>
      </c>
    </row>
    <row r="938" spans="1:10" x14ac:dyDescent="0.2">
      <c r="A938">
        <v>2010170</v>
      </c>
      <c r="B938">
        <v>2015</v>
      </c>
      <c r="C938" t="s">
        <v>6</v>
      </c>
      <c r="D938" t="s">
        <v>7</v>
      </c>
      <c r="E938" t="s">
        <v>8</v>
      </c>
      <c r="F938" s="29">
        <v>5093</v>
      </c>
      <c r="G938" s="3" t="s">
        <v>155</v>
      </c>
      <c r="H938" s="27">
        <v>198890</v>
      </c>
      <c r="I938" s="1">
        <v>32036.016146515143</v>
      </c>
      <c r="J938" s="1">
        <v>230926.01614651515</v>
      </c>
    </row>
    <row r="939" spans="1:10" x14ac:dyDescent="0.2">
      <c r="A939">
        <v>2010170</v>
      </c>
      <c r="B939">
        <v>2016</v>
      </c>
      <c r="C939" t="s">
        <v>6</v>
      </c>
      <c r="D939" t="s">
        <v>7</v>
      </c>
      <c r="E939" t="s">
        <v>8</v>
      </c>
      <c r="F939" s="29">
        <v>5093</v>
      </c>
      <c r="G939" s="3" t="s">
        <v>155</v>
      </c>
      <c r="H939" s="1">
        <v>185126</v>
      </c>
      <c r="I939" s="26">
        <v>488930.97798324091</v>
      </c>
      <c r="J939" s="26">
        <v>674056.97798324097</v>
      </c>
    </row>
    <row r="940" spans="1:10" x14ac:dyDescent="0.2">
      <c r="A940">
        <v>2010170</v>
      </c>
      <c r="B940">
        <v>2017</v>
      </c>
      <c r="C940" t="s">
        <v>6</v>
      </c>
      <c r="D940" t="s">
        <v>7</v>
      </c>
      <c r="E940" t="s">
        <v>8</v>
      </c>
      <c r="F940" s="29">
        <v>5093</v>
      </c>
      <c r="G940" s="3" t="s">
        <v>155</v>
      </c>
      <c r="H940" s="1">
        <v>202844</v>
      </c>
      <c r="I940" s="1">
        <v>31654.950444004298</v>
      </c>
      <c r="J940" s="1">
        <v>234498.95044400429</v>
      </c>
    </row>
    <row r="941" spans="1:10" x14ac:dyDescent="0.2">
      <c r="A941">
        <v>2010170</v>
      </c>
      <c r="B941">
        <v>2018</v>
      </c>
      <c r="C941" t="s">
        <v>6</v>
      </c>
      <c r="D941" t="s">
        <v>7</v>
      </c>
      <c r="E941" t="s">
        <v>8</v>
      </c>
      <c r="F941" s="28">
        <v>5093</v>
      </c>
      <c r="G941" t="s">
        <v>155</v>
      </c>
      <c r="H941" s="1">
        <v>248999</v>
      </c>
      <c r="I941" s="1">
        <v>37653.466270577985</v>
      </c>
      <c r="J941" s="1">
        <v>286652.46627057798</v>
      </c>
    </row>
    <row r="942" spans="1:10" x14ac:dyDescent="0.2">
      <c r="A942">
        <v>2010170</v>
      </c>
      <c r="B942">
        <v>2019</v>
      </c>
      <c r="C942" t="s">
        <v>6</v>
      </c>
      <c r="D942" t="s">
        <v>7</v>
      </c>
      <c r="E942" t="s">
        <v>8</v>
      </c>
      <c r="F942" s="28">
        <v>5093</v>
      </c>
      <c r="G942" t="s">
        <v>155</v>
      </c>
      <c r="H942" s="1">
        <v>284182</v>
      </c>
      <c r="I942" s="1">
        <v>43280.299617260425</v>
      </c>
      <c r="J942" s="1">
        <v>327462.2996172604</v>
      </c>
    </row>
    <row r="943" spans="1:10" x14ac:dyDescent="0.2">
      <c r="A943">
        <v>2010170</v>
      </c>
      <c r="B943">
        <v>2020</v>
      </c>
      <c r="C943" t="s">
        <v>6</v>
      </c>
      <c r="D943" t="s">
        <v>7</v>
      </c>
      <c r="E943" t="s">
        <v>8</v>
      </c>
      <c r="F943" s="28">
        <v>5093</v>
      </c>
      <c r="G943" t="s">
        <v>155</v>
      </c>
      <c r="H943" s="1">
        <v>314613</v>
      </c>
      <c r="I943" s="1">
        <v>47596.172634147559</v>
      </c>
      <c r="J943" s="1">
        <v>362209.17263414757</v>
      </c>
    </row>
    <row r="944" spans="1:10" x14ac:dyDescent="0.2">
      <c r="A944">
        <v>2010170</v>
      </c>
      <c r="B944">
        <v>2021</v>
      </c>
      <c r="C944" t="s">
        <v>6</v>
      </c>
      <c r="D944" t="s">
        <v>7</v>
      </c>
      <c r="E944" t="s">
        <v>8</v>
      </c>
      <c r="F944" s="28">
        <v>5093</v>
      </c>
      <c r="G944" t="s">
        <v>155</v>
      </c>
      <c r="H944" s="25">
        <v>302917</v>
      </c>
      <c r="I944" s="1">
        <v>45223.42424152662</v>
      </c>
      <c r="J944" s="1">
        <v>348140.42424152663</v>
      </c>
    </row>
    <row r="945" spans="1:10" x14ac:dyDescent="0.2">
      <c r="A945">
        <v>2010170</v>
      </c>
      <c r="B945">
        <v>2022</v>
      </c>
      <c r="C945" t="s">
        <v>6</v>
      </c>
      <c r="D945" t="s">
        <v>7</v>
      </c>
      <c r="E945" t="s">
        <v>8</v>
      </c>
      <c r="F945" s="28">
        <v>5093</v>
      </c>
      <c r="G945" t="s">
        <v>155</v>
      </c>
      <c r="H945" s="1">
        <v>296369</v>
      </c>
      <c r="I945" s="1">
        <v>40248.556264119492</v>
      </c>
      <c r="J945" s="1">
        <v>336617.55626411951</v>
      </c>
    </row>
    <row r="946" spans="1:10" x14ac:dyDescent="0.2">
      <c r="A946">
        <v>2010170</v>
      </c>
      <c r="B946">
        <v>2023</v>
      </c>
      <c r="C946" t="s">
        <v>6</v>
      </c>
      <c r="D946" t="s">
        <v>7</v>
      </c>
      <c r="E946" t="s">
        <v>8</v>
      </c>
      <c r="F946" s="28">
        <v>5093</v>
      </c>
      <c r="G946" s="10" t="s">
        <v>155</v>
      </c>
      <c r="H946" s="1">
        <v>273740</v>
      </c>
      <c r="I946" s="1">
        <v>38324.414728776472</v>
      </c>
      <c r="J946" s="1">
        <v>312064.41472877649</v>
      </c>
    </row>
    <row r="947" spans="1:10" x14ac:dyDescent="0.2">
      <c r="A947">
        <v>2003240</v>
      </c>
      <c r="B947">
        <v>2015</v>
      </c>
      <c r="C947" t="s">
        <v>6</v>
      </c>
      <c r="D947" t="s">
        <v>7</v>
      </c>
      <c r="E947" t="s">
        <v>8</v>
      </c>
      <c r="F947" s="29">
        <v>5095</v>
      </c>
      <c r="G947" s="3" t="s">
        <v>156</v>
      </c>
      <c r="H947" s="27">
        <v>337355</v>
      </c>
      <c r="I947" s="1">
        <v>54339.133325494578</v>
      </c>
      <c r="J947" s="1">
        <v>391694.13332549459</v>
      </c>
    </row>
    <row r="948" spans="1:10" x14ac:dyDescent="0.2">
      <c r="A948">
        <v>2003240</v>
      </c>
      <c r="B948">
        <v>2016</v>
      </c>
      <c r="C948" t="s">
        <v>6</v>
      </c>
      <c r="D948" t="s">
        <v>7</v>
      </c>
      <c r="E948" t="s">
        <v>8</v>
      </c>
      <c r="F948" s="29">
        <v>5095</v>
      </c>
      <c r="G948" s="3" t="s">
        <v>156</v>
      </c>
      <c r="H948" s="1">
        <v>398029</v>
      </c>
      <c r="I948" s="26">
        <v>1051228.4089085483</v>
      </c>
      <c r="J948" s="26">
        <v>1449257.4089085483</v>
      </c>
    </row>
    <row r="949" spans="1:10" x14ac:dyDescent="0.2">
      <c r="A949">
        <v>2003240</v>
      </c>
      <c r="B949">
        <v>2017</v>
      </c>
      <c r="C949" t="s">
        <v>6</v>
      </c>
      <c r="D949" t="s">
        <v>7</v>
      </c>
      <c r="E949" t="s">
        <v>8</v>
      </c>
      <c r="F949" s="29">
        <v>5095</v>
      </c>
      <c r="G949" s="3" t="s">
        <v>156</v>
      </c>
      <c r="H949" s="1">
        <v>362295</v>
      </c>
      <c r="I949" s="1">
        <v>56538.178457881608</v>
      </c>
      <c r="J949" s="1">
        <v>418833.17845788162</v>
      </c>
    </row>
    <row r="950" spans="1:10" x14ac:dyDescent="0.2">
      <c r="A950">
        <v>2003240</v>
      </c>
      <c r="B950">
        <v>2018</v>
      </c>
      <c r="C950" t="s">
        <v>6</v>
      </c>
      <c r="D950" t="s">
        <v>7</v>
      </c>
      <c r="E950" t="s">
        <v>8</v>
      </c>
      <c r="F950" s="28">
        <v>5095</v>
      </c>
      <c r="G950" t="s">
        <v>156</v>
      </c>
      <c r="H950" s="1">
        <v>430613</v>
      </c>
      <c r="I950" s="1">
        <v>65117.016820037024</v>
      </c>
      <c r="J950" s="1">
        <v>495730.01682003704</v>
      </c>
    </row>
    <row r="951" spans="1:10" x14ac:dyDescent="0.2">
      <c r="A951">
        <v>2003240</v>
      </c>
      <c r="B951">
        <v>2019</v>
      </c>
      <c r="C951" t="s">
        <v>6</v>
      </c>
      <c r="D951" t="s">
        <v>7</v>
      </c>
      <c r="E951" t="s">
        <v>8</v>
      </c>
      <c r="F951" s="28">
        <v>5095</v>
      </c>
      <c r="G951" t="s">
        <v>156</v>
      </c>
      <c r="H951" s="1">
        <v>446336</v>
      </c>
      <c r="I951" s="1">
        <v>67976.000626252018</v>
      </c>
      <c r="J951" s="1">
        <v>514312.00062625203</v>
      </c>
    </row>
    <row r="952" spans="1:10" x14ac:dyDescent="0.2">
      <c r="A952">
        <v>2003240</v>
      </c>
      <c r="B952">
        <v>2020</v>
      </c>
      <c r="C952" t="s">
        <v>6</v>
      </c>
      <c r="D952" t="s">
        <v>7</v>
      </c>
      <c r="E952" t="s">
        <v>8</v>
      </c>
      <c r="F952" s="28">
        <v>5095</v>
      </c>
      <c r="G952" t="s">
        <v>156</v>
      </c>
      <c r="H952" s="1">
        <v>472774</v>
      </c>
      <c r="I952" s="1">
        <v>71523.531834146968</v>
      </c>
      <c r="J952" s="1">
        <v>544297.53183414694</v>
      </c>
    </row>
    <row r="953" spans="1:10" x14ac:dyDescent="0.2">
      <c r="A953">
        <v>2003240</v>
      </c>
      <c r="B953">
        <v>2021</v>
      </c>
      <c r="C953" t="s">
        <v>6</v>
      </c>
      <c r="D953" t="s">
        <v>7</v>
      </c>
      <c r="E953" t="s">
        <v>8</v>
      </c>
      <c r="F953" s="28">
        <v>5095</v>
      </c>
      <c r="G953" t="s">
        <v>156</v>
      </c>
      <c r="H953" s="25">
        <v>482251</v>
      </c>
      <c r="I953" s="1">
        <v>71996.756748219646</v>
      </c>
      <c r="J953" s="1">
        <v>554247.7567482196</v>
      </c>
    </row>
    <row r="954" spans="1:10" x14ac:dyDescent="0.2">
      <c r="A954">
        <v>2003240</v>
      </c>
      <c r="B954">
        <v>2022</v>
      </c>
      <c r="C954" t="s">
        <v>6</v>
      </c>
      <c r="D954" t="s">
        <v>7</v>
      </c>
      <c r="E954" t="s">
        <v>8</v>
      </c>
      <c r="F954" s="28">
        <v>5095</v>
      </c>
      <c r="G954" t="s">
        <v>156</v>
      </c>
      <c r="H954" s="1">
        <v>459751</v>
      </c>
      <c r="I954" s="1">
        <v>62436.739304668168</v>
      </c>
      <c r="J954" s="1">
        <v>522187.73930466815</v>
      </c>
    </row>
    <row r="955" spans="1:10" x14ac:dyDescent="0.2">
      <c r="A955">
        <v>2003240</v>
      </c>
      <c r="B955">
        <v>2023</v>
      </c>
      <c r="C955" t="s">
        <v>6</v>
      </c>
      <c r="D955" t="s">
        <v>7</v>
      </c>
      <c r="E955" t="s">
        <v>8</v>
      </c>
      <c r="F955" s="28">
        <v>5095</v>
      </c>
      <c r="G955" s="10" t="s">
        <v>156</v>
      </c>
      <c r="H955" s="1">
        <v>452077</v>
      </c>
      <c r="I955" s="1">
        <v>63292.125510853664</v>
      </c>
      <c r="J955" s="1">
        <v>515369.12551085366</v>
      </c>
    </row>
    <row r="956" spans="1:10" x14ac:dyDescent="0.2">
      <c r="A956">
        <v>2007750</v>
      </c>
      <c r="B956">
        <v>2015</v>
      </c>
      <c r="C956" t="s">
        <v>6</v>
      </c>
      <c r="D956" t="s">
        <v>7</v>
      </c>
      <c r="E956" t="s">
        <v>8</v>
      </c>
      <c r="F956" s="29">
        <v>5096</v>
      </c>
      <c r="G956" s="3" t="s">
        <v>157</v>
      </c>
      <c r="H956" s="27">
        <v>313123</v>
      </c>
      <c r="I956" s="1">
        <v>50435.98714789714</v>
      </c>
      <c r="J956" s="1">
        <v>363558.98714789713</v>
      </c>
    </row>
    <row r="957" spans="1:10" x14ac:dyDescent="0.2">
      <c r="A957">
        <v>2007750</v>
      </c>
      <c r="B957">
        <v>2016</v>
      </c>
      <c r="C957" t="s">
        <v>6</v>
      </c>
      <c r="D957" t="s">
        <v>7</v>
      </c>
      <c r="E957" t="s">
        <v>8</v>
      </c>
      <c r="F957" s="29">
        <v>5096</v>
      </c>
      <c r="G957" s="3" t="s">
        <v>157</v>
      </c>
      <c r="H957" s="1">
        <v>345210</v>
      </c>
      <c r="I957" s="26">
        <v>911727.91738213308</v>
      </c>
      <c r="J957" s="26">
        <v>1256937.9173821332</v>
      </c>
    </row>
    <row r="958" spans="1:10" x14ac:dyDescent="0.2">
      <c r="A958">
        <v>2007750</v>
      </c>
      <c r="B958">
        <v>2017</v>
      </c>
      <c r="C958" t="s">
        <v>6</v>
      </c>
      <c r="D958" t="s">
        <v>7</v>
      </c>
      <c r="E958" t="s">
        <v>8</v>
      </c>
      <c r="F958" s="29">
        <v>5096</v>
      </c>
      <c r="G958" s="3" t="s">
        <v>157</v>
      </c>
      <c r="H958" s="1">
        <v>357293</v>
      </c>
      <c r="I958" s="1">
        <v>55757.588141574954</v>
      </c>
      <c r="J958" s="1">
        <v>413050.58814157493</v>
      </c>
    </row>
    <row r="959" spans="1:10" x14ac:dyDescent="0.2">
      <c r="A959">
        <v>2007750</v>
      </c>
      <c r="B959">
        <v>2018</v>
      </c>
      <c r="C959" t="s">
        <v>6</v>
      </c>
      <c r="D959" t="s">
        <v>7</v>
      </c>
      <c r="E959" t="s">
        <v>8</v>
      </c>
      <c r="F959" s="28">
        <v>5096</v>
      </c>
      <c r="G959" t="s">
        <v>157</v>
      </c>
      <c r="H959" s="1">
        <v>432144</v>
      </c>
      <c r="I959" s="1">
        <v>65348.533640828478</v>
      </c>
      <c r="J959" s="1">
        <v>497492.53364082845</v>
      </c>
    </row>
    <row r="960" spans="1:10" x14ac:dyDescent="0.2">
      <c r="A960">
        <v>2007750</v>
      </c>
      <c r="B960">
        <v>2019</v>
      </c>
      <c r="C960" t="s">
        <v>6</v>
      </c>
      <c r="D960" t="s">
        <v>7</v>
      </c>
      <c r="E960" t="s">
        <v>8</v>
      </c>
      <c r="F960" s="28">
        <v>5096</v>
      </c>
      <c r="G960" t="s">
        <v>157</v>
      </c>
      <c r="H960" s="1">
        <v>488333</v>
      </c>
      <c r="I960" s="1">
        <v>74372.052251710658</v>
      </c>
      <c r="J960" s="1">
        <v>562705.05225171067</v>
      </c>
    </row>
    <row r="961" spans="1:10" x14ac:dyDescent="0.2">
      <c r="A961">
        <v>2007750</v>
      </c>
      <c r="B961">
        <v>2020</v>
      </c>
      <c r="C961" t="s">
        <v>6</v>
      </c>
      <c r="D961" t="s">
        <v>7</v>
      </c>
      <c r="E961" t="s">
        <v>8</v>
      </c>
      <c r="F961" s="28">
        <v>5096</v>
      </c>
      <c r="G961" t="s">
        <v>157</v>
      </c>
      <c r="H961" s="1">
        <v>567842</v>
      </c>
      <c r="I961" s="1">
        <v>85905.877573144215</v>
      </c>
      <c r="J961" s="1">
        <v>653747.87757314416</v>
      </c>
    </row>
    <row r="962" spans="1:10" x14ac:dyDescent="0.2">
      <c r="A962">
        <v>2007750</v>
      </c>
      <c r="B962">
        <v>2021</v>
      </c>
      <c r="C962" t="s">
        <v>6</v>
      </c>
      <c r="D962" t="s">
        <v>7</v>
      </c>
      <c r="E962" t="s">
        <v>8</v>
      </c>
      <c r="F962" s="28">
        <v>5096</v>
      </c>
      <c r="G962" t="s">
        <v>157</v>
      </c>
      <c r="H962" s="25">
        <v>582866</v>
      </c>
      <c r="I962" s="1">
        <v>87017.884086933569</v>
      </c>
      <c r="J962" s="1">
        <v>669883.88408693357</v>
      </c>
    </row>
    <row r="963" spans="1:10" x14ac:dyDescent="0.2">
      <c r="A963">
        <v>2007750</v>
      </c>
      <c r="B963">
        <v>2022</v>
      </c>
      <c r="C963" t="s">
        <v>6</v>
      </c>
      <c r="D963" t="s">
        <v>7</v>
      </c>
      <c r="E963" t="s">
        <v>8</v>
      </c>
      <c r="F963" s="28">
        <v>5096</v>
      </c>
      <c r="G963" t="s">
        <v>157</v>
      </c>
      <c r="H963" s="1">
        <v>569469</v>
      </c>
      <c r="I963" s="1">
        <v>77337.053089803128</v>
      </c>
      <c r="J963" s="1">
        <v>646806.05308980308</v>
      </c>
    </row>
    <row r="964" spans="1:10" x14ac:dyDescent="0.2">
      <c r="A964">
        <v>2007750</v>
      </c>
      <c r="B964">
        <v>2023</v>
      </c>
      <c r="C964" t="s">
        <v>6</v>
      </c>
      <c r="D964" t="s">
        <v>7</v>
      </c>
      <c r="E964" t="s">
        <v>8</v>
      </c>
      <c r="F964" s="28">
        <v>5096</v>
      </c>
      <c r="G964" s="10" t="s">
        <v>157</v>
      </c>
      <c r="H964" s="1">
        <v>601217</v>
      </c>
      <c r="I964" s="1">
        <v>84172.169394282188</v>
      </c>
      <c r="J964" s="1">
        <v>685389.16939428216</v>
      </c>
    </row>
    <row r="965" spans="1:10" x14ac:dyDescent="0.2">
      <c r="A965">
        <v>2004380</v>
      </c>
      <c r="B965">
        <v>2015</v>
      </c>
      <c r="C965" t="s">
        <v>6</v>
      </c>
      <c r="D965" t="s">
        <v>7</v>
      </c>
      <c r="E965" t="s">
        <v>8</v>
      </c>
      <c r="F965" s="29">
        <v>5098</v>
      </c>
      <c r="G965" s="3" t="s">
        <v>158</v>
      </c>
      <c r="H965" s="27">
        <v>166297</v>
      </c>
      <c r="I965" s="1">
        <v>26786.129906566588</v>
      </c>
      <c r="J965" s="1">
        <v>193083.12990656658</v>
      </c>
    </row>
    <row r="966" spans="1:10" x14ac:dyDescent="0.2">
      <c r="A966">
        <v>2004380</v>
      </c>
      <c r="B966">
        <v>2016</v>
      </c>
      <c r="C966" t="s">
        <v>6</v>
      </c>
      <c r="D966" t="s">
        <v>7</v>
      </c>
      <c r="E966" t="s">
        <v>8</v>
      </c>
      <c r="F966" s="29">
        <v>5098</v>
      </c>
      <c r="G966" s="3" t="s">
        <v>158</v>
      </c>
      <c r="H966" s="1">
        <v>189719</v>
      </c>
      <c r="I966" s="26">
        <v>501063.98348427197</v>
      </c>
      <c r="J966" s="26">
        <v>690782.98348427191</v>
      </c>
    </row>
    <row r="967" spans="1:10" x14ac:dyDescent="0.2">
      <c r="A967">
        <v>2004380</v>
      </c>
      <c r="B967">
        <v>2017</v>
      </c>
      <c r="C967" t="s">
        <v>6</v>
      </c>
      <c r="D967" t="s">
        <v>7</v>
      </c>
      <c r="E967" t="s">
        <v>8</v>
      </c>
      <c r="F967" s="29">
        <v>5098</v>
      </c>
      <c r="G967" s="3" t="s">
        <v>158</v>
      </c>
      <c r="H967" s="1">
        <v>198801</v>
      </c>
      <c r="I967" s="1">
        <v>31024.017487421363</v>
      </c>
      <c r="J967" s="1">
        <v>229825.01748742137</v>
      </c>
    </row>
    <row r="968" spans="1:10" x14ac:dyDescent="0.2">
      <c r="A968">
        <v>2004380</v>
      </c>
      <c r="B968">
        <v>2018</v>
      </c>
      <c r="C968" t="s">
        <v>6</v>
      </c>
      <c r="D968" t="s">
        <v>7</v>
      </c>
      <c r="E968" t="s">
        <v>8</v>
      </c>
      <c r="F968" s="28">
        <v>5098</v>
      </c>
      <c r="G968" t="s">
        <v>158</v>
      </c>
      <c r="H968" s="1">
        <v>231485</v>
      </c>
      <c r="I968" s="1">
        <v>35005.010621105888</v>
      </c>
      <c r="J968" s="1">
        <v>266490.0106211059</v>
      </c>
    </row>
    <row r="969" spans="1:10" x14ac:dyDescent="0.2">
      <c r="A969">
        <v>2004380</v>
      </c>
      <c r="B969">
        <v>2019</v>
      </c>
      <c r="C969" t="s">
        <v>6</v>
      </c>
      <c r="D969" t="s">
        <v>7</v>
      </c>
      <c r="E969" t="s">
        <v>8</v>
      </c>
      <c r="F969" s="28">
        <v>5098</v>
      </c>
      <c r="G969" t="s">
        <v>158</v>
      </c>
      <c r="H969" s="1">
        <v>252227</v>
      </c>
      <c r="I969" s="1">
        <v>38413.622719112209</v>
      </c>
      <c r="J969" s="1">
        <v>290640.6227191122</v>
      </c>
    </row>
    <row r="970" spans="1:10" x14ac:dyDescent="0.2">
      <c r="A970">
        <v>2004380</v>
      </c>
      <c r="B970">
        <v>2020</v>
      </c>
      <c r="C970" t="s">
        <v>6</v>
      </c>
      <c r="D970" t="s">
        <v>7</v>
      </c>
      <c r="E970" t="s">
        <v>8</v>
      </c>
      <c r="F970" s="28">
        <v>5098</v>
      </c>
      <c r="G970" t="s">
        <v>158</v>
      </c>
      <c r="H970" s="1">
        <v>297510</v>
      </c>
      <c r="I970" s="1">
        <v>45008.748272910663</v>
      </c>
      <c r="J970" s="1">
        <v>342518.74827291066</v>
      </c>
    </row>
    <row r="971" spans="1:10" x14ac:dyDescent="0.2">
      <c r="A971">
        <v>2004380</v>
      </c>
      <c r="B971">
        <v>2021</v>
      </c>
      <c r="C971" t="s">
        <v>6</v>
      </c>
      <c r="D971" t="s">
        <v>7</v>
      </c>
      <c r="E971" t="s">
        <v>8</v>
      </c>
      <c r="F971" s="28">
        <v>5098</v>
      </c>
      <c r="G971" t="s">
        <v>158</v>
      </c>
      <c r="H971" s="25">
        <v>289806</v>
      </c>
      <c r="I971" s="1">
        <v>43266.042136096235</v>
      </c>
      <c r="J971" s="1">
        <v>333072.04213609622</v>
      </c>
    </row>
    <row r="972" spans="1:10" x14ac:dyDescent="0.2">
      <c r="A972">
        <v>2004380</v>
      </c>
      <c r="B972">
        <v>2022</v>
      </c>
      <c r="C972" t="s">
        <v>6</v>
      </c>
      <c r="D972" t="s">
        <v>7</v>
      </c>
      <c r="E972" t="s">
        <v>8</v>
      </c>
      <c r="F972" s="28">
        <v>5098</v>
      </c>
      <c r="G972" t="s">
        <v>158</v>
      </c>
      <c r="H972" s="1">
        <v>287518</v>
      </c>
      <c r="I972" s="1">
        <v>39046.541304748833</v>
      </c>
      <c r="J972" s="1">
        <v>326564.54130474885</v>
      </c>
    </row>
    <row r="973" spans="1:10" x14ac:dyDescent="0.2">
      <c r="A973">
        <v>2004380</v>
      </c>
      <c r="B973">
        <v>2023</v>
      </c>
      <c r="C973" t="s">
        <v>6</v>
      </c>
      <c r="D973" t="s">
        <v>7</v>
      </c>
      <c r="E973" t="s">
        <v>8</v>
      </c>
      <c r="F973" s="28">
        <v>5098</v>
      </c>
      <c r="G973" s="10" t="s">
        <v>158</v>
      </c>
      <c r="H973" s="1">
        <v>288274</v>
      </c>
      <c r="I973" s="1">
        <v>40359.217986130308</v>
      </c>
      <c r="J973" s="1">
        <v>328633.21798613033</v>
      </c>
    </row>
    <row r="974" spans="1:10" x14ac:dyDescent="0.2">
      <c r="A974">
        <v>2006450</v>
      </c>
      <c r="B974">
        <v>2015</v>
      </c>
      <c r="C974" t="s">
        <v>6</v>
      </c>
      <c r="D974" t="s">
        <v>7</v>
      </c>
      <c r="E974" t="s">
        <v>8</v>
      </c>
      <c r="F974" s="29">
        <v>5099</v>
      </c>
      <c r="G974" s="3" t="s">
        <v>159</v>
      </c>
      <c r="H974" s="27">
        <v>621022</v>
      </c>
      <c r="I974" s="1">
        <v>100030.52350214253</v>
      </c>
      <c r="J974" s="1">
        <v>721052.52350214252</v>
      </c>
    </row>
    <row r="975" spans="1:10" x14ac:dyDescent="0.2">
      <c r="A975">
        <v>2006450</v>
      </c>
      <c r="B975">
        <v>2016</v>
      </c>
      <c r="C975" t="s">
        <v>6</v>
      </c>
      <c r="D975" t="s">
        <v>7</v>
      </c>
      <c r="E975" t="s">
        <v>8</v>
      </c>
      <c r="F975" s="29">
        <v>5099</v>
      </c>
      <c r="G975" s="3" t="s">
        <v>159</v>
      </c>
      <c r="H975" s="1">
        <v>654532</v>
      </c>
      <c r="I975" s="26">
        <v>1728673.873740542</v>
      </c>
      <c r="J975" s="26">
        <v>2383205.8737405417</v>
      </c>
    </row>
    <row r="976" spans="1:10" x14ac:dyDescent="0.2">
      <c r="A976">
        <v>2006450</v>
      </c>
      <c r="B976">
        <v>2017</v>
      </c>
      <c r="C976" t="s">
        <v>6</v>
      </c>
      <c r="D976" t="s">
        <v>7</v>
      </c>
      <c r="E976" t="s">
        <v>8</v>
      </c>
      <c r="F976" s="29">
        <v>5099</v>
      </c>
      <c r="G976" s="3" t="s">
        <v>159</v>
      </c>
      <c r="H976" s="1">
        <v>672470</v>
      </c>
      <c r="I976" s="1">
        <v>104942.7369065862</v>
      </c>
      <c r="J976" s="1">
        <v>777412.73690658621</v>
      </c>
    </row>
    <row r="977" spans="1:10" x14ac:dyDescent="0.2">
      <c r="A977">
        <v>2006450</v>
      </c>
      <c r="B977">
        <v>2018</v>
      </c>
      <c r="C977" t="s">
        <v>6</v>
      </c>
      <c r="D977" t="s">
        <v>7</v>
      </c>
      <c r="E977" t="s">
        <v>8</v>
      </c>
      <c r="F977" s="28">
        <v>5099</v>
      </c>
      <c r="G977" t="s">
        <v>159</v>
      </c>
      <c r="H977" s="1">
        <v>783139</v>
      </c>
      <c r="I977" s="1">
        <v>118425.76846362503</v>
      </c>
      <c r="J977" s="1">
        <v>901564.76846362499</v>
      </c>
    </row>
    <row r="978" spans="1:10" x14ac:dyDescent="0.2">
      <c r="A978">
        <v>2006450</v>
      </c>
      <c r="B978">
        <v>2019</v>
      </c>
      <c r="C978" t="s">
        <v>6</v>
      </c>
      <c r="D978" t="s">
        <v>7</v>
      </c>
      <c r="E978" t="s">
        <v>8</v>
      </c>
      <c r="F978" s="28">
        <v>5099</v>
      </c>
      <c r="G978" t="s">
        <v>159</v>
      </c>
      <c r="H978" s="1">
        <v>881367</v>
      </c>
      <c r="I978" s="1">
        <v>134230.27437616026</v>
      </c>
      <c r="J978" s="1">
        <v>1015597.2743761602</v>
      </c>
    </row>
    <row r="979" spans="1:10" x14ac:dyDescent="0.2">
      <c r="A979">
        <v>2006450</v>
      </c>
      <c r="B979">
        <v>2020</v>
      </c>
      <c r="C979" t="s">
        <v>6</v>
      </c>
      <c r="D979" t="s">
        <v>7</v>
      </c>
      <c r="E979" t="s">
        <v>8</v>
      </c>
      <c r="F979" s="28">
        <v>5099</v>
      </c>
      <c r="G979" t="s">
        <v>159</v>
      </c>
      <c r="H979" s="1">
        <v>968160</v>
      </c>
      <c r="I979" s="1">
        <v>146467.9161302181</v>
      </c>
      <c r="J979" s="1">
        <v>1114627.9161302182</v>
      </c>
    </row>
    <row r="980" spans="1:10" x14ac:dyDescent="0.2">
      <c r="A980">
        <v>2006450</v>
      </c>
      <c r="B980">
        <v>2021</v>
      </c>
      <c r="C980" t="s">
        <v>6</v>
      </c>
      <c r="D980" t="s">
        <v>7</v>
      </c>
      <c r="E980" t="s">
        <v>8</v>
      </c>
      <c r="F980" s="28">
        <v>5099</v>
      </c>
      <c r="G980" t="s">
        <v>159</v>
      </c>
      <c r="H980" s="25">
        <v>960766</v>
      </c>
      <c r="I980" s="1">
        <v>143435.7543975233</v>
      </c>
      <c r="J980" s="1">
        <v>1104201.7543975234</v>
      </c>
    </row>
    <row r="981" spans="1:10" x14ac:dyDescent="0.2">
      <c r="A981">
        <v>2006450</v>
      </c>
      <c r="B981">
        <v>2022</v>
      </c>
      <c r="C981" t="s">
        <v>6</v>
      </c>
      <c r="D981" t="s">
        <v>7</v>
      </c>
      <c r="E981" t="s">
        <v>8</v>
      </c>
      <c r="F981" s="28">
        <v>5099</v>
      </c>
      <c r="G981" t="s">
        <v>159</v>
      </c>
      <c r="H981" s="1">
        <v>927066</v>
      </c>
      <c r="I981" s="1">
        <v>125900.7118205757</v>
      </c>
      <c r="J981" s="1">
        <v>1052966.7118205756</v>
      </c>
    </row>
    <row r="982" spans="1:10" x14ac:dyDescent="0.2">
      <c r="A982">
        <v>2006450</v>
      </c>
      <c r="B982">
        <v>2023</v>
      </c>
      <c r="C982" t="s">
        <v>6</v>
      </c>
      <c r="D982" t="s">
        <v>7</v>
      </c>
      <c r="E982" t="s">
        <v>8</v>
      </c>
      <c r="F982" s="28">
        <v>5099</v>
      </c>
      <c r="G982" s="10" t="s">
        <v>159</v>
      </c>
      <c r="H982" s="1">
        <v>924208</v>
      </c>
      <c r="I982" s="1">
        <v>129391.87070816486</v>
      </c>
      <c r="J982" s="1">
        <v>1053599.8707081648</v>
      </c>
    </row>
    <row r="983" spans="1:10" x14ac:dyDescent="0.2">
      <c r="A983">
        <v>2010260</v>
      </c>
      <c r="B983">
        <v>2015</v>
      </c>
      <c r="C983" t="s">
        <v>6</v>
      </c>
      <c r="D983" t="s">
        <v>7</v>
      </c>
      <c r="E983" t="s">
        <v>8</v>
      </c>
      <c r="F983" s="29">
        <v>5100</v>
      </c>
      <c r="G983" s="3" t="s">
        <v>160</v>
      </c>
      <c r="H983" s="27">
        <v>675914</v>
      </c>
      <c r="I983" s="1">
        <v>108872.19979715238</v>
      </c>
      <c r="J983" s="1">
        <v>784786.19979715243</v>
      </c>
    </row>
    <row r="984" spans="1:10" x14ac:dyDescent="0.2">
      <c r="A984">
        <v>2010260</v>
      </c>
      <c r="B984">
        <v>2016</v>
      </c>
      <c r="C984" t="s">
        <v>6</v>
      </c>
      <c r="D984" t="s">
        <v>7</v>
      </c>
      <c r="E984" t="s">
        <v>8</v>
      </c>
      <c r="F984" s="29">
        <v>5100</v>
      </c>
      <c r="G984" s="3" t="s">
        <v>160</v>
      </c>
      <c r="H984" s="1">
        <v>748687</v>
      </c>
      <c r="I984" s="26">
        <v>1977348.0615823432</v>
      </c>
      <c r="J984" s="26">
        <v>2726035.0615823432</v>
      </c>
    </row>
    <row r="985" spans="1:10" x14ac:dyDescent="0.2">
      <c r="A985">
        <v>2010260</v>
      </c>
      <c r="B985">
        <v>2017</v>
      </c>
      <c r="C985" t="s">
        <v>6</v>
      </c>
      <c r="D985" t="s">
        <v>7</v>
      </c>
      <c r="E985" t="s">
        <v>8</v>
      </c>
      <c r="F985" s="29">
        <v>5100</v>
      </c>
      <c r="G985" s="3" t="s">
        <v>160</v>
      </c>
      <c r="H985" s="1">
        <v>816619</v>
      </c>
      <c r="I985" s="1">
        <v>127438.00150180605</v>
      </c>
      <c r="J985" s="1">
        <v>944057.00150180608</v>
      </c>
    </row>
    <row r="986" spans="1:10" x14ac:dyDescent="0.2">
      <c r="A986">
        <v>2010260</v>
      </c>
      <c r="B986">
        <v>2018</v>
      </c>
      <c r="C986" t="s">
        <v>6</v>
      </c>
      <c r="D986" t="s">
        <v>7</v>
      </c>
      <c r="E986" t="s">
        <v>8</v>
      </c>
      <c r="F986" s="28">
        <v>5100</v>
      </c>
      <c r="G986" t="s">
        <v>160</v>
      </c>
      <c r="H986" s="1">
        <v>904213</v>
      </c>
      <c r="I986" s="1">
        <v>136734.4997245697</v>
      </c>
      <c r="J986" s="1">
        <v>1040947.4997245697</v>
      </c>
    </row>
    <row r="987" spans="1:10" x14ac:dyDescent="0.2">
      <c r="A987">
        <v>2010260</v>
      </c>
      <c r="B987">
        <v>2019</v>
      </c>
      <c r="C987" t="s">
        <v>6</v>
      </c>
      <c r="D987" t="s">
        <v>7</v>
      </c>
      <c r="E987" t="s">
        <v>8</v>
      </c>
      <c r="F987" s="28">
        <v>5100</v>
      </c>
      <c r="G987" t="s">
        <v>160</v>
      </c>
      <c r="H987" s="1">
        <v>1001608</v>
      </c>
      <c r="I987" s="1">
        <v>152542.71677673105</v>
      </c>
      <c r="J987" s="1">
        <v>1154150.716776731</v>
      </c>
    </row>
    <row r="988" spans="1:10" x14ac:dyDescent="0.2">
      <c r="A988">
        <v>2010260</v>
      </c>
      <c r="B988">
        <v>2020</v>
      </c>
      <c r="C988" t="s">
        <v>6</v>
      </c>
      <c r="D988" t="s">
        <v>7</v>
      </c>
      <c r="E988" t="s">
        <v>8</v>
      </c>
      <c r="F988" s="28">
        <v>5100</v>
      </c>
      <c r="G988" t="s">
        <v>160</v>
      </c>
      <c r="H988" s="1">
        <v>1117367</v>
      </c>
      <c r="I988" s="1">
        <v>169040.6710075539</v>
      </c>
      <c r="J988" s="1">
        <v>1286407.6710075538</v>
      </c>
    </row>
    <row r="989" spans="1:10" x14ac:dyDescent="0.2">
      <c r="A989">
        <v>2010260</v>
      </c>
      <c r="B989">
        <v>2021</v>
      </c>
      <c r="C989" t="s">
        <v>6</v>
      </c>
      <c r="D989" t="s">
        <v>7</v>
      </c>
      <c r="E989" t="s">
        <v>8</v>
      </c>
      <c r="F989" s="28">
        <v>5100</v>
      </c>
      <c r="G989" t="s">
        <v>160</v>
      </c>
      <c r="H989" s="25">
        <v>1105023</v>
      </c>
      <c r="I989" s="1">
        <v>164972.33210960252</v>
      </c>
      <c r="J989" s="1">
        <v>1269995.3321096026</v>
      </c>
    </row>
    <row r="990" spans="1:10" x14ac:dyDescent="0.2">
      <c r="A990">
        <v>2010260</v>
      </c>
      <c r="B990">
        <v>2022</v>
      </c>
      <c r="C990" t="s">
        <v>6</v>
      </c>
      <c r="D990" t="s">
        <v>7</v>
      </c>
      <c r="E990" t="s">
        <v>8</v>
      </c>
      <c r="F990" s="28">
        <v>5100</v>
      </c>
      <c r="G990" t="s">
        <v>160</v>
      </c>
      <c r="H990" s="1">
        <v>978809</v>
      </c>
      <c r="I990" s="1">
        <v>132927.69860655649</v>
      </c>
      <c r="J990" s="1">
        <v>1111736.6986065565</v>
      </c>
    </row>
    <row r="991" spans="1:10" x14ac:dyDescent="0.2">
      <c r="A991">
        <v>2010260</v>
      </c>
      <c r="B991">
        <v>2023</v>
      </c>
      <c r="C991" t="s">
        <v>6</v>
      </c>
      <c r="D991" t="s">
        <v>7</v>
      </c>
      <c r="E991" t="s">
        <v>8</v>
      </c>
      <c r="F991" s="28">
        <v>5100</v>
      </c>
      <c r="G991" s="10" t="s">
        <v>160</v>
      </c>
      <c r="H991" s="1">
        <v>1017943</v>
      </c>
      <c r="I991" s="1">
        <v>142515.0496904176</v>
      </c>
      <c r="J991" s="1">
        <v>1160458.0496904175</v>
      </c>
    </row>
    <row r="992" spans="1:10" x14ac:dyDescent="0.2">
      <c r="A992">
        <v>2011700</v>
      </c>
      <c r="B992">
        <v>2015</v>
      </c>
      <c r="C992" t="s">
        <v>6</v>
      </c>
      <c r="D992" t="s">
        <v>7</v>
      </c>
      <c r="E992" t="s">
        <v>8</v>
      </c>
      <c r="F992" s="29">
        <v>5101</v>
      </c>
      <c r="G992" s="3" t="s">
        <v>161</v>
      </c>
      <c r="H992" s="27">
        <v>437151</v>
      </c>
      <c r="I992" s="1">
        <v>70413.678387376145</v>
      </c>
      <c r="J992" s="1">
        <v>507564.67838737613</v>
      </c>
    </row>
    <row r="993" spans="1:10" x14ac:dyDescent="0.2">
      <c r="A993">
        <v>2011700</v>
      </c>
      <c r="B993">
        <v>2016</v>
      </c>
      <c r="C993" t="s">
        <v>6</v>
      </c>
      <c r="D993" t="s">
        <v>7</v>
      </c>
      <c r="E993" t="s">
        <v>8</v>
      </c>
      <c r="F993" s="29">
        <v>5101</v>
      </c>
      <c r="G993" s="3" t="s">
        <v>161</v>
      </c>
      <c r="H993" s="1">
        <v>497683</v>
      </c>
      <c r="I993" s="26">
        <v>1314430.0398618593</v>
      </c>
      <c r="J993" s="26">
        <v>1812113.0398618593</v>
      </c>
    </row>
    <row r="994" spans="1:10" x14ac:dyDescent="0.2">
      <c r="A994">
        <v>2011700</v>
      </c>
      <c r="B994">
        <v>2017</v>
      </c>
      <c r="C994" t="s">
        <v>6</v>
      </c>
      <c r="D994" t="s">
        <v>7</v>
      </c>
      <c r="E994" t="s">
        <v>8</v>
      </c>
      <c r="F994" s="29">
        <v>5101</v>
      </c>
      <c r="G994" s="3" t="s">
        <v>161</v>
      </c>
      <c r="H994" s="1">
        <v>523884</v>
      </c>
      <c r="I994" s="1">
        <v>81755.053432227476</v>
      </c>
      <c r="J994" s="1">
        <v>605639.05343222746</v>
      </c>
    </row>
    <row r="995" spans="1:10" x14ac:dyDescent="0.2">
      <c r="A995">
        <v>2011700</v>
      </c>
      <c r="B995">
        <v>2018</v>
      </c>
      <c r="C995" t="s">
        <v>6</v>
      </c>
      <c r="D995" t="s">
        <v>7</v>
      </c>
      <c r="E995" t="s">
        <v>8</v>
      </c>
      <c r="F995" s="28">
        <v>5101</v>
      </c>
      <c r="G995" t="s">
        <v>161</v>
      </c>
      <c r="H995" s="1">
        <v>577073</v>
      </c>
      <c r="I995" s="1">
        <v>87264.602432785876</v>
      </c>
      <c r="J995" s="1">
        <v>664337.6024327859</v>
      </c>
    </row>
    <row r="996" spans="1:10" x14ac:dyDescent="0.2">
      <c r="A996">
        <v>2011700</v>
      </c>
      <c r="B996">
        <v>2019</v>
      </c>
      <c r="C996" t="s">
        <v>6</v>
      </c>
      <c r="D996" t="s">
        <v>7</v>
      </c>
      <c r="E996" t="s">
        <v>8</v>
      </c>
      <c r="F996" s="28">
        <v>5101</v>
      </c>
      <c r="G996" t="s">
        <v>161</v>
      </c>
      <c r="H996" s="1">
        <v>672137</v>
      </c>
      <c r="I996" s="1">
        <v>102365.00110438582</v>
      </c>
      <c r="J996" s="1">
        <v>774502.00110438582</v>
      </c>
    </row>
    <row r="997" spans="1:10" x14ac:dyDescent="0.2">
      <c r="A997">
        <v>2011700</v>
      </c>
      <c r="B997">
        <v>2020</v>
      </c>
      <c r="C997" t="s">
        <v>6</v>
      </c>
      <c r="D997" t="s">
        <v>7</v>
      </c>
      <c r="E997" t="s">
        <v>8</v>
      </c>
      <c r="F997" s="28">
        <v>5101</v>
      </c>
      <c r="G997" t="s">
        <v>161</v>
      </c>
      <c r="H997" s="1">
        <v>740059</v>
      </c>
      <c r="I997" s="1">
        <v>111959.69627273703</v>
      </c>
      <c r="J997" s="1">
        <v>852018.696272737</v>
      </c>
    </row>
    <row r="998" spans="1:10" x14ac:dyDescent="0.2">
      <c r="A998">
        <v>2011700</v>
      </c>
      <c r="B998">
        <v>2021</v>
      </c>
      <c r="C998" t="s">
        <v>6</v>
      </c>
      <c r="D998" t="s">
        <v>7</v>
      </c>
      <c r="E998" t="s">
        <v>8</v>
      </c>
      <c r="F998" s="28">
        <v>5101</v>
      </c>
      <c r="G998" t="s">
        <v>161</v>
      </c>
      <c r="H998" s="25">
        <v>716374</v>
      </c>
      <c r="I998" s="1">
        <v>106949.71004466369</v>
      </c>
      <c r="J998" s="1">
        <v>823323.71004466363</v>
      </c>
    </row>
    <row r="999" spans="1:10" x14ac:dyDescent="0.2">
      <c r="A999">
        <v>2011700</v>
      </c>
      <c r="B999">
        <v>2022</v>
      </c>
      <c r="C999" t="s">
        <v>6</v>
      </c>
      <c r="D999" t="s">
        <v>7</v>
      </c>
      <c r="E999" t="s">
        <v>8</v>
      </c>
      <c r="F999" s="28">
        <v>5101</v>
      </c>
      <c r="G999" t="s">
        <v>161</v>
      </c>
      <c r="H999" s="1">
        <v>716212</v>
      </c>
      <c r="I999" s="1">
        <v>97265.567515622577</v>
      </c>
      <c r="J999" s="1">
        <v>813477.56751562259</v>
      </c>
    </row>
    <row r="1000" spans="1:10" x14ac:dyDescent="0.2">
      <c r="A1000">
        <v>2011700</v>
      </c>
      <c r="B1000">
        <v>2023</v>
      </c>
      <c r="C1000" t="s">
        <v>6</v>
      </c>
      <c r="D1000" t="s">
        <v>7</v>
      </c>
      <c r="E1000" t="s">
        <v>8</v>
      </c>
      <c r="F1000" s="28">
        <v>5101</v>
      </c>
      <c r="G1000" s="10" t="s">
        <v>161</v>
      </c>
      <c r="H1000" s="1">
        <v>720091</v>
      </c>
      <c r="I1000" s="1">
        <v>100814.88319741134</v>
      </c>
      <c r="J1000" s="1">
        <v>820905.88319741131</v>
      </c>
    </row>
    <row r="1001" spans="1:10" x14ac:dyDescent="0.2">
      <c r="A1001">
        <v>2004890</v>
      </c>
      <c r="B1001">
        <v>2015</v>
      </c>
      <c r="C1001" t="s">
        <v>6</v>
      </c>
      <c r="D1001" t="s">
        <v>7</v>
      </c>
      <c r="E1001" t="s">
        <v>8</v>
      </c>
      <c r="F1001" s="29">
        <v>5102</v>
      </c>
      <c r="G1001" s="3" t="s">
        <v>162</v>
      </c>
      <c r="H1001" s="27">
        <v>1005393</v>
      </c>
      <c r="I1001" s="1">
        <v>161942.71397050278</v>
      </c>
      <c r="J1001" s="1">
        <v>1167335.7139705028</v>
      </c>
    </row>
    <row r="1002" spans="1:10" x14ac:dyDescent="0.2">
      <c r="A1002">
        <v>2004890</v>
      </c>
      <c r="B1002">
        <v>2016</v>
      </c>
      <c r="C1002" t="s">
        <v>6</v>
      </c>
      <c r="D1002" t="s">
        <v>7</v>
      </c>
      <c r="E1002" t="s">
        <v>8</v>
      </c>
      <c r="F1002" s="29">
        <v>5102</v>
      </c>
      <c r="G1002" s="3" t="s">
        <v>162</v>
      </c>
      <c r="H1002" s="1">
        <v>1128894</v>
      </c>
      <c r="I1002" s="26">
        <v>2981512.284552204</v>
      </c>
      <c r="J1002" s="26">
        <v>4110406.284552204</v>
      </c>
    </row>
    <row r="1003" spans="1:10" x14ac:dyDescent="0.2">
      <c r="A1003">
        <v>2004890</v>
      </c>
      <c r="B1003">
        <v>2017</v>
      </c>
      <c r="C1003" t="s">
        <v>6</v>
      </c>
      <c r="D1003" t="s">
        <v>7</v>
      </c>
      <c r="E1003" t="s">
        <v>8</v>
      </c>
      <c r="F1003" s="29">
        <v>5102</v>
      </c>
      <c r="G1003" s="3" t="s">
        <v>162</v>
      </c>
      <c r="H1003" s="1">
        <v>1172942</v>
      </c>
      <c r="I1003" s="1">
        <v>183044.21567160622</v>
      </c>
      <c r="J1003" s="1">
        <v>1355986.2156716061</v>
      </c>
    </row>
    <row r="1004" spans="1:10" x14ac:dyDescent="0.2">
      <c r="A1004">
        <v>2004890</v>
      </c>
      <c r="B1004">
        <v>2018</v>
      </c>
      <c r="C1004" t="s">
        <v>6</v>
      </c>
      <c r="D1004" t="s">
        <v>7</v>
      </c>
      <c r="E1004" t="s">
        <v>8</v>
      </c>
      <c r="F1004" s="28">
        <v>5102</v>
      </c>
      <c r="G1004" t="s">
        <v>162</v>
      </c>
      <c r="H1004" s="1">
        <v>1327107</v>
      </c>
      <c r="I1004" s="1">
        <v>200684.25440241903</v>
      </c>
      <c r="J1004" s="1">
        <v>1527791.2544024191</v>
      </c>
    </row>
    <row r="1005" spans="1:10" x14ac:dyDescent="0.2">
      <c r="A1005">
        <v>2004890</v>
      </c>
      <c r="B1005">
        <v>2019</v>
      </c>
      <c r="C1005" t="s">
        <v>6</v>
      </c>
      <c r="D1005" t="s">
        <v>7</v>
      </c>
      <c r="E1005" t="s">
        <v>8</v>
      </c>
      <c r="F1005" s="28">
        <v>5102</v>
      </c>
      <c r="G1005" t="s">
        <v>162</v>
      </c>
      <c r="H1005" s="1">
        <v>1597206</v>
      </c>
      <c r="I1005" s="1">
        <v>243250.99489230866</v>
      </c>
      <c r="J1005" s="1">
        <v>1840456.9948923087</v>
      </c>
    </row>
    <row r="1006" spans="1:10" x14ac:dyDescent="0.2">
      <c r="A1006">
        <v>2004890</v>
      </c>
      <c r="B1006">
        <v>2020</v>
      </c>
      <c r="C1006" t="s">
        <v>6</v>
      </c>
      <c r="D1006" t="s">
        <v>7</v>
      </c>
      <c r="E1006" t="s">
        <v>8</v>
      </c>
      <c r="F1006" s="28">
        <v>5102</v>
      </c>
      <c r="G1006" t="s">
        <v>162</v>
      </c>
      <c r="H1006" s="1">
        <v>1545690</v>
      </c>
      <c r="I1006" s="1">
        <v>233839.44108754423</v>
      </c>
      <c r="J1006" s="1">
        <v>1779529.4410875442</v>
      </c>
    </row>
    <row r="1007" spans="1:10" x14ac:dyDescent="0.2">
      <c r="A1007">
        <v>2004890</v>
      </c>
      <c r="B1007">
        <v>2021</v>
      </c>
      <c r="C1007" t="s">
        <v>6</v>
      </c>
      <c r="D1007" t="s">
        <v>7</v>
      </c>
      <c r="E1007" t="s">
        <v>8</v>
      </c>
      <c r="F1007" s="28">
        <v>5102</v>
      </c>
      <c r="G1007" t="s">
        <v>162</v>
      </c>
      <c r="H1007" s="25">
        <v>1546809</v>
      </c>
      <c r="I1007" s="1">
        <v>230927.94272890445</v>
      </c>
      <c r="J1007" s="1">
        <v>1777736.9427289045</v>
      </c>
    </row>
    <row r="1008" spans="1:10" x14ac:dyDescent="0.2">
      <c r="A1008">
        <v>2004890</v>
      </c>
      <c r="B1008">
        <v>2022</v>
      </c>
      <c r="C1008" t="s">
        <v>6</v>
      </c>
      <c r="D1008" t="s">
        <v>7</v>
      </c>
      <c r="E1008" t="s">
        <v>8</v>
      </c>
      <c r="F1008" s="28">
        <v>5102</v>
      </c>
      <c r="G1008" t="s">
        <v>162</v>
      </c>
      <c r="H1008" s="1">
        <v>1498707</v>
      </c>
      <c r="I1008" s="1">
        <v>203532.73457389176</v>
      </c>
      <c r="J1008" s="1">
        <v>1702239.7345738919</v>
      </c>
    </row>
    <row r="1009" spans="1:10" x14ac:dyDescent="0.2">
      <c r="A1009">
        <v>2004890</v>
      </c>
      <c r="B1009">
        <v>2023</v>
      </c>
      <c r="C1009" t="s">
        <v>6</v>
      </c>
      <c r="D1009" t="s">
        <v>7</v>
      </c>
      <c r="E1009" t="s">
        <v>8</v>
      </c>
      <c r="F1009" s="28">
        <v>5102</v>
      </c>
      <c r="G1009" s="10" t="s">
        <v>162</v>
      </c>
      <c r="H1009" s="1">
        <v>1561876</v>
      </c>
      <c r="I1009" s="1">
        <v>218667.28859108093</v>
      </c>
      <c r="J1009" s="1">
        <v>1780543.2885910808</v>
      </c>
    </row>
    <row r="1010" spans="1:10" x14ac:dyDescent="0.2">
      <c r="A1010">
        <v>2010890</v>
      </c>
      <c r="B1010">
        <v>2015</v>
      </c>
      <c r="C1010" t="s">
        <v>6</v>
      </c>
      <c r="D1010" t="s">
        <v>7</v>
      </c>
      <c r="E1010" t="s">
        <v>8</v>
      </c>
      <c r="F1010" s="29">
        <v>5103</v>
      </c>
      <c r="G1010" s="3" t="s">
        <v>163</v>
      </c>
      <c r="H1010" s="27">
        <v>609234</v>
      </c>
      <c r="I1010" s="1">
        <v>98131.782699009535</v>
      </c>
      <c r="J1010" s="1">
        <v>707365.78269900952</v>
      </c>
    </row>
    <row r="1011" spans="1:10" x14ac:dyDescent="0.2">
      <c r="A1011">
        <v>2010890</v>
      </c>
      <c r="B1011">
        <v>2016</v>
      </c>
      <c r="C1011" t="s">
        <v>6</v>
      </c>
      <c r="D1011" t="s">
        <v>7</v>
      </c>
      <c r="E1011" t="s">
        <v>8</v>
      </c>
      <c r="F1011" s="29">
        <v>5103</v>
      </c>
      <c r="G1011" s="3" t="s">
        <v>163</v>
      </c>
      <c r="H1011" s="1">
        <v>568687</v>
      </c>
      <c r="I1011" s="26">
        <v>1501957.2268802917</v>
      </c>
      <c r="J1011" s="26">
        <v>2070644.2268802917</v>
      </c>
    </row>
    <row r="1012" spans="1:10" x14ac:dyDescent="0.2">
      <c r="A1012">
        <v>2010890</v>
      </c>
      <c r="B1012">
        <v>2017</v>
      </c>
      <c r="C1012" t="s">
        <v>6</v>
      </c>
      <c r="D1012" t="s">
        <v>7</v>
      </c>
      <c r="E1012" t="s">
        <v>8</v>
      </c>
      <c r="F1012" s="29">
        <v>5103</v>
      </c>
      <c r="G1012" s="3" t="s">
        <v>163</v>
      </c>
      <c r="H1012" s="1">
        <v>615393</v>
      </c>
      <c r="I1012" s="1">
        <v>96035.549084947736</v>
      </c>
      <c r="J1012" s="1">
        <v>711428.54908494768</v>
      </c>
    </row>
    <row r="1013" spans="1:10" x14ac:dyDescent="0.2">
      <c r="A1013">
        <v>2010890</v>
      </c>
      <c r="B1013">
        <v>2018</v>
      </c>
      <c r="C1013" t="s">
        <v>6</v>
      </c>
      <c r="D1013" t="s">
        <v>7</v>
      </c>
      <c r="E1013" t="s">
        <v>8</v>
      </c>
      <c r="F1013" s="28">
        <v>5103</v>
      </c>
      <c r="G1013" t="s">
        <v>163</v>
      </c>
      <c r="H1013" s="1">
        <v>742623</v>
      </c>
      <c r="I1013" s="1">
        <v>112298.965386429</v>
      </c>
      <c r="J1013" s="1">
        <v>854921.96538642899</v>
      </c>
    </row>
    <row r="1014" spans="1:10" x14ac:dyDescent="0.2">
      <c r="A1014">
        <v>2010890</v>
      </c>
      <c r="B1014">
        <v>2019</v>
      </c>
      <c r="C1014" t="s">
        <v>6</v>
      </c>
      <c r="D1014" t="s">
        <v>7</v>
      </c>
      <c r="E1014" t="s">
        <v>8</v>
      </c>
      <c r="F1014" s="28">
        <v>5103</v>
      </c>
      <c r="G1014" t="s">
        <v>163</v>
      </c>
      <c r="H1014" s="1">
        <v>837553</v>
      </c>
      <c r="I1014" s="1">
        <v>127557.49760834718</v>
      </c>
      <c r="J1014" s="1">
        <v>965110.49760834721</v>
      </c>
    </row>
    <row r="1015" spans="1:10" x14ac:dyDescent="0.2">
      <c r="A1015">
        <v>2010890</v>
      </c>
      <c r="B1015">
        <v>2020</v>
      </c>
      <c r="C1015" t="s">
        <v>6</v>
      </c>
      <c r="D1015" t="s">
        <v>7</v>
      </c>
      <c r="E1015" t="s">
        <v>8</v>
      </c>
      <c r="F1015" s="28">
        <v>5103</v>
      </c>
      <c r="G1015" t="s">
        <v>163</v>
      </c>
      <c r="H1015" s="1">
        <v>921835</v>
      </c>
      <c r="I1015" s="1">
        <v>139459.64661409229</v>
      </c>
      <c r="J1015" s="1">
        <v>1061294.6466140924</v>
      </c>
    </row>
    <row r="1016" spans="1:10" x14ac:dyDescent="0.2">
      <c r="A1016">
        <v>2010890</v>
      </c>
      <c r="B1016">
        <v>2021</v>
      </c>
      <c r="C1016" t="s">
        <v>6</v>
      </c>
      <c r="D1016" t="s">
        <v>7</v>
      </c>
      <c r="E1016" t="s">
        <v>8</v>
      </c>
      <c r="F1016" s="28">
        <v>5103</v>
      </c>
      <c r="G1016" t="s">
        <v>163</v>
      </c>
      <c r="H1016" s="25">
        <v>934908</v>
      </c>
      <c r="I1016" s="1">
        <v>139575.33288259548</v>
      </c>
      <c r="J1016" s="1">
        <v>1074483.3328825955</v>
      </c>
    </row>
    <row r="1017" spans="1:10" x14ac:dyDescent="0.2">
      <c r="A1017">
        <v>2010890</v>
      </c>
      <c r="B1017">
        <v>2022</v>
      </c>
      <c r="C1017" t="s">
        <v>6</v>
      </c>
      <c r="D1017" t="s">
        <v>7</v>
      </c>
      <c r="E1017" t="s">
        <v>8</v>
      </c>
      <c r="F1017" s="28">
        <v>5103</v>
      </c>
      <c r="G1017" t="s">
        <v>163</v>
      </c>
      <c r="H1017" s="1">
        <v>949781</v>
      </c>
      <c r="I1017" s="1">
        <v>128985.53498203818</v>
      </c>
      <c r="J1017" s="1">
        <v>1078766.5349820382</v>
      </c>
    </row>
    <row r="1018" spans="1:10" x14ac:dyDescent="0.2">
      <c r="A1018">
        <v>2010890</v>
      </c>
      <c r="B1018">
        <v>2023</v>
      </c>
      <c r="C1018" t="s">
        <v>6</v>
      </c>
      <c r="D1018" t="s">
        <v>7</v>
      </c>
      <c r="E1018" t="s">
        <v>8</v>
      </c>
      <c r="F1018" s="28">
        <v>5103</v>
      </c>
      <c r="G1018" s="10" t="s">
        <v>163</v>
      </c>
      <c r="H1018" s="1">
        <v>935718</v>
      </c>
      <c r="I1018" s="1">
        <v>131003.30496522711</v>
      </c>
      <c r="J1018" s="1">
        <v>1066721.3049652271</v>
      </c>
    </row>
    <row r="1019" spans="1:10" x14ac:dyDescent="0.2">
      <c r="A1019">
        <v>2004440</v>
      </c>
      <c r="B1019">
        <v>2015</v>
      </c>
      <c r="C1019" t="s">
        <v>6</v>
      </c>
      <c r="D1019" t="s">
        <v>7</v>
      </c>
      <c r="E1019" t="s">
        <v>8</v>
      </c>
      <c r="F1019" s="29">
        <v>5104</v>
      </c>
      <c r="G1019" s="3" t="s">
        <v>164</v>
      </c>
      <c r="H1019" s="27">
        <v>223641</v>
      </c>
      <c r="I1019" s="1">
        <v>36022.759751736099</v>
      </c>
      <c r="J1019" s="1">
        <v>259663.7597517361</v>
      </c>
    </row>
    <row r="1020" spans="1:10" x14ac:dyDescent="0.2">
      <c r="A1020">
        <v>2004440</v>
      </c>
      <c r="B1020">
        <v>2016</v>
      </c>
      <c r="C1020" t="s">
        <v>6</v>
      </c>
      <c r="D1020" t="s">
        <v>7</v>
      </c>
      <c r="E1020" t="s">
        <v>8</v>
      </c>
      <c r="F1020" s="29">
        <v>5104</v>
      </c>
      <c r="G1020" s="3" t="s">
        <v>164</v>
      </c>
      <c r="H1020" s="1">
        <v>279258</v>
      </c>
      <c r="I1020" s="26">
        <v>737543.50948436582</v>
      </c>
      <c r="J1020" s="26">
        <v>1016801.5094843658</v>
      </c>
    </row>
    <row r="1021" spans="1:10" x14ac:dyDescent="0.2">
      <c r="A1021">
        <v>2004440</v>
      </c>
      <c r="B1021">
        <v>2017</v>
      </c>
      <c r="C1021" t="s">
        <v>6</v>
      </c>
      <c r="D1021" t="s">
        <v>7</v>
      </c>
      <c r="E1021" t="s">
        <v>8</v>
      </c>
      <c r="F1021" s="29">
        <v>5104</v>
      </c>
      <c r="G1021" s="3" t="s">
        <v>164</v>
      </c>
      <c r="H1021" s="1">
        <v>262901</v>
      </c>
      <c r="I1021" s="1">
        <v>41027.184075837467</v>
      </c>
      <c r="J1021" s="1">
        <v>303928.18407583749</v>
      </c>
    </row>
    <row r="1022" spans="1:10" x14ac:dyDescent="0.2">
      <c r="A1022">
        <v>2004440</v>
      </c>
      <c r="B1022">
        <v>2018</v>
      </c>
      <c r="C1022" t="s">
        <v>6</v>
      </c>
      <c r="D1022" t="s">
        <v>7</v>
      </c>
      <c r="E1022" t="s">
        <v>8</v>
      </c>
      <c r="F1022" s="28">
        <v>5104</v>
      </c>
      <c r="G1022" t="s">
        <v>164</v>
      </c>
      <c r="H1022" s="1">
        <v>278386</v>
      </c>
      <c r="I1022" s="1">
        <v>42097.349231125918</v>
      </c>
      <c r="J1022" s="1">
        <v>320483.3492311259</v>
      </c>
    </row>
    <row r="1023" spans="1:10" x14ac:dyDescent="0.2">
      <c r="A1023">
        <v>2004440</v>
      </c>
      <c r="B1023">
        <v>2019</v>
      </c>
      <c r="C1023" t="s">
        <v>6</v>
      </c>
      <c r="D1023" t="s">
        <v>7</v>
      </c>
      <c r="E1023" t="s">
        <v>8</v>
      </c>
      <c r="F1023" s="28">
        <v>5104</v>
      </c>
      <c r="G1023" t="s">
        <v>164</v>
      </c>
      <c r="H1023" s="1">
        <v>284430</v>
      </c>
      <c r="I1023" s="1">
        <v>43318.06947708645</v>
      </c>
      <c r="J1023" s="1">
        <v>327748.06947708642</v>
      </c>
    </row>
    <row r="1024" spans="1:10" x14ac:dyDescent="0.2">
      <c r="A1024">
        <v>2004440</v>
      </c>
      <c r="B1024">
        <v>2020</v>
      </c>
      <c r="C1024" t="s">
        <v>6</v>
      </c>
      <c r="D1024" t="s">
        <v>7</v>
      </c>
      <c r="E1024" t="s">
        <v>8</v>
      </c>
      <c r="F1024" s="28">
        <v>5104</v>
      </c>
      <c r="G1024" t="s">
        <v>164</v>
      </c>
      <c r="H1024" s="1">
        <v>300857</v>
      </c>
      <c r="I1024" s="1">
        <v>45515.098582041217</v>
      </c>
      <c r="J1024" s="1">
        <v>346372.09858204122</v>
      </c>
    </row>
    <row r="1025" spans="1:10" x14ac:dyDescent="0.2">
      <c r="A1025">
        <v>2004440</v>
      </c>
      <c r="B1025">
        <v>2021</v>
      </c>
      <c r="C1025" t="s">
        <v>6</v>
      </c>
      <c r="D1025" t="s">
        <v>7</v>
      </c>
      <c r="E1025" t="s">
        <v>8</v>
      </c>
      <c r="F1025" s="28">
        <v>5104</v>
      </c>
      <c r="G1025" t="s">
        <v>164</v>
      </c>
      <c r="H1025" s="25">
        <v>306657</v>
      </c>
      <c r="I1025" s="1">
        <v>45781.780512925419</v>
      </c>
      <c r="J1025" s="1">
        <v>352438.78051292541</v>
      </c>
    </row>
    <row r="1026" spans="1:10" x14ac:dyDescent="0.2">
      <c r="A1026">
        <v>2004440</v>
      </c>
      <c r="B1026">
        <v>2022</v>
      </c>
      <c r="C1026" t="s">
        <v>6</v>
      </c>
      <c r="D1026" t="s">
        <v>7</v>
      </c>
      <c r="E1026" t="s">
        <v>8</v>
      </c>
      <c r="F1026" s="28">
        <v>5104</v>
      </c>
      <c r="G1026" t="s">
        <v>164</v>
      </c>
      <c r="H1026" s="1">
        <v>297696</v>
      </c>
      <c r="I1026" s="1">
        <v>40428.770234414922</v>
      </c>
      <c r="J1026" s="1">
        <v>338124.7702344149</v>
      </c>
    </row>
    <row r="1027" spans="1:10" x14ac:dyDescent="0.2">
      <c r="A1027">
        <v>2004440</v>
      </c>
      <c r="B1027">
        <v>2023</v>
      </c>
      <c r="C1027" t="s">
        <v>6</v>
      </c>
      <c r="D1027" t="s">
        <v>7</v>
      </c>
      <c r="E1027" t="s">
        <v>8</v>
      </c>
      <c r="F1027" s="28">
        <v>5104</v>
      </c>
      <c r="G1027" s="10" t="s">
        <v>164</v>
      </c>
      <c r="H1027" s="1">
        <v>299231</v>
      </c>
      <c r="I1027" s="1">
        <v>41893.23059730589</v>
      </c>
      <c r="J1027" s="1">
        <v>341124.23059730587</v>
      </c>
    </row>
    <row r="1028" spans="1:10" x14ac:dyDescent="0.2">
      <c r="A1028">
        <v>2004140</v>
      </c>
      <c r="B1028">
        <v>2015</v>
      </c>
      <c r="C1028" t="s">
        <v>6</v>
      </c>
      <c r="D1028" t="s">
        <v>7</v>
      </c>
      <c r="E1028" t="s">
        <v>8</v>
      </c>
      <c r="F1028" s="29">
        <v>5105</v>
      </c>
      <c r="G1028" s="3" t="s">
        <v>165</v>
      </c>
      <c r="H1028" s="27">
        <v>168872</v>
      </c>
      <c r="I1028" s="1">
        <v>27200.8955638509</v>
      </c>
      <c r="J1028" s="1">
        <v>196072.89556385091</v>
      </c>
    </row>
    <row r="1029" spans="1:10" x14ac:dyDescent="0.2">
      <c r="A1029">
        <v>2004140</v>
      </c>
      <c r="B1029">
        <v>2016</v>
      </c>
      <c r="C1029" t="s">
        <v>6</v>
      </c>
      <c r="D1029" t="s">
        <v>7</v>
      </c>
      <c r="E1029" t="s">
        <v>8</v>
      </c>
      <c r="F1029" s="29">
        <v>5105</v>
      </c>
      <c r="G1029" s="3" t="s">
        <v>165</v>
      </c>
      <c r="H1029" s="1">
        <v>153025</v>
      </c>
      <c r="I1029" s="26">
        <v>404147.08437896869</v>
      </c>
      <c r="J1029" s="26">
        <v>557172.08437896869</v>
      </c>
    </row>
    <row r="1030" spans="1:10" x14ac:dyDescent="0.2">
      <c r="A1030">
        <v>2004140</v>
      </c>
      <c r="B1030">
        <v>2017</v>
      </c>
      <c r="C1030" t="s">
        <v>6</v>
      </c>
      <c r="D1030" t="s">
        <v>7</v>
      </c>
      <c r="E1030" t="s">
        <v>8</v>
      </c>
      <c r="F1030" s="29">
        <v>5105</v>
      </c>
      <c r="G1030" s="3" t="s">
        <v>165</v>
      </c>
      <c r="H1030" s="1">
        <v>151681</v>
      </c>
      <c r="I1030" s="1">
        <v>23670.675683268993</v>
      </c>
      <c r="J1030" s="1">
        <v>175351.67568326899</v>
      </c>
    </row>
    <row r="1031" spans="1:10" x14ac:dyDescent="0.2">
      <c r="A1031">
        <v>2004140</v>
      </c>
      <c r="B1031">
        <v>2018</v>
      </c>
      <c r="C1031" t="s">
        <v>6</v>
      </c>
      <c r="D1031" t="s">
        <v>7</v>
      </c>
      <c r="E1031" t="s">
        <v>8</v>
      </c>
      <c r="F1031" s="28">
        <v>5105</v>
      </c>
      <c r="G1031" t="s">
        <v>165</v>
      </c>
      <c r="H1031" s="1">
        <v>192029</v>
      </c>
      <c r="I1031" s="1">
        <v>29038.500052099887</v>
      </c>
      <c r="J1031" s="1">
        <v>221067.50005209987</v>
      </c>
    </row>
    <row r="1032" spans="1:10" x14ac:dyDescent="0.2">
      <c r="A1032">
        <v>2004140</v>
      </c>
      <c r="B1032">
        <v>2019</v>
      </c>
      <c r="C1032" t="s">
        <v>6</v>
      </c>
      <c r="D1032" t="s">
        <v>7</v>
      </c>
      <c r="E1032" t="s">
        <v>8</v>
      </c>
      <c r="F1032" s="28">
        <v>5105</v>
      </c>
      <c r="G1032" t="s">
        <v>165</v>
      </c>
      <c r="H1032" s="1">
        <v>212857</v>
      </c>
      <c r="I1032" s="1">
        <v>32417.657471730097</v>
      </c>
      <c r="J1032" s="1">
        <v>245274.65747173008</v>
      </c>
    </row>
    <row r="1033" spans="1:10" x14ac:dyDescent="0.2">
      <c r="A1033">
        <v>2004140</v>
      </c>
      <c r="B1033">
        <v>2020</v>
      </c>
      <c r="C1033" t="s">
        <v>6</v>
      </c>
      <c r="D1033" t="s">
        <v>7</v>
      </c>
      <c r="E1033" t="s">
        <v>8</v>
      </c>
      <c r="F1033" s="28">
        <v>5105</v>
      </c>
      <c r="G1033" t="s">
        <v>165</v>
      </c>
      <c r="H1033" s="1">
        <v>239615</v>
      </c>
      <c r="I1033" s="1">
        <v>36250.113332034176</v>
      </c>
      <c r="J1033" s="1">
        <v>275865.11333203421</v>
      </c>
    </row>
    <row r="1034" spans="1:10" x14ac:dyDescent="0.2">
      <c r="A1034">
        <v>2004140</v>
      </c>
      <c r="B1034">
        <v>2021</v>
      </c>
      <c r="C1034" t="s">
        <v>6</v>
      </c>
      <c r="D1034" t="s">
        <v>7</v>
      </c>
      <c r="E1034" t="s">
        <v>8</v>
      </c>
      <c r="F1034" s="28">
        <v>5105</v>
      </c>
      <c r="G1034" t="s">
        <v>165</v>
      </c>
      <c r="H1034" s="25">
        <v>261285</v>
      </c>
      <c r="I1034" s="1">
        <v>39008.053040757972</v>
      </c>
      <c r="J1034" s="1">
        <v>300293.05304075795</v>
      </c>
    </row>
    <row r="1035" spans="1:10" x14ac:dyDescent="0.2">
      <c r="A1035">
        <v>2004140</v>
      </c>
      <c r="B1035">
        <v>2022</v>
      </c>
      <c r="C1035" t="s">
        <v>6</v>
      </c>
      <c r="D1035" t="s">
        <v>7</v>
      </c>
      <c r="E1035" t="s">
        <v>8</v>
      </c>
      <c r="F1035" s="28">
        <v>5105</v>
      </c>
      <c r="G1035" t="s">
        <v>165</v>
      </c>
      <c r="H1035" s="1">
        <v>247240</v>
      </c>
      <c r="I1035" s="1">
        <v>33576.56519656544</v>
      </c>
      <c r="J1035" s="1">
        <v>280816.56519656547</v>
      </c>
    </row>
    <row r="1036" spans="1:10" x14ac:dyDescent="0.2">
      <c r="A1036">
        <v>2004140</v>
      </c>
      <c r="B1036">
        <v>2023</v>
      </c>
      <c r="C1036" t="s">
        <v>6</v>
      </c>
      <c r="D1036" t="s">
        <v>7</v>
      </c>
      <c r="E1036" t="s">
        <v>8</v>
      </c>
      <c r="F1036" s="28">
        <v>5105</v>
      </c>
      <c r="G1036" s="10" t="s">
        <v>165</v>
      </c>
      <c r="H1036" s="1">
        <v>268934</v>
      </c>
      <c r="I1036" s="1">
        <v>37651.560424741627</v>
      </c>
      <c r="J1036" s="1">
        <v>306585.56042474165</v>
      </c>
    </row>
    <row r="1037" spans="1:10" x14ac:dyDescent="0.2">
      <c r="A1037">
        <v>2008190</v>
      </c>
      <c r="B1037">
        <v>2015</v>
      </c>
      <c r="C1037" t="s">
        <v>6</v>
      </c>
      <c r="D1037" t="s">
        <v>7</v>
      </c>
      <c r="E1037" t="s">
        <v>8</v>
      </c>
      <c r="F1037" s="29">
        <v>5106</v>
      </c>
      <c r="G1037" s="3" t="s">
        <v>166</v>
      </c>
      <c r="H1037" s="27">
        <v>464511</v>
      </c>
      <c r="I1037" s="1">
        <v>74820.664167297975</v>
      </c>
      <c r="J1037" s="1">
        <v>539331.664167298</v>
      </c>
    </row>
    <row r="1038" spans="1:10" x14ac:dyDescent="0.2">
      <c r="A1038">
        <v>2008190</v>
      </c>
      <c r="B1038">
        <v>2016</v>
      </c>
      <c r="C1038" t="s">
        <v>6</v>
      </c>
      <c r="D1038" t="s">
        <v>7</v>
      </c>
      <c r="E1038" t="s">
        <v>8</v>
      </c>
      <c r="F1038" s="29">
        <v>5106</v>
      </c>
      <c r="G1038" s="3" t="s">
        <v>166</v>
      </c>
      <c r="H1038" s="1">
        <v>530972</v>
      </c>
      <c r="I1038" s="26">
        <v>1402349.2052201247</v>
      </c>
      <c r="J1038" s="26">
        <v>1933321.2052201247</v>
      </c>
    </row>
    <row r="1039" spans="1:10" x14ac:dyDescent="0.2">
      <c r="A1039">
        <v>2008190</v>
      </c>
      <c r="B1039">
        <v>2017</v>
      </c>
      <c r="C1039" t="s">
        <v>6</v>
      </c>
      <c r="D1039" t="s">
        <v>7</v>
      </c>
      <c r="E1039" t="s">
        <v>8</v>
      </c>
      <c r="F1039" s="29">
        <v>5106</v>
      </c>
      <c r="G1039" s="3" t="s">
        <v>166</v>
      </c>
      <c r="H1039" s="1">
        <v>560736</v>
      </c>
      <c r="I1039" s="1">
        <v>87506.015914541189</v>
      </c>
      <c r="J1039" s="1">
        <v>648242.0159145412</v>
      </c>
    </row>
    <row r="1040" spans="1:10" x14ac:dyDescent="0.2">
      <c r="A1040">
        <v>2008190</v>
      </c>
      <c r="B1040">
        <v>2018</v>
      </c>
      <c r="C1040" t="s">
        <v>6</v>
      </c>
      <c r="D1040" t="s">
        <v>7</v>
      </c>
      <c r="E1040" t="s">
        <v>8</v>
      </c>
      <c r="F1040" s="28">
        <v>5106</v>
      </c>
      <c r="G1040" t="s">
        <v>166</v>
      </c>
      <c r="H1040" s="1">
        <v>631065</v>
      </c>
      <c r="I1040" s="1">
        <v>95429.237434858354</v>
      </c>
      <c r="J1040" s="1">
        <v>726494.23743485834</v>
      </c>
    </row>
    <row r="1041" spans="1:10" x14ac:dyDescent="0.2">
      <c r="A1041">
        <v>2008190</v>
      </c>
      <c r="B1041">
        <v>2019</v>
      </c>
      <c r="C1041" t="s">
        <v>6</v>
      </c>
      <c r="D1041" t="s">
        <v>7</v>
      </c>
      <c r="E1041" t="s">
        <v>8</v>
      </c>
      <c r="F1041" s="28">
        <v>5106</v>
      </c>
      <c r="G1041" t="s">
        <v>166</v>
      </c>
      <c r="H1041" s="1">
        <v>713834</v>
      </c>
      <c r="I1041" s="1">
        <v>108715.36338328071</v>
      </c>
      <c r="J1041" s="1">
        <v>822549.3633832807</v>
      </c>
    </row>
    <row r="1042" spans="1:10" x14ac:dyDescent="0.2">
      <c r="A1042">
        <v>2008190</v>
      </c>
      <c r="B1042">
        <v>2020</v>
      </c>
      <c r="C1042" t="s">
        <v>6</v>
      </c>
      <c r="D1042" t="s">
        <v>7</v>
      </c>
      <c r="E1042" t="s">
        <v>8</v>
      </c>
      <c r="F1042" s="28">
        <v>5106</v>
      </c>
      <c r="G1042" t="s">
        <v>166</v>
      </c>
      <c r="H1042" s="1">
        <v>765511</v>
      </c>
      <c r="I1042" s="1">
        <v>115810.19763753861</v>
      </c>
      <c r="J1042" s="1">
        <v>881321.19763753866</v>
      </c>
    </row>
    <row r="1043" spans="1:10" x14ac:dyDescent="0.2">
      <c r="A1043">
        <v>2008190</v>
      </c>
      <c r="B1043">
        <v>2021</v>
      </c>
      <c r="C1043" t="s">
        <v>6</v>
      </c>
      <c r="D1043" t="s">
        <v>7</v>
      </c>
      <c r="E1043" t="s">
        <v>8</v>
      </c>
      <c r="F1043" s="28">
        <v>5106</v>
      </c>
      <c r="G1043" t="s">
        <v>166</v>
      </c>
      <c r="H1043" s="25">
        <v>738943</v>
      </c>
      <c r="I1043" s="1">
        <v>110319.10648562612</v>
      </c>
      <c r="J1043" s="1">
        <v>849262.10648562608</v>
      </c>
    </row>
    <row r="1044" spans="1:10" x14ac:dyDescent="0.2">
      <c r="A1044">
        <v>2008190</v>
      </c>
      <c r="B1044">
        <v>2022</v>
      </c>
      <c r="C1044" t="s">
        <v>6</v>
      </c>
      <c r="D1044" t="s">
        <v>7</v>
      </c>
      <c r="E1044" t="s">
        <v>8</v>
      </c>
      <c r="F1044" s="28">
        <v>5106</v>
      </c>
      <c r="G1044" t="s">
        <v>166</v>
      </c>
      <c r="H1044" s="1">
        <v>732047</v>
      </c>
      <c r="I1044" s="1">
        <v>99416.048464852545</v>
      </c>
      <c r="J1044" s="1">
        <v>831463.0484648525</v>
      </c>
    </row>
    <row r="1045" spans="1:10" x14ac:dyDescent="0.2">
      <c r="A1045">
        <v>2008190</v>
      </c>
      <c r="B1045">
        <v>2023</v>
      </c>
      <c r="C1045" t="s">
        <v>6</v>
      </c>
      <c r="D1045" t="s">
        <v>7</v>
      </c>
      <c r="E1045" t="s">
        <v>8</v>
      </c>
      <c r="F1045" s="28">
        <v>5106</v>
      </c>
      <c r="G1045" s="10" t="s">
        <v>166</v>
      </c>
      <c r="H1045" s="1">
        <v>735667</v>
      </c>
      <c r="I1045" s="1">
        <v>102995.56955605613</v>
      </c>
      <c r="J1045" s="1">
        <v>838662.56955605617</v>
      </c>
    </row>
    <row r="1046" spans="1:10" x14ac:dyDescent="0.2">
      <c r="B1046">
        <v>2016</v>
      </c>
      <c r="C1046" t="s">
        <v>6</v>
      </c>
      <c r="D1046" t="s">
        <v>7</v>
      </c>
      <c r="E1046" t="s">
        <v>8</v>
      </c>
      <c r="F1046" s="29">
        <v>5107</v>
      </c>
      <c r="G1046" s="3" t="s">
        <v>17</v>
      </c>
      <c r="H1046" s="1">
        <v>17649</v>
      </c>
      <c r="I1046" s="26">
        <v>46607.481925163178</v>
      </c>
      <c r="J1046" s="26">
        <v>64256.481925163178</v>
      </c>
    </row>
    <row r="1047" spans="1:10" x14ac:dyDescent="0.2">
      <c r="B1047">
        <v>2017</v>
      </c>
      <c r="C1047" t="s">
        <v>6</v>
      </c>
      <c r="D1047" t="s">
        <v>7</v>
      </c>
      <c r="E1047" t="s">
        <v>8</v>
      </c>
      <c r="F1047" s="29">
        <v>5107</v>
      </c>
      <c r="G1047" s="3" t="s">
        <v>17</v>
      </c>
      <c r="H1047" s="1">
        <v>20411</v>
      </c>
      <c r="I1047" s="1">
        <v>3185.2516885516543</v>
      </c>
      <c r="J1047" s="1">
        <v>23596.251688551652</v>
      </c>
    </row>
    <row r="1048" spans="1:10" x14ac:dyDescent="0.2">
      <c r="B1048">
        <v>2018</v>
      </c>
      <c r="C1048" t="s">
        <v>6</v>
      </c>
      <c r="D1048" t="s">
        <v>7</v>
      </c>
      <c r="E1048" t="s">
        <v>8</v>
      </c>
      <c r="F1048" s="28">
        <v>5107</v>
      </c>
      <c r="G1048" t="s">
        <v>17</v>
      </c>
      <c r="H1048" s="1">
        <v>16344</v>
      </c>
      <c r="I1048" s="1">
        <v>2471.529013073653</v>
      </c>
      <c r="J1048" s="1">
        <v>18815.529013073654</v>
      </c>
    </row>
    <row r="1049" spans="1:10" x14ac:dyDescent="0.2">
      <c r="B1049">
        <v>2019</v>
      </c>
      <c r="C1049" t="s">
        <v>6</v>
      </c>
      <c r="D1049" t="s">
        <v>7</v>
      </c>
      <c r="E1049" t="s">
        <v>8</v>
      </c>
      <c r="F1049" s="28">
        <v>5107</v>
      </c>
      <c r="G1049" t="s">
        <v>17</v>
      </c>
      <c r="H1049" s="1">
        <v>21365</v>
      </c>
      <c r="I1049" s="1">
        <v>3253.8429644480266</v>
      </c>
      <c r="J1049" s="1">
        <v>24618.842964448027</v>
      </c>
    </row>
    <row r="1050" spans="1:10" x14ac:dyDescent="0.2">
      <c r="B1050">
        <v>2020</v>
      </c>
      <c r="C1050" t="s">
        <v>6</v>
      </c>
      <c r="D1050" t="s">
        <v>7</v>
      </c>
      <c r="E1050" t="s">
        <v>8</v>
      </c>
      <c r="F1050" s="28">
        <v>5107</v>
      </c>
      <c r="G1050" t="s">
        <v>17</v>
      </c>
      <c r="H1050" s="1">
        <v>22648</v>
      </c>
      <c r="I1050" s="1">
        <v>3426.2987156226031</v>
      </c>
      <c r="J1050" s="1">
        <v>26074.298715622605</v>
      </c>
    </row>
    <row r="1051" spans="1:10" x14ac:dyDescent="0.2">
      <c r="B1051">
        <v>2021</v>
      </c>
      <c r="C1051" t="s">
        <v>6</v>
      </c>
      <c r="D1051" t="s">
        <v>7</v>
      </c>
      <c r="E1051" t="s">
        <v>8</v>
      </c>
      <c r="F1051" s="28">
        <v>5107</v>
      </c>
      <c r="G1051" t="s">
        <v>17</v>
      </c>
      <c r="H1051" s="25">
        <v>22863</v>
      </c>
      <c r="I1051" s="1">
        <v>3413.2886184467138</v>
      </c>
      <c r="J1051" s="1">
        <v>26276.288618446713</v>
      </c>
    </row>
    <row r="1052" spans="1:10" x14ac:dyDescent="0.2">
      <c r="B1052">
        <v>2022</v>
      </c>
      <c r="C1052" t="s">
        <v>6</v>
      </c>
      <c r="D1052" t="s">
        <v>7</v>
      </c>
      <c r="E1052" t="s">
        <v>8</v>
      </c>
      <c r="F1052" s="28">
        <v>5107</v>
      </c>
      <c r="G1052" t="s">
        <v>17</v>
      </c>
      <c r="H1052" s="1">
        <v>30052</v>
      </c>
      <c r="I1052" s="1">
        <v>4081.2285119203393</v>
      </c>
      <c r="J1052" s="1">
        <v>34133.228511920337</v>
      </c>
    </row>
    <row r="1053" spans="1:10" x14ac:dyDescent="0.2">
      <c r="B1053">
        <v>2023</v>
      </c>
      <c r="C1053" t="s">
        <v>6</v>
      </c>
      <c r="D1053" t="s">
        <v>7</v>
      </c>
      <c r="E1053" t="s">
        <v>8</v>
      </c>
      <c r="F1053" s="28">
        <v>5107</v>
      </c>
      <c r="G1053" s="10" t="s">
        <v>17</v>
      </c>
      <c r="H1053" s="1">
        <v>9502</v>
      </c>
      <c r="I1053" s="1">
        <v>1330.3082806781401</v>
      </c>
      <c r="J1053" s="1">
        <v>10832.30828067814</v>
      </c>
    </row>
    <row r="1054" spans="1:10" x14ac:dyDescent="0.2">
      <c r="B1054">
        <v>2016</v>
      </c>
      <c r="C1054" t="s">
        <v>6</v>
      </c>
      <c r="D1054" t="s">
        <v>7</v>
      </c>
      <c r="E1054" t="s">
        <v>8</v>
      </c>
      <c r="F1054" s="29">
        <v>5108</v>
      </c>
      <c r="G1054" s="3" t="s">
        <v>18</v>
      </c>
      <c r="H1054" s="1">
        <v>8984</v>
      </c>
      <c r="I1054" s="26">
        <v>23723.499074469892</v>
      </c>
      <c r="J1054" s="26">
        <v>32707.499074469892</v>
      </c>
    </row>
    <row r="1055" spans="1:10" x14ac:dyDescent="0.2">
      <c r="B1055">
        <v>2017</v>
      </c>
      <c r="C1055" t="s">
        <v>6</v>
      </c>
      <c r="D1055" t="s">
        <v>7</v>
      </c>
      <c r="E1055" t="s">
        <v>8</v>
      </c>
      <c r="F1055" s="29">
        <v>5108</v>
      </c>
      <c r="G1055" s="3" t="s">
        <v>18</v>
      </c>
      <c r="H1055" s="1">
        <v>8771</v>
      </c>
      <c r="I1055" s="1">
        <v>1368.7640272542531</v>
      </c>
      <c r="J1055" s="1">
        <v>10139.764027254252</v>
      </c>
    </row>
    <row r="1056" spans="1:10" x14ac:dyDescent="0.2">
      <c r="B1056">
        <v>2018</v>
      </c>
      <c r="C1056" t="s">
        <v>6</v>
      </c>
      <c r="D1056" t="s">
        <v>7</v>
      </c>
      <c r="E1056" t="s">
        <v>8</v>
      </c>
      <c r="F1056" s="28">
        <v>5108</v>
      </c>
      <c r="G1056" t="s">
        <v>18</v>
      </c>
      <c r="H1056" s="1">
        <v>10695</v>
      </c>
      <c r="I1056" s="1">
        <v>1617.2909198986001</v>
      </c>
      <c r="J1056" s="1">
        <v>12312.2909198986</v>
      </c>
    </row>
    <row r="1057" spans="2:10" x14ac:dyDescent="0.2">
      <c r="B1057">
        <v>2019</v>
      </c>
      <c r="C1057" t="s">
        <v>6</v>
      </c>
      <c r="D1057" t="s">
        <v>7</v>
      </c>
      <c r="E1057" t="s">
        <v>8</v>
      </c>
      <c r="F1057" s="28">
        <v>5108</v>
      </c>
      <c r="G1057" t="s">
        <v>18</v>
      </c>
      <c r="H1057" s="1">
        <v>13808</v>
      </c>
      <c r="I1057" s="1">
        <v>2102.9283245072943</v>
      </c>
      <c r="J1057" s="1">
        <v>15910.928324507295</v>
      </c>
    </row>
    <row r="1058" spans="2:10" x14ac:dyDescent="0.2">
      <c r="B1058">
        <v>2020</v>
      </c>
      <c r="C1058" t="s">
        <v>6</v>
      </c>
      <c r="D1058" t="s">
        <v>7</v>
      </c>
      <c r="E1058" t="s">
        <v>8</v>
      </c>
      <c r="F1058" s="28">
        <v>5108</v>
      </c>
      <c r="G1058" t="s">
        <v>18</v>
      </c>
      <c r="H1058" s="1">
        <v>21644</v>
      </c>
      <c r="I1058" s="1">
        <v>3274.4087513659319</v>
      </c>
      <c r="J1058" s="1">
        <v>24918.408751365932</v>
      </c>
    </row>
    <row r="1059" spans="2:10" x14ac:dyDescent="0.2">
      <c r="B1059">
        <v>2021</v>
      </c>
      <c r="C1059" t="s">
        <v>6</v>
      </c>
      <c r="D1059" t="s">
        <v>7</v>
      </c>
      <c r="E1059" t="s">
        <v>8</v>
      </c>
      <c r="F1059" s="28">
        <v>5108</v>
      </c>
      <c r="G1059" t="s">
        <v>18</v>
      </c>
      <c r="H1059" s="25">
        <v>23022</v>
      </c>
      <c r="I1059" s="1">
        <v>3437.0262246371972</v>
      </c>
      <c r="J1059" s="1">
        <v>26459.026224637197</v>
      </c>
    </row>
    <row r="1060" spans="2:10" x14ac:dyDescent="0.2">
      <c r="B1060">
        <v>2022</v>
      </c>
      <c r="C1060" t="s">
        <v>6</v>
      </c>
      <c r="D1060" t="s">
        <v>7</v>
      </c>
      <c r="E1060" t="s">
        <v>8</v>
      </c>
      <c r="F1060" s="28">
        <v>5108</v>
      </c>
      <c r="G1060" t="s">
        <v>18</v>
      </c>
      <c r="H1060" s="1">
        <v>26854</v>
      </c>
      <c r="I1060" s="1">
        <v>3646.9223498971378</v>
      </c>
      <c r="J1060" s="1">
        <v>30500.922349897137</v>
      </c>
    </row>
    <row r="1061" spans="2:10" x14ac:dyDescent="0.2">
      <c r="B1061">
        <v>2023</v>
      </c>
      <c r="C1061" t="s">
        <v>6</v>
      </c>
      <c r="D1061" t="s">
        <v>7</v>
      </c>
      <c r="E1061" t="s">
        <v>8</v>
      </c>
      <c r="F1061" s="28">
        <v>5108</v>
      </c>
      <c r="G1061" s="10" t="s">
        <v>18</v>
      </c>
      <c r="H1061" s="1">
        <v>35307</v>
      </c>
      <c r="I1061" s="1">
        <v>4943.085083761639</v>
      </c>
      <c r="J1061" s="1">
        <v>40250.085083761638</v>
      </c>
    </row>
    <row r="1062" spans="2:10" x14ac:dyDescent="0.2">
      <c r="B1062">
        <v>2016</v>
      </c>
      <c r="C1062" t="s">
        <v>6</v>
      </c>
      <c r="D1062" t="s">
        <v>7</v>
      </c>
      <c r="E1062" t="s">
        <v>8</v>
      </c>
      <c r="F1062" s="29">
        <v>5109</v>
      </c>
      <c r="G1062" s="3" t="s">
        <v>19</v>
      </c>
      <c r="H1062" s="1">
        <v>27995</v>
      </c>
      <c r="I1062" s="26">
        <v>73934.713202046914</v>
      </c>
      <c r="J1062" s="26">
        <v>101929.71320204691</v>
      </c>
    </row>
    <row r="1063" spans="2:10" x14ac:dyDescent="0.2">
      <c r="B1063">
        <v>2017</v>
      </c>
      <c r="C1063" t="s">
        <v>6</v>
      </c>
      <c r="D1063" t="s">
        <v>7</v>
      </c>
      <c r="E1063" t="s">
        <v>8</v>
      </c>
      <c r="F1063" s="29">
        <v>5109</v>
      </c>
      <c r="G1063" s="3" t="s">
        <v>19</v>
      </c>
      <c r="H1063" s="1">
        <v>63850</v>
      </c>
      <c r="I1063" s="1">
        <v>9964.1526781648681</v>
      </c>
      <c r="J1063" s="1">
        <v>73814.152678164872</v>
      </c>
    </row>
    <row r="1064" spans="2:10" x14ac:dyDescent="0.2">
      <c r="B1064">
        <v>2018</v>
      </c>
      <c r="C1064" t="s">
        <v>6</v>
      </c>
      <c r="D1064" t="s">
        <v>7</v>
      </c>
      <c r="E1064" t="s">
        <v>8</v>
      </c>
      <c r="F1064" s="28">
        <v>5109</v>
      </c>
      <c r="G1064" t="s">
        <v>19</v>
      </c>
      <c r="H1064" s="1">
        <v>55557</v>
      </c>
      <c r="I1064" s="1">
        <v>8401.2932806738208</v>
      </c>
      <c r="J1064" s="1">
        <v>63958.293280673824</v>
      </c>
    </row>
    <row r="1065" spans="2:10" x14ac:dyDescent="0.2">
      <c r="B1065">
        <v>2019</v>
      </c>
      <c r="C1065" t="s">
        <v>6</v>
      </c>
      <c r="D1065" t="s">
        <v>7</v>
      </c>
      <c r="E1065" t="s">
        <v>8</v>
      </c>
      <c r="F1065" s="28">
        <v>5109</v>
      </c>
      <c r="G1065" t="s">
        <v>19</v>
      </c>
      <c r="H1065" s="1">
        <v>48060</v>
      </c>
      <c r="I1065" s="1">
        <v>7319.4333195119189</v>
      </c>
      <c r="J1065" s="1">
        <v>55379.433319511918</v>
      </c>
    </row>
    <row r="1066" spans="2:10" x14ac:dyDescent="0.2">
      <c r="B1066">
        <v>2020</v>
      </c>
      <c r="C1066" t="s">
        <v>6</v>
      </c>
      <c r="D1066" t="s">
        <v>7</v>
      </c>
      <c r="E1066" t="s">
        <v>8</v>
      </c>
      <c r="F1066" s="28">
        <v>5109</v>
      </c>
      <c r="G1066" t="s">
        <v>19</v>
      </c>
      <c r="H1066" s="1">
        <v>42479</v>
      </c>
      <c r="I1066" s="1">
        <v>6426.4280793417765</v>
      </c>
      <c r="J1066" s="1">
        <v>48905.428079341778</v>
      </c>
    </row>
    <row r="1067" spans="2:10" x14ac:dyDescent="0.2">
      <c r="B1067">
        <v>2021</v>
      </c>
      <c r="C1067" t="s">
        <v>6</v>
      </c>
      <c r="D1067" t="s">
        <v>7</v>
      </c>
      <c r="E1067" t="s">
        <v>8</v>
      </c>
      <c r="F1067" s="28">
        <v>5109</v>
      </c>
      <c r="G1067" t="s">
        <v>19</v>
      </c>
      <c r="H1067" s="25">
        <v>47740</v>
      </c>
      <c r="I1067" s="1">
        <v>7127.2535819728864</v>
      </c>
      <c r="J1067" s="1">
        <v>54867.253581972887</v>
      </c>
    </row>
    <row r="1068" spans="2:10" x14ac:dyDescent="0.2">
      <c r="B1068">
        <v>2022</v>
      </c>
      <c r="C1068" t="s">
        <v>6</v>
      </c>
      <c r="D1068" t="s">
        <v>7</v>
      </c>
      <c r="E1068" t="s">
        <v>8</v>
      </c>
      <c r="F1068" s="28">
        <v>5109</v>
      </c>
      <c r="G1068" t="s">
        <v>19</v>
      </c>
      <c r="H1068" s="1">
        <v>30835</v>
      </c>
      <c r="I1068" s="1">
        <v>4187.5642607834307</v>
      </c>
      <c r="J1068" s="1">
        <v>35022.564260783431</v>
      </c>
    </row>
    <row r="1069" spans="2:10" x14ac:dyDescent="0.2">
      <c r="B1069">
        <v>2023</v>
      </c>
      <c r="C1069" t="s">
        <v>6</v>
      </c>
      <c r="D1069" t="s">
        <v>7</v>
      </c>
      <c r="E1069" t="s">
        <v>8</v>
      </c>
      <c r="F1069" s="28">
        <v>5109</v>
      </c>
      <c r="G1069" s="10" t="s">
        <v>19</v>
      </c>
      <c r="H1069" s="1">
        <v>53517</v>
      </c>
      <c r="I1069" s="1">
        <v>7492.5392819461185</v>
      </c>
      <c r="J1069" s="1">
        <v>61009.539281946119</v>
      </c>
    </row>
    <row r="1070" spans="2:10" x14ac:dyDescent="0.2">
      <c r="B1070">
        <v>2016</v>
      </c>
      <c r="C1070" t="s">
        <v>6</v>
      </c>
      <c r="D1070" t="s">
        <v>7</v>
      </c>
      <c r="E1070" t="s">
        <v>8</v>
      </c>
      <c r="F1070" s="29">
        <v>5110</v>
      </c>
      <c r="G1070" s="3" t="s">
        <v>20</v>
      </c>
      <c r="H1070" s="1">
        <v>17059</v>
      </c>
      <c r="I1070" s="26">
        <v>45052.081510762051</v>
      </c>
      <c r="J1070" s="26">
        <v>62111.081510762051</v>
      </c>
    </row>
    <row r="1071" spans="2:10" x14ac:dyDescent="0.2">
      <c r="B1071">
        <v>2017</v>
      </c>
      <c r="C1071" t="s">
        <v>6</v>
      </c>
      <c r="D1071" t="s">
        <v>7</v>
      </c>
      <c r="E1071" t="s">
        <v>8</v>
      </c>
      <c r="F1071" s="29">
        <v>5110</v>
      </c>
      <c r="G1071" s="3" t="s">
        <v>20</v>
      </c>
      <c r="H1071" s="1">
        <v>17084</v>
      </c>
      <c r="I1071" s="1">
        <v>2666.0545709282474</v>
      </c>
      <c r="J1071" s="1">
        <v>19750.054570928249</v>
      </c>
    </row>
    <row r="1072" spans="2:10" x14ac:dyDescent="0.2">
      <c r="B1072">
        <v>2018</v>
      </c>
      <c r="C1072" t="s">
        <v>6</v>
      </c>
      <c r="D1072" t="s">
        <v>7</v>
      </c>
      <c r="E1072" t="s">
        <v>8</v>
      </c>
      <c r="F1072" s="28">
        <v>5110</v>
      </c>
      <c r="G1072" t="s">
        <v>20</v>
      </c>
      <c r="H1072" s="1">
        <v>16463</v>
      </c>
      <c r="I1072" s="1">
        <v>2489.5241154081959</v>
      </c>
      <c r="J1072" s="1">
        <v>18952.524115408196</v>
      </c>
    </row>
    <row r="1073" spans="2:10" x14ac:dyDescent="0.2">
      <c r="B1073">
        <v>2019</v>
      </c>
      <c r="C1073" t="s">
        <v>6</v>
      </c>
      <c r="D1073" t="s">
        <v>7</v>
      </c>
      <c r="E1073" t="s">
        <v>8</v>
      </c>
      <c r="F1073" s="28">
        <v>5110</v>
      </c>
      <c r="G1073" t="s">
        <v>20</v>
      </c>
      <c r="H1073" s="1">
        <v>16386</v>
      </c>
      <c r="I1073" s="1">
        <v>2495.5521093117413</v>
      </c>
      <c r="J1073" s="1">
        <v>18881.552109311742</v>
      </c>
    </row>
    <row r="1074" spans="2:10" x14ac:dyDescent="0.2">
      <c r="B1074">
        <v>2020</v>
      </c>
      <c r="C1074" t="s">
        <v>6</v>
      </c>
      <c r="D1074" t="s">
        <v>7</v>
      </c>
      <c r="E1074" t="s">
        <v>8</v>
      </c>
      <c r="F1074" s="28">
        <v>5110</v>
      </c>
      <c r="G1074" t="s">
        <v>20</v>
      </c>
      <c r="H1074" s="1">
        <v>15539</v>
      </c>
      <c r="I1074" s="1">
        <v>2350.8148950043992</v>
      </c>
      <c r="J1074" s="1">
        <v>17889.814895004398</v>
      </c>
    </row>
    <row r="1075" spans="2:10" x14ac:dyDescent="0.2">
      <c r="B1075">
        <v>2021</v>
      </c>
      <c r="C1075" t="s">
        <v>6</v>
      </c>
      <c r="D1075" t="s">
        <v>7</v>
      </c>
      <c r="E1075" t="s">
        <v>8</v>
      </c>
      <c r="F1075" s="28">
        <v>5110</v>
      </c>
      <c r="G1075" t="s">
        <v>20</v>
      </c>
      <c r="H1075" s="25">
        <v>24151</v>
      </c>
      <c r="I1075" s="1">
        <v>3605.5781579017003</v>
      </c>
      <c r="J1075" s="1">
        <v>27756.578157901698</v>
      </c>
    </row>
    <row r="1076" spans="2:10" x14ac:dyDescent="0.2">
      <c r="B1076">
        <v>2022</v>
      </c>
      <c r="C1076" t="s">
        <v>6</v>
      </c>
      <c r="D1076" t="s">
        <v>7</v>
      </c>
      <c r="E1076" t="s">
        <v>8</v>
      </c>
      <c r="F1076" s="28">
        <v>5110</v>
      </c>
      <c r="G1076" t="s">
        <v>20</v>
      </c>
      <c r="H1076" s="1">
        <v>26235</v>
      </c>
      <c r="I1076" s="1">
        <v>3562.8587119070312</v>
      </c>
      <c r="J1076" s="1">
        <v>29797.858711907033</v>
      </c>
    </row>
    <row r="1077" spans="2:10" x14ac:dyDescent="0.2">
      <c r="B1077">
        <v>2023</v>
      </c>
      <c r="C1077" t="s">
        <v>6</v>
      </c>
      <c r="D1077" t="s">
        <v>7</v>
      </c>
      <c r="E1077" t="s">
        <v>8</v>
      </c>
      <c r="F1077" s="28">
        <v>5110</v>
      </c>
      <c r="G1077" s="10" t="s">
        <v>20</v>
      </c>
      <c r="H1077" s="1">
        <v>14708</v>
      </c>
      <c r="I1077" s="1">
        <v>2059.1637752277506</v>
      </c>
      <c r="J1077" s="1">
        <v>16767.163775227749</v>
      </c>
    </row>
    <row r="1078" spans="2:10" x14ac:dyDescent="0.2">
      <c r="B1078">
        <v>2016</v>
      </c>
      <c r="C1078" t="s">
        <v>6</v>
      </c>
      <c r="D1078" t="s">
        <v>7</v>
      </c>
      <c r="E1078" t="s">
        <v>8</v>
      </c>
      <c r="F1078" s="29">
        <v>5111</v>
      </c>
      <c r="G1078" s="3" t="s">
        <v>21</v>
      </c>
      <c r="H1078" s="1">
        <v>9876</v>
      </c>
      <c r="I1078" s="26">
        <v>26080.910945362837</v>
      </c>
      <c r="J1078" s="26">
        <v>35956.910945362833</v>
      </c>
    </row>
    <row r="1079" spans="2:10" x14ac:dyDescent="0.2">
      <c r="B1079">
        <v>2017</v>
      </c>
      <c r="C1079" t="s">
        <v>6</v>
      </c>
      <c r="D1079" t="s">
        <v>7</v>
      </c>
      <c r="E1079" t="s">
        <v>8</v>
      </c>
      <c r="F1079" s="29">
        <v>5111</v>
      </c>
      <c r="G1079" s="3" t="s">
        <v>21</v>
      </c>
      <c r="H1079" s="1"/>
      <c r="I1079" s="1">
        <v>0</v>
      </c>
      <c r="J1079" s="1">
        <v>0</v>
      </c>
    </row>
    <row r="1080" spans="2:10" x14ac:dyDescent="0.2">
      <c r="B1080">
        <v>2018</v>
      </c>
      <c r="C1080" t="s">
        <v>6</v>
      </c>
      <c r="D1080" t="s">
        <v>7</v>
      </c>
      <c r="E1080" t="s">
        <v>8</v>
      </c>
      <c r="F1080" s="28">
        <v>5111</v>
      </c>
      <c r="G1080" t="s">
        <v>21</v>
      </c>
      <c r="H1080" s="1">
        <v>3249</v>
      </c>
      <c r="I1080" s="1">
        <v>491.31165953721847</v>
      </c>
      <c r="J1080" s="1">
        <v>3740.3116595372185</v>
      </c>
    </row>
    <row r="1081" spans="2:10" x14ac:dyDescent="0.2">
      <c r="B1081">
        <v>2019</v>
      </c>
      <c r="C1081" t="s">
        <v>6</v>
      </c>
      <c r="D1081" t="s">
        <v>7</v>
      </c>
      <c r="E1081" t="s">
        <v>8</v>
      </c>
      <c r="F1081" s="28">
        <v>5111</v>
      </c>
      <c r="G1081" t="s">
        <v>21</v>
      </c>
      <c r="H1081" s="1"/>
      <c r="I1081" s="1">
        <v>0</v>
      </c>
      <c r="J1081" s="1">
        <v>0</v>
      </c>
    </row>
    <row r="1082" spans="2:10" x14ac:dyDescent="0.2">
      <c r="B1082">
        <v>2020</v>
      </c>
      <c r="C1082" t="s">
        <v>6</v>
      </c>
      <c r="D1082" t="s">
        <v>7</v>
      </c>
      <c r="E1082" t="s">
        <v>8</v>
      </c>
      <c r="F1082" s="28">
        <v>5111</v>
      </c>
      <c r="G1082" t="s">
        <v>21</v>
      </c>
      <c r="H1082" s="1">
        <v>33455</v>
      </c>
      <c r="I1082" s="1">
        <v>5061.2338189312159</v>
      </c>
      <c r="J1082" s="1">
        <v>38516.233818931214</v>
      </c>
    </row>
    <row r="1083" spans="2:10" x14ac:dyDescent="0.2">
      <c r="B1083">
        <v>2021</v>
      </c>
      <c r="C1083" t="s">
        <v>6</v>
      </c>
      <c r="D1083" t="s">
        <v>7</v>
      </c>
      <c r="E1083" t="s">
        <v>8</v>
      </c>
      <c r="F1083" s="28">
        <v>5111</v>
      </c>
      <c r="G1083" t="s">
        <v>21</v>
      </c>
      <c r="H1083" s="25">
        <v>74199</v>
      </c>
      <c r="I1083" s="1">
        <v>11077.400262438337</v>
      </c>
      <c r="J1083" s="1">
        <v>85276.400262438343</v>
      </c>
    </row>
    <row r="1084" spans="2:10" x14ac:dyDescent="0.2">
      <c r="B1084">
        <v>2022</v>
      </c>
      <c r="C1084" t="s">
        <v>6</v>
      </c>
      <c r="D1084" t="s">
        <v>7</v>
      </c>
      <c r="E1084" t="s">
        <v>8</v>
      </c>
      <c r="F1084" s="28">
        <v>5111</v>
      </c>
      <c r="G1084" t="s">
        <v>21</v>
      </c>
      <c r="H1084" s="1">
        <v>10748</v>
      </c>
      <c r="I1084" s="1">
        <v>1459.6380955051179</v>
      </c>
      <c r="J1084" s="1">
        <v>12207.638095505117</v>
      </c>
    </row>
    <row r="1085" spans="2:10" x14ac:dyDescent="0.2">
      <c r="B1085">
        <v>2023</v>
      </c>
      <c r="C1085" t="s">
        <v>6</v>
      </c>
      <c r="D1085" t="s">
        <v>7</v>
      </c>
      <c r="E1085" t="s">
        <v>8</v>
      </c>
      <c r="F1085" s="28">
        <v>5111</v>
      </c>
      <c r="G1085" s="10" t="s">
        <v>21</v>
      </c>
      <c r="H1085" s="1"/>
      <c r="I1085" s="1">
        <v>0</v>
      </c>
      <c r="J1085" s="1">
        <v>0</v>
      </c>
    </row>
    <row r="1086" spans="2:10" x14ac:dyDescent="0.2">
      <c r="B1086">
        <v>2016</v>
      </c>
      <c r="C1086" t="s">
        <v>6</v>
      </c>
      <c r="D1086" t="s">
        <v>7</v>
      </c>
      <c r="E1086" t="s">
        <v>8</v>
      </c>
      <c r="F1086" s="29">
        <v>5112</v>
      </c>
      <c r="G1086" s="3" t="s">
        <v>22</v>
      </c>
      <c r="H1086" s="1">
        <v>3251</v>
      </c>
      <c r="I1086" s="26">
        <v>8590.4506115945278</v>
      </c>
      <c r="J1086" s="26">
        <v>11841.450611594528</v>
      </c>
    </row>
    <row r="1087" spans="2:10" x14ac:dyDescent="0.2">
      <c r="B1087">
        <v>2017</v>
      </c>
      <c r="C1087" t="s">
        <v>6</v>
      </c>
      <c r="D1087" t="s">
        <v>7</v>
      </c>
      <c r="E1087" t="s">
        <v>8</v>
      </c>
      <c r="F1087" s="29">
        <v>5112</v>
      </c>
      <c r="G1087" s="3" t="s">
        <v>22</v>
      </c>
      <c r="H1087" s="1">
        <v>4174</v>
      </c>
      <c r="I1087" s="1">
        <v>651.37624555458353</v>
      </c>
      <c r="J1087" s="1">
        <v>4825.3762455545839</v>
      </c>
    </row>
    <row r="1088" spans="2:10" x14ac:dyDescent="0.2">
      <c r="B1088">
        <v>2018</v>
      </c>
      <c r="C1088" t="s">
        <v>6</v>
      </c>
      <c r="D1088" t="s">
        <v>7</v>
      </c>
      <c r="E1088" t="s">
        <v>8</v>
      </c>
      <c r="F1088" s="28">
        <v>5112</v>
      </c>
      <c r="G1088" t="s">
        <v>22</v>
      </c>
      <c r="H1088" s="1">
        <v>5138</v>
      </c>
      <c r="I1088" s="1">
        <v>776.96500667966416</v>
      </c>
      <c r="J1088" s="1">
        <v>5914.9650066796639</v>
      </c>
    </row>
    <row r="1089" spans="1:10" x14ac:dyDescent="0.2">
      <c r="B1089">
        <v>2019</v>
      </c>
      <c r="C1089" t="s">
        <v>6</v>
      </c>
      <c r="D1089" t="s">
        <v>7</v>
      </c>
      <c r="E1089" t="s">
        <v>8</v>
      </c>
      <c r="F1089" s="28">
        <v>5112</v>
      </c>
      <c r="G1089" t="s">
        <v>22</v>
      </c>
      <c r="H1089" s="1">
        <v>6760</v>
      </c>
      <c r="I1089" s="1">
        <v>1029.5332759030498</v>
      </c>
      <c r="J1089" s="1">
        <v>7789.5332759030498</v>
      </c>
    </row>
    <row r="1090" spans="1:10" x14ac:dyDescent="0.2">
      <c r="B1090">
        <v>2020</v>
      </c>
      <c r="C1090" t="s">
        <v>6</v>
      </c>
      <c r="D1090" t="s">
        <v>7</v>
      </c>
      <c r="E1090" t="s">
        <v>8</v>
      </c>
      <c r="F1090" s="28">
        <v>5112</v>
      </c>
      <c r="G1090" t="s">
        <v>22</v>
      </c>
      <c r="H1090" s="1">
        <v>5318</v>
      </c>
      <c r="I1090" s="1">
        <v>804.53269912049643</v>
      </c>
      <c r="J1090" s="1">
        <v>6122.5326991204965</v>
      </c>
    </row>
    <row r="1091" spans="1:10" x14ac:dyDescent="0.2">
      <c r="B1091">
        <v>2021</v>
      </c>
      <c r="C1091" t="s">
        <v>6</v>
      </c>
      <c r="D1091" t="s">
        <v>7</v>
      </c>
      <c r="E1091" t="s">
        <v>8</v>
      </c>
      <c r="F1091" s="28">
        <v>5112</v>
      </c>
      <c r="G1091" t="s">
        <v>22</v>
      </c>
      <c r="H1091" s="25">
        <v>217</v>
      </c>
      <c r="I1091" s="1">
        <v>32.396607190785851</v>
      </c>
      <c r="J1091" s="1">
        <v>249.39660719078586</v>
      </c>
    </row>
    <row r="1092" spans="1:10" x14ac:dyDescent="0.2">
      <c r="B1092">
        <v>2022</v>
      </c>
      <c r="C1092" t="s">
        <v>6</v>
      </c>
      <c r="D1092" t="s">
        <v>7</v>
      </c>
      <c r="E1092" t="s">
        <v>8</v>
      </c>
      <c r="F1092" s="28">
        <v>5112</v>
      </c>
      <c r="G1092" t="s">
        <v>22</v>
      </c>
      <c r="H1092" s="1">
        <v>1516</v>
      </c>
      <c r="I1092" s="1">
        <v>205.88122002100474</v>
      </c>
      <c r="J1092" s="1">
        <v>1721.8812200210048</v>
      </c>
    </row>
    <row r="1093" spans="1:10" x14ac:dyDescent="0.2">
      <c r="B1093">
        <v>2023</v>
      </c>
      <c r="C1093" t="s">
        <v>6</v>
      </c>
      <c r="D1093" t="s">
        <v>7</v>
      </c>
      <c r="E1093" t="s">
        <v>8</v>
      </c>
      <c r="F1093" s="28">
        <v>5112</v>
      </c>
      <c r="G1093" s="10" t="s">
        <v>22</v>
      </c>
      <c r="H1093" s="1">
        <v>4590</v>
      </c>
      <c r="I1093" s="1">
        <v>642.61366115687883</v>
      </c>
      <c r="J1093" s="1">
        <v>5232.6136611568791</v>
      </c>
    </row>
    <row r="1094" spans="1:10" x14ac:dyDescent="0.2">
      <c r="B1094">
        <v>2016</v>
      </c>
      <c r="C1094" t="s">
        <v>6</v>
      </c>
      <c r="D1094" t="s">
        <v>7</v>
      </c>
      <c r="E1094" t="s">
        <v>8</v>
      </c>
      <c r="F1094" s="29">
        <v>5113</v>
      </c>
      <c r="G1094" s="3" t="s">
        <v>23</v>
      </c>
      <c r="H1094" s="1">
        <v>7911</v>
      </c>
      <c r="I1094" s="26">
        <v>20896.509023858551</v>
      </c>
      <c r="J1094" s="26">
        <v>28807.509023858551</v>
      </c>
    </row>
    <row r="1095" spans="1:10" x14ac:dyDescent="0.2">
      <c r="B1095">
        <v>2017</v>
      </c>
      <c r="C1095" t="s">
        <v>6</v>
      </c>
      <c r="D1095" t="s">
        <v>7</v>
      </c>
      <c r="E1095" t="s">
        <v>8</v>
      </c>
      <c r="F1095" s="29">
        <v>5113</v>
      </c>
      <c r="G1095" s="3" t="s">
        <v>23</v>
      </c>
      <c r="H1095" s="1">
        <v>9912</v>
      </c>
      <c r="I1095" s="1">
        <v>1546.8235136408796</v>
      </c>
      <c r="J1095" s="1">
        <v>11458.82351364088</v>
      </c>
    </row>
    <row r="1096" spans="1:10" x14ac:dyDescent="0.2">
      <c r="B1096">
        <v>2018</v>
      </c>
      <c r="C1096" t="s">
        <v>6</v>
      </c>
      <c r="D1096" t="s">
        <v>7</v>
      </c>
      <c r="E1096" t="s">
        <v>8</v>
      </c>
      <c r="F1096" s="28">
        <v>5113</v>
      </c>
      <c r="G1096" t="s">
        <v>23</v>
      </c>
      <c r="H1096" s="1">
        <v>10008</v>
      </c>
      <c r="I1096" s="1">
        <v>1513.4032282697699</v>
      </c>
      <c r="J1096" s="1">
        <v>11521.40322826977</v>
      </c>
    </row>
    <row r="1097" spans="1:10" x14ac:dyDescent="0.2">
      <c r="B1097">
        <v>2019</v>
      </c>
      <c r="C1097" t="s">
        <v>6</v>
      </c>
      <c r="D1097" t="s">
        <v>7</v>
      </c>
      <c r="E1097" t="s">
        <v>8</v>
      </c>
      <c r="F1097" s="28">
        <v>5113</v>
      </c>
      <c r="G1097" t="s">
        <v>23</v>
      </c>
      <c r="H1097" s="1">
        <v>10423</v>
      </c>
      <c r="I1097" s="1">
        <v>1587.4001974463738</v>
      </c>
      <c r="J1097" s="1">
        <v>12010.400197446374</v>
      </c>
    </row>
    <row r="1098" spans="1:10" x14ac:dyDescent="0.2">
      <c r="B1098">
        <v>2020</v>
      </c>
      <c r="C1098" t="s">
        <v>6</v>
      </c>
      <c r="D1098" t="s">
        <v>7</v>
      </c>
      <c r="E1098" t="s">
        <v>8</v>
      </c>
      <c r="F1098" s="28">
        <v>5113</v>
      </c>
      <c r="G1098" t="s">
        <v>23</v>
      </c>
      <c r="H1098" s="1">
        <v>12882</v>
      </c>
      <c r="I1098" s="1">
        <v>1948.8511150940647</v>
      </c>
      <c r="J1098" s="1">
        <v>14830.851115094065</v>
      </c>
    </row>
    <row r="1099" spans="1:10" x14ac:dyDescent="0.2">
      <c r="B1099">
        <v>2021</v>
      </c>
      <c r="C1099" t="s">
        <v>6</v>
      </c>
      <c r="D1099" t="s">
        <v>7</v>
      </c>
      <c r="E1099" t="s">
        <v>8</v>
      </c>
      <c r="F1099" s="28">
        <v>5113</v>
      </c>
      <c r="G1099" t="s">
        <v>23</v>
      </c>
      <c r="H1099" s="25">
        <v>18873</v>
      </c>
      <c r="I1099" s="1">
        <v>2817.6090668741995</v>
      </c>
      <c r="J1099" s="1">
        <v>21690.6090668742</v>
      </c>
    </row>
    <row r="1100" spans="1:10" x14ac:dyDescent="0.2">
      <c r="B1100">
        <v>2022</v>
      </c>
      <c r="C1100" t="s">
        <v>6</v>
      </c>
      <c r="D1100" t="s">
        <v>7</v>
      </c>
      <c r="E1100" t="s">
        <v>8</v>
      </c>
      <c r="F1100" s="28">
        <v>5113</v>
      </c>
      <c r="G1100" t="s">
        <v>23</v>
      </c>
      <c r="H1100" s="1">
        <v>26475</v>
      </c>
      <c r="I1100" s="1">
        <v>3595.4520448918865</v>
      </c>
      <c r="J1100" s="1">
        <v>30070.452044891885</v>
      </c>
    </row>
    <row r="1101" spans="1:10" x14ac:dyDescent="0.2">
      <c r="B1101">
        <v>2023</v>
      </c>
      <c r="C1101" t="s">
        <v>6</v>
      </c>
      <c r="D1101" t="s">
        <v>7</v>
      </c>
      <c r="E1101" t="s">
        <v>8</v>
      </c>
      <c r="F1101" s="28">
        <v>5113</v>
      </c>
      <c r="G1101" s="10" t="s">
        <v>23</v>
      </c>
      <c r="H1101" s="1">
        <v>23029</v>
      </c>
      <c r="I1101" s="1">
        <v>3224.1285409110596</v>
      </c>
      <c r="J1101" s="1">
        <v>26253.128540911061</v>
      </c>
    </row>
    <row r="1102" spans="1:10" x14ac:dyDescent="0.2">
      <c r="A1102">
        <v>2007560</v>
      </c>
      <c r="B1102">
        <v>2015</v>
      </c>
      <c r="C1102" t="s">
        <v>6</v>
      </c>
      <c r="D1102" t="s">
        <v>7</v>
      </c>
      <c r="E1102" t="s">
        <v>8</v>
      </c>
      <c r="F1102" s="29">
        <v>5116</v>
      </c>
      <c r="G1102" s="3" t="s">
        <v>167</v>
      </c>
      <c r="H1102" s="27">
        <v>602453</v>
      </c>
      <c r="I1102" s="1">
        <v>97039.539622487238</v>
      </c>
      <c r="J1102" s="1">
        <v>699492.53962248727</v>
      </c>
    </row>
    <row r="1103" spans="1:10" x14ac:dyDescent="0.2">
      <c r="A1103">
        <v>2007560</v>
      </c>
      <c r="B1103">
        <v>2016</v>
      </c>
      <c r="C1103" t="s">
        <v>6</v>
      </c>
      <c r="D1103" t="s">
        <v>7</v>
      </c>
      <c r="E1103" t="s">
        <v>8</v>
      </c>
      <c r="F1103" s="29">
        <v>5116</v>
      </c>
      <c r="G1103" s="3" t="s">
        <v>167</v>
      </c>
      <c r="H1103" s="1">
        <v>694138</v>
      </c>
      <c r="I1103" s="26">
        <v>1833280.5299206858</v>
      </c>
      <c r="J1103" s="26">
        <v>2527418.529920686</v>
      </c>
    </row>
    <row r="1104" spans="1:10" x14ac:dyDescent="0.2">
      <c r="A1104">
        <v>2007560</v>
      </c>
      <c r="B1104">
        <v>2017</v>
      </c>
      <c r="C1104" t="s">
        <v>6</v>
      </c>
      <c r="D1104" t="s">
        <v>7</v>
      </c>
      <c r="E1104" t="s">
        <v>8</v>
      </c>
      <c r="F1104" s="29">
        <v>5116</v>
      </c>
      <c r="G1104" s="3" t="s">
        <v>167</v>
      </c>
      <c r="H1104" s="1">
        <v>677974</v>
      </c>
      <c r="I1104" s="1">
        <v>105801.66715467734</v>
      </c>
      <c r="J1104" s="1">
        <v>783775.66715467733</v>
      </c>
    </row>
    <row r="1105" spans="1:10" x14ac:dyDescent="0.2">
      <c r="A1105">
        <v>2007560</v>
      </c>
      <c r="B1105">
        <v>2018</v>
      </c>
      <c r="C1105" t="s">
        <v>6</v>
      </c>
      <c r="D1105" t="s">
        <v>7</v>
      </c>
      <c r="E1105" t="s">
        <v>8</v>
      </c>
      <c r="F1105" s="28">
        <v>5116</v>
      </c>
      <c r="G1105" t="s">
        <v>167</v>
      </c>
      <c r="H1105" s="1">
        <v>866968</v>
      </c>
      <c r="I1105" s="1">
        <v>131102.33513255254</v>
      </c>
      <c r="J1105" s="1">
        <v>998070.33513255254</v>
      </c>
    </row>
    <row r="1106" spans="1:10" x14ac:dyDescent="0.2">
      <c r="A1106">
        <v>2007560</v>
      </c>
      <c r="B1106">
        <v>2019</v>
      </c>
      <c r="C1106" t="s">
        <v>6</v>
      </c>
      <c r="D1106" t="s">
        <v>7</v>
      </c>
      <c r="E1106" t="s">
        <v>8</v>
      </c>
      <c r="F1106" s="28">
        <v>5116</v>
      </c>
      <c r="G1106" t="s">
        <v>167</v>
      </c>
      <c r="H1106" s="1">
        <v>887682</v>
      </c>
      <c r="I1106" s="1">
        <v>135192.03512132706</v>
      </c>
      <c r="J1106" s="1">
        <v>1022874.035121327</v>
      </c>
    </row>
    <row r="1107" spans="1:10" x14ac:dyDescent="0.2">
      <c r="A1107">
        <v>2007560</v>
      </c>
      <c r="B1107">
        <v>2020</v>
      </c>
      <c r="C1107" t="s">
        <v>6</v>
      </c>
      <c r="D1107" t="s">
        <v>7</v>
      </c>
      <c r="E1107" t="s">
        <v>8</v>
      </c>
      <c r="F1107" s="28">
        <v>5116</v>
      </c>
      <c r="G1107" t="s">
        <v>167</v>
      </c>
      <c r="H1107" s="1">
        <v>877855</v>
      </c>
      <c r="I1107" s="1">
        <v>132806.1400124903</v>
      </c>
      <c r="J1107" s="1">
        <v>1010661.1400124903</v>
      </c>
    </row>
    <row r="1108" spans="1:10" x14ac:dyDescent="0.2">
      <c r="A1108">
        <v>2007560</v>
      </c>
      <c r="B1108">
        <v>2021</v>
      </c>
      <c r="C1108" t="s">
        <v>6</v>
      </c>
      <c r="D1108" t="s">
        <v>7</v>
      </c>
      <c r="E1108" t="s">
        <v>8</v>
      </c>
      <c r="F1108" s="28">
        <v>5116</v>
      </c>
      <c r="G1108" t="s">
        <v>167</v>
      </c>
      <c r="H1108" s="25">
        <v>945734</v>
      </c>
      <c r="I1108" s="1">
        <v>141191.58020723809</v>
      </c>
      <c r="J1108" s="1">
        <v>1086925.580207238</v>
      </c>
    </row>
    <row r="1109" spans="1:10" x14ac:dyDescent="0.2">
      <c r="A1109">
        <v>2007560</v>
      </c>
      <c r="B1109">
        <v>2022</v>
      </c>
      <c r="C1109" t="s">
        <v>6</v>
      </c>
      <c r="D1109" t="s">
        <v>7</v>
      </c>
      <c r="E1109" t="s">
        <v>8</v>
      </c>
      <c r="F1109" s="28">
        <v>5116</v>
      </c>
      <c r="G1109" t="s">
        <v>167</v>
      </c>
      <c r="H1109" s="1">
        <v>889371</v>
      </c>
      <c r="I1109" s="1">
        <v>120781.52145864182</v>
      </c>
      <c r="J1109" s="1">
        <v>1010152.5214586419</v>
      </c>
    </row>
    <row r="1110" spans="1:10" x14ac:dyDescent="0.2">
      <c r="A1110">
        <v>2007560</v>
      </c>
      <c r="B1110">
        <v>2023</v>
      </c>
      <c r="C1110" t="s">
        <v>6</v>
      </c>
      <c r="D1110" t="s">
        <v>7</v>
      </c>
      <c r="E1110" t="s">
        <v>8</v>
      </c>
      <c r="F1110" s="28">
        <v>5116</v>
      </c>
      <c r="G1110" s="10" t="s">
        <v>167</v>
      </c>
      <c r="H1110" s="1">
        <v>999085</v>
      </c>
      <c r="I1110" s="1">
        <v>139874.87356359919</v>
      </c>
      <c r="J1110" s="1">
        <v>1138959.8735635993</v>
      </c>
    </row>
    <row r="1111" spans="1:10" x14ac:dyDescent="0.2">
      <c r="A1111">
        <v>2003270</v>
      </c>
      <c r="B1111">
        <v>2015</v>
      </c>
      <c r="C1111" t="s">
        <v>6</v>
      </c>
      <c r="D1111" t="s">
        <v>7</v>
      </c>
      <c r="E1111" t="s">
        <v>8</v>
      </c>
      <c r="F1111" s="29">
        <v>5117</v>
      </c>
      <c r="G1111" s="3" t="s">
        <v>168</v>
      </c>
      <c r="H1111" s="27">
        <v>145072</v>
      </c>
      <c r="I1111" s="1">
        <v>23367.333372252226</v>
      </c>
      <c r="J1111" s="1">
        <v>168439.33337225224</v>
      </c>
    </row>
    <row r="1112" spans="1:10" x14ac:dyDescent="0.2">
      <c r="A1112">
        <v>2003270</v>
      </c>
      <c r="B1112">
        <v>2016</v>
      </c>
      <c r="C1112" t="s">
        <v>6</v>
      </c>
      <c r="D1112" t="s">
        <v>7</v>
      </c>
      <c r="E1112" t="s">
        <v>8</v>
      </c>
      <c r="F1112" s="29">
        <v>5117</v>
      </c>
      <c r="G1112" s="3" t="s">
        <v>168</v>
      </c>
      <c r="H1112" s="1">
        <v>157042</v>
      </c>
      <c r="I1112" s="26">
        <v>414761.7152051843</v>
      </c>
      <c r="J1112" s="26">
        <v>571803.7152051843</v>
      </c>
    </row>
    <row r="1113" spans="1:10" x14ac:dyDescent="0.2">
      <c r="A1113">
        <v>2003270</v>
      </c>
      <c r="B1113">
        <v>2017</v>
      </c>
      <c r="C1113" t="s">
        <v>6</v>
      </c>
      <c r="D1113" t="s">
        <v>7</v>
      </c>
      <c r="E1113" t="s">
        <v>8</v>
      </c>
      <c r="F1113" s="29">
        <v>5117</v>
      </c>
      <c r="G1113" s="3" t="s">
        <v>168</v>
      </c>
      <c r="H1113" s="1">
        <v>142084</v>
      </c>
      <c r="I1113" s="1">
        <v>22173.009696544668</v>
      </c>
      <c r="J1113" s="1">
        <v>164257.00969654467</v>
      </c>
    </row>
    <row r="1114" spans="1:10" x14ac:dyDescent="0.2">
      <c r="A1114">
        <v>2003270</v>
      </c>
      <c r="B1114">
        <v>2018</v>
      </c>
      <c r="C1114" t="s">
        <v>6</v>
      </c>
      <c r="D1114" t="s">
        <v>7</v>
      </c>
      <c r="E1114" t="s">
        <v>8</v>
      </c>
      <c r="F1114" s="28">
        <v>5117</v>
      </c>
      <c r="G1114" t="s">
        <v>168</v>
      </c>
      <c r="H1114" s="1">
        <v>157989</v>
      </c>
      <c r="I1114" s="1">
        <v>23890.993468336601</v>
      </c>
      <c r="J1114" s="1">
        <v>181879.99346833659</v>
      </c>
    </row>
    <row r="1115" spans="1:10" x14ac:dyDescent="0.2">
      <c r="A1115">
        <v>2003270</v>
      </c>
      <c r="B1115">
        <v>2019</v>
      </c>
      <c r="C1115" t="s">
        <v>6</v>
      </c>
      <c r="D1115" t="s">
        <v>7</v>
      </c>
      <c r="E1115" t="s">
        <v>8</v>
      </c>
      <c r="F1115" s="28">
        <v>5117</v>
      </c>
      <c r="G1115" t="s">
        <v>168</v>
      </c>
      <c r="H1115" s="1">
        <v>176311</v>
      </c>
      <c r="I1115" s="1">
        <v>26851.781273334705</v>
      </c>
      <c r="J1115" s="1">
        <v>203162.78127333469</v>
      </c>
    </row>
    <row r="1116" spans="1:10" x14ac:dyDescent="0.2">
      <c r="A1116">
        <v>2003270</v>
      </c>
      <c r="B1116">
        <v>2020</v>
      </c>
      <c r="C1116" t="s">
        <v>6</v>
      </c>
      <c r="D1116" t="s">
        <v>7</v>
      </c>
      <c r="E1116" t="s">
        <v>8</v>
      </c>
      <c r="F1116" s="28">
        <v>5117</v>
      </c>
      <c r="G1116" t="s">
        <v>168</v>
      </c>
      <c r="H1116" s="1">
        <v>179567</v>
      </c>
      <c r="I1116" s="1">
        <v>27165.762163025607</v>
      </c>
      <c r="J1116" s="1">
        <v>206732.76216302562</v>
      </c>
    </row>
    <row r="1117" spans="1:10" x14ac:dyDescent="0.2">
      <c r="A1117">
        <v>2003270</v>
      </c>
      <c r="B1117">
        <v>2021</v>
      </c>
      <c r="C1117" t="s">
        <v>6</v>
      </c>
      <c r="D1117" t="s">
        <v>7</v>
      </c>
      <c r="E1117" t="s">
        <v>8</v>
      </c>
      <c r="F1117" s="28">
        <v>5117</v>
      </c>
      <c r="G1117" t="s">
        <v>168</v>
      </c>
      <c r="H1117" s="25">
        <v>181713</v>
      </c>
      <c r="I1117" s="1">
        <v>27128.500840826124</v>
      </c>
      <c r="J1117" s="1">
        <v>208841.50084082613</v>
      </c>
    </row>
    <row r="1118" spans="1:10" x14ac:dyDescent="0.2">
      <c r="A1118">
        <v>2003270</v>
      </c>
      <c r="B1118">
        <v>2022</v>
      </c>
      <c r="C1118" t="s">
        <v>6</v>
      </c>
      <c r="D1118" t="s">
        <v>7</v>
      </c>
      <c r="E1118" t="s">
        <v>8</v>
      </c>
      <c r="F1118" s="28">
        <v>5117</v>
      </c>
      <c r="G1118" t="s">
        <v>168</v>
      </c>
      <c r="H1118" s="1">
        <v>169527</v>
      </c>
      <c r="I1118" s="1">
        <v>23022.708170515085</v>
      </c>
      <c r="J1118" s="1">
        <v>192549.70817051508</v>
      </c>
    </row>
    <row r="1119" spans="1:10" x14ac:dyDescent="0.2">
      <c r="A1119">
        <v>2003270</v>
      </c>
      <c r="B1119">
        <v>2023</v>
      </c>
      <c r="C1119" t="s">
        <v>6</v>
      </c>
      <c r="D1119" t="s">
        <v>7</v>
      </c>
      <c r="E1119" t="s">
        <v>8</v>
      </c>
      <c r="F1119" s="28">
        <v>5117</v>
      </c>
      <c r="G1119" s="10" t="s">
        <v>168</v>
      </c>
      <c r="H1119" s="1">
        <v>166678</v>
      </c>
      <c r="I1119" s="1">
        <v>23335.416081548203</v>
      </c>
      <c r="J1119" s="1">
        <v>190013.4160815482</v>
      </c>
    </row>
    <row r="1120" spans="1:10" x14ac:dyDescent="0.2">
      <c r="A1120">
        <v>2012420</v>
      </c>
      <c r="B1120">
        <v>2015</v>
      </c>
      <c r="C1120" t="s">
        <v>6</v>
      </c>
      <c r="D1120" t="s">
        <v>7</v>
      </c>
      <c r="E1120" t="s">
        <v>8</v>
      </c>
      <c r="F1120" s="29">
        <v>5118</v>
      </c>
      <c r="G1120" s="3" t="s">
        <v>169</v>
      </c>
      <c r="H1120" s="27">
        <v>890700</v>
      </c>
      <c r="I1120" s="1">
        <v>143468.64890995543</v>
      </c>
      <c r="J1120" s="1">
        <v>1034168.6489099554</v>
      </c>
    </row>
    <row r="1121" spans="1:10" x14ac:dyDescent="0.2">
      <c r="A1121">
        <v>2012420</v>
      </c>
      <c r="B1121">
        <v>2016</v>
      </c>
      <c r="C1121" t="s">
        <v>6</v>
      </c>
      <c r="D1121" t="s">
        <v>7</v>
      </c>
      <c r="E1121" t="s">
        <v>8</v>
      </c>
      <c r="F1121" s="29">
        <v>5118</v>
      </c>
      <c r="G1121" s="3" t="s">
        <v>169</v>
      </c>
      <c r="H1121" s="1">
        <v>1018154</v>
      </c>
      <c r="I1121" s="26">
        <v>2689032.9742347603</v>
      </c>
      <c r="J1121" s="26">
        <v>3707186.9742347603</v>
      </c>
    </row>
    <row r="1122" spans="1:10" x14ac:dyDescent="0.2">
      <c r="A1122">
        <v>2012420</v>
      </c>
      <c r="B1122">
        <v>2017</v>
      </c>
      <c r="C1122" t="s">
        <v>6</v>
      </c>
      <c r="D1122" t="s">
        <v>7</v>
      </c>
      <c r="E1122" t="s">
        <v>8</v>
      </c>
      <c r="F1122" s="29">
        <v>5118</v>
      </c>
      <c r="G1122" s="3" t="s">
        <v>169</v>
      </c>
      <c r="H1122" s="1">
        <v>900288</v>
      </c>
      <c r="I1122" s="1">
        <v>140495.02092904763</v>
      </c>
      <c r="J1122" s="1">
        <v>1040783.0209290476</v>
      </c>
    </row>
    <row r="1123" spans="1:10" x14ac:dyDescent="0.2">
      <c r="A1123">
        <v>2012420</v>
      </c>
      <c r="B1123">
        <v>2018</v>
      </c>
      <c r="C1123" t="s">
        <v>6</v>
      </c>
      <c r="D1123" t="s">
        <v>7</v>
      </c>
      <c r="E1123" t="s">
        <v>8</v>
      </c>
      <c r="F1123" s="28">
        <v>5118</v>
      </c>
      <c r="G1123" t="s">
        <v>169</v>
      </c>
      <c r="H1123" s="1">
        <v>1210402</v>
      </c>
      <c r="I1123" s="1">
        <v>183036.20047004259</v>
      </c>
      <c r="J1123" s="1">
        <v>1393438.2004700426</v>
      </c>
    </row>
    <row r="1124" spans="1:10" x14ac:dyDescent="0.2">
      <c r="A1124">
        <v>2012420</v>
      </c>
      <c r="B1124">
        <v>2019</v>
      </c>
      <c r="C1124" t="s">
        <v>6</v>
      </c>
      <c r="D1124" t="s">
        <v>7</v>
      </c>
      <c r="E1124" t="s">
        <v>8</v>
      </c>
      <c r="F1124" s="28">
        <v>5118</v>
      </c>
      <c r="G1124" t="s">
        <v>169</v>
      </c>
      <c r="H1124" s="1">
        <v>1243409</v>
      </c>
      <c r="I1124" s="1">
        <v>189368.48240493124</v>
      </c>
      <c r="J1124" s="1">
        <v>1432777.4824049312</v>
      </c>
    </row>
    <row r="1125" spans="1:10" x14ac:dyDescent="0.2">
      <c r="A1125">
        <v>2012420</v>
      </c>
      <c r="B1125">
        <v>2020</v>
      </c>
      <c r="C1125" t="s">
        <v>6</v>
      </c>
      <c r="D1125" t="s">
        <v>7</v>
      </c>
      <c r="E1125" t="s">
        <v>8</v>
      </c>
      <c r="F1125" s="28">
        <v>5118</v>
      </c>
      <c r="G1125" t="s">
        <v>169</v>
      </c>
      <c r="H1125" s="1">
        <v>1356978</v>
      </c>
      <c r="I1125" s="1">
        <v>205290.17920028826</v>
      </c>
      <c r="J1125" s="1">
        <v>1562268.1792002884</v>
      </c>
    </row>
    <row r="1126" spans="1:10" x14ac:dyDescent="0.2">
      <c r="A1126">
        <v>2012420</v>
      </c>
      <c r="B1126">
        <v>2021</v>
      </c>
      <c r="C1126" t="s">
        <v>6</v>
      </c>
      <c r="D1126" t="s">
        <v>7</v>
      </c>
      <c r="E1126" t="s">
        <v>8</v>
      </c>
      <c r="F1126" s="28">
        <v>5118</v>
      </c>
      <c r="G1126" t="s">
        <v>169</v>
      </c>
      <c r="H1126" s="25">
        <v>1367103</v>
      </c>
      <c r="I1126" s="1">
        <v>204099.07318131294</v>
      </c>
      <c r="J1126" s="1">
        <v>1571202.073181313</v>
      </c>
    </row>
    <row r="1127" spans="1:10" x14ac:dyDescent="0.2">
      <c r="A1127">
        <v>2012420</v>
      </c>
      <c r="B1127">
        <v>2022</v>
      </c>
      <c r="C1127" t="s">
        <v>6</v>
      </c>
      <c r="D1127" t="s">
        <v>7</v>
      </c>
      <c r="E1127" t="s">
        <v>8</v>
      </c>
      <c r="F1127" s="28">
        <v>5118</v>
      </c>
      <c r="G1127" t="s">
        <v>169</v>
      </c>
      <c r="H1127" s="1">
        <v>1278093</v>
      </c>
      <c r="I1127" s="1">
        <v>173572.12806088786</v>
      </c>
      <c r="J1127" s="1">
        <v>1451665.1280608878</v>
      </c>
    </row>
    <row r="1128" spans="1:10" x14ac:dyDescent="0.2">
      <c r="A1128">
        <v>2012420</v>
      </c>
      <c r="B1128">
        <v>2023</v>
      </c>
      <c r="C1128" t="s">
        <v>6</v>
      </c>
      <c r="D1128" t="s">
        <v>7</v>
      </c>
      <c r="E1128" t="s">
        <v>8</v>
      </c>
      <c r="F1128" s="28">
        <v>5118</v>
      </c>
      <c r="G1128" s="10" t="s">
        <v>169</v>
      </c>
      <c r="H1128" s="1">
        <v>1365863</v>
      </c>
      <c r="I1128" s="1">
        <v>191224.88520015645</v>
      </c>
      <c r="J1128" s="1">
        <v>1557087.8852001564</v>
      </c>
    </row>
    <row r="1129" spans="1:10" x14ac:dyDescent="0.2">
      <c r="A1129">
        <v>2009600</v>
      </c>
      <c r="B1129">
        <v>2015</v>
      </c>
      <c r="C1129" t="s">
        <v>6</v>
      </c>
      <c r="D1129" t="s">
        <v>7</v>
      </c>
      <c r="E1129" t="s">
        <v>8</v>
      </c>
      <c r="F1129" s="29">
        <v>5119</v>
      </c>
      <c r="G1129" s="3" t="s">
        <v>170</v>
      </c>
      <c r="H1129" s="27">
        <v>154073</v>
      </c>
      <c r="I1129" s="1">
        <v>24817.160821268175</v>
      </c>
      <c r="J1129" s="1">
        <v>178890.16082126816</v>
      </c>
    </row>
    <row r="1130" spans="1:10" x14ac:dyDescent="0.2">
      <c r="A1130">
        <v>2009600</v>
      </c>
      <c r="B1130">
        <v>2016</v>
      </c>
      <c r="C1130" t="s">
        <v>6</v>
      </c>
      <c r="D1130" t="s">
        <v>7</v>
      </c>
      <c r="E1130" t="s">
        <v>8</v>
      </c>
      <c r="F1130" s="29">
        <v>5119</v>
      </c>
      <c r="G1130" s="3" t="s">
        <v>170</v>
      </c>
      <c r="H1130" s="1">
        <v>190689</v>
      </c>
      <c r="I1130" s="26">
        <v>503630.99497828464</v>
      </c>
      <c r="J1130" s="26">
        <v>694319.99497828458</v>
      </c>
    </row>
    <row r="1131" spans="1:10" x14ac:dyDescent="0.2">
      <c r="A1131">
        <v>2009600</v>
      </c>
      <c r="B1131">
        <v>2017</v>
      </c>
      <c r="C1131" t="s">
        <v>6</v>
      </c>
      <c r="D1131" t="s">
        <v>7</v>
      </c>
      <c r="E1131" t="s">
        <v>8</v>
      </c>
      <c r="F1131" s="29">
        <v>5119</v>
      </c>
      <c r="G1131" s="3" t="s">
        <v>170</v>
      </c>
      <c r="H1131" s="1">
        <v>203428</v>
      </c>
      <c r="I1131" s="1">
        <v>31746.086938351174</v>
      </c>
      <c r="J1131" s="1">
        <v>235174.08693835116</v>
      </c>
    </row>
    <row r="1132" spans="1:10" x14ac:dyDescent="0.2">
      <c r="A1132">
        <v>2009600</v>
      </c>
      <c r="B1132">
        <v>2018</v>
      </c>
      <c r="C1132" t="s">
        <v>6</v>
      </c>
      <c r="D1132" t="s">
        <v>7</v>
      </c>
      <c r="E1132" t="s">
        <v>8</v>
      </c>
      <c r="F1132" s="28">
        <v>5119</v>
      </c>
      <c r="G1132" t="s">
        <v>170</v>
      </c>
      <c r="H1132" s="1">
        <v>231745</v>
      </c>
      <c r="I1132" s="1">
        <v>35044.32765141665</v>
      </c>
      <c r="J1132" s="1">
        <v>266789.32765141665</v>
      </c>
    </row>
    <row r="1133" spans="1:10" x14ac:dyDescent="0.2">
      <c r="A1133">
        <v>2009600</v>
      </c>
      <c r="B1133">
        <v>2019</v>
      </c>
      <c r="C1133" t="s">
        <v>6</v>
      </c>
      <c r="D1133" t="s">
        <v>7</v>
      </c>
      <c r="E1133" t="s">
        <v>8</v>
      </c>
      <c r="F1133" s="28">
        <v>5119</v>
      </c>
      <c r="G1133" t="s">
        <v>170</v>
      </c>
      <c r="H1133" s="1">
        <v>269043</v>
      </c>
      <c r="I1133" s="1">
        <v>40974.662891831984</v>
      </c>
      <c r="J1133" s="1">
        <v>310017.66289183201</v>
      </c>
    </row>
    <row r="1134" spans="1:10" x14ac:dyDescent="0.2">
      <c r="A1134">
        <v>2009600</v>
      </c>
      <c r="B1134">
        <v>2020</v>
      </c>
      <c r="C1134" t="s">
        <v>6</v>
      </c>
      <c r="D1134" t="s">
        <v>7</v>
      </c>
      <c r="E1134" t="s">
        <v>8</v>
      </c>
      <c r="F1134" s="28">
        <v>5119</v>
      </c>
      <c r="G1134" t="s">
        <v>170</v>
      </c>
      <c r="H1134" s="1">
        <v>293165</v>
      </c>
      <c r="I1134" s="1">
        <v>44351.415708473171</v>
      </c>
      <c r="J1134" s="1">
        <v>337516.41570847319</v>
      </c>
    </row>
    <row r="1135" spans="1:10" x14ac:dyDescent="0.2">
      <c r="A1135">
        <v>2009600</v>
      </c>
      <c r="B1135">
        <v>2021</v>
      </c>
      <c r="C1135" t="s">
        <v>6</v>
      </c>
      <c r="D1135" t="s">
        <v>7</v>
      </c>
      <c r="E1135" t="s">
        <v>8</v>
      </c>
      <c r="F1135" s="28">
        <v>5119</v>
      </c>
      <c r="G1135" t="s">
        <v>170</v>
      </c>
      <c r="H1135" s="25">
        <v>300556</v>
      </c>
      <c r="I1135" s="1">
        <v>44870.943183566043</v>
      </c>
      <c r="J1135" s="1">
        <v>345426.94318356604</v>
      </c>
    </row>
    <row r="1136" spans="1:10" x14ac:dyDescent="0.2">
      <c r="A1136">
        <v>2009600</v>
      </c>
      <c r="B1136">
        <v>2022</v>
      </c>
      <c r="C1136" t="s">
        <v>6</v>
      </c>
      <c r="D1136" t="s">
        <v>7</v>
      </c>
      <c r="E1136" t="s">
        <v>8</v>
      </c>
      <c r="F1136" s="28">
        <v>5119</v>
      </c>
      <c r="G1136" t="s">
        <v>170</v>
      </c>
      <c r="H1136" s="1">
        <v>293599</v>
      </c>
      <c r="I1136" s="1">
        <v>39872.374879252617</v>
      </c>
      <c r="J1136" s="1">
        <v>333471.37487925263</v>
      </c>
    </row>
    <row r="1137" spans="1:10" x14ac:dyDescent="0.2">
      <c r="A1137">
        <v>2009600</v>
      </c>
      <c r="B1137">
        <v>2023</v>
      </c>
      <c r="C1137" t="s">
        <v>6</v>
      </c>
      <c r="D1137" t="s">
        <v>7</v>
      </c>
      <c r="E1137" t="s">
        <v>8</v>
      </c>
      <c r="F1137" s="28">
        <v>5119</v>
      </c>
      <c r="G1137" s="10" t="s">
        <v>170</v>
      </c>
      <c r="H1137" s="1">
        <v>309098</v>
      </c>
      <c r="I1137" s="1">
        <v>43274.639964328744</v>
      </c>
      <c r="J1137" s="1">
        <v>352372.63996432873</v>
      </c>
    </row>
    <row r="1138" spans="1:10" x14ac:dyDescent="0.2">
      <c r="A1138">
        <v>2006420</v>
      </c>
      <c r="B1138">
        <v>2015</v>
      </c>
      <c r="C1138" t="s">
        <v>6</v>
      </c>
      <c r="D1138" t="s">
        <v>7</v>
      </c>
      <c r="E1138" t="s">
        <v>8</v>
      </c>
      <c r="F1138" s="29">
        <v>5120</v>
      </c>
      <c r="G1138" s="3" t="s">
        <v>366</v>
      </c>
      <c r="H1138" s="27">
        <v>3264063</v>
      </c>
      <c r="I1138" s="1">
        <v>525755.81965530012</v>
      </c>
      <c r="J1138" s="1">
        <v>3789818.8196553001</v>
      </c>
    </row>
    <row r="1139" spans="1:10" x14ac:dyDescent="0.2">
      <c r="A1139">
        <v>2006420</v>
      </c>
      <c r="B1139">
        <v>2016</v>
      </c>
      <c r="C1139" t="s">
        <v>6</v>
      </c>
      <c r="D1139" t="s">
        <v>7</v>
      </c>
      <c r="E1139" t="s">
        <v>8</v>
      </c>
      <c r="F1139" s="29">
        <v>5120</v>
      </c>
      <c r="G1139" s="3" t="s">
        <v>366</v>
      </c>
      <c r="H1139" s="1">
        <v>3835627</v>
      </c>
      <c r="I1139" s="26">
        <v>10130230.413183812</v>
      </c>
      <c r="J1139" s="26">
        <v>13965857.413183812</v>
      </c>
    </row>
    <row r="1140" spans="1:10" x14ac:dyDescent="0.2">
      <c r="A1140">
        <v>2006420</v>
      </c>
      <c r="B1140">
        <v>2017</v>
      </c>
      <c r="C1140" t="s">
        <v>6</v>
      </c>
      <c r="D1140" t="s">
        <v>7</v>
      </c>
      <c r="E1140" t="s">
        <v>8</v>
      </c>
      <c r="F1140" s="29">
        <v>5120</v>
      </c>
      <c r="G1140" s="3" t="s">
        <v>366</v>
      </c>
      <c r="H1140" s="1">
        <v>4316051</v>
      </c>
      <c r="I1140" s="1">
        <v>673544.10541497509</v>
      </c>
      <c r="J1140" s="1">
        <v>4989595.1054149754</v>
      </c>
    </row>
    <row r="1141" spans="1:10" x14ac:dyDescent="0.2">
      <c r="A1141">
        <v>2006420</v>
      </c>
      <c r="B1141">
        <v>2018</v>
      </c>
      <c r="C1141" t="s">
        <v>6</v>
      </c>
      <c r="D1141" t="s">
        <v>7</v>
      </c>
      <c r="E1141" t="s">
        <v>8</v>
      </c>
      <c r="F1141" s="28">
        <v>5120</v>
      </c>
      <c r="G1141" t="s">
        <v>366</v>
      </c>
      <c r="H1141" s="1">
        <v>5085225</v>
      </c>
      <c r="I1141" s="1">
        <v>768984.40562331548</v>
      </c>
      <c r="J1141" s="1">
        <v>5854209.4056233158</v>
      </c>
    </row>
    <row r="1142" spans="1:10" x14ac:dyDescent="0.2">
      <c r="A1142">
        <v>2006420</v>
      </c>
      <c r="B1142">
        <v>2019</v>
      </c>
      <c r="C1142" t="s">
        <v>6</v>
      </c>
      <c r="D1142" t="s">
        <v>7</v>
      </c>
      <c r="E1142" t="s">
        <v>8</v>
      </c>
      <c r="F1142" s="28">
        <v>5120</v>
      </c>
      <c r="G1142" t="s">
        <v>171</v>
      </c>
      <c r="H1142" s="1">
        <v>6004836</v>
      </c>
      <c r="I1142" s="1">
        <v>914523.44354150386</v>
      </c>
      <c r="J1142" s="1">
        <v>6919359.4435415035</v>
      </c>
    </row>
    <row r="1143" spans="1:10" x14ac:dyDescent="0.2">
      <c r="A1143">
        <v>2006420</v>
      </c>
      <c r="B1143">
        <v>2020</v>
      </c>
      <c r="C1143" t="s">
        <v>6</v>
      </c>
      <c r="D1143" t="s">
        <v>7</v>
      </c>
      <c r="E1143" t="s">
        <v>8</v>
      </c>
      <c r="F1143" s="28">
        <v>5120</v>
      </c>
      <c r="G1143" t="s">
        <v>171</v>
      </c>
      <c r="H1143" s="1">
        <v>6640817</v>
      </c>
      <c r="I1143" s="1">
        <v>1004654.837415434</v>
      </c>
      <c r="J1143" s="1">
        <v>7645471.8374154344</v>
      </c>
    </row>
    <row r="1144" spans="1:10" x14ac:dyDescent="0.2">
      <c r="A1144">
        <v>2006420</v>
      </c>
      <c r="B1144">
        <v>2021</v>
      </c>
      <c r="C1144" t="s">
        <v>6</v>
      </c>
      <c r="D1144" t="s">
        <v>7</v>
      </c>
      <c r="E1144" t="s">
        <v>8</v>
      </c>
      <c r="F1144" s="28">
        <v>5120</v>
      </c>
      <c r="G1144" t="s">
        <v>171</v>
      </c>
      <c r="H1144" s="25">
        <v>6508326</v>
      </c>
      <c r="I1144" s="1">
        <v>971648.29903953231</v>
      </c>
      <c r="J1144" s="1">
        <v>7479974.2990395324</v>
      </c>
    </row>
    <row r="1145" spans="1:10" x14ac:dyDescent="0.2">
      <c r="A1145">
        <v>2006420</v>
      </c>
      <c r="B1145">
        <v>2022</v>
      </c>
      <c r="C1145" t="s">
        <v>6</v>
      </c>
      <c r="D1145" t="s">
        <v>7</v>
      </c>
      <c r="E1145" t="s">
        <v>8</v>
      </c>
      <c r="F1145" s="28">
        <v>5120</v>
      </c>
      <c r="G1145" t="s">
        <v>171</v>
      </c>
      <c r="H1145" s="1">
        <v>6555839</v>
      </c>
      <c r="I1145" s="1">
        <v>890319.34800876223</v>
      </c>
      <c r="J1145" s="1">
        <v>7446158.3480087621</v>
      </c>
    </row>
    <row r="1146" spans="1:10" x14ac:dyDescent="0.2">
      <c r="A1146">
        <v>2006420</v>
      </c>
      <c r="B1146">
        <v>2023</v>
      </c>
      <c r="C1146" t="s">
        <v>6</v>
      </c>
      <c r="D1146" t="s">
        <v>7</v>
      </c>
      <c r="E1146" t="s">
        <v>8</v>
      </c>
      <c r="F1146" s="28">
        <v>5120</v>
      </c>
      <c r="G1146" s="10" t="s">
        <v>171</v>
      </c>
      <c r="H1146" s="1">
        <v>6222540</v>
      </c>
      <c r="I1146" s="1">
        <v>871174.12006429746</v>
      </c>
      <c r="J1146" s="1">
        <v>7093714.1200642977</v>
      </c>
    </row>
    <row r="1147" spans="1:10" x14ac:dyDescent="0.2">
      <c r="A1147">
        <v>2008130</v>
      </c>
      <c r="B1147">
        <v>2015</v>
      </c>
      <c r="C1147" t="s">
        <v>6</v>
      </c>
      <c r="D1147" t="s">
        <v>7</v>
      </c>
      <c r="E1147" t="s">
        <v>8</v>
      </c>
      <c r="F1147" s="29">
        <v>5122</v>
      </c>
      <c r="G1147" s="3" t="s">
        <v>172</v>
      </c>
      <c r="H1147" s="27">
        <v>159902</v>
      </c>
      <c r="I1147" s="1">
        <v>25756.061410126524</v>
      </c>
      <c r="J1147" s="1">
        <v>185658.06141012651</v>
      </c>
    </row>
    <row r="1148" spans="1:10" x14ac:dyDescent="0.2">
      <c r="A1148">
        <v>2008130</v>
      </c>
      <c r="B1148">
        <v>2016</v>
      </c>
      <c r="C1148" t="s">
        <v>6</v>
      </c>
      <c r="D1148" t="s">
        <v>7</v>
      </c>
      <c r="E1148" t="s">
        <v>8</v>
      </c>
      <c r="F1148" s="29">
        <v>5122</v>
      </c>
      <c r="G1148" s="3" t="s">
        <v>172</v>
      </c>
      <c r="H1148" s="1">
        <v>176849</v>
      </c>
      <c r="I1148" s="26">
        <v>467071.48037835333</v>
      </c>
      <c r="J1148" s="26">
        <v>643920.48037835339</v>
      </c>
    </row>
    <row r="1149" spans="1:10" x14ac:dyDescent="0.2">
      <c r="A1149">
        <v>2008130</v>
      </c>
      <c r="B1149">
        <v>2017</v>
      </c>
      <c r="C1149" t="s">
        <v>6</v>
      </c>
      <c r="D1149" t="s">
        <v>7</v>
      </c>
      <c r="E1149" t="s">
        <v>8</v>
      </c>
      <c r="F1149" s="29">
        <v>5122</v>
      </c>
      <c r="G1149" s="3" t="s">
        <v>172</v>
      </c>
      <c r="H1149" s="1">
        <v>177925</v>
      </c>
      <c r="I1149" s="1">
        <v>27766.199925802415</v>
      </c>
      <c r="J1149" s="1">
        <v>205691.19992580242</v>
      </c>
    </row>
    <row r="1150" spans="1:10" x14ac:dyDescent="0.2">
      <c r="A1150">
        <v>2008130</v>
      </c>
      <c r="B1150">
        <v>2018</v>
      </c>
      <c r="C1150" t="s">
        <v>6</v>
      </c>
      <c r="D1150" t="s">
        <v>7</v>
      </c>
      <c r="E1150" t="s">
        <v>8</v>
      </c>
      <c r="F1150" s="28">
        <v>5122</v>
      </c>
      <c r="G1150" t="s">
        <v>172</v>
      </c>
      <c r="H1150" s="1">
        <v>212393</v>
      </c>
      <c r="I1150" s="1">
        <v>32117.930841516914</v>
      </c>
      <c r="J1150" s="1">
        <v>244510.93084151691</v>
      </c>
    </row>
    <row r="1151" spans="1:10" x14ac:dyDescent="0.2">
      <c r="A1151">
        <v>2008130</v>
      </c>
      <c r="B1151">
        <v>2019</v>
      </c>
      <c r="C1151" t="s">
        <v>6</v>
      </c>
      <c r="D1151" t="s">
        <v>7</v>
      </c>
      <c r="E1151" t="s">
        <v>8</v>
      </c>
      <c r="F1151" s="28">
        <v>5122</v>
      </c>
      <c r="G1151" t="s">
        <v>172</v>
      </c>
      <c r="H1151" s="1">
        <v>235288</v>
      </c>
      <c r="I1151" s="1">
        <v>35833.849914301303</v>
      </c>
      <c r="J1151" s="1">
        <v>271121.8499143013</v>
      </c>
    </row>
    <row r="1152" spans="1:10" x14ac:dyDescent="0.2">
      <c r="A1152">
        <v>2008130</v>
      </c>
      <c r="B1152">
        <v>2020</v>
      </c>
      <c r="C1152" t="s">
        <v>6</v>
      </c>
      <c r="D1152" t="s">
        <v>7</v>
      </c>
      <c r="E1152" t="s">
        <v>8</v>
      </c>
      <c r="F1152" s="28">
        <v>5122</v>
      </c>
      <c r="G1152" t="s">
        <v>172</v>
      </c>
      <c r="H1152" s="1">
        <v>256651</v>
      </c>
      <c r="I1152" s="1">
        <v>38827.401609998968</v>
      </c>
      <c r="J1152" s="1">
        <v>295478.40160999895</v>
      </c>
    </row>
    <row r="1153" spans="1:10" x14ac:dyDescent="0.2">
      <c r="A1153">
        <v>2008130</v>
      </c>
      <c r="B1153">
        <v>2021</v>
      </c>
      <c r="C1153" t="s">
        <v>6</v>
      </c>
      <c r="D1153" t="s">
        <v>7</v>
      </c>
      <c r="E1153" t="s">
        <v>8</v>
      </c>
      <c r="F1153" s="28">
        <v>5122</v>
      </c>
      <c r="G1153" t="s">
        <v>172</v>
      </c>
      <c r="H1153" s="25">
        <v>258637</v>
      </c>
      <c r="I1153" s="1">
        <v>38612.724857157969</v>
      </c>
      <c r="J1153" s="1">
        <v>297249.72485715797</v>
      </c>
    </row>
    <row r="1154" spans="1:10" x14ac:dyDescent="0.2">
      <c r="A1154">
        <v>2008130</v>
      </c>
      <c r="B1154">
        <v>2022</v>
      </c>
      <c r="C1154" t="s">
        <v>6</v>
      </c>
      <c r="D1154" t="s">
        <v>7</v>
      </c>
      <c r="E1154" t="s">
        <v>8</v>
      </c>
      <c r="F1154" s="28">
        <v>5122</v>
      </c>
      <c r="G1154" t="s">
        <v>172</v>
      </c>
      <c r="H1154" s="1">
        <v>258245</v>
      </c>
      <c r="I1154" s="1">
        <v>35071.10531947518</v>
      </c>
      <c r="J1154" s="1">
        <v>293316.10531947517</v>
      </c>
    </row>
    <row r="1155" spans="1:10" x14ac:dyDescent="0.2">
      <c r="A1155">
        <v>2008130</v>
      </c>
      <c r="B1155">
        <v>2023</v>
      </c>
      <c r="C1155" t="s">
        <v>6</v>
      </c>
      <c r="D1155" t="s">
        <v>7</v>
      </c>
      <c r="E1155" t="s">
        <v>8</v>
      </c>
      <c r="F1155" s="28">
        <v>5122</v>
      </c>
      <c r="G1155" s="10" t="s">
        <v>172</v>
      </c>
      <c r="H1155" s="1">
        <v>254856</v>
      </c>
      <c r="I1155" s="1">
        <v>35680.598524574627</v>
      </c>
      <c r="J1155" s="1">
        <v>290536.59852457466</v>
      </c>
    </row>
    <row r="1156" spans="1:10" x14ac:dyDescent="0.2">
      <c r="A1156">
        <v>2009660</v>
      </c>
      <c r="B1156">
        <v>2015</v>
      </c>
      <c r="C1156" t="s">
        <v>6</v>
      </c>
      <c r="D1156" t="s">
        <v>7</v>
      </c>
      <c r="E1156" t="s">
        <v>8</v>
      </c>
      <c r="F1156" s="29">
        <v>5123</v>
      </c>
      <c r="G1156" s="3" t="s">
        <v>173</v>
      </c>
      <c r="H1156" s="27">
        <v>168090</v>
      </c>
      <c r="I1156" s="1">
        <v>27074.935663269796</v>
      </c>
      <c r="J1156" s="1">
        <v>195164.9356632698</v>
      </c>
    </row>
    <row r="1157" spans="1:10" x14ac:dyDescent="0.2">
      <c r="A1157">
        <v>2009660</v>
      </c>
      <c r="B1157">
        <v>2016</v>
      </c>
      <c r="C1157" t="s">
        <v>6</v>
      </c>
      <c r="D1157" t="s">
        <v>7</v>
      </c>
      <c r="E1157" t="s">
        <v>8</v>
      </c>
      <c r="F1157" s="29">
        <v>5123</v>
      </c>
      <c r="G1157" s="3" t="s">
        <v>173</v>
      </c>
      <c r="H1157" s="1">
        <v>176700</v>
      </c>
      <c r="I1157" s="26">
        <v>466676.59238140518</v>
      </c>
      <c r="J1157" s="26">
        <v>643376.59238140518</v>
      </c>
    </row>
    <row r="1158" spans="1:10" x14ac:dyDescent="0.2">
      <c r="A1158">
        <v>2009660</v>
      </c>
      <c r="B1158">
        <v>2017</v>
      </c>
      <c r="C1158" t="s">
        <v>6</v>
      </c>
      <c r="D1158" t="s">
        <v>7</v>
      </c>
      <c r="E1158" t="s">
        <v>8</v>
      </c>
      <c r="F1158" s="29">
        <v>5123</v>
      </c>
      <c r="G1158" s="3" t="s">
        <v>173</v>
      </c>
      <c r="H1158" s="1">
        <v>179582</v>
      </c>
      <c r="I1158" s="1">
        <v>28024.784122947585</v>
      </c>
      <c r="J1158" s="1">
        <v>207606.78412294757</v>
      </c>
    </row>
    <row r="1159" spans="1:10" x14ac:dyDescent="0.2">
      <c r="A1159">
        <v>2009660</v>
      </c>
      <c r="B1159">
        <v>2018</v>
      </c>
      <c r="C1159" t="s">
        <v>6</v>
      </c>
      <c r="D1159" t="s">
        <v>7</v>
      </c>
      <c r="E1159" t="s">
        <v>8</v>
      </c>
      <c r="F1159" s="28">
        <v>5123</v>
      </c>
      <c r="G1159" t="s">
        <v>173</v>
      </c>
      <c r="H1159" s="1">
        <v>203934</v>
      </c>
      <c r="I1159" s="1">
        <v>30838.766382290891</v>
      </c>
      <c r="J1159" s="1">
        <v>234772.76638229089</v>
      </c>
    </row>
    <row r="1160" spans="1:10" x14ac:dyDescent="0.2">
      <c r="A1160">
        <v>2009660</v>
      </c>
      <c r="B1160">
        <v>2019</v>
      </c>
      <c r="C1160" t="s">
        <v>6</v>
      </c>
      <c r="D1160" t="s">
        <v>7</v>
      </c>
      <c r="E1160" t="s">
        <v>8</v>
      </c>
      <c r="F1160" s="28">
        <v>5123</v>
      </c>
      <c r="G1160" t="s">
        <v>173</v>
      </c>
      <c r="H1160" s="1">
        <v>243953</v>
      </c>
      <c r="I1160" s="1">
        <v>37153.510540884126</v>
      </c>
      <c r="J1160" s="1">
        <v>281106.5105408841</v>
      </c>
    </row>
    <row r="1161" spans="1:10" x14ac:dyDescent="0.2">
      <c r="A1161">
        <v>2009660</v>
      </c>
      <c r="B1161">
        <v>2020</v>
      </c>
      <c r="C1161" t="s">
        <v>6</v>
      </c>
      <c r="D1161" t="s">
        <v>7</v>
      </c>
      <c r="E1161" t="s">
        <v>8</v>
      </c>
      <c r="F1161" s="28">
        <v>5123</v>
      </c>
      <c r="G1161" t="s">
        <v>173</v>
      </c>
      <c r="H1161" s="1">
        <v>257283</v>
      </c>
      <c r="I1161" s="1">
        <v>38923.013619371697</v>
      </c>
      <c r="J1161" s="1">
        <v>296206.01361937169</v>
      </c>
    </row>
    <row r="1162" spans="1:10" x14ac:dyDescent="0.2">
      <c r="A1162">
        <v>2009660</v>
      </c>
      <c r="B1162">
        <v>2021</v>
      </c>
      <c r="C1162" t="s">
        <v>6</v>
      </c>
      <c r="D1162" t="s">
        <v>7</v>
      </c>
      <c r="E1162" t="s">
        <v>8</v>
      </c>
      <c r="F1162" s="28">
        <v>5123</v>
      </c>
      <c r="G1162" t="s">
        <v>173</v>
      </c>
      <c r="H1162" s="25">
        <v>254418</v>
      </c>
      <c r="I1162" s="1">
        <v>37982.857180946332</v>
      </c>
      <c r="J1162" s="1">
        <v>292400.85718094633</v>
      </c>
    </row>
    <row r="1163" spans="1:10" x14ac:dyDescent="0.2">
      <c r="A1163">
        <v>2009660</v>
      </c>
      <c r="B1163">
        <v>2022</v>
      </c>
      <c r="C1163" t="s">
        <v>6</v>
      </c>
      <c r="D1163" t="s">
        <v>7</v>
      </c>
      <c r="E1163" t="s">
        <v>8</v>
      </c>
      <c r="F1163" s="28">
        <v>5123</v>
      </c>
      <c r="G1163" t="s">
        <v>173</v>
      </c>
      <c r="H1163" s="1">
        <v>255679</v>
      </c>
      <c r="I1163" s="1">
        <v>34722.628267645428</v>
      </c>
      <c r="J1163" s="1">
        <v>290401.62826764543</v>
      </c>
    </row>
    <row r="1164" spans="1:10" x14ac:dyDescent="0.2">
      <c r="A1164">
        <v>2009660</v>
      </c>
      <c r="B1164">
        <v>2023</v>
      </c>
      <c r="C1164" t="s">
        <v>6</v>
      </c>
      <c r="D1164" t="s">
        <v>7</v>
      </c>
      <c r="E1164" t="s">
        <v>8</v>
      </c>
      <c r="F1164" s="28">
        <v>5123</v>
      </c>
      <c r="G1164" s="10" t="s">
        <v>173</v>
      </c>
      <c r="H1164" s="1">
        <v>260861</v>
      </c>
      <c r="I1164" s="1">
        <v>36521.31639717747</v>
      </c>
      <c r="J1164" s="1">
        <v>297382.31639717746</v>
      </c>
    </row>
    <row r="1165" spans="1:10" x14ac:dyDescent="0.2">
      <c r="A1165">
        <v>2000003</v>
      </c>
      <c r="B1165">
        <v>2015</v>
      </c>
      <c r="C1165" t="s">
        <v>6</v>
      </c>
      <c r="D1165" t="s">
        <v>7</v>
      </c>
      <c r="E1165" t="s">
        <v>8</v>
      </c>
      <c r="F1165" s="29">
        <v>5125</v>
      </c>
      <c r="G1165" s="3" t="s">
        <v>174</v>
      </c>
      <c r="H1165" s="27">
        <v>1137078</v>
      </c>
      <c r="I1165" s="1">
        <v>183153.7491470016</v>
      </c>
      <c r="J1165" s="1">
        <v>1320231.7491470017</v>
      </c>
    </row>
    <row r="1166" spans="1:10" x14ac:dyDescent="0.2">
      <c r="A1166">
        <v>2000003</v>
      </c>
      <c r="B1166">
        <v>2016</v>
      </c>
      <c r="C1166" t="s">
        <v>6</v>
      </c>
      <c r="D1166" t="s">
        <v>7</v>
      </c>
      <c r="E1166" t="s">
        <v>8</v>
      </c>
      <c r="F1166" s="29">
        <v>5125</v>
      </c>
      <c r="G1166" s="3" t="s">
        <v>174</v>
      </c>
      <c r="H1166" s="1">
        <v>1202682</v>
      </c>
      <c r="I1166" s="26">
        <v>3176395.6776374057</v>
      </c>
      <c r="J1166" s="26">
        <v>4379077.6776374057</v>
      </c>
    </row>
    <row r="1167" spans="1:10" x14ac:dyDescent="0.2">
      <c r="A1167">
        <v>2000003</v>
      </c>
      <c r="B1167">
        <v>2017</v>
      </c>
      <c r="C1167" t="s">
        <v>6</v>
      </c>
      <c r="D1167" t="s">
        <v>7</v>
      </c>
      <c r="E1167" t="s">
        <v>8</v>
      </c>
      <c r="F1167" s="29">
        <v>5125</v>
      </c>
      <c r="G1167" s="3" t="s">
        <v>174</v>
      </c>
      <c r="H1167" s="1">
        <v>1263073</v>
      </c>
      <c r="I1167" s="1">
        <v>197109.66665102166</v>
      </c>
      <c r="J1167" s="1">
        <v>1460182.6666510217</v>
      </c>
    </row>
    <row r="1168" spans="1:10" x14ac:dyDescent="0.2">
      <c r="A1168">
        <v>2000003</v>
      </c>
      <c r="B1168">
        <v>2018</v>
      </c>
      <c r="C1168" t="s">
        <v>6</v>
      </c>
      <c r="D1168" t="s">
        <v>7</v>
      </c>
      <c r="E1168" t="s">
        <v>8</v>
      </c>
      <c r="F1168" s="28">
        <v>5125</v>
      </c>
      <c r="G1168" t="s">
        <v>174</v>
      </c>
      <c r="H1168" s="1">
        <v>1507180</v>
      </c>
      <c r="I1168" s="1">
        <v>227914.7759376131</v>
      </c>
      <c r="J1168" s="1">
        <v>1735094.7759376131</v>
      </c>
    </row>
    <row r="1169" spans="1:10" x14ac:dyDescent="0.2">
      <c r="A1169">
        <v>2000003</v>
      </c>
      <c r="B1169">
        <v>2019</v>
      </c>
      <c r="C1169" t="s">
        <v>6</v>
      </c>
      <c r="D1169" t="s">
        <v>7</v>
      </c>
      <c r="E1169" t="s">
        <v>8</v>
      </c>
      <c r="F1169" s="28">
        <v>5125</v>
      </c>
      <c r="G1169" t="s">
        <v>174</v>
      </c>
      <c r="H1169" s="1">
        <v>1620491</v>
      </c>
      <c r="I1169" s="1">
        <v>246797.24967476464</v>
      </c>
      <c r="J1169" s="1">
        <v>1867288.2496747647</v>
      </c>
    </row>
    <row r="1170" spans="1:10" x14ac:dyDescent="0.2">
      <c r="A1170">
        <v>2000003</v>
      </c>
      <c r="B1170">
        <v>2020</v>
      </c>
      <c r="C1170" t="s">
        <v>6</v>
      </c>
      <c r="D1170" t="s">
        <v>7</v>
      </c>
      <c r="E1170" t="s">
        <v>8</v>
      </c>
      <c r="F1170" s="28">
        <v>5125</v>
      </c>
      <c r="G1170" t="s">
        <v>174</v>
      </c>
      <c r="H1170" s="1">
        <v>1787227</v>
      </c>
      <c r="I1170" s="1">
        <v>270380.32385314547</v>
      </c>
      <c r="J1170" s="1">
        <v>2057607.3238531454</v>
      </c>
    </row>
    <row r="1171" spans="1:10" x14ac:dyDescent="0.2">
      <c r="A1171">
        <v>2000003</v>
      </c>
      <c r="B1171">
        <v>2021</v>
      </c>
      <c r="C1171" t="s">
        <v>6</v>
      </c>
      <c r="D1171" t="s">
        <v>7</v>
      </c>
      <c r="E1171" t="s">
        <v>8</v>
      </c>
      <c r="F1171" s="28">
        <v>5125</v>
      </c>
      <c r="G1171" t="s">
        <v>174</v>
      </c>
      <c r="H1171" s="25">
        <v>1776270</v>
      </c>
      <c r="I1171" s="1">
        <v>265184.89149666904</v>
      </c>
      <c r="J1171" s="1">
        <v>2041454.891496669</v>
      </c>
    </row>
    <row r="1172" spans="1:10" x14ac:dyDescent="0.2">
      <c r="A1172">
        <v>2000003</v>
      </c>
      <c r="B1172">
        <v>2022</v>
      </c>
      <c r="C1172" t="s">
        <v>6</v>
      </c>
      <c r="D1172" t="s">
        <v>7</v>
      </c>
      <c r="E1172" t="s">
        <v>8</v>
      </c>
      <c r="F1172" s="28">
        <v>5125</v>
      </c>
      <c r="G1172" t="s">
        <v>174</v>
      </c>
      <c r="H1172" s="1">
        <v>1785522</v>
      </c>
      <c r="I1172" s="1">
        <v>242483.80457410583</v>
      </c>
      <c r="J1172" s="1">
        <v>2028005.8045741059</v>
      </c>
    </row>
    <row r="1173" spans="1:10" x14ac:dyDescent="0.2">
      <c r="A1173">
        <v>2000003</v>
      </c>
      <c r="B1173">
        <v>2023</v>
      </c>
      <c r="C1173" t="s">
        <v>6</v>
      </c>
      <c r="D1173" t="s">
        <v>7</v>
      </c>
      <c r="E1173" t="s">
        <v>8</v>
      </c>
      <c r="F1173" s="28">
        <v>5125</v>
      </c>
      <c r="G1173" s="10" t="s">
        <v>174</v>
      </c>
      <c r="H1173" s="1">
        <v>1823995</v>
      </c>
      <c r="I1173" s="1">
        <v>255364.72873242729</v>
      </c>
      <c r="J1173" s="1">
        <v>2079359.7287324273</v>
      </c>
    </row>
    <row r="1174" spans="1:10" x14ac:dyDescent="0.2">
      <c r="A1174">
        <v>2005370</v>
      </c>
      <c r="B1174">
        <v>2015</v>
      </c>
      <c r="C1174" t="s">
        <v>6</v>
      </c>
      <c r="D1174" t="s">
        <v>7</v>
      </c>
      <c r="E1174" t="s">
        <v>8</v>
      </c>
      <c r="F1174" s="29">
        <v>5127</v>
      </c>
      <c r="G1174" s="3" t="s">
        <v>175</v>
      </c>
      <c r="H1174" s="27">
        <v>140638</v>
      </c>
      <c r="I1174" s="1">
        <v>22653.13107151489</v>
      </c>
      <c r="J1174" s="1">
        <v>163291.13107151489</v>
      </c>
    </row>
    <row r="1175" spans="1:10" x14ac:dyDescent="0.2">
      <c r="A1175">
        <v>2005370</v>
      </c>
      <c r="B1175">
        <v>2016</v>
      </c>
      <c r="C1175" t="s">
        <v>6</v>
      </c>
      <c r="D1175" t="s">
        <v>7</v>
      </c>
      <c r="E1175" t="s">
        <v>8</v>
      </c>
      <c r="F1175" s="29">
        <v>5127</v>
      </c>
      <c r="G1175" s="3" t="s">
        <v>175</v>
      </c>
      <c r="H1175" s="1">
        <v>150682</v>
      </c>
      <c r="I1175" s="26">
        <v>397962.98748864897</v>
      </c>
      <c r="J1175" s="26">
        <v>548644.98748864897</v>
      </c>
    </row>
    <row r="1176" spans="1:10" x14ac:dyDescent="0.2">
      <c r="A1176">
        <v>2005370</v>
      </c>
      <c r="B1176">
        <v>2017</v>
      </c>
      <c r="C1176" t="s">
        <v>6</v>
      </c>
      <c r="D1176" t="s">
        <v>7</v>
      </c>
      <c r="E1176" t="s">
        <v>8</v>
      </c>
      <c r="F1176" s="29">
        <v>5127</v>
      </c>
      <c r="G1176" s="3" t="s">
        <v>175</v>
      </c>
      <c r="H1176" s="1">
        <v>163781</v>
      </c>
      <c r="I1176" s="1">
        <v>25558.948939428665</v>
      </c>
      <c r="J1176" s="1">
        <v>189339.94893942866</v>
      </c>
    </row>
    <row r="1177" spans="1:10" x14ac:dyDescent="0.2">
      <c r="A1177">
        <v>2005370</v>
      </c>
      <c r="B1177">
        <v>2018</v>
      </c>
      <c r="C1177" t="s">
        <v>6</v>
      </c>
      <c r="D1177" t="s">
        <v>7</v>
      </c>
      <c r="E1177" t="s">
        <v>8</v>
      </c>
      <c r="F1177" s="28">
        <v>5127</v>
      </c>
      <c r="G1177" t="s">
        <v>175</v>
      </c>
      <c r="H1177" s="1">
        <v>185277</v>
      </c>
      <c r="I1177" s="1">
        <v>28017.467018798779</v>
      </c>
      <c r="J1177" s="1">
        <v>213294.46701879878</v>
      </c>
    </row>
    <row r="1178" spans="1:10" x14ac:dyDescent="0.2">
      <c r="A1178">
        <v>2005370</v>
      </c>
      <c r="B1178">
        <v>2019</v>
      </c>
      <c r="C1178" t="s">
        <v>6</v>
      </c>
      <c r="D1178" t="s">
        <v>7</v>
      </c>
      <c r="E1178" t="s">
        <v>8</v>
      </c>
      <c r="F1178" s="28">
        <v>5127</v>
      </c>
      <c r="G1178" t="s">
        <v>175</v>
      </c>
      <c r="H1178" s="1">
        <v>208332</v>
      </c>
      <c r="I1178" s="1">
        <v>31728.509827726946</v>
      </c>
      <c r="J1178" s="1">
        <v>240060.50982772696</v>
      </c>
    </row>
    <row r="1179" spans="1:10" x14ac:dyDescent="0.2">
      <c r="A1179">
        <v>2005370</v>
      </c>
      <c r="B1179">
        <v>2020</v>
      </c>
      <c r="C1179" t="s">
        <v>6</v>
      </c>
      <c r="D1179" t="s">
        <v>7</v>
      </c>
      <c r="E1179" t="s">
        <v>8</v>
      </c>
      <c r="F1179" s="28">
        <v>5127</v>
      </c>
      <c r="G1179" t="s">
        <v>175</v>
      </c>
      <c r="H1179" s="1">
        <v>208099</v>
      </c>
      <c r="I1179" s="1">
        <v>31482.220788694282</v>
      </c>
      <c r="J1179" s="1">
        <v>239581.22078869428</v>
      </c>
    </row>
    <row r="1180" spans="1:10" x14ac:dyDescent="0.2">
      <c r="A1180">
        <v>2005370</v>
      </c>
      <c r="B1180">
        <v>2021</v>
      </c>
      <c r="C1180" t="s">
        <v>6</v>
      </c>
      <c r="D1180" t="s">
        <v>7</v>
      </c>
      <c r="E1180" t="s">
        <v>8</v>
      </c>
      <c r="F1180" s="28">
        <v>5127</v>
      </c>
      <c r="G1180" t="s">
        <v>175</v>
      </c>
      <c r="H1180" s="25">
        <v>219185</v>
      </c>
      <c r="I1180" s="1">
        <v>32722.812659504129</v>
      </c>
      <c r="J1180" s="1">
        <v>251907.81265950412</v>
      </c>
    </row>
    <row r="1181" spans="1:10" x14ac:dyDescent="0.2">
      <c r="A1181">
        <v>2005370</v>
      </c>
      <c r="B1181">
        <v>2022</v>
      </c>
      <c r="C1181" t="s">
        <v>6</v>
      </c>
      <c r="D1181" t="s">
        <v>7</v>
      </c>
      <c r="E1181" t="s">
        <v>8</v>
      </c>
      <c r="F1181" s="28">
        <v>5127</v>
      </c>
      <c r="G1181" t="s">
        <v>175</v>
      </c>
      <c r="H1181" s="1">
        <v>216214</v>
      </c>
      <c r="I1181" s="1">
        <v>29363.06207494823</v>
      </c>
      <c r="J1181" s="1">
        <v>245577.06207494822</v>
      </c>
    </row>
    <row r="1182" spans="1:10" x14ac:dyDescent="0.2">
      <c r="A1182">
        <v>2005370</v>
      </c>
      <c r="B1182">
        <v>2023</v>
      </c>
      <c r="C1182" t="s">
        <v>6</v>
      </c>
      <c r="D1182" t="s">
        <v>7</v>
      </c>
      <c r="E1182" t="s">
        <v>8</v>
      </c>
      <c r="F1182" s="28">
        <v>5127</v>
      </c>
      <c r="G1182" s="10" t="s">
        <v>175</v>
      </c>
      <c r="H1182" s="1">
        <v>229056</v>
      </c>
      <c r="I1182" s="1">
        <v>32068.521736372561</v>
      </c>
      <c r="J1182" s="1">
        <v>261124.52173637255</v>
      </c>
    </row>
    <row r="1183" spans="1:10" x14ac:dyDescent="0.2">
      <c r="A1183">
        <v>2004830</v>
      </c>
      <c r="B1183">
        <v>2015</v>
      </c>
      <c r="C1183" t="s">
        <v>6</v>
      </c>
      <c r="D1183" t="s">
        <v>7</v>
      </c>
      <c r="E1183" t="s">
        <v>8</v>
      </c>
      <c r="F1183" s="29">
        <v>5128</v>
      </c>
      <c r="G1183" s="3" t="s">
        <v>176</v>
      </c>
      <c r="H1183" s="27">
        <v>213771</v>
      </c>
      <c r="I1183" s="1">
        <v>34432.958960514297</v>
      </c>
      <c r="J1183" s="1">
        <v>248203.95896051428</v>
      </c>
    </row>
    <row r="1184" spans="1:10" x14ac:dyDescent="0.2">
      <c r="A1184">
        <v>2004830</v>
      </c>
      <c r="B1184">
        <v>2016</v>
      </c>
      <c r="C1184" t="s">
        <v>6</v>
      </c>
      <c r="D1184" t="s">
        <v>7</v>
      </c>
      <c r="E1184" t="s">
        <v>8</v>
      </c>
      <c r="F1184" s="29">
        <v>5128</v>
      </c>
      <c r="G1184" s="3" t="s">
        <v>176</v>
      </c>
      <c r="H1184" s="1">
        <v>222327</v>
      </c>
      <c r="I1184" s="26">
        <v>587181.28274133045</v>
      </c>
      <c r="J1184" s="26">
        <v>809508.28274133045</v>
      </c>
    </row>
    <row r="1185" spans="1:10" x14ac:dyDescent="0.2">
      <c r="A1185">
        <v>2004830</v>
      </c>
      <c r="B1185">
        <v>2017</v>
      </c>
      <c r="C1185" t="s">
        <v>6</v>
      </c>
      <c r="D1185" t="s">
        <v>7</v>
      </c>
      <c r="E1185" t="s">
        <v>8</v>
      </c>
      <c r="F1185" s="29">
        <v>5128</v>
      </c>
      <c r="G1185" s="3" t="s">
        <v>176</v>
      </c>
      <c r="H1185" s="1">
        <v>235620</v>
      </c>
      <c r="I1185" s="1">
        <v>36769.830133581927</v>
      </c>
      <c r="J1185" s="1">
        <v>272389.83013358194</v>
      </c>
    </row>
    <row r="1186" spans="1:10" x14ac:dyDescent="0.2">
      <c r="A1186">
        <v>2004830</v>
      </c>
      <c r="B1186">
        <v>2018</v>
      </c>
      <c r="C1186" t="s">
        <v>6</v>
      </c>
      <c r="D1186" t="s">
        <v>7</v>
      </c>
      <c r="E1186" t="s">
        <v>8</v>
      </c>
      <c r="F1186" s="28">
        <v>5128</v>
      </c>
      <c r="G1186" t="s">
        <v>176</v>
      </c>
      <c r="H1186" s="1">
        <v>278712</v>
      </c>
      <c r="I1186" s="1">
        <v>42146.646738361727</v>
      </c>
      <c r="J1186" s="1">
        <v>320858.64673836174</v>
      </c>
    </row>
    <row r="1187" spans="1:10" x14ac:dyDescent="0.2">
      <c r="A1187">
        <v>2004830</v>
      </c>
      <c r="B1187">
        <v>2019</v>
      </c>
      <c r="C1187" t="s">
        <v>6</v>
      </c>
      <c r="D1187" t="s">
        <v>7</v>
      </c>
      <c r="E1187" t="s">
        <v>8</v>
      </c>
      <c r="F1187" s="28">
        <v>5128</v>
      </c>
      <c r="G1187" t="s">
        <v>176</v>
      </c>
      <c r="H1187" s="1">
        <v>309787</v>
      </c>
      <c r="I1187" s="1">
        <v>47179.885346476047</v>
      </c>
      <c r="J1187" s="1">
        <v>356966.88534647605</v>
      </c>
    </row>
    <row r="1188" spans="1:10" x14ac:dyDescent="0.2">
      <c r="A1188">
        <v>2004830</v>
      </c>
      <c r="B1188">
        <v>2020</v>
      </c>
      <c r="C1188" t="s">
        <v>6</v>
      </c>
      <c r="D1188" t="s">
        <v>7</v>
      </c>
      <c r="E1188" t="s">
        <v>8</v>
      </c>
      <c r="F1188" s="28">
        <v>5128</v>
      </c>
      <c r="G1188" t="s">
        <v>176</v>
      </c>
      <c r="H1188" s="1">
        <v>352642</v>
      </c>
      <c r="I1188" s="1">
        <v>53349.38324243138</v>
      </c>
      <c r="J1188" s="1">
        <v>405991.38324243139</v>
      </c>
    </row>
    <row r="1189" spans="1:10" x14ac:dyDescent="0.2">
      <c r="A1189">
        <v>2004830</v>
      </c>
      <c r="B1189">
        <v>2021</v>
      </c>
      <c r="C1189" t="s">
        <v>6</v>
      </c>
      <c r="D1189" t="s">
        <v>7</v>
      </c>
      <c r="E1189" t="s">
        <v>8</v>
      </c>
      <c r="F1189" s="28">
        <v>5128</v>
      </c>
      <c r="G1189" t="s">
        <v>176</v>
      </c>
      <c r="H1189" s="25">
        <v>360155</v>
      </c>
      <c r="I1189" s="1">
        <v>53768.663883859343</v>
      </c>
      <c r="J1189" s="1">
        <v>413923.66388385935</v>
      </c>
    </row>
    <row r="1190" spans="1:10" x14ac:dyDescent="0.2">
      <c r="A1190">
        <v>2004830</v>
      </c>
      <c r="B1190">
        <v>2022</v>
      </c>
      <c r="C1190" t="s">
        <v>6</v>
      </c>
      <c r="D1190" t="s">
        <v>7</v>
      </c>
      <c r="E1190" t="s">
        <v>8</v>
      </c>
      <c r="F1190" s="28">
        <v>5128</v>
      </c>
      <c r="G1190" t="s">
        <v>176</v>
      </c>
      <c r="H1190" s="1">
        <v>349319</v>
      </c>
      <c r="I1190" s="1">
        <v>47439.460353903261</v>
      </c>
      <c r="J1190" s="1">
        <v>396758.46035390324</v>
      </c>
    </row>
    <row r="1191" spans="1:10" x14ac:dyDescent="0.2">
      <c r="A1191">
        <v>2004830</v>
      </c>
      <c r="B1191">
        <v>2023</v>
      </c>
      <c r="C1191" t="s">
        <v>6</v>
      </c>
      <c r="D1191" t="s">
        <v>7</v>
      </c>
      <c r="E1191" t="s">
        <v>8</v>
      </c>
      <c r="F1191" s="28">
        <v>5128</v>
      </c>
      <c r="G1191" s="10" t="s">
        <v>176</v>
      </c>
      <c r="H1191" s="1">
        <v>363949</v>
      </c>
      <c r="I1191" s="1">
        <v>50953.943216641594</v>
      </c>
      <c r="J1191" s="1">
        <v>414902.94321664161</v>
      </c>
    </row>
    <row r="1192" spans="1:10" x14ac:dyDescent="0.2">
      <c r="A1192">
        <v>2009320</v>
      </c>
      <c r="B1192">
        <v>2015</v>
      </c>
      <c r="C1192" t="s">
        <v>6</v>
      </c>
      <c r="D1192" t="s">
        <v>7</v>
      </c>
      <c r="E1192" t="s">
        <v>8</v>
      </c>
      <c r="F1192" s="29">
        <v>5129</v>
      </c>
      <c r="G1192" s="3" t="s">
        <v>177</v>
      </c>
      <c r="H1192" s="27">
        <v>549795</v>
      </c>
      <c r="I1192" s="1">
        <v>88557.702736554333</v>
      </c>
      <c r="J1192" s="1">
        <v>638352.70273655432</v>
      </c>
    </row>
    <row r="1193" spans="1:10" x14ac:dyDescent="0.2">
      <c r="A1193">
        <v>2009320</v>
      </c>
      <c r="B1193">
        <v>2016</v>
      </c>
      <c r="C1193" t="s">
        <v>6</v>
      </c>
      <c r="D1193" t="s">
        <v>7</v>
      </c>
      <c r="E1193" t="s">
        <v>8</v>
      </c>
      <c r="F1193" s="29">
        <v>5129</v>
      </c>
      <c r="G1193" s="3" t="s">
        <v>177</v>
      </c>
      <c r="H1193" s="1">
        <v>593718</v>
      </c>
      <c r="I1193" s="26">
        <v>1568066.3155117505</v>
      </c>
      <c r="J1193" s="26">
        <v>2161784.3155117505</v>
      </c>
    </row>
    <row r="1194" spans="1:10" x14ac:dyDescent="0.2">
      <c r="A1194">
        <v>2009320</v>
      </c>
      <c r="B1194">
        <v>2017</v>
      </c>
      <c r="C1194" t="s">
        <v>6</v>
      </c>
      <c r="D1194" t="s">
        <v>7</v>
      </c>
      <c r="E1194" t="s">
        <v>8</v>
      </c>
      <c r="F1194" s="29">
        <v>5129</v>
      </c>
      <c r="G1194" s="3" t="s">
        <v>177</v>
      </c>
      <c r="H1194" s="1">
        <v>630381</v>
      </c>
      <c r="I1194" s="1">
        <v>98374.511032329639</v>
      </c>
      <c r="J1194" s="1">
        <v>728755.51103232964</v>
      </c>
    </row>
    <row r="1195" spans="1:10" x14ac:dyDescent="0.2">
      <c r="A1195">
        <v>2009320</v>
      </c>
      <c r="B1195">
        <v>2018</v>
      </c>
      <c r="C1195" t="s">
        <v>6</v>
      </c>
      <c r="D1195" t="s">
        <v>7</v>
      </c>
      <c r="E1195" t="s">
        <v>8</v>
      </c>
      <c r="F1195" s="28">
        <v>5129</v>
      </c>
      <c r="G1195" t="s">
        <v>177</v>
      </c>
      <c r="H1195" s="1">
        <v>771409</v>
      </c>
      <c r="I1195" s="1">
        <v>116651.96551922012</v>
      </c>
      <c r="J1195" s="1">
        <v>888060.9655192201</v>
      </c>
    </row>
    <row r="1196" spans="1:10" x14ac:dyDescent="0.2">
      <c r="A1196">
        <v>2009320</v>
      </c>
      <c r="B1196">
        <v>2019</v>
      </c>
      <c r="C1196" t="s">
        <v>6</v>
      </c>
      <c r="D1196" t="s">
        <v>7</v>
      </c>
      <c r="E1196" t="s">
        <v>8</v>
      </c>
      <c r="F1196" s="28">
        <v>5129</v>
      </c>
      <c r="G1196" t="s">
        <v>177</v>
      </c>
      <c r="H1196" s="1">
        <v>774711</v>
      </c>
      <c r="I1196" s="1">
        <v>117986.79788581769</v>
      </c>
      <c r="J1196" s="1">
        <v>892697.79788581771</v>
      </c>
    </row>
    <row r="1197" spans="1:10" x14ac:dyDescent="0.2">
      <c r="A1197">
        <v>2009320</v>
      </c>
      <c r="B1197">
        <v>2020</v>
      </c>
      <c r="C1197" t="s">
        <v>6</v>
      </c>
      <c r="D1197" t="s">
        <v>7</v>
      </c>
      <c r="E1197" t="s">
        <v>8</v>
      </c>
      <c r="F1197" s="28">
        <v>5129</v>
      </c>
      <c r="G1197" t="s">
        <v>177</v>
      </c>
      <c r="H1197" s="1">
        <v>836842</v>
      </c>
      <c r="I1197" s="1">
        <v>126601.49548653525</v>
      </c>
      <c r="J1197" s="1">
        <v>963443.49548653525</v>
      </c>
    </row>
    <row r="1198" spans="1:10" x14ac:dyDescent="0.2">
      <c r="A1198">
        <v>2009320</v>
      </c>
      <c r="B1198">
        <v>2021</v>
      </c>
      <c r="C1198" t="s">
        <v>6</v>
      </c>
      <c r="D1198" t="s">
        <v>7</v>
      </c>
      <c r="E1198" t="s">
        <v>8</v>
      </c>
      <c r="F1198" s="28">
        <v>5129</v>
      </c>
      <c r="G1198" t="s">
        <v>177</v>
      </c>
      <c r="H1198" s="25">
        <v>834901</v>
      </c>
      <c r="I1198" s="1">
        <v>124644.97576126402</v>
      </c>
      <c r="J1198" s="1">
        <v>959545.97576126398</v>
      </c>
    </row>
    <row r="1199" spans="1:10" x14ac:dyDescent="0.2">
      <c r="A1199">
        <v>2009320</v>
      </c>
      <c r="B1199">
        <v>2022</v>
      </c>
      <c r="C1199" t="s">
        <v>6</v>
      </c>
      <c r="D1199" t="s">
        <v>7</v>
      </c>
      <c r="E1199" t="s">
        <v>8</v>
      </c>
      <c r="F1199" s="28">
        <v>5129</v>
      </c>
      <c r="G1199" t="s">
        <v>177</v>
      </c>
      <c r="H1199" s="1">
        <v>843034</v>
      </c>
      <c r="I1199" s="1">
        <v>114488.69949814492</v>
      </c>
      <c r="J1199" s="1">
        <v>957522.69949814491</v>
      </c>
    </row>
    <row r="1200" spans="1:10" x14ac:dyDescent="0.2">
      <c r="A1200">
        <v>2009320</v>
      </c>
      <c r="B1200">
        <v>2023</v>
      </c>
      <c r="C1200" t="s">
        <v>6</v>
      </c>
      <c r="D1200" t="s">
        <v>7</v>
      </c>
      <c r="E1200" t="s">
        <v>8</v>
      </c>
      <c r="F1200" s="28">
        <v>5129</v>
      </c>
      <c r="G1200" s="10" t="s">
        <v>177</v>
      </c>
      <c r="H1200" s="1">
        <v>852433</v>
      </c>
      <c r="I1200" s="1">
        <v>119343.1570851725</v>
      </c>
      <c r="J1200" s="1">
        <v>971776.15708517248</v>
      </c>
    </row>
    <row r="1201" spans="1:10" x14ac:dyDescent="0.2">
      <c r="A1201">
        <v>2010620</v>
      </c>
      <c r="B1201">
        <v>2015</v>
      </c>
      <c r="C1201" t="s">
        <v>6</v>
      </c>
      <c r="D1201" t="s">
        <v>7</v>
      </c>
      <c r="E1201" t="s">
        <v>8</v>
      </c>
      <c r="F1201" s="29">
        <v>5130</v>
      </c>
      <c r="G1201" s="3" t="s">
        <v>178</v>
      </c>
      <c r="H1201" s="27">
        <v>488148</v>
      </c>
      <c r="I1201" s="1">
        <v>78627.971290105459</v>
      </c>
      <c r="J1201" s="1">
        <v>566775.97129010549</v>
      </c>
    </row>
    <row r="1202" spans="1:10" x14ac:dyDescent="0.2">
      <c r="A1202">
        <v>2010620</v>
      </c>
      <c r="B1202">
        <v>2016</v>
      </c>
      <c r="C1202" t="s">
        <v>6</v>
      </c>
      <c r="D1202" t="s">
        <v>7</v>
      </c>
      <c r="E1202" t="s">
        <v>8</v>
      </c>
      <c r="F1202" s="29">
        <v>5130</v>
      </c>
      <c r="G1202" s="3" t="s">
        <v>178</v>
      </c>
      <c r="H1202" s="1">
        <v>491091</v>
      </c>
      <c r="I1202" s="26">
        <v>1297014.4293867608</v>
      </c>
      <c r="J1202" s="26">
        <v>1788105.4293867608</v>
      </c>
    </row>
    <row r="1203" spans="1:10" x14ac:dyDescent="0.2">
      <c r="A1203">
        <v>2010620</v>
      </c>
      <c r="B1203">
        <v>2017</v>
      </c>
      <c r="C1203" t="s">
        <v>6</v>
      </c>
      <c r="D1203" t="s">
        <v>7</v>
      </c>
      <c r="E1203" t="s">
        <v>8</v>
      </c>
      <c r="F1203" s="29">
        <v>5130</v>
      </c>
      <c r="G1203" s="3" t="s">
        <v>178</v>
      </c>
      <c r="H1203" s="1">
        <v>488322</v>
      </c>
      <c r="I1203" s="1">
        <v>76205.402726810091</v>
      </c>
      <c r="J1203" s="1">
        <v>564527.40272681008</v>
      </c>
    </row>
    <row r="1204" spans="1:10" x14ac:dyDescent="0.2">
      <c r="A1204">
        <v>2010620</v>
      </c>
      <c r="B1204">
        <v>2018</v>
      </c>
      <c r="C1204" t="s">
        <v>6</v>
      </c>
      <c r="D1204" t="s">
        <v>7</v>
      </c>
      <c r="E1204" t="s">
        <v>8</v>
      </c>
      <c r="F1204" s="28">
        <v>5130</v>
      </c>
      <c r="G1204" t="s">
        <v>178</v>
      </c>
      <c r="H1204" s="1">
        <v>519240</v>
      </c>
      <c r="I1204" s="1">
        <v>78519.133917545507</v>
      </c>
      <c r="J1204" s="1">
        <v>597759.13391754555</v>
      </c>
    </row>
    <row r="1205" spans="1:10" x14ac:dyDescent="0.2">
      <c r="A1205">
        <v>2010620</v>
      </c>
      <c r="B1205">
        <v>2019</v>
      </c>
      <c r="C1205" t="s">
        <v>6</v>
      </c>
      <c r="D1205" t="s">
        <v>7</v>
      </c>
      <c r="E1205" t="s">
        <v>8</v>
      </c>
      <c r="F1205" s="28">
        <v>5130</v>
      </c>
      <c r="G1205" t="s">
        <v>178</v>
      </c>
      <c r="H1205" s="1">
        <v>592812</v>
      </c>
      <c r="I1205" s="1">
        <v>90283.976383822286</v>
      </c>
      <c r="J1205" s="1">
        <v>683095.97638382227</v>
      </c>
    </row>
    <row r="1206" spans="1:10" x14ac:dyDescent="0.2">
      <c r="A1206">
        <v>2010620</v>
      </c>
      <c r="B1206">
        <v>2020</v>
      </c>
      <c r="C1206" t="s">
        <v>6</v>
      </c>
      <c r="D1206" t="s">
        <v>7</v>
      </c>
      <c r="E1206" t="s">
        <v>8</v>
      </c>
      <c r="F1206" s="28">
        <v>5130</v>
      </c>
      <c r="G1206" t="s">
        <v>178</v>
      </c>
      <c r="H1206" s="1">
        <v>673996</v>
      </c>
      <c r="I1206" s="1">
        <v>101965.36688161302</v>
      </c>
      <c r="J1206" s="1">
        <v>775961.36688161304</v>
      </c>
    </row>
    <row r="1207" spans="1:10" x14ac:dyDescent="0.2">
      <c r="A1207">
        <v>2010620</v>
      </c>
      <c r="B1207">
        <v>2021</v>
      </c>
      <c r="C1207" t="s">
        <v>6</v>
      </c>
      <c r="D1207" t="s">
        <v>7</v>
      </c>
      <c r="E1207" t="s">
        <v>8</v>
      </c>
      <c r="F1207" s="28">
        <v>5130</v>
      </c>
      <c r="G1207" t="s">
        <v>178</v>
      </c>
      <c r="H1207" s="25">
        <v>676882</v>
      </c>
      <c r="I1207" s="1">
        <v>101053.82612218206</v>
      </c>
      <c r="J1207" s="1">
        <v>777935.82612218207</v>
      </c>
    </row>
    <row r="1208" spans="1:10" x14ac:dyDescent="0.2">
      <c r="A1208">
        <v>2010620</v>
      </c>
      <c r="B1208">
        <v>2022</v>
      </c>
      <c r="C1208" t="s">
        <v>6</v>
      </c>
      <c r="D1208" t="s">
        <v>7</v>
      </c>
      <c r="E1208" t="s">
        <v>8</v>
      </c>
      <c r="F1208" s="28">
        <v>5130</v>
      </c>
      <c r="G1208" t="s">
        <v>178</v>
      </c>
      <c r="H1208" s="1">
        <v>672393</v>
      </c>
      <c r="I1208" s="1">
        <v>91314.703940358464</v>
      </c>
      <c r="J1208" s="1">
        <v>763707.70394035848</v>
      </c>
    </row>
    <row r="1209" spans="1:10" x14ac:dyDescent="0.2">
      <c r="A1209">
        <v>2010620</v>
      </c>
      <c r="B1209">
        <v>2023</v>
      </c>
      <c r="C1209" t="s">
        <v>6</v>
      </c>
      <c r="D1209" t="s">
        <v>7</v>
      </c>
      <c r="E1209" t="s">
        <v>8</v>
      </c>
      <c r="F1209" s="28">
        <v>5130</v>
      </c>
      <c r="G1209" s="10" t="s">
        <v>178</v>
      </c>
      <c r="H1209" s="1">
        <v>696948</v>
      </c>
      <c r="I1209" s="1">
        <v>97574.794317203574</v>
      </c>
      <c r="J1209" s="1">
        <v>794522.79431720357</v>
      </c>
    </row>
    <row r="1210" spans="1:10" x14ac:dyDescent="0.2">
      <c r="A1210">
        <v>2000016</v>
      </c>
      <c r="B1210">
        <v>2015</v>
      </c>
      <c r="C1210" t="s">
        <v>6</v>
      </c>
      <c r="D1210" t="s">
        <v>7</v>
      </c>
      <c r="E1210" t="s">
        <v>8</v>
      </c>
      <c r="F1210" s="29">
        <v>5131</v>
      </c>
      <c r="G1210" s="3" t="s">
        <v>179</v>
      </c>
      <c r="H1210" s="27">
        <v>537277</v>
      </c>
      <c r="I1210" s="1">
        <v>86541.377883006775</v>
      </c>
      <c r="J1210" s="1">
        <v>623818.37788300682</v>
      </c>
    </row>
    <row r="1211" spans="1:10" x14ac:dyDescent="0.2">
      <c r="A1211">
        <v>2000016</v>
      </c>
      <c r="B1211">
        <v>2016</v>
      </c>
      <c r="C1211" t="s">
        <v>6</v>
      </c>
      <c r="D1211" t="s">
        <v>7</v>
      </c>
      <c r="E1211" t="s">
        <v>8</v>
      </c>
      <c r="F1211" s="29">
        <v>5131</v>
      </c>
      <c r="G1211" s="3" t="s">
        <v>179</v>
      </c>
      <c r="H1211" s="1">
        <v>575785</v>
      </c>
      <c r="I1211" s="26">
        <v>1520694.4865732798</v>
      </c>
      <c r="J1211" s="26">
        <v>2096479.4865732798</v>
      </c>
    </row>
    <row r="1212" spans="1:10" x14ac:dyDescent="0.2">
      <c r="A1212">
        <v>2000016</v>
      </c>
      <c r="B1212">
        <v>2017</v>
      </c>
      <c r="C1212" t="s">
        <v>6</v>
      </c>
      <c r="D1212" t="s">
        <v>7</v>
      </c>
      <c r="E1212" t="s">
        <v>8</v>
      </c>
      <c r="F1212" s="29">
        <v>5131</v>
      </c>
      <c r="G1212" s="3" t="s">
        <v>179</v>
      </c>
      <c r="H1212" s="1">
        <v>613898</v>
      </c>
      <c r="I1212" s="1">
        <v>95802.245901645365</v>
      </c>
      <c r="J1212" s="1">
        <v>709700.24590164539</v>
      </c>
    </row>
    <row r="1213" spans="1:10" x14ac:dyDescent="0.2">
      <c r="A1213">
        <v>2000016</v>
      </c>
      <c r="B1213">
        <v>2018</v>
      </c>
      <c r="C1213" t="s">
        <v>6</v>
      </c>
      <c r="D1213" t="s">
        <v>7</v>
      </c>
      <c r="E1213" t="s">
        <v>8</v>
      </c>
      <c r="F1213" s="28">
        <v>5131</v>
      </c>
      <c r="G1213" t="s">
        <v>179</v>
      </c>
      <c r="H1213" s="1">
        <v>726438</v>
      </c>
      <c r="I1213" s="1">
        <v>109851.48024958385</v>
      </c>
      <c r="J1213" s="1">
        <v>836289.48024958384</v>
      </c>
    </row>
    <row r="1214" spans="1:10" x14ac:dyDescent="0.2">
      <c r="A1214">
        <v>2000016</v>
      </c>
      <c r="B1214">
        <v>2019</v>
      </c>
      <c r="C1214" t="s">
        <v>6</v>
      </c>
      <c r="D1214" t="s">
        <v>7</v>
      </c>
      <c r="E1214" t="s">
        <v>8</v>
      </c>
      <c r="F1214" s="28">
        <v>5131</v>
      </c>
      <c r="G1214" t="s">
        <v>179</v>
      </c>
      <c r="H1214" s="1">
        <v>813156</v>
      </c>
      <c r="I1214" s="1">
        <v>123841.88764796159</v>
      </c>
      <c r="J1214" s="1">
        <v>936997.88764796162</v>
      </c>
    </row>
    <row r="1215" spans="1:10" x14ac:dyDescent="0.2">
      <c r="A1215">
        <v>2000016</v>
      </c>
      <c r="B1215">
        <v>2020</v>
      </c>
      <c r="C1215" t="s">
        <v>6</v>
      </c>
      <c r="D1215" t="s">
        <v>7</v>
      </c>
      <c r="E1215" t="s">
        <v>8</v>
      </c>
      <c r="F1215" s="28">
        <v>5131</v>
      </c>
      <c r="G1215" t="s">
        <v>179</v>
      </c>
      <c r="H1215" s="1">
        <v>916673</v>
      </c>
      <c r="I1215" s="1">
        <v>138678.71434766508</v>
      </c>
      <c r="J1215" s="1">
        <v>1055351.7143476652</v>
      </c>
    </row>
    <row r="1216" spans="1:10" x14ac:dyDescent="0.2">
      <c r="A1216">
        <v>2000016</v>
      </c>
      <c r="B1216">
        <v>2021</v>
      </c>
      <c r="C1216" t="s">
        <v>6</v>
      </c>
      <c r="D1216" t="s">
        <v>7</v>
      </c>
      <c r="E1216" t="s">
        <v>8</v>
      </c>
      <c r="F1216" s="28">
        <v>5131</v>
      </c>
      <c r="G1216" t="s">
        <v>179</v>
      </c>
      <c r="H1216" s="25">
        <v>897365</v>
      </c>
      <c r="I1216" s="1">
        <v>133970.42125234814</v>
      </c>
      <c r="J1216" s="1">
        <v>1031335.4212523481</v>
      </c>
    </row>
    <row r="1217" spans="1:10" x14ac:dyDescent="0.2">
      <c r="A1217">
        <v>2000016</v>
      </c>
      <c r="B1217">
        <v>2022</v>
      </c>
      <c r="C1217" t="s">
        <v>6</v>
      </c>
      <c r="D1217" t="s">
        <v>7</v>
      </c>
      <c r="E1217" t="s">
        <v>8</v>
      </c>
      <c r="F1217" s="28">
        <v>5131</v>
      </c>
      <c r="G1217" t="s">
        <v>179</v>
      </c>
      <c r="H1217" s="1">
        <v>866018</v>
      </c>
      <c r="I1217" s="1">
        <v>117610.05435366125</v>
      </c>
      <c r="J1217" s="1">
        <v>983628.05435366125</v>
      </c>
    </row>
    <row r="1218" spans="1:10" x14ac:dyDescent="0.2">
      <c r="A1218">
        <v>2000016</v>
      </c>
      <c r="B1218">
        <v>2023</v>
      </c>
      <c r="C1218" t="s">
        <v>6</v>
      </c>
      <c r="D1218" t="s">
        <v>7</v>
      </c>
      <c r="E1218" t="s">
        <v>8</v>
      </c>
      <c r="F1218" s="28">
        <v>5131</v>
      </c>
      <c r="G1218" s="10" t="s">
        <v>179</v>
      </c>
      <c r="H1218" s="1">
        <v>822641</v>
      </c>
      <c r="I1218" s="1">
        <v>115172.18841563312</v>
      </c>
      <c r="J1218" s="1">
        <v>937813.18841563317</v>
      </c>
    </row>
    <row r="1219" spans="1:10" x14ac:dyDescent="0.2">
      <c r="A1219">
        <v>2010500</v>
      </c>
      <c r="B1219">
        <v>2015</v>
      </c>
      <c r="C1219" t="s">
        <v>6</v>
      </c>
      <c r="D1219" t="s">
        <v>7</v>
      </c>
      <c r="E1219" t="s">
        <v>8</v>
      </c>
      <c r="F1219" s="29">
        <v>5132</v>
      </c>
      <c r="G1219" s="3" t="s">
        <v>180</v>
      </c>
      <c r="H1219" s="27">
        <v>2015212</v>
      </c>
      <c r="I1219" s="1">
        <v>324598.34164940956</v>
      </c>
      <c r="J1219" s="1">
        <v>2339810.3416494094</v>
      </c>
    </row>
    <row r="1220" spans="1:10" x14ac:dyDescent="0.2">
      <c r="A1220">
        <v>2010500</v>
      </c>
      <c r="B1220">
        <v>2016</v>
      </c>
      <c r="C1220" t="s">
        <v>6</v>
      </c>
      <c r="D1220" t="s">
        <v>7</v>
      </c>
      <c r="E1220" t="s">
        <v>8</v>
      </c>
      <c r="F1220" s="29">
        <v>5132</v>
      </c>
      <c r="G1220" s="3" t="s">
        <v>180</v>
      </c>
      <c r="H1220" s="1">
        <v>2157444</v>
      </c>
      <c r="I1220" s="26">
        <v>5698008.0382077964</v>
      </c>
      <c r="J1220" s="26">
        <v>7855452.0382077964</v>
      </c>
    </row>
    <row r="1221" spans="1:10" x14ac:dyDescent="0.2">
      <c r="A1221">
        <v>2010500</v>
      </c>
      <c r="B1221">
        <v>2017</v>
      </c>
      <c r="C1221" t="s">
        <v>6</v>
      </c>
      <c r="D1221" t="s">
        <v>7</v>
      </c>
      <c r="E1221" t="s">
        <v>8</v>
      </c>
      <c r="F1221" s="29">
        <v>5132</v>
      </c>
      <c r="G1221" s="3" t="s">
        <v>180</v>
      </c>
      <c r="H1221" s="1">
        <v>2225382</v>
      </c>
      <c r="I1221" s="1">
        <v>347283.41449083621</v>
      </c>
      <c r="J1221" s="1">
        <v>2572665.4144908362</v>
      </c>
    </row>
    <row r="1222" spans="1:10" x14ac:dyDescent="0.2">
      <c r="A1222">
        <v>2010500</v>
      </c>
      <c r="B1222">
        <v>2018</v>
      </c>
      <c r="C1222" t="s">
        <v>6</v>
      </c>
      <c r="D1222" t="s">
        <v>7</v>
      </c>
      <c r="E1222" t="s">
        <v>8</v>
      </c>
      <c r="F1222" s="28">
        <v>5132</v>
      </c>
      <c r="G1222" t="s">
        <v>180</v>
      </c>
      <c r="H1222" s="1">
        <v>2728655</v>
      </c>
      <c r="I1222" s="1">
        <v>412625.42824085226</v>
      </c>
      <c r="J1222" s="1">
        <v>3141280.4282408524</v>
      </c>
    </row>
    <row r="1223" spans="1:10" x14ac:dyDescent="0.2">
      <c r="A1223">
        <v>2010500</v>
      </c>
      <c r="B1223">
        <v>2019</v>
      </c>
      <c r="C1223" t="s">
        <v>6</v>
      </c>
      <c r="D1223" t="s">
        <v>7</v>
      </c>
      <c r="E1223" t="s">
        <v>8</v>
      </c>
      <c r="F1223" s="28">
        <v>5132</v>
      </c>
      <c r="G1223" t="s">
        <v>180</v>
      </c>
      <c r="H1223" s="1">
        <v>3100519</v>
      </c>
      <c r="I1223" s="1">
        <v>472202.29039491835</v>
      </c>
      <c r="J1223" s="1">
        <v>3572721.2903949185</v>
      </c>
    </row>
    <row r="1224" spans="1:10" x14ac:dyDescent="0.2">
      <c r="A1224">
        <v>2010500</v>
      </c>
      <c r="B1224">
        <v>2020</v>
      </c>
      <c r="C1224" t="s">
        <v>6</v>
      </c>
      <c r="D1224" t="s">
        <v>7</v>
      </c>
      <c r="E1224" t="s">
        <v>8</v>
      </c>
      <c r="F1224" s="28">
        <v>5132</v>
      </c>
      <c r="G1224" t="s">
        <v>180</v>
      </c>
      <c r="H1224" s="1">
        <v>3470609</v>
      </c>
      <c r="I1224" s="1">
        <v>525050.47505864745</v>
      </c>
      <c r="J1224" s="1">
        <v>3995659.4750586473</v>
      </c>
    </row>
    <row r="1225" spans="1:10" x14ac:dyDescent="0.2">
      <c r="A1225">
        <v>2010500</v>
      </c>
      <c r="B1225">
        <v>2021</v>
      </c>
      <c r="C1225" t="s">
        <v>6</v>
      </c>
      <c r="D1225" t="s">
        <v>7</v>
      </c>
      <c r="E1225" t="s">
        <v>8</v>
      </c>
      <c r="F1225" s="28">
        <v>5132</v>
      </c>
      <c r="G1225" t="s">
        <v>180</v>
      </c>
      <c r="H1225" s="25">
        <v>3410077</v>
      </c>
      <c r="I1225" s="1">
        <v>509101.03713978536</v>
      </c>
      <c r="J1225" s="1">
        <v>3919178.0371397855</v>
      </c>
    </row>
    <row r="1226" spans="1:10" x14ac:dyDescent="0.2">
      <c r="A1226">
        <v>2010500</v>
      </c>
      <c r="B1226">
        <v>2022</v>
      </c>
      <c r="C1226" t="s">
        <v>6</v>
      </c>
      <c r="D1226" t="s">
        <v>7</v>
      </c>
      <c r="E1226" t="s">
        <v>8</v>
      </c>
      <c r="F1226" s="28">
        <v>5132</v>
      </c>
      <c r="G1226" t="s">
        <v>180</v>
      </c>
      <c r="H1226" s="1">
        <v>3221205</v>
      </c>
      <c r="I1226" s="1">
        <v>437457.52990617446</v>
      </c>
      <c r="J1226" s="1">
        <v>3658662.5299061746</v>
      </c>
    </row>
    <row r="1227" spans="1:10" x14ac:dyDescent="0.2">
      <c r="A1227">
        <v>2010500</v>
      </c>
      <c r="B1227">
        <v>2023</v>
      </c>
      <c r="C1227" t="s">
        <v>6</v>
      </c>
      <c r="D1227" t="s">
        <v>7</v>
      </c>
      <c r="E1227" t="s">
        <v>8</v>
      </c>
      <c r="F1227" s="28">
        <v>5132</v>
      </c>
      <c r="G1227" s="10" t="s">
        <v>180</v>
      </c>
      <c r="H1227" s="1">
        <v>3173536</v>
      </c>
      <c r="I1227" s="1">
        <v>444304.48535362893</v>
      </c>
      <c r="J1227" s="1">
        <v>3617840.4853536291</v>
      </c>
    </row>
    <row r="1228" spans="1:10" x14ac:dyDescent="0.2">
      <c r="A1228">
        <v>2011820</v>
      </c>
      <c r="B1228">
        <v>2015</v>
      </c>
      <c r="C1228" t="s">
        <v>6</v>
      </c>
      <c r="D1228" t="s">
        <v>7</v>
      </c>
      <c r="E1228" t="s">
        <v>8</v>
      </c>
      <c r="F1228" s="29">
        <v>5133</v>
      </c>
      <c r="G1228" s="3" t="s">
        <v>361</v>
      </c>
      <c r="H1228" s="27">
        <v>199660</v>
      </c>
      <c r="I1228" s="1">
        <v>32160.043158596276</v>
      </c>
      <c r="J1228" s="1">
        <v>231820.04315859627</v>
      </c>
    </row>
    <row r="1229" spans="1:10" x14ac:dyDescent="0.2">
      <c r="A1229">
        <v>2011820</v>
      </c>
      <c r="B1229">
        <v>2016</v>
      </c>
      <c r="C1229" t="s">
        <v>6</v>
      </c>
      <c r="D1229" t="s">
        <v>7</v>
      </c>
      <c r="E1229" t="s">
        <v>8</v>
      </c>
      <c r="F1229" s="29">
        <v>5133</v>
      </c>
      <c r="G1229" s="3" t="s">
        <v>361</v>
      </c>
      <c r="H1229" s="1">
        <v>220478</v>
      </c>
      <c r="I1229" s="26">
        <v>582305.32219910773</v>
      </c>
      <c r="J1229" s="26">
        <v>802783.32219910773</v>
      </c>
    </row>
    <row r="1230" spans="1:10" x14ac:dyDescent="0.2">
      <c r="A1230">
        <v>2011820</v>
      </c>
      <c r="B1230">
        <v>2017</v>
      </c>
      <c r="C1230" t="s">
        <v>6</v>
      </c>
      <c r="D1230" t="s">
        <v>7</v>
      </c>
      <c r="E1230" t="s">
        <v>8</v>
      </c>
      <c r="F1230" s="29">
        <v>5133</v>
      </c>
      <c r="G1230" s="3" t="s">
        <v>361</v>
      </c>
      <c r="H1230" s="1">
        <v>180987</v>
      </c>
      <c r="I1230" s="1">
        <v>28244.042298559511</v>
      </c>
      <c r="J1230" s="1">
        <v>209231.04229855951</v>
      </c>
    </row>
    <row r="1231" spans="1:10" x14ac:dyDescent="0.2">
      <c r="A1231">
        <v>2011820</v>
      </c>
      <c r="B1231">
        <v>2018</v>
      </c>
      <c r="C1231" t="s">
        <v>6</v>
      </c>
      <c r="D1231" t="s">
        <v>7</v>
      </c>
      <c r="E1231" t="s">
        <v>8</v>
      </c>
      <c r="F1231" s="28">
        <v>5133</v>
      </c>
      <c r="G1231" t="s">
        <v>361</v>
      </c>
      <c r="H1231" s="1">
        <v>272819</v>
      </c>
      <c r="I1231" s="1">
        <v>41255.511124433491</v>
      </c>
      <c r="J1231" s="1">
        <v>314074.51112443348</v>
      </c>
    </row>
    <row r="1232" spans="1:10" x14ac:dyDescent="0.2">
      <c r="A1232">
        <v>2011820</v>
      </c>
      <c r="B1232">
        <v>2019</v>
      </c>
      <c r="C1232" t="s">
        <v>6</v>
      </c>
      <c r="D1232" t="s">
        <v>7</v>
      </c>
      <c r="E1232" t="s">
        <v>8</v>
      </c>
      <c r="F1232" s="28">
        <v>5133</v>
      </c>
      <c r="G1232" t="s">
        <v>361</v>
      </c>
      <c r="H1232" s="1">
        <v>268732</v>
      </c>
      <c r="I1232" s="1">
        <v>40927.298269227569</v>
      </c>
      <c r="J1232" s="1">
        <v>309659.29826922755</v>
      </c>
    </row>
    <row r="1233" spans="1:10" x14ac:dyDescent="0.2">
      <c r="A1233">
        <v>2011820</v>
      </c>
      <c r="B1233">
        <v>2020</v>
      </c>
      <c r="C1233" t="s">
        <v>6</v>
      </c>
      <c r="D1233" t="s">
        <v>7</v>
      </c>
      <c r="E1233" t="s">
        <v>8</v>
      </c>
      <c r="F1233" s="28">
        <v>5133</v>
      </c>
      <c r="G1233" t="s">
        <v>361</v>
      </c>
      <c r="H1233" s="1">
        <v>300645</v>
      </c>
      <c r="I1233" s="1">
        <v>45483.026199150365</v>
      </c>
      <c r="J1233" s="1">
        <v>346128.02619915036</v>
      </c>
    </row>
    <row r="1234" spans="1:10" x14ac:dyDescent="0.2">
      <c r="A1234">
        <v>2011820</v>
      </c>
      <c r="B1234">
        <v>2021</v>
      </c>
      <c r="C1234" t="s">
        <v>6</v>
      </c>
      <c r="D1234" t="s">
        <v>7</v>
      </c>
      <c r="E1234" t="s">
        <v>8</v>
      </c>
      <c r="F1234" s="28">
        <v>5133</v>
      </c>
      <c r="G1234" t="s">
        <v>181</v>
      </c>
      <c r="H1234" s="25">
        <v>334231</v>
      </c>
      <c r="I1234" s="1">
        <v>49898.389022965646</v>
      </c>
      <c r="J1234" s="1">
        <v>384129.38902296562</v>
      </c>
    </row>
    <row r="1235" spans="1:10" x14ac:dyDescent="0.2">
      <c r="A1235">
        <v>2011820</v>
      </c>
      <c r="B1235">
        <v>2022</v>
      </c>
      <c r="C1235" t="s">
        <v>6</v>
      </c>
      <c r="D1235" t="s">
        <v>7</v>
      </c>
      <c r="E1235" t="s">
        <v>8</v>
      </c>
      <c r="F1235" s="28">
        <v>5133</v>
      </c>
      <c r="G1235" t="s">
        <v>181</v>
      </c>
      <c r="H1235" s="1">
        <v>300345</v>
      </c>
      <c r="I1235" s="1">
        <v>40788.519147235267</v>
      </c>
      <c r="J1235" s="1">
        <v>341133.51914723526</v>
      </c>
    </row>
    <row r="1236" spans="1:10" x14ac:dyDescent="0.2">
      <c r="A1236">
        <v>2011820</v>
      </c>
      <c r="B1236">
        <v>2023</v>
      </c>
      <c r="C1236" t="s">
        <v>6</v>
      </c>
      <c r="D1236" t="s">
        <v>7</v>
      </c>
      <c r="E1236" t="s">
        <v>8</v>
      </c>
      <c r="F1236" s="28">
        <v>5133</v>
      </c>
      <c r="G1236" s="10" t="s">
        <v>181</v>
      </c>
      <c r="H1236" s="1">
        <v>311482</v>
      </c>
      <c r="I1236" s="1">
        <v>43608.407059796722</v>
      </c>
      <c r="J1236" s="1">
        <v>355090.40705979674</v>
      </c>
    </row>
    <row r="1237" spans="1:10" x14ac:dyDescent="0.2">
      <c r="A1237">
        <v>2011760</v>
      </c>
      <c r="B1237">
        <v>2015</v>
      </c>
      <c r="C1237" t="s">
        <v>6</v>
      </c>
      <c r="D1237" t="s">
        <v>7</v>
      </c>
      <c r="E1237" t="s">
        <v>8</v>
      </c>
      <c r="F1237" s="29">
        <v>5134</v>
      </c>
      <c r="G1237" s="3" t="s">
        <v>182</v>
      </c>
      <c r="H1237" s="27">
        <v>199868</v>
      </c>
      <c r="I1237" s="1">
        <v>32193.546559262351</v>
      </c>
      <c r="J1237" s="1">
        <v>232061.54655926235</v>
      </c>
    </row>
    <row r="1238" spans="1:10" x14ac:dyDescent="0.2">
      <c r="A1238">
        <v>2011760</v>
      </c>
      <c r="B1238">
        <v>2016</v>
      </c>
      <c r="C1238" t="s">
        <v>6</v>
      </c>
      <c r="D1238" t="s">
        <v>7</v>
      </c>
      <c r="E1238" t="s">
        <v>8</v>
      </c>
      <c r="F1238" s="29">
        <v>5134</v>
      </c>
      <c r="G1238" s="3" t="s">
        <v>182</v>
      </c>
      <c r="H1238" s="1">
        <v>210463</v>
      </c>
      <c r="I1238" s="26">
        <v>555854.31353378692</v>
      </c>
      <c r="J1238" s="26">
        <v>766317.31353378692</v>
      </c>
    </row>
    <row r="1239" spans="1:10" x14ac:dyDescent="0.2">
      <c r="A1239">
        <v>2011760</v>
      </c>
      <c r="B1239">
        <v>2017</v>
      </c>
      <c r="C1239" t="s">
        <v>6</v>
      </c>
      <c r="D1239" t="s">
        <v>7</v>
      </c>
      <c r="E1239" t="s">
        <v>8</v>
      </c>
      <c r="F1239" s="29">
        <v>5134</v>
      </c>
      <c r="G1239" s="3" t="s">
        <v>182</v>
      </c>
      <c r="H1239" s="1">
        <v>207445</v>
      </c>
      <c r="I1239" s="1">
        <v>32372.96244826799</v>
      </c>
      <c r="J1239" s="1">
        <v>239817.96244826799</v>
      </c>
    </row>
    <row r="1240" spans="1:10" x14ac:dyDescent="0.2">
      <c r="A1240">
        <v>2011760</v>
      </c>
      <c r="B1240">
        <v>2018</v>
      </c>
      <c r="C1240" t="s">
        <v>6</v>
      </c>
      <c r="D1240" t="s">
        <v>7</v>
      </c>
      <c r="E1240" t="s">
        <v>8</v>
      </c>
      <c r="F1240" s="28">
        <v>5134</v>
      </c>
      <c r="G1240" t="s">
        <v>182</v>
      </c>
      <c r="H1240" s="1">
        <v>237997</v>
      </c>
      <c r="I1240" s="1">
        <v>35989.751011043212</v>
      </c>
      <c r="J1240" s="1">
        <v>273986.7510110432</v>
      </c>
    </row>
    <row r="1241" spans="1:10" x14ac:dyDescent="0.2">
      <c r="A1241">
        <v>2011760</v>
      </c>
      <c r="B1241">
        <v>2019</v>
      </c>
      <c r="C1241" t="s">
        <v>6</v>
      </c>
      <c r="D1241" t="s">
        <v>7</v>
      </c>
      <c r="E1241" t="s">
        <v>8</v>
      </c>
      <c r="F1241" s="28">
        <v>5134</v>
      </c>
      <c r="G1241" t="s">
        <v>182</v>
      </c>
      <c r="H1241" s="1">
        <v>289055</v>
      </c>
      <c r="I1241" s="1">
        <v>44022.446903277523</v>
      </c>
      <c r="J1241" s="1">
        <v>333077.44690327754</v>
      </c>
    </row>
    <row r="1242" spans="1:10" x14ac:dyDescent="0.2">
      <c r="A1242">
        <v>2011760</v>
      </c>
      <c r="B1242">
        <v>2020</v>
      </c>
      <c r="C1242" t="s">
        <v>6</v>
      </c>
      <c r="D1242" t="s">
        <v>7</v>
      </c>
      <c r="E1242" t="s">
        <v>8</v>
      </c>
      <c r="F1242" s="28">
        <v>5134</v>
      </c>
      <c r="G1242" t="s">
        <v>182</v>
      </c>
      <c r="H1242" s="1">
        <v>309596</v>
      </c>
      <c r="I1242" s="1">
        <v>46837.176667339074</v>
      </c>
      <c r="J1242" s="1">
        <v>356433.17666733905</v>
      </c>
    </row>
    <row r="1243" spans="1:10" x14ac:dyDescent="0.2">
      <c r="A1243">
        <v>2011760</v>
      </c>
      <c r="B1243">
        <v>2021</v>
      </c>
      <c r="C1243" t="s">
        <v>6</v>
      </c>
      <c r="D1243" t="s">
        <v>7</v>
      </c>
      <c r="E1243" t="s">
        <v>8</v>
      </c>
      <c r="F1243" s="28">
        <v>5134</v>
      </c>
      <c r="G1243" t="s">
        <v>182</v>
      </c>
      <c r="H1243" s="25">
        <v>340771</v>
      </c>
      <c r="I1243" s="1">
        <v>50874.766032310064</v>
      </c>
      <c r="J1243" s="1">
        <v>391645.76603231009</v>
      </c>
    </row>
    <row r="1244" spans="1:10" x14ac:dyDescent="0.2">
      <c r="A1244">
        <v>2011760</v>
      </c>
      <c r="B1244">
        <v>2022</v>
      </c>
      <c r="C1244" t="s">
        <v>6</v>
      </c>
      <c r="D1244" t="s">
        <v>7</v>
      </c>
      <c r="E1244" t="s">
        <v>8</v>
      </c>
      <c r="F1244" s="28">
        <v>5134</v>
      </c>
      <c r="G1244" t="s">
        <v>182</v>
      </c>
      <c r="H1244" s="1">
        <v>326130</v>
      </c>
      <c r="I1244" s="1">
        <v>44290.265359795696</v>
      </c>
      <c r="J1244" s="1">
        <v>370420.26535979571</v>
      </c>
    </row>
    <row r="1245" spans="1:10" x14ac:dyDescent="0.2">
      <c r="A1245">
        <v>2011760</v>
      </c>
      <c r="B1245">
        <v>2023</v>
      </c>
      <c r="C1245" t="s">
        <v>6</v>
      </c>
      <c r="D1245" t="s">
        <v>7</v>
      </c>
      <c r="E1245" t="s">
        <v>8</v>
      </c>
      <c r="F1245" s="28">
        <v>5134</v>
      </c>
      <c r="G1245" s="10" t="s">
        <v>182</v>
      </c>
      <c r="H1245" s="1">
        <v>336620</v>
      </c>
      <c r="I1245" s="1">
        <v>47127.80187769686</v>
      </c>
      <c r="J1245" s="1">
        <v>383747.80187769688</v>
      </c>
    </row>
    <row r="1246" spans="1:10" x14ac:dyDescent="0.2">
      <c r="A1246">
        <v>2003630</v>
      </c>
      <c r="B1246">
        <v>2015</v>
      </c>
      <c r="C1246" t="s">
        <v>6</v>
      </c>
      <c r="D1246" t="s">
        <v>7</v>
      </c>
      <c r="E1246" t="s">
        <v>8</v>
      </c>
      <c r="F1246" s="29">
        <v>5135</v>
      </c>
      <c r="G1246" s="3" t="s">
        <v>183</v>
      </c>
      <c r="H1246" s="27">
        <v>974157</v>
      </c>
      <c r="I1246" s="1">
        <v>156911.40520509201</v>
      </c>
      <c r="J1246" s="1">
        <v>1131068.4052050919</v>
      </c>
    </row>
    <row r="1247" spans="1:10" x14ac:dyDescent="0.2">
      <c r="A1247">
        <v>2003630</v>
      </c>
      <c r="B1247">
        <v>2016</v>
      </c>
      <c r="C1247" t="s">
        <v>6</v>
      </c>
      <c r="D1247" t="s">
        <v>7</v>
      </c>
      <c r="E1247" t="s">
        <v>8</v>
      </c>
      <c r="F1247" s="29">
        <v>5135</v>
      </c>
      <c r="G1247" s="3" t="s">
        <v>183</v>
      </c>
      <c r="H1247" s="1">
        <v>1122560</v>
      </c>
      <c r="I1247" s="26">
        <v>2964787.2889630408</v>
      </c>
      <c r="J1247" s="26">
        <v>4087347.2889630408</v>
      </c>
    </row>
    <row r="1248" spans="1:10" x14ac:dyDescent="0.2">
      <c r="A1248">
        <v>2003630</v>
      </c>
      <c r="B1248">
        <v>2017</v>
      </c>
      <c r="C1248" t="s">
        <v>6</v>
      </c>
      <c r="D1248" t="s">
        <v>7</v>
      </c>
      <c r="E1248" t="s">
        <v>8</v>
      </c>
      <c r="F1248" s="29">
        <v>5135</v>
      </c>
      <c r="G1248" s="3" t="s">
        <v>183</v>
      </c>
      <c r="H1248" s="1">
        <v>1159508</v>
      </c>
      <c r="I1248" s="1">
        <v>180947.76419034597</v>
      </c>
      <c r="J1248" s="1">
        <v>1340455.764190346</v>
      </c>
    </row>
    <row r="1249" spans="1:10" x14ac:dyDescent="0.2">
      <c r="A1249">
        <v>2003630</v>
      </c>
      <c r="B1249">
        <v>2018</v>
      </c>
      <c r="C1249" t="s">
        <v>6</v>
      </c>
      <c r="D1249" t="s">
        <v>7</v>
      </c>
      <c r="E1249" t="s">
        <v>8</v>
      </c>
      <c r="F1249" s="28">
        <v>5135</v>
      </c>
      <c r="G1249" t="s">
        <v>183</v>
      </c>
      <c r="H1249" s="1">
        <v>1352224</v>
      </c>
      <c r="I1249" s="1">
        <v>204482.43074978632</v>
      </c>
      <c r="J1249" s="1">
        <v>1556706.4307497863</v>
      </c>
    </row>
    <row r="1250" spans="1:10" x14ac:dyDescent="0.2">
      <c r="A1250">
        <v>2003630</v>
      </c>
      <c r="B1250">
        <v>2019</v>
      </c>
      <c r="C1250" t="s">
        <v>6</v>
      </c>
      <c r="D1250" t="s">
        <v>7</v>
      </c>
      <c r="E1250" t="s">
        <v>8</v>
      </c>
      <c r="F1250" s="28">
        <v>5135</v>
      </c>
      <c r="G1250" t="s">
        <v>183</v>
      </c>
      <c r="H1250" s="1">
        <v>1493818</v>
      </c>
      <c r="I1250" s="1">
        <v>227505.22768386715</v>
      </c>
      <c r="J1250" s="1">
        <v>1721323.2276838671</v>
      </c>
    </row>
    <row r="1251" spans="1:10" x14ac:dyDescent="0.2">
      <c r="A1251">
        <v>2003630</v>
      </c>
      <c r="B1251">
        <v>2020</v>
      </c>
      <c r="C1251" t="s">
        <v>6</v>
      </c>
      <c r="D1251" t="s">
        <v>7</v>
      </c>
      <c r="E1251" t="s">
        <v>8</v>
      </c>
      <c r="F1251" s="28">
        <v>5135</v>
      </c>
      <c r="G1251" t="s">
        <v>183</v>
      </c>
      <c r="H1251" s="1">
        <v>1647199</v>
      </c>
      <c r="I1251" s="1">
        <v>249196.21238408849</v>
      </c>
      <c r="J1251" s="1">
        <v>1896395.2123840884</v>
      </c>
    </row>
    <row r="1252" spans="1:10" x14ac:dyDescent="0.2">
      <c r="A1252">
        <v>2003630</v>
      </c>
      <c r="B1252">
        <v>2021</v>
      </c>
      <c r="C1252" t="s">
        <v>6</v>
      </c>
      <c r="D1252" t="s">
        <v>7</v>
      </c>
      <c r="E1252" t="s">
        <v>8</v>
      </c>
      <c r="F1252" s="28">
        <v>5135</v>
      </c>
      <c r="G1252" t="s">
        <v>183</v>
      </c>
      <c r="H1252" s="25">
        <v>1612879</v>
      </c>
      <c r="I1252" s="1">
        <v>240791.73921321426</v>
      </c>
      <c r="J1252" s="1">
        <v>1853670.7392132143</v>
      </c>
    </row>
    <row r="1253" spans="1:10" x14ac:dyDescent="0.2">
      <c r="A1253">
        <v>2003630</v>
      </c>
      <c r="B1253">
        <v>2022</v>
      </c>
      <c r="C1253" t="s">
        <v>6</v>
      </c>
      <c r="D1253" t="s">
        <v>7</v>
      </c>
      <c r="E1253" t="s">
        <v>8</v>
      </c>
      <c r="F1253" s="28">
        <v>5135</v>
      </c>
      <c r="G1253" t="s">
        <v>183</v>
      </c>
      <c r="H1253" s="1">
        <v>1558997</v>
      </c>
      <c r="I1253" s="1">
        <v>211720.45143079571</v>
      </c>
      <c r="J1253" s="1">
        <v>1770717.4514307957</v>
      </c>
    </row>
    <row r="1254" spans="1:10" x14ac:dyDescent="0.2">
      <c r="A1254">
        <v>2003630</v>
      </c>
      <c r="B1254">
        <v>2023</v>
      </c>
      <c r="C1254" t="s">
        <v>6</v>
      </c>
      <c r="D1254" t="s">
        <v>7</v>
      </c>
      <c r="E1254" t="s">
        <v>8</v>
      </c>
      <c r="F1254" s="28">
        <v>5135</v>
      </c>
      <c r="G1254" s="10" t="s">
        <v>183</v>
      </c>
      <c r="H1254" s="1">
        <v>1548608</v>
      </c>
      <c r="I1254" s="1">
        <v>216809.7291017063</v>
      </c>
      <c r="J1254" s="1">
        <v>1765417.7291017063</v>
      </c>
    </row>
    <row r="1255" spans="1:10" x14ac:dyDescent="0.2">
      <c r="A1255">
        <v>2012600</v>
      </c>
      <c r="B1255">
        <v>2015</v>
      </c>
      <c r="C1255" t="s">
        <v>6</v>
      </c>
      <c r="D1255" t="s">
        <v>7</v>
      </c>
      <c r="E1255" t="s">
        <v>8</v>
      </c>
      <c r="F1255" s="29">
        <v>5137</v>
      </c>
      <c r="G1255" s="3" t="s">
        <v>184</v>
      </c>
      <c r="H1255" s="27">
        <v>152976</v>
      </c>
      <c r="I1255" s="1">
        <v>24640.462597562975</v>
      </c>
      <c r="J1255" s="1">
        <v>177616.46259756299</v>
      </c>
    </row>
    <row r="1256" spans="1:10" x14ac:dyDescent="0.2">
      <c r="A1256">
        <v>2012600</v>
      </c>
      <c r="B1256">
        <v>2016</v>
      </c>
      <c r="C1256" t="s">
        <v>6</v>
      </c>
      <c r="D1256" t="s">
        <v>7</v>
      </c>
      <c r="E1256" t="s">
        <v>8</v>
      </c>
      <c r="F1256" s="29">
        <v>5137</v>
      </c>
      <c r="G1256" s="3" t="s">
        <v>184</v>
      </c>
      <c r="H1256" s="1">
        <v>148655</v>
      </c>
      <c r="I1256" s="26">
        <v>392606.33103541005</v>
      </c>
      <c r="J1256" s="26">
        <v>541261.33103541005</v>
      </c>
    </row>
    <row r="1257" spans="1:10" x14ac:dyDescent="0.2">
      <c r="A1257">
        <v>2012600</v>
      </c>
      <c r="B1257">
        <v>2017</v>
      </c>
      <c r="C1257" t="s">
        <v>6</v>
      </c>
      <c r="D1257" t="s">
        <v>7</v>
      </c>
      <c r="E1257" t="s">
        <v>8</v>
      </c>
      <c r="F1257" s="29">
        <v>5137</v>
      </c>
      <c r="G1257" s="3" t="s">
        <v>184</v>
      </c>
      <c r="H1257" s="1">
        <v>175399</v>
      </c>
      <c r="I1257" s="1">
        <v>27372.003376623958</v>
      </c>
      <c r="J1257" s="1">
        <v>202771.00337662396</v>
      </c>
    </row>
    <row r="1258" spans="1:10" x14ac:dyDescent="0.2">
      <c r="A1258">
        <v>2012600</v>
      </c>
      <c r="B1258">
        <v>2018</v>
      </c>
      <c r="C1258" t="s">
        <v>6</v>
      </c>
      <c r="D1258" t="s">
        <v>7</v>
      </c>
      <c r="E1258" t="s">
        <v>8</v>
      </c>
      <c r="F1258" s="28">
        <v>5137</v>
      </c>
      <c r="G1258" t="s">
        <v>184</v>
      </c>
      <c r="H1258" s="1">
        <v>223691</v>
      </c>
      <c r="I1258" s="1">
        <v>33826.407027867019</v>
      </c>
      <c r="J1258" s="1">
        <v>257517.40702786701</v>
      </c>
    </row>
    <row r="1259" spans="1:10" x14ac:dyDescent="0.2">
      <c r="A1259">
        <v>2012600</v>
      </c>
      <c r="B1259">
        <v>2019</v>
      </c>
      <c r="C1259" t="s">
        <v>6</v>
      </c>
      <c r="D1259" t="s">
        <v>7</v>
      </c>
      <c r="E1259" t="s">
        <v>8</v>
      </c>
      <c r="F1259" s="28">
        <v>5137</v>
      </c>
      <c r="G1259" t="s">
        <v>184</v>
      </c>
      <c r="H1259" s="1">
        <v>227077</v>
      </c>
      <c r="I1259" s="1">
        <v>34583.332498851603</v>
      </c>
      <c r="J1259" s="1">
        <v>261660.33249885161</v>
      </c>
    </row>
    <row r="1260" spans="1:10" x14ac:dyDescent="0.2">
      <c r="A1260">
        <v>2012600</v>
      </c>
      <c r="B1260">
        <v>2020</v>
      </c>
      <c r="C1260" t="s">
        <v>6</v>
      </c>
      <c r="D1260" t="s">
        <v>7</v>
      </c>
      <c r="E1260" t="s">
        <v>8</v>
      </c>
      <c r="F1260" s="28">
        <v>5137</v>
      </c>
      <c r="G1260" t="s">
        <v>184</v>
      </c>
      <c r="H1260" s="1">
        <v>251537</v>
      </c>
      <c r="I1260" s="1">
        <v>38053.731015169666</v>
      </c>
      <c r="J1260" s="1">
        <v>289590.73101516964</v>
      </c>
    </row>
    <row r="1261" spans="1:10" x14ac:dyDescent="0.2">
      <c r="A1261">
        <v>2012600</v>
      </c>
      <c r="B1261">
        <v>2021</v>
      </c>
      <c r="C1261" t="s">
        <v>6</v>
      </c>
      <c r="D1261" t="s">
        <v>7</v>
      </c>
      <c r="E1261" t="s">
        <v>8</v>
      </c>
      <c r="F1261" s="28">
        <v>5137</v>
      </c>
      <c r="G1261" t="s">
        <v>184</v>
      </c>
      <c r="H1261" s="25">
        <v>246277</v>
      </c>
      <c r="I1261" s="1">
        <v>36767.461885369434</v>
      </c>
      <c r="J1261" s="1">
        <v>283044.46188536944</v>
      </c>
    </row>
    <row r="1262" spans="1:10" x14ac:dyDescent="0.2">
      <c r="A1262">
        <v>2012600</v>
      </c>
      <c r="B1262">
        <v>2022</v>
      </c>
      <c r="C1262" t="s">
        <v>6</v>
      </c>
      <c r="D1262" t="s">
        <v>7</v>
      </c>
      <c r="E1262" t="s">
        <v>8</v>
      </c>
      <c r="F1262" s="28">
        <v>5137</v>
      </c>
      <c r="G1262" t="s">
        <v>184</v>
      </c>
      <c r="H1262" s="1">
        <v>251377</v>
      </c>
      <c r="I1262" s="1">
        <v>34138.392773891894</v>
      </c>
      <c r="J1262" s="1">
        <v>285515.39277389192</v>
      </c>
    </row>
    <row r="1263" spans="1:10" x14ac:dyDescent="0.2">
      <c r="A1263">
        <v>2012600</v>
      </c>
      <c r="B1263">
        <v>2023</v>
      </c>
      <c r="C1263" t="s">
        <v>6</v>
      </c>
      <c r="D1263" t="s">
        <v>7</v>
      </c>
      <c r="E1263" t="s">
        <v>8</v>
      </c>
      <c r="F1263" s="28">
        <v>5137</v>
      </c>
      <c r="G1263" s="10" t="s">
        <v>184</v>
      </c>
      <c r="H1263" s="1">
        <v>238462</v>
      </c>
      <c r="I1263" s="1">
        <v>33385.389731327159</v>
      </c>
      <c r="J1263" s="1">
        <v>271847.38973132719</v>
      </c>
    </row>
    <row r="1264" spans="1:10" x14ac:dyDescent="0.2">
      <c r="A1264">
        <v>2004260</v>
      </c>
      <c r="B1264">
        <v>2015</v>
      </c>
      <c r="C1264" t="s">
        <v>6</v>
      </c>
      <c r="D1264" t="s">
        <v>7</v>
      </c>
      <c r="E1264" t="s">
        <v>8</v>
      </c>
      <c r="F1264" s="29">
        <v>5138</v>
      </c>
      <c r="G1264" s="3" t="s">
        <v>185</v>
      </c>
      <c r="H1264" s="27">
        <v>172732</v>
      </c>
      <c r="I1264" s="1">
        <v>27822.641364673203</v>
      </c>
      <c r="J1264" s="1">
        <v>200554.64136467321</v>
      </c>
    </row>
    <row r="1265" spans="1:10" x14ac:dyDescent="0.2">
      <c r="A1265">
        <v>2004260</v>
      </c>
      <c r="B1265">
        <v>2016</v>
      </c>
      <c r="C1265" t="s">
        <v>6</v>
      </c>
      <c r="D1265" t="s">
        <v>7</v>
      </c>
      <c r="E1265" t="s">
        <v>8</v>
      </c>
      <c r="F1265" s="29">
        <v>5138</v>
      </c>
      <c r="G1265" s="3" t="s">
        <v>185</v>
      </c>
      <c r="H1265" s="1">
        <v>198091</v>
      </c>
      <c r="I1265" s="26">
        <v>523170.58547956403</v>
      </c>
      <c r="J1265" s="26">
        <v>721261.58547956403</v>
      </c>
    </row>
    <row r="1266" spans="1:10" x14ac:dyDescent="0.2">
      <c r="A1266">
        <v>2004260</v>
      </c>
      <c r="B1266">
        <v>2017</v>
      </c>
      <c r="C1266" t="s">
        <v>6</v>
      </c>
      <c r="D1266" t="s">
        <v>7</v>
      </c>
      <c r="E1266" t="s">
        <v>8</v>
      </c>
      <c r="F1266" s="29">
        <v>5138</v>
      </c>
      <c r="G1266" s="3" t="s">
        <v>185</v>
      </c>
      <c r="H1266" s="1">
        <v>182776</v>
      </c>
      <c r="I1266" s="1">
        <v>28523.225840317336</v>
      </c>
      <c r="J1266" s="1">
        <v>211299.22584031735</v>
      </c>
    </row>
    <row r="1267" spans="1:10" x14ac:dyDescent="0.2">
      <c r="A1267">
        <v>2004260</v>
      </c>
      <c r="B1267">
        <v>2018</v>
      </c>
      <c r="C1267" t="s">
        <v>6</v>
      </c>
      <c r="D1267" t="s">
        <v>7</v>
      </c>
      <c r="E1267" t="s">
        <v>8</v>
      </c>
      <c r="F1267" s="28">
        <v>5138</v>
      </c>
      <c r="G1267" t="s">
        <v>185</v>
      </c>
      <c r="H1267" s="1">
        <v>204579</v>
      </c>
      <c r="I1267" s="1">
        <v>30936.302861331063</v>
      </c>
      <c r="J1267" s="1">
        <v>235515.30286133106</v>
      </c>
    </row>
    <row r="1268" spans="1:10" x14ac:dyDescent="0.2">
      <c r="A1268">
        <v>2004260</v>
      </c>
      <c r="B1268">
        <v>2019</v>
      </c>
      <c r="C1268" t="s">
        <v>6</v>
      </c>
      <c r="D1268" t="s">
        <v>7</v>
      </c>
      <c r="E1268" t="s">
        <v>8</v>
      </c>
      <c r="F1268" s="28">
        <v>5138</v>
      </c>
      <c r="G1268" t="s">
        <v>185</v>
      </c>
      <c r="H1268" s="1">
        <v>220733</v>
      </c>
      <c r="I1268" s="1">
        <v>33617.155116850285</v>
      </c>
      <c r="J1268" s="1">
        <v>254350.15511685028</v>
      </c>
    </row>
    <row r="1269" spans="1:10" x14ac:dyDescent="0.2">
      <c r="A1269">
        <v>2004260</v>
      </c>
      <c r="B1269">
        <v>2020</v>
      </c>
      <c r="C1269" t="s">
        <v>6</v>
      </c>
      <c r="D1269" t="s">
        <v>7</v>
      </c>
      <c r="E1269" t="s">
        <v>8</v>
      </c>
      <c r="F1269" s="28">
        <v>5138</v>
      </c>
      <c r="G1269" t="s">
        <v>185</v>
      </c>
      <c r="H1269" s="1">
        <v>260640</v>
      </c>
      <c r="I1269" s="1">
        <v>39430.876776751822</v>
      </c>
      <c r="J1269" s="1">
        <v>300070.87677675183</v>
      </c>
    </row>
    <row r="1270" spans="1:10" x14ac:dyDescent="0.2">
      <c r="A1270">
        <v>2004260</v>
      </c>
      <c r="B1270">
        <v>2021</v>
      </c>
      <c r="C1270" t="s">
        <v>6</v>
      </c>
      <c r="D1270" t="s">
        <v>7</v>
      </c>
      <c r="E1270" t="s">
        <v>8</v>
      </c>
      <c r="F1270" s="28">
        <v>5138</v>
      </c>
      <c r="G1270" t="s">
        <v>185</v>
      </c>
      <c r="H1270" s="25">
        <v>258189</v>
      </c>
      <c r="I1270" s="1">
        <v>38545.841539086665</v>
      </c>
      <c r="J1270" s="1">
        <v>296734.84153908666</v>
      </c>
    </row>
    <row r="1271" spans="1:10" x14ac:dyDescent="0.2">
      <c r="A1271">
        <v>2004260</v>
      </c>
      <c r="B1271">
        <v>2022</v>
      </c>
      <c r="C1271" t="s">
        <v>6</v>
      </c>
      <c r="D1271" t="s">
        <v>7</v>
      </c>
      <c r="E1271" t="s">
        <v>8</v>
      </c>
      <c r="F1271" s="28">
        <v>5138</v>
      </c>
      <c r="G1271" t="s">
        <v>185</v>
      </c>
      <c r="H1271" s="1">
        <v>263387</v>
      </c>
      <c r="I1271" s="1">
        <v>35769.417478675707</v>
      </c>
      <c r="J1271" s="1">
        <v>299156.41747867572</v>
      </c>
    </row>
    <row r="1272" spans="1:10" x14ac:dyDescent="0.2">
      <c r="A1272">
        <v>2004260</v>
      </c>
      <c r="B1272">
        <v>2023</v>
      </c>
      <c r="C1272" t="s">
        <v>6</v>
      </c>
      <c r="D1272" t="s">
        <v>7</v>
      </c>
      <c r="E1272" t="s">
        <v>8</v>
      </c>
      <c r="F1272" s="28">
        <v>5138</v>
      </c>
      <c r="G1272" s="10" t="s">
        <v>185</v>
      </c>
      <c r="H1272" s="1">
        <v>256012</v>
      </c>
      <c r="I1272" s="1">
        <v>35842.441965162288</v>
      </c>
      <c r="J1272" s="1">
        <v>291854.44196516229</v>
      </c>
    </row>
    <row r="1273" spans="1:10" x14ac:dyDescent="0.2">
      <c r="A1273">
        <v>2012390</v>
      </c>
      <c r="B1273">
        <v>2015</v>
      </c>
      <c r="C1273" t="s">
        <v>6</v>
      </c>
      <c r="D1273" t="s">
        <v>7</v>
      </c>
      <c r="E1273" t="s">
        <v>8</v>
      </c>
      <c r="F1273" s="29">
        <v>5140</v>
      </c>
      <c r="G1273" s="3" t="s">
        <v>186</v>
      </c>
      <c r="H1273" s="27">
        <v>206320</v>
      </c>
      <c r="I1273" s="1">
        <v>33232.79627607725</v>
      </c>
      <c r="J1273" s="1">
        <v>239552.79627607725</v>
      </c>
    </row>
    <row r="1274" spans="1:10" x14ac:dyDescent="0.2">
      <c r="A1274">
        <v>2012390</v>
      </c>
      <c r="B1274">
        <v>2016</v>
      </c>
      <c r="C1274" t="s">
        <v>6</v>
      </c>
      <c r="D1274" t="s">
        <v>7</v>
      </c>
      <c r="E1274" t="s">
        <v>8</v>
      </c>
      <c r="F1274" s="29">
        <v>5140</v>
      </c>
      <c r="G1274" s="3" t="s">
        <v>186</v>
      </c>
      <c r="H1274" s="1">
        <v>235609</v>
      </c>
      <c r="I1274" s="26">
        <v>622260.08710963081</v>
      </c>
      <c r="J1274" s="26">
        <v>857869.08710963081</v>
      </c>
    </row>
    <row r="1275" spans="1:10" x14ac:dyDescent="0.2">
      <c r="A1275">
        <v>2012390</v>
      </c>
      <c r="B1275">
        <v>2017</v>
      </c>
      <c r="C1275" t="s">
        <v>6</v>
      </c>
      <c r="D1275" t="s">
        <v>7</v>
      </c>
      <c r="E1275" t="s">
        <v>8</v>
      </c>
      <c r="F1275" s="29">
        <v>5140</v>
      </c>
      <c r="G1275" s="3" t="s">
        <v>186</v>
      </c>
      <c r="H1275" s="1">
        <v>260490</v>
      </c>
      <c r="I1275" s="1">
        <v>40650.933925374571</v>
      </c>
      <c r="J1275" s="1">
        <v>301140.93392537459</v>
      </c>
    </row>
    <row r="1276" spans="1:10" x14ac:dyDescent="0.2">
      <c r="A1276">
        <v>2012390</v>
      </c>
      <c r="B1276">
        <v>2018</v>
      </c>
      <c r="C1276" t="s">
        <v>6</v>
      </c>
      <c r="D1276" t="s">
        <v>7</v>
      </c>
      <c r="E1276" t="s">
        <v>8</v>
      </c>
      <c r="F1276" s="28">
        <v>5140</v>
      </c>
      <c r="G1276" t="s">
        <v>186</v>
      </c>
      <c r="H1276" s="1">
        <v>273219</v>
      </c>
      <c r="I1276" s="1">
        <v>41315.998863373126</v>
      </c>
      <c r="J1276" s="1">
        <v>314534.99886337313</v>
      </c>
    </row>
    <row r="1277" spans="1:10" x14ac:dyDescent="0.2">
      <c r="A1277">
        <v>2012390</v>
      </c>
      <c r="B1277">
        <v>2019</v>
      </c>
      <c r="C1277" t="s">
        <v>6</v>
      </c>
      <c r="D1277" t="s">
        <v>7</v>
      </c>
      <c r="E1277" t="s">
        <v>8</v>
      </c>
      <c r="F1277" s="28">
        <v>5140</v>
      </c>
      <c r="G1277" t="s">
        <v>186</v>
      </c>
      <c r="H1277" s="1">
        <v>293545</v>
      </c>
      <c r="I1277" s="1">
        <v>44706.264123514906</v>
      </c>
      <c r="J1277" s="1">
        <v>338251.26412351488</v>
      </c>
    </row>
    <row r="1278" spans="1:10" x14ac:dyDescent="0.2">
      <c r="A1278">
        <v>2012390</v>
      </c>
      <c r="B1278">
        <v>2020</v>
      </c>
      <c r="C1278" t="s">
        <v>6</v>
      </c>
      <c r="D1278" t="s">
        <v>7</v>
      </c>
      <c r="E1278" t="s">
        <v>8</v>
      </c>
      <c r="F1278" s="28">
        <v>5140</v>
      </c>
      <c r="G1278" t="s">
        <v>186</v>
      </c>
      <c r="H1278" s="1">
        <v>326218</v>
      </c>
      <c r="I1278" s="1">
        <v>49351.83302777174</v>
      </c>
      <c r="J1278" s="1">
        <v>375569.83302777173</v>
      </c>
    </row>
    <row r="1279" spans="1:10" x14ac:dyDescent="0.2">
      <c r="A1279">
        <v>2012390</v>
      </c>
      <c r="B1279">
        <v>2021</v>
      </c>
      <c r="C1279" t="s">
        <v>6</v>
      </c>
      <c r="D1279" t="s">
        <v>7</v>
      </c>
      <c r="E1279" t="s">
        <v>8</v>
      </c>
      <c r="F1279" s="28">
        <v>5140</v>
      </c>
      <c r="G1279" t="s">
        <v>186</v>
      </c>
      <c r="H1279" s="25">
        <v>351088</v>
      </c>
      <c r="I1279" s="1">
        <v>52415.023158518998</v>
      </c>
      <c r="J1279" s="1">
        <v>403503.023158519</v>
      </c>
    </row>
    <row r="1280" spans="1:10" x14ac:dyDescent="0.2">
      <c r="A1280">
        <v>2012390</v>
      </c>
      <c r="B1280">
        <v>2022</v>
      </c>
      <c r="C1280" t="s">
        <v>6</v>
      </c>
      <c r="D1280" t="s">
        <v>7</v>
      </c>
      <c r="E1280" t="s">
        <v>8</v>
      </c>
      <c r="F1280" s="28">
        <v>5140</v>
      </c>
      <c r="G1280" t="s">
        <v>186</v>
      </c>
      <c r="H1280" s="1">
        <v>343825</v>
      </c>
      <c r="I1280" s="1">
        <v>46693.34463965828</v>
      </c>
      <c r="J1280" s="1">
        <v>390518.34463965829</v>
      </c>
    </row>
    <row r="1281" spans="1:10" x14ac:dyDescent="0.2">
      <c r="A1281">
        <v>2012390</v>
      </c>
      <c r="B1281">
        <v>2023</v>
      </c>
      <c r="C1281" t="s">
        <v>6</v>
      </c>
      <c r="D1281" t="s">
        <v>7</v>
      </c>
      <c r="E1281" t="s">
        <v>8</v>
      </c>
      <c r="F1281" s="28">
        <v>5140</v>
      </c>
      <c r="G1281" s="10" t="s">
        <v>186</v>
      </c>
      <c r="H1281" s="1">
        <v>352680</v>
      </c>
      <c r="I1281" s="1">
        <v>49376.2496768645</v>
      </c>
      <c r="J1281" s="1">
        <v>402056.24967686448</v>
      </c>
    </row>
    <row r="1282" spans="1:10" x14ac:dyDescent="0.2">
      <c r="B1282">
        <v>2015</v>
      </c>
      <c r="C1282" t="s">
        <v>6</v>
      </c>
      <c r="D1282" t="s">
        <v>7</v>
      </c>
      <c r="E1282" t="s">
        <v>8</v>
      </c>
      <c r="F1282" s="29">
        <v>5141</v>
      </c>
      <c r="G1282" s="3" t="s">
        <v>187</v>
      </c>
      <c r="H1282" s="27">
        <v>264112</v>
      </c>
      <c r="I1282" s="1">
        <v>42541.587291912147</v>
      </c>
      <c r="J1282" s="1">
        <v>306653.58729191218</v>
      </c>
    </row>
    <row r="1283" spans="1:10" x14ac:dyDescent="0.2">
      <c r="B1283">
        <v>2016</v>
      </c>
      <c r="C1283" t="s">
        <v>6</v>
      </c>
      <c r="D1283" t="s">
        <v>7</v>
      </c>
      <c r="E1283" t="s">
        <v>8</v>
      </c>
      <c r="F1283" s="29">
        <v>5141</v>
      </c>
      <c r="G1283" s="3" t="s">
        <v>187</v>
      </c>
      <c r="H1283" s="1">
        <v>295341</v>
      </c>
      <c r="I1283" s="26">
        <v>780027.62144571706</v>
      </c>
      <c r="J1283" s="26">
        <v>1075368.6214457171</v>
      </c>
    </row>
    <row r="1284" spans="1:10" x14ac:dyDescent="0.2">
      <c r="B1284">
        <v>2017</v>
      </c>
      <c r="C1284" t="s">
        <v>6</v>
      </c>
      <c r="D1284" t="s">
        <v>7</v>
      </c>
      <c r="E1284" t="s">
        <v>8</v>
      </c>
      <c r="F1284" s="29">
        <v>5141</v>
      </c>
      <c r="G1284" s="3" t="s">
        <v>187</v>
      </c>
      <c r="H1284" s="1">
        <v>314753</v>
      </c>
      <c r="I1284" s="1">
        <v>49118.981173225162</v>
      </c>
      <c r="J1284" s="1">
        <v>363871.98117322515</v>
      </c>
    </row>
    <row r="1285" spans="1:10" x14ac:dyDescent="0.2">
      <c r="B1285">
        <v>2018</v>
      </c>
      <c r="C1285" t="s">
        <v>6</v>
      </c>
      <c r="D1285" t="s">
        <v>7</v>
      </c>
      <c r="E1285" t="s">
        <v>8</v>
      </c>
      <c r="F1285" s="28">
        <v>5141</v>
      </c>
      <c r="G1285" t="s">
        <v>187</v>
      </c>
      <c r="H1285" s="1">
        <v>378867</v>
      </c>
      <c r="I1285" s="1">
        <v>57292.020472110606</v>
      </c>
      <c r="J1285" s="1">
        <v>436159.0204721106</v>
      </c>
    </row>
    <row r="1286" spans="1:10" x14ac:dyDescent="0.2">
      <c r="B1286">
        <v>2019</v>
      </c>
      <c r="C1286" t="s">
        <v>6</v>
      </c>
      <c r="D1286" t="s">
        <v>7</v>
      </c>
      <c r="E1286" t="s">
        <v>8</v>
      </c>
      <c r="F1286" s="28">
        <v>5141</v>
      </c>
      <c r="G1286" t="s">
        <v>187</v>
      </c>
      <c r="H1286" s="1">
        <v>393739</v>
      </c>
      <c r="I1286" s="1">
        <v>59965.592088874393</v>
      </c>
      <c r="J1286" s="1">
        <v>453704.59208887437</v>
      </c>
    </row>
    <row r="1287" spans="1:10" x14ac:dyDescent="0.2">
      <c r="B1287">
        <v>2020</v>
      </c>
      <c r="C1287" t="s">
        <v>6</v>
      </c>
      <c r="D1287" t="s">
        <v>7</v>
      </c>
      <c r="E1287" t="s">
        <v>8</v>
      </c>
      <c r="F1287" s="28">
        <v>5141</v>
      </c>
      <c r="G1287" t="s">
        <v>187</v>
      </c>
      <c r="H1287" s="1">
        <v>412710</v>
      </c>
      <c r="I1287" s="1">
        <v>62436.760107939088</v>
      </c>
      <c r="J1287" s="1">
        <v>475146.76010793907</v>
      </c>
    </row>
    <row r="1288" spans="1:10" x14ac:dyDescent="0.2">
      <c r="B1288">
        <v>2021</v>
      </c>
      <c r="C1288" t="s">
        <v>6</v>
      </c>
      <c r="D1288" t="s">
        <v>7</v>
      </c>
      <c r="E1288" t="s">
        <v>8</v>
      </c>
      <c r="F1288" s="28">
        <v>5141</v>
      </c>
      <c r="G1288" t="s">
        <v>187</v>
      </c>
      <c r="H1288" s="25">
        <v>410185</v>
      </c>
      <c r="I1288" s="1">
        <v>61237.79871222347</v>
      </c>
      <c r="J1288" s="1">
        <v>471422.79871222348</v>
      </c>
    </row>
    <row r="1289" spans="1:10" x14ac:dyDescent="0.2">
      <c r="B1289">
        <v>2022</v>
      </c>
      <c r="C1289" t="s">
        <v>6</v>
      </c>
      <c r="D1289" t="s">
        <v>7</v>
      </c>
      <c r="E1289" t="s">
        <v>8</v>
      </c>
      <c r="F1289" s="28">
        <v>5141</v>
      </c>
      <c r="G1289" t="s">
        <v>187</v>
      </c>
      <c r="H1289" s="1">
        <v>408892</v>
      </c>
      <c r="I1289" s="1">
        <v>55529.804628514947</v>
      </c>
      <c r="J1289" s="1">
        <v>464421.80462851492</v>
      </c>
    </row>
    <row r="1290" spans="1:10" x14ac:dyDescent="0.2">
      <c r="B1290">
        <v>2023</v>
      </c>
      <c r="C1290" t="s">
        <v>6</v>
      </c>
      <c r="D1290" t="s">
        <v>7</v>
      </c>
      <c r="E1290" t="s">
        <v>8</v>
      </c>
      <c r="F1290" s="28">
        <v>5141</v>
      </c>
      <c r="G1290" s="10" t="s">
        <v>187</v>
      </c>
      <c r="H1290" s="1">
        <v>389576</v>
      </c>
      <c r="I1290" s="1">
        <v>54541.799489946025</v>
      </c>
      <c r="J1290" s="1">
        <v>444117.79948994605</v>
      </c>
    </row>
    <row r="1291" spans="1:10" x14ac:dyDescent="0.2">
      <c r="A1291">
        <v>2006990</v>
      </c>
      <c r="B1291">
        <v>2015</v>
      </c>
      <c r="C1291" t="s">
        <v>6</v>
      </c>
      <c r="D1291" t="s">
        <v>7</v>
      </c>
      <c r="E1291" t="s">
        <v>8</v>
      </c>
      <c r="F1291" s="29">
        <v>5142</v>
      </c>
      <c r="G1291" s="3" t="s">
        <v>188</v>
      </c>
      <c r="H1291" s="27">
        <v>71804</v>
      </c>
      <c r="I1291" s="1">
        <v>11565.760487628202</v>
      </c>
      <c r="J1291" s="1">
        <v>83369.760487628198</v>
      </c>
    </row>
    <row r="1292" spans="1:10" x14ac:dyDescent="0.2">
      <c r="A1292">
        <v>2006990</v>
      </c>
      <c r="B1292">
        <v>2016</v>
      </c>
      <c r="C1292" t="s">
        <v>6</v>
      </c>
      <c r="D1292" t="s">
        <v>7</v>
      </c>
      <c r="E1292" t="s">
        <v>8</v>
      </c>
      <c r="F1292" s="29">
        <v>5142</v>
      </c>
      <c r="G1292" s="3" t="s">
        <v>188</v>
      </c>
      <c r="H1292" s="1">
        <v>67685</v>
      </c>
      <c r="I1292" s="26">
        <v>178763.52381970533</v>
      </c>
      <c r="J1292" s="26">
        <v>246448.52381970533</v>
      </c>
    </row>
    <row r="1293" spans="1:10" x14ac:dyDescent="0.2">
      <c r="A1293">
        <v>2006990</v>
      </c>
      <c r="B1293">
        <v>2017</v>
      </c>
      <c r="C1293" t="s">
        <v>6</v>
      </c>
      <c r="D1293" t="s">
        <v>7</v>
      </c>
      <c r="E1293" t="s">
        <v>8</v>
      </c>
      <c r="F1293" s="29">
        <v>5142</v>
      </c>
      <c r="G1293" s="3" t="s">
        <v>188</v>
      </c>
      <c r="H1293" s="1">
        <v>80886</v>
      </c>
      <c r="I1293" s="1">
        <v>12622.716578324878</v>
      </c>
      <c r="J1293" s="1">
        <v>93508.716578324878</v>
      </c>
    </row>
    <row r="1294" spans="1:10" x14ac:dyDescent="0.2">
      <c r="A1294">
        <v>2006990</v>
      </c>
      <c r="B1294">
        <v>2018</v>
      </c>
      <c r="C1294" t="s">
        <v>6</v>
      </c>
      <c r="D1294" t="s">
        <v>7</v>
      </c>
      <c r="E1294" t="s">
        <v>8</v>
      </c>
      <c r="F1294" s="28">
        <v>5142</v>
      </c>
      <c r="G1294" t="s">
        <v>188</v>
      </c>
      <c r="H1294" s="1">
        <v>85991</v>
      </c>
      <c r="I1294" s="1">
        <v>13003.502897896262</v>
      </c>
      <c r="J1294" s="1">
        <v>98994.502897896265</v>
      </c>
    </row>
    <row r="1295" spans="1:10" x14ac:dyDescent="0.2">
      <c r="A1295">
        <v>2006990</v>
      </c>
      <c r="B1295">
        <v>2019</v>
      </c>
      <c r="C1295" t="s">
        <v>6</v>
      </c>
      <c r="D1295" t="s">
        <v>7</v>
      </c>
      <c r="E1295" t="s">
        <v>8</v>
      </c>
      <c r="F1295" s="28">
        <v>5142</v>
      </c>
      <c r="G1295" t="s">
        <v>188</v>
      </c>
      <c r="H1295" s="1">
        <v>91029</v>
      </c>
      <c r="I1295" s="1">
        <v>13863.518427837089</v>
      </c>
      <c r="J1295" s="1">
        <v>104892.51842783709</v>
      </c>
    </row>
    <row r="1296" spans="1:10" x14ac:dyDescent="0.2">
      <c r="A1296">
        <v>2006990</v>
      </c>
      <c r="B1296">
        <v>2020</v>
      </c>
      <c r="C1296" t="s">
        <v>6</v>
      </c>
      <c r="D1296" t="s">
        <v>7</v>
      </c>
      <c r="E1296" t="s">
        <v>8</v>
      </c>
      <c r="F1296" s="28">
        <v>5142</v>
      </c>
      <c r="G1296" t="s">
        <v>188</v>
      </c>
      <c r="H1296" s="1">
        <v>103293</v>
      </c>
      <c r="I1296" s="1">
        <v>15626.663424267288</v>
      </c>
      <c r="J1296" s="1">
        <v>118919.66342426729</v>
      </c>
    </row>
    <row r="1297" spans="1:10" x14ac:dyDescent="0.2">
      <c r="A1297">
        <v>2006990</v>
      </c>
      <c r="B1297">
        <v>2021</v>
      </c>
      <c r="C1297" t="s">
        <v>6</v>
      </c>
      <c r="D1297" t="s">
        <v>7</v>
      </c>
      <c r="E1297" t="s">
        <v>8</v>
      </c>
      <c r="F1297" s="28">
        <v>5142</v>
      </c>
      <c r="G1297" t="s">
        <v>188</v>
      </c>
      <c r="H1297" s="25">
        <v>101570</v>
      </c>
      <c r="I1297" s="1">
        <v>15163.702268977506</v>
      </c>
      <c r="J1297" s="1">
        <v>116733.7022689775</v>
      </c>
    </row>
    <row r="1298" spans="1:10" x14ac:dyDescent="0.2">
      <c r="A1298">
        <v>2006990</v>
      </c>
      <c r="B1298">
        <v>2022</v>
      </c>
      <c r="C1298" t="s">
        <v>6</v>
      </c>
      <c r="D1298" t="s">
        <v>7</v>
      </c>
      <c r="E1298" t="s">
        <v>8</v>
      </c>
      <c r="F1298" s="28">
        <v>5142</v>
      </c>
      <c r="G1298" t="s">
        <v>188</v>
      </c>
      <c r="H1298" s="1">
        <v>108604</v>
      </c>
      <c r="I1298" s="1">
        <v>14749.026397863587</v>
      </c>
      <c r="J1298" s="1">
        <v>123353.02639786359</v>
      </c>
    </row>
    <row r="1299" spans="1:10" x14ac:dyDescent="0.2">
      <c r="A1299">
        <v>2006990</v>
      </c>
      <c r="B1299">
        <v>2023</v>
      </c>
      <c r="C1299" t="s">
        <v>6</v>
      </c>
      <c r="D1299" t="s">
        <v>7</v>
      </c>
      <c r="E1299" t="s">
        <v>8</v>
      </c>
      <c r="F1299" s="28">
        <v>5142</v>
      </c>
      <c r="G1299" s="10" t="s">
        <v>188</v>
      </c>
      <c r="H1299" s="1">
        <v>103302</v>
      </c>
      <c r="I1299" s="1">
        <v>14462.587456389521</v>
      </c>
      <c r="J1299" s="1">
        <v>117764.58745638952</v>
      </c>
    </row>
    <row r="1300" spans="1:10" x14ac:dyDescent="0.2">
      <c r="A1300">
        <v>2010020</v>
      </c>
      <c r="B1300">
        <v>2015</v>
      </c>
      <c r="C1300" t="s">
        <v>6</v>
      </c>
      <c r="D1300" t="s">
        <v>7</v>
      </c>
      <c r="E1300" t="s">
        <v>8</v>
      </c>
      <c r="F1300" s="29">
        <v>5143</v>
      </c>
      <c r="G1300" s="3" t="s">
        <v>189</v>
      </c>
      <c r="H1300" s="27">
        <v>401111</v>
      </c>
      <c r="I1300" s="1">
        <v>64608.56992581243</v>
      </c>
      <c r="J1300" s="1">
        <v>465719.56992581242</v>
      </c>
    </row>
    <row r="1301" spans="1:10" x14ac:dyDescent="0.2">
      <c r="A1301">
        <v>2010020</v>
      </c>
      <c r="B1301">
        <v>2016</v>
      </c>
      <c r="C1301" t="s">
        <v>6</v>
      </c>
      <c r="D1301" t="s">
        <v>7</v>
      </c>
      <c r="E1301" t="s">
        <v>8</v>
      </c>
      <c r="F1301" s="29">
        <v>5143</v>
      </c>
      <c r="G1301" s="3" t="s">
        <v>189</v>
      </c>
      <c r="H1301" s="1">
        <v>431746</v>
      </c>
      <c r="I1301" s="26">
        <v>1140282.8173795773</v>
      </c>
      <c r="J1301" s="26">
        <v>1572028.8173795773</v>
      </c>
    </row>
    <row r="1302" spans="1:10" x14ac:dyDescent="0.2">
      <c r="A1302">
        <v>2010020</v>
      </c>
      <c r="B1302">
        <v>2017</v>
      </c>
      <c r="C1302" t="s">
        <v>6</v>
      </c>
      <c r="D1302" t="s">
        <v>7</v>
      </c>
      <c r="E1302" t="s">
        <v>8</v>
      </c>
      <c r="F1302" s="29">
        <v>5143</v>
      </c>
      <c r="G1302" s="3" t="s">
        <v>189</v>
      </c>
      <c r="H1302" s="1">
        <v>443748</v>
      </c>
      <c r="I1302" s="1">
        <v>69249.378584656282</v>
      </c>
      <c r="J1302" s="1">
        <v>512997.37858465628</v>
      </c>
    </row>
    <row r="1303" spans="1:10" x14ac:dyDescent="0.2">
      <c r="A1303">
        <v>2010020</v>
      </c>
      <c r="B1303">
        <v>2018</v>
      </c>
      <c r="C1303" t="s">
        <v>6</v>
      </c>
      <c r="D1303" t="s">
        <v>7</v>
      </c>
      <c r="E1303" t="s">
        <v>8</v>
      </c>
      <c r="F1303" s="28">
        <v>5143</v>
      </c>
      <c r="G1303" t="s">
        <v>189</v>
      </c>
      <c r="H1303" s="1">
        <v>517266</v>
      </c>
      <c r="I1303" s="1">
        <v>78220.626925878372</v>
      </c>
      <c r="J1303" s="1">
        <v>595486.62692587834</v>
      </c>
    </row>
    <row r="1304" spans="1:10" x14ac:dyDescent="0.2">
      <c r="A1304">
        <v>2010020</v>
      </c>
      <c r="B1304">
        <v>2019</v>
      </c>
      <c r="C1304" t="s">
        <v>6</v>
      </c>
      <c r="D1304" t="s">
        <v>7</v>
      </c>
      <c r="E1304" t="s">
        <v>8</v>
      </c>
      <c r="F1304" s="28">
        <v>5143</v>
      </c>
      <c r="G1304" t="s">
        <v>189</v>
      </c>
      <c r="H1304" s="1">
        <v>576870</v>
      </c>
      <c r="I1304" s="1">
        <v>87856.0445074249</v>
      </c>
      <c r="J1304" s="1">
        <v>664726.04450742493</v>
      </c>
    </row>
    <row r="1305" spans="1:10" x14ac:dyDescent="0.2">
      <c r="A1305">
        <v>2010020</v>
      </c>
      <c r="B1305">
        <v>2020</v>
      </c>
      <c r="C1305" t="s">
        <v>6</v>
      </c>
      <c r="D1305" t="s">
        <v>7</v>
      </c>
      <c r="E1305" t="s">
        <v>8</v>
      </c>
      <c r="F1305" s="28">
        <v>5143</v>
      </c>
      <c r="G1305" t="s">
        <v>189</v>
      </c>
      <c r="H1305" s="1">
        <v>661303</v>
      </c>
      <c r="I1305" s="1">
        <v>100045.10859843582</v>
      </c>
      <c r="J1305" s="1">
        <v>761348.10859843576</v>
      </c>
    </row>
    <row r="1306" spans="1:10" x14ac:dyDescent="0.2">
      <c r="A1306">
        <v>2010020</v>
      </c>
      <c r="B1306">
        <v>2021</v>
      </c>
      <c r="C1306" t="s">
        <v>6</v>
      </c>
      <c r="D1306" t="s">
        <v>7</v>
      </c>
      <c r="E1306" t="s">
        <v>8</v>
      </c>
      <c r="F1306" s="28">
        <v>5143</v>
      </c>
      <c r="G1306" t="s">
        <v>189</v>
      </c>
      <c r="H1306" s="25">
        <v>625913</v>
      </c>
      <c r="I1306" s="1">
        <v>93444.505053485453</v>
      </c>
      <c r="J1306" s="1">
        <v>719357.50505348551</v>
      </c>
    </row>
    <row r="1307" spans="1:10" x14ac:dyDescent="0.2">
      <c r="A1307">
        <v>2010020</v>
      </c>
      <c r="B1307">
        <v>2022</v>
      </c>
      <c r="C1307" t="s">
        <v>6</v>
      </c>
      <c r="D1307" t="s">
        <v>7</v>
      </c>
      <c r="E1307" t="s">
        <v>8</v>
      </c>
      <c r="F1307" s="28">
        <v>5143</v>
      </c>
      <c r="G1307" t="s">
        <v>189</v>
      </c>
      <c r="H1307" s="1">
        <v>581407</v>
      </c>
      <c r="I1307" s="1">
        <v>78958.299794691484</v>
      </c>
      <c r="J1307" s="1">
        <v>660365.2997946915</v>
      </c>
    </row>
    <row r="1308" spans="1:10" x14ac:dyDescent="0.2">
      <c r="A1308">
        <v>2010020</v>
      </c>
      <c r="B1308">
        <v>2023</v>
      </c>
      <c r="C1308" t="s">
        <v>6</v>
      </c>
      <c r="D1308" t="s">
        <v>7</v>
      </c>
      <c r="E1308" t="s">
        <v>8</v>
      </c>
      <c r="F1308" s="28">
        <v>5143</v>
      </c>
      <c r="G1308" s="10" t="s">
        <v>189</v>
      </c>
      <c r="H1308" s="1">
        <v>581171</v>
      </c>
      <c r="I1308" s="1">
        <v>81365.66973163496</v>
      </c>
      <c r="J1308" s="1">
        <v>662536.6697316349</v>
      </c>
    </row>
    <row r="1309" spans="1:10" x14ac:dyDescent="0.2">
      <c r="A1309">
        <v>2005400</v>
      </c>
      <c r="B1309">
        <v>2015</v>
      </c>
      <c r="C1309" t="s">
        <v>6</v>
      </c>
      <c r="D1309" t="s">
        <v>7</v>
      </c>
      <c r="E1309" t="s">
        <v>8</v>
      </c>
      <c r="F1309" s="29">
        <v>5144</v>
      </c>
      <c r="G1309" s="3" t="s">
        <v>190</v>
      </c>
      <c r="H1309" s="27">
        <v>205555</v>
      </c>
      <c r="I1309" s="1">
        <v>33109.574634204437</v>
      </c>
      <c r="J1309" s="1">
        <v>238664.57463420444</v>
      </c>
    </row>
    <row r="1310" spans="1:10" x14ac:dyDescent="0.2">
      <c r="A1310">
        <v>2005400</v>
      </c>
      <c r="B1310">
        <v>2016</v>
      </c>
      <c r="C1310" t="s">
        <v>6</v>
      </c>
      <c r="D1310" t="s">
        <v>7</v>
      </c>
      <c r="E1310" t="s">
        <v>8</v>
      </c>
      <c r="F1310" s="29">
        <v>5144</v>
      </c>
      <c r="G1310" s="3" t="s">
        <v>190</v>
      </c>
      <c r="H1310" s="1">
        <v>214529</v>
      </c>
      <c r="I1310" s="26">
        <v>566592.73606905446</v>
      </c>
      <c r="J1310" s="26">
        <v>781121.73606905446</v>
      </c>
    </row>
    <row r="1311" spans="1:10" x14ac:dyDescent="0.2">
      <c r="A1311">
        <v>2005400</v>
      </c>
      <c r="B1311">
        <v>2017</v>
      </c>
      <c r="C1311" t="s">
        <v>6</v>
      </c>
      <c r="D1311" t="s">
        <v>7</v>
      </c>
      <c r="E1311" t="s">
        <v>8</v>
      </c>
      <c r="F1311" s="29">
        <v>5144</v>
      </c>
      <c r="G1311" s="3" t="s">
        <v>190</v>
      </c>
      <c r="H1311" s="1">
        <v>210502</v>
      </c>
      <c r="I1311" s="1">
        <v>32850.024542820058</v>
      </c>
      <c r="J1311" s="1">
        <v>243352.02454282006</v>
      </c>
    </row>
    <row r="1312" spans="1:10" x14ac:dyDescent="0.2">
      <c r="A1312">
        <v>2005400</v>
      </c>
      <c r="B1312">
        <v>2018</v>
      </c>
      <c r="C1312" t="s">
        <v>6</v>
      </c>
      <c r="D1312" t="s">
        <v>7</v>
      </c>
      <c r="E1312" t="s">
        <v>8</v>
      </c>
      <c r="F1312" s="28">
        <v>5144</v>
      </c>
      <c r="G1312" t="s">
        <v>190</v>
      </c>
      <c r="H1312" s="1">
        <v>243141</v>
      </c>
      <c r="I1312" s="1">
        <v>36767.623333806972</v>
      </c>
      <c r="J1312" s="1">
        <v>279908.62333380699</v>
      </c>
    </row>
    <row r="1313" spans="1:10" x14ac:dyDescent="0.2">
      <c r="A1313">
        <v>2005400</v>
      </c>
      <c r="B1313">
        <v>2019</v>
      </c>
      <c r="C1313" t="s">
        <v>6</v>
      </c>
      <c r="D1313" t="s">
        <v>7</v>
      </c>
      <c r="E1313" t="s">
        <v>8</v>
      </c>
      <c r="F1313" s="28">
        <v>5144</v>
      </c>
      <c r="G1313" t="s">
        <v>190</v>
      </c>
      <c r="H1313" s="1">
        <v>284853</v>
      </c>
      <c r="I1313" s="1">
        <v>43382.491455741336</v>
      </c>
      <c r="J1313" s="1">
        <v>328235.49145574134</v>
      </c>
    </row>
    <row r="1314" spans="1:10" x14ac:dyDescent="0.2">
      <c r="A1314">
        <v>2005400</v>
      </c>
      <c r="B1314">
        <v>2020</v>
      </c>
      <c r="C1314" t="s">
        <v>6</v>
      </c>
      <c r="D1314" t="s">
        <v>7</v>
      </c>
      <c r="E1314" t="s">
        <v>8</v>
      </c>
      <c r="F1314" s="28">
        <v>5144</v>
      </c>
      <c r="G1314" t="s">
        <v>190</v>
      </c>
      <c r="H1314" s="1">
        <v>272348</v>
      </c>
      <c r="I1314" s="1">
        <v>41202.11950734655</v>
      </c>
      <c r="J1314" s="1">
        <v>313550.11950734654</v>
      </c>
    </row>
    <row r="1315" spans="1:10" x14ac:dyDescent="0.2">
      <c r="A1315">
        <v>2005400</v>
      </c>
      <c r="B1315">
        <v>2021</v>
      </c>
      <c r="C1315" t="s">
        <v>6</v>
      </c>
      <c r="D1315" t="s">
        <v>7</v>
      </c>
      <c r="E1315" t="s">
        <v>8</v>
      </c>
      <c r="F1315" s="28">
        <v>5144</v>
      </c>
      <c r="G1315" t="s">
        <v>190</v>
      </c>
      <c r="H1315" s="25">
        <v>288665</v>
      </c>
      <c r="I1315" s="1">
        <v>43095.698685383395</v>
      </c>
      <c r="J1315" s="1">
        <v>331760.69868538342</v>
      </c>
    </row>
    <row r="1316" spans="1:10" x14ac:dyDescent="0.2">
      <c r="A1316">
        <v>2005400</v>
      </c>
      <c r="B1316">
        <v>2022</v>
      </c>
      <c r="C1316" t="s">
        <v>6</v>
      </c>
      <c r="D1316" t="s">
        <v>7</v>
      </c>
      <c r="E1316" t="s">
        <v>8</v>
      </c>
      <c r="F1316" s="28">
        <v>5144</v>
      </c>
      <c r="G1316" t="s">
        <v>190</v>
      </c>
      <c r="H1316" s="1">
        <v>264135</v>
      </c>
      <c r="I1316" s="1">
        <v>35871.000033145174</v>
      </c>
      <c r="J1316" s="1">
        <v>300006.00003314519</v>
      </c>
    </row>
    <row r="1317" spans="1:10" x14ac:dyDescent="0.2">
      <c r="A1317">
        <v>2005400</v>
      </c>
      <c r="B1317">
        <v>2023</v>
      </c>
      <c r="C1317" t="s">
        <v>6</v>
      </c>
      <c r="D1317" t="s">
        <v>7</v>
      </c>
      <c r="E1317" t="s">
        <v>8</v>
      </c>
      <c r="F1317" s="28">
        <v>5144</v>
      </c>
      <c r="G1317" s="10" t="s">
        <v>190</v>
      </c>
      <c r="H1317" s="1">
        <v>271410</v>
      </c>
      <c r="I1317" s="1">
        <v>37998.207794028</v>
      </c>
      <c r="J1317" s="1">
        <v>309408.20779402799</v>
      </c>
    </row>
    <row r="1318" spans="1:10" x14ac:dyDescent="0.2">
      <c r="B1318">
        <v>2015</v>
      </c>
      <c r="C1318" t="s">
        <v>6</v>
      </c>
      <c r="D1318" t="s">
        <v>7</v>
      </c>
      <c r="E1318" t="s">
        <v>8</v>
      </c>
      <c r="F1318" s="29">
        <v>5145</v>
      </c>
      <c r="G1318" s="3" t="s">
        <v>191</v>
      </c>
      <c r="H1318" s="27">
        <v>180266</v>
      </c>
      <c r="I1318" s="1">
        <v>29036.173194568346</v>
      </c>
      <c r="J1318" s="1">
        <v>209302.17319456834</v>
      </c>
    </row>
    <row r="1319" spans="1:10" x14ac:dyDescent="0.2">
      <c r="B1319">
        <v>2016</v>
      </c>
      <c r="C1319" t="s">
        <v>6</v>
      </c>
      <c r="D1319" t="s">
        <v>7</v>
      </c>
      <c r="E1319" t="s">
        <v>8</v>
      </c>
      <c r="F1319" s="29">
        <v>5145</v>
      </c>
      <c r="G1319" s="3" t="s">
        <v>191</v>
      </c>
      <c r="H1319" s="1">
        <v>203022</v>
      </c>
      <c r="I1319" s="26">
        <v>536204.12484144932</v>
      </c>
      <c r="J1319" s="26">
        <v>739226.12484144932</v>
      </c>
    </row>
    <row r="1320" spans="1:10" x14ac:dyDescent="0.2">
      <c r="B1320">
        <v>2017</v>
      </c>
      <c r="C1320" t="s">
        <v>6</v>
      </c>
      <c r="D1320" t="s">
        <v>7</v>
      </c>
      <c r="E1320" t="s">
        <v>8</v>
      </c>
      <c r="F1320" s="29">
        <v>5145</v>
      </c>
      <c r="G1320" s="3" t="s">
        <v>191</v>
      </c>
      <c r="H1320" s="1">
        <v>208240</v>
      </c>
      <c r="I1320" s="1">
        <v>32497.026682866908</v>
      </c>
      <c r="J1320" s="1">
        <v>240737.02668286691</v>
      </c>
    </row>
    <row r="1321" spans="1:10" x14ac:dyDescent="0.2">
      <c r="B1321">
        <v>2018</v>
      </c>
      <c r="C1321" t="s">
        <v>6</v>
      </c>
      <c r="D1321" t="s">
        <v>7</v>
      </c>
      <c r="E1321" t="s">
        <v>8</v>
      </c>
      <c r="F1321" s="28">
        <v>5145</v>
      </c>
      <c r="G1321" t="s">
        <v>191</v>
      </c>
      <c r="H1321" s="1">
        <v>237090</v>
      </c>
      <c r="I1321" s="1">
        <v>35852.595062997578</v>
      </c>
      <c r="J1321" s="1">
        <v>272942.5950629976</v>
      </c>
    </row>
    <row r="1322" spans="1:10" x14ac:dyDescent="0.2">
      <c r="B1322">
        <v>2019</v>
      </c>
      <c r="C1322" t="s">
        <v>6</v>
      </c>
      <c r="D1322" t="s">
        <v>7</v>
      </c>
      <c r="E1322" t="s">
        <v>8</v>
      </c>
      <c r="F1322" s="28">
        <v>5145</v>
      </c>
      <c r="G1322" t="s">
        <v>191</v>
      </c>
      <c r="H1322" s="1">
        <v>264129</v>
      </c>
      <c r="I1322" s="1">
        <v>40226.271395117845</v>
      </c>
      <c r="J1322" s="1">
        <v>304355.27139511786</v>
      </c>
    </row>
    <row r="1323" spans="1:10" x14ac:dyDescent="0.2">
      <c r="B1323">
        <v>2020</v>
      </c>
      <c r="C1323" t="s">
        <v>6</v>
      </c>
      <c r="D1323" t="s">
        <v>7</v>
      </c>
      <c r="E1323" t="s">
        <v>8</v>
      </c>
      <c r="F1323" s="28">
        <v>5145</v>
      </c>
      <c r="G1323" t="s">
        <v>191</v>
      </c>
      <c r="H1323" s="1">
        <v>282822</v>
      </c>
      <c r="I1323" s="1">
        <v>42786.676763944539</v>
      </c>
      <c r="J1323" s="1">
        <v>325608.67676394456</v>
      </c>
    </row>
    <row r="1324" spans="1:10" x14ac:dyDescent="0.2">
      <c r="B1324">
        <v>2021</v>
      </c>
      <c r="C1324" t="s">
        <v>6</v>
      </c>
      <c r="D1324" t="s">
        <v>7</v>
      </c>
      <c r="E1324" t="s">
        <v>8</v>
      </c>
      <c r="F1324" s="28">
        <v>5145</v>
      </c>
      <c r="G1324" t="s">
        <v>191</v>
      </c>
      <c r="H1324" s="25">
        <v>295268</v>
      </c>
      <c r="I1324" s="1">
        <v>44081.481161331591</v>
      </c>
      <c r="J1324" s="1">
        <v>339349.48116133158</v>
      </c>
    </row>
    <row r="1325" spans="1:10" x14ac:dyDescent="0.2">
      <c r="B1325">
        <v>2022</v>
      </c>
      <c r="C1325" t="s">
        <v>6</v>
      </c>
      <c r="D1325" t="s">
        <v>7</v>
      </c>
      <c r="E1325" t="s">
        <v>8</v>
      </c>
      <c r="F1325" s="28">
        <v>5145</v>
      </c>
      <c r="G1325" t="s">
        <v>191</v>
      </c>
      <c r="H1325" s="1">
        <v>288620</v>
      </c>
      <c r="I1325" s="1">
        <v>39196.199025370966</v>
      </c>
      <c r="J1325" s="1">
        <v>327816.199025371</v>
      </c>
    </row>
    <row r="1326" spans="1:10" x14ac:dyDescent="0.2">
      <c r="B1326">
        <v>2023</v>
      </c>
      <c r="C1326" t="s">
        <v>6</v>
      </c>
      <c r="D1326" t="s">
        <v>7</v>
      </c>
      <c r="E1326" t="s">
        <v>8</v>
      </c>
      <c r="F1326" s="28">
        <v>5145</v>
      </c>
      <c r="G1326" s="10" t="s">
        <v>191</v>
      </c>
      <c r="H1326" s="1">
        <v>271467</v>
      </c>
      <c r="I1326" s="1">
        <v>38006.187963676348</v>
      </c>
      <c r="J1326" s="1">
        <v>309473.18796367635</v>
      </c>
    </row>
    <row r="1327" spans="1:10" x14ac:dyDescent="0.2">
      <c r="A1327">
        <v>2005490</v>
      </c>
      <c r="B1327">
        <v>2015</v>
      </c>
      <c r="C1327" t="s">
        <v>6</v>
      </c>
      <c r="D1327" t="s">
        <v>7</v>
      </c>
      <c r="E1327" t="s">
        <v>8</v>
      </c>
      <c r="F1327" s="29">
        <v>5147</v>
      </c>
      <c r="G1327" s="3" t="s">
        <v>192</v>
      </c>
      <c r="H1327" s="27">
        <v>3704635</v>
      </c>
      <c r="I1327" s="1">
        <v>596720.53233920818</v>
      </c>
      <c r="J1327" s="1">
        <v>4301355.5323392078</v>
      </c>
    </row>
    <row r="1328" spans="1:10" x14ac:dyDescent="0.2">
      <c r="A1328">
        <v>2005490</v>
      </c>
      <c r="B1328">
        <v>2016</v>
      </c>
      <c r="C1328" t="s">
        <v>6</v>
      </c>
      <c r="D1328" t="s">
        <v>7</v>
      </c>
      <c r="E1328" t="s">
        <v>8</v>
      </c>
      <c r="F1328" s="29">
        <v>5147</v>
      </c>
      <c r="G1328" s="3" t="s">
        <v>192</v>
      </c>
      <c r="H1328" s="1">
        <v>4120865</v>
      </c>
      <c r="I1328" s="26">
        <v>10883572.636064099</v>
      </c>
      <c r="J1328" s="26">
        <v>15004437.636064099</v>
      </c>
    </row>
    <row r="1329" spans="1:10" x14ac:dyDescent="0.2">
      <c r="A1329">
        <v>2005490</v>
      </c>
      <c r="B1329">
        <v>2017</v>
      </c>
      <c r="C1329" t="s">
        <v>6</v>
      </c>
      <c r="D1329" t="s">
        <v>7</v>
      </c>
      <c r="E1329" t="s">
        <v>8</v>
      </c>
      <c r="F1329" s="29">
        <v>5147</v>
      </c>
      <c r="G1329" s="3" t="s">
        <v>192</v>
      </c>
      <c r="H1329" s="1">
        <v>4272471</v>
      </c>
      <c r="I1329" s="1">
        <v>666743.20057998016</v>
      </c>
      <c r="J1329" s="1">
        <v>4939214.2005799804</v>
      </c>
    </row>
    <row r="1330" spans="1:10" x14ac:dyDescent="0.2">
      <c r="A1330">
        <v>2005490</v>
      </c>
      <c r="B1330">
        <v>2018</v>
      </c>
      <c r="C1330" t="s">
        <v>6</v>
      </c>
      <c r="D1330" t="s">
        <v>7</v>
      </c>
      <c r="E1330" t="s">
        <v>8</v>
      </c>
      <c r="F1330" s="28">
        <v>5147</v>
      </c>
      <c r="G1330" t="s">
        <v>192</v>
      </c>
      <c r="H1330" s="1">
        <v>5057103</v>
      </c>
      <c r="I1330" s="1">
        <v>764731.8151371642</v>
      </c>
      <c r="J1330" s="1">
        <v>5821834.8151371647</v>
      </c>
    </row>
    <row r="1331" spans="1:10" x14ac:dyDescent="0.2">
      <c r="A1331">
        <v>2005490</v>
      </c>
      <c r="B1331">
        <v>2019</v>
      </c>
      <c r="C1331" t="s">
        <v>6</v>
      </c>
      <c r="D1331" t="s">
        <v>7</v>
      </c>
      <c r="E1331" t="s">
        <v>8</v>
      </c>
      <c r="F1331" s="28">
        <v>5147</v>
      </c>
      <c r="G1331" t="s">
        <v>192</v>
      </c>
      <c r="H1331" s="1">
        <v>5743516</v>
      </c>
      <c r="I1331" s="1">
        <v>874724.97672804457</v>
      </c>
      <c r="J1331" s="1">
        <v>6618240.9767280445</v>
      </c>
    </row>
    <row r="1332" spans="1:10" x14ac:dyDescent="0.2">
      <c r="A1332">
        <v>2005490</v>
      </c>
      <c r="B1332">
        <v>2020</v>
      </c>
      <c r="C1332" t="s">
        <v>6</v>
      </c>
      <c r="D1332" t="s">
        <v>7</v>
      </c>
      <c r="E1332" t="s">
        <v>8</v>
      </c>
      <c r="F1332" s="28">
        <v>5147</v>
      </c>
      <c r="G1332" t="s">
        <v>192</v>
      </c>
      <c r="H1332" s="1">
        <v>6347531</v>
      </c>
      <c r="I1332" s="1">
        <v>960285.116243141</v>
      </c>
      <c r="J1332" s="1">
        <v>7307816.1162431408</v>
      </c>
    </row>
    <row r="1333" spans="1:10" x14ac:dyDescent="0.2">
      <c r="A1333">
        <v>2005490</v>
      </c>
      <c r="B1333">
        <v>2021</v>
      </c>
      <c r="C1333" t="s">
        <v>6</v>
      </c>
      <c r="D1333" t="s">
        <v>7</v>
      </c>
      <c r="E1333" t="s">
        <v>8</v>
      </c>
      <c r="F1333" s="28">
        <v>5147</v>
      </c>
      <c r="G1333" t="s">
        <v>192</v>
      </c>
      <c r="H1333" s="25">
        <v>6353804</v>
      </c>
      <c r="I1333" s="1">
        <v>948579.22744352021</v>
      </c>
      <c r="J1333" s="1">
        <v>7302383.22744352</v>
      </c>
    </row>
    <row r="1334" spans="1:10" x14ac:dyDescent="0.2">
      <c r="A1334">
        <v>2005490</v>
      </c>
      <c r="B1334">
        <v>2022</v>
      </c>
      <c r="C1334" t="s">
        <v>6</v>
      </c>
      <c r="D1334" t="s">
        <v>7</v>
      </c>
      <c r="E1334" t="s">
        <v>8</v>
      </c>
      <c r="F1334" s="28">
        <v>5147</v>
      </c>
      <c r="G1334" t="s">
        <v>192</v>
      </c>
      <c r="H1334" s="1">
        <v>6119698</v>
      </c>
      <c r="I1334" s="1">
        <v>831088.97783647932</v>
      </c>
      <c r="J1334" s="1">
        <v>6950786.9778364794</v>
      </c>
    </row>
    <row r="1335" spans="1:10" x14ac:dyDescent="0.2">
      <c r="A1335">
        <v>2005490</v>
      </c>
      <c r="B1335">
        <v>2023</v>
      </c>
      <c r="C1335" t="s">
        <v>6</v>
      </c>
      <c r="D1335" t="s">
        <v>7</v>
      </c>
      <c r="E1335" t="s">
        <v>8</v>
      </c>
      <c r="F1335" s="28">
        <v>5147</v>
      </c>
      <c r="G1335" s="10" t="s">
        <v>192</v>
      </c>
      <c r="H1335" s="1">
        <v>6832862</v>
      </c>
      <c r="I1335" s="1">
        <v>956621.01655767183</v>
      </c>
      <c r="J1335" s="1">
        <v>7789483.0165576721</v>
      </c>
    </row>
    <row r="1336" spans="1:10" x14ac:dyDescent="0.2">
      <c r="A1336">
        <v>2009570</v>
      </c>
      <c r="B1336">
        <v>2015</v>
      </c>
      <c r="C1336" t="s">
        <v>6</v>
      </c>
      <c r="D1336" t="s">
        <v>7</v>
      </c>
      <c r="E1336" t="s">
        <v>8</v>
      </c>
      <c r="F1336" s="29">
        <v>5148</v>
      </c>
      <c r="G1336" s="3" t="s">
        <v>193</v>
      </c>
      <c r="H1336" s="27">
        <v>380123</v>
      </c>
      <c r="I1336" s="1">
        <v>61227.947939372389</v>
      </c>
      <c r="J1336" s="1">
        <v>441350.94793937239</v>
      </c>
    </row>
    <row r="1337" spans="1:10" x14ac:dyDescent="0.2">
      <c r="A1337">
        <v>2009570</v>
      </c>
      <c r="B1337">
        <v>2016</v>
      </c>
      <c r="C1337" t="s">
        <v>6</v>
      </c>
      <c r="D1337" t="s">
        <v>7</v>
      </c>
      <c r="E1337" t="s">
        <v>8</v>
      </c>
      <c r="F1337" s="29">
        <v>5148</v>
      </c>
      <c r="G1337" s="3" t="s">
        <v>193</v>
      </c>
      <c r="H1337" s="1">
        <v>412262</v>
      </c>
      <c r="I1337" s="26">
        <v>1088824.8038927803</v>
      </c>
      <c r="J1337" s="26">
        <v>1501086.8038927803</v>
      </c>
    </row>
    <row r="1338" spans="1:10" x14ac:dyDescent="0.2">
      <c r="A1338">
        <v>2009570</v>
      </c>
      <c r="B1338">
        <v>2017</v>
      </c>
      <c r="C1338" t="s">
        <v>6</v>
      </c>
      <c r="D1338" t="s">
        <v>7</v>
      </c>
      <c r="E1338" t="s">
        <v>8</v>
      </c>
      <c r="F1338" s="29">
        <v>5148</v>
      </c>
      <c r="G1338" s="3" t="s">
        <v>193</v>
      </c>
      <c r="H1338" s="1">
        <v>448724</v>
      </c>
      <c r="I1338" s="1">
        <v>70025.911454296831</v>
      </c>
      <c r="J1338" s="1">
        <v>518749.91145429685</v>
      </c>
    </row>
    <row r="1339" spans="1:10" x14ac:dyDescent="0.2">
      <c r="A1339">
        <v>2009570</v>
      </c>
      <c r="B1339">
        <v>2018</v>
      </c>
      <c r="C1339" t="s">
        <v>6</v>
      </c>
      <c r="D1339" t="s">
        <v>7</v>
      </c>
      <c r="E1339" t="s">
        <v>8</v>
      </c>
      <c r="F1339" s="28">
        <v>5148</v>
      </c>
      <c r="G1339" t="s">
        <v>193</v>
      </c>
      <c r="H1339" s="1">
        <v>514436</v>
      </c>
      <c r="I1339" s="1">
        <v>77792.676172880427</v>
      </c>
      <c r="J1339" s="1">
        <v>592228.67617288046</v>
      </c>
    </row>
    <row r="1340" spans="1:10" x14ac:dyDescent="0.2">
      <c r="A1340">
        <v>2009570</v>
      </c>
      <c r="B1340">
        <v>2019</v>
      </c>
      <c r="C1340" t="s">
        <v>6</v>
      </c>
      <c r="D1340" t="s">
        <v>7</v>
      </c>
      <c r="E1340" t="s">
        <v>8</v>
      </c>
      <c r="F1340" s="28">
        <v>5148</v>
      </c>
      <c r="G1340" t="s">
        <v>193</v>
      </c>
      <c r="H1340" s="1">
        <v>569634</v>
      </c>
      <c r="I1340" s="1">
        <v>86754.017468307371</v>
      </c>
      <c r="J1340" s="1">
        <v>656388.0174683074</v>
      </c>
    </row>
    <row r="1341" spans="1:10" x14ac:dyDescent="0.2">
      <c r="A1341">
        <v>2009570</v>
      </c>
      <c r="B1341">
        <v>2020</v>
      </c>
      <c r="C1341" t="s">
        <v>6</v>
      </c>
      <c r="D1341" t="s">
        <v>7</v>
      </c>
      <c r="E1341" t="s">
        <v>8</v>
      </c>
      <c r="F1341" s="28">
        <v>5148</v>
      </c>
      <c r="G1341" t="s">
        <v>193</v>
      </c>
      <c r="H1341" s="1">
        <v>622428</v>
      </c>
      <c r="I1341" s="1">
        <v>94163.911028238494</v>
      </c>
      <c r="J1341" s="1">
        <v>716591.91102823848</v>
      </c>
    </row>
    <row r="1342" spans="1:10" x14ac:dyDescent="0.2">
      <c r="A1342">
        <v>2009570</v>
      </c>
      <c r="B1342">
        <v>2021</v>
      </c>
      <c r="C1342" t="s">
        <v>6</v>
      </c>
      <c r="D1342" t="s">
        <v>7</v>
      </c>
      <c r="E1342" t="s">
        <v>8</v>
      </c>
      <c r="F1342" s="28">
        <v>5148</v>
      </c>
      <c r="G1342" t="s">
        <v>193</v>
      </c>
      <c r="H1342" s="25">
        <v>625166</v>
      </c>
      <c r="I1342" s="1">
        <v>93332.98309232638</v>
      </c>
      <c r="J1342" s="1">
        <v>718498.98309232644</v>
      </c>
    </row>
    <row r="1343" spans="1:10" x14ac:dyDescent="0.2">
      <c r="A1343">
        <v>2009570</v>
      </c>
      <c r="B1343">
        <v>2022</v>
      </c>
      <c r="C1343" t="s">
        <v>6</v>
      </c>
      <c r="D1343" t="s">
        <v>7</v>
      </c>
      <c r="E1343" t="s">
        <v>8</v>
      </c>
      <c r="F1343" s="28">
        <v>5148</v>
      </c>
      <c r="G1343" t="s">
        <v>193</v>
      </c>
      <c r="H1343" s="1">
        <v>608206</v>
      </c>
      <c r="I1343" s="1">
        <v>82597.752839112931</v>
      </c>
      <c r="J1343" s="1">
        <v>690803.75283911289</v>
      </c>
    </row>
    <row r="1344" spans="1:10" x14ac:dyDescent="0.2">
      <c r="A1344">
        <v>2009570</v>
      </c>
      <c r="B1344">
        <v>2023</v>
      </c>
      <c r="C1344" t="s">
        <v>6</v>
      </c>
      <c r="D1344" t="s">
        <v>7</v>
      </c>
      <c r="E1344" t="s">
        <v>8</v>
      </c>
      <c r="F1344" s="28">
        <v>5148</v>
      </c>
      <c r="G1344" s="10" t="s">
        <v>193</v>
      </c>
      <c r="H1344" s="1">
        <v>598972</v>
      </c>
      <c r="I1344" s="1">
        <v>83857.862712518094</v>
      </c>
      <c r="J1344" s="1">
        <v>682829.86271251808</v>
      </c>
    </row>
    <row r="1345" spans="1:10" x14ac:dyDescent="0.2">
      <c r="A1345">
        <v>2004290</v>
      </c>
      <c r="B1345">
        <v>2015</v>
      </c>
      <c r="C1345" t="s">
        <v>6</v>
      </c>
      <c r="D1345" t="s">
        <v>7</v>
      </c>
      <c r="E1345" t="s">
        <v>8</v>
      </c>
      <c r="F1345" s="29">
        <v>5149</v>
      </c>
      <c r="G1345" s="3" t="s">
        <v>194</v>
      </c>
      <c r="H1345" s="27">
        <v>650256</v>
      </c>
      <c r="I1345" s="1">
        <v>104739.36203614234</v>
      </c>
      <c r="J1345" s="1">
        <v>754995.36203614238</v>
      </c>
    </row>
    <row r="1346" spans="1:10" x14ac:dyDescent="0.2">
      <c r="A1346">
        <v>2004290</v>
      </c>
      <c r="B1346">
        <v>2016</v>
      </c>
      <c r="C1346" t="s">
        <v>6</v>
      </c>
      <c r="D1346" t="s">
        <v>7</v>
      </c>
      <c r="E1346" t="s">
        <v>8</v>
      </c>
      <c r="F1346" s="29">
        <v>5149</v>
      </c>
      <c r="G1346" s="3" t="s">
        <v>194</v>
      </c>
      <c r="H1346" s="1">
        <v>732328</v>
      </c>
      <c r="I1346" s="26">
        <v>1934147.2670508688</v>
      </c>
      <c r="J1346" s="26">
        <v>2666475.2670508688</v>
      </c>
    </row>
    <row r="1347" spans="1:10" x14ac:dyDescent="0.2">
      <c r="A1347">
        <v>2004290</v>
      </c>
      <c r="B1347">
        <v>2017</v>
      </c>
      <c r="C1347" t="s">
        <v>6</v>
      </c>
      <c r="D1347" t="s">
        <v>7</v>
      </c>
      <c r="E1347" t="s">
        <v>8</v>
      </c>
      <c r="F1347" s="29">
        <v>5149</v>
      </c>
      <c r="G1347" s="3" t="s">
        <v>194</v>
      </c>
      <c r="H1347" s="1">
        <v>870365</v>
      </c>
      <c r="I1347" s="1">
        <v>135825.36798325708</v>
      </c>
      <c r="J1347" s="1">
        <v>1006190.367983257</v>
      </c>
    </row>
    <row r="1348" spans="1:10" x14ac:dyDescent="0.2">
      <c r="A1348">
        <v>2004290</v>
      </c>
      <c r="B1348">
        <v>2018</v>
      </c>
      <c r="C1348" t="s">
        <v>6</v>
      </c>
      <c r="D1348" t="s">
        <v>7</v>
      </c>
      <c r="E1348" t="s">
        <v>8</v>
      </c>
      <c r="F1348" s="28">
        <v>5149</v>
      </c>
      <c r="G1348" t="s">
        <v>194</v>
      </c>
      <c r="H1348" s="1">
        <v>1043442</v>
      </c>
      <c r="I1348" s="1">
        <v>157788.61823663724</v>
      </c>
      <c r="J1348" s="1">
        <v>1201230.6182366372</v>
      </c>
    </row>
    <row r="1349" spans="1:10" x14ac:dyDescent="0.2">
      <c r="A1349">
        <v>2004290</v>
      </c>
      <c r="B1349">
        <v>2019</v>
      </c>
      <c r="C1349" t="s">
        <v>6</v>
      </c>
      <c r="D1349" t="s">
        <v>7</v>
      </c>
      <c r="E1349" t="s">
        <v>8</v>
      </c>
      <c r="F1349" s="28">
        <v>5149</v>
      </c>
      <c r="G1349" t="s">
        <v>194</v>
      </c>
      <c r="H1349" s="1">
        <v>1154643</v>
      </c>
      <c r="I1349" s="1">
        <v>175849.61394800668</v>
      </c>
      <c r="J1349" s="1">
        <v>1330492.6139480066</v>
      </c>
    </row>
    <row r="1350" spans="1:10" x14ac:dyDescent="0.2">
      <c r="A1350">
        <v>2004290</v>
      </c>
      <c r="B1350">
        <v>2020</v>
      </c>
      <c r="C1350" t="s">
        <v>6</v>
      </c>
      <c r="D1350" t="s">
        <v>7</v>
      </c>
      <c r="E1350" t="s">
        <v>8</v>
      </c>
      <c r="F1350" s="28">
        <v>5149</v>
      </c>
      <c r="G1350" t="s">
        <v>194</v>
      </c>
      <c r="H1350" s="1">
        <v>1291447</v>
      </c>
      <c r="I1350" s="1">
        <v>195376.33333604131</v>
      </c>
      <c r="J1350" s="1">
        <v>1486823.3333360413</v>
      </c>
    </row>
    <row r="1351" spans="1:10" x14ac:dyDescent="0.2">
      <c r="A1351">
        <v>2004290</v>
      </c>
      <c r="B1351">
        <v>2021</v>
      </c>
      <c r="C1351" t="s">
        <v>6</v>
      </c>
      <c r="D1351" t="s">
        <v>7</v>
      </c>
      <c r="E1351" t="s">
        <v>8</v>
      </c>
      <c r="F1351" s="28">
        <v>5149</v>
      </c>
      <c r="G1351" t="s">
        <v>194</v>
      </c>
      <c r="H1351" s="25">
        <v>1275428</v>
      </c>
      <c r="I1351" s="1">
        <v>190412.62634161112</v>
      </c>
      <c r="J1351" s="1">
        <v>1465840.6263416111</v>
      </c>
    </row>
    <row r="1352" spans="1:10" x14ac:dyDescent="0.2">
      <c r="A1352">
        <v>2004290</v>
      </c>
      <c r="B1352">
        <v>2022</v>
      </c>
      <c r="C1352" t="s">
        <v>6</v>
      </c>
      <c r="D1352" t="s">
        <v>7</v>
      </c>
      <c r="E1352" t="s">
        <v>8</v>
      </c>
      <c r="F1352" s="28">
        <v>5149</v>
      </c>
      <c r="G1352" t="s">
        <v>194</v>
      </c>
      <c r="H1352" s="1">
        <v>1283692</v>
      </c>
      <c r="I1352" s="1">
        <v>174332.50335831373</v>
      </c>
      <c r="J1352" s="1">
        <v>1458024.5033583138</v>
      </c>
    </row>
    <row r="1353" spans="1:10" x14ac:dyDescent="0.2">
      <c r="A1353">
        <v>2004290</v>
      </c>
      <c r="B1353">
        <v>2023</v>
      </c>
      <c r="C1353" t="s">
        <v>6</v>
      </c>
      <c r="D1353" t="s">
        <v>7</v>
      </c>
      <c r="E1353" t="s">
        <v>8</v>
      </c>
      <c r="F1353" s="28">
        <v>5149</v>
      </c>
      <c r="G1353" s="10" t="s">
        <v>194</v>
      </c>
      <c r="H1353" s="1">
        <v>1184985</v>
      </c>
      <c r="I1353" s="1">
        <v>165901.42685533423</v>
      </c>
      <c r="J1353" s="1">
        <v>1350886.4268553343</v>
      </c>
    </row>
    <row r="1354" spans="1:10" x14ac:dyDescent="0.2">
      <c r="A1354">
        <v>2007740</v>
      </c>
      <c r="B1354">
        <v>2015</v>
      </c>
      <c r="C1354" t="s">
        <v>6</v>
      </c>
      <c r="D1354" t="s">
        <v>7</v>
      </c>
      <c r="E1354" t="s">
        <v>8</v>
      </c>
      <c r="F1354" s="29">
        <v>5150</v>
      </c>
      <c r="G1354" s="3" t="s">
        <v>247</v>
      </c>
      <c r="H1354" s="27">
        <v>645864</v>
      </c>
      <c r="I1354" s="1">
        <v>104031.92484515491</v>
      </c>
      <c r="J1354" s="1">
        <v>749895.92484515486</v>
      </c>
    </row>
    <row r="1355" spans="1:10" x14ac:dyDescent="0.2">
      <c r="A1355">
        <v>2007740</v>
      </c>
      <c r="B1355">
        <v>2016</v>
      </c>
      <c r="C1355" t="s">
        <v>6</v>
      </c>
      <c r="D1355" t="s">
        <v>7</v>
      </c>
      <c r="E1355" t="s">
        <v>8</v>
      </c>
      <c r="F1355" s="29">
        <v>5150</v>
      </c>
      <c r="G1355" s="3" t="s">
        <v>247</v>
      </c>
      <c r="H1355" s="1">
        <v>789613</v>
      </c>
      <c r="I1355" s="26">
        <v>2085435.7759871469</v>
      </c>
      <c r="J1355" s="26">
        <v>2875048.7759871469</v>
      </c>
    </row>
    <row r="1356" spans="1:10" x14ac:dyDescent="0.2">
      <c r="A1356">
        <v>2007740</v>
      </c>
      <c r="B1356">
        <v>2017</v>
      </c>
      <c r="C1356" t="s">
        <v>6</v>
      </c>
      <c r="D1356" t="s">
        <v>7</v>
      </c>
      <c r="E1356" t="s">
        <v>8</v>
      </c>
      <c r="F1356" s="29">
        <v>5150</v>
      </c>
      <c r="G1356" s="3" t="s">
        <v>247</v>
      </c>
      <c r="H1356" s="1">
        <v>798523</v>
      </c>
      <c r="I1356" s="1">
        <v>124614.01862218081</v>
      </c>
      <c r="J1356" s="1">
        <v>923137.0186221808</v>
      </c>
    </row>
    <row r="1357" spans="1:10" x14ac:dyDescent="0.2">
      <c r="A1357">
        <v>2007740</v>
      </c>
      <c r="B1357">
        <v>2018</v>
      </c>
      <c r="C1357" t="s">
        <v>6</v>
      </c>
      <c r="D1357" t="s">
        <v>7</v>
      </c>
      <c r="E1357" t="s">
        <v>8</v>
      </c>
      <c r="F1357" s="28">
        <v>5150</v>
      </c>
      <c r="G1357" t="s">
        <v>247</v>
      </c>
      <c r="H1357" s="1">
        <v>892212</v>
      </c>
      <c r="I1357" s="1">
        <v>134919.71633703317</v>
      </c>
      <c r="J1357" s="1">
        <v>1027131.7163370332</v>
      </c>
    </row>
    <row r="1358" spans="1:10" x14ac:dyDescent="0.2">
      <c r="A1358">
        <v>2007740</v>
      </c>
      <c r="B1358">
        <v>2019</v>
      </c>
      <c r="C1358" t="s">
        <v>6</v>
      </c>
      <c r="D1358" t="s">
        <v>7</v>
      </c>
      <c r="E1358" t="s">
        <v>8</v>
      </c>
      <c r="F1358" s="28">
        <v>5150</v>
      </c>
      <c r="G1358" t="s">
        <v>247</v>
      </c>
      <c r="H1358" s="1">
        <v>972770</v>
      </c>
      <c r="I1358" s="1">
        <v>148150.75218938012</v>
      </c>
      <c r="J1358" s="1">
        <v>1120920.7521893801</v>
      </c>
    </row>
    <row r="1359" spans="1:10" x14ac:dyDescent="0.2">
      <c r="A1359">
        <v>2007740</v>
      </c>
      <c r="B1359">
        <v>2020</v>
      </c>
      <c r="C1359" t="s">
        <v>6</v>
      </c>
      <c r="D1359" t="s">
        <v>7</v>
      </c>
      <c r="E1359" t="s">
        <v>8</v>
      </c>
      <c r="F1359" s="28">
        <v>5150</v>
      </c>
      <c r="G1359" t="s">
        <v>247</v>
      </c>
      <c r="H1359" s="1">
        <v>1077531</v>
      </c>
      <c r="I1359" s="1">
        <v>163014.08872057308</v>
      </c>
      <c r="J1359" s="1">
        <v>1240545.0887205731</v>
      </c>
    </row>
    <row r="1360" spans="1:10" x14ac:dyDescent="0.2">
      <c r="A1360">
        <v>2007740</v>
      </c>
      <c r="B1360">
        <v>2021</v>
      </c>
      <c r="C1360" t="s">
        <v>6</v>
      </c>
      <c r="D1360" t="s">
        <v>7</v>
      </c>
      <c r="E1360" t="s">
        <v>8</v>
      </c>
      <c r="F1360" s="28">
        <v>5150</v>
      </c>
      <c r="G1360" t="s">
        <v>247</v>
      </c>
      <c r="H1360" s="25">
        <v>1041474</v>
      </c>
      <c r="I1360" s="1">
        <v>155484.90358256453</v>
      </c>
      <c r="J1360" s="1">
        <v>1196958.9035825646</v>
      </c>
    </row>
    <row r="1361" spans="1:10" x14ac:dyDescent="0.2">
      <c r="A1361">
        <v>2007740</v>
      </c>
      <c r="B1361">
        <v>2022</v>
      </c>
      <c r="C1361" t="s">
        <v>6</v>
      </c>
      <c r="D1361" t="s">
        <v>7</v>
      </c>
      <c r="E1361" t="s">
        <v>8</v>
      </c>
      <c r="F1361" s="28">
        <v>5150</v>
      </c>
      <c r="G1361" t="s">
        <v>247</v>
      </c>
      <c r="H1361" s="1">
        <v>989944</v>
      </c>
      <c r="I1361" s="1">
        <v>134439.89345149969</v>
      </c>
      <c r="J1361" s="1">
        <v>1124383.8934514998</v>
      </c>
    </row>
    <row r="1362" spans="1:10" x14ac:dyDescent="0.2">
      <c r="A1362">
        <v>2007740</v>
      </c>
      <c r="B1362">
        <v>2023</v>
      </c>
      <c r="C1362" t="s">
        <v>6</v>
      </c>
      <c r="D1362" t="s">
        <v>7</v>
      </c>
      <c r="E1362" t="s">
        <v>8</v>
      </c>
      <c r="F1362" s="28">
        <v>5150</v>
      </c>
      <c r="G1362" s="3" t="s">
        <v>247</v>
      </c>
      <c r="H1362" s="1">
        <v>1047376</v>
      </c>
      <c r="I1362" s="1">
        <v>146635.75729146998</v>
      </c>
      <c r="J1362" s="1">
        <v>1194011.75729147</v>
      </c>
    </row>
    <row r="1363" spans="1:10" x14ac:dyDescent="0.2">
      <c r="A1363">
        <v>2010050</v>
      </c>
      <c r="B1363">
        <v>2015</v>
      </c>
      <c r="C1363" t="s">
        <v>6</v>
      </c>
      <c r="D1363" t="s">
        <v>7</v>
      </c>
      <c r="E1363" t="s">
        <v>8</v>
      </c>
      <c r="F1363" s="29">
        <v>5151</v>
      </c>
      <c r="G1363" s="3" t="s">
        <v>196</v>
      </c>
      <c r="H1363" s="27">
        <v>257556</v>
      </c>
      <c r="I1363" s="1">
        <v>41485.585874764212</v>
      </c>
      <c r="J1363" s="1">
        <v>299041.58587476419</v>
      </c>
    </row>
    <row r="1364" spans="1:10" x14ac:dyDescent="0.2">
      <c r="A1364">
        <v>2010050</v>
      </c>
      <c r="B1364">
        <v>2016</v>
      </c>
      <c r="C1364" t="s">
        <v>6</v>
      </c>
      <c r="D1364" t="s">
        <v>7</v>
      </c>
      <c r="E1364" t="s">
        <v>8</v>
      </c>
      <c r="F1364" s="29">
        <v>5151</v>
      </c>
      <c r="G1364" s="3" t="s">
        <v>196</v>
      </c>
      <c r="H1364" s="1">
        <v>254306</v>
      </c>
      <c r="I1364" s="26">
        <v>671644.18015192635</v>
      </c>
      <c r="J1364" s="26">
        <v>925950.18015192635</v>
      </c>
    </row>
    <row r="1365" spans="1:10" x14ac:dyDescent="0.2">
      <c r="A1365">
        <v>2010050</v>
      </c>
      <c r="B1365">
        <v>2017</v>
      </c>
      <c r="C1365" t="s">
        <v>6</v>
      </c>
      <c r="D1365" t="s">
        <v>7</v>
      </c>
      <c r="E1365" t="s">
        <v>8</v>
      </c>
      <c r="F1365" s="29">
        <v>5151</v>
      </c>
      <c r="G1365" s="3" t="s">
        <v>196</v>
      </c>
      <c r="H1365" s="1">
        <v>227269</v>
      </c>
      <c r="I1365" s="1">
        <v>35466.609475549747</v>
      </c>
      <c r="J1365" s="1">
        <v>262735.60947554978</v>
      </c>
    </row>
    <row r="1366" spans="1:10" x14ac:dyDescent="0.2">
      <c r="A1366">
        <v>2010050</v>
      </c>
      <c r="B1366">
        <v>2018</v>
      </c>
      <c r="C1366" t="s">
        <v>6</v>
      </c>
      <c r="D1366" t="s">
        <v>7</v>
      </c>
      <c r="E1366" t="s">
        <v>8</v>
      </c>
      <c r="F1366" s="28">
        <v>5151</v>
      </c>
      <c r="G1366" t="s">
        <v>196</v>
      </c>
      <c r="H1366" s="1">
        <v>319890</v>
      </c>
      <c r="I1366" s="1">
        <v>48373.557023502872</v>
      </c>
      <c r="J1366" s="1">
        <v>368263.55702350289</v>
      </c>
    </row>
    <row r="1367" spans="1:10" x14ac:dyDescent="0.2">
      <c r="A1367">
        <v>2010050</v>
      </c>
      <c r="B1367">
        <v>2019</v>
      </c>
      <c r="C1367" t="s">
        <v>6</v>
      </c>
      <c r="D1367" t="s">
        <v>7</v>
      </c>
      <c r="E1367" t="s">
        <v>8</v>
      </c>
      <c r="F1367" s="28">
        <v>5151</v>
      </c>
      <c r="G1367" t="s">
        <v>196</v>
      </c>
      <c r="H1367" s="1">
        <v>298217</v>
      </c>
      <c r="I1367" s="1">
        <v>45417.799547334289</v>
      </c>
      <c r="J1367" s="1">
        <v>343634.79954733432</v>
      </c>
    </row>
    <row r="1368" spans="1:10" x14ac:dyDescent="0.2">
      <c r="A1368">
        <v>2010050</v>
      </c>
      <c r="B1368">
        <v>2020</v>
      </c>
      <c r="C1368" t="s">
        <v>6</v>
      </c>
      <c r="D1368" t="s">
        <v>7</v>
      </c>
      <c r="E1368" t="s">
        <v>8</v>
      </c>
      <c r="F1368" s="28">
        <v>5151</v>
      </c>
      <c r="G1368" t="s">
        <v>196</v>
      </c>
      <c r="H1368" s="1">
        <v>376257</v>
      </c>
      <c r="I1368" s="1">
        <v>56921.974383787259</v>
      </c>
      <c r="J1368" s="1">
        <v>433178.97438378725</v>
      </c>
    </row>
    <row r="1369" spans="1:10" x14ac:dyDescent="0.2">
      <c r="A1369">
        <v>2010050</v>
      </c>
      <c r="B1369">
        <v>2021</v>
      </c>
      <c r="C1369" t="s">
        <v>6</v>
      </c>
      <c r="D1369" t="s">
        <v>7</v>
      </c>
      <c r="E1369" t="s">
        <v>8</v>
      </c>
      <c r="F1369" s="28">
        <v>5151</v>
      </c>
      <c r="G1369" t="s">
        <v>196</v>
      </c>
      <c r="H1369" s="25">
        <v>391094</v>
      </c>
      <c r="I1369" s="1">
        <v>58387.643745037785</v>
      </c>
      <c r="J1369" s="1">
        <v>449481.64374503779</v>
      </c>
    </row>
    <row r="1370" spans="1:10" x14ac:dyDescent="0.2">
      <c r="A1370">
        <v>2010050</v>
      </c>
      <c r="B1370">
        <v>2022</v>
      </c>
      <c r="C1370" t="s">
        <v>6</v>
      </c>
      <c r="D1370" t="s">
        <v>7</v>
      </c>
      <c r="E1370" t="s">
        <v>8</v>
      </c>
      <c r="F1370" s="28">
        <v>5151</v>
      </c>
      <c r="G1370" t="s">
        <v>196</v>
      </c>
      <c r="H1370" s="1">
        <v>388329</v>
      </c>
      <c r="I1370" s="1">
        <v>52737.235019483342</v>
      </c>
      <c r="J1370" s="1">
        <v>441066.23501948337</v>
      </c>
    </row>
    <row r="1371" spans="1:10" x14ac:dyDescent="0.2">
      <c r="A1371">
        <v>2010050</v>
      </c>
      <c r="B1371">
        <v>2023</v>
      </c>
      <c r="C1371" t="s">
        <v>6</v>
      </c>
      <c r="D1371" t="s">
        <v>7</v>
      </c>
      <c r="E1371" t="s">
        <v>8</v>
      </c>
      <c r="F1371" s="28">
        <v>5151</v>
      </c>
      <c r="G1371" s="10" t="s">
        <v>196</v>
      </c>
      <c r="H1371" s="1">
        <v>401055</v>
      </c>
      <c r="I1371" s="1">
        <v>56148.89365474337</v>
      </c>
      <c r="J1371" s="1">
        <v>457203.89365474338</v>
      </c>
    </row>
    <row r="1372" spans="1:10" x14ac:dyDescent="0.2">
      <c r="A1372">
        <v>2007500</v>
      </c>
      <c r="B1372">
        <v>2015</v>
      </c>
      <c r="C1372" t="s">
        <v>6</v>
      </c>
      <c r="D1372" t="s">
        <v>7</v>
      </c>
      <c r="E1372" t="s">
        <v>8</v>
      </c>
      <c r="F1372" s="29">
        <v>5152</v>
      </c>
      <c r="G1372" s="3" t="s">
        <v>197</v>
      </c>
      <c r="H1372" s="27">
        <v>405764</v>
      </c>
      <c r="I1372" s="1">
        <v>65358.047441674142</v>
      </c>
      <c r="J1372" s="1">
        <v>471122.04744167416</v>
      </c>
    </row>
    <row r="1373" spans="1:10" x14ac:dyDescent="0.2">
      <c r="A1373">
        <v>2007500</v>
      </c>
      <c r="B1373">
        <v>2016</v>
      </c>
      <c r="C1373" t="s">
        <v>6</v>
      </c>
      <c r="D1373" t="s">
        <v>7</v>
      </c>
      <c r="E1373" t="s">
        <v>8</v>
      </c>
      <c r="F1373" s="29">
        <v>5152</v>
      </c>
      <c r="G1373" s="3" t="s">
        <v>197</v>
      </c>
      <c r="H1373" s="1">
        <v>401807</v>
      </c>
      <c r="I1373" s="26">
        <v>1061213.4424859064</v>
      </c>
      <c r="J1373" s="26">
        <v>1463020.4424859064</v>
      </c>
    </row>
    <row r="1374" spans="1:10" x14ac:dyDescent="0.2">
      <c r="A1374">
        <v>2007500</v>
      </c>
      <c r="B1374">
        <v>2017</v>
      </c>
      <c r="C1374" t="s">
        <v>6</v>
      </c>
      <c r="D1374" t="s">
        <v>7</v>
      </c>
      <c r="E1374" t="s">
        <v>8</v>
      </c>
      <c r="F1374" s="29">
        <v>5152</v>
      </c>
      <c r="G1374" s="3" t="s">
        <v>197</v>
      </c>
      <c r="H1374" s="1">
        <v>454649</v>
      </c>
      <c r="I1374" s="1">
        <v>70950.541127251039</v>
      </c>
      <c r="J1374" s="1">
        <v>525599.541127251</v>
      </c>
    </row>
    <row r="1375" spans="1:10" x14ac:dyDescent="0.2">
      <c r="A1375">
        <v>2007500</v>
      </c>
      <c r="B1375">
        <v>2018</v>
      </c>
      <c r="C1375" t="s">
        <v>6</v>
      </c>
      <c r="D1375" t="s">
        <v>7</v>
      </c>
      <c r="E1375" t="s">
        <v>8</v>
      </c>
      <c r="F1375" s="28">
        <v>5152</v>
      </c>
      <c r="G1375" t="s">
        <v>197</v>
      </c>
      <c r="H1375" s="1">
        <v>514533</v>
      </c>
      <c r="I1375" s="1">
        <v>77807.344449573298</v>
      </c>
      <c r="J1375" s="1">
        <v>592340.34444957331</v>
      </c>
    </row>
    <row r="1376" spans="1:10" x14ac:dyDescent="0.2">
      <c r="A1376">
        <v>2007500</v>
      </c>
      <c r="B1376">
        <v>2019</v>
      </c>
      <c r="C1376" t="s">
        <v>6</v>
      </c>
      <c r="D1376" t="s">
        <v>7</v>
      </c>
      <c r="E1376" t="s">
        <v>8</v>
      </c>
      <c r="F1376" s="28">
        <v>5152</v>
      </c>
      <c r="G1376" t="s">
        <v>197</v>
      </c>
      <c r="H1376" s="1">
        <v>642359</v>
      </c>
      <c r="I1376" s="1">
        <v>97829.876564468519</v>
      </c>
      <c r="J1376" s="1">
        <v>740188.87656446849</v>
      </c>
    </row>
    <row r="1377" spans="1:10" x14ac:dyDescent="0.2">
      <c r="A1377">
        <v>2007500</v>
      </c>
      <c r="B1377">
        <v>2020</v>
      </c>
      <c r="C1377" t="s">
        <v>6</v>
      </c>
      <c r="D1377" t="s">
        <v>7</v>
      </c>
      <c r="E1377" t="s">
        <v>8</v>
      </c>
      <c r="F1377" s="28">
        <v>5152</v>
      </c>
      <c r="G1377" t="s">
        <v>197</v>
      </c>
      <c r="H1377" s="1">
        <v>674901</v>
      </c>
      <c r="I1377" s="1">
        <v>102102.27964819898</v>
      </c>
      <c r="J1377" s="1">
        <v>777003.27964819898</v>
      </c>
    </row>
    <row r="1378" spans="1:10" x14ac:dyDescent="0.2">
      <c r="A1378">
        <v>2007500</v>
      </c>
      <c r="B1378">
        <v>2021</v>
      </c>
      <c r="C1378" t="s">
        <v>6</v>
      </c>
      <c r="D1378" t="s">
        <v>7</v>
      </c>
      <c r="E1378" t="s">
        <v>8</v>
      </c>
      <c r="F1378" s="28">
        <v>5152</v>
      </c>
      <c r="G1378" t="s">
        <v>197</v>
      </c>
      <c r="H1378" s="25">
        <v>591780</v>
      </c>
      <c r="I1378" s="1">
        <v>88348.682964807595</v>
      </c>
      <c r="J1378" s="1">
        <v>680128.68296480761</v>
      </c>
    </row>
    <row r="1379" spans="1:10" x14ac:dyDescent="0.2">
      <c r="A1379">
        <v>2007500</v>
      </c>
      <c r="B1379">
        <v>2022</v>
      </c>
      <c r="C1379" t="s">
        <v>6</v>
      </c>
      <c r="D1379" t="s">
        <v>7</v>
      </c>
      <c r="E1379" t="s">
        <v>8</v>
      </c>
      <c r="F1379" s="28">
        <v>5152</v>
      </c>
      <c r="G1379" t="s">
        <v>197</v>
      </c>
      <c r="H1379" s="1">
        <v>680467</v>
      </c>
      <c r="I1379" s="1">
        <v>92411.197984190643</v>
      </c>
      <c r="J1379" s="1">
        <v>772878.19798419066</v>
      </c>
    </row>
    <row r="1380" spans="1:10" x14ac:dyDescent="0.2">
      <c r="A1380">
        <v>2007500</v>
      </c>
      <c r="B1380">
        <v>2023</v>
      </c>
      <c r="C1380" t="s">
        <v>6</v>
      </c>
      <c r="D1380" t="s">
        <v>7</v>
      </c>
      <c r="E1380" t="s">
        <v>8</v>
      </c>
      <c r="F1380" s="28">
        <v>5152</v>
      </c>
      <c r="G1380" s="10" t="s">
        <v>197</v>
      </c>
      <c r="H1380" s="1">
        <v>739422</v>
      </c>
      <c r="I1380" s="1">
        <v>103521.28073201343</v>
      </c>
      <c r="J1380" s="1">
        <v>842943.2807320134</v>
      </c>
    </row>
    <row r="1381" spans="1:10" x14ac:dyDescent="0.2">
      <c r="A1381">
        <v>2005760</v>
      </c>
      <c r="B1381">
        <v>2015</v>
      </c>
      <c r="C1381" t="s">
        <v>6</v>
      </c>
      <c r="D1381" t="s">
        <v>7</v>
      </c>
      <c r="E1381" t="s">
        <v>8</v>
      </c>
      <c r="F1381" s="29">
        <v>5153</v>
      </c>
      <c r="G1381" s="3" t="s">
        <v>198</v>
      </c>
      <c r="H1381" s="27">
        <v>137786</v>
      </c>
      <c r="I1381" s="1">
        <v>22193.747904689706</v>
      </c>
      <c r="J1381" s="1">
        <v>159979.74790468969</v>
      </c>
    </row>
    <row r="1382" spans="1:10" x14ac:dyDescent="0.2">
      <c r="A1382">
        <v>2005760</v>
      </c>
      <c r="B1382">
        <v>2016</v>
      </c>
      <c r="C1382" t="s">
        <v>6</v>
      </c>
      <c r="D1382" t="s">
        <v>7</v>
      </c>
      <c r="E1382" t="s">
        <v>8</v>
      </c>
      <c r="F1382" s="29">
        <v>5153</v>
      </c>
      <c r="G1382" s="3" t="s">
        <v>198</v>
      </c>
      <c r="H1382" s="1">
        <v>108743</v>
      </c>
      <c r="I1382" s="26">
        <v>287197.02469517564</v>
      </c>
      <c r="J1382" s="26">
        <v>395940.02469517564</v>
      </c>
    </row>
    <row r="1383" spans="1:10" x14ac:dyDescent="0.2">
      <c r="A1383">
        <v>2005760</v>
      </c>
      <c r="B1383">
        <v>2017</v>
      </c>
      <c r="C1383" t="s">
        <v>6</v>
      </c>
      <c r="D1383" t="s">
        <v>7</v>
      </c>
      <c r="E1383" t="s">
        <v>8</v>
      </c>
      <c r="F1383" s="29">
        <v>5153</v>
      </c>
      <c r="G1383" s="3" t="s">
        <v>198</v>
      </c>
      <c r="H1383" s="1">
        <v>124179</v>
      </c>
      <c r="I1383" s="1">
        <v>19378.83344435137</v>
      </c>
      <c r="J1383" s="1">
        <v>143557.83344435136</v>
      </c>
    </row>
    <row r="1384" spans="1:10" x14ac:dyDescent="0.2">
      <c r="A1384">
        <v>2005760</v>
      </c>
      <c r="B1384">
        <v>2018</v>
      </c>
      <c r="C1384" t="s">
        <v>6</v>
      </c>
      <c r="D1384" t="s">
        <v>7</v>
      </c>
      <c r="E1384" t="s">
        <v>8</v>
      </c>
      <c r="F1384" s="28">
        <v>5153</v>
      </c>
      <c r="G1384" t="s">
        <v>198</v>
      </c>
      <c r="H1384" s="1">
        <v>140816</v>
      </c>
      <c r="I1384" s="1">
        <v>21294.103616310545</v>
      </c>
      <c r="J1384" s="1">
        <v>162110.10361631055</v>
      </c>
    </row>
    <row r="1385" spans="1:10" x14ac:dyDescent="0.2">
      <c r="A1385">
        <v>2005760</v>
      </c>
      <c r="B1385">
        <v>2019</v>
      </c>
      <c r="C1385" t="s">
        <v>6</v>
      </c>
      <c r="D1385" t="s">
        <v>7</v>
      </c>
      <c r="E1385" t="s">
        <v>8</v>
      </c>
      <c r="F1385" s="28">
        <v>5153</v>
      </c>
      <c r="G1385" t="s">
        <v>198</v>
      </c>
      <c r="H1385" s="1">
        <v>130037</v>
      </c>
      <c r="I1385" s="1">
        <v>19804.351863698947</v>
      </c>
      <c r="J1385" s="1">
        <v>149841.35186369895</v>
      </c>
    </row>
    <row r="1386" spans="1:10" x14ac:dyDescent="0.2">
      <c r="A1386">
        <v>2005760</v>
      </c>
      <c r="B1386">
        <v>2020</v>
      </c>
      <c r="C1386" t="s">
        <v>6</v>
      </c>
      <c r="D1386" t="s">
        <v>7</v>
      </c>
      <c r="E1386" t="s">
        <v>8</v>
      </c>
      <c r="F1386" s="28">
        <v>5153</v>
      </c>
      <c r="G1386" t="s">
        <v>198</v>
      </c>
      <c r="H1386" s="1">
        <v>146116</v>
      </c>
      <c r="I1386" s="1">
        <v>22105.13348339422</v>
      </c>
      <c r="J1386" s="1">
        <v>168221.13348339422</v>
      </c>
    </row>
    <row r="1387" spans="1:10" x14ac:dyDescent="0.2">
      <c r="A1387">
        <v>2005760</v>
      </c>
      <c r="B1387">
        <v>2021</v>
      </c>
      <c r="C1387" t="s">
        <v>6</v>
      </c>
      <c r="D1387" t="s">
        <v>7</v>
      </c>
      <c r="E1387" t="s">
        <v>8</v>
      </c>
      <c r="F1387" s="28">
        <v>5153</v>
      </c>
      <c r="G1387" t="s">
        <v>198</v>
      </c>
      <c r="H1387" s="25">
        <v>141959</v>
      </c>
      <c r="I1387" s="1">
        <v>21193.502120722434</v>
      </c>
      <c r="J1387" s="1">
        <v>163152.50212072243</v>
      </c>
    </row>
    <row r="1388" spans="1:10" x14ac:dyDescent="0.2">
      <c r="A1388">
        <v>2005760</v>
      </c>
      <c r="B1388">
        <v>2022</v>
      </c>
      <c r="C1388" t="s">
        <v>6</v>
      </c>
      <c r="D1388" t="s">
        <v>7</v>
      </c>
      <c r="E1388" t="s">
        <v>8</v>
      </c>
      <c r="F1388" s="28">
        <v>5153</v>
      </c>
      <c r="G1388" t="s">
        <v>198</v>
      </c>
      <c r="H1388" s="1">
        <v>149517</v>
      </c>
      <c r="I1388" s="1">
        <v>20305.239032902748</v>
      </c>
      <c r="J1388" s="1">
        <v>169822.23903290275</v>
      </c>
    </row>
    <row r="1389" spans="1:10" x14ac:dyDescent="0.2">
      <c r="A1389">
        <v>2005760</v>
      </c>
      <c r="B1389">
        <v>2023</v>
      </c>
      <c r="C1389" t="s">
        <v>6</v>
      </c>
      <c r="D1389" t="s">
        <v>7</v>
      </c>
      <c r="E1389" t="s">
        <v>8</v>
      </c>
      <c r="F1389" s="28">
        <v>5153</v>
      </c>
      <c r="G1389" s="10" t="s">
        <v>198</v>
      </c>
      <c r="H1389" s="1">
        <v>138056</v>
      </c>
      <c r="I1389" s="1">
        <v>19328.250894264504</v>
      </c>
      <c r="J1389" s="1">
        <v>157384.25089426449</v>
      </c>
    </row>
    <row r="1390" spans="1:10" x14ac:dyDescent="0.2">
      <c r="A1390">
        <v>2012120</v>
      </c>
      <c r="B1390">
        <v>2015</v>
      </c>
      <c r="C1390" t="s">
        <v>6</v>
      </c>
      <c r="D1390" t="s">
        <v>7</v>
      </c>
      <c r="E1390" t="s">
        <v>8</v>
      </c>
      <c r="F1390" s="29">
        <v>5154</v>
      </c>
      <c r="G1390" s="3" t="s">
        <v>199</v>
      </c>
      <c r="H1390" s="27">
        <v>142385</v>
      </c>
      <c r="I1390" s="1">
        <v>22934.527422301566</v>
      </c>
      <c r="J1390" s="1">
        <v>165319.52742230156</v>
      </c>
    </row>
    <row r="1391" spans="1:10" x14ac:dyDescent="0.2">
      <c r="A1391">
        <v>2012120</v>
      </c>
      <c r="B1391">
        <v>2016</v>
      </c>
      <c r="C1391" t="s">
        <v>6</v>
      </c>
      <c r="D1391" t="s">
        <v>7</v>
      </c>
      <c r="E1391" t="s">
        <v>8</v>
      </c>
      <c r="F1391" s="29">
        <v>5154</v>
      </c>
      <c r="G1391" s="3" t="s">
        <v>199</v>
      </c>
      <c r="H1391" s="1">
        <v>164041</v>
      </c>
      <c r="I1391" s="26">
        <v>433251.23180416937</v>
      </c>
      <c r="J1391" s="26">
        <v>597292.23180416937</v>
      </c>
    </row>
    <row r="1392" spans="1:10" x14ac:dyDescent="0.2">
      <c r="A1392">
        <v>2012120</v>
      </c>
      <c r="B1392">
        <v>2017</v>
      </c>
      <c r="C1392" t="s">
        <v>6</v>
      </c>
      <c r="D1392" t="s">
        <v>7</v>
      </c>
      <c r="E1392" t="s">
        <v>8</v>
      </c>
      <c r="F1392" s="29">
        <v>5154</v>
      </c>
      <c r="G1392" s="3" t="s">
        <v>199</v>
      </c>
      <c r="H1392" s="1">
        <v>169977</v>
      </c>
      <c r="I1392" s="1">
        <v>26525.869691095217</v>
      </c>
      <c r="J1392" s="1">
        <v>196502.86969109523</v>
      </c>
    </row>
    <row r="1393" spans="1:10" x14ac:dyDescent="0.2">
      <c r="A1393">
        <v>2012120</v>
      </c>
      <c r="B1393">
        <v>2018</v>
      </c>
      <c r="C1393" t="s">
        <v>6</v>
      </c>
      <c r="D1393" t="s">
        <v>7</v>
      </c>
      <c r="E1393" t="s">
        <v>8</v>
      </c>
      <c r="F1393" s="28">
        <v>5154</v>
      </c>
      <c r="G1393" t="s">
        <v>199</v>
      </c>
      <c r="H1393" s="1">
        <v>182008</v>
      </c>
      <c r="I1393" s="1">
        <v>27523.130972314575</v>
      </c>
      <c r="J1393" s="1">
        <v>209531.13097231457</v>
      </c>
    </row>
    <row r="1394" spans="1:10" x14ac:dyDescent="0.2">
      <c r="A1394">
        <v>2012120</v>
      </c>
      <c r="B1394">
        <v>2019</v>
      </c>
      <c r="C1394" t="s">
        <v>6</v>
      </c>
      <c r="D1394" t="s">
        <v>7</v>
      </c>
      <c r="E1394" t="s">
        <v>8</v>
      </c>
      <c r="F1394" s="28">
        <v>5154</v>
      </c>
      <c r="G1394" t="s">
        <v>199</v>
      </c>
      <c r="H1394" s="1">
        <v>203558</v>
      </c>
      <c r="I1394" s="1">
        <v>31001.440026075888</v>
      </c>
      <c r="J1394" s="1">
        <v>234559.4400260759</v>
      </c>
    </row>
    <row r="1395" spans="1:10" x14ac:dyDescent="0.2">
      <c r="A1395">
        <v>2012120</v>
      </c>
      <c r="B1395">
        <v>2020</v>
      </c>
      <c r="C1395" t="s">
        <v>6</v>
      </c>
      <c r="D1395" t="s">
        <v>7</v>
      </c>
      <c r="E1395" t="s">
        <v>8</v>
      </c>
      <c r="F1395" s="28">
        <v>5154</v>
      </c>
      <c r="G1395" t="s">
        <v>199</v>
      </c>
      <c r="H1395" s="1">
        <v>234556</v>
      </c>
      <c r="I1395" s="1">
        <v>35484.763402577504</v>
      </c>
      <c r="J1395" s="1">
        <v>270040.76340257749</v>
      </c>
    </row>
    <row r="1396" spans="1:10" x14ac:dyDescent="0.2">
      <c r="A1396">
        <v>2012120</v>
      </c>
      <c r="B1396">
        <v>2021</v>
      </c>
      <c r="C1396" t="s">
        <v>6</v>
      </c>
      <c r="D1396" t="s">
        <v>7</v>
      </c>
      <c r="E1396" t="s">
        <v>8</v>
      </c>
      <c r="F1396" s="28">
        <v>5154</v>
      </c>
      <c r="G1396" t="s">
        <v>199</v>
      </c>
      <c r="H1396" s="25">
        <v>229541</v>
      </c>
      <c r="I1396" s="1">
        <v>34268.892217420158</v>
      </c>
      <c r="J1396" s="1">
        <v>263809.89221742016</v>
      </c>
    </row>
    <row r="1397" spans="1:10" x14ac:dyDescent="0.2">
      <c r="A1397">
        <v>2012120</v>
      </c>
      <c r="B1397">
        <v>2022</v>
      </c>
      <c r="C1397" t="s">
        <v>6</v>
      </c>
      <c r="D1397" t="s">
        <v>7</v>
      </c>
      <c r="E1397" t="s">
        <v>8</v>
      </c>
      <c r="F1397" s="28">
        <v>5154</v>
      </c>
      <c r="G1397" t="s">
        <v>199</v>
      </c>
      <c r="H1397" s="1">
        <v>225743</v>
      </c>
      <c r="I1397" s="1">
        <v>30657.153200001103</v>
      </c>
      <c r="J1397" s="1">
        <v>256400.15320000111</v>
      </c>
    </row>
    <row r="1398" spans="1:10" x14ac:dyDescent="0.2">
      <c r="A1398">
        <v>2012120</v>
      </c>
      <c r="B1398">
        <v>2023</v>
      </c>
      <c r="C1398" t="s">
        <v>6</v>
      </c>
      <c r="D1398" t="s">
        <v>7</v>
      </c>
      <c r="E1398" t="s">
        <v>8</v>
      </c>
      <c r="F1398" s="28">
        <v>5154</v>
      </c>
      <c r="G1398" s="10" t="s">
        <v>199</v>
      </c>
      <c r="H1398" s="1">
        <v>232697</v>
      </c>
      <c r="I1398" s="1">
        <v>32578.272573033169</v>
      </c>
      <c r="J1398" s="1">
        <v>265275.27257303317</v>
      </c>
    </row>
    <row r="1399" spans="1:10" x14ac:dyDescent="0.2">
      <c r="A1399">
        <v>2010920</v>
      </c>
      <c r="B1399">
        <v>2015</v>
      </c>
      <c r="C1399" t="s">
        <v>6</v>
      </c>
      <c r="D1399" t="s">
        <v>7</v>
      </c>
      <c r="E1399" t="s">
        <v>8</v>
      </c>
      <c r="F1399" s="29">
        <v>5155</v>
      </c>
      <c r="G1399" s="3" t="s">
        <v>200</v>
      </c>
      <c r="H1399" s="27">
        <v>175569</v>
      </c>
      <c r="I1399" s="1">
        <v>28279.608420873432</v>
      </c>
      <c r="J1399" s="1">
        <v>203848.60842087344</v>
      </c>
    </row>
    <row r="1400" spans="1:10" x14ac:dyDescent="0.2">
      <c r="A1400">
        <v>2010920</v>
      </c>
      <c r="B1400">
        <v>2016</v>
      </c>
      <c r="C1400" t="s">
        <v>6</v>
      </c>
      <c r="D1400" t="s">
        <v>7</v>
      </c>
      <c r="E1400" t="s">
        <v>8</v>
      </c>
      <c r="F1400" s="29">
        <v>5155</v>
      </c>
      <c r="G1400" s="3" t="s">
        <v>200</v>
      </c>
      <c r="H1400" s="1">
        <v>173279</v>
      </c>
      <c r="I1400" s="26">
        <v>457641.51354298223</v>
      </c>
      <c r="J1400" s="26">
        <v>630920.51354298217</v>
      </c>
    </row>
    <row r="1401" spans="1:10" x14ac:dyDescent="0.2">
      <c r="A1401">
        <v>2010920</v>
      </c>
      <c r="B1401">
        <v>2017</v>
      </c>
      <c r="C1401" t="s">
        <v>6</v>
      </c>
      <c r="D1401" t="s">
        <v>7</v>
      </c>
      <c r="E1401" t="s">
        <v>8</v>
      </c>
      <c r="F1401" s="29">
        <v>5155</v>
      </c>
      <c r="G1401" s="3" t="s">
        <v>200</v>
      </c>
      <c r="H1401" s="1">
        <v>177741</v>
      </c>
      <c r="I1401" s="1">
        <v>27737.485687857505</v>
      </c>
      <c r="J1401" s="1">
        <v>205478.48568785749</v>
      </c>
    </row>
    <row r="1402" spans="1:10" x14ac:dyDescent="0.2">
      <c r="A1402">
        <v>2010920</v>
      </c>
      <c r="B1402">
        <v>2018</v>
      </c>
      <c r="C1402" t="s">
        <v>6</v>
      </c>
      <c r="D1402" t="s">
        <v>7</v>
      </c>
      <c r="E1402" t="s">
        <v>8</v>
      </c>
      <c r="F1402" s="28">
        <v>5155</v>
      </c>
      <c r="G1402" t="s">
        <v>200</v>
      </c>
      <c r="H1402" s="1">
        <v>200160</v>
      </c>
      <c r="I1402" s="1">
        <v>30268.064565395398</v>
      </c>
      <c r="J1402" s="1">
        <v>230428.06456539541</v>
      </c>
    </row>
    <row r="1403" spans="1:10" x14ac:dyDescent="0.2">
      <c r="A1403">
        <v>2010920</v>
      </c>
      <c r="B1403">
        <v>2019</v>
      </c>
      <c r="C1403" t="s">
        <v>6</v>
      </c>
      <c r="D1403" t="s">
        <v>7</v>
      </c>
      <c r="E1403" t="s">
        <v>8</v>
      </c>
      <c r="F1403" s="28">
        <v>5155</v>
      </c>
      <c r="G1403" t="s">
        <v>200</v>
      </c>
      <c r="H1403" s="1">
        <v>232604</v>
      </c>
      <c r="I1403" s="1">
        <v>35425.082560377661</v>
      </c>
      <c r="J1403" s="1">
        <v>268029.08256037766</v>
      </c>
    </row>
    <row r="1404" spans="1:10" x14ac:dyDescent="0.2">
      <c r="A1404">
        <v>2010920</v>
      </c>
      <c r="B1404">
        <v>2020</v>
      </c>
      <c r="C1404" t="s">
        <v>6</v>
      </c>
      <c r="D1404" t="s">
        <v>7</v>
      </c>
      <c r="E1404" t="s">
        <v>8</v>
      </c>
      <c r="F1404" s="28">
        <v>5155</v>
      </c>
      <c r="G1404" t="s">
        <v>200</v>
      </c>
      <c r="H1404" s="1">
        <v>286194</v>
      </c>
      <c r="I1404" s="1">
        <v>43296.809193699009</v>
      </c>
      <c r="J1404" s="1">
        <v>329490.80919369904</v>
      </c>
    </row>
    <row r="1405" spans="1:10" x14ac:dyDescent="0.2">
      <c r="A1405">
        <v>2010920</v>
      </c>
      <c r="B1405">
        <v>2021</v>
      </c>
      <c r="C1405" t="s">
        <v>6</v>
      </c>
      <c r="D1405" t="s">
        <v>7</v>
      </c>
      <c r="E1405" t="s">
        <v>8</v>
      </c>
      <c r="F1405" s="28">
        <v>5155</v>
      </c>
      <c r="G1405" t="s">
        <v>357</v>
      </c>
      <c r="H1405" s="25">
        <v>308215</v>
      </c>
      <c r="I1405" s="1">
        <v>46014.379194968016</v>
      </c>
      <c r="J1405" s="1">
        <v>354229.37919496803</v>
      </c>
    </row>
    <row r="1406" spans="1:10" x14ac:dyDescent="0.2">
      <c r="A1406">
        <v>2010920</v>
      </c>
      <c r="B1406">
        <v>2022</v>
      </c>
      <c r="C1406" t="s">
        <v>6</v>
      </c>
      <c r="D1406" t="s">
        <v>7</v>
      </c>
      <c r="E1406" t="s">
        <v>8</v>
      </c>
      <c r="F1406" s="28">
        <v>5155</v>
      </c>
      <c r="G1406" t="s">
        <v>200</v>
      </c>
      <c r="H1406" s="1">
        <v>294915</v>
      </c>
      <c r="I1406" s="1">
        <v>40051.094988452911</v>
      </c>
      <c r="J1406" s="1">
        <v>334966.09498845291</v>
      </c>
    </row>
    <row r="1407" spans="1:10" x14ac:dyDescent="0.2">
      <c r="A1407">
        <v>2010920</v>
      </c>
      <c r="B1407">
        <v>2023</v>
      </c>
      <c r="C1407" t="s">
        <v>6</v>
      </c>
      <c r="D1407" t="s">
        <v>7</v>
      </c>
      <c r="E1407" t="s">
        <v>8</v>
      </c>
      <c r="F1407" s="28">
        <v>5155</v>
      </c>
      <c r="G1407" s="10" t="s">
        <v>200</v>
      </c>
      <c r="H1407" s="1">
        <v>286091</v>
      </c>
      <c r="I1407" s="1">
        <v>40053.591488895996</v>
      </c>
      <c r="J1407" s="1">
        <v>326144.591488896</v>
      </c>
    </row>
    <row r="1408" spans="1:10" x14ac:dyDescent="0.2">
      <c r="A1408">
        <v>2005010</v>
      </c>
      <c r="B1408">
        <v>2015</v>
      </c>
      <c r="C1408" t="s">
        <v>6</v>
      </c>
      <c r="D1408" t="s">
        <v>7</v>
      </c>
      <c r="E1408" t="s">
        <v>8</v>
      </c>
      <c r="F1408" s="29">
        <v>5156</v>
      </c>
      <c r="G1408" s="3" t="s">
        <v>201</v>
      </c>
      <c r="H1408" s="27">
        <v>528383</v>
      </c>
      <c r="I1408" s="1">
        <v>85108.785356448847</v>
      </c>
      <c r="J1408" s="1">
        <v>613491.78535644885</v>
      </c>
    </row>
    <row r="1409" spans="1:10" x14ac:dyDescent="0.2">
      <c r="A1409">
        <v>2005010</v>
      </c>
      <c r="B1409">
        <v>2016</v>
      </c>
      <c r="C1409" t="s">
        <v>6</v>
      </c>
      <c r="D1409" t="s">
        <v>7</v>
      </c>
      <c r="E1409" t="s">
        <v>8</v>
      </c>
      <c r="F1409" s="29">
        <v>5156</v>
      </c>
      <c r="G1409" s="3" t="s">
        <v>201</v>
      </c>
      <c r="H1409" s="1">
        <v>520317</v>
      </c>
      <c r="I1409" s="26">
        <v>1374207.2479964546</v>
      </c>
      <c r="J1409" s="26">
        <v>1894524.2479964546</v>
      </c>
    </row>
    <row r="1410" spans="1:10" x14ac:dyDescent="0.2">
      <c r="A1410">
        <v>2005010</v>
      </c>
      <c r="B1410">
        <v>2017</v>
      </c>
      <c r="C1410" t="s">
        <v>6</v>
      </c>
      <c r="D1410" t="s">
        <v>7</v>
      </c>
      <c r="E1410" t="s">
        <v>8</v>
      </c>
      <c r="F1410" s="29">
        <v>5156</v>
      </c>
      <c r="G1410" s="3" t="s">
        <v>201</v>
      </c>
      <c r="H1410" s="1">
        <v>550873</v>
      </c>
      <c r="I1410" s="1">
        <v>85966.839127309562</v>
      </c>
      <c r="J1410" s="1">
        <v>636839.83912730962</v>
      </c>
    </row>
    <row r="1411" spans="1:10" x14ac:dyDescent="0.2">
      <c r="A1411">
        <v>2005010</v>
      </c>
      <c r="B1411">
        <v>2018</v>
      </c>
      <c r="C1411" t="s">
        <v>6</v>
      </c>
      <c r="D1411" t="s">
        <v>7</v>
      </c>
      <c r="E1411" t="s">
        <v>8</v>
      </c>
      <c r="F1411" s="28">
        <v>5156</v>
      </c>
      <c r="G1411" t="s">
        <v>201</v>
      </c>
      <c r="H1411" s="1">
        <v>600074</v>
      </c>
      <c r="I1411" s="1">
        <v>90742.798641162459</v>
      </c>
      <c r="J1411" s="1">
        <v>690816.79864116246</v>
      </c>
    </row>
    <row r="1412" spans="1:10" x14ac:dyDescent="0.2">
      <c r="A1412">
        <v>2005010</v>
      </c>
      <c r="B1412">
        <v>2019</v>
      </c>
      <c r="C1412" t="s">
        <v>6</v>
      </c>
      <c r="D1412" t="s">
        <v>7</v>
      </c>
      <c r="E1412" t="s">
        <v>8</v>
      </c>
      <c r="F1412" s="28">
        <v>5156</v>
      </c>
      <c r="G1412" t="s">
        <v>201</v>
      </c>
      <c r="H1412" s="1">
        <v>679643</v>
      </c>
      <c r="I1412" s="1">
        <v>103508.14855541072</v>
      </c>
      <c r="J1412" s="1">
        <v>783151.14855541068</v>
      </c>
    </row>
    <row r="1413" spans="1:10" x14ac:dyDescent="0.2">
      <c r="A1413">
        <v>2005010</v>
      </c>
      <c r="B1413">
        <v>2020</v>
      </c>
      <c r="C1413" t="s">
        <v>6</v>
      </c>
      <c r="D1413" t="s">
        <v>7</v>
      </c>
      <c r="E1413" t="s">
        <v>8</v>
      </c>
      <c r="F1413" s="28">
        <v>5156</v>
      </c>
      <c r="G1413" t="s">
        <v>201</v>
      </c>
      <c r="H1413" s="1">
        <v>769631</v>
      </c>
      <c r="I1413" s="1">
        <v>116433.4911163608</v>
      </c>
      <c r="J1413" s="1">
        <v>886064.49111636076</v>
      </c>
    </row>
    <row r="1414" spans="1:10" x14ac:dyDescent="0.2">
      <c r="A1414">
        <v>2005010</v>
      </c>
      <c r="B1414">
        <v>2021</v>
      </c>
      <c r="C1414" t="s">
        <v>6</v>
      </c>
      <c r="D1414" t="s">
        <v>7</v>
      </c>
      <c r="E1414" t="s">
        <v>8</v>
      </c>
      <c r="F1414" s="28">
        <v>5156</v>
      </c>
      <c r="G1414" t="s">
        <v>201</v>
      </c>
      <c r="H1414" s="25">
        <v>820842</v>
      </c>
      <c r="I1414" s="1">
        <v>122546.06377741491</v>
      </c>
      <c r="J1414" s="1">
        <v>943388.06377741485</v>
      </c>
    </row>
    <row r="1415" spans="1:10" x14ac:dyDescent="0.2">
      <c r="A1415">
        <v>2005010</v>
      </c>
      <c r="B1415">
        <v>2022</v>
      </c>
      <c r="C1415" t="s">
        <v>6</v>
      </c>
      <c r="D1415" t="s">
        <v>7</v>
      </c>
      <c r="E1415" t="s">
        <v>8</v>
      </c>
      <c r="F1415" s="28">
        <v>5156</v>
      </c>
      <c r="G1415" t="s">
        <v>201</v>
      </c>
      <c r="H1415" s="1">
        <v>836970</v>
      </c>
      <c r="I1415" s="1">
        <v>113665.1746180609</v>
      </c>
      <c r="J1415" s="1">
        <v>950635.17461806093</v>
      </c>
    </row>
    <row r="1416" spans="1:10" x14ac:dyDescent="0.2">
      <c r="A1416">
        <v>2005010</v>
      </c>
      <c r="B1416">
        <v>2023</v>
      </c>
      <c r="C1416" t="s">
        <v>6</v>
      </c>
      <c r="D1416" t="s">
        <v>7</v>
      </c>
      <c r="E1416" t="s">
        <v>8</v>
      </c>
      <c r="F1416" s="28">
        <v>5156</v>
      </c>
      <c r="G1416" s="10" t="s">
        <v>201</v>
      </c>
      <c r="H1416" s="1">
        <v>792426</v>
      </c>
      <c r="I1416" s="1">
        <v>110941.99848712439</v>
      </c>
      <c r="J1416" s="1">
        <v>903367.99848712445</v>
      </c>
    </row>
    <row r="1417" spans="1:10" x14ac:dyDescent="0.2">
      <c r="A1417">
        <v>2008910</v>
      </c>
      <c r="B1417">
        <v>2015</v>
      </c>
      <c r="C1417" t="s">
        <v>6</v>
      </c>
      <c r="D1417" t="s">
        <v>7</v>
      </c>
      <c r="E1417" t="s">
        <v>8</v>
      </c>
      <c r="F1417" s="29">
        <v>5157</v>
      </c>
      <c r="G1417" s="3" t="s">
        <v>202</v>
      </c>
      <c r="H1417" s="27">
        <v>114718</v>
      </c>
      <c r="I1417" s="1">
        <v>18478.091911588941</v>
      </c>
      <c r="J1417" s="1">
        <v>133196.09191158894</v>
      </c>
    </row>
    <row r="1418" spans="1:10" x14ac:dyDescent="0.2">
      <c r="A1418">
        <v>2008910</v>
      </c>
      <c r="B1418">
        <v>2016</v>
      </c>
      <c r="C1418" t="s">
        <v>6</v>
      </c>
      <c r="D1418" t="s">
        <v>7</v>
      </c>
      <c r="E1418" t="s">
        <v>8</v>
      </c>
      <c r="F1418" s="29">
        <v>5157</v>
      </c>
      <c r="G1418" s="3" t="s">
        <v>202</v>
      </c>
      <c r="H1418" s="1">
        <v>123838</v>
      </c>
      <c r="I1418" s="26">
        <v>327064.86396033311</v>
      </c>
      <c r="J1418" s="26">
        <v>450902.86396033311</v>
      </c>
    </row>
    <row r="1419" spans="1:10" x14ac:dyDescent="0.2">
      <c r="A1419">
        <v>2008910</v>
      </c>
      <c r="B1419">
        <v>2017</v>
      </c>
      <c r="C1419" t="s">
        <v>6</v>
      </c>
      <c r="D1419" t="s">
        <v>7</v>
      </c>
      <c r="E1419" t="s">
        <v>8</v>
      </c>
      <c r="F1419" s="29">
        <v>5157</v>
      </c>
      <c r="G1419" s="3" t="s">
        <v>202</v>
      </c>
      <c r="H1419" s="1">
        <v>128016</v>
      </c>
      <c r="I1419" s="1">
        <v>19977.618938887292</v>
      </c>
      <c r="J1419" s="1">
        <v>147993.61893888729</v>
      </c>
    </row>
    <row r="1420" spans="1:10" x14ac:dyDescent="0.2">
      <c r="A1420">
        <v>2008910</v>
      </c>
      <c r="B1420">
        <v>2018</v>
      </c>
      <c r="C1420" t="s">
        <v>6</v>
      </c>
      <c r="D1420" t="s">
        <v>7</v>
      </c>
      <c r="E1420" t="s">
        <v>8</v>
      </c>
      <c r="F1420" s="28">
        <v>5157</v>
      </c>
      <c r="G1420" t="s">
        <v>202</v>
      </c>
      <c r="H1420" s="1">
        <v>142019</v>
      </c>
      <c r="I1420" s="1">
        <v>21476.020491171508</v>
      </c>
      <c r="J1420" s="1">
        <v>163495.02049117151</v>
      </c>
    </row>
    <row r="1421" spans="1:10" x14ac:dyDescent="0.2">
      <c r="A1421">
        <v>2008910</v>
      </c>
      <c r="B1421">
        <v>2019</v>
      </c>
      <c r="C1421" t="s">
        <v>6</v>
      </c>
      <c r="D1421" t="s">
        <v>7</v>
      </c>
      <c r="E1421" t="s">
        <v>8</v>
      </c>
      <c r="F1421" s="28">
        <v>5157</v>
      </c>
      <c r="G1421" t="s">
        <v>202</v>
      </c>
      <c r="H1421" s="1">
        <v>150420</v>
      </c>
      <c r="I1421" s="1">
        <v>22908.638367061649</v>
      </c>
      <c r="J1421" s="1">
        <v>173328.63836706165</v>
      </c>
    </row>
    <row r="1422" spans="1:10" x14ac:dyDescent="0.2">
      <c r="A1422">
        <v>2008910</v>
      </c>
      <c r="B1422">
        <v>2020</v>
      </c>
      <c r="C1422" t="s">
        <v>6</v>
      </c>
      <c r="D1422" t="s">
        <v>7</v>
      </c>
      <c r="E1422" t="s">
        <v>8</v>
      </c>
      <c r="F1422" s="28">
        <v>5157</v>
      </c>
      <c r="G1422" t="s">
        <v>202</v>
      </c>
      <c r="H1422" s="1">
        <v>164566</v>
      </c>
      <c r="I1422" s="1">
        <v>24896.33850384799</v>
      </c>
      <c r="J1422" s="1">
        <v>189462.338503848</v>
      </c>
    </row>
    <row r="1423" spans="1:10" x14ac:dyDescent="0.2">
      <c r="A1423">
        <v>2008910</v>
      </c>
      <c r="B1423">
        <v>2021</v>
      </c>
      <c r="C1423" t="s">
        <v>6</v>
      </c>
      <c r="D1423" t="s">
        <v>7</v>
      </c>
      <c r="E1423" t="s">
        <v>8</v>
      </c>
      <c r="F1423" s="28">
        <v>5157</v>
      </c>
      <c r="G1423" t="s">
        <v>202</v>
      </c>
      <c r="H1423" s="25">
        <v>165339</v>
      </c>
      <c r="I1423" s="1">
        <v>24683.975282568394</v>
      </c>
      <c r="J1423" s="1">
        <v>190022.9752825684</v>
      </c>
    </row>
    <row r="1424" spans="1:10" x14ac:dyDescent="0.2">
      <c r="A1424">
        <v>2008910</v>
      </c>
      <c r="B1424">
        <v>2022</v>
      </c>
      <c r="C1424" t="s">
        <v>6</v>
      </c>
      <c r="D1424" t="s">
        <v>7</v>
      </c>
      <c r="E1424" t="s">
        <v>8</v>
      </c>
      <c r="F1424" s="28">
        <v>5157</v>
      </c>
      <c r="G1424" t="s">
        <v>202</v>
      </c>
      <c r="H1424" s="1">
        <v>155543</v>
      </c>
      <c r="I1424" s="1">
        <v>21123.603301930831</v>
      </c>
      <c r="J1424" s="1">
        <v>176666.60330193082</v>
      </c>
    </row>
    <row r="1425" spans="1:10" x14ac:dyDescent="0.2">
      <c r="A1425">
        <v>2008910</v>
      </c>
      <c r="B1425">
        <v>2023</v>
      </c>
      <c r="C1425" t="s">
        <v>6</v>
      </c>
      <c r="D1425" t="s">
        <v>7</v>
      </c>
      <c r="E1425" t="s">
        <v>8</v>
      </c>
      <c r="F1425" s="28">
        <v>5157</v>
      </c>
      <c r="G1425" s="10" t="s">
        <v>202</v>
      </c>
      <c r="H1425" s="1">
        <v>150444</v>
      </c>
      <c r="I1425" s="1">
        <v>21062.607764506643</v>
      </c>
      <c r="J1425" s="1">
        <v>171506.60776450665</v>
      </c>
    </row>
    <row r="1426" spans="1:10" x14ac:dyDescent="0.2">
      <c r="A1426">
        <v>2008070</v>
      </c>
      <c r="B1426">
        <v>2015</v>
      </c>
      <c r="C1426" t="s">
        <v>6</v>
      </c>
      <c r="D1426" t="s">
        <v>7</v>
      </c>
      <c r="E1426" t="s">
        <v>8</v>
      </c>
      <c r="F1426" s="29">
        <v>5158</v>
      </c>
      <c r="G1426" s="3" t="s">
        <v>203</v>
      </c>
      <c r="H1426" s="27">
        <v>533727</v>
      </c>
      <c r="I1426" s="1">
        <v>85969.56503510024</v>
      </c>
      <c r="J1426" s="1">
        <v>619696.56503510021</v>
      </c>
    </row>
    <row r="1427" spans="1:10" x14ac:dyDescent="0.2">
      <c r="A1427">
        <v>2008070</v>
      </c>
      <c r="B1427">
        <v>2016</v>
      </c>
      <c r="C1427" t="s">
        <v>6</v>
      </c>
      <c r="D1427" t="s">
        <v>7</v>
      </c>
      <c r="E1427" t="s">
        <v>8</v>
      </c>
      <c r="F1427" s="29">
        <v>5158</v>
      </c>
      <c r="G1427" s="3" t="s">
        <v>203</v>
      </c>
      <c r="H1427" s="1">
        <v>548554</v>
      </c>
      <c r="I1427" s="26">
        <v>1448783.6342340549</v>
      </c>
      <c r="J1427" s="26">
        <v>1997337.6342340549</v>
      </c>
    </row>
    <row r="1428" spans="1:10" x14ac:dyDescent="0.2">
      <c r="A1428">
        <v>2008070</v>
      </c>
      <c r="B1428">
        <v>2017</v>
      </c>
      <c r="C1428" t="s">
        <v>6</v>
      </c>
      <c r="D1428" t="s">
        <v>7</v>
      </c>
      <c r="E1428" t="s">
        <v>8</v>
      </c>
      <c r="F1428" s="29">
        <v>5158</v>
      </c>
      <c r="G1428" s="3" t="s">
        <v>203</v>
      </c>
      <c r="H1428" s="1">
        <v>568072</v>
      </c>
      <c r="I1428" s="1">
        <v>88650.840096953369</v>
      </c>
      <c r="J1428" s="1">
        <v>656722.84009695332</v>
      </c>
    </row>
    <row r="1429" spans="1:10" x14ac:dyDescent="0.2">
      <c r="A1429">
        <v>2008070</v>
      </c>
      <c r="B1429">
        <v>2018</v>
      </c>
      <c r="C1429" t="s">
        <v>6</v>
      </c>
      <c r="D1429" t="s">
        <v>7</v>
      </c>
      <c r="E1429" t="s">
        <v>8</v>
      </c>
      <c r="F1429" s="28">
        <v>5158</v>
      </c>
      <c r="G1429" t="s">
        <v>203</v>
      </c>
      <c r="H1429" s="1">
        <v>665214</v>
      </c>
      <c r="I1429" s="1">
        <v>100593.2269274827</v>
      </c>
      <c r="J1429" s="1">
        <v>765807.22692748276</v>
      </c>
    </row>
    <row r="1430" spans="1:10" x14ac:dyDescent="0.2">
      <c r="A1430">
        <v>2008070</v>
      </c>
      <c r="B1430">
        <v>2019</v>
      </c>
      <c r="C1430" t="s">
        <v>6</v>
      </c>
      <c r="D1430" t="s">
        <v>7</v>
      </c>
      <c r="E1430" t="s">
        <v>8</v>
      </c>
      <c r="F1430" s="28">
        <v>5158</v>
      </c>
      <c r="G1430" t="s">
        <v>203</v>
      </c>
      <c r="H1430" s="1">
        <v>747761</v>
      </c>
      <c r="I1430" s="1">
        <v>113882.3715861746</v>
      </c>
      <c r="J1430" s="1">
        <v>861643.37158617459</v>
      </c>
    </row>
    <row r="1431" spans="1:10" x14ac:dyDescent="0.2">
      <c r="A1431">
        <v>2008070</v>
      </c>
      <c r="B1431">
        <v>2020</v>
      </c>
      <c r="C1431" t="s">
        <v>6</v>
      </c>
      <c r="D1431" t="s">
        <v>7</v>
      </c>
      <c r="E1431" t="s">
        <v>8</v>
      </c>
      <c r="F1431" s="28">
        <v>5158</v>
      </c>
      <c r="G1431" t="s">
        <v>203</v>
      </c>
      <c r="H1431" s="1">
        <v>823639</v>
      </c>
      <c r="I1431" s="1">
        <v>124604.08194263003</v>
      </c>
      <c r="J1431" s="1">
        <v>948243.08194263</v>
      </c>
    </row>
    <row r="1432" spans="1:10" x14ac:dyDescent="0.2">
      <c r="A1432">
        <v>2008070</v>
      </c>
      <c r="B1432">
        <v>2021</v>
      </c>
      <c r="C1432" t="s">
        <v>6</v>
      </c>
      <c r="D1432" t="s">
        <v>7</v>
      </c>
      <c r="E1432" t="s">
        <v>8</v>
      </c>
      <c r="F1432" s="28">
        <v>5158</v>
      </c>
      <c r="G1432" t="s">
        <v>203</v>
      </c>
      <c r="H1432" s="25">
        <v>826896</v>
      </c>
      <c r="I1432" s="1">
        <v>123449.88433010163</v>
      </c>
      <c r="J1432" s="1">
        <v>950345.88433010166</v>
      </c>
    </row>
    <row r="1433" spans="1:10" x14ac:dyDescent="0.2">
      <c r="A1433">
        <v>2008070</v>
      </c>
      <c r="B1433">
        <v>2022</v>
      </c>
      <c r="C1433" t="s">
        <v>6</v>
      </c>
      <c r="D1433" t="s">
        <v>7</v>
      </c>
      <c r="E1433" t="s">
        <v>8</v>
      </c>
      <c r="F1433" s="28">
        <v>5158</v>
      </c>
      <c r="G1433" t="s">
        <v>203</v>
      </c>
      <c r="H1433" s="1">
        <v>816072</v>
      </c>
      <c r="I1433" s="1">
        <v>110827.11014840461</v>
      </c>
      <c r="J1433" s="1">
        <v>926899.11014840461</v>
      </c>
    </row>
    <row r="1434" spans="1:10" x14ac:dyDescent="0.2">
      <c r="A1434">
        <v>2008070</v>
      </c>
      <c r="B1434">
        <v>2023</v>
      </c>
      <c r="C1434" t="s">
        <v>6</v>
      </c>
      <c r="D1434" t="s">
        <v>7</v>
      </c>
      <c r="E1434" t="s">
        <v>8</v>
      </c>
      <c r="F1434" s="28">
        <v>5158</v>
      </c>
      <c r="G1434" s="10" t="s">
        <v>203</v>
      </c>
      <c r="H1434" s="1">
        <v>848376</v>
      </c>
      <c r="I1434" s="1">
        <v>118775.16501037654</v>
      </c>
      <c r="J1434" s="1">
        <v>967151.1650103766</v>
      </c>
    </row>
    <row r="1435" spans="1:10" x14ac:dyDescent="0.2">
      <c r="A1435">
        <v>2005100</v>
      </c>
      <c r="B1435">
        <v>2015</v>
      </c>
      <c r="C1435" t="s">
        <v>6</v>
      </c>
      <c r="D1435" t="s">
        <v>7</v>
      </c>
      <c r="E1435" t="s">
        <v>8</v>
      </c>
      <c r="F1435" s="29">
        <v>5159</v>
      </c>
      <c r="G1435" s="3" t="s">
        <v>204</v>
      </c>
      <c r="H1435" s="27">
        <v>755530</v>
      </c>
      <c r="I1435" s="1">
        <v>121696.27069825827</v>
      </c>
      <c r="J1435" s="1">
        <v>877226.2706982583</v>
      </c>
    </row>
    <row r="1436" spans="1:10" x14ac:dyDescent="0.2">
      <c r="A1436">
        <v>2005100</v>
      </c>
      <c r="B1436">
        <v>2016</v>
      </c>
      <c r="C1436" t="s">
        <v>6</v>
      </c>
      <c r="D1436" t="s">
        <v>7</v>
      </c>
      <c r="E1436" t="s">
        <v>8</v>
      </c>
      <c r="F1436" s="29">
        <v>5159</v>
      </c>
      <c r="G1436" s="3" t="s">
        <v>204</v>
      </c>
      <c r="H1436" s="1">
        <v>802864</v>
      </c>
      <c r="I1436" s="26">
        <v>2120440.0498485765</v>
      </c>
      <c r="J1436" s="26">
        <v>2923304.0498485765</v>
      </c>
    </row>
    <row r="1437" spans="1:10" x14ac:dyDescent="0.2">
      <c r="A1437">
        <v>2005100</v>
      </c>
      <c r="B1437">
        <v>2017</v>
      </c>
      <c r="C1437" t="s">
        <v>6</v>
      </c>
      <c r="D1437" t="s">
        <v>7</v>
      </c>
      <c r="E1437" t="s">
        <v>8</v>
      </c>
      <c r="F1437" s="29">
        <v>5159</v>
      </c>
      <c r="G1437" s="3" t="s">
        <v>204</v>
      </c>
      <c r="H1437" s="1">
        <v>871082</v>
      </c>
      <c r="I1437" s="1">
        <v>135937.25987785764</v>
      </c>
      <c r="J1437" s="1">
        <v>1007019.2598778576</v>
      </c>
    </row>
    <row r="1438" spans="1:10" x14ac:dyDescent="0.2">
      <c r="A1438">
        <v>2005100</v>
      </c>
      <c r="B1438">
        <v>2018</v>
      </c>
      <c r="C1438" t="s">
        <v>6</v>
      </c>
      <c r="D1438" t="s">
        <v>7</v>
      </c>
      <c r="E1438" t="s">
        <v>8</v>
      </c>
      <c r="F1438" s="28">
        <v>5159</v>
      </c>
      <c r="G1438" t="s">
        <v>204</v>
      </c>
      <c r="H1438" s="1">
        <v>979468</v>
      </c>
      <c r="I1438" s="1">
        <v>148114.51170932606</v>
      </c>
      <c r="J1438" s="1">
        <v>1127582.5117093259</v>
      </c>
    </row>
    <row r="1439" spans="1:10" x14ac:dyDescent="0.2">
      <c r="A1439">
        <v>2005100</v>
      </c>
      <c r="B1439">
        <v>2019</v>
      </c>
      <c r="C1439" t="s">
        <v>6</v>
      </c>
      <c r="D1439" t="s">
        <v>7</v>
      </c>
      <c r="E1439" t="s">
        <v>8</v>
      </c>
      <c r="F1439" s="28">
        <v>5159</v>
      </c>
      <c r="G1439" t="s">
        <v>204</v>
      </c>
      <c r="H1439" s="1">
        <v>1218525</v>
      </c>
      <c r="I1439" s="1">
        <v>185578.70340529046</v>
      </c>
      <c r="J1439" s="1">
        <v>1404103.7034052904</v>
      </c>
    </row>
    <row r="1440" spans="1:10" x14ac:dyDescent="0.2">
      <c r="A1440">
        <v>2005100</v>
      </c>
      <c r="B1440">
        <v>2020</v>
      </c>
      <c r="C1440" t="s">
        <v>6</v>
      </c>
      <c r="D1440" t="s">
        <v>7</v>
      </c>
      <c r="E1440" t="s">
        <v>8</v>
      </c>
      <c r="F1440" s="28">
        <v>5159</v>
      </c>
      <c r="G1440" t="s">
        <v>204</v>
      </c>
      <c r="H1440" s="1">
        <v>1436203</v>
      </c>
      <c r="I1440" s="1">
        <v>217275.71945749421</v>
      </c>
      <c r="J1440" s="1">
        <v>1653478.7194574941</v>
      </c>
    </row>
    <row r="1441" spans="1:10" x14ac:dyDescent="0.2">
      <c r="A1441">
        <v>2005100</v>
      </c>
      <c r="B1441">
        <v>2021</v>
      </c>
      <c r="C1441" t="s">
        <v>6</v>
      </c>
      <c r="D1441" t="s">
        <v>7</v>
      </c>
      <c r="E1441" t="s">
        <v>8</v>
      </c>
      <c r="F1441" s="28">
        <v>5159</v>
      </c>
      <c r="G1441" t="s">
        <v>204</v>
      </c>
      <c r="H1441" s="25">
        <v>1348231</v>
      </c>
      <c r="I1441" s="1">
        <v>201281.61340755943</v>
      </c>
      <c r="J1441" s="1">
        <v>1549512.6134075595</v>
      </c>
    </row>
    <row r="1442" spans="1:10" x14ac:dyDescent="0.2">
      <c r="A1442">
        <v>2005100</v>
      </c>
      <c r="B1442">
        <v>2022</v>
      </c>
      <c r="C1442" t="s">
        <v>6</v>
      </c>
      <c r="D1442" t="s">
        <v>7</v>
      </c>
      <c r="E1442" t="s">
        <v>8</v>
      </c>
      <c r="F1442" s="28">
        <v>5159</v>
      </c>
      <c r="G1442" t="s">
        <v>204</v>
      </c>
      <c r="H1442" s="1">
        <v>1323722</v>
      </c>
      <c r="I1442" s="1">
        <v>179768.79968907943</v>
      </c>
      <c r="J1442" s="1">
        <v>1503490.7996890794</v>
      </c>
    </row>
    <row r="1443" spans="1:10" x14ac:dyDescent="0.2">
      <c r="A1443">
        <v>2005100</v>
      </c>
      <c r="B1443">
        <v>2023</v>
      </c>
      <c r="C1443" t="s">
        <v>6</v>
      </c>
      <c r="D1443" t="s">
        <v>7</v>
      </c>
      <c r="E1443" t="s">
        <v>8</v>
      </c>
      <c r="F1443" s="28">
        <v>5159</v>
      </c>
      <c r="G1443" s="10" t="s">
        <v>204</v>
      </c>
      <c r="H1443" s="1">
        <v>1384249</v>
      </c>
      <c r="I1443" s="1">
        <v>193798.9799221674</v>
      </c>
      <c r="J1443" s="1">
        <v>1578047.9799221675</v>
      </c>
    </row>
    <row r="1444" spans="1:10" x14ac:dyDescent="0.2">
      <c r="A1444">
        <v>2008100</v>
      </c>
      <c r="B1444">
        <v>2015</v>
      </c>
      <c r="C1444" t="s">
        <v>6</v>
      </c>
      <c r="D1444" t="s">
        <v>7</v>
      </c>
      <c r="E1444" t="s">
        <v>8</v>
      </c>
      <c r="F1444" s="29">
        <v>5160</v>
      </c>
      <c r="G1444" s="3" t="s">
        <v>205</v>
      </c>
      <c r="H1444" s="27">
        <v>245047</v>
      </c>
      <c r="I1444" s="1">
        <v>39470.710687591614</v>
      </c>
      <c r="J1444" s="1">
        <v>284517.71068759164</v>
      </c>
    </row>
    <row r="1445" spans="1:10" x14ac:dyDescent="0.2">
      <c r="A1445">
        <v>2008100</v>
      </c>
      <c r="B1445">
        <v>2016</v>
      </c>
      <c r="C1445" t="s">
        <v>6</v>
      </c>
      <c r="D1445" t="s">
        <v>7</v>
      </c>
      <c r="E1445" t="s">
        <v>8</v>
      </c>
      <c r="F1445" s="29">
        <v>5160</v>
      </c>
      <c r="G1445" s="3" t="s">
        <v>205</v>
      </c>
      <c r="H1445" s="1">
        <v>235933</v>
      </c>
      <c r="I1445" s="26">
        <v>623123.59523089929</v>
      </c>
      <c r="J1445" s="26">
        <v>859056.59523089929</v>
      </c>
    </row>
    <row r="1446" spans="1:10" x14ac:dyDescent="0.2">
      <c r="A1446">
        <v>2008100</v>
      </c>
      <c r="B1446">
        <v>2017</v>
      </c>
      <c r="C1446" t="s">
        <v>6</v>
      </c>
      <c r="D1446" t="s">
        <v>7</v>
      </c>
      <c r="E1446" t="s">
        <v>8</v>
      </c>
      <c r="F1446" s="29">
        <v>5160</v>
      </c>
      <c r="G1446" s="3" t="s">
        <v>205</v>
      </c>
      <c r="H1446" s="1">
        <v>244947</v>
      </c>
      <c r="I1446" s="1">
        <v>38225.361097234927</v>
      </c>
      <c r="J1446" s="1">
        <v>283172.36109723494</v>
      </c>
    </row>
    <row r="1447" spans="1:10" x14ac:dyDescent="0.2">
      <c r="A1447">
        <v>2008100</v>
      </c>
      <c r="B1447">
        <v>2018</v>
      </c>
      <c r="C1447" t="s">
        <v>6</v>
      </c>
      <c r="D1447" t="s">
        <v>7</v>
      </c>
      <c r="E1447" t="s">
        <v>8</v>
      </c>
      <c r="F1447" s="28">
        <v>5160</v>
      </c>
      <c r="G1447" t="s">
        <v>205</v>
      </c>
      <c r="H1447" s="1">
        <v>286583</v>
      </c>
      <c r="I1447" s="1">
        <v>43336.894221346469</v>
      </c>
      <c r="J1447" s="1">
        <v>329919.89422134648</v>
      </c>
    </row>
    <row r="1448" spans="1:10" x14ac:dyDescent="0.2">
      <c r="A1448">
        <v>2008100</v>
      </c>
      <c r="B1448">
        <v>2019</v>
      </c>
      <c r="C1448" t="s">
        <v>6</v>
      </c>
      <c r="D1448" t="s">
        <v>7</v>
      </c>
      <c r="E1448" t="s">
        <v>8</v>
      </c>
      <c r="F1448" s="28">
        <v>5160</v>
      </c>
      <c r="G1448" t="s">
        <v>205</v>
      </c>
      <c r="H1448" s="1">
        <v>296531</v>
      </c>
      <c r="I1448" s="1">
        <v>45161.025419646045</v>
      </c>
      <c r="J1448" s="1">
        <v>341692.02541964606</v>
      </c>
    </row>
    <row r="1449" spans="1:10" x14ac:dyDescent="0.2">
      <c r="A1449">
        <v>2008100</v>
      </c>
      <c r="B1449">
        <v>2020</v>
      </c>
      <c r="C1449" t="s">
        <v>6</v>
      </c>
      <c r="D1449" t="s">
        <v>7</v>
      </c>
      <c r="E1449" t="s">
        <v>8</v>
      </c>
      <c r="F1449" s="28">
        <v>5160</v>
      </c>
      <c r="G1449" t="s">
        <v>205</v>
      </c>
      <c r="H1449" s="1">
        <v>307954</v>
      </c>
      <c r="I1449" s="1">
        <v>46588.766984759939</v>
      </c>
      <c r="J1449" s="1">
        <v>354542.76698475995</v>
      </c>
    </row>
    <row r="1450" spans="1:10" x14ac:dyDescent="0.2">
      <c r="A1450">
        <v>2008100</v>
      </c>
      <c r="B1450">
        <v>2021</v>
      </c>
      <c r="C1450" t="s">
        <v>6</v>
      </c>
      <c r="D1450" t="s">
        <v>7</v>
      </c>
      <c r="E1450" t="s">
        <v>8</v>
      </c>
      <c r="F1450" s="28">
        <v>5160</v>
      </c>
      <c r="G1450" t="s">
        <v>205</v>
      </c>
      <c r="H1450" s="25">
        <v>318935</v>
      </c>
      <c r="I1450" s="1">
        <v>47614.801448816972</v>
      </c>
      <c r="J1450" s="1">
        <v>366549.80144881696</v>
      </c>
    </row>
    <row r="1451" spans="1:10" x14ac:dyDescent="0.2">
      <c r="A1451">
        <v>2008100</v>
      </c>
      <c r="B1451">
        <v>2022</v>
      </c>
      <c r="C1451" t="s">
        <v>6</v>
      </c>
      <c r="D1451" t="s">
        <v>7</v>
      </c>
      <c r="E1451" t="s">
        <v>8</v>
      </c>
      <c r="F1451" s="28">
        <v>5160</v>
      </c>
      <c r="G1451" t="s">
        <v>205</v>
      </c>
      <c r="H1451" s="1">
        <v>332327</v>
      </c>
      <c r="I1451" s="1">
        <v>45131.852378575488</v>
      </c>
      <c r="J1451" s="1">
        <v>377458.85237857548</v>
      </c>
    </row>
    <row r="1452" spans="1:10" x14ac:dyDescent="0.2">
      <c r="A1452">
        <v>2008100</v>
      </c>
      <c r="B1452">
        <v>2023</v>
      </c>
      <c r="C1452" t="s">
        <v>6</v>
      </c>
      <c r="D1452" t="s">
        <v>7</v>
      </c>
      <c r="E1452" t="s">
        <v>8</v>
      </c>
      <c r="F1452" s="28">
        <v>5160</v>
      </c>
      <c r="G1452" s="10" t="s">
        <v>205</v>
      </c>
      <c r="H1452" s="1">
        <v>342543</v>
      </c>
      <c r="I1452" s="1">
        <v>47957.039506244175</v>
      </c>
      <c r="J1452" s="1">
        <v>390500.03950624418</v>
      </c>
    </row>
    <row r="1453" spans="1:10" x14ac:dyDescent="0.2">
      <c r="A1453">
        <v>2005130</v>
      </c>
      <c r="B1453">
        <v>2015</v>
      </c>
      <c r="C1453" t="s">
        <v>6</v>
      </c>
      <c r="D1453" t="s">
        <v>7</v>
      </c>
      <c r="E1453" t="s">
        <v>8</v>
      </c>
      <c r="F1453" s="29">
        <v>5161</v>
      </c>
      <c r="G1453" s="3" t="s">
        <v>206</v>
      </c>
      <c r="H1453" s="27">
        <v>285167</v>
      </c>
      <c r="I1453" s="1">
        <v>45933.001239143661</v>
      </c>
      <c r="J1453" s="1">
        <v>331100.00123914366</v>
      </c>
    </row>
    <row r="1454" spans="1:10" x14ac:dyDescent="0.2">
      <c r="A1454">
        <v>2005130</v>
      </c>
      <c r="B1454">
        <v>2016</v>
      </c>
      <c r="C1454" t="s">
        <v>6</v>
      </c>
      <c r="D1454" t="s">
        <v>7</v>
      </c>
      <c r="E1454" t="s">
        <v>8</v>
      </c>
      <c r="F1454" s="29">
        <v>5161</v>
      </c>
      <c r="G1454" s="3" t="s">
        <v>206</v>
      </c>
      <c r="H1454" s="1">
        <v>306532</v>
      </c>
      <c r="I1454" s="26">
        <v>809577.19547724468</v>
      </c>
      <c r="J1454" s="26">
        <v>1116109.1954772447</v>
      </c>
    </row>
    <row r="1455" spans="1:10" x14ac:dyDescent="0.2">
      <c r="A1455">
        <v>2005130</v>
      </c>
      <c r="B1455">
        <v>2017</v>
      </c>
      <c r="C1455" t="s">
        <v>6</v>
      </c>
      <c r="D1455" t="s">
        <v>7</v>
      </c>
      <c r="E1455" t="s">
        <v>8</v>
      </c>
      <c r="F1455" s="29">
        <v>5161</v>
      </c>
      <c r="G1455" s="3" t="s">
        <v>206</v>
      </c>
      <c r="H1455" s="1">
        <v>336395</v>
      </c>
      <c r="I1455" s="1">
        <v>52496.337355853895</v>
      </c>
      <c r="J1455" s="1">
        <v>388891.33735585387</v>
      </c>
    </row>
    <row r="1456" spans="1:10" x14ac:dyDescent="0.2">
      <c r="A1456">
        <v>2005130</v>
      </c>
      <c r="B1456">
        <v>2018</v>
      </c>
      <c r="C1456" t="s">
        <v>6</v>
      </c>
      <c r="D1456" t="s">
        <v>7</v>
      </c>
      <c r="E1456" t="s">
        <v>8</v>
      </c>
      <c r="F1456" s="28">
        <v>5161</v>
      </c>
      <c r="G1456" t="s">
        <v>206</v>
      </c>
      <c r="H1456" s="1">
        <v>396633</v>
      </c>
      <c r="I1456" s="1">
        <v>59978.583397114679</v>
      </c>
      <c r="J1456" s="1">
        <v>456611.58339711465</v>
      </c>
    </row>
    <row r="1457" spans="1:10" x14ac:dyDescent="0.2">
      <c r="A1457">
        <v>2005130</v>
      </c>
      <c r="B1457">
        <v>2019</v>
      </c>
      <c r="C1457" t="s">
        <v>6</v>
      </c>
      <c r="D1457" t="s">
        <v>7</v>
      </c>
      <c r="E1457" t="s">
        <v>8</v>
      </c>
      <c r="F1457" s="28">
        <v>5161</v>
      </c>
      <c r="G1457" t="s">
        <v>206</v>
      </c>
      <c r="H1457" s="1">
        <v>413423</v>
      </c>
      <c r="I1457" s="1">
        <v>62963.422414743567</v>
      </c>
      <c r="J1457" s="1">
        <v>476386.42241474357</v>
      </c>
    </row>
    <row r="1458" spans="1:10" x14ac:dyDescent="0.2">
      <c r="A1458">
        <v>2005130</v>
      </c>
      <c r="B1458">
        <v>2020</v>
      </c>
      <c r="C1458" t="s">
        <v>6</v>
      </c>
      <c r="D1458" t="s">
        <v>7</v>
      </c>
      <c r="E1458" t="s">
        <v>8</v>
      </c>
      <c r="F1458" s="28">
        <v>5161</v>
      </c>
      <c r="G1458" t="s">
        <v>206</v>
      </c>
      <c r="H1458" s="1">
        <v>446975</v>
      </c>
      <c r="I1458" s="1">
        <v>67620.534635085351</v>
      </c>
      <c r="J1458" s="1">
        <v>514595.53463508538</v>
      </c>
    </row>
    <row r="1459" spans="1:10" x14ac:dyDescent="0.2">
      <c r="A1459">
        <v>2005130</v>
      </c>
      <c r="B1459">
        <v>2021</v>
      </c>
      <c r="C1459" t="s">
        <v>6</v>
      </c>
      <c r="D1459" t="s">
        <v>7</v>
      </c>
      <c r="E1459" t="s">
        <v>8</v>
      </c>
      <c r="F1459" s="28">
        <v>5161</v>
      </c>
      <c r="G1459" t="s">
        <v>206</v>
      </c>
      <c r="H1459" s="25">
        <v>442239</v>
      </c>
      <c r="I1459" s="1">
        <v>66023.240402976691</v>
      </c>
      <c r="J1459" s="1">
        <v>508262.24040297669</v>
      </c>
    </row>
    <row r="1460" spans="1:10" x14ac:dyDescent="0.2">
      <c r="A1460">
        <v>2005130</v>
      </c>
      <c r="B1460">
        <v>2022</v>
      </c>
      <c r="C1460" t="s">
        <v>6</v>
      </c>
      <c r="D1460" t="s">
        <v>7</v>
      </c>
      <c r="E1460" t="s">
        <v>8</v>
      </c>
      <c r="F1460" s="28">
        <v>5161</v>
      </c>
      <c r="G1460" t="s">
        <v>206</v>
      </c>
      <c r="H1460" s="1">
        <v>427293</v>
      </c>
      <c r="I1460" s="1">
        <v>58028.762629574652</v>
      </c>
      <c r="J1460" s="1">
        <v>485321.76262957463</v>
      </c>
    </row>
    <row r="1461" spans="1:10" x14ac:dyDescent="0.2">
      <c r="A1461">
        <v>2005130</v>
      </c>
      <c r="B1461">
        <v>2023</v>
      </c>
      <c r="C1461" t="s">
        <v>6</v>
      </c>
      <c r="D1461" t="s">
        <v>7</v>
      </c>
      <c r="E1461" t="s">
        <v>8</v>
      </c>
      <c r="F1461" s="28">
        <v>5161</v>
      </c>
      <c r="G1461" s="10" t="s">
        <v>206</v>
      </c>
      <c r="H1461" s="1">
        <v>420579</v>
      </c>
      <c r="I1461" s="1">
        <v>58882.311763768841</v>
      </c>
      <c r="J1461" s="1">
        <v>479461.31176376884</v>
      </c>
    </row>
    <row r="1462" spans="1:10" x14ac:dyDescent="0.2">
      <c r="A1462">
        <v>2005700</v>
      </c>
      <c r="B1462">
        <v>2015</v>
      </c>
      <c r="C1462" t="s">
        <v>6</v>
      </c>
      <c r="D1462" t="s">
        <v>7</v>
      </c>
      <c r="E1462" t="s">
        <v>8</v>
      </c>
      <c r="F1462" s="29">
        <v>5162</v>
      </c>
      <c r="G1462" s="3" t="s">
        <v>207</v>
      </c>
      <c r="H1462" s="27">
        <v>332894</v>
      </c>
      <c r="I1462" s="1">
        <v>53620.582025632313</v>
      </c>
      <c r="J1462" s="1">
        <v>386514.58202563232</v>
      </c>
    </row>
    <row r="1463" spans="1:10" x14ac:dyDescent="0.2">
      <c r="A1463">
        <v>2005700</v>
      </c>
      <c r="B1463">
        <v>2016</v>
      </c>
      <c r="C1463" t="s">
        <v>6</v>
      </c>
      <c r="D1463" t="s">
        <v>7</v>
      </c>
      <c r="E1463" t="s">
        <v>8</v>
      </c>
      <c r="F1463" s="29">
        <v>5162</v>
      </c>
      <c r="G1463" s="3" t="s">
        <v>207</v>
      </c>
      <c r="H1463" s="1">
        <v>364704</v>
      </c>
      <c r="I1463" s="26">
        <v>963210.72114592034</v>
      </c>
      <c r="J1463" s="26">
        <v>1327914.7211459205</v>
      </c>
    </row>
    <row r="1464" spans="1:10" x14ac:dyDescent="0.2">
      <c r="A1464">
        <v>2005700</v>
      </c>
      <c r="B1464">
        <v>2017</v>
      </c>
      <c r="C1464" t="s">
        <v>6</v>
      </c>
      <c r="D1464" t="s">
        <v>7</v>
      </c>
      <c r="E1464" t="s">
        <v>8</v>
      </c>
      <c r="F1464" s="29">
        <v>5162</v>
      </c>
      <c r="G1464" s="3" t="s">
        <v>207</v>
      </c>
      <c r="H1464" s="1">
        <v>363843</v>
      </c>
      <c r="I1464" s="1">
        <v>56779.752590157244</v>
      </c>
      <c r="J1464" s="1">
        <v>420622.75259015727</v>
      </c>
    </row>
    <row r="1465" spans="1:10" x14ac:dyDescent="0.2">
      <c r="A1465">
        <v>2005700</v>
      </c>
      <c r="B1465">
        <v>2018</v>
      </c>
      <c r="C1465" t="s">
        <v>6</v>
      </c>
      <c r="D1465" t="s">
        <v>7</v>
      </c>
      <c r="E1465" t="s">
        <v>8</v>
      </c>
      <c r="F1465" s="28">
        <v>5162</v>
      </c>
      <c r="G1465" t="s">
        <v>207</v>
      </c>
      <c r="H1465" s="1">
        <v>397659</v>
      </c>
      <c r="I1465" s="1">
        <v>60133.734447494855</v>
      </c>
      <c r="J1465" s="1">
        <v>457792.73444749485</v>
      </c>
    </row>
    <row r="1466" spans="1:10" x14ac:dyDescent="0.2">
      <c r="A1466">
        <v>2005700</v>
      </c>
      <c r="B1466">
        <v>2019</v>
      </c>
      <c r="C1466" t="s">
        <v>6</v>
      </c>
      <c r="D1466" t="s">
        <v>7</v>
      </c>
      <c r="E1466" t="s">
        <v>8</v>
      </c>
      <c r="F1466" s="28">
        <v>5162</v>
      </c>
      <c r="G1466" t="s">
        <v>207</v>
      </c>
      <c r="H1466" s="1">
        <v>411875</v>
      </c>
      <c r="I1466" s="1">
        <v>62727.665386474648</v>
      </c>
      <c r="J1466" s="1">
        <v>474602.66538647463</v>
      </c>
    </row>
    <row r="1467" spans="1:10" x14ac:dyDescent="0.2">
      <c r="A1467">
        <v>2005700</v>
      </c>
      <c r="B1467">
        <v>2020</v>
      </c>
      <c r="C1467" t="s">
        <v>6</v>
      </c>
      <c r="D1467" t="s">
        <v>7</v>
      </c>
      <c r="E1467" t="s">
        <v>8</v>
      </c>
      <c r="F1467" s="28">
        <v>5162</v>
      </c>
      <c r="G1467" t="s">
        <v>207</v>
      </c>
      <c r="H1467" s="1">
        <v>449012</v>
      </c>
      <c r="I1467" s="1">
        <v>67928.701823522439</v>
      </c>
      <c r="J1467" s="1">
        <v>516940.70182352245</v>
      </c>
    </row>
    <row r="1468" spans="1:10" x14ac:dyDescent="0.2">
      <c r="A1468">
        <v>2005700</v>
      </c>
      <c r="B1468">
        <v>2021</v>
      </c>
      <c r="C1468" t="s">
        <v>6</v>
      </c>
      <c r="D1468" t="s">
        <v>7</v>
      </c>
      <c r="E1468" t="s">
        <v>8</v>
      </c>
      <c r="F1468" s="28">
        <v>5162</v>
      </c>
      <c r="G1468" t="s">
        <v>207</v>
      </c>
      <c r="H1468" s="25">
        <v>478332</v>
      </c>
      <c r="I1468" s="1">
        <v>71411.677008216488</v>
      </c>
      <c r="J1468" s="1">
        <v>549743.6770082165</v>
      </c>
    </row>
    <row r="1469" spans="1:10" x14ac:dyDescent="0.2">
      <c r="A1469">
        <v>2005700</v>
      </c>
      <c r="B1469">
        <v>2022</v>
      </c>
      <c r="C1469" t="s">
        <v>6</v>
      </c>
      <c r="D1469" t="s">
        <v>7</v>
      </c>
      <c r="E1469" t="s">
        <v>8</v>
      </c>
      <c r="F1469" s="28">
        <v>5162</v>
      </c>
      <c r="G1469" t="s">
        <v>207</v>
      </c>
      <c r="H1469" s="1">
        <v>454742</v>
      </c>
      <c r="I1469" s="1">
        <v>61756.489284163414</v>
      </c>
      <c r="J1469" s="1">
        <v>516498.4892841634</v>
      </c>
    </row>
    <row r="1470" spans="1:10" x14ac:dyDescent="0.2">
      <c r="A1470">
        <v>2005700</v>
      </c>
      <c r="B1470">
        <v>2023</v>
      </c>
      <c r="C1470" t="s">
        <v>6</v>
      </c>
      <c r="D1470" t="s">
        <v>7</v>
      </c>
      <c r="E1470" t="s">
        <v>8</v>
      </c>
      <c r="F1470" s="28">
        <v>5162</v>
      </c>
      <c r="G1470" s="10" t="s">
        <v>207</v>
      </c>
      <c r="H1470" s="1">
        <v>433650</v>
      </c>
      <c r="I1470" s="1">
        <v>60712.29066681493</v>
      </c>
      <c r="J1470" s="1">
        <v>494362.29066681495</v>
      </c>
    </row>
    <row r="1471" spans="1:10" x14ac:dyDescent="0.2">
      <c r="A1471">
        <v>2008220</v>
      </c>
      <c r="B1471">
        <v>2015</v>
      </c>
      <c r="C1471" t="s">
        <v>6</v>
      </c>
      <c r="D1471" t="s">
        <v>7</v>
      </c>
      <c r="E1471" t="s">
        <v>8</v>
      </c>
      <c r="F1471" s="29">
        <v>5163</v>
      </c>
      <c r="G1471" s="3" t="s">
        <v>208</v>
      </c>
      <c r="H1471" s="27">
        <v>199454</v>
      </c>
      <c r="I1471" s="1">
        <v>32126.861906013535</v>
      </c>
      <c r="J1471" s="1">
        <v>231580.86190601354</v>
      </c>
    </row>
    <row r="1472" spans="1:10" x14ac:dyDescent="0.2">
      <c r="A1472">
        <v>2008220</v>
      </c>
      <c r="B1472">
        <v>2016</v>
      </c>
      <c r="C1472" t="s">
        <v>6</v>
      </c>
      <c r="D1472" t="s">
        <v>7</v>
      </c>
      <c r="E1472" t="s">
        <v>8</v>
      </c>
      <c r="F1472" s="29">
        <v>5163</v>
      </c>
      <c r="G1472" s="3" t="s">
        <v>208</v>
      </c>
      <c r="H1472" s="1">
        <v>214976</v>
      </c>
      <c r="I1472" s="26">
        <v>567765.80330090213</v>
      </c>
      <c r="J1472" s="26">
        <v>782741.80330090213</v>
      </c>
    </row>
    <row r="1473" spans="1:10" x14ac:dyDescent="0.2">
      <c r="A1473">
        <v>2008220</v>
      </c>
      <c r="B1473">
        <v>2017</v>
      </c>
      <c r="C1473" t="s">
        <v>6</v>
      </c>
      <c r="D1473" t="s">
        <v>7</v>
      </c>
      <c r="E1473" t="s">
        <v>8</v>
      </c>
      <c r="F1473" s="29">
        <v>5163</v>
      </c>
      <c r="G1473" s="3" t="s">
        <v>208</v>
      </c>
      <c r="H1473" s="1">
        <v>220455</v>
      </c>
      <c r="I1473" s="1">
        <v>34403.246337742145</v>
      </c>
      <c r="J1473" s="1">
        <v>254858.24633774214</v>
      </c>
    </row>
    <row r="1474" spans="1:10" x14ac:dyDescent="0.2">
      <c r="A1474">
        <v>2008220</v>
      </c>
      <c r="B1474">
        <v>2018</v>
      </c>
      <c r="C1474" t="s">
        <v>6</v>
      </c>
      <c r="D1474" t="s">
        <v>7</v>
      </c>
      <c r="E1474" t="s">
        <v>8</v>
      </c>
      <c r="F1474" s="28">
        <v>5163</v>
      </c>
      <c r="G1474" t="s">
        <v>208</v>
      </c>
      <c r="H1474" s="1">
        <v>251666</v>
      </c>
      <c r="I1474" s="1">
        <v>38056.768269958025</v>
      </c>
      <c r="J1474" s="1">
        <v>289722.76826995803</v>
      </c>
    </row>
    <row r="1475" spans="1:10" x14ac:dyDescent="0.2">
      <c r="A1475">
        <v>2008220</v>
      </c>
      <c r="B1475">
        <v>2019</v>
      </c>
      <c r="C1475" t="s">
        <v>6</v>
      </c>
      <c r="D1475" t="s">
        <v>7</v>
      </c>
      <c r="E1475" t="s">
        <v>8</v>
      </c>
      <c r="F1475" s="28">
        <v>5163</v>
      </c>
      <c r="G1475" t="s">
        <v>208</v>
      </c>
      <c r="H1475" s="1">
        <v>282823</v>
      </c>
      <c r="I1475" s="1">
        <v>43073.326877326661</v>
      </c>
      <c r="J1475" s="1">
        <v>325896.32687732665</v>
      </c>
    </row>
    <row r="1476" spans="1:10" x14ac:dyDescent="0.2">
      <c r="A1476">
        <v>2008220</v>
      </c>
      <c r="B1476">
        <v>2020</v>
      </c>
      <c r="C1476" t="s">
        <v>6</v>
      </c>
      <c r="D1476" t="s">
        <v>7</v>
      </c>
      <c r="E1476" t="s">
        <v>8</v>
      </c>
      <c r="F1476" s="28">
        <v>5163</v>
      </c>
      <c r="G1476" t="s">
        <v>208</v>
      </c>
      <c r="H1476" s="1">
        <v>314074</v>
      </c>
      <c r="I1476" s="1">
        <v>47514.630113495819</v>
      </c>
      <c r="J1476" s="1">
        <v>361588.6301134958</v>
      </c>
    </row>
    <row r="1477" spans="1:10" x14ac:dyDescent="0.2">
      <c r="A1477">
        <v>2008220</v>
      </c>
      <c r="B1477">
        <v>2021</v>
      </c>
      <c r="C1477" t="s">
        <v>6</v>
      </c>
      <c r="D1477" t="s">
        <v>7</v>
      </c>
      <c r="E1477" t="s">
        <v>8</v>
      </c>
      <c r="F1477" s="28">
        <v>5163</v>
      </c>
      <c r="G1477" t="s">
        <v>208</v>
      </c>
      <c r="H1477" s="25">
        <v>328150</v>
      </c>
      <c r="I1477" s="1">
        <v>48990.537556020165</v>
      </c>
      <c r="J1477" s="1">
        <v>377140.53755602019</v>
      </c>
    </row>
    <row r="1478" spans="1:10" x14ac:dyDescent="0.2">
      <c r="A1478">
        <v>2008220</v>
      </c>
      <c r="B1478">
        <v>2022</v>
      </c>
      <c r="C1478" t="s">
        <v>6</v>
      </c>
      <c r="D1478" t="s">
        <v>7</v>
      </c>
      <c r="E1478" t="s">
        <v>8</v>
      </c>
      <c r="F1478" s="28">
        <v>5163</v>
      </c>
      <c r="G1478" t="s">
        <v>208</v>
      </c>
      <c r="H1478" s="1">
        <v>317879</v>
      </c>
      <c r="I1478" s="1">
        <v>43169.733732887173</v>
      </c>
      <c r="J1478" s="1">
        <v>361048.73373288719</v>
      </c>
    </row>
    <row r="1479" spans="1:10" x14ac:dyDescent="0.2">
      <c r="A1479">
        <v>2008220</v>
      </c>
      <c r="B1479">
        <v>2023</v>
      </c>
      <c r="C1479" t="s">
        <v>6</v>
      </c>
      <c r="D1479" t="s">
        <v>7</v>
      </c>
      <c r="E1479" t="s">
        <v>8</v>
      </c>
      <c r="F1479" s="28">
        <v>5163</v>
      </c>
      <c r="G1479" s="10" t="s">
        <v>208</v>
      </c>
      <c r="H1479" s="1">
        <v>377290</v>
      </c>
      <c r="I1479" s="1">
        <v>52821.722923285153</v>
      </c>
      <c r="J1479" s="1">
        <v>430111.72292328515</v>
      </c>
    </row>
    <row r="1480" spans="1:10" x14ac:dyDescent="0.2">
      <c r="A1480">
        <v>2007530</v>
      </c>
      <c r="B1480">
        <v>2015</v>
      </c>
      <c r="C1480" t="s">
        <v>6</v>
      </c>
      <c r="D1480" t="s">
        <v>7</v>
      </c>
      <c r="E1480" t="s">
        <v>8</v>
      </c>
      <c r="F1480" s="29">
        <v>5164</v>
      </c>
      <c r="G1480" s="3" t="s">
        <v>209</v>
      </c>
      <c r="H1480" s="27">
        <v>192976</v>
      </c>
      <c r="I1480" s="1">
        <v>31083.424264115372</v>
      </c>
      <c r="J1480" s="1">
        <v>224059.42426411537</v>
      </c>
    </row>
    <row r="1481" spans="1:10" x14ac:dyDescent="0.2">
      <c r="A1481">
        <v>2007530</v>
      </c>
      <c r="B1481">
        <v>2016</v>
      </c>
      <c r="C1481" t="s">
        <v>6</v>
      </c>
      <c r="D1481" t="s">
        <v>7</v>
      </c>
      <c r="E1481" t="s">
        <v>8</v>
      </c>
      <c r="F1481" s="29">
        <v>5164</v>
      </c>
      <c r="G1481" s="3" t="s">
        <v>209</v>
      </c>
      <c r="H1481" s="1">
        <v>224877</v>
      </c>
      <c r="I1481" s="26">
        <v>593920.28669773752</v>
      </c>
      <c r="J1481" s="26">
        <v>818797.28669773752</v>
      </c>
    </row>
    <row r="1482" spans="1:10" x14ac:dyDescent="0.2">
      <c r="A1482">
        <v>2007530</v>
      </c>
      <c r="B1482">
        <v>2017</v>
      </c>
      <c r="C1482" t="s">
        <v>6</v>
      </c>
      <c r="D1482" t="s">
        <v>7</v>
      </c>
      <c r="E1482" t="s">
        <v>8</v>
      </c>
      <c r="F1482" s="29">
        <v>5164</v>
      </c>
      <c r="G1482" s="3" t="s">
        <v>209</v>
      </c>
      <c r="H1482" s="1">
        <v>224486</v>
      </c>
      <c r="I1482" s="1">
        <v>35032.306626633028</v>
      </c>
      <c r="J1482" s="1">
        <v>259518.30662663304</v>
      </c>
    </row>
    <row r="1483" spans="1:10" x14ac:dyDescent="0.2">
      <c r="A1483">
        <v>2007530</v>
      </c>
      <c r="B1483">
        <v>2018</v>
      </c>
      <c r="C1483" t="s">
        <v>6</v>
      </c>
      <c r="D1483" t="s">
        <v>7</v>
      </c>
      <c r="E1483" t="s">
        <v>8</v>
      </c>
      <c r="F1483" s="28">
        <v>5164</v>
      </c>
      <c r="G1483" t="s">
        <v>209</v>
      </c>
      <c r="H1483" s="1">
        <v>270776</v>
      </c>
      <c r="I1483" s="1">
        <v>40946.569997799284</v>
      </c>
      <c r="J1483" s="1">
        <v>311722.56999779929</v>
      </c>
    </row>
    <row r="1484" spans="1:10" x14ac:dyDescent="0.2">
      <c r="A1484">
        <v>2007530</v>
      </c>
      <c r="B1484">
        <v>2019</v>
      </c>
      <c r="C1484" t="s">
        <v>6</v>
      </c>
      <c r="D1484" t="s">
        <v>7</v>
      </c>
      <c r="E1484" t="s">
        <v>8</v>
      </c>
      <c r="F1484" s="28">
        <v>5164</v>
      </c>
      <c r="G1484" t="s">
        <v>209</v>
      </c>
      <c r="H1484" s="1">
        <v>310049</v>
      </c>
      <c r="I1484" s="1">
        <v>47219.787375808381</v>
      </c>
      <c r="J1484" s="1">
        <v>357268.7873758084</v>
      </c>
    </row>
    <row r="1485" spans="1:10" x14ac:dyDescent="0.2">
      <c r="A1485">
        <v>2007530</v>
      </c>
      <c r="B1485">
        <v>2020</v>
      </c>
      <c r="C1485" t="s">
        <v>6</v>
      </c>
      <c r="D1485" t="s">
        <v>7</v>
      </c>
      <c r="E1485" t="s">
        <v>8</v>
      </c>
      <c r="F1485" s="28">
        <v>5164</v>
      </c>
      <c r="G1485" t="s">
        <v>209</v>
      </c>
      <c r="H1485" s="1">
        <v>378574</v>
      </c>
      <c r="I1485" s="1">
        <v>57272.501323212266</v>
      </c>
      <c r="J1485" s="1">
        <v>435846.50132321229</v>
      </c>
    </row>
    <row r="1486" spans="1:10" x14ac:dyDescent="0.2">
      <c r="A1486">
        <v>2007530</v>
      </c>
      <c r="B1486">
        <v>2021</v>
      </c>
      <c r="C1486" t="s">
        <v>6</v>
      </c>
      <c r="D1486" t="s">
        <v>7</v>
      </c>
      <c r="E1486" t="s">
        <v>8</v>
      </c>
      <c r="F1486" s="28">
        <v>5164</v>
      </c>
      <c r="G1486" t="s">
        <v>209</v>
      </c>
      <c r="H1486" s="25">
        <v>370357</v>
      </c>
      <c r="I1486" s="1">
        <v>55291.75230118836</v>
      </c>
      <c r="J1486" s="1">
        <v>425648.75230118836</v>
      </c>
    </row>
    <row r="1487" spans="1:10" x14ac:dyDescent="0.2">
      <c r="A1487">
        <v>2007530</v>
      </c>
      <c r="B1487">
        <v>2022</v>
      </c>
      <c r="C1487" t="s">
        <v>6</v>
      </c>
      <c r="D1487" t="s">
        <v>7</v>
      </c>
      <c r="E1487" t="s">
        <v>8</v>
      </c>
      <c r="F1487" s="28">
        <v>5164</v>
      </c>
      <c r="G1487" t="s">
        <v>209</v>
      </c>
      <c r="H1487" s="1">
        <v>380069</v>
      </c>
      <c r="I1487" s="1">
        <v>51615.481142587894</v>
      </c>
      <c r="J1487" s="1">
        <v>431684.4811425879</v>
      </c>
    </row>
    <row r="1488" spans="1:10" x14ac:dyDescent="0.2">
      <c r="A1488">
        <v>2007530</v>
      </c>
      <c r="B1488">
        <v>2023</v>
      </c>
      <c r="C1488" t="s">
        <v>6</v>
      </c>
      <c r="D1488" t="s">
        <v>7</v>
      </c>
      <c r="E1488" t="s">
        <v>8</v>
      </c>
      <c r="F1488" s="28">
        <v>5164</v>
      </c>
      <c r="G1488" s="10" t="s">
        <v>209</v>
      </c>
      <c r="H1488" s="1">
        <v>402147</v>
      </c>
      <c r="I1488" s="1">
        <v>56301.776904848666</v>
      </c>
      <c r="J1488" s="1">
        <v>458448.77690484864</v>
      </c>
    </row>
    <row r="1489" spans="1:10" x14ac:dyDescent="0.2">
      <c r="A1489">
        <v>2012330</v>
      </c>
      <c r="B1489">
        <v>2015</v>
      </c>
      <c r="C1489" t="s">
        <v>6</v>
      </c>
      <c r="D1489" t="s">
        <v>7</v>
      </c>
      <c r="E1489" t="s">
        <v>8</v>
      </c>
      <c r="F1489" s="29">
        <v>5166</v>
      </c>
      <c r="G1489" s="3" t="s">
        <v>210</v>
      </c>
      <c r="H1489" s="27">
        <v>135551</v>
      </c>
      <c r="I1489" s="1">
        <v>21833.74742157109</v>
      </c>
      <c r="J1489" s="1">
        <v>157384.74742157108</v>
      </c>
    </row>
    <row r="1490" spans="1:10" x14ac:dyDescent="0.2">
      <c r="A1490">
        <v>2012330</v>
      </c>
      <c r="B1490">
        <v>2016</v>
      </c>
      <c r="C1490" t="s">
        <v>6</v>
      </c>
      <c r="D1490" t="s">
        <v>7</v>
      </c>
      <c r="E1490" t="s">
        <v>8</v>
      </c>
      <c r="F1490" s="29">
        <v>5166</v>
      </c>
      <c r="G1490" s="3" t="s">
        <v>210</v>
      </c>
      <c r="H1490" s="1">
        <v>221623</v>
      </c>
      <c r="I1490" s="26">
        <v>585329.35705844394</v>
      </c>
      <c r="J1490" s="26">
        <v>806952.35705844394</v>
      </c>
    </row>
    <row r="1491" spans="1:10" x14ac:dyDescent="0.2">
      <c r="A1491">
        <v>2012330</v>
      </c>
      <c r="B1491">
        <v>2017</v>
      </c>
      <c r="C1491" t="s">
        <v>6</v>
      </c>
      <c r="D1491" t="s">
        <v>7</v>
      </c>
      <c r="E1491" t="s">
        <v>8</v>
      </c>
      <c r="F1491" s="29">
        <v>5166</v>
      </c>
      <c r="G1491" s="3" t="s">
        <v>210</v>
      </c>
      <c r="H1491" s="1">
        <v>174809</v>
      </c>
      <c r="I1491" s="1">
        <v>27279.930548431046</v>
      </c>
      <c r="J1491" s="1">
        <v>202088.93054843106</v>
      </c>
    </row>
    <row r="1492" spans="1:10" x14ac:dyDescent="0.2">
      <c r="A1492">
        <v>2012330</v>
      </c>
      <c r="B1492">
        <v>2018</v>
      </c>
      <c r="C1492" t="s">
        <v>6</v>
      </c>
      <c r="D1492" t="s">
        <v>7</v>
      </c>
      <c r="E1492" t="s">
        <v>8</v>
      </c>
      <c r="F1492" s="28">
        <v>5166</v>
      </c>
      <c r="G1492" t="s">
        <v>210</v>
      </c>
      <c r="H1492" s="1">
        <v>193911</v>
      </c>
      <c r="I1492" s="1">
        <v>29323.094863810889</v>
      </c>
      <c r="J1492" s="1">
        <v>223234.0948638109</v>
      </c>
    </row>
    <row r="1493" spans="1:10" x14ac:dyDescent="0.2">
      <c r="A1493">
        <v>2012330</v>
      </c>
      <c r="B1493">
        <v>2019</v>
      </c>
      <c r="C1493" t="s">
        <v>6</v>
      </c>
      <c r="D1493" t="s">
        <v>7</v>
      </c>
      <c r="E1493" t="s">
        <v>8</v>
      </c>
      <c r="F1493" s="28">
        <v>5166</v>
      </c>
      <c r="G1493" t="s">
        <v>210</v>
      </c>
      <c r="H1493" s="1">
        <v>241134</v>
      </c>
      <c r="I1493" s="1">
        <v>36724.182981006808</v>
      </c>
      <c r="J1493" s="1">
        <v>277858.1829810068</v>
      </c>
    </row>
    <row r="1494" spans="1:10" x14ac:dyDescent="0.2">
      <c r="A1494">
        <v>2012330</v>
      </c>
      <c r="B1494">
        <v>2020</v>
      </c>
      <c r="C1494" t="s">
        <v>6</v>
      </c>
      <c r="D1494" t="s">
        <v>7</v>
      </c>
      <c r="E1494" t="s">
        <v>8</v>
      </c>
      <c r="F1494" s="28">
        <v>5166</v>
      </c>
      <c r="G1494" t="s">
        <v>210</v>
      </c>
      <c r="H1494" s="1">
        <v>264567</v>
      </c>
      <c r="I1494" s="1">
        <v>40024.972284357347</v>
      </c>
      <c r="J1494" s="1">
        <v>304591.97228435735</v>
      </c>
    </row>
    <row r="1495" spans="1:10" x14ac:dyDescent="0.2">
      <c r="A1495">
        <v>2012330</v>
      </c>
      <c r="B1495">
        <v>2021</v>
      </c>
      <c r="C1495" t="s">
        <v>6</v>
      </c>
      <c r="D1495" t="s">
        <v>7</v>
      </c>
      <c r="E1495" t="s">
        <v>8</v>
      </c>
      <c r="F1495" s="28">
        <v>5166</v>
      </c>
      <c r="G1495" t="s">
        <v>210</v>
      </c>
      <c r="H1495" s="25">
        <v>248623</v>
      </c>
      <c r="I1495" s="1">
        <v>37117.703546519588</v>
      </c>
      <c r="J1495" s="1">
        <v>285740.70354651957</v>
      </c>
    </row>
    <row r="1496" spans="1:10" x14ac:dyDescent="0.2">
      <c r="A1496">
        <v>2012330</v>
      </c>
      <c r="B1496">
        <v>2022</v>
      </c>
      <c r="C1496" t="s">
        <v>6</v>
      </c>
      <c r="D1496" t="s">
        <v>7</v>
      </c>
      <c r="E1496" t="s">
        <v>8</v>
      </c>
      <c r="F1496" s="28">
        <v>5166</v>
      </c>
      <c r="G1496" t="s">
        <v>210</v>
      </c>
      <c r="H1496" s="1">
        <v>280773</v>
      </c>
      <c r="I1496" s="1">
        <v>38130.532842320295</v>
      </c>
      <c r="J1496" s="1">
        <v>318903.53284232027</v>
      </c>
    </row>
    <row r="1497" spans="1:10" x14ac:dyDescent="0.2">
      <c r="A1497">
        <v>2012330</v>
      </c>
      <c r="B1497">
        <v>2023</v>
      </c>
      <c r="C1497" t="s">
        <v>6</v>
      </c>
      <c r="D1497" t="s">
        <v>7</v>
      </c>
      <c r="E1497" t="s">
        <v>8</v>
      </c>
      <c r="F1497" s="28">
        <v>5166</v>
      </c>
      <c r="G1497" s="10" t="s">
        <v>210</v>
      </c>
      <c r="H1497" s="1">
        <v>259222</v>
      </c>
      <c r="I1497" s="1">
        <v>36291.851519043237</v>
      </c>
      <c r="J1497" s="1">
        <v>295513.85151904321</v>
      </c>
    </row>
    <row r="1498" spans="1:10" x14ac:dyDescent="0.2">
      <c r="A1498">
        <v>2007470</v>
      </c>
      <c r="B1498">
        <v>2015</v>
      </c>
      <c r="C1498" t="s">
        <v>6</v>
      </c>
      <c r="D1498" t="s">
        <v>7</v>
      </c>
      <c r="E1498" t="s">
        <v>8</v>
      </c>
      <c r="F1498" s="29">
        <v>5167</v>
      </c>
      <c r="G1498" s="3" t="s">
        <v>211</v>
      </c>
      <c r="H1498" s="27">
        <v>406609</v>
      </c>
      <c r="I1498" s="1">
        <v>65494.155006880057</v>
      </c>
      <c r="J1498" s="1">
        <v>472103.15500688006</v>
      </c>
    </row>
    <row r="1499" spans="1:10" x14ac:dyDescent="0.2">
      <c r="A1499">
        <v>2007470</v>
      </c>
      <c r="B1499">
        <v>2016</v>
      </c>
      <c r="C1499" t="s">
        <v>6</v>
      </c>
      <c r="D1499" t="s">
        <v>7</v>
      </c>
      <c r="E1499" t="s">
        <v>8</v>
      </c>
      <c r="F1499" s="29">
        <v>5167</v>
      </c>
      <c r="G1499" s="3" t="s">
        <v>211</v>
      </c>
      <c r="H1499" s="1">
        <v>426931</v>
      </c>
      <c r="I1499" s="26">
        <v>1127557.7193969735</v>
      </c>
      <c r="J1499" s="26">
        <v>1554488.7193969735</v>
      </c>
    </row>
    <row r="1500" spans="1:10" x14ac:dyDescent="0.2">
      <c r="A1500">
        <v>2007470</v>
      </c>
      <c r="B1500">
        <v>2017</v>
      </c>
      <c r="C1500" t="s">
        <v>6</v>
      </c>
      <c r="D1500" t="s">
        <v>7</v>
      </c>
      <c r="E1500" t="s">
        <v>8</v>
      </c>
      <c r="F1500" s="29">
        <v>5167</v>
      </c>
      <c r="G1500" s="3" t="s">
        <v>211</v>
      </c>
      <c r="H1500" s="1">
        <v>450673</v>
      </c>
      <c r="I1500" s="1">
        <v>70330.063898615437</v>
      </c>
      <c r="J1500" s="1">
        <v>521003.06389861542</v>
      </c>
    </row>
    <row r="1501" spans="1:10" x14ac:dyDescent="0.2">
      <c r="A1501">
        <v>2007470</v>
      </c>
      <c r="B1501">
        <v>2018</v>
      </c>
      <c r="C1501" t="s">
        <v>6</v>
      </c>
      <c r="D1501" t="s">
        <v>7</v>
      </c>
      <c r="E1501" t="s">
        <v>8</v>
      </c>
      <c r="F1501" s="28">
        <v>5167</v>
      </c>
      <c r="G1501" t="s">
        <v>211</v>
      </c>
      <c r="H1501" s="1">
        <v>508289</v>
      </c>
      <c r="I1501" s="1">
        <v>76863.130844725543</v>
      </c>
      <c r="J1501" s="1">
        <v>585152.13084472553</v>
      </c>
    </row>
    <row r="1502" spans="1:10" x14ac:dyDescent="0.2">
      <c r="A1502">
        <v>2007470</v>
      </c>
      <c r="B1502">
        <v>2019</v>
      </c>
      <c r="C1502" t="s">
        <v>6</v>
      </c>
      <c r="D1502" t="s">
        <v>7</v>
      </c>
      <c r="E1502" t="s">
        <v>8</v>
      </c>
      <c r="F1502" s="28">
        <v>5167</v>
      </c>
      <c r="G1502" t="s">
        <v>211</v>
      </c>
      <c r="H1502" s="1">
        <v>557717</v>
      </c>
      <c r="I1502" s="1">
        <v>84939.084324973548</v>
      </c>
      <c r="J1502" s="1">
        <v>642656.08432497352</v>
      </c>
    </row>
    <row r="1503" spans="1:10" x14ac:dyDescent="0.2">
      <c r="A1503">
        <v>2007470</v>
      </c>
      <c r="B1503">
        <v>2020</v>
      </c>
      <c r="C1503" t="s">
        <v>6</v>
      </c>
      <c r="D1503" t="s">
        <v>7</v>
      </c>
      <c r="E1503" t="s">
        <v>8</v>
      </c>
      <c r="F1503" s="28">
        <v>5167</v>
      </c>
      <c r="G1503" t="s">
        <v>211</v>
      </c>
      <c r="H1503" s="1">
        <v>633937</v>
      </c>
      <c r="I1503" s="1">
        <v>95905.048078666819</v>
      </c>
      <c r="J1503" s="1">
        <v>729842.04807866679</v>
      </c>
    </row>
    <row r="1504" spans="1:10" x14ac:dyDescent="0.2">
      <c r="A1504">
        <v>2007470</v>
      </c>
      <c r="B1504">
        <v>2021</v>
      </c>
      <c r="C1504" t="s">
        <v>6</v>
      </c>
      <c r="D1504" t="s">
        <v>7</v>
      </c>
      <c r="E1504" t="s">
        <v>8</v>
      </c>
      <c r="F1504" s="28">
        <v>5167</v>
      </c>
      <c r="G1504" t="s">
        <v>211</v>
      </c>
      <c r="H1504" s="25">
        <v>630457</v>
      </c>
      <c r="I1504" s="1">
        <v>94122.892993922913</v>
      </c>
      <c r="J1504" s="1">
        <v>724579.89299392293</v>
      </c>
    </row>
    <row r="1505" spans="1:10" x14ac:dyDescent="0.2">
      <c r="A1505">
        <v>2007470</v>
      </c>
      <c r="B1505">
        <v>2022</v>
      </c>
      <c r="C1505" t="s">
        <v>6</v>
      </c>
      <c r="D1505" t="s">
        <v>7</v>
      </c>
      <c r="E1505" t="s">
        <v>8</v>
      </c>
      <c r="F1505" s="28">
        <v>5167</v>
      </c>
      <c r="G1505" t="s">
        <v>211</v>
      </c>
      <c r="H1505" s="1">
        <v>619881</v>
      </c>
      <c r="I1505" s="1">
        <v>84183.282683272046</v>
      </c>
      <c r="J1505" s="1">
        <v>704064.28268327203</v>
      </c>
    </row>
    <row r="1506" spans="1:10" x14ac:dyDescent="0.2">
      <c r="A1506">
        <v>2007470</v>
      </c>
      <c r="B1506">
        <v>2023</v>
      </c>
      <c r="C1506" t="s">
        <v>6</v>
      </c>
      <c r="D1506" t="s">
        <v>7</v>
      </c>
      <c r="E1506" t="s">
        <v>8</v>
      </c>
      <c r="F1506" s="28">
        <v>5167</v>
      </c>
      <c r="G1506" s="10" t="s">
        <v>211</v>
      </c>
      <c r="H1506" s="1">
        <v>599371</v>
      </c>
      <c r="I1506" s="1">
        <v>83913.723900056575</v>
      </c>
      <c r="J1506" s="1">
        <v>683284.72390005656</v>
      </c>
    </row>
    <row r="1507" spans="1:10" x14ac:dyDescent="0.2">
      <c r="A1507">
        <v>2007320</v>
      </c>
      <c r="B1507">
        <v>2015</v>
      </c>
      <c r="C1507" t="s">
        <v>6</v>
      </c>
      <c r="D1507" t="s">
        <v>7</v>
      </c>
      <c r="E1507" t="s">
        <v>8</v>
      </c>
      <c r="F1507" s="29">
        <v>5168</v>
      </c>
      <c r="G1507" s="3" t="s">
        <v>212</v>
      </c>
      <c r="H1507" s="27">
        <v>408182</v>
      </c>
      <c r="I1507" s="1">
        <v>65747.524474417238</v>
      </c>
      <c r="J1507" s="1">
        <v>473929.52447441721</v>
      </c>
    </row>
    <row r="1508" spans="1:10" x14ac:dyDescent="0.2">
      <c r="A1508">
        <v>2007320</v>
      </c>
      <c r="B1508">
        <v>2016</v>
      </c>
      <c r="C1508" t="s">
        <v>6</v>
      </c>
      <c r="D1508" t="s">
        <v>7</v>
      </c>
      <c r="E1508" t="s">
        <v>8</v>
      </c>
      <c r="F1508" s="29">
        <v>5168</v>
      </c>
      <c r="G1508" s="3" t="s">
        <v>212</v>
      </c>
      <c r="H1508" s="1">
        <v>428118</v>
      </c>
      <c r="I1508" s="26">
        <v>1130692.831475067</v>
      </c>
      <c r="J1508" s="26">
        <v>1558810.831475067</v>
      </c>
    </row>
    <row r="1509" spans="1:10" x14ac:dyDescent="0.2">
      <c r="A1509">
        <v>2007320</v>
      </c>
      <c r="B1509">
        <v>2017</v>
      </c>
      <c r="C1509" t="s">
        <v>6</v>
      </c>
      <c r="D1509" t="s">
        <v>7</v>
      </c>
      <c r="E1509" t="s">
        <v>8</v>
      </c>
      <c r="F1509" s="29">
        <v>5168</v>
      </c>
      <c r="G1509" s="3" t="s">
        <v>212</v>
      </c>
      <c r="H1509" s="1">
        <v>443117</v>
      </c>
      <c r="I1509" s="1">
        <v>69150.907475182175</v>
      </c>
      <c r="J1509" s="1">
        <v>512267.9074751822</v>
      </c>
    </row>
    <row r="1510" spans="1:10" x14ac:dyDescent="0.2">
      <c r="A1510">
        <v>2007320</v>
      </c>
      <c r="B1510">
        <v>2018</v>
      </c>
      <c r="C1510" t="s">
        <v>6</v>
      </c>
      <c r="D1510" t="s">
        <v>7</v>
      </c>
      <c r="E1510" t="s">
        <v>8</v>
      </c>
      <c r="F1510" s="28">
        <v>5168</v>
      </c>
      <c r="G1510" t="s">
        <v>212</v>
      </c>
      <c r="H1510" s="1">
        <v>525473</v>
      </c>
      <c r="I1510" s="1">
        <v>79461.684109572423</v>
      </c>
      <c r="J1510" s="1">
        <v>604934.68410957244</v>
      </c>
    </row>
    <row r="1511" spans="1:10" x14ac:dyDescent="0.2">
      <c r="A1511">
        <v>2007320</v>
      </c>
      <c r="B1511">
        <v>2019</v>
      </c>
      <c r="C1511" t="s">
        <v>6</v>
      </c>
      <c r="D1511" t="s">
        <v>7</v>
      </c>
      <c r="E1511" t="s">
        <v>8</v>
      </c>
      <c r="F1511" s="28">
        <v>5168</v>
      </c>
      <c r="G1511" t="s">
        <v>212</v>
      </c>
      <c r="H1511" s="1">
        <v>610342</v>
      </c>
      <c r="I1511" s="1">
        <v>92953.757201363784</v>
      </c>
      <c r="J1511" s="1">
        <v>703295.7572013638</v>
      </c>
    </row>
    <row r="1512" spans="1:10" x14ac:dyDescent="0.2">
      <c r="A1512">
        <v>2007320</v>
      </c>
      <c r="B1512">
        <v>2020</v>
      </c>
      <c r="C1512" t="s">
        <v>6</v>
      </c>
      <c r="D1512" t="s">
        <v>7</v>
      </c>
      <c r="E1512" t="s">
        <v>8</v>
      </c>
      <c r="F1512" s="28">
        <v>5168</v>
      </c>
      <c r="G1512" t="s">
        <v>212</v>
      </c>
      <c r="H1512" s="1">
        <v>673880</v>
      </c>
      <c r="I1512" s="1">
        <v>101947.81784191803</v>
      </c>
      <c r="J1512" s="1">
        <v>775827.81784191797</v>
      </c>
    </row>
    <row r="1513" spans="1:10" x14ac:dyDescent="0.2">
      <c r="A1513">
        <v>2007320</v>
      </c>
      <c r="B1513">
        <v>2021</v>
      </c>
      <c r="C1513" t="s">
        <v>6</v>
      </c>
      <c r="D1513" t="s">
        <v>7</v>
      </c>
      <c r="E1513" t="s">
        <v>8</v>
      </c>
      <c r="F1513" s="28">
        <v>5168</v>
      </c>
      <c r="G1513" t="s">
        <v>212</v>
      </c>
      <c r="H1513" s="25">
        <v>685661</v>
      </c>
      <c r="I1513" s="1">
        <v>102364.47042876229</v>
      </c>
      <c r="J1513" s="1">
        <v>788025.47042876226</v>
      </c>
    </row>
    <row r="1514" spans="1:10" x14ac:dyDescent="0.2">
      <c r="A1514">
        <v>2007320</v>
      </c>
      <c r="B1514">
        <v>2022</v>
      </c>
      <c r="C1514" t="s">
        <v>6</v>
      </c>
      <c r="D1514" t="s">
        <v>7</v>
      </c>
      <c r="E1514" t="s">
        <v>8</v>
      </c>
      <c r="F1514" s="28">
        <v>5168</v>
      </c>
      <c r="G1514" t="s">
        <v>212</v>
      </c>
      <c r="H1514" s="1">
        <v>668322</v>
      </c>
      <c r="I1514" s="1">
        <v>90761.839529602847</v>
      </c>
      <c r="J1514" s="1">
        <v>759083.83952960279</v>
      </c>
    </row>
    <row r="1515" spans="1:10" x14ac:dyDescent="0.2">
      <c r="A1515">
        <v>2007320</v>
      </c>
      <c r="B1515">
        <v>2023</v>
      </c>
      <c r="C1515" t="s">
        <v>6</v>
      </c>
      <c r="D1515" t="s">
        <v>7</v>
      </c>
      <c r="E1515" t="s">
        <v>8</v>
      </c>
      <c r="F1515" s="28">
        <v>5168</v>
      </c>
      <c r="G1515" s="10" t="s">
        <v>212</v>
      </c>
      <c r="H1515" s="1">
        <v>685435</v>
      </c>
      <c r="I1515" s="1">
        <v>95962.940051212485</v>
      </c>
      <c r="J1515" s="1">
        <v>781397.94005121244</v>
      </c>
    </row>
    <row r="1516" spans="1:10" x14ac:dyDescent="0.2">
      <c r="A1516">
        <v>2008880</v>
      </c>
      <c r="B1516">
        <v>2015</v>
      </c>
      <c r="C1516" t="s">
        <v>6</v>
      </c>
      <c r="D1516" t="s">
        <v>7</v>
      </c>
      <c r="E1516" t="s">
        <v>8</v>
      </c>
      <c r="F1516" s="29">
        <v>5171</v>
      </c>
      <c r="G1516" s="3" t="s">
        <v>213</v>
      </c>
      <c r="H1516" s="27">
        <v>221130</v>
      </c>
      <c r="I1516" s="1">
        <v>35618.302833118272</v>
      </c>
      <c r="J1516" s="1">
        <v>256748.30283311827</v>
      </c>
    </row>
    <row r="1517" spans="1:10" x14ac:dyDescent="0.2">
      <c r="A1517">
        <v>2008880</v>
      </c>
      <c r="B1517">
        <v>2016</v>
      </c>
      <c r="C1517" t="s">
        <v>6</v>
      </c>
      <c r="D1517" t="s">
        <v>7</v>
      </c>
      <c r="E1517" t="s">
        <v>8</v>
      </c>
      <c r="F1517" s="29">
        <v>5171</v>
      </c>
      <c r="G1517" s="3" t="s">
        <v>213</v>
      </c>
      <c r="H1517" s="1">
        <v>240994</v>
      </c>
      <c r="I1517" s="26">
        <v>636491.00495265517</v>
      </c>
      <c r="J1517" s="26">
        <v>877485.00495265517</v>
      </c>
    </row>
    <row r="1518" spans="1:10" x14ac:dyDescent="0.2">
      <c r="A1518">
        <v>2008880</v>
      </c>
      <c r="B1518">
        <v>2017</v>
      </c>
      <c r="C1518" t="s">
        <v>6</v>
      </c>
      <c r="D1518" t="s">
        <v>7</v>
      </c>
      <c r="E1518" t="s">
        <v>8</v>
      </c>
      <c r="F1518" s="29">
        <v>5171</v>
      </c>
      <c r="G1518" s="3" t="s">
        <v>213</v>
      </c>
      <c r="H1518" s="1">
        <v>236462</v>
      </c>
      <c r="I1518" s="1">
        <v>36901.228983308087</v>
      </c>
      <c r="J1518" s="1">
        <v>273363.22898330807</v>
      </c>
    </row>
    <row r="1519" spans="1:10" x14ac:dyDescent="0.2">
      <c r="A1519">
        <v>2008880</v>
      </c>
      <c r="B1519">
        <v>2018</v>
      </c>
      <c r="C1519" t="s">
        <v>6</v>
      </c>
      <c r="D1519" t="s">
        <v>7</v>
      </c>
      <c r="E1519" t="s">
        <v>8</v>
      </c>
      <c r="F1519" s="28">
        <v>5171</v>
      </c>
      <c r="G1519" t="s">
        <v>213</v>
      </c>
      <c r="H1519" s="1">
        <v>244021</v>
      </c>
      <c r="I1519" s="1">
        <v>36900.696359474176</v>
      </c>
      <c r="J1519" s="1">
        <v>280921.69635947415</v>
      </c>
    </row>
    <row r="1520" spans="1:10" x14ac:dyDescent="0.2">
      <c r="A1520">
        <v>2008880</v>
      </c>
      <c r="B1520">
        <v>2019</v>
      </c>
      <c r="C1520" t="s">
        <v>6</v>
      </c>
      <c r="D1520" t="s">
        <v>7</v>
      </c>
      <c r="E1520" t="s">
        <v>8</v>
      </c>
      <c r="F1520" s="28">
        <v>5171</v>
      </c>
      <c r="G1520" t="s">
        <v>213</v>
      </c>
      <c r="H1520" s="1">
        <v>265285</v>
      </c>
      <c r="I1520" s="1">
        <v>40402.327677210138</v>
      </c>
      <c r="J1520" s="1">
        <v>305687.32767721015</v>
      </c>
    </row>
    <row r="1521" spans="1:10" x14ac:dyDescent="0.2">
      <c r="A1521">
        <v>2008880</v>
      </c>
      <c r="B1521">
        <v>2020</v>
      </c>
      <c r="C1521" t="s">
        <v>6</v>
      </c>
      <c r="D1521" t="s">
        <v>7</v>
      </c>
      <c r="E1521" t="s">
        <v>8</v>
      </c>
      <c r="F1521" s="28">
        <v>5171</v>
      </c>
      <c r="G1521" t="s">
        <v>213</v>
      </c>
      <c r="H1521" s="1">
        <v>290349</v>
      </c>
      <c r="I1521" s="1">
        <v>43925.397641394702</v>
      </c>
      <c r="J1521" s="1">
        <v>334274.39764139469</v>
      </c>
    </row>
    <row r="1522" spans="1:10" x14ac:dyDescent="0.2">
      <c r="A1522">
        <v>2008880</v>
      </c>
      <c r="B1522">
        <v>2021</v>
      </c>
      <c r="C1522" t="s">
        <v>6</v>
      </c>
      <c r="D1522" t="s">
        <v>7</v>
      </c>
      <c r="E1522" t="s">
        <v>8</v>
      </c>
      <c r="F1522" s="28">
        <v>5171</v>
      </c>
      <c r="G1522" t="s">
        <v>213</v>
      </c>
      <c r="H1522" s="25">
        <v>284894</v>
      </c>
      <c r="I1522" s="1">
        <v>42532.714327243055</v>
      </c>
      <c r="J1522" s="1">
        <v>327426.71432724304</v>
      </c>
    </row>
    <row r="1523" spans="1:10" x14ac:dyDescent="0.2">
      <c r="A1523">
        <v>2008880</v>
      </c>
      <c r="B1523">
        <v>2022</v>
      </c>
      <c r="C1523" t="s">
        <v>6</v>
      </c>
      <c r="D1523" t="s">
        <v>7</v>
      </c>
      <c r="E1523" t="s">
        <v>8</v>
      </c>
      <c r="F1523" s="28">
        <v>5171</v>
      </c>
      <c r="G1523" t="s">
        <v>213</v>
      </c>
      <c r="H1523" s="1">
        <v>271483</v>
      </c>
      <c r="I1523" s="1">
        <v>36868.899244698172</v>
      </c>
      <c r="J1523" s="1">
        <v>308351.89924469817</v>
      </c>
    </row>
    <row r="1524" spans="1:10" x14ac:dyDescent="0.2">
      <c r="A1524">
        <v>2008880</v>
      </c>
      <c r="B1524">
        <v>2023</v>
      </c>
      <c r="C1524" t="s">
        <v>6</v>
      </c>
      <c r="D1524" t="s">
        <v>7</v>
      </c>
      <c r="E1524" t="s">
        <v>8</v>
      </c>
      <c r="F1524" s="28">
        <v>5171</v>
      </c>
      <c r="G1524" s="10" t="s">
        <v>213</v>
      </c>
      <c r="H1524" s="1">
        <v>284283</v>
      </c>
      <c r="I1524" s="1">
        <v>39800.466107769287</v>
      </c>
      <c r="J1524" s="1">
        <v>324083.46610776929</v>
      </c>
    </row>
    <row r="1525" spans="1:10" x14ac:dyDescent="0.2">
      <c r="A1525">
        <v>2004740</v>
      </c>
      <c r="B1525">
        <v>2015</v>
      </c>
      <c r="C1525" t="s">
        <v>6</v>
      </c>
      <c r="D1525" t="s">
        <v>7</v>
      </c>
      <c r="E1525" t="s">
        <v>8</v>
      </c>
      <c r="F1525" s="29">
        <v>5172</v>
      </c>
      <c r="G1525" s="3" t="s">
        <v>214</v>
      </c>
      <c r="H1525" s="27">
        <v>510165</v>
      </c>
      <c r="I1525" s="1">
        <v>82174.338465417561</v>
      </c>
      <c r="J1525" s="1">
        <v>592339.3384654175</v>
      </c>
    </row>
    <row r="1526" spans="1:10" x14ac:dyDescent="0.2">
      <c r="A1526">
        <v>2004740</v>
      </c>
      <c r="B1526">
        <v>2016</v>
      </c>
      <c r="C1526" t="s">
        <v>6</v>
      </c>
      <c r="D1526" t="s">
        <v>7</v>
      </c>
      <c r="E1526" t="s">
        <v>8</v>
      </c>
      <c r="F1526" s="29">
        <v>5172</v>
      </c>
      <c r="G1526" s="3" t="s">
        <v>214</v>
      </c>
      <c r="H1526" s="1">
        <v>541052</v>
      </c>
      <c r="I1526" s="26">
        <v>1428961.3506858824</v>
      </c>
      <c r="J1526" s="26">
        <v>1970013.3506858824</v>
      </c>
    </row>
    <row r="1527" spans="1:10" x14ac:dyDescent="0.2">
      <c r="A1527">
        <v>2004740</v>
      </c>
      <c r="B1527">
        <v>2017</v>
      </c>
      <c r="C1527" t="s">
        <v>6</v>
      </c>
      <c r="D1527" t="s">
        <v>7</v>
      </c>
      <c r="E1527" t="s">
        <v>8</v>
      </c>
      <c r="F1527" s="29">
        <v>5172</v>
      </c>
      <c r="G1527" s="3" t="s">
        <v>214</v>
      </c>
      <c r="H1527" s="1">
        <v>582036</v>
      </c>
      <c r="I1527" s="1">
        <v>90830.001067946228</v>
      </c>
      <c r="J1527" s="1">
        <v>672866.0010679462</v>
      </c>
    </row>
    <row r="1528" spans="1:10" x14ac:dyDescent="0.2">
      <c r="A1528">
        <v>2004740</v>
      </c>
      <c r="B1528">
        <v>2018</v>
      </c>
      <c r="C1528" t="s">
        <v>6</v>
      </c>
      <c r="D1528" t="s">
        <v>7</v>
      </c>
      <c r="E1528" t="s">
        <v>8</v>
      </c>
      <c r="F1528" s="28">
        <v>5172</v>
      </c>
      <c r="G1528" t="s">
        <v>214</v>
      </c>
      <c r="H1528" s="1">
        <v>662752</v>
      </c>
      <c r="I1528" s="1">
        <v>100220.92489430921</v>
      </c>
      <c r="J1528" s="1">
        <v>762972.92489430925</v>
      </c>
    </row>
    <row r="1529" spans="1:10" x14ac:dyDescent="0.2">
      <c r="A1529">
        <v>2004740</v>
      </c>
      <c r="B1529">
        <v>2019</v>
      </c>
      <c r="C1529" t="s">
        <v>6</v>
      </c>
      <c r="D1529" t="s">
        <v>7</v>
      </c>
      <c r="E1529" t="s">
        <v>8</v>
      </c>
      <c r="F1529" s="28">
        <v>5172</v>
      </c>
      <c r="G1529" t="s">
        <v>214</v>
      </c>
      <c r="H1529" s="1">
        <v>710111</v>
      </c>
      <c r="I1529" s="1">
        <v>108148.35859242463</v>
      </c>
      <c r="J1529" s="1">
        <v>818259.35859242466</v>
      </c>
    </row>
    <row r="1530" spans="1:10" x14ac:dyDescent="0.2">
      <c r="A1530">
        <v>2004740</v>
      </c>
      <c r="B1530">
        <v>2020</v>
      </c>
      <c r="C1530" t="s">
        <v>6</v>
      </c>
      <c r="D1530" t="s">
        <v>7</v>
      </c>
      <c r="E1530" t="s">
        <v>8</v>
      </c>
      <c r="F1530" s="28">
        <v>5172</v>
      </c>
      <c r="G1530" t="s">
        <v>214</v>
      </c>
      <c r="H1530" s="1">
        <v>780787</v>
      </c>
      <c r="I1530" s="1">
        <v>118121.22462357937</v>
      </c>
      <c r="J1530" s="1">
        <v>898908.22462357942</v>
      </c>
    </row>
    <row r="1531" spans="1:10" x14ac:dyDescent="0.2">
      <c r="A1531">
        <v>2004740</v>
      </c>
      <c r="B1531">
        <v>2021</v>
      </c>
      <c r="C1531" t="s">
        <v>6</v>
      </c>
      <c r="D1531" t="s">
        <v>7</v>
      </c>
      <c r="E1531" t="s">
        <v>8</v>
      </c>
      <c r="F1531" s="28">
        <v>5172</v>
      </c>
      <c r="G1531" t="s">
        <v>214</v>
      </c>
      <c r="H1531" s="25">
        <v>764287</v>
      </c>
      <c r="I1531" s="1">
        <v>114102.79133651679</v>
      </c>
      <c r="J1531" s="1">
        <v>878389.79133651685</v>
      </c>
    </row>
    <row r="1532" spans="1:10" x14ac:dyDescent="0.2">
      <c r="A1532">
        <v>2004740</v>
      </c>
      <c r="B1532">
        <v>2022</v>
      </c>
      <c r="C1532" t="s">
        <v>6</v>
      </c>
      <c r="D1532" t="s">
        <v>7</v>
      </c>
      <c r="E1532" t="s">
        <v>8</v>
      </c>
      <c r="F1532" s="28">
        <v>5172</v>
      </c>
      <c r="G1532" t="s">
        <v>214</v>
      </c>
      <c r="H1532" s="1">
        <v>744752</v>
      </c>
      <c r="I1532" s="1">
        <v>101141.45802973832</v>
      </c>
      <c r="J1532" s="1">
        <v>845893.45802973828</v>
      </c>
    </row>
    <row r="1533" spans="1:10" x14ac:dyDescent="0.2">
      <c r="A1533">
        <v>2004740</v>
      </c>
      <c r="B1533">
        <v>2023</v>
      </c>
      <c r="C1533" t="s">
        <v>6</v>
      </c>
      <c r="D1533" t="s">
        <v>7</v>
      </c>
      <c r="E1533" t="s">
        <v>8</v>
      </c>
      <c r="F1533" s="28">
        <v>5172</v>
      </c>
      <c r="G1533" s="10" t="s">
        <v>214</v>
      </c>
      <c r="H1533" s="1">
        <v>755712</v>
      </c>
      <c r="I1533" s="1">
        <v>105801.92921572707</v>
      </c>
      <c r="J1533" s="1">
        <v>861513.92921572702</v>
      </c>
    </row>
    <row r="1534" spans="1:10" x14ac:dyDescent="0.2">
      <c r="A1534">
        <v>2007860</v>
      </c>
      <c r="B1534">
        <v>2015</v>
      </c>
      <c r="C1534" t="s">
        <v>6</v>
      </c>
      <c r="D1534" t="s">
        <v>7</v>
      </c>
      <c r="E1534" t="s">
        <v>8</v>
      </c>
      <c r="F1534" s="29">
        <v>5173</v>
      </c>
      <c r="G1534" s="3" t="s">
        <v>215</v>
      </c>
      <c r="H1534" s="27">
        <v>272754</v>
      </c>
      <c r="I1534" s="1">
        <v>43933.58915997079</v>
      </c>
      <c r="J1534" s="1">
        <v>316687.58915997081</v>
      </c>
    </row>
    <row r="1535" spans="1:10" x14ac:dyDescent="0.2">
      <c r="A1535">
        <v>2007860</v>
      </c>
      <c r="B1535">
        <v>2016</v>
      </c>
      <c r="C1535" t="s">
        <v>6</v>
      </c>
      <c r="D1535" t="s">
        <v>7</v>
      </c>
      <c r="E1535" t="s">
        <v>8</v>
      </c>
      <c r="F1535" s="29">
        <v>5173</v>
      </c>
      <c r="G1535" s="3" t="s">
        <v>215</v>
      </c>
      <c r="H1535" s="1">
        <v>296955</v>
      </c>
      <c r="I1535" s="26">
        <v>784286.22020167776</v>
      </c>
      <c r="J1535" s="26">
        <v>1081241.2202016779</v>
      </c>
    </row>
    <row r="1536" spans="1:10" x14ac:dyDescent="0.2">
      <c r="A1536">
        <v>2007860</v>
      </c>
      <c r="B1536">
        <v>2017</v>
      </c>
      <c r="C1536" t="s">
        <v>6</v>
      </c>
      <c r="D1536" t="s">
        <v>7</v>
      </c>
      <c r="E1536" t="s">
        <v>8</v>
      </c>
      <c r="F1536" s="29">
        <v>5173</v>
      </c>
      <c r="G1536" s="3" t="s">
        <v>215</v>
      </c>
      <c r="H1536" s="1">
        <v>357043</v>
      </c>
      <c r="I1536" s="1">
        <v>55718.574231323721</v>
      </c>
      <c r="J1536" s="1">
        <v>412761.57423132373</v>
      </c>
    </row>
    <row r="1537" spans="1:10" x14ac:dyDescent="0.2">
      <c r="A1537">
        <v>2007860</v>
      </c>
      <c r="B1537">
        <v>2018</v>
      </c>
      <c r="C1537" t="s">
        <v>6</v>
      </c>
      <c r="D1537" t="s">
        <v>7</v>
      </c>
      <c r="E1537" t="s">
        <v>8</v>
      </c>
      <c r="F1537" s="28">
        <v>5173</v>
      </c>
      <c r="G1537" t="s">
        <v>215</v>
      </c>
      <c r="H1537" s="1">
        <v>365522</v>
      </c>
      <c r="I1537" s="1">
        <v>55273.998281736895</v>
      </c>
      <c r="J1537" s="1">
        <v>420795.99828173692</v>
      </c>
    </row>
    <row r="1538" spans="1:10" x14ac:dyDescent="0.2">
      <c r="A1538">
        <v>2007860</v>
      </c>
      <c r="B1538">
        <v>2019</v>
      </c>
      <c r="C1538" t="s">
        <v>6</v>
      </c>
      <c r="D1538" t="s">
        <v>7</v>
      </c>
      <c r="E1538" t="s">
        <v>8</v>
      </c>
      <c r="F1538" s="28">
        <v>5173</v>
      </c>
      <c r="G1538" t="s">
        <v>215</v>
      </c>
      <c r="H1538" s="1">
        <v>413732</v>
      </c>
      <c r="I1538" s="1">
        <v>63010.482441704225</v>
      </c>
      <c r="J1538" s="1">
        <v>476742.48244170425</v>
      </c>
    </row>
    <row r="1539" spans="1:10" x14ac:dyDescent="0.2">
      <c r="A1539">
        <v>2007860</v>
      </c>
      <c r="B1539">
        <v>2020</v>
      </c>
      <c r="C1539" t="s">
        <v>6</v>
      </c>
      <c r="D1539" t="s">
        <v>7</v>
      </c>
      <c r="E1539" t="s">
        <v>8</v>
      </c>
      <c r="F1539" s="28">
        <v>5173</v>
      </c>
      <c r="G1539" t="s">
        <v>215</v>
      </c>
      <c r="H1539" s="1">
        <v>437077</v>
      </c>
      <c r="I1539" s="1">
        <v>66123.117437662513</v>
      </c>
      <c r="J1539" s="1">
        <v>503200.1174376625</v>
      </c>
    </row>
    <row r="1540" spans="1:10" x14ac:dyDescent="0.2">
      <c r="A1540">
        <v>2007860</v>
      </c>
      <c r="B1540">
        <v>2021</v>
      </c>
      <c r="C1540" t="s">
        <v>6</v>
      </c>
      <c r="D1540" t="s">
        <v>7</v>
      </c>
      <c r="E1540" t="s">
        <v>8</v>
      </c>
      <c r="F1540" s="28">
        <v>5173</v>
      </c>
      <c r="G1540" t="s">
        <v>215</v>
      </c>
      <c r="H1540" s="25">
        <v>390129</v>
      </c>
      <c r="I1540" s="1">
        <v>58243.575883567239</v>
      </c>
      <c r="J1540" s="1">
        <v>448372.57588356722</v>
      </c>
    </row>
    <row r="1541" spans="1:10" x14ac:dyDescent="0.2">
      <c r="A1541">
        <v>2007860</v>
      </c>
      <c r="B1541">
        <v>2022</v>
      </c>
      <c r="C1541" t="s">
        <v>6</v>
      </c>
      <c r="D1541" t="s">
        <v>7</v>
      </c>
      <c r="E1541" t="s">
        <v>8</v>
      </c>
      <c r="F1541" s="28">
        <v>5173</v>
      </c>
      <c r="G1541" t="s">
        <v>215</v>
      </c>
      <c r="H1541" s="1">
        <v>381501</v>
      </c>
      <c r="I1541" s="1">
        <v>51809.954696064196</v>
      </c>
      <c r="J1541" s="1">
        <v>433310.95469606417</v>
      </c>
    </row>
    <row r="1542" spans="1:10" x14ac:dyDescent="0.2">
      <c r="A1542">
        <v>2007860</v>
      </c>
      <c r="B1542">
        <v>2023</v>
      </c>
      <c r="C1542" t="s">
        <v>6</v>
      </c>
      <c r="D1542" t="s">
        <v>7</v>
      </c>
      <c r="E1542" t="s">
        <v>8</v>
      </c>
      <c r="F1542" s="28">
        <v>5173</v>
      </c>
      <c r="G1542" s="10" t="s">
        <v>215</v>
      </c>
      <c r="H1542" s="1">
        <v>361981</v>
      </c>
      <c r="I1542" s="1">
        <v>50678.417359308973</v>
      </c>
      <c r="J1542" s="1">
        <v>412659.41735930898</v>
      </c>
    </row>
    <row r="1543" spans="1:10" x14ac:dyDescent="0.2">
      <c r="A1543">
        <v>2007170</v>
      </c>
      <c r="B1543">
        <v>2015</v>
      </c>
      <c r="C1543" t="s">
        <v>6</v>
      </c>
      <c r="D1543" t="s">
        <v>7</v>
      </c>
      <c r="E1543" t="s">
        <v>8</v>
      </c>
      <c r="F1543" s="29">
        <v>5174</v>
      </c>
      <c r="G1543" s="3" t="s">
        <v>216</v>
      </c>
      <c r="H1543" s="27">
        <v>377979</v>
      </c>
      <c r="I1543" s="1">
        <v>60882.60519404518</v>
      </c>
      <c r="J1543" s="1">
        <v>438861.60519404517</v>
      </c>
    </row>
    <row r="1544" spans="1:10" x14ac:dyDescent="0.2">
      <c r="A1544">
        <v>2007170</v>
      </c>
      <c r="B1544">
        <v>2016</v>
      </c>
      <c r="C1544" t="s">
        <v>6</v>
      </c>
      <c r="D1544" t="s">
        <v>7</v>
      </c>
      <c r="E1544" t="s">
        <v>8</v>
      </c>
      <c r="F1544" s="29">
        <v>5174</v>
      </c>
      <c r="G1544" s="3" t="s">
        <v>216</v>
      </c>
      <c r="H1544" s="1">
        <v>443921</v>
      </c>
      <c r="I1544" s="26">
        <v>1172436.4286447032</v>
      </c>
      <c r="J1544" s="26">
        <v>1616357.4286447032</v>
      </c>
    </row>
    <row r="1545" spans="1:10" x14ac:dyDescent="0.2">
      <c r="A1545">
        <v>2007170</v>
      </c>
      <c r="B1545">
        <v>2017</v>
      </c>
      <c r="C1545" t="s">
        <v>6</v>
      </c>
      <c r="D1545" t="s">
        <v>7</v>
      </c>
      <c r="E1545" t="s">
        <v>8</v>
      </c>
      <c r="F1545" s="29">
        <v>5174</v>
      </c>
      <c r="G1545" s="3" t="s">
        <v>216</v>
      </c>
      <c r="H1545" s="1">
        <v>458338</v>
      </c>
      <c r="I1545" s="1">
        <v>71526.230386918236</v>
      </c>
      <c r="J1545" s="1">
        <v>529864.23038691818</v>
      </c>
    </row>
    <row r="1546" spans="1:10" x14ac:dyDescent="0.2">
      <c r="A1546">
        <v>2007170</v>
      </c>
      <c r="B1546">
        <v>2018</v>
      </c>
      <c r="C1546" t="s">
        <v>6</v>
      </c>
      <c r="D1546" t="s">
        <v>7</v>
      </c>
      <c r="E1546" t="s">
        <v>8</v>
      </c>
      <c r="F1546" s="28">
        <v>5174</v>
      </c>
      <c r="G1546" t="s">
        <v>216</v>
      </c>
      <c r="H1546" s="1">
        <v>527860</v>
      </c>
      <c r="I1546" s="1">
        <v>79822.644691694732</v>
      </c>
      <c r="J1546" s="1">
        <v>607682.64469169476</v>
      </c>
    </row>
    <row r="1547" spans="1:10" x14ac:dyDescent="0.2">
      <c r="A1547">
        <v>2007170</v>
      </c>
      <c r="B1547">
        <v>2019</v>
      </c>
      <c r="C1547" t="s">
        <v>6</v>
      </c>
      <c r="D1547" t="s">
        <v>7</v>
      </c>
      <c r="E1547" t="s">
        <v>8</v>
      </c>
      <c r="F1547" s="28">
        <v>5174</v>
      </c>
      <c r="G1547" t="s">
        <v>216</v>
      </c>
      <c r="H1547" s="1">
        <v>588870</v>
      </c>
      <c r="I1547" s="1">
        <v>89683.618369974691</v>
      </c>
      <c r="J1547" s="1">
        <v>678553.61836997466</v>
      </c>
    </row>
    <row r="1548" spans="1:10" x14ac:dyDescent="0.2">
      <c r="A1548">
        <v>2007170</v>
      </c>
      <c r="B1548">
        <v>2020</v>
      </c>
      <c r="C1548" t="s">
        <v>6</v>
      </c>
      <c r="D1548" t="s">
        <v>7</v>
      </c>
      <c r="E1548" t="s">
        <v>8</v>
      </c>
      <c r="F1548" s="28">
        <v>5174</v>
      </c>
      <c r="G1548" t="s">
        <v>216</v>
      </c>
      <c r="H1548" s="1">
        <v>666460</v>
      </c>
      <c r="I1548" s="1">
        <v>100825.28444073825</v>
      </c>
      <c r="J1548" s="1">
        <v>767285.28444073827</v>
      </c>
    </row>
    <row r="1549" spans="1:10" x14ac:dyDescent="0.2">
      <c r="A1549">
        <v>2007170</v>
      </c>
      <c r="B1549">
        <v>2021</v>
      </c>
      <c r="C1549" t="s">
        <v>6</v>
      </c>
      <c r="D1549" t="s">
        <v>7</v>
      </c>
      <c r="E1549" t="s">
        <v>8</v>
      </c>
      <c r="F1549" s="28">
        <v>5174</v>
      </c>
      <c r="G1549" t="s">
        <v>216</v>
      </c>
      <c r="H1549" s="25">
        <v>677708</v>
      </c>
      <c r="I1549" s="1">
        <v>101177.14223987602</v>
      </c>
      <c r="J1549" s="1">
        <v>778885.14223987598</v>
      </c>
    </row>
    <row r="1550" spans="1:10" x14ac:dyDescent="0.2">
      <c r="A1550">
        <v>2007170</v>
      </c>
      <c r="B1550">
        <v>2022</v>
      </c>
      <c r="C1550" t="s">
        <v>6</v>
      </c>
      <c r="D1550" t="s">
        <v>7</v>
      </c>
      <c r="E1550" t="s">
        <v>8</v>
      </c>
      <c r="F1550" s="28">
        <v>5174</v>
      </c>
      <c r="G1550" t="s">
        <v>216</v>
      </c>
      <c r="H1550" s="1">
        <v>660958</v>
      </c>
      <c r="I1550" s="1">
        <v>89761.767429184198</v>
      </c>
      <c r="J1550" s="1">
        <v>750719.76742918417</v>
      </c>
    </row>
    <row r="1551" spans="1:10" x14ac:dyDescent="0.2">
      <c r="A1551">
        <v>2007170</v>
      </c>
      <c r="B1551">
        <v>2023</v>
      </c>
      <c r="C1551" t="s">
        <v>6</v>
      </c>
      <c r="D1551" t="s">
        <v>7</v>
      </c>
      <c r="E1551" t="s">
        <v>8</v>
      </c>
      <c r="F1551" s="28">
        <v>5174</v>
      </c>
      <c r="G1551" s="10" t="s">
        <v>216</v>
      </c>
      <c r="H1551" s="1">
        <v>670847</v>
      </c>
      <c r="I1551" s="1">
        <v>93920.57663313915</v>
      </c>
      <c r="J1551" s="1">
        <v>764767.57663313916</v>
      </c>
    </row>
    <row r="1552" spans="1:10" x14ac:dyDescent="0.2">
      <c r="A1552">
        <v>2004230</v>
      </c>
      <c r="B1552">
        <v>2015</v>
      </c>
      <c r="C1552" t="s">
        <v>6</v>
      </c>
      <c r="D1552" t="s">
        <v>7</v>
      </c>
      <c r="E1552" t="s">
        <v>8</v>
      </c>
      <c r="F1552" s="29">
        <v>5175</v>
      </c>
      <c r="G1552" s="3" t="s">
        <v>217</v>
      </c>
      <c r="H1552" s="27">
        <v>229757</v>
      </c>
      <c r="I1552" s="1">
        <v>37007.888590551964</v>
      </c>
      <c r="J1552" s="1">
        <v>266764.88859055197</v>
      </c>
    </row>
    <row r="1553" spans="1:10" x14ac:dyDescent="0.2">
      <c r="A1553">
        <v>2004230</v>
      </c>
      <c r="B1553">
        <v>2016</v>
      </c>
      <c r="C1553" t="s">
        <v>6</v>
      </c>
      <c r="D1553" t="s">
        <v>7</v>
      </c>
      <c r="E1553" t="s">
        <v>8</v>
      </c>
      <c r="F1553" s="29">
        <v>5175</v>
      </c>
      <c r="G1553" s="3" t="s">
        <v>217</v>
      </c>
      <c r="H1553" s="1">
        <v>238066</v>
      </c>
      <c r="I1553" s="26">
        <v>628752.30602743267</v>
      </c>
      <c r="J1553" s="26">
        <v>866818.30602743267</v>
      </c>
    </row>
    <row r="1554" spans="1:10" x14ac:dyDescent="0.2">
      <c r="A1554">
        <v>2004230</v>
      </c>
      <c r="B1554">
        <v>2017</v>
      </c>
      <c r="C1554" t="s">
        <v>6</v>
      </c>
      <c r="D1554" t="s">
        <v>7</v>
      </c>
      <c r="E1554" t="s">
        <v>8</v>
      </c>
      <c r="F1554" s="29">
        <v>5175</v>
      </c>
      <c r="G1554" s="3" t="s">
        <v>217</v>
      </c>
      <c r="H1554" s="1">
        <v>249684</v>
      </c>
      <c r="I1554" s="1">
        <v>38964.596668675287</v>
      </c>
      <c r="J1554" s="1">
        <v>288648.59666867531</v>
      </c>
    </row>
    <row r="1555" spans="1:10" x14ac:dyDescent="0.2">
      <c r="A1555">
        <v>2004230</v>
      </c>
      <c r="B1555">
        <v>2018</v>
      </c>
      <c r="C1555" t="s">
        <v>6</v>
      </c>
      <c r="D1555" t="s">
        <v>7</v>
      </c>
      <c r="E1555" t="s">
        <v>8</v>
      </c>
      <c r="F1555" s="28">
        <v>5175</v>
      </c>
      <c r="G1555" t="s">
        <v>217</v>
      </c>
      <c r="H1555" s="1">
        <v>281933</v>
      </c>
      <c r="I1555" s="1">
        <v>42633.724256173162</v>
      </c>
      <c r="J1555" s="1">
        <v>324566.72425617318</v>
      </c>
    </row>
    <row r="1556" spans="1:10" x14ac:dyDescent="0.2">
      <c r="A1556">
        <v>2004230</v>
      </c>
      <c r="B1556">
        <v>2019</v>
      </c>
      <c r="C1556" t="s">
        <v>6</v>
      </c>
      <c r="D1556" t="s">
        <v>7</v>
      </c>
      <c r="E1556" t="s">
        <v>8</v>
      </c>
      <c r="F1556" s="28">
        <v>5175</v>
      </c>
      <c r="G1556" t="s">
        <v>217</v>
      </c>
      <c r="H1556" s="1">
        <v>321253</v>
      </c>
      <c r="I1556" s="1">
        <v>48926.132172142366</v>
      </c>
      <c r="J1556" s="1">
        <v>370179.13217214239</v>
      </c>
    </row>
    <row r="1557" spans="1:10" x14ac:dyDescent="0.2">
      <c r="A1557">
        <v>2004230</v>
      </c>
      <c r="B1557">
        <v>2020</v>
      </c>
      <c r="C1557" t="s">
        <v>6</v>
      </c>
      <c r="D1557" t="s">
        <v>7</v>
      </c>
      <c r="E1557" t="s">
        <v>8</v>
      </c>
      <c r="F1557" s="28">
        <v>5175</v>
      </c>
      <c r="G1557" t="s">
        <v>217</v>
      </c>
      <c r="H1557" s="1">
        <v>321737</v>
      </c>
      <c r="I1557" s="1">
        <v>48673.925727140115</v>
      </c>
      <c r="J1557" s="1">
        <v>370410.9257271401</v>
      </c>
    </row>
    <row r="1558" spans="1:10" x14ac:dyDescent="0.2">
      <c r="A1558">
        <v>2004230</v>
      </c>
      <c r="B1558">
        <v>2021</v>
      </c>
      <c r="C1558" t="s">
        <v>6</v>
      </c>
      <c r="D1558" t="s">
        <v>7</v>
      </c>
      <c r="E1558" t="s">
        <v>8</v>
      </c>
      <c r="F1558" s="28">
        <v>5175</v>
      </c>
      <c r="G1558" t="s">
        <v>217</v>
      </c>
      <c r="H1558" s="25">
        <v>321034</v>
      </c>
      <c r="I1558" s="1">
        <v>47928.167709155503</v>
      </c>
      <c r="J1558" s="1">
        <v>368962.16770915547</v>
      </c>
    </row>
    <row r="1559" spans="1:10" x14ac:dyDescent="0.2">
      <c r="A1559">
        <v>2004230</v>
      </c>
      <c r="B1559">
        <v>2022</v>
      </c>
      <c r="C1559" t="s">
        <v>6</v>
      </c>
      <c r="D1559" t="s">
        <v>7</v>
      </c>
      <c r="E1559" t="s">
        <v>8</v>
      </c>
      <c r="F1559" s="28">
        <v>5175</v>
      </c>
      <c r="G1559" t="s">
        <v>217</v>
      </c>
      <c r="H1559" s="1">
        <v>308833</v>
      </c>
      <c r="I1559" s="1">
        <v>41941.236690466329</v>
      </c>
      <c r="J1559" s="1">
        <v>350774.23669046635</v>
      </c>
    </row>
    <row r="1560" spans="1:10" x14ac:dyDescent="0.2">
      <c r="A1560">
        <v>2004230</v>
      </c>
      <c r="B1560">
        <v>2023</v>
      </c>
      <c r="C1560" t="s">
        <v>6</v>
      </c>
      <c r="D1560" t="s">
        <v>7</v>
      </c>
      <c r="E1560" t="s">
        <v>8</v>
      </c>
      <c r="F1560" s="28">
        <v>5175</v>
      </c>
      <c r="G1560" s="10" t="s">
        <v>217</v>
      </c>
      <c r="H1560" s="1">
        <v>306120</v>
      </c>
      <c r="I1560" s="1">
        <v>42857.711100946355</v>
      </c>
      <c r="J1560" s="1">
        <v>348977.71110094636</v>
      </c>
    </row>
    <row r="1561" spans="1:10" x14ac:dyDescent="0.2">
      <c r="A1561">
        <v>2008340</v>
      </c>
      <c r="B1561">
        <v>2015</v>
      </c>
      <c r="C1561" t="s">
        <v>6</v>
      </c>
      <c r="D1561" t="s">
        <v>7</v>
      </c>
      <c r="E1561" t="s">
        <v>8</v>
      </c>
      <c r="F1561" s="29">
        <v>5176</v>
      </c>
      <c r="G1561" s="3" t="s">
        <v>218</v>
      </c>
      <c r="H1561" s="27">
        <v>1534816</v>
      </c>
      <c r="I1561" s="1">
        <v>247219.016330282</v>
      </c>
      <c r="J1561" s="1">
        <v>1782035.016330282</v>
      </c>
    </row>
    <row r="1562" spans="1:10" x14ac:dyDescent="0.2">
      <c r="A1562">
        <v>2008340</v>
      </c>
      <c r="B1562">
        <v>2016</v>
      </c>
      <c r="C1562" t="s">
        <v>6</v>
      </c>
      <c r="D1562" t="s">
        <v>7</v>
      </c>
      <c r="E1562" t="s">
        <v>8</v>
      </c>
      <c r="F1562" s="29">
        <v>5176</v>
      </c>
      <c r="G1562" s="3" t="s">
        <v>218</v>
      </c>
      <c r="H1562" s="1">
        <v>1795652</v>
      </c>
      <c r="I1562" s="26">
        <v>4742475.4773777202</v>
      </c>
      <c r="J1562" s="26">
        <v>6538127.4773777202</v>
      </c>
    </row>
    <row r="1563" spans="1:10" x14ac:dyDescent="0.2">
      <c r="A1563">
        <v>2008340</v>
      </c>
      <c r="B1563">
        <v>2017</v>
      </c>
      <c r="C1563" t="s">
        <v>6</v>
      </c>
      <c r="D1563" t="s">
        <v>7</v>
      </c>
      <c r="E1563" t="s">
        <v>8</v>
      </c>
      <c r="F1563" s="29">
        <v>5176</v>
      </c>
      <c r="G1563" s="3" t="s">
        <v>218</v>
      </c>
      <c r="H1563" s="1">
        <v>1831488</v>
      </c>
      <c r="I1563" s="1">
        <v>285814.03383283975</v>
      </c>
      <c r="J1563" s="1">
        <v>2117302.0338328397</v>
      </c>
    </row>
    <row r="1564" spans="1:10" x14ac:dyDescent="0.2">
      <c r="A1564">
        <v>2008340</v>
      </c>
      <c r="B1564">
        <v>2018</v>
      </c>
      <c r="C1564" t="s">
        <v>6</v>
      </c>
      <c r="D1564" t="s">
        <v>7</v>
      </c>
      <c r="E1564" t="s">
        <v>8</v>
      </c>
      <c r="F1564" s="28">
        <v>5176</v>
      </c>
      <c r="G1564" t="s">
        <v>218</v>
      </c>
      <c r="H1564" s="1">
        <v>2028004</v>
      </c>
      <c r="I1564" s="1">
        <v>306673.44130135956</v>
      </c>
      <c r="J1564" s="1">
        <v>2334677.4413013598</v>
      </c>
    </row>
    <row r="1565" spans="1:10" x14ac:dyDescent="0.2">
      <c r="A1565">
        <v>2008340</v>
      </c>
      <c r="B1565">
        <v>2019</v>
      </c>
      <c r="C1565" t="s">
        <v>6</v>
      </c>
      <c r="D1565" t="s">
        <v>7</v>
      </c>
      <c r="E1565" t="s">
        <v>8</v>
      </c>
      <c r="F1565" s="28">
        <v>5176</v>
      </c>
      <c r="G1565" t="s">
        <v>218</v>
      </c>
      <c r="H1565" s="1">
        <v>2242454</v>
      </c>
      <c r="I1565" s="1">
        <v>341520.85986418603</v>
      </c>
      <c r="J1565" s="1">
        <v>2583974.859864186</v>
      </c>
    </row>
    <row r="1566" spans="1:10" x14ac:dyDescent="0.2">
      <c r="A1566">
        <v>2008340</v>
      </c>
      <c r="B1566">
        <v>2020</v>
      </c>
      <c r="C1566" t="s">
        <v>6</v>
      </c>
      <c r="D1566" t="s">
        <v>7</v>
      </c>
      <c r="E1566" t="s">
        <v>8</v>
      </c>
      <c r="F1566" s="28">
        <v>5176</v>
      </c>
      <c r="G1566" t="s">
        <v>218</v>
      </c>
      <c r="H1566" s="1">
        <v>2567588</v>
      </c>
      <c r="I1566" s="1">
        <v>388437.10114129324</v>
      </c>
      <c r="J1566" s="1">
        <v>2956025.1011412931</v>
      </c>
    </row>
    <row r="1567" spans="1:10" x14ac:dyDescent="0.2">
      <c r="A1567">
        <v>2008340</v>
      </c>
      <c r="B1567">
        <v>2021</v>
      </c>
      <c r="C1567" t="s">
        <v>6</v>
      </c>
      <c r="D1567" t="s">
        <v>7</v>
      </c>
      <c r="E1567" t="s">
        <v>8</v>
      </c>
      <c r="F1567" s="28">
        <v>5176</v>
      </c>
      <c r="G1567" t="s">
        <v>218</v>
      </c>
      <c r="H1567" s="25">
        <v>2598179</v>
      </c>
      <c r="I1567" s="1">
        <v>387890.25103386538</v>
      </c>
      <c r="J1567" s="1">
        <v>2986069.2510338654</v>
      </c>
    </row>
    <row r="1568" spans="1:10" x14ac:dyDescent="0.2">
      <c r="A1568">
        <v>2008340</v>
      </c>
      <c r="B1568">
        <v>2022</v>
      </c>
      <c r="C1568" t="s">
        <v>6</v>
      </c>
      <c r="D1568" t="s">
        <v>7</v>
      </c>
      <c r="E1568" t="s">
        <v>8</v>
      </c>
      <c r="F1568" s="28">
        <v>5176</v>
      </c>
      <c r="G1568" t="s">
        <v>218</v>
      </c>
      <c r="H1568" s="1">
        <v>2553269</v>
      </c>
      <c r="I1568" s="1">
        <v>346748.11132045562</v>
      </c>
      <c r="J1568" s="1">
        <v>2900017.1113204556</v>
      </c>
    </row>
    <row r="1569" spans="1:10" x14ac:dyDescent="0.2">
      <c r="A1569">
        <v>2008340</v>
      </c>
      <c r="B1569">
        <v>2023</v>
      </c>
      <c r="C1569" t="s">
        <v>6</v>
      </c>
      <c r="D1569" t="s">
        <v>7</v>
      </c>
      <c r="E1569" t="s">
        <v>8</v>
      </c>
      <c r="F1569" s="28">
        <v>5176</v>
      </c>
      <c r="G1569" s="10" t="s">
        <v>218</v>
      </c>
      <c r="H1569" s="1">
        <v>2496692</v>
      </c>
      <c r="I1569" s="1">
        <v>349544.31087169721</v>
      </c>
      <c r="J1569" s="1">
        <v>2846236.310871697</v>
      </c>
    </row>
    <row r="1570" spans="1:10" x14ac:dyDescent="0.2">
      <c r="B1570">
        <v>2016</v>
      </c>
      <c r="C1570" t="s">
        <v>6</v>
      </c>
      <c r="D1570" t="s">
        <v>7</v>
      </c>
      <c r="E1570" t="s">
        <v>8</v>
      </c>
      <c r="F1570" s="29">
        <v>5177</v>
      </c>
      <c r="G1570" s="3" t="s">
        <v>24</v>
      </c>
      <c r="H1570" s="1">
        <v>2336</v>
      </c>
      <c r="I1570" s="26">
        <v>6171.3824000252134</v>
      </c>
      <c r="J1570" s="26">
        <v>8507.3824000252134</v>
      </c>
    </row>
    <row r="1571" spans="1:10" x14ac:dyDescent="0.2">
      <c r="B1571">
        <v>2017</v>
      </c>
      <c r="C1571" t="s">
        <v>6</v>
      </c>
      <c r="D1571" t="s">
        <v>7</v>
      </c>
      <c r="E1571" t="s">
        <v>8</v>
      </c>
      <c r="F1571" s="29">
        <v>5177</v>
      </c>
      <c r="G1571" s="3" t="s">
        <v>24</v>
      </c>
      <c r="H1571" s="1">
        <v>5363</v>
      </c>
      <c r="I1571" s="1">
        <v>836.92640270944696</v>
      </c>
      <c r="J1571" s="1">
        <v>6199.9264027094468</v>
      </c>
    </row>
    <row r="1572" spans="1:10" x14ac:dyDescent="0.2">
      <c r="B1572">
        <v>2018</v>
      </c>
      <c r="C1572" t="s">
        <v>6</v>
      </c>
      <c r="D1572" t="s">
        <v>7</v>
      </c>
      <c r="E1572" t="s">
        <v>8</v>
      </c>
      <c r="F1572" s="28">
        <v>5177</v>
      </c>
      <c r="G1572" t="s">
        <v>24</v>
      </c>
      <c r="H1572" s="1">
        <v>9687</v>
      </c>
      <c r="I1572" s="1">
        <v>1464.8618177707096</v>
      </c>
      <c r="J1572" s="1">
        <v>11151.86181777071</v>
      </c>
    </row>
    <row r="1573" spans="1:10" x14ac:dyDescent="0.2">
      <c r="B1573">
        <v>2019</v>
      </c>
      <c r="C1573" t="s">
        <v>6</v>
      </c>
      <c r="D1573" t="s">
        <v>7</v>
      </c>
      <c r="E1573" t="s">
        <v>8</v>
      </c>
      <c r="F1573" s="28">
        <v>5177</v>
      </c>
      <c r="G1573" t="s">
        <v>24</v>
      </c>
      <c r="H1573" s="1">
        <v>22632</v>
      </c>
      <c r="I1573" s="1">
        <v>3446.8043047689089</v>
      </c>
      <c r="J1573" s="1">
        <v>26078.80430476891</v>
      </c>
    </row>
    <row r="1574" spans="1:10" x14ac:dyDescent="0.2">
      <c r="B1574">
        <v>2020</v>
      </c>
      <c r="C1574" t="s">
        <v>6</v>
      </c>
      <c r="D1574" t="s">
        <v>7</v>
      </c>
      <c r="E1574" t="s">
        <v>8</v>
      </c>
      <c r="F1574" s="28">
        <v>5177</v>
      </c>
      <c r="G1574" t="s">
        <v>24</v>
      </c>
      <c r="H1574" s="1">
        <v>32074</v>
      </c>
      <c r="I1574" s="1">
        <v>4852.3094756658147</v>
      </c>
      <c r="J1574" s="1">
        <v>36926.309475665817</v>
      </c>
    </row>
    <row r="1575" spans="1:10" x14ac:dyDescent="0.2">
      <c r="B1575">
        <v>2021</v>
      </c>
      <c r="C1575" t="s">
        <v>6</v>
      </c>
      <c r="D1575" t="s">
        <v>7</v>
      </c>
      <c r="E1575" t="s">
        <v>8</v>
      </c>
      <c r="F1575" s="28">
        <v>5177</v>
      </c>
      <c r="G1575" t="s">
        <v>24</v>
      </c>
      <c r="H1575" s="25">
        <v>31823</v>
      </c>
      <c r="I1575" s="1">
        <v>4750.9549798727103</v>
      </c>
      <c r="J1575" s="1">
        <v>36573.954979872709</v>
      </c>
    </row>
    <row r="1576" spans="1:10" x14ac:dyDescent="0.2">
      <c r="B1576">
        <v>2022</v>
      </c>
      <c r="C1576" t="s">
        <v>6</v>
      </c>
      <c r="D1576" t="s">
        <v>7</v>
      </c>
      <c r="E1576" t="s">
        <v>8</v>
      </c>
      <c r="F1576" s="28">
        <v>5177</v>
      </c>
      <c r="G1576" t="s">
        <v>24</v>
      </c>
      <c r="H1576" s="1">
        <v>33874</v>
      </c>
      <c r="I1576" s="1">
        <v>4600.2773397041647</v>
      </c>
      <c r="J1576" s="1">
        <v>38474.277339704167</v>
      </c>
    </row>
    <row r="1577" spans="1:10" x14ac:dyDescent="0.2">
      <c r="B1577">
        <v>2023</v>
      </c>
      <c r="C1577" t="s">
        <v>6</v>
      </c>
      <c r="D1577" t="s">
        <v>7</v>
      </c>
      <c r="E1577" t="s">
        <v>8</v>
      </c>
      <c r="F1577" s="28">
        <v>5177</v>
      </c>
      <c r="G1577" s="10" t="s">
        <v>24</v>
      </c>
      <c r="H1577" s="1">
        <v>53687</v>
      </c>
      <c r="I1577" s="1">
        <v>7516.3397879148924</v>
      </c>
      <c r="J1577" s="1">
        <v>61203.339787914891</v>
      </c>
    </row>
    <row r="1578" spans="1:10" x14ac:dyDescent="0.2">
      <c r="B1578">
        <v>2016</v>
      </c>
      <c r="C1578" t="s">
        <v>6</v>
      </c>
      <c r="D1578" t="s">
        <v>7</v>
      </c>
      <c r="E1578" t="s">
        <v>8</v>
      </c>
      <c r="F1578" s="29">
        <v>5178</v>
      </c>
      <c r="G1578" s="3" t="s">
        <v>25</v>
      </c>
      <c r="H1578" s="1">
        <v>11645</v>
      </c>
      <c r="I1578" s="26">
        <v>30758.549271663294</v>
      </c>
      <c r="J1578" s="26">
        <v>42403.549271663294</v>
      </c>
    </row>
    <row r="1579" spans="1:10" x14ac:dyDescent="0.2">
      <c r="B1579">
        <v>2017</v>
      </c>
      <c r="C1579" t="s">
        <v>6</v>
      </c>
      <c r="D1579" t="s">
        <v>7</v>
      </c>
      <c r="E1579" t="s">
        <v>8</v>
      </c>
      <c r="F1579" s="29">
        <v>5178</v>
      </c>
      <c r="G1579" s="3" t="s">
        <v>25</v>
      </c>
      <c r="H1579" s="1">
        <v>28497</v>
      </c>
      <c r="I1579" s="1">
        <v>4447.1176017175294</v>
      </c>
      <c r="J1579" s="1">
        <v>32944.117601717531</v>
      </c>
    </row>
    <row r="1580" spans="1:10" x14ac:dyDescent="0.2">
      <c r="B1580">
        <v>2018</v>
      </c>
      <c r="C1580" t="s">
        <v>6</v>
      </c>
      <c r="D1580" t="s">
        <v>7</v>
      </c>
      <c r="E1580" t="s">
        <v>8</v>
      </c>
      <c r="F1580" s="28">
        <v>5178</v>
      </c>
      <c r="G1580" t="s">
        <v>25</v>
      </c>
      <c r="H1580" s="1">
        <v>35498</v>
      </c>
      <c r="I1580" s="1">
        <v>5367.9843921982701</v>
      </c>
      <c r="J1580" s="1">
        <v>40865.984392198268</v>
      </c>
    </row>
    <row r="1581" spans="1:10" x14ac:dyDescent="0.2">
      <c r="B1581">
        <v>2019</v>
      </c>
      <c r="C1581" t="s">
        <v>6</v>
      </c>
      <c r="D1581" t="s">
        <v>7</v>
      </c>
      <c r="E1581" t="s">
        <v>8</v>
      </c>
      <c r="F1581" s="28">
        <v>5178</v>
      </c>
      <c r="G1581" t="s">
        <v>25</v>
      </c>
      <c r="H1581" s="1">
        <v>35251</v>
      </c>
      <c r="I1581" s="1">
        <v>5368.6505190618946</v>
      </c>
      <c r="J1581" s="1">
        <v>40619.650519061892</v>
      </c>
    </row>
    <row r="1582" spans="1:10" x14ac:dyDescent="0.2">
      <c r="B1582">
        <v>2020</v>
      </c>
      <c r="C1582" t="s">
        <v>6</v>
      </c>
      <c r="D1582" t="s">
        <v>7</v>
      </c>
      <c r="E1582" t="s">
        <v>8</v>
      </c>
      <c r="F1582" s="28">
        <v>5178</v>
      </c>
      <c r="G1582" t="s">
        <v>25</v>
      </c>
      <c r="H1582" s="1">
        <v>36626</v>
      </c>
      <c r="I1582" s="1">
        <v>5540.9579988693677</v>
      </c>
      <c r="J1582" s="1">
        <v>42166.957998869366</v>
      </c>
    </row>
    <row r="1583" spans="1:10" x14ac:dyDescent="0.2">
      <c r="B1583">
        <v>2021</v>
      </c>
      <c r="C1583" t="s">
        <v>6</v>
      </c>
      <c r="D1583" t="s">
        <v>7</v>
      </c>
      <c r="E1583" t="s">
        <v>8</v>
      </c>
      <c r="F1583" s="28">
        <v>5178</v>
      </c>
      <c r="G1583" t="s">
        <v>25</v>
      </c>
      <c r="H1583" s="25">
        <v>24651</v>
      </c>
      <c r="I1583" s="1">
        <v>3680.2247182491333</v>
      </c>
      <c r="J1583" s="1">
        <v>28331.224718249134</v>
      </c>
    </row>
    <row r="1584" spans="1:10" x14ac:dyDescent="0.2">
      <c r="B1584">
        <v>2022</v>
      </c>
      <c r="C1584" t="s">
        <v>6</v>
      </c>
      <c r="D1584" t="s">
        <v>7</v>
      </c>
      <c r="E1584" t="s">
        <v>8</v>
      </c>
      <c r="F1584" s="28">
        <v>5178</v>
      </c>
      <c r="G1584" t="s">
        <v>25</v>
      </c>
      <c r="H1584" s="1">
        <v>89550</v>
      </c>
      <c r="I1584" s="1">
        <v>12161.387369974256</v>
      </c>
      <c r="J1584" s="1">
        <v>101711.38736997425</v>
      </c>
    </row>
    <row r="1585" spans="2:10" x14ac:dyDescent="0.2">
      <c r="B1585">
        <v>2023</v>
      </c>
      <c r="C1585" t="s">
        <v>6</v>
      </c>
      <c r="D1585" t="s">
        <v>7</v>
      </c>
      <c r="E1585" t="s">
        <v>8</v>
      </c>
      <c r="F1585" s="28">
        <v>5178</v>
      </c>
      <c r="G1585" s="10" t="s">
        <v>25</v>
      </c>
      <c r="H1585" s="1">
        <v>34063</v>
      </c>
      <c r="I1585" s="1">
        <v>4768.9213812607331</v>
      </c>
      <c r="J1585" s="1">
        <v>38831.921381260734</v>
      </c>
    </row>
    <row r="1586" spans="2:10" x14ac:dyDescent="0.2">
      <c r="B1586">
        <v>2016</v>
      </c>
      <c r="C1586" t="s">
        <v>6</v>
      </c>
      <c r="D1586" t="s">
        <v>7</v>
      </c>
      <c r="E1586" t="s">
        <v>8</v>
      </c>
      <c r="F1586" s="29">
        <v>5179</v>
      </c>
      <c r="G1586" s="3" t="s">
        <v>26</v>
      </c>
      <c r="H1586" s="1">
        <v>23521</v>
      </c>
      <c r="I1586" s="26">
        <v>62122.224866993194</v>
      </c>
      <c r="J1586" s="26">
        <v>85643.224866993187</v>
      </c>
    </row>
    <row r="1587" spans="2:10" x14ac:dyDescent="0.2">
      <c r="B1587">
        <v>2017</v>
      </c>
      <c r="C1587" t="s">
        <v>6</v>
      </c>
      <c r="D1587" t="s">
        <v>7</v>
      </c>
      <c r="E1587" t="s">
        <v>8</v>
      </c>
      <c r="F1587" s="29">
        <v>5179</v>
      </c>
      <c r="G1587" s="3" t="s">
        <v>26</v>
      </c>
      <c r="H1587" s="1">
        <v>15099</v>
      </c>
      <c r="I1587" s="1">
        <v>2356.284123533459</v>
      </c>
      <c r="J1587" s="1">
        <v>17455.28412353346</v>
      </c>
    </row>
    <row r="1588" spans="2:10" x14ac:dyDescent="0.2">
      <c r="B1588">
        <v>2018</v>
      </c>
      <c r="C1588" t="s">
        <v>6</v>
      </c>
      <c r="D1588" t="s">
        <v>7</v>
      </c>
      <c r="E1588" t="s">
        <v>8</v>
      </c>
      <c r="F1588" s="28">
        <v>5179</v>
      </c>
      <c r="G1588" t="s">
        <v>26</v>
      </c>
      <c r="H1588" s="1">
        <v>15315</v>
      </c>
      <c r="I1588" s="1">
        <v>2315.9243046514316</v>
      </c>
      <c r="J1588" s="1">
        <v>17630.924304651431</v>
      </c>
    </row>
    <row r="1589" spans="2:10" x14ac:dyDescent="0.2">
      <c r="B1589">
        <v>2019</v>
      </c>
      <c r="C1589" t="s">
        <v>6</v>
      </c>
      <c r="D1589" t="s">
        <v>7</v>
      </c>
      <c r="E1589" t="s">
        <v>8</v>
      </c>
      <c r="F1589" s="28">
        <v>5179</v>
      </c>
      <c r="G1589" t="s">
        <v>26</v>
      </c>
      <c r="H1589" s="1">
        <v>29838</v>
      </c>
      <c r="I1589" s="1">
        <v>4544.2624092300584</v>
      </c>
      <c r="J1589" s="1">
        <v>34382.262409230061</v>
      </c>
    </row>
    <row r="1590" spans="2:10" x14ac:dyDescent="0.2">
      <c r="B1590">
        <v>2020</v>
      </c>
      <c r="C1590" t="s">
        <v>6</v>
      </c>
      <c r="D1590" t="s">
        <v>7</v>
      </c>
      <c r="E1590" t="s">
        <v>8</v>
      </c>
      <c r="F1590" s="28">
        <v>5179</v>
      </c>
      <c r="G1590" t="s">
        <v>26</v>
      </c>
      <c r="H1590" s="1">
        <v>23173</v>
      </c>
      <c r="I1590" s="1">
        <v>3505.7232487249462</v>
      </c>
      <c r="J1590" s="1">
        <v>26678.723248724946</v>
      </c>
    </row>
    <row r="1591" spans="2:10" x14ac:dyDescent="0.2">
      <c r="B1591">
        <v>2021</v>
      </c>
      <c r="C1591" t="s">
        <v>6</v>
      </c>
      <c r="D1591" t="s">
        <v>7</v>
      </c>
      <c r="E1591" t="s">
        <v>8</v>
      </c>
      <c r="F1591" s="28">
        <v>5179</v>
      </c>
      <c r="G1591" t="s">
        <v>26</v>
      </c>
      <c r="H1591" s="25">
        <v>17491</v>
      </c>
      <c r="I1591" s="1">
        <v>2611.285974073895</v>
      </c>
      <c r="J1591" s="1">
        <v>20102.285974073893</v>
      </c>
    </row>
    <row r="1592" spans="2:10" x14ac:dyDescent="0.2">
      <c r="B1592">
        <v>2022</v>
      </c>
      <c r="C1592" t="s">
        <v>6</v>
      </c>
      <c r="D1592" t="s">
        <v>7</v>
      </c>
      <c r="E1592" t="s">
        <v>8</v>
      </c>
      <c r="F1592" s="28">
        <v>5179</v>
      </c>
      <c r="G1592" t="s">
        <v>26</v>
      </c>
      <c r="H1592" s="1">
        <v>72087</v>
      </c>
      <c r="I1592" s="1">
        <v>9789.8149786637005</v>
      </c>
      <c r="J1592" s="1">
        <v>81876.814978663693</v>
      </c>
    </row>
    <row r="1593" spans="2:10" x14ac:dyDescent="0.2">
      <c r="B1593">
        <v>2023</v>
      </c>
      <c r="C1593" t="s">
        <v>6</v>
      </c>
      <c r="D1593" t="s">
        <v>7</v>
      </c>
      <c r="E1593" t="s">
        <v>8</v>
      </c>
      <c r="F1593" s="28">
        <v>5179</v>
      </c>
      <c r="G1593" s="10" t="s">
        <v>26</v>
      </c>
      <c r="H1593" s="1">
        <v>28259</v>
      </c>
      <c r="I1593" s="1">
        <v>3956.3441068915554</v>
      </c>
      <c r="J1593" s="1">
        <v>32215.344106891556</v>
      </c>
    </row>
    <row r="1594" spans="2:10" x14ac:dyDescent="0.2">
      <c r="B1594">
        <v>2016</v>
      </c>
      <c r="C1594" t="s">
        <v>6</v>
      </c>
      <c r="D1594" t="s">
        <v>7</v>
      </c>
      <c r="E1594" t="s">
        <v>8</v>
      </c>
      <c r="F1594" s="29">
        <v>5180</v>
      </c>
      <c r="G1594" s="3" t="s">
        <v>27</v>
      </c>
      <c r="H1594" s="1">
        <v>1850</v>
      </c>
      <c r="I1594" s="26">
        <v>4887.7169771192057</v>
      </c>
      <c r="J1594" s="26">
        <v>6737.7169771192057</v>
      </c>
    </row>
    <row r="1595" spans="2:10" x14ac:dyDescent="0.2">
      <c r="B1595">
        <v>2017</v>
      </c>
      <c r="C1595" t="s">
        <v>6</v>
      </c>
      <c r="D1595" t="s">
        <v>7</v>
      </c>
      <c r="E1595" t="s">
        <v>8</v>
      </c>
      <c r="F1595" s="29">
        <v>5180</v>
      </c>
      <c r="G1595" s="3" t="s">
        <v>27</v>
      </c>
      <c r="H1595" s="1">
        <v>10858</v>
      </c>
      <c r="I1595" s="1">
        <v>1694.452150031545</v>
      </c>
      <c r="J1595" s="1">
        <v>12552.452150031546</v>
      </c>
    </row>
    <row r="1596" spans="2:10" x14ac:dyDescent="0.2">
      <c r="B1596">
        <v>2018</v>
      </c>
      <c r="C1596" t="s">
        <v>6</v>
      </c>
      <c r="D1596" t="s">
        <v>7</v>
      </c>
      <c r="E1596" t="s">
        <v>8</v>
      </c>
      <c r="F1596" s="28">
        <v>5180</v>
      </c>
      <c r="G1596" t="s">
        <v>27</v>
      </c>
      <c r="H1596" s="1">
        <v>9929</v>
      </c>
      <c r="I1596" s="1">
        <v>1501.4568998291911</v>
      </c>
      <c r="J1596" s="1">
        <v>11430.456899829191</v>
      </c>
    </row>
    <row r="1597" spans="2:10" x14ac:dyDescent="0.2">
      <c r="B1597">
        <v>2019</v>
      </c>
      <c r="C1597" t="s">
        <v>6</v>
      </c>
      <c r="D1597" t="s">
        <v>7</v>
      </c>
      <c r="E1597" t="s">
        <v>8</v>
      </c>
      <c r="F1597" s="28">
        <v>5180</v>
      </c>
      <c r="G1597" t="s">
        <v>27</v>
      </c>
      <c r="H1597" s="1">
        <v>7544</v>
      </c>
      <c r="I1597" s="1">
        <v>1148.9347682563027</v>
      </c>
      <c r="J1597" s="1">
        <v>8692.934768256302</v>
      </c>
    </row>
    <row r="1598" spans="2:10" x14ac:dyDescent="0.2">
      <c r="B1598">
        <v>2020</v>
      </c>
      <c r="C1598" t="s">
        <v>6</v>
      </c>
      <c r="D1598" t="s">
        <v>7</v>
      </c>
      <c r="E1598" t="s">
        <v>8</v>
      </c>
      <c r="F1598" s="28">
        <v>5180</v>
      </c>
      <c r="G1598" t="s">
        <v>27</v>
      </c>
      <c r="H1598" s="1">
        <v>3329</v>
      </c>
      <c r="I1598" s="1">
        <v>503.62718228133372</v>
      </c>
      <c r="J1598" s="1">
        <v>3832.6271822813337</v>
      </c>
    </row>
    <row r="1599" spans="2:10" x14ac:dyDescent="0.2">
      <c r="B1599">
        <v>2021</v>
      </c>
      <c r="C1599" t="s">
        <v>6</v>
      </c>
      <c r="D1599" t="s">
        <v>7</v>
      </c>
      <c r="E1599" t="s">
        <v>8</v>
      </c>
      <c r="F1599" s="28">
        <v>5180</v>
      </c>
      <c r="G1599" t="s">
        <v>27</v>
      </c>
      <c r="H1599" s="25">
        <v>3285</v>
      </c>
      <c r="I1599" s="1">
        <v>490.42790148263367</v>
      </c>
      <c r="J1599" s="1">
        <v>3775.4279014826338</v>
      </c>
    </row>
    <row r="1600" spans="2:10" x14ac:dyDescent="0.2">
      <c r="B1600">
        <v>2022</v>
      </c>
      <c r="C1600" t="s">
        <v>6</v>
      </c>
      <c r="D1600" t="s">
        <v>7</v>
      </c>
      <c r="E1600" t="s">
        <v>8</v>
      </c>
      <c r="F1600" s="28">
        <v>5180</v>
      </c>
      <c r="G1600" t="s">
        <v>27</v>
      </c>
      <c r="H1600" s="1">
        <v>3265</v>
      </c>
      <c r="I1600" s="1">
        <v>443.40513414814012</v>
      </c>
      <c r="J1600" s="1">
        <v>3708.40513414814</v>
      </c>
    </row>
    <row r="1601" spans="1:10" x14ac:dyDescent="0.2">
      <c r="B1601">
        <v>2023</v>
      </c>
      <c r="C1601" t="s">
        <v>6</v>
      </c>
      <c r="D1601" t="s">
        <v>7</v>
      </c>
      <c r="E1601" t="s">
        <v>8</v>
      </c>
      <c r="F1601" s="28">
        <v>5180</v>
      </c>
      <c r="G1601" s="10" t="s">
        <v>27</v>
      </c>
      <c r="H1601" s="1">
        <v>3900</v>
      </c>
      <c r="I1601" s="1">
        <v>546.01160751891678</v>
      </c>
      <c r="J1601" s="1">
        <v>4446.0116075189171</v>
      </c>
    </row>
    <row r="1602" spans="1:10" x14ac:dyDescent="0.2">
      <c r="A1602">
        <v>2012000</v>
      </c>
      <c r="B1602">
        <v>2015</v>
      </c>
      <c r="C1602" t="s">
        <v>6</v>
      </c>
      <c r="D1602" t="s">
        <v>7</v>
      </c>
      <c r="E1602" t="s">
        <v>8</v>
      </c>
      <c r="F1602" s="29">
        <v>5185</v>
      </c>
      <c r="G1602" s="3" t="s">
        <v>219</v>
      </c>
      <c r="H1602" s="27">
        <v>13351573</v>
      </c>
      <c r="I1602" s="1">
        <v>2150591.8256793991</v>
      </c>
      <c r="J1602" s="1">
        <v>15502164.825679399</v>
      </c>
    </row>
    <row r="1603" spans="1:10" x14ac:dyDescent="0.2">
      <c r="A1603">
        <v>2012000</v>
      </c>
      <c r="B1603">
        <v>2016</v>
      </c>
      <c r="C1603" t="s">
        <v>6</v>
      </c>
      <c r="D1603" t="s">
        <v>7</v>
      </c>
      <c r="E1603" t="s">
        <v>8</v>
      </c>
      <c r="F1603" s="29">
        <v>5185</v>
      </c>
      <c r="G1603" s="3" t="s">
        <v>219</v>
      </c>
      <c r="H1603" s="1">
        <v>14836864</v>
      </c>
      <c r="I1603" s="26">
        <v>39185494.345982574</v>
      </c>
      <c r="J1603" s="26">
        <v>54022358.345982574</v>
      </c>
    </row>
    <row r="1604" spans="1:10" x14ac:dyDescent="0.2">
      <c r="A1604">
        <v>2012000</v>
      </c>
      <c r="B1604">
        <v>2017</v>
      </c>
      <c r="C1604" t="s">
        <v>6</v>
      </c>
      <c r="D1604" t="s">
        <v>7</v>
      </c>
      <c r="E1604" t="s">
        <v>8</v>
      </c>
      <c r="F1604" s="29">
        <v>5185</v>
      </c>
      <c r="G1604" s="3" t="s">
        <v>219</v>
      </c>
      <c r="H1604" s="1">
        <v>15560230</v>
      </c>
      <c r="I1604" s="1">
        <v>2428261.6668341635</v>
      </c>
      <c r="J1604" s="1">
        <v>17988491.666834164</v>
      </c>
    </row>
    <row r="1605" spans="1:10" x14ac:dyDescent="0.2">
      <c r="A1605">
        <v>2012000</v>
      </c>
      <c r="B1605">
        <v>2018</v>
      </c>
      <c r="C1605" t="s">
        <v>6</v>
      </c>
      <c r="D1605" t="s">
        <v>7</v>
      </c>
      <c r="E1605" t="s">
        <v>8</v>
      </c>
      <c r="F1605" s="28">
        <v>5185</v>
      </c>
      <c r="G1605" t="s">
        <v>219</v>
      </c>
      <c r="H1605" s="1">
        <v>18383425</v>
      </c>
      <c r="I1605" s="1">
        <v>2779929.5305410866</v>
      </c>
      <c r="J1605" s="1">
        <v>21163354.530541085</v>
      </c>
    </row>
    <row r="1606" spans="1:10" x14ac:dyDescent="0.2">
      <c r="A1606">
        <v>2012000</v>
      </c>
      <c r="B1606">
        <v>2019</v>
      </c>
      <c r="C1606" t="s">
        <v>6</v>
      </c>
      <c r="D1606" t="s">
        <v>7</v>
      </c>
      <c r="E1606" t="s">
        <v>8</v>
      </c>
      <c r="F1606" s="28">
        <v>5185</v>
      </c>
      <c r="G1606" t="s">
        <v>219</v>
      </c>
      <c r="H1606" s="1">
        <v>21067990</v>
      </c>
      <c r="I1606" s="1">
        <v>3208608.9883717</v>
      </c>
      <c r="J1606" s="1">
        <v>24276598.9883717</v>
      </c>
    </row>
    <row r="1607" spans="1:10" x14ac:dyDescent="0.2">
      <c r="A1607">
        <v>2012000</v>
      </c>
      <c r="B1607">
        <v>2020</v>
      </c>
      <c r="C1607" t="s">
        <v>6</v>
      </c>
      <c r="D1607" t="s">
        <v>7</v>
      </c>
      <c r="E1607" t="s">
        <v>8</v>
      </c>
      <c r="F1607" s="28">
        <v>5185</v>
      </c>
      <c r="G1607" t="s">
        <v>219</v>
      </c>
      <c r="H1607" s="1">
        <v>23087976</v>
      </c>
      <c r="I1607" s="1">
        <v>3492860.4077678155</v>
      </c>
      <c r="J1607" s="1">
        <v>26580836.407767817</v>
      </c>
    </row>
    <row r="1608" spans="1:10" x14ac:dyDescent="0.2">
      <c r="A1608">
        <v>2012000</v>
      </c>
      <c r="B1608">
        <v>2021</v>
      </c>
      <c r="C1608" t="s">
        <v>6</v>
      </c>
      <c r="D1608" t="s">
        <v>7</v>
      </c>
      <c r="E1608" t="s">
        <v>8</v>
      </c>
      <c r="F1608" s="28">
        <v>5185</v>
      </c>
      <c r="G1608" t="s">
        <v>219</v>
      </c>
      <c r="H1608" s="25">
        <v>22341062</v>
      </c>
      <c r="I1608" s="1">
        <v>3335366.8656174764</v>
      </c>
      <c r="J1608" s="1">
        <v>25676428.865617476</v>
      </c>
    </row>
    <row r="1609" spans="1:10" x14ac:dyDescent="0.2">
      <c r="A1609">
        <v>2012000</v>
      </c>
      <c r="B1609">
        <v>2022</v>
      </c>
      <c r="C1609" t="s">
        <v>6</v>
      </c>
      <c r="D1609" t="s">
        <v>7</v>
      </c>
      <c r="E1609" t="s">
        <v>8</v>
      </c>
      <c r="F1609" s="28">
        <v>5185</v>
      </c>
      <c r="G1609" t="s">
        <v>219</v>
      </c>
      <c r="H1609" s="1">
        <v>21840362</v>
      </c>
      <c r="I1609" s="1">
        <v>2966042.4632324479</v>
      </c>
      <c r="J1609" s="1">
        <v>24806404.463232446</v>
      </c>
    </row>
    <row r="1610" spans="1:10" x14ac:dyDescent="0.2">
      <c r="A1610">
        <v>2012000</v>
      </c>
      <c r="B1610">
        <v>2023</v>
      </c>
      <c r="C1610" t="s">
        <v>6</v>
      </c>
      <c r="D1610" t="s">
        <v>7</v>
      </c>
      <c r="E1610" t="s">
        <v>8</v>
      </c>
      <c r="F1610" s="28">
        <v>5185</v>
      </c>
      <c r="G1610" s="10" t="s">
        <v>219</v>
      </c>
      <c r="H1610" s="1">
        <v>21976456</v>
      </c>
      <c r="I1610" s="1">
        <v>3076769.2482381393</v>
      </c>
      <c r="J1610" s="1">
        <v>25053225.248238139</v>
      </c>
    </row>
    <row r="1611" spans="1:10" x14ac:dyDescent="0.2">
      <c r="A1611">
        <v>2000007</v>
      </c>
      <c r="B1611">
        <v>2015</v>
      </c>
      <c r="C1611" t="s">
        <v>6</v>
      </c>
      <c r="D1611" t="s">
        <v>7</v>
      </c>
      <c r="E1611" t="s">
        <v>8</v>
      </c>
      <c r="F1611" s="29">
        <v>5186</v>
      </c>
      <c r="G1611" s="3" t="s">
        <v>220</v>
      </c>
      <c r="H1611" s="27">
        <v>232040</v>
      </c>
      <c r="I1611" s="1">
        <v>37375.62062767044</v>
      </c>
      <c r="J1611" s="1">
        <v>269415.62062767043</v>
      </c>
    </row>
    <row r="1612" spans="1:10" x14ac:dyDescent="0.2">
      <c r="A1612">
        <v>2000007</v>
      </c>
      <c r="B1612">
        <v>2016</v>
      </c>
      <c r="C1612" t="s">
        <v>6</v>
      </c>
      <c r="D1612" t="s">
        <v>7</v>
      </c>
      <c r="E1612" t="s">
        <v>8</v>
      </c>
      <c r="F1612" s="29">
        <v>5186</v>
      </c>
      <c r="G1612" s="3" t="s">
        <v>220</v>
      </c>
      <c r="H1612" s="1">
        <v>263973</v>
      </c>
      <c r="I1612" s="26">
        <v>697181.46143839927</v>
      </c>
      <c r="J1612" s="26">
        <v>961154.46143839927</v>
      </c>
    </row>
    <row r="1613" spans="1:10" x14ac:dyDescent="0.2">
      <c r="A1613">
        <v>2000007</v>
      </c>
      <c r="B1613">
        <v>2017</v>
      </c>
      <c r="C1613" t="s">
        <v>6</v>
      </c>
      <c r="D1613" t="s">
        <v>7</v>
      </c>
      <c r="E1613" t="s">
        <v>8</v>
      </c>
      <c r="F1613" s="29">
        <v>5186</v>
      </c>
      <c r="G1613" s="3" t="s">
        <v>220</v>
      </c>
      <c r="H1613" s="1">
        <v>291953</v>
      </c>
      <c r="I1613" s="1">
        <v>45560.912558312732</v>
      </c>
      <c r="J1613" s="1">
        <v>337513.91255831276</v>
      </c>
    </row>
    <row r="1614" spans="1:10" x14ac:dyDescent="0.2">
      <c r="A1614">
        <v>2000007</v>
      </c>
      <c r="B1614">
        <v>2018</v>
      </c>
      <c r="C1614" t="s">
        <v>6</v>
      </c>
      <c r="D1614" t="s">
        <v>7</v>
      </c>
      <c r="E1614" t="s">
        <v>8</v>
      </c>
      <c r="F1614" s="28">
        <v>5186</v>
      </c>
      <c r="G1614" t="s">
        <v>220</v>
      </c>
      <c r="H1614" s="1">
        <v>353984</v>
      </c>
      <c r="I1614" s="1">
        <v>53529.229452023006</v>
      </c>
      <c r="J1614" s="1">
        <v>407513.22945202299</v>
      </c>
    </row>
    <row r="1615" spans="1:10" x14ac:dyDescent="0.2">
      <c r="A1615">
        <v>2000007</v>
      </c>
      <c r="B1615">
        <v>2019</v>
      </c>
      <c r="C1615" t="s">
        <v>6</v>
      </c>
      <c r="D1615" t="s">
        <v>7</v>
      </c>
      <c r="E1615" t="s">
        <v>8</v>
      </c>
      <c r="F1615" s="28">
        <v>5186</v>
      </c>
      <c r="G1615" t="s">
        <v>220</v>
      </c>
      <c r="H1615" s="1">
        <v>369454</v>
      </c>
      <c r="I1615" s="1">
        <v>56267.039484539251</v>
      </c>
      <c r="J1615" s="1">
        <v>425721.03948453924</v>
      </c>
    </row>
    <row r="1616" spans="1:10" x14ac:dyDescent="0.2">
      <c r="A1616">
        <v>2000007</v>
      </c>
      <c r="B1616">
        <v>2020</v>
      </c>
      <c r="C1616" t="s">
        <v>6</v>
      </c>
      <c r="D1616" t="s">
        <v>7</v>
      </c>
      <c r="E1616" t="s">
        <v>8</v>
      </c>
      <c r="F1616" s="28">
        <v>5186</v>
      </c>
      <c r="G1616" t="s">
        <v>220</v>
      </c>
      <c r="H1616" s="1">
        <v>429128</v>
      </c>
      <c r="I1616" s="1">
        <v>64920.554364080555</v>
      </c>
      <c r="J1616" s="1">
        <v>494048.55436408054</v>
      </c>
    </row>
    <row r="1617" spans="1:10" x14ac:dyDescent="0.2">
      <c r="A1617">
        <v>2000007</v>
      </c>
      <c r="B1617">
        <v>2021</v>
      </c>
      <c r="C1617" t="s">
        <v>6</v>
      </c>
      <c r="D1617" t="s">
        <v>7</v>
      </c>
      <c r="E1617" t="s">
        <v>8</v>
      </c>
      <c r="F1617" s="28">
        <v>5186</v>
      </c>
      <c r="G1617" t="s">
        <v>220</v>
      </c>
      <c r="H1617" s="25">
        <v>426817</v>
      </c>
      <c r="I1617" s="1">
        <v>63720.84189562047</v>
      </c>
      <c r="J1617" s="1">
        <v>490537.84189562046</v>
      </c>
    </row>
    <row r="1618" spans="1:10" x14ac:dyDescent="0.2">
      <c r="A1618">
        <v>2000007</v>
      </c>
      <c r="B1618">
        <v>2022</v>
      </c>
      <c r="C1618" t="s">
        <v>6</v>
      </c>
      <c r="D1618" t="s">
        <v>7</v>
      </c>
      <c r="E1618" t="s">
        <v>8</v>
      </c>
      <c r="F1618" s="28">
        <v>5186</v>
      </c>
      <c r="G1618" t="s">
        <v>220</v>
      </c>
      <c r="H1618" s="1">
        <v>404134</v>
      </c>
      <c r="I1618" s="1">
        <v>54883.641802090184</v>
      </c>
      <c r="J1618" s="1">
        <v>459017.64180209016</v>
      </c>
    </row>
    <row r="1619" spans="1:10" x14ac:dyDescent="0.2">
      <c r="A1619">
        <v>2000007</v>
      </c>
      <c r="B1619">
        <v>2023</v>
      </c>
      <c r="C1619" t="s">
        <v>6</v>
      </c>
      <c r="D1619" t="s">
        <v>7</v>
      </c>
      <c r="E1619" t="s">
        <v>8</v>
      </c>
      <c r="F1619" s="28">
        <v>5186</v>
      </c>
      <c r="G1619" s="10" t="s">
        <v>220</v>
      </c>
      <c r="H1619" s="1">
        <v>401351</v>
      </c>
      <c r="I1619" s="1">
        <v>56190.334535724287</v>
      </c>
      <c r="J1619" s="1">
        <v>457541.33453572431</v>
      </c>
    </row>
    <row r="1620" spans="1:10" x14ac:dyDescent="0.2">
      <c r="A1620">
        <v>2003960</v>
      </c>
      <c r="B1620">
        <v>2015</v>
      </c>
      <c r="C1620" t="s">
        <v>6</v>
      </c>
      <c r="D1620" t="s">
        <v>7</v>
      </c>
      <c r="E1620" t="s">
        <v>8</v>
      </c>
      <c r="F1620" s="29">
        <v>5187</v>
      </c>
      <c r="G1620" s="3" t="s">
        <v>221</v>
      </c>
      <c r="H1620" s="27">
        <v>335954</v>
      </c>
      <c r="I1620" s="1">
        <v>54113.46859312358</v>
      </c>
      <c r="J1620" s="1">
        <v>390067.4685931236</v>
      </c>
    </row>
    <row r="1621" spans="1:10" x14ac:dyDescent="0.2">
      <c r="A1621">
        <v>2003960</v>
      </c>
      <c r="B1621">
        <v>2016</v>
      </c>
      <c r="C1621" t="s">
        <v>6</v>
      </c>
      <c r="D1621" t="s">
        <v>7</v>
      </c>
      <c r="E1621" t="s">
        <v>8</v>
      </c>
      <c r="F1621" s="29">
        <v>5187</v>
      </c>
      <c r="G1621" s="3" t="s">
        <v>221</v>
      </c>
      <c r="H1621" s="1">
        <v>353825</v>
      </c>
      <c r="I1621" s="26">
        <v>934487.948847875</v>
      </c>
      <c r="J1621" s="26">
        <v>1288312.948847875</v>
      </c>
    </row>
    <row r="1622" spans="1:10" x14ac:dyDescent="0.2">
      <c r="A1622">
        <v>2003960</v>
      </c>
      <c r="B1622">
        <v>2017</v>
      </c>
      <c r="C1622" t="s">
        <v>6</v>
      </c>
      <c r="D1622" t="s">
        <v>7</v>
      </c>
      <c r="E1622" t="s">
        <v>8</v>
      </c>
      <c r="F1622" s="29">
        <v>5187</v>
      </c>
      <c r="G1622" s="3" t="s">
        <v>221</v>
      </c>
      <c r="H1622" s="1">
        <v>363124</v>
      </c>
      <c r="I1622" s="1">
        <v>56667.5485842747</v>
      </c>
      <c r="J1622" s="1">
        <v>419791.54858427471</v>
      </c>
    </row>
    <row r="1623" spans="1:10" x14ac:dyDescent="0.2">
      <c r="A1623">
        <v>2003960</v>
      </c>
      <c r="B1623">
        <v>2018</v>
      </c>
      <c r="C1623" t="s">
        <v>6</v>
      </c>
      <c r="D1623" t="s">
        <v>7</v>
      </c>
      <c r="E1623" t="s">
        <v>8</v>
      </c>
      <c r="F1623" s="28">
        <v>5187</v>
      </c>
      <c r="G1623" t="s">
        <v>221</v>
      </c>
      <c r="H1623" s="1">
        <v>426859</v>
      </c>
      <c r="I1623" s="1">
        <v>64549.339390088498</v>
      </c>
      <c r="J1623" s="1">
        <v>491408.33939008851</v>
      </c>
    </row>
    <row r="1624" spans="1:10" x14ac:dyDescent="0.2">
      <c r="A1624">
        <v>2003960</v>
      </c>
      <c r="B1624">
        <v>2019</v>
      </c>
      <c r="C1624" t="s">
        <v>6</v>
      </c>
      <c r="D1624" t="s">
        <v>7</v>
      </c>
      <c r="E1624" t="s">
        <v>8</v>
      </c>
      <c r="F1624" s="28">
        <v>5187</v>
      </c>
      <c r="G1624" t="s">
        <v>221</v>
      </c>
      <c r="H1624" s="1">
        <v>483746</v>
      </c>
      <c r="I1624" s="1">
        <v>73673.462142750985</v>
      </c>
      <c r="J1624" s="1">
        <v>557419.46214275097</v>
      </c>
    </row>
    <row r="1625" spans="1:10" x14ac:dyDescent="0.2">
      <c r="A1625">
        <v>2003960</v>
      </c>
      <c r="B1625">
        <v>2020</v>
      </c>
      <c r="C1625" t="s">
        <v>6</v>
      </c>
      <c r="D1625" t="s">
        <v>7</v>
      </c>
      <c r="E1625" t="s">
        <v>8</v>
      </c>
      <c r="F1625" s="28">
        <v>5187</v>
      </c>
      <c r="G1625" t="s">
        <v>221</v>
      </c>
      <c r="H1625" s="1">
        <v>547078</v>
      </c>
      <c r="I1625" s="1">
        <v>82764.599467740307</v>
      </c>
      <c r="J1625" s="1">
        <v>629842.59946774028</v>
      </c>
    </row>
    <row r="1626" spans="1:10" x14ac:dyDescent="0.2">
      <c r="A1626">
        <v>2003960</v>
      </c>
      <c r="B1626">
        <v>2021</v>
      </c>
      <c r="C1626" t="s">
        <v>6</v>
      </c>
      <c r="D1626" t="s">
        <v>7</v>
      </c>
      <c r="E1626" t="s">
        <v>8</v>
      </c>
      <c r="F1626" s="28">
        <v>5187</v>
      </c>
      <c r="G1626" t="s">
        <v>221</v>
      </c>
      <c r="H1626" s="25">
        <v>553940</v>
      </c>
      <c r="I1626" s="1">
        <v>82699.431277713884</v>
      </c>
      <c r="J1626" s="1">
        <v>636639.43127771385</v>
      </c>
    </row>
    <row r="1627" spans="1:10" x14ac:dyDescent="0.2">
      <c r="A1627">
        <v>2003960</v>
      </c>
      <c r="B1627">
        <v>2022</v>
      </c>
      <c r="C1627" t="s">
        <v>6</v>
      </c>
      <c r="D1627" t="s">
        <v>7</v>
      </c>
      <c r="E1627" t="s">
        <v>8</v>
      </c>
      <c r="F1627" s="28">
        <v>5187</v>
      </c>
      <c r="G1627" t="s">
        <v>221</v>
      </c>
      <c r="H1627" s="1">
        <v>527668</v>
      </c>
      <c r="I1627" s="1">
        <v>71660.245122720007</v>
      </c>
      <c r="J1627" s="1">
        <v>599328.24512272002</v>
      </c>
    </row>
    <row r="1628" spans="1:10" x14ac:dyDescent="0.2">
      <c r="A1628">
        <v>2003960</v>
      </c>
      <c r="B1628">
        <v>2023</v>
      </c>
      <c r="C1628" t="s">
        <v>6</v>
      </c>
      <c r="D1628" t="s">
        <v>7</v>
      </c>
      <c r="E1628" t="s">
        <v>8</v>
      </c>
      <c r="F1628" s="28">
        <v>5187</v>
      </c>
      <c r="G1628" s="10" t="s">
        <v>221</v>
      </c>
      <c r="H1628" s="1">
        <v>536570</v>
      </c>
      <c r="I1628" s="1">
        <v>75121.396986262858</v>
      </c>
      <c r="J1628" s="1">
        <v>611691.39698626287</v>
      </c>
    </row>
    <row r="1629" spans="1:10" x14ac:dyDescent="0.2">
      <c r="A1629">
        <v>2012060</v>
      </c>
      <c r="B1629">
        <v>2015</v>
      </c>
      <c r="C1629" t="s">
        <v>6</v>
      </c>
      <c r="D1629" t="s">
        <v>7</v>
      </c>
      <c r="E1629" t="s">
        <v>8</v>
      </c>
      <c r="F1629" s="29">
        <v>5188</v>
      </c>
      <c r="G1629" s="3" t="s">
        <v>222</v>
      </c>
      <c r="H1629" s="27">
        <v>176565</v>
      </c>
      <c r="I1629" s="1">
        <v>28440.038166370588</v>
      </c>
      <c r="J1629" s="1">
        <v>205005.03816637059</v>
      </c>
    </row>
    <row r="1630" spans="1:10" x14ac:dyDescent="0.2">
      <c r="A1630">
        <v>2012060</v>
      </c>
      <c r="B1630">
        <v>2016</v>
      </c>
      <c r="C1630" t="s">
        <v>6</v>
      </c>
      <c r="D1630" t="s">
        <v>7</v>
      </c>
      <c r="E1630" t="s">
        <v>8</v>
      </c>
      <c r="F1630" s="29">
        <v>5188</v>
      </c>
      <c r="G1630" s="3" t="s">
        <v>222</v>
      </c>
      <c r="H1630" s="1">
        <v>178380</v>
      </c>
      <c r="I1630" s="26">
        <v>471119.68113169598</v>
      </c>
      <c r="J1630" s="26">
        <v>649499.68113169598</v>
      </c>
    </row>
    <row r="1631" spans="1:10" x14ac:dyDescent="0.2">
      <c r="A1631">
        <v>2012060</v>
      </c>
      <c r="B1631">
        <v>2017</v>
      </c>
      <c r="C1631" t="s">
        <v>6</v>
      </c>
      <c r="D1631" t="s">
        <v>7</v>
      </c>
      <c r="E1631" t="s">
        <v>8</v>
      </c>
      <c r="F1631" s="29">
        <v>5188</v>
      </c>
      <c r="G1631" s="3" t="s">
        <v>222</v>
      </c>
      <c r="H1631" s="1">
        <v>192883</v>
      </c>
      <c r="I1631" s="1">
        <v>30100.480203954176</v>
      </c>
      <c r="J1631" s="1">
        <v>222983.48020395418</v>
      </c>
    </row>
    <row r="1632" spans="1:10" x14ac:dyDescent="0.2">
      <c r="A1632">
        <v>2012060</v>
      </c>
      <c r="B1632">
        <v>2018</v>
      </c>
      <c r="C1632" t="s">
        <v>6</v>
      </c>
      <c r="D1632" t="s">
        <v>7</v>
      </c>
      <c r="E1632" t="s">
        <v>8</v>
      </c>
      <c r="F1632" s="28">
        <v>5188</v>
      </c>
      <c r="G1632" t="s">
        <v>222</v>
      </c>
      <c r="H1632" s="1">
        <v>218062</v>
      </c>
      <c r="I1632" s="1">
        <v>32975.193321638944</v>
      </c>
      <c r="J1632" s="1">
        <v>251037.19332163894</v>
      </c>
    </row>
    <row r="1633" spans="1:10" x14ac:dyDescent="0.2">
      <c r="A1633">
        <v>2012060</v>
      </c>
      <c r="B1633">
        <v>2019</v>
      </c>
      <c r="C1633" t="s">
        <v>6</v>
      </c>
      <c r="D1633" t="s">
        <v>7</v>
      </c>
      <c r="E1633" t="s">
        <v>8</v>
      </c>
      <c r="F1633" s="28">
        <v>5188</v>
      </c>
      <c r="G1633" t="s">
        <v>222</v>
      </c>
      <c r="H1633" s="1">
        <v>264348</v>
      </c>
      <c r="I1633" s="1">
        <v>40259.624618109381</v>
      </c>
      <c r="J1633" s="1">
        <v>304607.62461810937</v>
      </c>
    </row>
    <row r="1634" spans="1:10" x14ac:dyDescent="0.2">
      <c r="A1634">
        <v>2012060</v>
      </c>
      <c r="B1634">
        <v>2020</v>
      </c>
      <c r="C1634" t="s">
        <v>6</v>
      </c>
      <c r="D1634" t="s">
        <v>7</v>
      </c>
      <c r="E1634" t="s">
        <v>8</v>
      </c>
      <c r="F1634" s="28">
        <v>5188</v>
      </c>
      <c r="G1634" t="s">
        <v>222</v>
      </c>
      <c r="H1634" s="1">
        <v>310583</v>
      </c>
      <c r="I1634" s="1">
        <v>46986.494789571479</v>
      </c>
      <c r="J1634" s="1">
        <v>357569.4947895715</v>
      </c>
    </row>
    <row r="1635" spans="1:10" x14ac:dyDescent="0.2">
      <c r="A1635">
        <v>2012060</v>
      </c>
      <c r="B1635">
        <v>2021</v>
      </c>
      <c r="C1635" t="s">
        <v>6</v>
      </c>
      <c r="D1635" t="s">
        <v>7</v>
      </c>
      <c r="E1635" t="s">
        <v>8</v>
      </c>
      <c r="F1635" s="28">
        <v>5188</v>
      </c>
      <c r="G1635" t="s">
        <v>222</v>
      </c>
      <c r="H1635" s="25">
        <v>319681</v>
      </c>
      <c r="I1635" s="1">
        <v>47726.174116855349</v>
      </c>
      <c r="J1635" s="1">
        <v>367407.17411685537</v>
      </c>
    </row>
    <row r="1636" spans="1:10" x14ac:dyDescent="0.2">
      <c r="A1636">
        <v>2012060</v>
      </c>
      <c r="B1636">
        <v>2022</v>
      </c>
      <c r="C1636" t="s">
        <v>6</v>
      </c>
      <c r="D1636" t="s">
        <v>7</v>
      </c>
      <c r="E1636" t="s">
        <v>8</v>
      </c>
      <c r="F1636" s="28">
        <v>5188</v>
      </c>
      <c r="G1636" t="s">
        <v>222</v>
      </c>
      <c r="H1636" s="1">
        <v>323951</v>
      </c>
      <c r="I1636" s="1">
        <v>43994.345057404025</v>
      </c>
      <c r="J1636" s="1">
        <v>367945.34505740402</v>
      </c>
    </row>
    <row r="1637" spans="1:10" x14ac:dyDescent="0.2">
      <c r="A1637">
        <v>2012060</v>
      </c>
      <c r="B1637">
        <v>2023</v>
      </c>
      <c r="C1637" t="s">
        <v>6</v>
      </c>
      <c r="D1637" t="s">
        <v>7</v>
      </c>
      <c r="E1637" t="s">
        <v>8</v>
      </c>
      <c r="F1637" s="28">
        <v>5188</v>
      </c>
      <c r="G1637" s="10" t="s">
        <v>222</v>
      </c>
      <c r="H1637" s="1">
        <v>313851</v>
      </c>
      <c r="I1637" s="1">
        <v>43940.074110620393</v>
      </c>
      <c r="J1637" s="1">
        <v>357791.07411062042</v>
      </c>
    </row>
    <row r="1638" spans="1:10" x14ac:dyDescent="0.2">
      <c r="A1638">
        <v>2006780</v>
      </c>
      <c r="B1638">
        <v>2015</v>
      </c>
      <c r="C1638" t="s">
        <v>6</v>
      </c>
      <c r="D1638" t="s">
        <v>7</v>
      </c>
      <c r="E1638" t="s">
        <v>8</v>
      </c>
      <c r="F1638" s="29">
        <v>5189</v>
      </c>
      <c r="G1638" s="3" t="s">
        <v>223</v>
      </c>
      <c r="H1638" s="27">
        <v>56140</v>
      </c>
      <c r="I1638" s="1">
        <v>9042.6966990062847</v>
      </c>
      <c r="J1638" s="1">
        <v>65182.696699006287</v>
      </c>
    </row>
    <row r="1639" spans="1:10" x14ac:dyDescent="0.2">
      <c r="A1639">
        <v>2006780</v>
      </c>
      <c r="B1639">
        <v>2016</v>
      </c>
      <c r="C1639" t="s">
        <v>6</v>
      </c>
      <c r="D1639" t="s">
        <v>7</v>
      </c>
      <c r="E1639" t="s">
        <v>8</v>
      </c>
      <c r="F1639" s="29">
        <v>5189</v>
      </c>
      <c r="G1639" s="3" t="s">
        <v>223</v>
      </c>
      <c r="H1639" s="1">
        <v>74216</v>
      </c>
      <c r="I1639" s="26">
        <v>196007.03943896882</v>
      </c>
      <c r="J1639" s="26">
        <v>270223.03943896882</v>
      </c>
    </row>
    <row r="1640" spans="1:10" x14ac:dyDescent="0.2">
      <c r="A1640">
        <v>2006780</v>
      </c>
      <c r="B1640">
        <v>2017</v>
      </c>
      <c r="C1640" t="s">
        <v>6</v>
      </c>
      <c r="D1640" t="s">
        <v>7</v>
      </c>
      <c r="E1640" t="s">
        <v>8</v>
      </c>
      <c r="F1640" s="29">
        <v>5189</v>
      </c>
      <c r="G1640" s="3" t="s">
        <v>223</v>
      </c>
      <c r="H1640" s="1">
        <v>83983</v>
      </c>
      <c r="I1640" s="1">
        <v>13106.02089851715</v>
      </c>
      <c r="J1640" s="1">
        <v>97089.020898517148</v>
      </c>
    </row>
    <row r="1641" spans="1:10" x14ac:dyDescent="0.2">
      <c r="A1641">
        <v>2006780</v>
      </c>
      <c r="B1641">
        <v>2018</v>
      </c>
      <c r="C1641" t="s">
        <v>6</v>
      </c>
      <c r="D1641" t="s">
        <v>7</v>
      </c>
      <c r="E1641" t="s">
        <v>8</v>
      </c>
      <c r="F1641" s="28">
        <v>5189</v>
      </c>
      <c r="G1641" t="s">
        <v>223</v>
      </c>
      <c r="H1641" s="1">
        <v>85175</v>
      </c>
      <c r="I1641" s="1">
        <v>12880.107910459397</v>
      </c>
      <c r="J1641" s="1">
        <v>98055.107910459395</v>
      </c>
    </row>
    <row r="1642" spans="1:10" x14ac:dyDescent="0.2">
      <c r="A1642">
        <v>2006780</v>
      </c>
      <c r="B1642">
        <v>2019</v>
      </c>
      <c r="C1642" t="s">
        <v>6</v>
      </c>
      <c r="D1642" t="s">
        <v>7</v>
      </c>
      <c r="E1642" t="s">
        <v>8</v>
      </c>
      <c r="F1642" s="28">
        <v>5189</v>
      </c>
      <c r="G1642" t="s">
        <v>223</v>
      </c>
      <c r="H1642" s="1">
        <v>97520</v>
      </c>
      <c r="I1642" s="1">
        <v>14852.083589654647</v>
      </c>
      <c r="J1642" s="1">
        <v>112372.08358965465</v>
      </c>
    </row>
    <row r="1643" spans="1:10" x14ac:dyDescent="0.2">
      <c r="A1643">
        <v>2006780</v>
      </c>
      <c r="B1643">
        <v>2020</v>
      </c>
      <c r="C1643" t="s">
        <v>6</v>
      </c>
      <c r="D1643" t="s">
        <v>7</v>
      </c>
      <c r="E1643" t="s">
        <v>8</v>
      </c>
      <c r="F1643" s="28">
        <v>5189</v>
      </c>
      <c r="G1643" t="s">
        <v>223</v>
      </c>
      <c r="H1643" s="1">
        <v>104234</v>
      </c>
      <c r="I1643" s="1">
        <v>15769.022444551678</v>
      </c>
      <c r="J1643" s="1">
        <v>120003.02244455168</v>
      </c>
    </row>
    <row r="1644" spans="1:10" x14ac:dyDescent="0.2">
      <c r="A1644">
        <v>2006780</v>
      </c>
      <c r="B1644">
        <v>2021</v>
      </c>
      <c r="C1644" t="s">
        <v>6</v>
      </c>
      <c r="D1644" t="s">
        <v>7</v>
      </c>
      <c r="E1644" t="s">
        <v>8</v>
      </c>
      <c r="F1644" s="28">
        <v>5189</v>
      </c>
      <c r="G1644" t="s">
        <v>223</v>
      </c>
      <c r="H1644" s="25">
        <v>107499</v>
      </c>
      <c r="I1644" s="1">
        <v>16048.861181577364</v>
      </c>
      <c r="J1644" s="1">
        <v>123547.86118157736</v>
      </c>
    </row>
    <row r="1645" spans="1:10" x14ac:dyDescent="0.2">
      <c r="A1645">
        <v>2006780</v>
      </c>
      <c r="B1645">
        <v>2022</v>
      </c>
      <c r="C1645" t="s">
        <v>6</v>
      </c>
      <c r="D1645" t="s">
        <v>7</v>
      </c>
      <c r="E1645" t="s">
        <v>8</v>
      </c>
      <c r="F1645" s="28">
        <v>5189</v>
      </c>
      <c r="G1645" t="s">
        <v>223</v>
      </c>
      <c r="H1645" s="1">
        <v>114346</v>
      </c>
      <c r="I1645" s="1">
        <v>15528.821889526258</v>
      </c>
      <c r="J1645" s="1">
        <v>129874.82188952625</v>
      </c>
    </row>
    <row r="1646" spans="1:10" x14ac:dyDescent="0.2">
      <c r="A1646">
        <v>2006780</v>
      </c>
      <c r="B1646">
        <v>2023</v>
      </c>
      <c r="C1646" t="s">
        <v>6</v>
      </c>
      <c r="D1646" t="s">
        <v>7</v>
      </c>
      <c r="E1646" t="s">
        <v>8</v>
      </c>
      <c r="F1646" s="28">
        <v>5189</v>
      </c>
      <c r="G1646" s="10" t="s">
        <v>223</v>
      </c>
      <c r="H1646" s="1">
        <v>113449</v>
      </c>
      <c r="I1646" s="1">
        <v>15883.197656772714</v>
      </c>
      <c r="J1646" s="1">
        <v>129332.19765677271</v>
      </c>
    </row>
    <row r="1647" spans="1:10" x14ac:dyDescent="0.2">
      <c r="A1647">
        <v>2011880</v>
      </c>
      <c r="B1647">
        <v>2015</v>
      </c>
      <c r="C1647" t="s">
        <v>6</v>
      </c>
      <c r="D1647" t="s">
        <v>7</v>
      </c>
      <c r="E1647" t="s">
        <v>8</v>
      </c>
      <c r="F1647" s="29">
        <v>5190</v>
      </c>
      <c r="G1647" s="3" t="s">
        <v>224</v>
      </c>
      <c r="H1647" s="27">
        <v>193941</v>
      </c>
      <c r="I1647" s="1">
        <v>31238.860714320948</v>
      </c>
      <c r="J1647" s="1">
        <v>225179.86071432094</v>
      </c>
    </row>
    <row r="1648" spans="1:10" x14ac:dyDescent="0.2">
      <c r="A1648">
        <v>2011880</v>
      </c>
      <c r="B1648">
        <v>2016</v>
      </c>
      <c r="C1648" t="s">
        <v>6</v>
      </c>
      <c r="D1648" t="s">
        <v>7</v>
      </c>
      <c r="E1648" t="s">
        <v>8</v>
      </c>
      <c r="F1648" s="29">
        <v>5190</v>
      </c>
      <c r="G1648" s="3" t="s">
        <v>224</v>
      </c>
      <c r="H1648" s="1">
        <v>208648</v>
      </c>
      <c r="I1648" s="26">
        <v>551053.36252613377</v>
      </c>
      <c r="J1648" s="26">
        <v>759701.36252613377</v>
      </c>
    </row>
    <row r="1649" spans="1:10" x14ac:dyDescent="0.2">
      <c r="A1649">
        <v>2011880</v>
      </c>
      <c r="B1649">
        <v>2017</v>
      </c>
      <c r="C1649" t="s">
        <v>6</v>
      </c>
      <c r="D1649" t="s">
        <v>7</v>
      </c>
      <c r="E1649" t="s">
        <v>8</v>
      </c>
      <c r="F1649" s="29">
        <v>5190</v>
      </c>
      <c r="G1649" s="3" t="s">
        <v>224</v>
      </c>
      <c r="H1649" s="1">
        <v>213909</v>
      </c>
      <c r="I1649" s="1">
        <v>33381.706111723863</v>
      </c>
      <c r="J1649" s="1">
        <v>247290.70611172385</v>
      </c>
    </row>
    <row r="1650" spans="1:10" x14ac:dyDescent="0.2">
      <c r="A1650">
        <v>2011880</v>
      </c>
      <c r="B1650">
        <v>2018</v>
      </c>
      <c r="C1650" t="s">
        <v>6</v>
      </c>
      <c r="D1650" t="s">
        <v>7</v>
      </c>
      <c r="E1650" t="s">
        <v>8</v>
      </c>
      <c r="F1650" s="28">
        <v>5190</v>
      </c>
      <c r="G1650" t="s">
        <v>224</v>
      </c>
      <c r="H1650" s="1">
        <v>246508</v>
      </c>
      <c r="I1650" s="1">
        <v>37276.77887633138</v>
      </c>
      <c r="J1650" s="1">
        <v>283784.7788763314</v>
      </c>
    </row>
    <row r="1651" spans="1:10" x14ac:dyDescent="0.2">
      <c r="A1651">
        <v>2011880</v>
      </c>
      <c r="B1651">
        <v>2019</v>
      </c>
      <c r="C1651" t="s">
        <v>6</v>
      </c>
      <c r="D1651" t="s">
        <v>7</v>
      </c>
      <c r="E1651" t="s">
        <v>8</v>
      </c>
      <c r="F1651" s="28">
        <v>5190</v>
      </c>
      <c r="G1651" t="s">
        <v>224</v>
      </c>
      <c r="H1651" s="1">
        <v>281688</v>
      </c>
      <c r="I1651" s="1">
        <v>42900.468849493831</v>
      </c>
      <c r="J1651" s="1">
        <v>324588.46884949383</v>
      </c>
    </row>
    <row r="1652" spans="1:10" x14ac:dyDescent="0.2">
      <c r="A1652">
        <v>2011880</v>
      </c>
      <c r="B1652">
        <v>2020</v>
      </c>
      <c r="C1652" t="s">
        <v>6</v>
      </c>
      <c r="D1652" t="s">
        <v>7</v>
      </c>
      <c r="E1652" t="s">
        <v>8</v>
      </c>
      <c r="F1652" s="28">
        <v>5190</v>
      </c>
      <c r="G1652" t="s">
        <v>224</v>
      </c>
      <c r="H1652" s="1">
        <v>326603</v>
      </c>
      <c r="I1652" s="1">
        <v>49410.077685380129</v>
      </c>
      <c r="J1652" s="1">
        <v>376013.07768538012</v>
      </c>
    </row>
    <row r="1653" spans="1:10" x14ac:dyDescent="0.2">
      <c r="A1653">
        <v>2011880</v>
      </c>
      <c r="B1653">
        <v>2021</v>
      </c>
      <c r="C1653" t="s">
        <v>6</v>
      </c>
      <c r="D1653" t="s">
        <v>7</v>
      </c>
      <c r="E1653" t="s">
        <v>8</v>
      </c>
      <c r="F1653" s="28">
        <v>5190</v>
      </c>
      <c r="G1653" t="s">
        <v>224</v>
      </c>
      <c r="H1653" s="25">
        <v>296872</v>
      </c>
      <c r="I1653" s="1">
        <v>44320.947326926158</v>
      </c>
      <c r="J1653" s="1">
        <v>341192.94732692617</v>
      </c>
    </row>
    <row r="1654" spans="1:10" x14ac:dyDescent="0.2">
      <c r="A1654">
        <v>2011880</v>
      </c>
      <c r="B1654">
        <v>2022</v>
      </c>
      <c r="C1654" t="s">
        <v>6</v>
      </c>
      <c r="D1654" t="s">
        <v>7</v>
      </c>
      <c r="E1654" t="s">
        <v>8</v>
      </c>
      <c r="F1654" s="28">
        <v>5190</v>
      </c>
      <c r="G1654" t="s">
        <v>224</v>
      </c>
      <c r="H1654" s="1">
        <v>290330</v>
      </c>
      <c r="I1654" s="1">
        <v>39428.426522888061</v>
      </c>
      <c r="J1654" s="1">
        <v>329758.42652288807</v>
      </c>
    </row>
    <row r="1655" spans="1:10" x14ac:dyDescent="0.2">
      <c r="A1655">
        <v>2011880</v>
      </c>
      <c r="B1655">
        <v>2023</v>
      </c>
      <c r="C1655" t="s">
        <v>6</v>
      </c>
      <c r="D1655" t="s">
        <v>7</v>
      </c>
      <c r="E1655" t="s">
        <v>8</v>
      </c>
      <c r="F1655" s="28">
        <v>5190</v>
      </c>
      <c r="G1655" s="10" t="s">
        <v>224</v>
      </c>
      <c r="H1655" s="1">
        <v>282399</v>
      </c>
      <c r="I1655" s="1">
        <v>39536.700500444756</v>
      </c>
      <c r="J1655" s="1">
        <v>321935.70050044474</v>
      </c>
    </row>
    <row r="1656" spans="1:10" x14ac:dyDescent="0.2">
      <c r="A1656">
        <v>2009990</v>
      </c>
      <c r="B1656">
        <v>2015</v>
      </c>
      <c r="C1656" t="s">
        <v>6</v>
      </c>
      <c r="D1656" t="s">
        <v>7</v>
      </c>
      <c r="E1656" t="s">
        <v>8</v>
      </c>
      <c r="F1656" s="29">
        <v>5191</v>
      </c>
      <c r="G1656" s="3" t="s">
        <v>225</v>
      </c>
      <c r="H1656" s="27">
        <v>669950</v>
      </c>
      <c r="I1656" s="1">
        <v>107911.55421266942</v>
      </c>
      <c r="J1656" s="1">
        <v>777861.55421266938</v>
      </c>
    </row>
    <row r="1657" spans="1:10" x14ac:dyDescent="0.2">
      <c r="A1657">
        <v>2009990</v>
      </c>
      <c r="B1657">
        <v>2016</v>
      </c>
      <c r="C1657" t="s">
        <v>6</v>
      </c>
      <c r="D1657" t="s">
        <v>7</v>
      </c>
      <c r="E1657" t="s">
        <v>8</v>
      </c>
      <c r="F1657" s="29">
        <v>5191</v>
      </c>
      <c r="G1657" s="3" t="s">
        <v>225</v>
      </c>
      <c r="H1657" s="1">
        <v>697011</v>
      </c>
      <c r="I1657" s="26">
        <v>1840871.285563465</v>
      </c>
      <c r="J1657" s="26">
        <v>2537882.2855634647</v>
      </c>
    </row>
    <row r="1658" spans="1:10" x14ac:dyDescent="0.2">
      <c r="A1658">
        <v>2009990</v>
      </c>
      <c r="B1658">
        <v>2017</v>
      </c>
      <c r="C1658" t="s">
        <v>6</v>
      </c>
      <c r="D1658" t="s">
        <v>7</v>
      </c>
      <c r="E1658" t="s">
        <v>8</v>
      </c>
      <c r="F1658" s="29">
        <v>5191</v>
      </c>
      <c r="G1658" s="3" t="s">
        <v>225</v>
      </c>
      <c r="H1658" s="1">
        <v>719034</v>
      </c>
      <c r="I1658" s="1">
        <v>112209.31177433983</v>
      </c>
      <c r="J1658" s="1">
        <v>831243.31177433988</v>
      </c>
    </row>
    <row r="1659" spans="1:10" x14ac:dyDescent="0.2">
      <c r="A1659">
        <v>2009990</v>
      </c>
      <c r="B1659">
        <v>2018</v>
      </c>
      <c r="C1659" t="s">
        <v>6</v>
      </c>
      <c r="D1659" t="s">
        <v>7</v>
      </c>
      <c r="E1659" t="s">
        <v>8</v>
      </c>
      <c r="F1659" s="28">
        <v>5191</v>
      </c>
      <c r="G1659" t="s">
        <v>225</v>
      </c>
      <c r="H1659" s="1">
        <v>845128</v>
      </c>
      <c r="I1659" s="1">
        <v>127799.70458644826</v>
      </c>
      <c r="J1659" s="1">
        <v>972927.70458644826</v>
      </c>
    </row>
    <row r="1660" spans="1:10" x14ac:dyDescent="0.2">
      <c r="A1660">
        <v>2009990</v>
      </c>
      <c r="B1660">
        <v>2019</v>
      </c>
      <c r="C1660" t="s">
        <v>6</v>
      </c>
      <c r="D1660" t="s">
        <v>7</v>
      </c>
      <c r="E1660" t="s">
        <v>8</v>
      </c>
      <c r="F1660" s="28">
        <v>5191</v>
      </c>
      <c r="G1660" t="s">
        <v>225</v>
      </c>
      <c r="H1660" s="1">
        <v>1017989</v>
      </c>
      <c r="I1660" s="1">
        <v>155037.50739693339</v>
      </c>
      <c r="J1660" s="1">
        <v>1173026.5073969334</v>
      </c>
    </row>
    <row r="1661" spans="1:10" x14ac:dyDescent="0.2">
      <c r="A1661">
        <v>2009990</v>
      </c>
      <c r="B1661">
        <v>2020</v>
      </c>
      <c r="C1661" t="s">
        <v>6</v>
      </c>
      <c r="D1661" t="s">
        <v>7</v>
      </c>
      <c r="E1661" t="s">
        <v>8</v>
      </c>
      <c r="F1661" s="28">
        <v>5191</v>
      </c>
      <c r="G1661" t="s">
        <v>225</v>
      </c>
      <c r="H1661" s="1">
        <v>1072505</v>
      </c>
      <c r="I1661" s="1">
        <v>162253.73119033998</v>
      </c>
      <c r="J1661" s="1">
        <v>1234758.7311903399</v>
      </c>
    </row>
    <row r="1662" spans="1:10" x14ac:dyDescent="0.2">
      <c r="A1662">
        <v>2009990</v>
      </c>
      <c r="B1662">
        <v>2021</v>
      </c>
      <c r="C1662" t="s">
        <v>6</v>
      </c>
      <c r="D1662" t="s">
        <v>7</v>
      </c>
      <c r="E1662" t="s">
        <v>8</v>
      </c>
      <c r="F1662" s="28">
        <v>5191</v>
      </c>
      <c r="G1662" t="s">
        <v>225</v>
      </c>
      <c r="H1662" s="25">
        <v>1088125</v>
      </c>
      <c r="I1662" s="1">
        <v>162449.5769561007</v>
      </c>
      <c r="J1662" s="1">
        <v>1250574.5769561008</v>
      </c>
    </row>
    <row r="1663" spans="1:10" x14ac:dyDescent="0.2">
      <c r="A1663">
        <v>2009990</v>
      </c>
      <c r="B1663">
        <v>2022</v>
      </c>
      <c r="C1663" t="s">
        <v>6</v>
      </c>
      <c r="D1663" t="s">
        <v>7</v>
      </c>
      <c r="E1663" t="s">
        <v>8</v>
      </c>
      <c r="F1663" s="28">
        <v>5191</v>
      </c>
      <c r="G1663" t="s">
        <v>225</v>
      </c>
      <c r="H1663" s="1">
        <v>1053297</v>
      </c>
      <c r="I1663" s="1">
        <v>143043.58272062283</v>
      </c>
      <c r="J1663" s="1">
        <v>1196340.5827206229</v>
      </c>
    </row>
    <row r="1664" spans="1:10" x14ac:dyDescent="0.2">
      <c r="A1664">
        <v>2009990</v>
      </c>
      <c r="B1664">
        <v>2023</v>
      </c>
      <c r="C1664" t="s">
        <v>6</v>
      </c>
      <c r="D1664" t="s">
        <v>7</v>
      </c>
      <c r="E1664" t="s">
        <v>8</v>
      </c>
      <c r="F1664" s="28">
        <v>5191</v>
      </c>
      <c r="G1664" s="10" t="s">
        <v>225</v>
      </c>
      <c r="H1664" s="1">
        <v>1032686</v>
      </c>
      <c r="I1664" s="1">
        <v>144579.11356981538</v>
      </c>
      <c r="J1664" s="1">
        <v>1177265.1135698154</v>
      </c>
    </row>
    <row r="1665" spans="1:10" x14ac:dyDescent="0.2">
      <c r="A1665">
        <v>2008310</v>
      </c>
      <c r="B1665">
        <v>2015</v>
      </c>
      <c r="C1665" t="s">
        <v>6</v>
      </c>
      <c r="D1665" t="s">
        <v>7</v>
      </c>
      <c r="E1665" t="s">
        <v>8</v>
      </c>
      <c r="F1665" s="29">
        <v>5192</v>
      </c>
      <c r="G1665" s="3" t="s">
        <v>226</v>
      </c>
      <c r="H1665" s="27">
        <v>215881</v>
      </c>
      <c r="I1665" s="1">
        <v>34772.82518842494</v>
      </c>
      <c r="J1665" s="1">
        <v>250653.82518842493</v>
      </c>
    </row>
    <row r="1666" spans="1:10" x14ac:dyDescent="0.2">
      <c r="A1666">
        <v>2008310</v>
      </c>
      <c r="B1666">
        <v>2016</v>
      </c>
      <c r="C1666" t="s">
        <v>6</v>
      </c>
      <c r="D1666" t="s">
        <v>7</v>
      </c>
      <c r="E1666" t="s">
        <v>8</v>
      </c>
      <c r="F1666" s="29">
        <v>5192</v>
      </c>
      <c r="G1666" s="3" t="s">
        <v>226</v>
      </c>
      <c r="H1666" s="1">
        <v>242538</v>
      </c>
      <c r="I1666" s="26">
        <v>640564.47501068702</v>
      </c>
      <c r="J1666" s="26">
        <v>883102.47501068702</v>
      </c>
    </row>
    <row r="1667" spans="1:10" x14ac:dyDescent="0.2">
      <c r="A1667">
        <v>2008310</v>
      </c>
      <c r="B1667">
        <v>2017</v>
      </c>
      <c r="C1667" t="s">
        <v>6</v>
      </c>
      <c r="D1667" t="s">
        <v>7</v>
      </c>
      <c r="E1667" t="s">
        <v>8</v>
      </c>
      <c r="F1667" s="29">
        <v>5192</v>
      </c>
      <c r="G1667" s="3" t="s">
        <v>226</v>
      </c>
      <c r="H1667" s="1">
        <v>254519</v>
      </c>
      <c r="I1667" s="1">
        <v>39719.125692934125</v>
      </c>
      <c r="J1667" s="1">
        <v>294238.12569293415</v>
      </c>
    </row>
    <row r="1668" spans="1:10" x14ac:dyDescent="0.2">
      <c r="A1668">
        <v>2008310</v>
      </c>
      <c r="B1668">
        <v>2018</v>
      </c>
      <c r="C1668" t="s">
        <v>6</v>
      </c>
      <c r="D1668" t="s">
        <v>7</v>
      </c>
      <c r="E1668" t="s">
        <v>8</v>
      </c>
      <c r="F1668" s="28">
        <v>5192</v>
      </c>
      <c r="G1668" t="s">
        <v>226</v>
      </c>
      <c r="H1668" s="1">
        <v>286468</v>
      </c>
      <c r="I1668" s="1">
        <v>43319.503996401327</v>
      </c>
      <c r="J1668" s="1">
        <v>329787.50399640133</v>
      </c>
    </row>
    <row r="1669" spans="1:10" x14ac:dyDescent="0.2">
      <c r="A1669">
        <v>2008310</v>
      </c>
      <c r="B1669">
        <v>2019</v>
      </c>
      <c r="C1669" t="s">
        <v>6</v>
      </c>
      <c r="D1669" t="s">
        <v>7</v>
      </c>
      <c r="E1669" t="s">
        <v>8</v>
      </c>
      <c r="F1669" s="28">
        <v>5192</v>
      </c>
      <c r="G1669" t="s">
        <v>226</v>
      </c>
      <c r="H1669" s="1">
        <v>319196</v>
      </c>
      <c r="I1669" s="1">
        <v>48612.855552536959</v>
      </c>
      <c r="J1669" s="1">
        <v>367808.85555253696</v>
      </c>
    </row>
    <row r="1670" spans="1:10" x14ac:dyDescent="0.2">
      <c r="A1670">
        <v>2008310</v>
      </c>
      <c r="B1670">
        <v>2020</v>
      </c>
      <c r="C1670" t="s">
        <v>6</v>
      </c>
      <c r="D1670" t="s">
        <v>7</v>
      </c>
      <c r="E1670" t="s">
        <v>8</v>
      </c>
      <c r="F1670" s="28">
        <v>5192</v>
      </c>
      <c r="G1670" t="s">
        <v>226</v>
      </c>
      <c r="H1670" s="1">
        <v>359967</v>
      </c>
      <c r="I1670" s="1">
        <v>54457.54458524027</v>
      </c>
      <c r="J1670" s="1">
        <v>414424.54458524025</v>
      </c>
    </row>
    <row r="1671" spans="1:10" x14ac:dyDescent="0.2">
      <c r="A1671">
        <v>2008310</v>
      </c>
      <c r="B1671">
        <v>2021</v>
      </c>
      <c r="C1671" t="s">
        <v>6</v>
      </c>
      <c r="D1671" t="s">
        <v>7</v>
      </c>
      <c r="E1671" t="s">
        <v>8</v>
      </c>
      <c r="F1671" s="28">
        <v>5192</v>
      </c>
      <c r="G1671" t="s">
        <v>226</v>
      </c>
      <c r="H1671" s="25">
        <v>365576</v>
      </c>
      <c r="I1671" s="1">
        <v>54577.981891146213</v>
      </c>
      <c r="J1671" s="1">
        <v>420153.98189114622</v>
      </c>
    </row>
    <row r="1672" spans="1:10" x14ac:dyDescent="0.2">
      <c r="A1672">
        <v>2008310</v>
      </c>
      <c r="B1672">
        <v>2022</v>
      </c>
      <c r="C1672" t="s">
        <v>6</v>
      </c>
      <c r="D1672" t="s">
        <v>7</v>
      </c>
      <c r="E1672" t="s">
        <v>8</v>
      </c>
      <c r="F1672" s="28">
        <v>5192</v>
      </c>
      <c r="G1672" t="s">
        <v>226</v>
      </c>
      <c r="H1672" s="1">
        <v>331980</v>
      </c>
      <c r="I1672" s="1">
        <v>45084.727851301555</v>
      </c>
      <c r="J1672" s="1">
        <v>377064.72785130155</v>
      </c>
    </row>
    <row r="1673" spans="1:10" x14ac:dyDescent="0.2">
      <c r="A1673">
        <v>2008310</v>
      </c>
      <c r="B1673">
        <v>2023</v>
      </c>
      <c r="C1673" t="s">
        <v>6</v>
      </c>
      <c r="D1673" t="s">
        <v>7</v>
      </c>
      <c r="E1673" t="s">
        <v>8</v>
      </c>
      <c r="F1673" s="28">
        <v>5192</v>
      </c>
      <c r="G1673" s="10" t="s">
        <v>226</v>
      </c>
      <c r="H1673" s="1">
        <v>328329</v>
      </c>
      <c r="I1673" s="1">
        <v>45967.037201302155</v>
      </c>
      <c r="J1673" s="1">
        <v>374296.03720130213</v>
      </c>
    </row>
    <row r="1674" spans="1:10" x14ac:dyDescent="0.2">
      <c r="A1674">
        <v>2004200</v>
      </c>
      <c r="B1674">
        <v>2015</v>
      </c>
      <c r="C1674" t="s">
        <v>6</v>
      </c>
      <c r="D1674" t="s">
        <v>7</v>
      </c>
      <c r="E1674" t="s">
        <v>8</v>
      </c>
      <c r="F1674" s="29">
        <v>5193</v>
      </c>
      <c r="G1674" s="3" t="s">
        <v>227</v>
      </c>
      <c r="H1674" s="27">
        <v>1142511</v>
      </c>
      <c r="I1674" s="1">
        <v>184028.86441536105</v>
      </c>
      <c r="J1674" s="1">
        <v>1326539.8644153611</v>
      </c>
    </row>
    <row r="1675" spans="1:10" x14ac:dyDescent="0.2">
      <c r="A1675">
        <v>2004200</v>
      </c>
      <c r="B1675">
        <v>2016</v>
      </c>
      <c r="C1675" t="s">
        <v>6</v>
      </c>
      <c r="D1675" t="s">
        <v>7</v>
      </c>
      <c r="E1675" t="s">
        <v>8</v>
      </c>
      <c r="F1675" s="29">
        <v>5193</v>
      </c>
      <c r="G1675" s="3" t="s">
        <v>227</v>
      </c>
      <c r="H1675" s="1">
        <v>1219713</v>
      </c>
      <c r="I1675" s="26">
        <v>3221373.7076689964</v>
      </c>
      <c r="J1675" s="26">
        <v>4441086.7076689964</v>
      </c>
    </row>
    <row r="1676" spans="1:10" x14ac:dyDescent="0.2">
      <c r="A1676">
        <v>2004200</v>
      </c>
      <c r="B1676">
        <v>2017</v>
      </c>
      <c r="C1676" t="s">
        <v>6</v>
      </c>
      <c r="D1676" t="s">
        <v>7</v>
      </c>
      <c r="E1676" t="s">
        <v>8</v>
      </c>
      <c r="F1676" s="29">
        <v>5193</v>
      </c>
      <c r="G1676" s="3" t="s">
        <v>227</v>
      </c>
      <c r="H1676" s="1">
        <v>1255729</v>
      </c>
      <c r="I1676" s="1">
        <v>195963.59402348148</v>
      </c>
      <c r="J1676" s="1">
        <v>1451692.5940234815</v>
      </c>
    </row>
    <row r="1677" spans="1:10" x14ac:dyDescent="0.2">
      <c r="A1677">
        <v>2004200</v>
      </c>
      <c r="B1677">
        <v>2018</v>
      </c>
      <c r="C1677" t="s">
        <v>6</v>
      </c>
      <c r="D1677" t="s">
        <v>7</v>
      </c>
      <c r="E1677" t="s">
        <v>8</v>
      </c>
      <c r="F1677" s="28">
        <v>5193</v>
      </c>
      <c r="G1677" t="s">
        <v>227</v>
      </c>
      <c r="H1677" s="1">
        <v>1402575</v>
      </c>
      <c r="I1677" s="1">
        <v>212096.47610816071</v>
      </c>
      <c r="J1677" s="1">
        <v>1614671.4761081608</v>
      </c>
    </row>
    <row r="1678" spans="1:10" x14ac:dyDescent="0.2">
      <c r="A1678">
        <v>2004200</v>
      </c>
      <c r="B1678">
        <v>2019</v>
      </c>
      <c r="C1678" t="s">
        <v>6</v>
      </c>
      <c r="D1678" t="s">
        <v>7</v>
      </c>
      <c r="E1678" t="s">
        <v>8</v>
      </c>
      <c r="F1678" s="28">
        <v>5193</v>
      </c>
      <c r="G1678" t="s">
        <v>227</v>
      </c>
      <c r="H1678" s="1">
        <v>1620039</v>
      </c>
      <c r="I1678" s="1">
        <v>246728.41105927527</v>
      </c>
      <c r="J1678" s="1">
        <v>1866767.4110592753</v>
      </c>
    </row>
    <row r="1679" spans="1:10" x14ac:dyDescent="0.2">
      <c r="A1679">
        <v>2004200</v>
      </c>
      <c r="B1679">
        <v>2020</v>
      </c>
      <c r="C1679" t="s">
        <v>6</v>
      </c>
      <c r="D1679" t="s">
        <v>7</v>
      </c>
      <c r="E1679" t="s">
        <v>8</v>
      </c>
      <c r="F1679" s="28">
        <v>5193</v>
      </c>
      <c r="G1679" t="s">
        <v>227</v>
      </c>
      <c r="H1679" s="1">
        <v>1780514</v>
      </c>
      <c r="I1679" s="1">
        <v>269364.74882321013</v>
      </c>
      <c r="J1679" s="1">
        <v>2049878.7488232101</v>
      </c>
    </row>
    <row r="1680" spans="1:10" x14ac:dyDescent="0.2">
      <c r="A1680">
        <v>2004200</v>
      </c>
      <c r="B1680">
        <v>2021</v>
      </c>
      <c r="C1680" t="s">
        <v>6</v>
      </c>
      <c r="D1680" t="s">
        <v>7</v>
      </c>
      <c r="E1680" t="s">
        <v>8</v>
      </c>
      <c r="F1680" s="28">
        <v>5193</v>
      </c>
      <c r="G1680" t="s">
        <v>227</v>
      </c>
      <c r="H1680" s="25">
        <v>1675086</v>
      </c>
      <c r="I1680" s="1">
        <v>250078.81637227975</v>
      </c>
      <c r="J1680" s="1">
        <v>1925164.8163722798</v>
      </c>
    </row>
    <row r="1681" spans="1:10" x14ac:dyDescent="0.2">
      <c r="A1681">
        <v>2004200</v>
      </c>
      <c r="B1681">
        <v>2022</v>
      </c>
      <c r="C1681" t="s">
        <v>6</v>
      </c>
      <c r="D1681" t="s">
        <v>7</v>
      </c>
      <c r="E1681" t="s">
        <v>8</v>
      </c>
      <c r="F1681" s="28">
        <v>5193</v>
      </c>
      <c r="G1681" t="s">
        <v>227</v>
      </c>
      <c r="H1681" s="1">
        <v>1703944</v>
      </c>
      <c r="I1681" s="1">
        <v>231405.05908144519</v>
      </c>
      <c r="J1681" s="1">
        <v>1935349.0590814452</v>
      </c>
    </row>
    <row r="1682" spans="1:10" x14ac:dyDescent="0.2">
      <c r="A1682">
        <v>2004200</v>
      </c>
      <c r="B1682">
        <v>2023</v>
      </c>
      <c r="C1682" t="s">
        <v>6</v>
      </c>
      <c r="D1682" t="s">
        <v>7</v>
      </c>
      <c r="E1682" t="s">
        <v>8</v>
      </c>
      <c r="F1682" s="28">
        <v>5193</v>
      </c>
      <c r="G1682" s="10" t="s">
        <v>227</v>
      </c>
      <c r="H1682" s="1">
        <v>1675877</v>
      </c>
      <c r="I1682" s="1">
        <v>234627.76789076399</v>
      </c>
      <c r="J1682" s="1">
        <v>1910504.7678907639</v>
      </c>
    </row>
    <row r="1683" spans="1:10" x14ac:dyDescent="0.2">
      <c r="A1683">
        <v>2000004</v>
      </c>
      <c r="B1683">
        <v>2015</v>
      </c>
      <c r="C1683" t="s">
        <v>6</v>
      </c>
      <c r="D1683" t="s">
        <v>7</v>
      </c>
      <c r="E1683" t="s">
        <v>8</v>
      </c>
      <c r="F1683" s="29">
        <v>5195</v>
      </c>
      <c r="G1683" s="3" t="s">
        <v>228</v>
      </c>
      <c r="H1683" s="27">
        <v>465085</v>
      </c>
      <c r="I1683" s="1">
        <v>74913.120667213007</v>
      </c>
      <c r="J1683" s="1">
        <v>539998.12066721299</v>
      </c>
    </row>
    <row r="1684" spans="1:10" x14ac:dyDescent="0.2">
      <c r="A1684">
        <v>2000004</v>
      </c>
      <c r="B1684">
        <v>2016</v>
      </c>
      <c r="C1684" t="s">
        <v>6</v>
      </c>
      <c r="D1684" t="s">
        <v>7</v>
      </c>
      <c r="E1684" t="s">
        <v>8</v>
      </c>
      <c r="F1684" s="29">
        <v>5195</v>
      </c>
      <c r="G1684" s="3" t="s">
        <v>228</v>
      </c>
      <c r="H1684" s="1">
        <v>519310</v>
      </c>
      <c r="I1684" s="26">
        <v>1371541.5544221797</v>
      </c>
      <c r="J1684" s="26">
        <v>1890851.5544221797</v>
      </c>
    </row>
    <row r="1685" spans="1:10" x14ac:dyDescent="0.2">
      <c r="A1685">
        <v>2000004</v>
      </c>
      <c r="B1685">
        <v>2017</v>
      </c>
      <c r="C1685" t="s">
        <v>6</v>
      </c>
      <c r="D1685" t="s">
        <v>7</v>
      </c>
      <c r="E1685" t="s">
        <v>8</v>
      </c>
      <c r="F1685" s="29">
        <v>5195</v>
      </c>
      <c r="G1685" s="3" t="s">
        <v>228</v>
      </c>
      <c r="H1685" s="1">
        <v>537147</v>
      </c>
      <c r="I1685" s="1">
        <v>83824.819398875872</v>
      </c>
      <c r="J1685" s="1">
        <v>620971.81939887581</v>
      </c>
    </row>
    <row r="1686" spans="1:10" x14ac:dyDescent="0.2">
      <c r="A1686">
        <v>2000004</v>
      </c>
      <c r="B1686">
        <v>2018</v>
      </c>
      <c r="C1686" t="s">
        <v>6</v>
      </c>
      <c r="D1686" t="s">
        <v>7</v>
      </c>
      <c r="E1686" t="s">
        <v>8</v>
      </c>
      <c r="F1686" s="28">
        <v>5195</v>
      </c>
      <c r="G1686" t="s">
        <v>228</v>
      </c>
      <c r="H1686" s="1">
        <v>664406</v>
      </c>
      <c r="I1686" s="1">
        <v>100471.04169482461</v>
      </c>
      <c r="J1686" s="1">
        <v>764877.04169482458</v>
      </c>
    </row>
    <row r="1687" spans="1:10" x14ac:dyDescent="0.2">
      <c r="A1687">
        <v>2000004</v>
      </c>
      <c r="B1687">
        <v>2019</v>
      </c>
      <c r="C1687" t="s">
        <v>6</v>
      </c>
      <c r="D1687" t="s">
        <v>7</v>
      </c>
      <c r="E1687" t="s">
        <v>8</v>
      </c>
      <c r="F1687" s="28">
        <v>5195</v>
      </c>
      <c r="G1687" t="s">
        <v>228</v>
      </c>
      <c r="H1687" s="1">
        <v>716065</v>
      </c>
      <c r="I1687" s="1">
        <v>109055.1398238931</v>
      </c>
      <c r="J1687" s="1">
        <v>825120.13982389309</v>
      </c>
    </row>
    <row r="1688" spans="1:10" x14ac:dyDescent="0.2">
      <c r="A1688">
        <v>2000004</v>
      </c>
      <c r="B1688">
        <v>2020</v>
      </c>
      <c r="C1688" t="s">
        <v>6</v>
      </c>
      <c r="D1688" t="s">
        <v>7</v>
      </c>
      <c r="E1688" t="s">
        <v>8</v>
      </c>
      <c r="F1688" s="28">
        <v>5195</v>
      </c>
      <c r="G1688" t="s">
        <v>228</v>
      </c>
      <c r="H1688" s="1">
        <v>772310</v>
      </c>
      <c r="I1688" s="1">
        <v>116838.78316242019</v>
      </c>
      <c r="J1688" s="1">
        <v>889148.78316242015</v>
      </c>
    </row>
    <row r="1689" spans="1:10" x14ac:dyDescent="0.2">
      <c r="A1689">
        <v>2000004</v>
      </c>
      <c r="B1689">
        <v>2021</v>
      </c>
      <c r="C1689" t="s">
        <v>6</v>
      </c>
      <c r="D1689" t="s">
        <v>7</v>
      </c>
      <c r="E1689" t="s">
        <v>8</v>
      </c>
      <c r="F1689" s="28">
        <v>5195</v>
      </c>
      <c r="G1689" t="s">
        <v>228</v>
      </c>
      <c r="H1689" s="25">
        <v>898190</v>
      </c>
      <c r="I1689" s="1">
        <v>134093.58807692138</v>
      </c>
      <c r="J1689" s="1">
        <v>1032283.5880769214</v>
      </c>
    </row>
    <row r="1690" spans="1:10" x14ac:dyDescent="0.2">
      <c r="A1690">
        <v>2000004</v>
      </c>
      <c r="B1690">
        <v>2022</v>
      </c>
      <c r="C1690" t="s">
        <v>6</v>
      </c>
      <c r="D1690" t="s">
        <v>7</v>
      </c>
      <c r="E1690" t="s">
        <v>8</v>
      </c>
      <c r="F1690" s="28">
        <v>5195</v>
      </c>
      <c r="G1690" t="s">
        <v>228</v>
      </c>
      <c r="H1690" s="1">
        <v>959298</v>
      </c>
      <c r="I1690" s="1">
        <v>130277.99644044181</v>
      </c>
      <c r="J1690" s="1">
        <v>1089575.9964404418</v>
      </c>
    </row>
    <row r="1691" spans="1:10" x14ac:dyDescent="0.2">
      <c r="A1691">
        <v>2000004</v>
      </c>
      <c r="B1691">
        <v>2023</v>
      </c>
      <c r="C1691" t="s">
        <v>6</v>
      </c>
      <c r="D1691" t="s">
        <v>7</v>
      </c>
      <c r="E1691" t="s">
        <v>8</v>
      </c>
      <c r="F1691" s="28">
        <v>5195</v>
      </c>
      <c r="G1691" s="10" t="s">
        <v>228</v>
      </c>
      <c r="H1691" s="1">
        <v>975325</v>
      </c>
      <c r="I1691" s="1">
        <v>136548.40284702243</v>
      </c>
      <c r="J1691" s="1">
        <v>1111873.4028470225</v>
      </c>
    </row>
    <row r="1692" spans="1:10" x14ac:dyDescent="0.2">
      <c r="A1692">
        <v>2010320</v>
      </c>
      <c r="B1692">
        <v>2015</v>
      </c>
      <c r="C1692" t="s">
        <v>6</v>
      </c>
      <c r="D1692" t="s">
        <v>7</v>
      </c>
      <c r="E1692" t="s">
        <v>8</v>
      </c>
      <c r="F1692" s="29">
        <v>5196</v>
      </c>
      <c r="G1692" s="3" t="s">
        <v>229</v>
      </c>
      <c r="H1692" s="27">
        <v>413807</v>
      </c>
      <c r="I1692" s="1">
        <v>66653.565958776162</v>
      </c>
      <c r="J1692" s="1">
        <v>480460.56595877616</v>
      </c>
    </row>
    <row r="1693" spans="1:10" x14ac:dyDescent="0.2">
      <c r="A1693">
        <v>2010320</v>
      </c>
      <c r="B1693">
        <v>2016</v>
      </c>
      <c r="C1693" t="s">
        <v>6</v>
      </c>
      <c r="D1693" t="s">
        <v>7</v>
      </c>
      <c r="E1693" t="s">
        <v>8</v>
      </c>
      <c r="F1693" s="29">
        <v>5196</v>
      </c>
      <c r="G1693" s="3" t="s">
        <v>229</v>
      </c>
      <c r="H1693" s="1">
        <v>336492</v>
      </c>
      <c r="I1693" s="26">
        <v>888707.90735979262</v>
      </c>
      <c r="J1693" s="26">
        <v>1225199.9073597926</v>
      </c>
    </row>
    <row r="1694" spans="1:10" x14ac:dyDescent="0.2">
      <c r="A1694">
        <v>2010320</v>
      </c>
      <c r="B1694">
        <v>2017</v>
      </c>
      <c r="C1694" t="s">
        <v>6</v>
      </c>
      <c r="D1694" t="s">
        <v>7</v>
      </c>
      <c r="E1694" t="s">
        <v>8</v>
      </c>
      <c r="F1694" s="29">
        <v>5196</v>
      </c>
      <c r="G1694" s="3" t="s">
        <v>229</v>
      </c>
      <c r="H1694" s="1">
        <v>434129</v>
      </c>
      <c r="I1694" s="1">
        <v>67748.27937382985</v>
      </c>
      <c r="J1694" s="1">
        <v>501877.27937382984</v>
      </c>
    </row>
    <row r="1695" spans="1:10" x14ac:dyDescent="0.2">
      <c r="A1695">
        <v>2010320</v>
      </c>
      <c r="B1695">
        <v>2018</v>
      </c>
      <c r="C1695" t="s">
        <v>6</v>
      </c>
      <c r="D1695" t="s">
        <v>7</v>
      </c>
      <c r="E1695" t="s">
        <v>8</v>
      </c>
      <c r="F1695" s="28">
        <v>5196</v>
      </c>
      <c r="G1695" t="s">
        <v>229</v>
      </c>
      <c r="H1695" s="1">
        <v>468608</v>
      </c>
      <c r="I1695" s="1">
        <v>70862.59592256599</v>
      </c>
      <c r="J1695" s="1">
        <v>539470.59592256602</v>
      </c>
    </row>
    <row r="1696" spans="1:10" x14ac:dyDescent="0.2">
      <c r="A1696">
        <v>2010320</v>
      </c>
      <c r="B1696">
        <v>2019</v>
      </c>
      <c r="C1696" t="s">
        <v>6</v>
      </c>
      <c r="D1696" t="s">
        <v>7</v>
      </c>
      <c r="E1696" t="s">
        <v>8</v>
      </c>
      <c r="F1696" s="28">
        <v>5196</v>
      </c>
      <c r="G1696" t="s">
        <v>229</v>
      </c>
      <c r="H1696" s="1">
        <v>526163</v>
      </c>
      <c r="I1696" s="1">
        <v>80133.478853398876</v>
      </c>
      <c r="J1696" s="1">
        <v>606296.47885339893</v>
      </c>
    </row>
    <row r="1697" spans="1:10" x14ac:dyDescent="0.2">
      <c r="A1697">
        <v>2010320</v>
      </c>
      <c r="B1697">
        <v>2020</v>
      </c>
      <c r="C1697" t="s">
        <v>6</v>
      </c>
      <c r="D1697" t="s">
        <v>7</v>
      </c>
      <c r="E1697" t="s">
        <v>8</v>
      </c>
      <c r="F1697" s="28">
        <v>5196</v>
      </c>
      <c r="G1697" t="s">
        <v>229</v>
      </c>
      <c r="H1697" s="1">
        <v>592698</v>
      </c>
      <c r="I1697" s="1">
        <v>89666.213182271531</v>
      </c>
      <c r="J1697" s="1">
        <v>682364.21318227157</v>
      </c>
    </row>
    <row r="1698" spans="1:10" x14ac:dyDescent="0.2">
      <c r="A1698">
        <v>2010320</v>
      </c>
      <c r="B1698">
        <v>2021</v>
      </c>
      <c r="C1698" t="s">
        <v>6</v>
      </c>
      <c r="D1698" t="s">
        <v>7</v>
      </c>
      <c r="E1698" t="s">
        <v>8</v>
      </c>
      <c r="F1698" s="28">
        <v>5196</v>
      </c>
      <c r="G1698" t="s">
        <v>229</v>
      </c>
      <c r="H1698" s="25">
        <v>597520</v>
      </c>
      <c r="I1698" s="1">
        <v>89205.625477596142</v>
      </c>
      <c r="J1698" s="1">
        <v>686725.62547759619</v>
      </c>
    </row>
    <row r="1699" spans="1:10" x14ac:dyDescent="0.2">
      <c r="A1699">
        <v>2010320</v>
      </c>
      <c r="B1699">
        <v>2022</v>
      </c>
      <c r="C1699" t="s">
        <v>6</v>
      </c>
      <c r="D1699" t="s">
        <v>7</v>
      </c>
      <c r="E1699" t="s">
        <v>8</v>
      </c>
      <c r="F1699" s="28">
        <v>5196</v>
      </c>
      <c r="G1699" t="s">
        <v>229</v>
      </c>
      <c r="H1699" s="1">
        <v>577746</v>
      </c>
      <c r="I1699" s="1">
        <v>78461.11566111834</v>
      </c>
      <c r="J1699" s="1">
        <v>656207.1156611183</v>
      </c>
    </row>
    <row r="1700" spans="1:10" x14ac:dyDescent="0.2">
      <c r="A1700">
        <v>2010320</v>
      </c>
      <c r="B1700">
        <v>2023</v>
      </c>
      <c r="C1700" t="s">
        <v>6</v>
      </c>
      <c r="D1700" t="s">
        <v>7</v>
      </c>
      <c r="E1700" t="s">
        <v>8</v>
      </c>
      <c r="F1700" s="28">
        <v>5196</v>
      </c>
      <c r="G1700" s="10" t="s">
        <v>229</v>
      </c>
      <c r="H1700" s="1">
        <v>590790</v>
      </c>
      <c r="I1700" s="1">
        <v>82712.358360538667</v>
      </c>
      <c r="J1700" s="1">
        <v>673502.35836053872</v>
      </c>
    </row>
    <row r="1701" spans="1:10" x14ac:dyDescent="0.2">
      <c r="A1701">
        <v>2009060</v>
      </c>
      <c r="B1701">
        <v>2015</v>
      </c>
      <c r="C1701" t="s">
        <v>6</v>
      </c>
      <c r="D1701" t="s">
        <v>7</v>
      </c>
      <c r="E1701" t="s">
        <v>8</v>
      </c>
      <c r="F1701" s="29">
        <v>5197</v>
      </c>
      <c r="G1701" s="3" t="s">
        <v>230</v>
      </c>
      <c r="H1701" s="27">
        <v>193144</v>
      </c>
      <c r="I1701" s="1">
        <v>31110.484703114889</v>
      </c>
      <c r="J1701" s="1">
        <v>224254.4847031149</v>
      </c>
    </row>
    <row r="1702" spans="1:10" x14ac:dyDescent="0.2">
      <c r="A1702">
        <v>2009060</v>
      </c>
      <c r="B1702">
        <v>2016</v>
      </c>
      <c r="C1702" t="s">
        <v>6</v>
      </c>
      <c r="D1702" t="s">
        <v>7</v>
      </c>
      <c r="E1702" t="s">
        <v>8</v>
      </c>
      <c r="F1702" s="29">
        <v>5197</v>
      </c>
      <c r="G1702" s="3" t="s">
        <v>230</v>
      </c>
      <c r="H1702" s="1">
        <v>229918</v>
      </c>
      <c r="I1702" s="26">
        <v>607238.11586551275</v>
      </c>
      <c r="J1702" s="26">
        <v>837156.11586551275</v>
      </c>
    </row>
    <row r="1703" spans="1:10" x14ac:dyDescent="0.2">
      <c r="A1703">
        <v>2009060</v>
      </c>
      <c r="B1703">
        <v>2017</v>
      </c>
      <c r="C1703" t="s">
        <v>6</v>
      </c>
      <c r="D1703" t="s">
        <v>7</v>
      </c>
      <c r="E1703" t="s">
        <v>8</v>
      </c>
      <c r="F1703" s="29">
        <v>5197</v>
      </c>
      <c r="G1703" s="3" t="s">
        <v>230</v>
      </c>
      <c r="H1703" s="1">
        <v>241353</v>
      </c>
      <c r="I1703" s="1">
        <v>37664.497123463203</v>
      </c>
      <c r="J1703" s="1">
        <v>279017.4971234632</v>
      </c>
    </row>
    <row r="1704" spans="1:10" x14ac:dyDescent="0.2">
      <c r="A1704">
        <v>2009060</v>
      </c>
      <c r="B1704">
        <v>2018</v>
      </c>
      <c r="C1704" t="s">
        <v>6</v>
      </c>
      <c r="D1704" t="s">
        <v>7</v>
      </c>
      <c r="E1704" t="s">
        <v>8</v>
      </c>
      <c r="F1704" s="28">
        <v>5197</v>
      </c>
      <c r="G1704" t="s">
        <v>230</v>
      </c>
      <c r="H1704" s="1">
        <v>254601</v>
      </c>
      <c r="I1704" s="1">
        <v>38500.597054427628</v>
      </c>
      <c r="J1704" s="1">
        <v>293101.59705442761</v>
      </c>
    </row>
    <row r="1705" spans="1:10" x14ac:dyDescent="0.2">
      <c r="A1705">
        <v>2009060</v>
      </c>
      <c r="B1705">
        <v>2019</v>
      </c>
      <c r="C1705" t="s">
        <v>6</v>
      </c>
      <c r="D1705" t="s">
        <v>7</v>
      </c>
      <c r="E1705" t="s">
        <v>8</v>
      </c>
      <c r="F1705" s="28">
        <v>5197</v>
      </c>
      <c r="G1705" t="s">
        <v>230</v>
      </c>
      <c r="H1705" s="1">
        <v>282898</v>
      </c>
      <c r="I1705" s="1">
        <v>43084.749213967596</v>
      </c>
      <c r="J1705" s="1">
        <v>325982.74921396759</v>
      </c>
    </row>
    <row r="1706" spans="1:10" x14ac:dyDescent="0.2">
      <c r="A1706">
        <v>2009060</v>
      </c>
      <c r="B1706">
        <v>2020</v>
      </c>
      <c r="C1706" t="s">
        <v>6</v>
      </c>
      <c r="D1706" t="s">
        <v>7</v>
      </c>
      <c r="E1706" t="s">
        <v>8</v>
      </c>
      <c r="F1706" s="28">
        <v>5197</v>
      </c>
      <c r="G1706" t="s">
        <v>230</v>
      </c>
      <c r="H1706" s="1">
        <v>308201</v>
      </c>
      <c r="I1706" s="1">
        <v>46626.134336524279</v>
      </c>
      <c r="J1706" s="1">
        <v>354827.13433652429</v>
      </c>
    </row>
    <row r="1707" spans="1:10" x14ac:dyDescent="0.2">
      <c r="A1707">
        <v>2009060</v>
      </c>
      <c r="B1707">
        <v>2021</v>
      </c>
      <c r="C1707" t="s">
        <v>6</v>
      </c>
      <c r="D1707" t="s">
        <v>7</v>
      </c>
      <c r="E1707" t="s">
        <v>8</v>
      </c>
      <c r="F1707" s="28">
        <v>5197</v>
      </c>
      <c r="G1707" t="s">
        <v>230</v>
      </c>
      <c r="H1707" s="25">
        <v>307537</v>
      </c>
      <c r="I1707" s="1">
        <v>45913.158459136896</v>
      </c>
      <c r="J1707" s="1">
        <v>353450.1584591369</v>
      </c>
    </row>
    <row r="1708" spans="1:10" x14ac:dyDescent="0.2">
      <c r="A1708">
        <v>2009060</v>
      </c>
      <c r="B1708">
        <v>2022</v>
      </c>
      <c r="C1708" t="s">
        <v>6</v>
      </c>
      <c r="D1708" t="s">
        <v>7</v>
      </c>
      <c r="E1708" t="s">
        <v>8</v>
      </c>
      <c r="F1708" s="28">
        <v>5197</v>
      </c>
      <c r="G1708" t="s">
        <v>230</v>
      </c>
      <c r="H1708" s="1">
        <v>299081</v>
      </c>
      <c r="I1708" s="1">
        <v>40616.860926848356</v>
      </c>
      <c r="J1708" s="1">
        <v>339697.86092684837</v>
      </c>
    </row>
    <row r="1709" spans="1:10" x14ac:dyDescent="0.2">
      <c r="A1709">
        <v>2009060</v>
      </c>
      <c r="B1709">
        <v>2023</v>
      </c>
      <c r="C1709" t="s">
        <v>6</v>
      </c>
      <c r="D1709" t="s">
        <v>7</v>
      </c>
      <c r="E1709" t="s">
        <v>8</v>
      </c>
      <c r="F1709" s="28">
        <v>5197</v>
      </c>
      <c r="G1709" s="10" t="s">
        <v>230</v>
      </c>
      <c r="H1709" s="1">
        <v>294461</v>
      </c>
      <c r="I1709" s="1">
        <v>41225.416400417373</v>
      </c>
      <c r="J1709" s="1">
        <v>335686.41640041739</v>
      </c>
    </row>
    <row r="1710" spans="1:10" x14ac:dyDescent="0.2">
      <c r="A1710">
        <v>2012840</v>
      </c>
      <c r="B1710">
        <v>2015</v>
      </c>
      <c r="C1710" t="s">
        <v>6</v>
      </c>
      <c r="D1710" t="s">
        <v>7</v>
      </c>
      <c r="E1710" t="s">
        <v>8</v>
      </c>
      <c r="F1710" s="29">
        <v>5198</v>
      </c>
      <c r="G1710" s="3" t="s">
        <v>231</v>
      </c>
      <c r="H1710" s="27">
        <v>1055976</v>
      </c>
      <c r="I1710" s="1">
        <v>170090.3222199833</v>
      </c>
      <c r="J1710" s="1">
        <v>1226066.3222199832</v>
      </c>
    </row>
    <row r="1711" spans="1:10" x14ac:dyDescent="0.2">
      <c r="A1711">
        <v>2012840</v>
      </c>
      <c r="B1711">
        <v>2016</v>
      </c>
      <c r="C1711" t="s">
        <v>6</v>
      </c>
      <c r="D1711" t="s">
        <v>7</v>
      </c>
      <c r="E1711" t="s">
        <v>8</v>
      </c>
      <c r="F1711" s="29">
        <v>5198</v>
      </c>
      <c r="G1711" s="3" t="s">
        <v>231</v>
      </c>
      <c r="H1711" s="1">
        <v>905856</v>
      </c>
      <c r="I1711" s="26">
        <v>2392443.1681196988</v>
      </c>
      <c r="J1711" s="26">
        <v>3298299.1681196988</v>
      </c>
    </row>
    <row r="1712" spans="1:10" x14ac:dyDescent="0.2">
      <c r="A1712">
        <v>2012840</v>
      </c>
      <c r="B1712">
        <v>2017</v>
      </c>
      <c r="C1712" t="s">
        <v>6</v>
      </c>
      <c r="D1712" t="s">
        <v>7</v>
      </c>
      <c r="E1712" t="s">
        <v>8</v>
      </c>
      <c r="F1712" s="29">
        <v>5198</v>
      </c>
      <c r="G1712" s="3" t="s">
        <v>231</v>
      </c>
      <c r="H1712" s="1">
        <v>1044403</v>
      </c>
      <c r="I1712" s="1">
        <v>162984.97963247332</v>
      </c>
      <c r="J1712" s="1">
        <v>1207387.9796324733</v>
      </c>
    </row>
    <row r="1713" spans="1:10" x14ac:dyDescent="0.2">
      <c r="A1713">
        <v>2012840</v>
      </c>
      <c r="B1713">
        <v>2018</v>
      </c>
      <c r="C1713" t="s">
        <v>6</v>
      </c>
      <c r="D1713" t="s">
        <v>7</v>
      </c>
      <c r="E1713" t="s">
        <v>8</v>
      </c>
      <c r="F1713" s="28">
        <v>5198</v>
      </c>
      <c r="G1713" t="s">
        <v>231</v>
      </c>
      <c r="H1713" s="1">
        <v>1349888</v>
      </c>
      <c r="I1713" s="1">
        <v>204129.18235437881</v>
      </c>
      <c r="J1713" s="1">
        <v>1554017.1823543787</v>
      </c>
    </row>
    <row r="1714" spans="1:10" x14ac:dyDescent="0.2">
      <c r="A1714">
        <v>2012840</v>
      </c>
      <c r="B1714">
        <v>2019</v>
      </c>
      <c r="C1714" t="s">
        <v>6</v>
      </c>
      <c r="D1714" t="s">
        <v>7</v>
      </c>
      <c r="E1714" t="s">
        <v>8</v>
      </c>
      <c r="F1714" s="28">
        <v>5198</v>
      </c>
      <c r="G1714" t="s">
        <v>231</v>
      </c>
      <c r="H1714" s="1">
        <v>1418382</v>
      </c>
      <c r="I1714" s="1">
        <v>216016.48919259163</v>
      </c>
      <c r="J1714" s="1">
        <v>1634398.4891925915</v>
      </c>
    </row>
    <row r="1715" spans="1:10" x14ac:dyDescent="0.2">
      <c r="A1715">
        <v>2012840</v>
      </c>
      <c r="B1715">
        <v>2020</v>
      </c>
      <c r="C1715" t="s">
        <v>6</v>
      </c>
      <c r="D1715" t="s">
        <v>7</v>
      </c>
      <c r="E1715" t="s">
        <v>8</v>
      </c>
      <c r="F1715" s="28">
        <v>5198</v>
      </c>
      <c r="G1715" t="s">
        <v>231</v>
      </c>
      <c r="H1715" s="1">
        <v>1529227</v>
      </c>
      <c r="I1715" s="1">
        <v>231348.83901427969</v>
      </c>
      <c r="J1715" s="1">
        <v>1760575.8390142797</v>
      </c>
    </row>
    <row r="1716" spans="1:10" x14ac:dyDescent="0.2">
      <c r="A1716">
        <v>2012840</v>
      </c>
      <c r="B1716">
        <v>2021</v>
      </c>
      <c r="C1716" t="s">
        <v>6</v>
      </c>
      <c r="D1716" t="s">
        <v>7</v>
      </c>
      <c r="E1716" t="s">
        <v>8</v>
      </c>
      <c r="F1716" s="28">
        <v>5198</v>
      </c>
      <c r="G1716" t="s">
        <v>231</v>
      </c>
      <c r="H1716" s="25">
        <v>1458926</v>
      </c>
      <c r="I1716" s="1">
        <v>217807.61540287756</v>
      </c>
      <c r="J1716" s="1">
        <v>1676733.6154028776</v>
      </c>
    </row>
    <row r="1717" spans="1:10" x14ac:dyDescent="0.2">
      <c r="A1717">
        <v>2012840</v>
      </c>
      <c r="B1717">
        <v>2022</v>
      </c>
      <c r="C1717" t="s">
        <v>6</v>
      </c>
      <c r="D1717" t="s">
        <v>7</v>
      </c>
      <c r="E1717" t="s">
        <v>8</v>
      </c>
      <c r="F1717" s="28">
        <v>5198</v>
      </c>
      <c r="G1717" t="s">
        <v>231</v>
      </c>
      <c r="H1717" s="1">
        <v>1524445</v>
      </c>
      <c r="I1717" s="1">
        <v>207028.09792540935</v>
      </c>
      <c r="J1717" s="1">
        <v>1731473.0979254094</v>
      </c>
    </row>
    <row r="1718" spans="1:10" x14ac:dyDescent="0.2">
      <c r="A1718">
        <v>2012840</v>
      </c>
      <c r="B1718">
        <v>2023</v>
      </c>
      <c r="C1718" t="s">
        <v>6</v>
      </c>
      <c r="D1718" t="s">
        <v>7</v>
      </c>
      <c r="E1718" t="s">
        <v>8</v>
      </c>
      <c r="F1718" s="28">
        <v>5198</v>
      </c>
      <c r="G1718" s="10" t="s">
        <v>231</v>
      </c>
      <c r="H1718" s="1">
        <v>1476201</v>
      </c>
      <c r="I1718" s="1">
        <v>206672.53359770062</v>
      </c>
      <c r="J1718" s="1">
        <v>1682873.5335977005</v>
      </c>
    </row>
    <row r="1719" spans="1:10" x14ac:dyDescent="0.2">
      <c r="A1719">
        <v>2005820</v>
      </c>
      <c r="B1719">
        <v>2015</v>
      </c>
      <c r="C1719" t="s">
        <v>6</v>
      </c>
      <c r="D1719" t="s">
        <v>7</v>
      </c>
      <c r="E1719" t="s">
        <v>8</v>
      </c>
      <c r="F1719" s="29">
        <v>5199</v>
      </c>
      <c r="G1719" s="3" t="s">
        <v>232</v>
      </c>
      <c r="H1719" s="27">
        <v>321241</v>
      </c>
      <c r="I1719" s="1">
        <v>51743.586218123943</v>
      </c>
      <c r="J1719" s="1">
        <v>372984.58621812396</v>
      </c>
    </row>
    <row r="1720" spans="1:10" x14ac:dyDescent="0.2">
      <c r="A1720">
        <v>2005820</v>
      </c>
      <c r="B1720">
        <v>2016</v>
      </c>
      <c r="C1720" t="s">
        <v>6</v>
      </c>
      <c r="D1720" t="s">
        <v>7</v>
      </c>
      <c r="E1720" t="s">
        <v>8</v>
      </c>
      <c r="F1720" s="29">
        <v>5199</v>
      </c>
      <c r="G1720" s="3" t="s">
        <v>232</v>
      </c>
      <c r="H1720" s="1">
        <v>265593</v>
      </c>
      <c r="I1720" s="26">
        <v>701452.61500875489</v>
      </c>
      <c r="J1720" s="26">
        <v>967045.61500875489</v>
      </c>
    </row>
    <row r="1721" spans="1:10" x14ac:dyDescent="0.2">
      <c r="A1721">
        <v>2005820</v>
      </c>
      <c r="B1721">
        <v>2017</v>
      </c>
      <c r="C1721" t="s">
        <v>6</v>
      </c>
      <c r="D1721" t="s">
        <v>7</v>
      </c>
      <c r="E1721" t="s">
        <v>8</v>
      </c>
      <c r="F1721" s="29">
        <v>5199</v>
      </c>
      <c r="G1721" s="3" t="s">
        <v>232</v>
      </c>
      <c r="H1721" s="1">
        <v>314574</v>
      </c>
      <c r="I1721" s="1">
        <v>49091.047213485283</v>
      </c>
      <c r="J1721" s="1">
        <v>363665.04721348529</v>
      </c>
    </row>
    <row r="1722" spans="1:10" x14ac:dyDescent="0.2">
      <c r="A1722">
        <v>2005820</v>
      </c>
      <c r="B1722">
        <v>2018</v>
      </c>
      <c r="C1722" t="s">
        <v>6</v>
      </c>
      <c r="D1722" t="s">
        <v>7</v>
      </c>
      <c r="E1722" t="s">
        <v>8</v>
      </c>
      <c r="F1722" s="28">
        <v>5199</v>
      </c>
      <c r="G1722" t="s">
        <v>232</v>
      </c>
      <c r="H1722" s="1">
        <v>362111</v>
      </c>
      <c r="I1722" s="1">
        <v>54758.189087929124</v>
      </c>
      <c r="J1722" s="1">
        <v>416869.18908792915</v>
      </c>
    </row>
    <row r="1723" spans="1:10" x14ac:dyDescent="0.2">
      <c r="A1723">
        <v>2005820</v>
      </c>
      <c r="B1723">
        <v>2019</v>
      </c>
      <c r="C1723" t="s">
        <v>6</v>
      </c>
      <c r="D1723" t="s">
        <v>7</v>
      </c>
      <c r="E1723" t="s">
        <v>8</v>
      </c>
      <c r="F1723" s="28">
        <v>5199</v>
      </c>
      <c r="G1723" t="s">
        <v>232</v>
      </c>
      <c r="H1723" s="1">
        <v>412629</v>
      </c>
      <c r="I1723" s="1">
        <v>62842.497944171526</v>
      </c>
      <c r="J1723" s="1">
        <v>475471.49794417154</v>
      </c>
    </row>
    <row r="1724" spans="1:10" x14ac:dyDescent="0.2">
      <c r="A1724">
        <v>2005820</v>
      </c>
      <c r="B1724">
        <v>2020</v>
      </c>
      <c r="C1724" t="s">
        <v>6</v>
      </c>
      <c r="D1724" t="s">
        <v>7</v>
      </c>
      <c r="E1724" t="s">
        <v>8</v>
      </c>
      <c r="F1724" s="28">
        <v>5199</v>
      </c>
      <c r="G1724" t="s">
        <v>232</v>
      </c>
      <c r="H1724" s="1">
        <v>453970</v>
      </c>
      <c r="I1724" s="1">
        <v>68678.771985658474</v>
      </c>
      <c r="J1724" s="1">
        <v>522648.77198565844</v>
      </c>
    </row>
    <row r="1725" spans="1:10" x14ac:dyDescent="0.2">
      <c r="A1725">
        <v>2005820</v>
      </c>
      <c r="B1725">
        <v>2021</v>
      </c>
      <c r="C1725" t="s">
        <v>6</v>
      </c>
      <c r="D1725" t="s">
        <v>7</v>
      </c>
      <c r="E1725" t="s">
        <v>8</v>
      </c>
      <c r="F1725" s="28">
        <v>5199</v>
      </c>
      <c r="G1725" t="s">
        <v>232</v>
      </c>
      <c r="H1725" s="25">
        <v>465997</v>
      </c>
      <c r="I1725" s="1">
        <v>69570.146364445318</v>
      </c>
      <c r="J1725" s="1">
        <v>535567.14636444533</v>
      </c>
    </row>
    <row r="1726" spans="1:10" x14ac:dyDescent="0.2">
      <c r="A1726">
        <v>2005820</v>
      </c>
      <c r="B1726">
        <v>2022</v>
      </c>
      <c r="C1726" t="s">
        <v>6</v>
      </c>
      <c r="D1726" t="s">
        <v>7</v>
      </c>
      <c r="E1726" t="s">
        <v>8</v>
      </c>
      <c r="F1726" s="28">
        <v>5199</v>
      </c>
      <c r="G1726" t="s">
        <v>232</v>
      </c>
      <c r="H1726" s="1">
        <v>471636</v>
      </c>
      <c r="I1726" s="1">
        <v>64050.788315189035</v>
      </c>
      <c r="J1726" s="1">
        <v>535686.78831518907</v>
      </c>
    </row>
    <row r="1727" spans="1:10" x14ac:dyDescent="0.2">
      <c r="A1727">
        <v>2005820</v>
      </c>
      <c r="B1727">
        <v>2023</v>
      </c>
      <c r="C1727" t="s">
        <v>6</v>
      </c>
      <c r="D1727" t="s">
        <v>7</v>
      </c>
      <c r="E1727" t="s">
        <v>8</v>
      </c>
      <c r="F1727" s="28">
        <v>5199</v>
      </c>
      <c r="G1727" s="10" t="s">
        <v>232</v>
      </c>
      <c r="H1727" s="1">
        <v>443730</v>
      </c>
      <c r="I1727" s="1">
        <v>62123.520667786899</v>
      </c>
      <c r="J1727" s="1">
        <v>505853.52066778688</v>
      </c>
    </row>
    <row r="1728" spans="1:10" x14ac:dyDescent="0.2">
      <c r="A1728">
        <v>2008250</v>
      </c>
      <c r="B1728">
        <v>2015</v>
      </c>
      <c r="C1728" t="s">
        <v>6</v>
      </c>
      <c r="D1728" t="s">
        <v>7</v>
      </c>
      <c r="E1728" t="s">
        <v>8</v>
      </c>
      <c r="F1728" s="29">
        <v>5200</v>
      </c>
      <c r="G1728" s="3" t="s">
        <v>233</v>
      </c>
      <c r="H1728" s="27">
        <v>577147</v>
      </c>
      <c r="I1728" s="1">
        <v>92963.399924142868</v>
      </c>
      <c r="J1728" s="1">
        <v>670110.39992414287</v>
      </c>
    </row>
    <row r="1729" spans="1:10" x14ac:dyDescent="0.2">
      <c r="A1729">
        <v>2008250</v>
      </c>
      <c r="B1729">
        <v>2016</v>
      </c>
      <c r="C1729" t="s">
        <v>6</v>
      </c>
      <c r="D1729" t="s">
        <v>7</v>
      </c>
      <c r="E1729" t="s">
        <v>8</v>
      </c>
      <c r="F1729" s="29">
        <v>5200</v>
      </c>
      <c r="G1729" s="3" t="s">
        <v>233</v>
      </c>
      <c r="H1729" s="1">
        <v>640201</v>
      </c>
      <c r="I1729" s="26">
        <v>1690829.8953382063</v>
      </c>
      <c r="J1729" s="26">
        <v>2331030.8953382066</v>
      </c>
    </row>
    <row r="1730" spans="1:10" x14ac:dyDescent="0.2">
      <c r="A1730">
        <v>2008250</v>
      </c>
      <c r="B1730">
        <v>2017</v>
      </c>
      <c r="C1730" t="s">
        <v>6</v>
      </c>
      <c r="D1730" t="s">
        <v>7</v>
      </c>
      <c r="E1730" t="s">
        <v>8</v>
      </c>
      <c r="F1730" s="29">
        <v>5200</v>
      </c>
      <c r="G1730" s="3" t="s">
        <v>233</v>
      </c>
      <c r="H1730" s="1">
        <v>704306</v>
      </c>
      <c r="I1730" s="1">
        <v>109910.92429361919</v>
      </c>
      <c r="J1730" s="1">
        <v>814216.92429361923</v>
      </c>
    </row>
    <row r="1731" spans="1:10" x14ac:dyDescent="0.2">
      <c r="A1731">
        <v>2008250</v>
      </c>
      <c r="B1731">
        <v>2018</v>
      </c>
      <c r="C1731" t="s">
        <v>6</v>
      </c>
      <c r="D1731" t="s">
        <v>7</v>
      </c>
      <c r="E1731" t="s">
        <v>8</v>
      </c>
      <c r="F1731" s="28">
        <v>5200</v>
      </c>
      <c r="G1731" t="s">
        <v>233</v>
      </c>
      <c r="H1731" s="1">
        <v>857080</v>
      </c>
      <c r="I1731" s="1">
        <v>129607.07822596468</v>
      </c>
      <c r="J1731" s="1">
        <v>986687.07822596468</v>
      </c>
    </row>
    <row r="1732" spans="1:10" x14ac:dyDescent="0.2">
      <c r="A1732">
        <v>2008250</v>
      </c>
      <c r="B1732">
        <v>2019</v>
      </c>
      <c r="C1732" t="s">
        <v>6</v>
      </c>
      <c r="D1732" t="s">
        <v>7</v>
      </c>
      <c r="E1732" t="s">
        <v>8</v>
      </c>
      <c r="F1732" s="28">
        <v>5200</v>
      </c>
      <c r="G1732" t="s">
        <v>233</v>
      </c>
      <c r="H1732" s="1">
        <v>911558</v>
      </c>
      <c r="I1732" s="1">
        <v>138828.29791651363</v>
      </c>
      <c r="J1732" s="1">
        <v>1050386.2979165136</v>
      </c>
    </row>
    <row r="1733" spans="1:10" x14ac:dyDescent="0.2">
      <c r="A1733">
        <v>2008250</v>
      </c>
      <c r="B1733">
        <v>2020</v>
      </c>
      <c r="C1733" t="s">
        <v>6</v>
      </c>
      <c r="D1733" t="s">
        <v>7</v>
      </c>
      <c r="E1733" t="s">
        <v>8</v>
      </c>
      <c r="F1733" s="28">
        <v>5200</v>
      </c>
      <c r="G1733" t="s">
        <v>233</v>
      </c>
      <c r="H1733" s="1">
        <v>1096321</v>
      </c>
      <c r="I1733" s="1">
        <v>165856.73058151218</v>
      </c>
      <c r="J1733" s="1">
        <v>1262177.7305815122</v>
      </c>
    </row>
    <row r="1734" spans="1:10" x14ac:dyDescent="0.2">
      <c r="A1734">
        <v>2008250</v>
      </c>
      <c r="B1734">
        <v>2021</v>
      </c>
      <c r="C1734" t="s">
        <v>6</v>
      </c>
      <c r="D1734" t="s">
        <v>7</v>
      </c>
      <c r="E1734" t="s">
        <v>8</v>
      </c>
      <c r="F1734" s="28">
        <v>5200</v>
      </c>
      <c r="G1734" t="s">
        <v>233</v>
      </c>
      <c r="H1734" s="25">
        <v>1034894</v>
      </c>
      <c r="I1734" s="1">
        <v>154502.55484839229</v>
      </c>
      <c r="J1734" s="1">
        <v>1189396.5548483923</v>
      </c>
    </row>
    <row r="1735" spans="1:10" x14ac:dyDescent="0.2">
      <c r="A1735">
        <v>2008250</v>
      </c>
      <c r="B1735">
        <v>2022</v>
      </c>
      <c r="C1735" t="s">
        <v>6</v>
      </c>
      <c r="D1735" t="s">
        <v>7</v>
      </c>
      <c r="E1735" t="s">
        <v>8</v>
      </c>
      <c r="F1735" s="28">
        <v>5200</v>
      </c>
      <c r="G1735" t="s">
        <v>233</v>
      </c>
      <c r="H1735" s="1">
        <v>1034821</v>
      </c>
      <c r="I1735" s="1">
        <v>140534.43930300538</v>
      </c>
      <c r="J1735" s="1">
        <v>1175355.4393030053</v>
      </c>
    </row>
    <row r="1736" spans="1:10" x14ac:dyDescent="0.2">
      <c r="A1736">
        <v>2008250</v>
      </c>
      <c r="B1736">
        <v>2023</v>
      </c>
      <c r="C1736" t="s">
        <v>6</v>
      </c>
      <c r="D1736" t="s">
        <v>7</v>
      </c>
      <c r="E1736" t="s">
        <v>8</v>
      </c>
      <c r="F1736" s="28">
        <v>5200</v>
      </c>
      <c r="G1736" s="10" t="s">
        <v>233</v>
      </c>
      <c r="H1736" s="1">
        <v>1063198</v>
      </c>
      <c r="I1736" s="1">
        <v>148850.88438228134</v>
      </c>
      <c r="J1736" s="1">
        <v>1212048.8843822815</v>
      </c>
    </row>
    <row r="1737" spans="1:10" x14ac:dyDescent="0.2">
      <c r="A1737">
        <v>2004350</v>
      </c>
      <c r="B1737">
        <v>2015</v>
      </c>
      <c r="C1737" t="s">
        <v>6</v>
      </c>
      <c r="D1737" t="s">
        <v>7</v>
      </c>
      <c r="E1737" t="s">
        <v>8</v>
      </c>
      <c r="F1737" s="29">
        <v>5201</v>
      </c>
      <c r="G1737" s="3" t="s">
        <v>234</v>
      </c>
      <c r="H1737" s="27">
        <v>191265</v>
      </c>
      <c r="I1737" s="1">
        <v>30807.826578828593</v>
      </c>
      <c r="J1737" s="1">
        <v>222072.82657882859</v>
      </c>
    </row>
    <row r="1738" spans="1:10" x14ac:dyDescent="0.2">
      <c r="A1738">
        <v>2004350</v>
      </c>
      <c r="B1738">
        <v>2016</v>
      </c>
      <c r="C1738" t="s">
        <v>6</v>
      </c>
      <c r="D1738" t="s">
        <v>7</v>
      </c>
      <c r="E1738" t="s">
        <v>8</v>
      </c>
      <c r="F1738" s="29">
        <v>5201</v>
      </c>
      <c r="G1738" s="3" t="s">
        <v>234</v>
      </c>
      <c r="H1738" s="1">
        <v>179801</v>
      </c>
      <c r="I1738" s="26">
        <v>474871.99532015185</v>
      </c>
      <c r="J1738" s="26">
        <v>654672.99532015179</v>
      </c>
    </row>
    <row r="1739" spans="1:10" x14ac:dyDescent="0.2">
      <c r="A1739">
        <v>2004350</v>
      </c>
      <c r="B1739">
        <v>2017</v>
      </c>
      <c r="C1739" t="s">
        <v>6</v>
      </c>
      <c r="D1739" t="s">
        <v>7</v>
      </c>
      <c r="E1739" t="s">
        <v>8</v>
      </c>
      <c r="F1739" s="29">
        <v>5201</v>
      </c>
      <c r="G1739" s="3" t="s">
        <v>234</v>
      </c>
      <c r="H1739" s="1">
        <v>166715</v>
      </c>
      <c r="I1739" s="1">
        <v>26016.816190137135</v>
      </c>
      <c r="J1739" s="1">
        <v>192731.81619013712</v>
      </c>
    </row>
    <row r="1740" spans="1:10" x14ac:dyDescent="0.2">
      <c r="A1740">
        <v>2004350</v>
      </c>
      <c r="B1740">
        <v>2018</v>
      </c>
      <c r="C1740" t="s">
        <v>6</v>
      </c>
      <c r="D1740" t="s">
        <v>7</v>
      </c>
      <c r="E1740" t="s">
        <v>8</v>
      </c>
      <c r="F1740" s="28">
        <v>5201</v>
      </c>
      <c r="G1740" t="s">
        <v>234</v>
      </c>
      <c r="H1740" s="1">
        <v>195572</v>
      </c>
      <c r="I1740" s="1">
        <v>29574.270199757742</v>
      </c>
      <c r="J1740" s="1">
        <v>225146.27019975774</v>
      </c>
    </row>
    <row r="1741" spans="1:10" x14ac:dyDescent="0.2">
      <c r="A1741">
        <v>2004350</v>
      </c>
      <c r="B1741">
        <v>2019</v>
      </c>
      <c r="C1741" t="s">
        <v>6</v>
      </c>
      <c r="D1741" t="s">
        <v>7</v>
      </c>
      <c r="E1741" t="s">
        <v>8</v>
      </c>
      <c r="F1741" s="28">
        <v>5201</v>
      </c>
      <c r="G1741" t="s">
        <v>234</v>
      </c>
      <c r="H1741" s="1">
        <v>216111</v>
      </c>
      <c r="I1741" s="1">
        <v>32913.234584124853</v>
      </c>
      <c r="J1741" s="1">
        <v>249024.23458412485</v>
      </c>
    </row>
    <row r="1742" spans="1:10" x14ac:dyDescent="0.2">
      <c r="A1742">
        <v>2004350</v>
      </c>
      <c r="B1742">
        <v>2020</v>
      </c>
      <c r="C1742" t="s">
        <v>6</v>
      </c>
      <c r="D1742" t="s">
        <v>7</v>
      </c>
      <c r="E1742" t="s">
        <v>8</v>
      </c>
      <c r="F1742" s="28">
        <v>5201</v>
      </c>
      <c r="G1742" t="s">
        <v>234</v>
      </c>
      <c r="H1742" s="1">
        <v>239196</v>
      </c>
      <c r="I1742" s="1">
        <v>36186.724990377261</v>
      </c>
      <c r="J1742" s="1">
        <v>275382.72499037726</v>
      </c>
    </row>
    <row r="1743" spans="1:10" x14ac:dyDescent="0.2">
      <c r="A1743">
        <v>2004350</v>
      </c>
      <c r="B1743">
        <v>2021</v>
      </c>
      <c r="C1743" t="s">
        <v>6</v>
      </c>
      <c r="D1743" t="s">
        <v>7</v>
      </c>
      <c r="E1743" t="s">
        <v>8</v>
      </c>
      <c r="F1743" s="28">
        <v>5201</v>
      </c>
      <c r="G1743" t="s">
        <v>234</v>
      </c>
      <c r="H1743" s="25">
        <v>240930</v>
      </c>
      <c r="I1743" s="1">
        <v>35969.191569013979</v>
      </c>
      <c r="J1743" s="1">
        <v>276899.19156901399</v>
      </c>
    </row>
    <row r="1744" spans="1:10" x14ac:dyDescent="0.2">
      <c r="A1744">
        <v>2004350</v>
      </c>
      <c r="B1744">
        <v>2022</v>
      </c>
      <c r="C1744" t="s">
        <v>6</v>
      </c>
      <c r="D1744" t="s">
        <v>7</v>
      </c>
      <c r="E1744" t="s">
        <v>8</v>
      </c>
      <c r="F1744" s="28">
        <v>5201</v>
      </c>
      <c r="G1744" t="s">
        <v>234</v>
      </c>
      <c r="H1744" s="1">
        <v>226363</v>
      </c>
      <c r="I1744" s="1">
        <v>30741.352643545313</v>
      </c>
      <c r="J1744" s="1">
        <v>257104.35264354531</v>
      </c>
    </row>
    <row r="1745" spans="1:10" x14ac:dyDescent="0.2">
      <c r="A1745">
        <v>2004350</v>
      </c>
      <c r="B1745">
        <v>2023</v>
      </c>
      <c r="C1745" t="s">
        <v>6</v>
      </c>
      <c r="D1745" t="s">
        <v>7</v>
      </c>
      <c r="E1745" t="s">
        <v>8</v>
      </c>
      <c r="F1745" s="28">
        <v>5201</v>
      </c>
      <c r="G1745" s="10" t="s">
        <v>234</v>
      </c>
      <c r="H1745" s="1">
        <v>212561</v>
      </c>
      <c r="I1745" s="1">
        <v>29759.17264252012</v>
      </c>
      <c r="J1745" s="1">
        <v>242320.17264252011</v>
      </c>
    </row>
    <row r="1746" spans="1:10" x14ac:dyDescent="0.2">
      <c r="A1746">
        <v>2010290</v>
      </c>
      <c r="B1746">
        <v>2015</v>
      </c>
      <c r="C1746" t="s">
        <v>6</v>
      </c>
      <c r="D1746" t="s">
        <v>7</v>
      </c>
      <c r="E1746" t="s">
        <v>8</v>
      </c>
      <c r="F1746" s="29">
        <v>5202</v>
      </c>
      <c r="G1746" s="3" t="s">
        <v>235</v>
      </c>
      <c r="H1746" s="27">
        <v>161268</v>
      </c>
      <c r="I1746" s="1">
        <v>25976.088551039287</v>
      </c>
      <c r="J1746" s="1">
        <v>187244.08855103928</v>
      </c>
    </row>
    <row r="1747" spans="1:10" x14ac:dyDescent="0.2">
      <c r="A1747">
        <v>2010290</v>
      </c>
      <c r="B1747">
        <v>2016</v>
      </c>
      <c r="C1747" t="s">
        <v>6</v>
      </c>
      <c r="D1747" t="s">
        <v>7</v>
      </c>
      <c r="E1747" t="s">
        <v>8</v>
      </c>
      <c r="F1747" s="29">
        <v>5202</v>
      </c>
      <c r="G1747" s="3" t="s">
        <v>235</v>
      </c>
      <c r="H1747" s="1">
        <v>179055</v>
      </c>
      <c r="I1747" s="26">
        <v>472897.39565951127</v>
      </c>
      <c r="J1747" s="26">
        <v>651952.39565951133</v>
      </c>
    </row>
    <row r="1748" spans="1:10" x14ac:dyDescent="0.2">
      <c r="A1748">
        <v>2010290</v>
      </c>
      <c r="B1748">
        <v>2017</v>
      </c>
      <c r="C1748" t="s">
        <v>6</v>
      </c>
      <c r="D1748" t="s">
        <v>7</v>
      </c>
      <c r="E1748" t="s">
        <v>8</v>
      </c>
      <c r="F1748" s="29">
        <v>5202</v>
      </c>
      <c r="G1748" s="3" t="s">
        <v>235</v>
      </c>
      <c r="H1748" s="1">
        <v>179726</v>
      </c>
      <c r="I1748" s="1">
        <v>28047.256135252297</v>
      </c>
      <c r="J1748" s="1">
        <v>207773.2561352523</v>
      </c>
    </row>
    <row r="1749" spans="1:10" x14ac:dyDescent="0.2">
      <c r="A1749">
        <v>2010290</v>
      </c>
      <c r="B1749">
        <v>2018</v>
      </c>
      <c r="C1749" t="s">
        <v>6</v>
      </c>
      <c r="D1749" t="s">
        <v>7</v>
      </c>
      <c r="E1749" t="s">
        <v>8</v>
      </c>
      <c r="F1749" s="28">
        <v>5202</v>
      </c>
      <c r="G1749" t="s">
        <v>235</v>
      </c>
      <c r="H1749" s="1">
        <v>222883</v>
      </c>
      <c r="I1749" s="1">
        <v>33704.221795208949</v>
      </c>
      <c r="J1749" s="1">
        <v>256587.22179520896</v>
      </c>
    </row>
    <row r="1750" spans="1:10" x14ac:dyDescent="0.2">
      <c r="A1750">
        <v>2010290</v>
      </c>
      <c r="B1750">
        <v>2019</v>
      </c>
      <c r="C1750" t="s">
        <v>6</v>
      </c>
      <c r="D1750" t="s">
        <v>7</v>
      </c>
      <c r="E1750" t="s">
        <v>8</v>
      </c>
      <c r="F1750" s="28">
        <v>5202</v>
      </c>
      <c r="G1750" t="s">
        <v>235</v>
      </c>
      <c r="H1750" s="1">
        <v>242317</v>
      </c>
      <c r="I1750" s="1">
        <v>36904.351304289841</v>
      </c>
      <c r="J1750" s="1">
        <v>279221.35130428983</v>
      </c>
    </row>
    <row r="1751" spans="1:10" x14ac:dyDescent="0.2">
      <c r="A1751">
        <v>2010290</v>
      </c>
      <c r="B1751">
        <v>2020</v>
      </c>
      <c r="C1751" t="s">
        <v>6</v>
      </c>
      <c r="D1751" t="s">
        <v>7</v>
      </c>
      <c r="E1751" t="s">
        <v>8</v>
      </c>
      <c r="F1751" s="28">
        <v>5202</v>
      </c>
      <c r="G1751" t="s">
        <v>235</v>
      </c>
      <c r="H1751" s="1">
        <v>285399</v>
      </c>
      <c r="I1751" s="1">
        <v>43176.537757858321</v>
      </c>
      <c r="J1751" s="1">
        <v>328575.53775785834</v>
      </c>
    </row>
    <row r="1752" spans="1:10" x14ac:dyDescent="0.2">
      <c r="A1752">
        <v>2010290</v>
      </c>
      <c r="B1752">
        <v>2021</v>
      </c>
      <c r="C1752" t="s">
        <v>6</v>
      </c>
      <c r="D1752" t="s">
        <v>7</v>
      </c>
      <c r="E1752" t="s">
        <v>8</v>
      </c>
      <c r="F1752" s="28">
        <v>5202</v>
      </c>
      <c r="G1752" t="s">
        <v>235</v>
      </c>
      <c r="H1752" s="25">
        <v>283902</v>
      </c>
      <c r="I1752" s="1">
        <v>42384.615551513751</v>
      </c>
      <c r="J1752" s="1">
        <v>326286.61555151374</v>
      </c>
    </row>
    <row r="1753" spans="1:10" x14ac:dyDescent="0.2">
      <c r="A1753">
        <v>2010290</v>
      </c>
      <c r="B1753">
        <v>2022</v>
      </c>
      <c r="C1753" t="s">
        <v>6</v>
      </c>
      <c r="D1753" t="s">
        <v>7</v>
      </c>
      <c r="E1753" t="s">
        <v>8</v>
      </c>
      <c r="F1753" s="28">
        <v>5202</v>
      </c>
      <c r="G1753" t="s">
        <v>235</v>
      </c>
      <c r="H1753" s="1">
        <v>292530</v>
      </c>
      <c r="I1753" s="1">
        <v>39727.198741915905</v>
      </c>
      <c r="J1753" s="1">
        <v>332257.19874191593</v>
      </c>
    </row>
    <row r="1754" spans="1:10" x14ac:dyDescent="0.2">
      <c r="A1754">
        <v>2010290</v>
      </c>
      <c r="B1754">
        <v>2023</v>
      </c>
      <c r="C1754" t="s">
        <v>6</v>
      </c>
      <c r="D1754" t="s">
        <v>7</v>
      </c>
      <c r="E1754" t="s">
        <v>8</v>
      </c>
      <c r="F1754" s="28">
        <v>5202</v>
      </c>
      <c r="G1754" s="10" t="s">
        <v>235</v>
      </c>
      <c r="H1754" s="1">
        <v>288226</v>
      </c>
      <c r="I1754" s="1">
        <v>40352.497843268531</v>
      </c>
      <c r="J1754" s="1">
        <v>328578.49784326856</v>
      </c>
    </row>
    <row r="1755" spans="1:10" x14ac:dyDescent="0.2">
      <c r="A1755">
        <v>2000002</v>
      </c>
      <c r="B1755">
        <v>2015</v>
      </c>
      <c r="C1755" t="s">
        <v>6</v>
      </c>
      <c r="D1755" t="s">
        <v>7</v>
      </c>
      <c r="E1755" t="s">
        <v>8</v>
      </c>
      <c r="F1755" s="29">
        <v>5203</v>
      </c>
      <c r="G1755" s="3" t="s">
        <v>236</v>
      </c>
      <c r="H1755" s="27">
        <v>498204</v>
      </c>
      <c r="I1755" s="1">
        <v>80247.731853076722</v>
      </c>
      <c r="J1755" s="1">
        <v>578451.73185307672</v>
      </c>
    </row>
    <row r="1756" spans="1:10" x14ac:dyDescent="0.2">
      <c r="A1756">
        <v>2000002</v>
      </c>
      <c r="B1756">
        <v>2016</v>
      </c>
      <c r="C1756" t="s">
        <v>6</v>
      </c>
      <c r="D1756" t="s">
        <v>7</v>
      </c>
      <c r="E1756" t="s">
        <v>8</v>
      </c>
      <c r="F1756" s="29">
        <v>5203</v>
      </c>
      <c r="G1756" s="3" t="s">
        <v>236</v>
      </c>
      <c r="H1756" s="1">
        <v>543563</v>
      </c>
      <c r="I1756" s="26">
        <v>1435601.3532102278</v>
      </c>
      <c r="J1756" s="26">
        <v>1979164.3532102278</v>
      </c>
    </row>
    <row r="1757" spans="1:10" x14ac:dyDescent="0.2">
      <c r="A1757">
        <v>2000002</v>
      </c>
      <c r="B1757">
        <v>2017</v>
      </c>
      <c r="C1757" t="s">
        <v>6</v>
      </c>
      <c r="D1757" t="s">
        <v>7</v>
      </c>
      <c r="E1757" t="s">
        <v>8</v>
      </c>
      <c r="F1757" s="29">
        <v>5203</v>
      </c>
      <c r="G1757" s="3" t="s">
        <v>236</v>
      </c>
      <c r="H1757" s="1">
        <v>558201</v>
      </c>
      <c r="I1757" s="1">
        <v>87110.414864593695</v>
      </c>
      <c r="J1757" s="1">
        <v>645311.41486459365</v>
      </c>
    </row>
    <row r="1758" spans="1:10" x14ac:dyDescent="0.2">
      <c r="A1758">
        <v>2000002</v>
      </c>
      <c r="B1758">
        <v>2018</v>
      </c>
      <c r="C1758" t="s">
        <v>6</v>
      </c>
      <c r="D1758" t="s">
        <v>7</v>
      </c>
      <c r="E1758" t="s">
        <v>8</v>
      </c>
      <c r="F1758" s="28">
        <v>5203</v>
      </c>
      <c r="G1758" t="s">
        <v>236</v>
      </c>
      <c r="H1758" s="1">
        <v>659911</v>
      </c>
      <c r="I1758" s="1">
        <v>99791.310728490425</v>
      </c>
      <c r="J1758" s="1">
        <v>759702.31072849047</v>
      </c>
    </row>
    <row r="1759" spans="1:10" x14ac:dyDescent="0.2">
      <c r="A1759">
        <v>2000002</v>
      </c>
      <c r="B1759">
        <v>2019</v>
      </c>
      <c r="C1759" t="s">
        <v>6</v>
      </c>
      <c r="D1759" t="s">
        <v>7</v>
      </c>
      <c r="E1759" t="s">
        <v>8</v>
      </c>
      <c r="F1759" s="28">
        <v>5203</v>
      </c>
      <c r="G1759" t="s">
        <v>236</v>
      </c>
      <c r="H1759" s="1">
        <v>703201</v>
      </c>
      <c r="I1759" s="1">
        <v>107095.98064323972</v>
      </c>
      <c r="J1759" s="1">
        <v>810296.98064323969</v>
      </c>
    </row>
    <row r="1760" spans="1:10" x14ac:dyDescent="0.2">
      <c r="A1760">
        <v>2000002</v>
      </c>
      <c r="B1760">
        <v>2020</v>
      </c>
      <c r="C1760" t="s">
        <v>6</v>
      </c>
      <c r="D1760" t="s">
        <v>7</v>
      </c>
      <c r="E1760" t="s">
        <v>8</v>
      </c>
      <c r="F1760" s="28">
        <v>5203</v>
      </c>
      <c r="G1760" t="s">
        <v>236</v>
      </c>
      <c r="H1760" s="1">
        <v>799143</v>
      </c>
      <c r="I1760" s="1">
        <v>120898.20887048719</v>
      </c>
      <c r="J1760" s="1">
        <v>920041.20887048717</v>
      </c>
    </row>
    <row r="1761" spans="1:10" x14ac:dyDescent="0.2">
      <c r="A1761">
        <v>2000002</v>
      </c>
      <c r="B1761">
        <v>2021</v>
      </c>
      <c r="C1761" t="s">
        <v>6</v>
      </c>
      <c r="D1761" t="s">
        <v>7</v>
      </c>
      <c r="E1761" t="s">
        <v>8</v>
      </c>
      <c r="F1761" s="28">
        <v>5203</v>
      </c>
      <c r="G1761" t="s">
        <v>236</v>
      </c>
      <c r="H1761" s="25">
        <v>805490</v>
      </c>
      <c r="I1761" s="1">
        <v>120254.11578850735</v>
      </c>
      <c r="J1761" s="1">
        <v>925744.11578850739</v>
      </c>
    </row>
    <row r="1762" spans="1:10" x14ac:dyDescent="0.2">
      <c r="A1762">
        <v>2000002</v>
      </c>
      <c r="B1762">
        <v>2022</v>
      </c>
      <c r="C1762" t="s">
        <v>6</v>
      </c>
      <c r="D1762" t="s">
        <v>7</v>
      </c>
      <c r="E1762" t="s">
        <v>8</v>
      </c>
      <c r="F1762" s="28">
        <v>5203</v>
      </c>
      <c r="G1762" t="s">
        <v>236</v>
      </c>
      <c r="H1762" s="1">
        <v>776612</v>
      </c>
      <c r="I1762" s="1">
        <v>105468.22298347791</v>
      </c>
      <c r="J1762" s="1">
        <v>882080.22298347787</v>
      </c>
    </row>
    <row r="1763" spans="1:10" x14ac:dyDescent="0.2">
      <c r="A1763">
        <v>2000002</v>
      </c>
      <c r="B1763">
        <v>2023</v>
      </c>
      <c r="C1763" t="s">
        <v>6</v>
      </c>
      <c r="D1763" t="s">
        <v>7</v>
      </c>
      <c r="E1763" t="s">
        <v>8</v>
      </c>
      <c r="F1763" s="28">
        <v>5203</v>
      </c>
      <c r="G1763" s="10" t="s">
        <v>236</v>
      </c>
      <c r="H1763" s="1">
        <v>793995</v>
      </c>
      <c r="I1763" s="1">
        <v>111161.66315691854</v>
      </c>
      <c r="J1763" s="1">
        <v>905156.66315691848</v>
      </c>
    </row>
    <row r="1764" spans="1:10" x14ac:dyDescent="0.2">
      <c r="A1764">
        <v>2009030</v>
      </c>
      <c r="B1764">
        <v>2015</v>
      </c>
      <c r="C1764" t="s">
        <v>6</v>
      </c>
      <c r="D1764" t="s">
        <v>7</v>
      </c>
      <c r="E1764" t="s">
        <v>8</v>
      </c>
      <c r="F1764" s="29">
        <v>5204</v>
      </c>
      <c r="G1764" s="3" t="s">
        <v>237</v>
      </c>
      <c r="H1764" s="27">
        <v>760975</v>
      </c>
      <c r="I1764" s="1">
        <v>122573.3188551177</v>
      </c>
      <c r="J1764" s="1">
        <v>883548.31885511766</v>
      </c>
    </row>
    <row r="1765" spans="1:10" x14ac:dyDescent="0.2">
      <c r="A1765">
        <v>2009030</v>
      </c>
      <c r="B1765">
        <v>2016</v>
      </c>
      <c r="C1765" t="s">
        <v>6</v>
      </c>
      <c r="D1765" t="s">
        <v>7</v>
      </c>
      <c r="E1765" t="s">
        <v>8</v>
      </c>
      <c r="F1765" s="29">
        <v>5204</v>
      </c>
      <c r="G1765" s="3" t="s">
        <v>237</v>
      </c>
      <c r="H1765" s="1">
        <v>865936</v>
      </c>
      <c r="I1765" s="26">
        <v>2287009.3908542735</v>
      </c>
      <c r="J1765" s="26">
        <v>3152945.3908542735</v>
      </c>
    </row>
    <row r="1766" spans="1:10" x14ac:dyDescent="0.2">
      <c r="A1766">
        <v>2009030</v>
      </c>
      <c r="B1766">
        <v>2017</v>
      </c>
      <c r="C1766" t="s">
        <v>6</v>
      </c>
      <c r="D1766" t="s">
        <v>7</v>
      </c>
      <c r="E1766" t="s">
        <v>8</v>
      </c>
      <c r="F1766" s="29">
        <v>5204</v>
      </c>
      <c r="G1766" s="3" t="s">
        <v>237</v>
      </c>
      <c r="H1766" s="1">
        <v>875927</v>
      </c>
      <c r="I1766" s="1">
        <v>136693.34945852653</v>
      </c>
      <c r="J1766" s="1">
        <v>1012620.3494585266</v>
      </c>
    </row>
    <row r="1767" spans="1:10" x14ac:dyDescent="0.2">
      <c r="A1767">
        <v>2009030</v>
      </c>
      <c r="B1767">
        <v>2018</v>
      </c>
      <c r="C1767" t="s">
        <v>6</v>
      </c>
      <c r="D1767" t="s">
        <v>7</v>
      </c>
      <c r="E1767" t="s">
        <v>8</v>
      </c>
      <c r="F1767" s="28">
        <v>5204</v>
      </c>
      <c r="G1767" t="s">
        <v>237</v>
      </c>
      <c r="H1767" s="1">
        <v>941238</v>
      </c>
      <c r="I1767" s="1">
        <v>142333.39606017002</v>
      </c>
      <c r="J1767" s="1">
        <v>1083571.3960601701</v>
      </c>
    </row>
    <row r="1768" spans="1:10" x14ac:dyDescent="0.2">
      <c r="A1768">
        <v>2009030</v>
      </c>
      <c r="B1768">
        <v>2019</v>
      </c>
      <c r="C1768" t="s">
        <v>6</v>
      </c>
      <c r="D1768" t="s">
        <v>7</v>
      </c>
      <c r="E1768" t="s">
        <v>8</v>
      </c>
      <c r="F1768" s="28">
        <v>5204</v>
      </c>
      <c r="G1768" t="s">
        <v>237</v>
      </c>
      <c r="H1768" s="1">
        <v>1039738</v>
      </c>
      <c r="I1768" s="1">
        <v>158349.83272498299</v>
      </c>
      <c r="J1768" s="1">
        <v>1198087.8327249829</v>
      </c>
    </row>
    <row r="1769" spans="1:10" x14ac:dyDescent="0.2">
      <c r="A1769">
        <v>2009030</v>
      </c>
      <c r="B1769">
        <v>2020</v>
      </c>
      <c r="C1769" t="s">
        <v>6</v>
      </c>
      <c r="D1769" t="s">
        <v>7</v>
      </c>
      <c r="E1769" t="s">
        <v>8</v>
      </c>
      <c r="F1769" s="28">
        <v>5204</v>
      </c>
      <c r="G1769" t="s">
        <v>237</v>
      </c>
      <c r="H1769" s="1">
        <v>1171279</v>
      </c>
      <c r="I1769" s="1">
        <v>177196.73849062729</v>
      </c>
      <c r="J1769" s="1">
        <v>1348475.7384906274</v>
      </c>
    </row>
    <row r="1770" spans="1:10" x14ac:dyDescent="0.2">
      <c r="A1770">
        <v>2009030</v>
      </c>
      <c r="B1770">
        <v>2021</v>
      </c>
      <c r="C1770" t="s">
        <v>6</v>
      </c>
      <c r="D1770" t="s">
        <v>7</v>
      </c>
      <c r="E1770" t="s">
        <v>8</v>
      </c>
      <c r="F1770" s="28">
        <v>5204</v>
      </c>
      <c r="G1770" t="s">
        <v>237</v>
      </c>
      <c r="H1770" s="25">
        <v>1145891</v>
      </c>
      <c r="I1770" s="1">
        <v>171073.64336616031</v>
      </c>
      <c r="J1770" s="1">
        <v>1316964.6433661603</v>
      </c>
    </row>
    <row r="1771" spans="1:10" x14ac:dyDescent="0.2">
      <c r="A1771">
        <v>2009030</v>
      </c>
      <c r="B1771">
        <v>2022</v>
      </c>
      <c r="C1771" t="s">
        <v>6</v>
      </c>
      <c r="D1771" t="s">
        <v>7</v>
      </c>
      <c r="E1771" t="s">
        <v>8</v>
      </c>
      <c r="F1771" s="28">
        <v>5204</v>
      </c>
      <c r="G1771" t="s">
        <v>237</v>
      </c>
      <c r="H1771" s="1">
        <v>1118378</v>
      </c>
      <c r="I1771" s="1">
        <v>151881.94398723697</v>
      </c>
      <c r="J1771" s="1">
        <v>1270259.9439872371</v>
      </c>
    </row>
    <row r="1772" spans="1:10" x14ac:dyDescent="0.2">
      <c r="A1772">
        <v>2009030</v>
      </c>
      <c r="B1772">
        <v>2023</v>
      </c>
      <c r="C1772" t="s">
        <v>6</v>
      </c>
      <c r="D1772" t="s">
        <v>7</v>
      </c>
      <c r="E1772" t="s">
        <v>8</v>
      </c>
      <c r="F1772" s="28">
        <v>5204</v>
      </c>
      <c r="G1772" s="10" t="s">
        <v>237</v>
      </c>
      <c r="H1772" s="1">
        <v>1142451</v>
      </c>
      <c r="I1772" s="1">
        <v>159946.54026194714</v>
      </c>
      <c r="J1772" s="1">
        <v>1302397.5402619471</v>
      </c>
    </row>
    <row r="1773" spans="1:10" x14ac:dyDescent="0.2">
      <c r="A1773">
        <v>2009240</v>
      </c>
      <c r="B1773">
        <v>2015</v>
      </c>
      <c r="C1773" t="s">
        <v>6</v>
      </c>
      <c r="D1773" t="s">
        <v>7</v>
      </c>
      <c r="E1773" t="s">
        <v>8</v>
      </c>
      <c r="F1773" s="29">
        <v>5205</v>
      </c>
      <c r="G1773" s="3" t="s">
        <v>238</v>
      </c>
      <c r="H1773" s="27">
        <v>308763</v>
      </c>
      <c r="I1773" s="1">
        <v>49733.704326242922</v>
      </c>
      <c r="J1773" s="1">
        <v>358496.70432624291</v>
      </c>
    </row>
    <row r="1774" spans="1:10" x14ac:dyDescent="0.2">
      <c r="A1774">
        <v>2009240</v>
      </c>
      <c r="B1774">
        <v>2016</v>
      </c>
      <c r="C1774" t="s">
        <v>6</v>
      </c>
      <c r="D1774" t="s">
        <v>7</v>
      </c>
      <c r="E1774" t="s">
        <v>8</v>
      </c>
      <c r="F1774" s="29">
        <v>5205</v>
      </c>
      <c r="G1774" s="3" t="s">
        <v>238</v>
      </c>
      <c r="H1774" s="1">
        <v>323097</v>
      </c>
      <c r="I1774" s="26">
        <v>853332.73739890649</v>
      </c>
      <c r="J1774" s="26">
        <v>1176429.7373989066</v>
      </c>
    </row>
    <row r="1775" spans="1:10" x14ac:dyDescent="0.2">
      <c r="A1775">
        <v>2009240</v>
      </c>
      <c r="B1775">
        <v>2017</v>
      </c>
      <c r="C1775" t="s">
        <v>6</v>
      </c>
      <c r="D1775" t="s">
        <v>7</v>
      </c>
      <c r="E1775" t="s">
        <v>8</v>
      </c>
      <c r="F1775" s="29">
        <v>5205</v>
      </c>
      <c r="G1775" s="3" t="s">
        <v>238</v>
      </c>
      <c r="H1775" s="1">
        <v>344458</v>
      </c>
      <c r="I1775" s="1">
        <v>53754.613989276644</v>
      </c>
      <c r="J1775" s="1">
        <v>398212.61398927664</v>
      </c>
    </row>
    <row r="1776" spans="1:10" x14ac:dyDescent="0.2">
      <c r="A1776">
        <v>2009240</v>
      </c>
      <c r="B1776">
        <v>2018</v>
      </c>
      <c r="C1776" t="s">
        <v>6</v>
      </c>
      <c r="D1776" t="s">
        <v>7</v>
      </c>
      <c r="E1776" t="s">
        <v>8</v>
      </c>
      <c r="F1776" s="28">
        <v>5205</v>
      </c>
      <c r="G1776" t="s">
        <v>238</v>
      </c>
      <c r="H1776" s="1">
        <v>387610</v>
      </c>
      <c r="I1776" s="1">
        <v>58614.131225983765</v>
      </c>
      <c r="J1776" s="1">
        <v>446224.13122598379</v>
      </c>
    </row>
    <row r="1777" spans="1:10" x14ac:dyDescent="0.2">
      <c r="A1777">
        <v>2009240</v>
      </c>
      <c r="B1777">
        <v>2019</v>
      </c>
      <c r="C1777" t="s">
        <v>6</v>
      </c>
      <c r="D1777" t="s">
        <v>7</v>
      </c>
      <c r="E1777" t="s">
        <v>8</v>
      </c>
      <c r="F1777" s="28">
        <v>5205</v>
      </c>
      <c r="G1777" t="s">
        <v>238</v>
      </c>
      <c r="H1777" s="1">
        <v>444948</v>
      </c>
      <c r="I1777" s="1">
        <v>67764.611249483758</v>
      </c>
      <c r="J1777" s="1">
        <v>512712.61124948377</v>
      </c>
    </row>
    <row r="1778" spans="1:10" x14ac:dyDescent="0.2">
      <c r="A1778">
        <v>2009240</v>
      </c>
      <c r="B1778">
        <v>2020</v>
      </c>
      <c r="C1778" t="s">
        <v>6</v>
      </c>
      <c r="D1778" t="s">
        <v>7</v>
      </c>
      <c r="E1778" t="s">
        <v>8</v>
      </c>
      <c r="F1778" s="28">
        <v>5205</v>
      </c>
      <c r="G1778" t="s">
        <v>238</v>
      </c>
      <c r="H1778" s="1">
        <v>508692</v>
      </c>
      <c r="I1778" s="1">
        <v>76957.380176946899</v>
      </c>
      <c r="J1778" s="1">
        <v>585649.38017694687</v>
      </c>
    </row>
    <row r="1779" spans="1:10" x14ac:dyDescent="0.2">
      <c r="A1779">
        <v>2009240</v>
      </c>
      <c r="B1779">
        <v>2021</v>
      </c>
      <c r="C1779" t="s">
        <v>6</v>
      </c>
      <c r="D1779" t="s">
        <v>7</v>
      </c>
      <c r="E1779" t="s">
        <v>8</v>
      </c>
      <c r="F1779" s="28">
        <v>5205</v>
      </c>
      <c r="G1779" t="s">
        <v>238</v>
      </c>
      <c r="H1779" s="25">
        <v>493989</v>
      </c>
      <c r="I1779" s="1">
        <v>73749.159398935983</v>
      </c>
      <c r="J1779" s="1">
        <v>567738.15939893597</v>
      </c>
    </row>
    <row r="1780" spans="1:10" x14ac:dyDescent="0.2">
      <c r="A1780">
        <v>2009240</v>
      </c>
      <c r="B1780">
        <v>2022</v>
      </c>
      <c r="C1780" t="s">
        <v>6</v>
      </c>
      <c r="D1780" t="s">
        <v>7</v>
      </c>
      <c r="E1780" t="s">
        <v>8</v>
      </c>
      <c r="F1780" s="28">
        <v>5205</v>
      </c>
      <c r="G1780" t="s">
        <v>238</v>
      </c>
      <c r="H1780" s="1">
        <v>554857</v>
      </c>
      <c r="I1780" s="1">
        <v>75352.662333241838</v>
      </c>
      <c r="J1780" s="1">
        <v>630209.6623332419</v>
      </c>
    </row>
    <row r="1781" spans="1:10" x14ac:dyDescent="0.2">
      <c r="A1781">
        <v>2009240</v>
      </c>
      <c r="B1781">
        <v>2023</v>
      </c>
      <c r="C1781" t="s">
        <v>6</v>
      </c>
      <c r="D1781" t="s">
        <v>7</v>
      </c>
      <c r="E1781" t="s">
        <v>8</v>
      </c>
      <c r="F1781" s="28">
        <v>5205</v>
      </c>
      <c r="G1781" s="10" t="s">
        <v>238</v>
      </c>
      <c r="H1781" s="1">
        <v>536196</v>
      </c>
      <c r="I1781" s="1">
        <v>75069.03587313155</v>
      </c>
      <c r="J1781" s="1">
        <v>611265.03587313159</v>
      </c>
    </row>
    <row r="1782" spans="1:10" x14ac:dyDescent="0.2">
      <c r="A1782">
        <v>2007290</v>
      </c>
      <c r="B1782">
        <v>2015</v>
      </c>
      <c r="C1782" t="s">
        <v>6</v>
      </c>
      <c r="D1782" t="s">
        <v>7</v>
      </c>
      <c r="E1782" t="s">
        <v>8</v>
      </c>
      <c r="F1782" s="29">
        <v>5206</v>
      </c>
      <c r="G1782" s="3" t="s">
        <v>239</v>
      </c>
      <c r="H1782" s="27">
        <v>319794</v>
      </c>
      <c r="I1782" s="1">
        <v>51510.512079836408</v>
      </c>
      <c r="J1782" s="1">
        <v>371304.51207983639</v>
      </c>
    </row>
    <row r="1783" spans="1:10" x14ac:dyDescent="0.2">
      <c r="A1783">
        <v>2007290</v>
      </c>
      <c r="B1783">
        <v>2016</v>
      </c>
      <c r="C1783" t="s">
        <v>6</v>
      </c>
      <c r="D1783" t="s">
        <v>7</v>
      </c>
      <c r="E1783" t="s">
        <v>8</v>
      </c>
      <c r="F1783" s="29">
        <v>5206</v>
      </c>
      <c r="G1783" s="3" t="s">
        <v>239</v>
      </c>
      <c r="H1783" s="1">
        <v>386969</v>
      </c>
      <c r="I1783" s="26">
        <v>1022024.4616717877</v>
      </c>
      <c r="J1783" s="26">
        <v>1408993.4616717878</v>
      </c>
    </row>
    <row r="1784" spans="1:10" x14ac:dyDescent="0.2">
      <c r="A1784">
        <v>2007290</v>
      </c>
      <c r="B1784">
        <v>2017</v>
      </c>
      <c r="C1784" t="s">
        <v>6</v>
      </c>
      <c r="D1784" t="s">
        <v>7</v>
      </c>
      <c r="E1784" t="s">
        <v>8</v>
      </c>
      <c r="F1784" s="29">
        <v>5206</v>
      </c>
      <c r="G1784" s="3" t="s">
        <v>239</v>
      </c>
      <c r="H1784" s="1">
        <v>358309</v>
      </c>
      <c r="I1784" s="1">
        <v>55916.140672835958</v>
      </c>
      <c r="J1784" s="1">
        <v>414225.14067283599</v>
      </c>
    </row>
    <row r="1785" spans="1:10" x14ac:dyDescent="0.2">
      <c r="A1785">
        <v>2007290</v>
      </c>
      <c r="B1785">
        <v>2018</v>
      </c>
      <c r="C1785" t="s">
        <v>6</v>
      </c>
      <c r="D1785" t="s">
        <v>7</v>
      </c>
      <c r="E1785" t="s">
        <v>8</v>
      </c>
      <c r="F1785" s="28">
        <v>5206</v>
      </c>
      <c r="G1785" t="s">
        <v>239</v>
      </c>
      <c r="H1785" s="1">
        <v>432956</v>
      </c>
      <c r="I1785" s="1">
        <v>65471.323750875956</v>
      </c>
      <c r="J1785" s="1">
        <v>498427.32375087595</v>
      </c>
    </row>
    <row r="1786" spans="1:10" x14ac:dyDescent="0.2">
      <c r="A1786">
        <v>2007290</v>
      </c>
      <c r="B1786">
        <v>2019</v>
      </c>
      <c r="C1786" t="s">
        <v>6</v>
      </c>
      <c r="D1786" t="s">
        <v>7</v>
      </c>
      <c r="E1786" t="s">
        <v>8</v>
      </c>
      <c r="F1786" s="28">
        <v>5206</v>
      </c>
      <c r="G1786" t="s">
        <v>239</v>
      </c>
      <c r="H1786" s="1">
        <v>493230</v>
      </c>
      <c r="I1786" s="1">
        <v>75117.854685452839</v>
      </c>
      <c r="J1786" s="1">
        <v>568347.85468545288</v>
      </c>
    </row>
    <row r="1787" spans="1:10" x14ac:dyDescent="0.2">
      <c r="A1787">
        <v>2007290</v>
      </c>
      <c r="B1787">
        <v>2020</v>
      </c>
      <c r="C1787" t="s">
        <v>6</v>
      </c>
      <c r="D1787" t="s">
        <v>7</v>
      </c>
      <c r="E1787" t="s">
        <v>8</v>
      </c>
      <c r="F1787" s="28">
        <v>5206</v>
      </c>
      <c r="G1787" t="s">
        <v>239</v>
      </c>
      <c r="H1787" s="1">
        <v>563888</v>
      </c>
      <c r="I1787" s="1">
        <v>85307.697375264863</v>
      </c>
      <c r="J1787" s="1">
        <v>649195.69737526483</v>
      </c>
    </row>
    <row r="1788" spans="1:10" x14ac:dyDescent="0.2">
      <c r="A1788">
        <v>2007290</v>
      </c>
      <c r="B1788">
        <v>2021</v>
      </c>
      <c r="C1788" t="s">
        <v>6</v>
      </c>
      <c r="D1788" t="s">
        <v>7</v>
      </c>
      <c r="E1788" t="s">
        <v>8</v>
      </c>
      <c r="F1788" s="28">
        <v>5206</v>
      </c>
      <c r="G1788" t="s">
        <v>239</v>
      </c>
      <c r="H1788" s="25">
        <v>535774</v>
      </c>
      <c r="I1788" s="1">
        <v>79987.372447170957</v>
      </c>
      <c r="J1788" s="1">
        <v>615761.37244717102</v>
      </c>
    </row>
    <row r="1789" spans="1:10" x14ac:dyDescent="0.2">
      <c r="A1789">
        <v>2007290</v>
      </c>
      <c r="B1789">
        <v>2022</v>
      </c>
      <c r="C1789" t="s">
        <v>6</v>
      </c>
      <c r="D1789" t="s">
        <v>7</v>
      </c>
      <c r="E1789" t="s">
        <v>8</v>
      </c>
      <c r="F1789" s="28">
        <v>5206</v>
      </c>
      <c r="G1789" t="s">
        <v>239</v>
      </c>
      <c r="H1789" s="1">
        <v>533165</v>
      </c>
      <c r="I1789" s="1">
        <v>72406.768253627291</v>
      </c>
      <c r="J1789" s="1">
        <v>605571.76825362723</v>
      </c>
    </row>
    <row r="1790" spans="1:10" x14ac:dyDescent="0.2">
      <c r="A1790">
        <v>2007290</v>
      </c>
      <c r="B1790">
        <v>2023</v>
      </c>
      <c r="C1790" t="s">
        <v>6</v>
      </c>
      <c r="D1790" t="s">
        <v>7</v>
      </c>
      <c r="E1790" t="s">
        <v>8</v>
      </c>
      <c r="F1790" s="28">
        <v>5206</v>
      </c>
      <c r="G1790" s="10" t="s">
        <v>239</v>
      </c>
      <c r="H1790" s="1">
        <v>529940</v>
      </c>
      <c r="I1790" s="1">
        <v>74193.177253480695</v>
      </c>
      <c r="J1790" s="1">
        <v>604133.17725348065</v>
      </c>
    </row>
    <row r="1791" spans="1:10" x14ac:dyDescent="0.2">
      <c r="A1791">
        <v>2008970</v>
      </c>
      <c r="B1791">
        <v>2015</v>
      </c>
      <c r="C1791" t="s">
        <v>6</v>
      </c>
      <c r="D1791" t="s">
        <v>7</v>
      </c>
      <c r="E1791" t="s">
        <v>8</v>
      </c>
      <c r="F1791" s="29">
        <v>5207</v>
      </c>
      <c r="G1791" s="3" t="s">
        <v>240</v>
      </c>
      <c r="H1791" s="27">
        <v>718134</v>
      </c>
      <c r="I1791" s="1">
        <v>115672.74583619842</v>
      </c>
      <c r="J1791" s="1">
        <v>833806.74583619845</v>
      </c>
    </row>
    <row r="1792" spans="1:10" x14ac:dyDescent="0.2">
      <c r="A1792">
        <v>2008970</v>
      </c>
      <c r="B1792">
        <v>2016</v>
      </c>
      <c r="C1792" t="s">
        <v>6</v>
      </c>
      <c r="D1792" t="s">
        <v>7</v>
      </c>
      <c r="E1792" t="s">
        <v>8</v>
      </c>
      <c r="F1792" s="29">
        <v>5207</v>
      </c>
      <c r="G1792" s="3" t="s">
        <v>240</v>
      </c>
      <c r="H1792" s="1">
        <v>775315</v>
      </c>
      <c r="I1792" s="26">
        <v>2047678.2442024779</v>
      </c>
      <c r="J1792" s="26">
        <v>2822993.2442024779</v>
      </c>
    </row>
    <row r="1793" spans="1:10" x14ac:dyDescent="0.2">
      <c r="A1793">
        <v>2008970</v>
      </c>
      <c r="B1793">
        <v>2017</v>
      </c>
      <c r="C1793" t="s">
        <v>6</v>
      </c>
      <c r="D1793" t="s">
        <v>7</v>
      </c>
      <c r="E1793" t="s">
        <v>8</v>
      </c>
      <c r="F1793" s="29">
        <v>5207</v>
      </c>
      <c r="G1793" s="3" t="s">
        <v>240</v>
      </c>
      <c r="H1793" s="1">
        <v>796004</v>
      </c>
      <c r="I1793" s="1">
        <v>124220.91446248938</v>
      </c>
      <c r="J1793" s="1">
        <v>920224.91446248943</v>
      </c>
    </row>
    <row r="1794" spans="1:10" x14ac:dyDescent="0.2">
      <c r="A1794">
        <v>2008970</v>
      </c>
      <c r="B1794">
        <v>2018</v>
      </c>
      <c r="C1794" t="s">
        <v>6</v>
      </c>
      <c r="D1794" t="s">
        <v>7</v>
      </c>
      <c r="E1794" t="s">
        <v>8</v>
      </c>
      <c r="F1794" s="28">
        <v>5207</v>
      </c>
      <c r="G1794" t="s">
        <v>240</v>
      </c>
      <c r="H1794" s="1">
        <v>939285</v>
      </c>
      <c r="I1794" s="1">
        <v>142038.06467479726</v>
      </c>
      <c r="J1794" s="1">
        <v>1081323.0646747972</v>
      </c>
    </row>
    <row r="1795" spans="1:10" x14ac:dyDescent="0.2">
      <c r="A1795">
        <v>2008970</v>
      </c>
      <c r="B1795">
        <v>2019</v>
      </c>
      <c r="C1795" t="s">
        <v>6</v>
      </c>
      <c r="D1795" t="s">
        <v>7</v>
      </c>
      <c r="E1795" t="s">
        <v>8</v>
      </c>
      <c r="F1795" s="28">
        <v>5207</v>
      </c>
      <c r="G1795" t="s">
        <v>240</v>
      </c>
      <c r="H1795" s="1">
        <v>1053645</v>
      </c>
      <c r="I1795" s="1">
        <v>160467.83853385635</v>
      </c>
      <c r="J1795" s="1">
        <v>1214112.8385338564</v>
      </c>
    </row>
    <row r="1796" spans="1:10" x14ac:dyDescent="0.2">
      <c r="A1796">
        <v>2008970</v>
      </c>
      <c r="B1796">
        <v>2020</v>
      </c>
      <c r="C1796" t="s">
        <v>6</v>
      </c>
      <c r="D1796" t="s">
        <v>7</v>
      </c>
      <c r="E1796" t="s">
        <v>8</v>
      </c>
      <c r="F1796" s="28">
        <v>5207</v>
      </c>
      <c r="G1796" t="s">
        <v>240</v>
      </c>
      <c r="H1796" s="1">
        <v>1186270</v>
      </c>
      <c r="I1796" s="1">
        <v>179464.64930155536</v>
      </c>
      <c r="J1796" s="1">
        <v>1365734.6493015555</v>
      </c>
    </row>
    <row r="1797" spans="1:10" x14ac:dyDescent="0.2">
      <c r="A1797">
        <v>2008970</v>
      </c>
      <c r="B1797">
        <v>2021</v>
      </c>
      <c r="C1797" t="s">
        <v>6</v>
      </c>
      <c r="D1797" t="s">
        <v>7</v>
      </c>
      <c r="E1797" t="s">
        <v>8</v>
      </c>
      <c r="F1797" s="28">
        <v>5207</v>
      </c>
      <c r="G1797" t="s">
        <v>240</v>
      </c>
      <c r="H1797" s="25">
        <v>1165177</v>
      </c>
      <c r="I1797" s="1">
        <v>173952.91049188148</v>
      </c>
      <c r="J1797" s="1">
        <v>1339129.9104918814</v>
      </c>
    </row>
    <row r="1798" spans="1:10" x14ac:dyDescent="0.2">
      <c r="A1798">
        <v>2008970</v>
      </c>
      <c r="B1798">
        <v>2022</v>
      </c>
      <c r="C1798" t="s">
        <v>6</v>
      </c>
      <c r="D1798" t="s">
        <v>7</v>
      </c>
      <c r="E1798" t="s">
        <v>8</v>
      </c>
      <c r="F1798" s="28">
        <v>5207</v>
      </c>
      <c r="G1798" t="s">
        <v>240</v>
      </c>
      <c r="H1798" s="1">
        <v>1171767</v>
      </c>
      <c r="I1798" s="1">
        <v>159132.4667152722</v>
      </c>
      <c r="J1798" s="1">
        <v>1330899.4667152723</v>
      </c>
    </row>
    <row r="1799" spans="1:10" x14ac:dyDescent="0.2">
      <c r="A1799">
        <v>2008970</v>
      </c>
      <c r="B1799">
        <v>2023</v>
      </c>
      <c r="C1799" t="s">
        <v>6</v>
      </c>
      <c r="D1799" t="s">
        <v>7</v>
      </c>
      <c r="E1799" t="s">
        <v>8</v>
      </c>
      <c r="F1799" s="28">
        <v>5207</v>
      </c>
      <c r="G1799" s="10" t="s">
        <v>240</v>
      </c>
      <c r="H1799" s="1">
        <v>1148563</v>
      </c>
      <c r="I1799" s="1">
        <v>160802.23845301269</v>
      </c>
      <c r="J1799" s="1">
        <v>1309365.2384530127</v>
      </c>
    </row>
    <row r="1800" spans="1:10" x14ac:dyDescent="0.2">
      <c r="A1800">
        <v>2009780</v>
      </c>
      <c r="B1800">
        <v>2015</v>
      </c>
      <c r="C1800" t="s">
        <v>6</v>
      </c>
      <c r="D1800" t="s">
        <v>7</v>
      </c>
      <c r="E1800" t="s">
        <v>8</v>
      </c>
      <c r="F1800" s="29">
        <v>5208</v>
      </c>
      <c r="G1800" s="3" t="s">
        <v>241</v>
      </c>
      <c r="H1800" s="27">
        <v>157998</v>
      </c>
      <c r="I1800" s="1">
        <v>25449.376434798629</v>
      </c>
      <c r="J1800" s="1">
        <v>183447.37643479864</v>
      </c>
    </row>
    <row r="1801" spans="1:10" x14ac:dyDescent="0.2">
      <c r="A1801">
        <v>2009780</v>
      </c>
      <c r="B1801">
        <v>2016</v>
      </c>
      <c r="C1801" t="s">
        <v>6</v>
      </c>
      <c r="D1801" t="s">
        <v>7</v>
      </c>
      <c r="E1801" t="s">
        <v>8</v>
      </c>
      <c r="F1801" s="29">
        <v>5208</v>
      </c>
      <c r="G1801" s="3" t="s">
        <v>241</v>
      </c>
      <c r="H1801" s="1">
        <v>238554</v>
      </c>
      <c r="I1801" s="26">
        <v>630047.88756113488</v>
      </c>
      <c r="J1801" s="26">
        <v>868601.88756113488</v>
      </c>
    </row>
    <row r="1802" spans="1:10" x14ac:dyDescent="0.2">
      <c r="A1802">
        <v>2009780</v>
      </c>
      <c r="B1802">
        <v>2017</v>
      </c>
      <c r="C1802" t="s">
        <v>6</v>
      </c>
      <c r="D1802" t="s">
        <v>7</v>
      </c>
      <c r="E1802" t="s">
        <v>8</v>
      </c>
      <c r="F1802" s="29">
        <v>5208</v>
      </c>
      <c r="G1802" s="3" t="s">
        <v>241</v>
      </c>
      <c r="H1802" s="1">
        <v>250734</v>
      </c>
      <c r="I1802" s="1">
        <v>39128.455091730459</v>
      </c>
      <c r="J1802" s="1">
        <v>289862.45509173046</v>
      </c>
    </row>
    <row r="1803" spans="1:10" x14ac:dyDescent="0.2">
      <c r="A1803">
        <v>2009780</v>
      </c>
      <c r="B1803">
        <v>2018</v>
      </c>
      <c r="C1803" t="s">
        <v>6</v>
      </c>
      <c r="D1803" t="s">
        <v>7</v>
      </c>
      <c r="E1803" t="s">
        <v>8</v>
      </c>
      <c r="F1803" s="28">
        <v>5208</v>
      </c>
      <c r="G1803" t="s">
        <v>241</v>
      </c>
      <c r="H1803" s="1">
        <v>271669</v>
      </c>
      <c r="I1803" s="1">
        <v>41081.608874982026</v>
      </c>
      <c r="J1803" s="1">
        <v>312750.60887498205</v>
      </c>
    </row>
    <row r="1804" spans="1:10" x14ac:dyDescent="0.2">
      <c r="A1804">
        <v>2009780</v>
      </c>
      <c r="B1804">
        <v>2019</v>
      </c>
      <c r="C1804" t="s">
        <v>6</v>
      </c>
      <c r="D1804" t="s">
        <v>7</v>
      </c>
      <c r="E1804" t="s">
        <v>8</v>
      </c>
      <c r="F1804" s="28">
        <v>5208</v>
      </c>
      <c r="G1804" t="s">
        <v>241</v>
      </c>
      <c r="H1804" s="1">
        <v>319251</v>
      </c>
      <c r="I1804" s="1">
        <v>48621.231932740317</v>
      </c>
      <c r="J1804" s="1">
        <v>367872.23193274031</v>
      </c>
    </row>
    <row r="1805" spans="1:10" x14ac:dyDescent="0.2">
      <c r="A1805">
        <v>2009780</v>
      </c>
      <c r="B1805">
        <v>2020</v>
      </c>
      <c r="C1805" t="s">
        <v>6</v>
      </c>
      <c r="D1805" t="s">
        <v>7</v>
      </c>
      <c r="E1805" t="s">
        <v>8</v>
      </c>
      <c r="F1805" s="28">
        <v>5208</v>
      </c>
      <c r="G1805" t="s">
        <v>241</v>
      </c>
      <c r="H1805" s="1">
        <v>389776</v>
      </c>
      <c r="I1805" s="1">
        <v>58967.193932378825</v>
      </c>
      <c r="J1805" s="1">
        <v>448743.19393237884</v>
      </c>
    </row>
    <row r="1806" spans="1:10" x14ac:dyDescent="0.2">
      <c r="A1806">
        <v>2009780</v>
      </c>
      <c r="B1806">
        <v>2021</v>
      </c>
      <c r="C1806" t="s">
        <v>6</v>
      </c>
      <c r="D1806" t="s">
        <v>7</v>
      </c>
      <c r="E1806" t="s">
        <v>8</v>
      </c>
      <c r="F1806" s="28">
        <v>5208</v>
      </c>
      <c r="G1806" t="s">
        <v>241</v>
      </c>
      <c r="H1806" s="25">
        <v>295040</v>
      </c>
      <c r="I1806" s="1">
        <v>44047.442329813159</v>
      </c>
      <c r="J1806" s="1">
        <v>339087.44232981314</v>
      </c>
    </row>
    <row r="1807" spans="1:10" x14ac:dyDescent="0.2">
      <c r="A1807">
        <v>2009780</v>
      </c>
      <c r="B1807">
        <v>2022</v>
      </c>
      <c r="C1807" t="s">
        <v>6</v>
      </c>
      <c r="D1807" t="s">
        <v>7</v>
      </c>
      <c r="E1807" t="s">
        <v>8</v>
      </c>
      <c r="F1807" s="28">
        <v>5208</v>
      </c>
      <c r="G1807" t="s">
        <v>241</v>
      </c>
      <c r="H1807" s="1">
        <v>360148</v>
      </c>
      <c r="I1807" s="1">
        <v>48910.098699290771</v>
      </c>
      <c r="J1807" s="1">
        <v>409058.09869929077</v>
      </c>
    </row>
    <row r="1808" spans="1:10" x14ac:dyDescent="0.2">
      <c r="A1808">
        <v>2009780</v>
      </c>
      <c r="B1808">
        <v>2023</v>
      </c>
      <c r="C1808" t="s">
        <v>6</v>
      </c>
      <c r="D1808" t="s">
        <v>7</v>
      </c>
      <c r="E1808" t="s">
        <v>8</v>
      </c>
      <c r="F1808" s="28">
        <v>5208</v>
      </c>
      <c r="G1808" s="10" t="s">
        <v>241</v>
      </c>
      <c r="H1808" s="1">
        <v>372717</v>
      </c>
      <c r="I1808" s="1">
        <v>52181.489312725149</v>
      </c>
      <c r="J1808" s="1">
        <v>424898.48931272514</v>
      </c>
    </row>
    <row r="1809" spans="1:10" x14ac:dyDescent="0.2">
      <c r="A1809">
        <v>2006660</v>
      </c>
      <c r="B1809">
        <v>2015</v>
      </c>
      <c r="C1809" t="s">
        <v>6</v>
      </c>
      <c r="D1809" t="s">
        <v>7</v>
      </c>
      <c r="E1809" t="s">
        <v>8</v>
      </c>
      <c r="F1809" s="29">
        <v>5210</v>
      </c>
      <c r="G1809" s="3" t="s">
        <v>242</v>
      </c>
      <c r="H1809" s="27">
        <v>2290490</v>
      </c>
      <c r="I1809" s="1">
        <v>368938.48169053986</v>
      </c>
      <c r="J1809" s="1">
        <v>2659428.48169054</v>
      </c>
    </row>
    <row r="1810" spans="1:10" x14ac:dyDescent="0.2">
      <c r="A1810">
        <v>2006660</v>
      </c>
      <c r="B1810">
        <v>2016</v>
      </c>
      <c r="C1810" t="s">
        <v>6</v>
      </c>
      <c r="D1810" t="s">
        <v>7</v>
      </c>
      <c r="E1810" t="s">
        <v>8</v>
      </c>
      <c r="F1810" s="29">
        <v>5210</v>
      </c>
      <c r="G1810" s="3" t="s">
        <v>242</v>
      </c>
      <c r="H1810" s="1">
        <v>2620859</v>
      </c>
      <c r="I1810" s="26">
        <v>6921927.2706162874</v>
      </c>
      <c r="J1810" s="26">
        <v>9542786.2706162874</v>
      </c>
    </row>
    <row r="1811" spans="1:10" x14ac:dyDescent="0.2">
      <c r="A1811">
        <v>2006660</v>
      </c>
      <c r="B1811">
        <v>2017</v>
      </c>
      <c r="C1811" t="s">
        <v>6</v>
      </c>
      <c r="D1811" t="s">
        <v>7</v>
      </c>
      <c r="E1811" t="s">
        <v>8</v>
      </c>
      <c r="F1811" s="29">
        <v>5210</v>
      </c>
      <c r="G1811" s="3" t="s">
        <v>242</v>
      </c>
      <c r="H1811" s="1">
        <v>2675897</v>
      </c>
      <c r="I1811" s="1">
        <v>417588.82159817283</v>
      </c>
      <c r="J1811" s="1">
        <v>3093485.8215981727</v>
      </c>
    </row>
    <row r="1812" spans="1:10" x14ac:dyDescent="0.2">
      <c r="A1812">
        <v>2006660</v>
      </c>
      <c r="B1812">
        <v>2018</v>
      </c>
      <c r="C1812" t="s">
        <v>6</v>
      </c>
      <c r="D1812" t="s">
        <v>7</v>
      </c>
      <c r="E1812" t="s">
        <v>8</v>
      </c>
      <c r="F1812" s="28">
        <v>5210</v>
      </c>
      <c r="G1812" t="s">
        <v>242</v>
      </c>
      <c r="H1812" s="1">
        <v>3020635</v>
      </c>
      <c r="I1812" s="1">
        <v>456778.45327984181</v>
      </c>
      <c r="J1812" s="1">
        <v>3477413.4532798417</v>
      </c>
    </row>
    <row r="1813" spans="1:10" x14ac:dyDescent="0.2">
      <c r="A1813">
        <v>2006660</v>
      </c>
      <c r="B1813">
        <v>2019</v>
      </c>
      <c r="C1813" t="s">
        <v>6</v>
      </c>
      <c r="D1813" t="s">
        <v>7</v>
      </c>
      <c r="E1813" t="s">
        <v>8</v>
      </c>
      <c r="F1813" s="28">
        <v>5210</v>
      </c>
      <c r="G1813" t="s">
        <v>242</v>
      </c>
      <c r="H1813" s="1">
        <v>3379688</v>
      </c>
      <c r="I1813" s="1">
        <v>514719.12103109859</v>
      </c>
      <c r="J1813" s="1">
        <v>3894407.1210310985</v>
      </c>
    </row>
    <row r="1814" spans="1:10" x14ac:dyDescent="0.2">
      <c r="A1814">
        <v>2006660</v>
      </c>
      <c r="B1814">
        <v>2020</v>
      </c>
      <c r="C1814" t="s">
        <v>6</v>
      </c>
      <c r="D1814" t="s">
        <v>7</v>
      </c>
      <c r="E1814" t="s">
        <v>8</v>
      </c>
      <c r="F1814" s="28">
        <v>5210</v>
      </c>
      <c r="G1814" t="s">
        <v>242</v>
      </c>
      <c r="H1814" s="1">
        <v>3691530</v>
      </c>
      <c r="I1814" s="1">
        <v>558472.46987293835</v>
      </c>
      <c r="J1814" s="1">
        <v>4250002.4698729385</v>
      </c>
    </row>
    <row r="1815" spans="1:10" x14ac:dyDescent="0.2">
      <c r="A1815">
        <v>2006660</v>
      </c>
      <c r="B1815">
        <v>2021</v>
      </c>
      <c r="C1815" t="s">
        <v>6</v>
      </c>
      <c r="D1815" t="s">
        <v>7</v>
      </c>
      <c r="E1815" t="s">
        <v>8</v>
      </c>
      <c r="F1815" s="28">
        <v>5210</v>
      </c>
      <c r="G1815" t="s">
        <v>242</v>
      </c>
      <c r="H1815" s="25">
        <v>3739395</v>
      </c>
      <c r="I1815" s="1">
        <v>558265.9490607772</v>
      </c>
      <c r="J1815" s="1">
        <v>4297660.9490607772</v>
      </c>
    </row>
    <row r="1816" spans="1:10" x14ac:dyDescent="0.2">
      <c r="A1816">
        <v>2006660</v>
      </c>
      <c r="B1816">
        <v>2022</v>
      </c>
      <c r="C1816" t="s">
        <v>6</v>
      </c>
      <c r="D1816" t="s">
        <v>7</v>
      </c>
      <c r="E1816" t="s">
        <v>8</v>
      </c>
      <c r="F1816" s="28">
        <v>5210</v>
      </c>
      <c r="G1816" t="s">
        <v>242</v>
      </c>
      <c r="H1816" s="1">
        <v>3576933</v>
      </c>
      <c r="I1816" s="1">
        <v>485767.36805632751</v>
      </c>
      <c r="J1816" s="1">
        <v>4062700.3680563276</v>
      </c>
    </row>
    <row r="1817" spans="1:10" x14ac:dyDescent="0.2">
      <c r="A1817">
        <v>2006660</v>
      </c>
      <c r="B1817">
        <v>2023</v>
      </c>
      <c r="C1817" t="s">
        <v>6</v>
      </c>
      <c r="D1817" t="s">
        <v>7</v>
      </c>
      <c r="E1817" t="s">
        <v>8</v>
      </c>
      <c r="F1817" s="28">
        <v>5210</v>
      </c>
      <c r="G1817" s="10" t="s">
        <v>242</v>
      </c>
      <c r="H1817" s="1">
        <v>3718992</v>
      </c>
      <c r="I1817" s="1">
        <v>520669.94878717721</v>
      </c>
      <c r="J1817" s="1">
        <v>4239661.948787177</v>
      </c>
    </row>
    <row r="1818" spans="1:10" x14ac:dyDescent="0.2">
      <c r="A1818">
        <v>2010410</v>
      </c>
      <c r="B1818">
        <v>2015</v>
      </c>
      <c r="C1818" t="s">
        <v>6</v>
      </c>
      <c r="D1818" t="s">
        <v>7</v>
      </c>
      <c r="E1818" t="s">
        <v>8</v>
      </c>
      <c r="F1818" s="29">
        <v>5212</v>
      </c>
      <c r="G1818" s="3" t="s">
        <v>243</v>
      </c>
      <c r="H1818" s="27">
        <v>519536</v>
      </c>
      <c r="I1818" s="1">
        <v>83683.763309849121</v>
      </c>
      <c r="J1818" s="1">
        <v>603219.76330984908</v>
      </c>
    </row>
    <row r="1819" spans="1:10" x14ac:dyDescent="0.2">
      <c r="A1819">
        <v>2010410</v>
      </c>
      <c r="B1819">
        <v>2016</v>
      </c>
      <c r="C1819" t="s">
        <v>6</v>
      </c>
      <c r="D1819" t="s">
        <v>7</v>
      </c>
      <c r="E1819" t="s">
        <v>8</v>
      </c>
      <c r="F1819" s="29">
        <v>5212</v>
      </c>
      <c r="G1819" s="3" t="s">
        <v>243</v>
      </c>
      <c r="H1819" s="1">
        <v>551710</v>
      </c>
      <c r="I1819" s="26">
        <v>1457115.3836962481</v>
      </c>
      <c r="J1819" s="26">
        <v>2008825.3836962481</v>
      </c>
    </row>
    <row r="1820" spans="1:10" x14ac:dyDescent="0.2">
      <c r="A1820">
        <v>2010410</v>
      </c>
      <c r="B1820">
        <v>2017</v>
      </c>
      <c r="C1820" t="s">
        <v>6</v>
      </c>
      <c r="D1820" t="s">
        <v>7</v>
      </c>
      <c r="E1820" t="s">
        <v>8</v>
      </c>
      <c r="F1820" s="29">
        <v>5212</v>
      </c>
      <c r="G1820" s="3" t="s">
        <v>243</v>
      </c>
      <c r="H1820" s="1">
        <v>589658</v>
      </c>
      <c r="I1820" s="1">
        <v>92019.457163685816</v>
      </c>
      <c r="J1820" s="1">
        <v>681677.45716368582</v>
      </c>
    </row>
    <row r="1821" spans="1:10" x14ac:dyDescent="0.2">
      <c r="A1821">
        <v>2010410</v>
      </c>
      <c r="B1821">
        <v>2018</v>
      </c>
      <c r="C1821" t="s">
        <v>6</v>
      </c>
      <c r="D1821" t="s">
        <v>7</v>
      </c>
      <c r="E1821" t="s">
        <v>8</v>
      </c>
      <c r="F1821" s="28">
        <v>5212</v>
      </c>
      <c r="G1821" t="s">
        <v>243</v>
      </c>
      <c r="H1821" s="1">
        <v>690844</v>
      </c>
      <c r="I1821" s="1">
        <v>104468.97880004006</v>
      </c>
      <c r="J1821" s="1">
        <v>795312.97880004009</v>
      </c>
    </row>
    <row r="1822" spans="1:10" x14ac:dyDescent="0.2">
      <c r="A1822">
        <v>2010410</v>
      </c>
      <c r="B1822">
        <v>2019</v>
      </c>
      <c r="C1822" t="s">
        <v>6</v>
      </c>
      <c r="D1822" t="s">
        <v>7</v>
      </c>
      <c r="E1822" t="s">
        <v>8</v>
      </c>
      <c r="F1822" s="28">
        <v>5212</v>
      </c>
      <c r="G1822" t="s">
        <v>243</v>
      </c>
      <c r="H1822" s="1">
        <v>859020</v>
      </c>
      <c r="I1822" s="1">
        <v>130826.87495062689</v>
      </c>
      <c r="J1822" s="1">
        <v>989846.87495062687</v>
      </c>
    </row>
    <row r="1823" spans="1:10" x14ac:dyDescent="0.2">
      <c r="A1823">
        <v>2010410</v>
      </c>
      <c r="B1823">
        <v>2020</v>
      </c>
      <c r="C1823" t="s">
        <v>6</v>
      </c>
      <c r="D1823" t="s">
        <v>7</v>
      </c>
      <c r="E1823" t="s">
        <v>8</v>
      </c>
      <c r="F1823" s="28">
        <v>5212</v>
      </c>
      <c r="G1823" t="s">
        <v>243</v>
      </c>
      <c r="H1823" s="1">
        <v>886526</v>
      </c>
      <c r="I1823" s="1">
        <v>134117.93072969108</v>
      </c>
      <c r="J1823" s="1">
        <v>1020643.9307296911</v>
      </c>
    </row>
    <row r="1824" spans="1:10" x14ac:dyDescent="0.2">
      <c r="A1824">
        <v>2010410</v>
      </c>
      <c r="B1824">
        <v>2021</v>
      </c>
      <c r="C1824" t="s">
        <v>6</v>
      </c>
      <c r="D1824" t="s">
        <v>7</v>
      </c>
      <c r="E1824" t="s">
        <v>8</v>
      </c>
      <c r="F1824" s="28">
        <v>5212</v>
      </c>
      <c r="G1824" t="s">
        <v>243</v>
      </c>
      <c r="H1824" s="25">
        <v>894061</v>
      </c>
      <c r="I1824" s="1">
        <v>133477.15678157227</v>
      </c>
      <c r="J1824" s="1">
        <v>1027538.1567815723</v>
      </c>
    </row>
    <row r="1825" spans="1:10" x14ac:dyDescent="0.2">
      <c r="A1825">
        <v>2010410</v>
      </c>
      <c r="B1825">
        <v>2022</v>
      </c>
      <c r="C1825" t="s">
        <v>6</v>
      </c>
      <c r="D1825" t="s">
        <v>7</v>
      </c>
      <c r="E1825" t="s">
        <v>8</v>
      </c>
      <c r="F1825" s="28">
        <v>5212</v>
      </c>
      <c r="G1825" t="s">
        <v>243</v>
      </c>
      <c r="H1825" s="1">
        <v>949459</v>
      </c>
      <c r="I1825" s="1">
        <v>128941.80559361684</v>
      </c>
      <c r="J1825" s="1">
        <v>1078400.8055936168</v>
      </c>
    </row>
    <row r="1826" spans="1:10" x14ac:dyDescent="0.2">
      <c r="A1826">
        <v>2010410</v>
      </c>
      <c r="B1826">
        <v>2023</v>
      </c>
      <c r="C1826" t="s">
        <v>6</v>
      </c>
      <c r="D1826" t="s">
        <v>7</v>
      </c>
      <c r="E1826" t="s">
        <v>8</v>
      </c>
      <c r="F1826" s="28">
        <v>5212</v>
      </c>
      <c r="G1826" s="10" t="s">
        <v>243</v>
      </c>
      <c r="H1826" s="1">
        <v>930576</v>
      </c>
      <c r="I1826" s="1">
        <v>130283.40966115985</v>
      </c>
      <c r="J1826" s="1">
        <v>1060859.4096611599</v>
      </c>
    </row>
    <row r="1827" spans="1:10" x14ac:dyDescent="0.2">
      <c r="A1827">
        <v>2004410</v>
      </c>
      <c r="B1827">
        <v>2015</v>
      </c>
      <c r="C1827" t="s">
        <v>6</v>
      </c>
      <c r="D1827" t="s">
        <v>7</v>
      </c>
      <c r="E1827" t="s">
        <v>8</v>
      </c>
      <c r="F1827" s="29">
        <v>5213</v>
      </c>
      <c r="G1827" s="3" t="s">
        <v>244</v>
      </c>
      <c r="H1827" s="27">
        <v>438374</v>
      </c>
      <c r="I1827" s="1">
        <v>70610.671940330983</v>
      </c>
      <c r="J1827" s="1">
        <v>508984.671940331</v>
      </c>
    </row>
    <row r="1828" spans="1:10" x14ac:dyDescent="0.2">
      <c r="A1828">
        <v>2004410</v>
      </c>
      <c r="B1828">
        <v>2016</v>
      </c>
      <c r="C1828" t="s">
        <v>6</v>
      </c>
      <c r="D1828" t="s">
        <v>7</v>
      </c>
      <c r="E1828" t="s">
        <v>8</v>
      </c>
      <c r="F1828" s="29">
        <v>5213</v>
      </c>
      <c r="G1828" s="3" t="s">
        <v>244</v>
      </c>
      <c r="H1828" s="1">
        <v>477057</v>
      </c>
      <c r="I1828" s="26">
        <v>1259948.4705434251</v>
      </c>
      <c r="J1828" s="26">
        <v>1737005.4705434251</v>
      </c>
    </row>
    <row r="1829" spans="1:10" x14ac:dyDescent="0.2">
      <c r="A1829">
        <v>2004410</v>
      </c>
      <c r="B1829">
        <v>2017</v>
      </c>
      <c r="C1829" t="s">
        <v>6</v>
      </c>
      <c r="D1829" t="s">
        <v>7</v>
      </c>
      <c r="E1829" t="s">
        <v>8</v>
      </c>
      <c r="F1829" s="29">
        <v>5213</v>
      </c>
      <c r="G1829" s="3" t="s">
        <v>244</v>
      </c>
      <c r="H1829" s="1">
        <v>467876</v>
      </c>
      <c r="I1829" s="1">
        <v>73014.689090823274</v>
      </c>
      <c r="J1829" s="1">
        <v>540890.68909082329</v>
      </c>
    </row>
    <row r="1830" spans="1:10" x14ac:dyDescent="0.2">
      <c r="A1830">
        <v>2004410</v>
      </c>
      <c r="B1830">
        <v>2018</v>
      </c>
      <c r="C1830" t="s">
        <v>6</v>
      </c>
      <c r="D1830" t="s">
        <v>7</v>
      </c>
      <c r="E1830" t="s">
        <v>8</v>
      </c>
      <c r="F1830" s="28">
        <v>5213</v>
      </c>
      <c r="G1830" t="s">
        <v>244</v>
      </c>
      <c r="H1830" s="1">
        <v>543774</v>
      </c>
      <c r="I1830" s="1">
        <v>82229.149385408266</v>
      </c>
      <c r="J1830" s="1">
        <v>626003.14938540827</v>
      </c>
    </row>
    <row r="1831" spans="1:10" x14ac:dyDescent="0.2">
      <c r="A1831">
        <v>2004410</v>
      </c>
      <c r="B1831">
        <v>2019</v>
      </c>
      <c r="C1831" t="s">
        <v>6</v>
      </c>
      <c r="D1831" t="s">
        <v>7</v>
      </c>
      <c r="E1831" t="s">
        <v>8</v>
      </c>
      <c r="F1831" s="28">
        <v>5213</v>
      </c>
      <c r="G1831" t="s">
        <v>244</v>
      </c>
      <c r="H1831" s="1">
        <v>650235</v>
      </c>
      <c r="I1831" s="1">
        <v>99029.374209588685</v>
      </c>
      <c r="J1831" s="1">
        <v>749264.37420958863</v>
      </c>
    </row>
    <row r="1832" spans="1:10" x14ac:dyDescent="0.2">
      <c r="A1832">
        <v>2004410</v>
      </c>
      <c r="B1832">
        <v>2020</v>
      </c>
      <c r="C1832" t="s">
        <v>6</v>
      </c>
      <c r="D1832" t="s">
        <v>7</v>
      </c>
      <c r="E1832" t="s">
        <v>8</v>
      </c>
      <c r="F1832" s="28">
        <v>5213</v>
      </c>
      <c r="G1832" t="s">
        <v>244</v>
      </c>
      <c r="H1832" s="1">
        <v>729212</v>
      </c>
      <c r="I1832" s="1">
        <v>110318.70977643013</v>
      </c>
      <c r="J1832" s="1">
        <v>839530.70977643016</v>
      </c>
    </row>
    <row r="1833" spans="1:10" x14ac:dyDescent="0.2">
      <c r="A1833">
        <v>2004410</v>
      </c>
      <c r="B1833">
        <v>2021</v>
      </c>
      <c r="C1833" t="s">
        <v>6</v>
      </c>
      <c r="D1833" t="s">
        <v>7</v>
      </c>
      <c r="E1833" t="s">
        <v>8</v>
      </c>
      <c r="F1833" s="28">
        <v>5213</v>
      </c>
      <c r="G1833" t="s">
        <v>244</v>
      </c>
      <c r="H1833" s="25">
        <v>717464</v>
      </c>
      <c r="I1833" s="1">
        <v>107112.4395462211</v>
      </c>
      <c r="J1833" s="1">
        <v>824576.43954622105</v>
      </c>
    </row>
    <row r="1834" spans="1:10" x14ac:dyDescent="0.2">
      <c r="A1834">
        <v>2004410</v>
      </c>
      <c r="B1834">
        <v>2022</v>
      </c>
      <c r="C1834" t="s">
        <v>6</v>
      </c>
      <c r="D1834" t="s">
        <v>7</v>
      </c>
      <c r="E1834" t="s">
        <v>8</v>
      </c>
      <c r="F1834" s="28">
        <v>5213</v>
      </c>
      <c r="G1834" t="s">
        <v>244</v>
      </c>
      <c r="H1834" s="1">
        <v>698688</v>
      </c>
      <c r="I1834" s="1">
        <v>94885.710985511701</v>
      </c>
      <c r="J1834" s="1">
        <v>793573.71098551166</v>
      </c>
    </row>
    <row r="1835" spans="1:10" x14ac:dyDescent="0.2">
      <c r="A1835">
        <v>2004410</v>
      </c>
      <c r="B1835">
        <v>2023</v>
      </c>
      <c r="C1835" t="s">
        <v>6</v>
      </c>
      <c r="D1835" t="s">
        <v>7</v>
      </c>
      <c r="E1835" t="s">
        <v>8</v>
      </c>
      <c r="F1835" s="28">
        <v>5213</v>
      </c>
      <c r="G1835" s="10" t="s">
        <v>244</v>
      </c>
      <c r="H1835" s="1">
        <v>735128</v>
      </c>
      <c r="I1835" s="1">
        <v>102920.10795183748</v>
      </c>
      <c r="J1835" s="1">
        <v>838048.10795183748</v>
      </c>
    </row>
    <row r="1836" spans="1:10" x14ac:dyDescent="0.2">
      <c r="A1836">
        <v>2012180</v>
      </c>
      <c r="B1836">
        <v>2015</v>
      </c>
      <c r="C1836" t="s">
        <v>6</v>
      </c>
      <c r="D1836" t="s">
        <v>7</v>
      </c>
      <c r="E1836" t="s">
        <v>8</v>
      </c>
      <c r="F1836" s="29">
        <v>5214</v>
      </c>
      <c r="G1836" s="3" t="s">
        <v>245</v>
      </c>
      <c r="H1836" s="27">
        <v>2082033</v>
      </c>
      <c r="I1836" s="1">
        <v>335361.47018742701</v>
      </c>
      <c r="J1836" s="1">
        <v>2417394.470187427</v>
      </c>
    </row>
    <row r="1837" spans="1:10" x14ac:dyDescent="0.2">
      <c r="A1837">
        <v>2012180</v>
      </c>
      <c r="B1837">
        <v>2016</v>
      </c>
      <c r="C1837" t="s">
        <v>6</v>
      </c>
      <c r="D1837" t="s">
        <v>7</v>
      </c>
      <c r="E1837" t="s">
        <v>8</v>
      </c>
      <c r="F1837" s="29">
        <v>5214</v>
      </c>
      <c r="G1837" s="3" t="s">
        <v>245</v>
      </c>
      <c r="H1837" s="1">
        <v>2289254</v>
      </c>
      <c r="I1837" s="26">
        <v>6046129.9092888264</v>
      </c>
      <c r="J1837" s="26">
        <v>8335383.9092888264</v>
      </c>
    </row>
    <row r="1838" spans="1:10" x14ac:dyDescent="0.2">
      <c r="A1838">
        <v>2012180</v>
      </c>
      <c r="B1838">
        <v>2017</v>
      </c>
      <c r="C1838" t="s">
        <v>6</v>
      </c>
      <c r="D1838" t="s">
        <v>7</v>
      </c>
      <c r="E1838" t="s">
        <v>8</v>
      </c>
      <c r="F1838" s="29">
        <v>5214</v>
      </c>
      <c r="G1838" s="3" t="s">
        <v>245</v>
      </c>
      <c r="H1838" s="1">
        <v>2361660</v>
      </c>
      <c r="I1838" s="1">
        <v>368550.3651357062</v>
      </c>
      <c r="J1838" s="1">
        <v>2730210.365135706</v>
      </c>
    </row>
    <row r="1839" spans="1:10" x14ac:dyDescent="0.2">
      <c r="A1839">
        <v>2012180</v>
      </c>
      <c r="B1839">
        <v>2018</v>
      </c>
      <c r="C1839" t="s">
        <v>6</v>
      </c>
      <c r="D1839" t="s">
        <v>7</v>
      </c>
      <c r="E1839" t="s">
        <v>8</v>
      </c>
      <c r="F1839" s="28">
        <v>5214</v>
      </c>
      <c r="G1839" t="s">
        <v>245</v>
      </c>
      <c r="H1839" s="1">
        <v>2669653</v>
      </c>
      <c r="I1839" s="1">
        <v>403703.18430856074</v>
      </c>
      <c r="J1839" s="1">
        <v>3073356.1843085606</v>
      </c>
    </row>
    <row r="1840" spans="1:10" x14ac:dyDescent="0.2">
      <c r="A1840">
        <v>2012180</v>
      </c>
      <c r="B1840">
        <v>2019</v>
      </c>
      <c r="C1840" t="s">
        <v>6</v>
      </c>
      <c r="D1840" t="s">
        <v>7</v>
      </c>
      <c r="E1840" t="s">
        <v>8</v>
      </c>
      <c r="F1840" s="28">
        <v>5214</v>
      </c>
      <c r="G1840" t="s">
        <v>245</v>
      </c>
      <c r="H1840" s="1">
        <v>3064148</v>
      </c>
      <c r="I1840" s="1">
        <v>466663.06631535175</v>
      </c>
      <c r="J1840" s="1">
        <v>3530811.066315352</v>
      </c>
    </row>
    <row r="1841" spans="1:10" x14ac:dyDescent="0.2">
      <c r="A1841">
        <v>2012180</v>
      </c>
      <c r="B1841">
        <v>2020</v>
      </c>
      <c r="C1841" t="s">
        <v>6</v>
      </c>
      <c r="D1841" t="s">
        <v>7</v>
      </c>
      <c r="E1841" t="s">
        <v>8</v>
      </c>
      <c r="F1841" s="28">
        <v>5214</v>
      </c>
      <c r="G1841" t="s">
        <v>245</v>
      </c>
      <c r="H1841" s="1">
        <v>3566237</v>
      </c>
      <c r="I1841" s="1">
        <v>539517.54029962048</v>
      </c>
      <c r="J1841" s="1">
        <v>4105754.5402996205</v>
      </c>
    </row>
    <row r="1842" spans="1:10" x14ac:dyDescent="0.2">
      <c r="A1842">
        <v>2012180</v>
      </c>
      <c r="B1842">
        <v>2021</v>
      </c>
      <c r="C1842" t="s">
        <v>6</v>
      </c>
      <c r="D1842" t="s">
        <v>7</v>
      </c>
      <c r="E1842" t="s">
        <v>8</v>
      </c>
      <c r="F1842" s="28">
        <v>5214</v>
      </c>
      <c r="G1842" t="s">
        <v>245</v>
      </c>
      <c r="H1842" s="25">
        <v>3526204</v>
      </c>
      <c r="I1842" s="1">
        <v>526437.99936671811</v>
      </c>
      <c r="J1842" s="1">
        <v>4052641.9993667183</v>
      </c>
    </row>
    <row r="1843" spans="1:10" x14ac:dyDescent="0.2">
      <c r="A1843">
        <v>2012180</v>
      </c>
      <c r="B1843">
        <v>2022</v>
      </c>
      <c r="C1843" t="s">
        <v>6</v>
      </c>
      <c r="D1843" t="s">
        <v>7</v>
      </c>
      <c r="E1843" t="s">
        <v>8</v>
      </c>
      <c r="F1843" s="28">
        <v>5214</v>
      </c>
      <c r="G1843" t="s">
        <v>245</v>
      </c>
      <c r="H1843" s="1">
        <v>3638204</v>
      </c>
      <c r="I1843" s="1">
        <v>494088.31016180705</v>
      </c>
      <c r="J1843" s="1">
        <v>4132292.3101618071</v>
      </c>
    </row>
    <row r="1844" spans="1:10" x14ac:dyDescent="0.2">
      <c r="A1844">
        <v>2012180</v>
      </c>
      <c r="B1844">
        <v>2023</v>
      </c>
      <c r="C1844" t="s">
        <v>6</v>
      </c>
      <c r="D1844" t="s">
        <v>7</v>
      </c>
      <c r="E1844" t="s">
        <v>8</v>
      </c>
      <c r="F1844" s="28">
        <v>5214</v>
      </c>
      <c r="G1844" s="10" t="s">
        <v>245</v>
      </c>
      <c r="H1844" s="1">
        <v>3612609</v>
      </c>
      <c r="I1844" s="1">
        <v>505776.01216084772</v>
      </c>
      <c r="J1844" s="1">
        <v>4118385.0121608479</v>
      </c>
    </row>
    <row r="1845" spans="1:10" x14ac:dyDescent="0.2">
      <c r="A1845">
        <v>2000017</v>
      </c>
      <c r="B1845">
        <v>2015</v>
      </c>
      <c r="C1845" t="s">
        <v>6</v>
      </c>
      <c r="D1845" t="s">
        <v>7</v>
      </c>
      <c r="E1845" t="s">
        <v>8</v>
      </c>
      <c r="F1845" s="29">
        <v>5215</v>
      </c>
      <c r="G1845" s="3" t="s">
        <v>246</v>
      </c>
      <c r="H1845" s="27">
        <v>474956</v>
      </c>
      <c r="I1845" s="1">
        <v>76503.082532476474</v>
      </c>
      <c r="J1845" s="1">
        <v>551459.08253247652</v>
      </c>
    </row>
    <row r="1846" spans="1:10" x14ac:dyDescent="0.2">
      <c r="A1846">
        <v>2000017</v>
      </c>
      <c r="B1846">
        <v>2016</v>
      </c>
      <c r="C1846" t="s">
        <v>6</v>
      </c>
      <c r="D1846" t="s">
        <v>7</v>
      </c>
      <c r="E1846" t="s">
        <v>8</v>
      </c>
      <c r="F1846" s="29">
        <v>5215</v>
      </c>
      <c r="G1846" s="3" t="s">
        <v>246</v>
      </c>
      <c r="H1846" s="1">
        <v>520880</v>
      </c>
      <c r="I1846" s="26">
        <v>1375688.756607584</v>
      </c>
      <c r="J1846" s="26">
        <v>1896568.756607584</v>
      </c>
    </row>
    <row r="1847" spans="1:10" x14ac:dyDescent="0.2">
      <c r="A1847">
        <v>2000017</v>
      </c>
      <c r="B1847">
        <v>2017</v>
      </c>
      <c r="C1847" t="s">
        <v>6</v>
      </c>
      <c r="D1847" t="s">
        <v>7</v>
      </c>
      <c r="E1847" t="s">
        <v>8</v>
      </c>
      <c r="F1847" s="29">
        <v>5215</v>
      </c>
      <c r="G1847" s="3" t="s">
        <v>246</v>
      </c>
      <c r="H1847" s="1">
        <v>571662</v>
      </c>
      <c r="I1847" s="1">
        <v>89211.079848161084</v>
      </c>
      <c r="J1847" s="1">
        <v>660873.07984816108</v>
      </c>
    </row>
    <row r="1848" spans="1:10" x14ac:dyDescent="0.2">
      <c r="A1848">
        <v>2000017</v>
      </c>
      <c r="B1848">
        <v>2018</v>
      </c>
      <c r="C1848" t="s">
        <v>6</v>
      </c>
      <c r="D1848" t="s">
        <v>7</v>
      </c>
      <c r="E1848" t="s">
        <v>8</v>
      </c>
      <c r="F1848" s="28">
        <v>5215</v>
      </c>
      <c r="G1848" t="s">
        <v>246</v>
      </c>
      <c r="H1848" s="1">
        <v>675311</v>
      </c>
      <c r="I1848" s="1">
        <v>102120.08867766653</v>
      </c>
      <c r="J1848" s="1">
        <v>777431.0886776665</v>
      </c>
    </row>
    <row r="1849" spans="1:10" x14ac:dyDescent="0.2">
      <c r="A1849">
        <v>2000017</v>
      </c>
      <c r="B1849">
        <v>2019</v>
      </c>
      <c r="C1849" t="s">
        <v>6</v>
      </c>
      <c r="D1849" t="s">
        <v>7</v>
      </c>
      <c r="E1849" t="s">
        <v>8</v>
      </c>
      <c r="F1849" s="28">
        <v>5215</v>
      </c>
      <c r="G1849" t="s">
        <v>246</v>
      </c>
      <c r="H1849" s="1">
        <v>732260</v>
      </c>
      <c r="I1849" s="1">
        <v>111521.60304922592</v>
      </c>
      <c r="J1849" s="1">
        <v>843781.60304922587</v>
      </c>
    </row>
    <row r="1850" spans="1:10" x14ac:dyDescent="0.2">
      <c r="A1850">
        <v>2000017</v>
      </c>
      <c r="B1850">
        <v>2020</v>
      </c>
      <c r="C1850" t="s">
        <v>6</v>
      </c>
      <c r="D1850" t="s">
        <v>7</v>
      </c>
      <c r="E1850" t="s">
        <v>8</v>
      </c>
      <c r="F1850" s="28">
        <v>5215</v>
      </c>
      <c r="G1850" t="s">
        <v>246</v>
      </c>
      <c r="H1850" s="1">
        <v>881443</v>
      </c>
      <c r="I1850" s="1">
        <v>133348.94996443545</v>
      </c>
      <c r="J1850" s="1">
        <v>1014791.9499644354</v>
      </c>
    </row>
    <row r="1851" spans="1:10" x14ac:dyDescent="0.2">
      <c r="A1851">
        <v>2000017</v>
      </c>
      <c r="B1851">
        <v>2021</v>
      </c>
      <c r="C1851" t="s">
        <v>6</v>
      </c>
      <c r="D1851" t="s">
        <v>7</v>
      </c>
      <c r="E1851" t="s">
        <v>8</v>
      </c>
      <c r="F1851" s="28">
        <v>5215</v>
      </c>
      <c r="G1851" t="s">
        <v>246</v>
      </c>
      <c r="H1851" s="25">
        <v>845219</v>
      </c>
      <c r="I1851" s="1">
        <v>126185.38218059365</v>
      </c>
      <c r="J1851" s="1">
        <v>971404.38218059368</v>
      </c>
    </row>
    <row r="1852" spans="1:10" x14ac:dyDescent="0.2">
      <c r="A1852">
        <v>2000017</v>
      </c>
      <c r="B1852">
        <v>2022</v>
      </c>
      <c r="C1852" t="s">
        <v>6</v>
      </c>
      <c r="D1852" t="s">
        <v>7</v>
      </c>
      <c r="E1852" t="s">
        <v>8</v>
      </c>
      <c r="F1852" s="28">
        <v>5215</v>
      </c>
      <c r="G1852" t="s">
        <v>246</v>
      </c>
      <c r="H1852" s="1">
        <v>854921</v>
      </c>
      <c r="I1852" s="1">
        <v>116103.02011977401</v>
      </c>
      <c r="J1852" s="1">
        <v>971024.02011977404</v>
      </c>
    </row>
    <row r="1853" spans="1:10" x14ac:dyDescent="0.2">
      <c r="A1853">
        <v>2000017</v>
      </c>
      <c r="B1853">
        <v>2023</v>
      </c>
      <c r="C1853" t="s">
        <v>6</v>
      </c>
      <c r="D1853" t="s">
        <v>7</v>
      </c>
      <c r="E1853" t="s">
        <v>8</v>
      </c>
      <c r="F1853" s="28">
        <v>5215</v>
      </c>
      <c r="G1853" s="10" t="s">
        <v>246</v>
      </c>
      <c r="H1853" s="1">
        <v>807078</v>
      </c>
      <c r="I1853" s="1">
        <v>112993.32209568007</v>
      </c>
      <c r="J1853" s="1">
        <v>920071.32209568005</v>
      </c>
    </row>
    <row r="1854" spans="1:10" x14ac:dyDescent="0.2">
      <c r="A1854">
        <v>2004620</v>
      </c>
      <c r="B1854">
        <v>2015</v>
      </c>
      <c r="C1854" t="s">
        <v>6</v>
      </c>
      <c r="D1854" t="s">
        <v>7</v>
      </c>
      <c r="E1854" t="s">
        <v>8</v>
      </c>
      <c r="F1854" s="29">
        <v>5216</v>
      </c>
      <c r="G1854" s="3" t="s">
        <v>299</v>
      </c>
      <c r="H1854" s="27">
        <v>675515</v>
      </c>
      <c r="I1854" s="1">
        <v>108807.93125452852</v>
      </c>
      <c r="J1854" s="1">
        <v>784322.93125452846</v>
      </c>
    </row>
    <row r="1855" spans="1:10" x14ac:dyDescent="0.2">
      <c r="A1855">
        <v>2004620</v>
      </c>
      <c r="B1855">
        <v>2016</v>
      </c>
      <c r="C1855" t="s">
        <v>6</v>
      </c>
      <c r="D1855" t="s">
        <v>7</v>
      </c>
      <c r="E1855" t="s">
        <v>8</v>
      </c>
      <c r="F1855" s="29">
        <v>5216</v>
      </c>
      <c r="G1855" s="3" t="s">
        <v>299</v>
      </c>
      <c r="H1855" s="1">
        <v>736708</v>
      </c>
      <c r="I1855" s="26">
        <v>1945712.810671418</v>
      </c>
      <c r="J1855" s="26">
        <v>2682420.810671418</v>
      </c>
    </row>
    <row r="1856" spans="1:10" x14ac:dyDescent="0.2">
      <c r="A1856">
        <v>2004620</v>
      </c>
      <c r="B1856">
        <v>2017</v>
      </c>
      <c r="C1856" t="s">
        <v>6</v>
      </c>
      <c r="D1856" t="s">
        <v>7</v>
      </c>
      <c r="E1856" t="s">
        <v>8</v>
      </c>
      <c r="F1856" s="29">
        <v>5216</v>
      </c>
      <c r="G1856" s="3" t="s">
        <v>299</v>
      </c>
      <c r="H1856" s="1">
        <v>783800</v>
      </c>
      <c r="I1856" s="1">
        <v>122316.41141966521</v>
      </c>
      <c r="J1856" s="1">
        <v>906116.41141966521</v>
      </c>
    </row>
    <row r="1857" spans="1:10" x14ac:dyDescent="0.2">
      <c r="A1857">
        <v>2004620</v>
      </c>
      <c r="B1857">
        <v>2018</v>
      </c>
      <c r="C1857" t="s">
        <v>6</v>
      </c>
      <c r="D1857" t="s">
        <v>7</v>
      </c>
      <c r="E1857" t="s">
        <v>8</v>
      </c>
      <c r="F1857" s="28">
        <v>5216</v>
      </c>
      <c r="G1857" t="s">
        <v>299</v>
      </c>
      <c r="H1857" s="1">
        <v>910769</v>
      </c>
      <c r="I1857" s="1">
        <v>137725.89376579039</v>
      </c>
      <c r="J1857" s="1">
        <v>1048494.8937657904</v>
      </c>
    </row>
    <row r="1858" spans="1:10" x14ac:dyDescent="0.2">
      <c r="A1858">
        <v>2004620</v>
      </c>
      <c r="B1858">
        <v>2019</v>
      </c>
      <c r="C1858" t="s">
        <v>6</v>
      </c>
      <c r="D1858" t="s">
        <v>7</v>
      </c>
      <c r="E1858" t="s">
        <v>8</v>
      </c>
      <c r="F1858" s="28">
        <v>5216</v>
      </c>
      <c r="G1858" t="s">
        <v>299</v>
      </c>
      <c r="H1858" s="1">
        <v>949887</v>
      </c>
      <c r="I1858" s="1">
        <v>144665.72113131956</v>
      </c>
      <c r="J1858" s="1">
        <v>1094552.7211313196</v>
      </c>
    </row>
    <row r="1859" spans="1:10" x14ac:dyDescent="0.2">
      <c r="A1859">
        <v>2004620</v>
      </c>
      <c r="B1859">
        <v>2020</v>
      </c>
      <c r="C1859" t="s">
        <v>6</v>
      </c>
      <c r="D1859" t="s">
        <v>7</v>
      </c>
      <c r="E1859" t="s">
        <v>8</v>
      </c>
      <c r="F1859" s="28">
        <v>5216</v>
      </c>
      <c r="G1859" t="s">
        <v>299</v>
      </c>
      <c r="H1859" s="1">
        <v>944989</v>
      </c>
      <c r="I1859" s="1">
        <v>142962.49545114307</v>
      </c>
      <c r="J1859" s="1">
        <v>1087951.495451143</v>
      </c>
    </row>
    <row r="1860" spans="1:10" x14ac:dyDescent="0.2">
      <c r="A1860">
        <v>2004620</v>
      </c>
      <c r="B1860">
        <v>2021</v>
      </c>
      <c r="C1860" t="s">
        <v>6</v>
      </c>
      <c r="D1860" t="s">
        <v>7</v>
      </c>
      <c r="E1860" t="s">
        <v>8</v>
      </c>
      <c r="F1860" s="28">
        <v>5216</v>
      </c>
      <c r="G1860" t="s">
        <v>299</v>
      </c>
      <c r="H1860" s="25">
        <v>989660</v>
      </c>
      <c r="I1860" s="1">
        <v>147749.42982688075</v>
      </c>
      <c r="J1860" s="1">
        <v>1137409.4298268808</v>
      </c>
    </row>
    <row r="1861" spans="1:10" x14ac:dyDescent="0.2">
      <c r="A1861">
        <v>2004620</v>
      </c>
      <c r="B1861">
        <v>2022</v>
      </c>
      <c r="C1861" t="s">
        <v>6</v>
      </c>
      <c r="D1861" t="s">
        <v>7</v>
      </c>
      <c r="E1861" t="s">
        <v>8</v>
      </c>
      <c r="F1861" s="28">
        <v>5216</v>
      </c>
      <c r="G1861" t="s">
        <v>299</v>
      </c>
      <c r="H1861" s="1">
        <v>977582</v>
      </c>
      <c r="I1861" s="1">
        <v>132761.0651916714</v>
      </c>
      <c r="J1861" s="1">
        <v>1110343.0651916715</v>
      </c>
    </row>
    <row r="1862" spans="1:10" x14ac:dyDescent="0.2">
      <c r="A1862">
        <v>2004620</v>
      </c>
      <c r="B1862">
        <v>2023</v>
      </c>
      <c r="C1862" t="s">
        <v>6</v>
      </c>
      <c r="D1862" t="s">
        <v>7</v>
      </c>
      <c r="E1862" t="s">
        <v>8</v>
      </c>
      <c r="F1862" s="28">
        <v>5216</v>
      </c>
      <c r="G1862" s="10" t="s">
        <v>299</v>
      </c>
      <c r="H1862" s="1">
        <v>984386</v>
      </c>
      <c r="I1862" s="1">
        <v>137816.96981515805</v>
      </c>
      <c r="J1862" s="1">
        <v>1122202.9698151581</v>
      </c>
    </row>
    <row r="1863" spans="1:10" x14ac:dyDescent="0.2">
      <c r="A1863">
        <v>2005190</v>
      </c>
      <c r="B1863">
        <v>2015</v>
      </c>
      <c r="C1863" t="s">
        <v>6</v>
      </c>
      <c r="D1863" t="s">
        <v>7</v>
      </c>
      <c r="E1863" t="s">
        <v>8</v>
      </c>
      <c r="F1863" s="29">
        <v>5217</v>
      </c>
      <c r="G1863" s="3" t="s">
        <v>248</v>
      </c>
      <c r="H1863" s="27">
        <v>89578</v>
      </c>
      <c r="I1863" s="1">
        <v>14428.690504160759</v>
      </c>
      <c r="J1863" s="1">
        <v>104006.69050416075</v>
      </c>
    </row>
    <row r="1864" spans="1:10" x14ac:dyDescent="0.2">
      <c r="A1864">
        <v>2005190</v>
      </c>
      <c r="B1864">
        <v>2016</v>
      </c>
      <c r="C1864" t="s">
        <v>6</v>
      </c>
      <c r="D1864" t="s">
        <v>7</v>
      </c>
      <c r="E1864" t="s">
        <v>8</v>
      </c>
      <c r="F1864" s="29">
        <v>5217</v>
      </c>
      <c r="G1864" s="3" t="s">
        <v>248</v>
      </c>
      <c r="H1864" s="1">
        <v>94538</v>
      </c>
      <c r="I1864" s="26">
        <v>249686.2779491118</v>
      </c>
      <c r="J1864" s="26">
        <v>344224.27794911177</v>
      </c>
    </row>
    <row r="1865" spans="1:10" x14ac:dyDescent="0.2">
      <c r="A1865">
        <v>2005190</v>
      </c>
      <c r="B1865">
        <v>2017</v>
      </c>
      <c r="C1865" t="s">
        <v>6</v>
      </c>
      <c r="D1865" t="s">
        <v>7</v>
      </c>
      <c r="E1865" t="s">
        <v>8</v>
      </c>
      <c r="F1865" s="29">
        <v>5217</v>
      </c>
      <c r="G1865" s="3" t="s">
        <v>248</v>
      </c>
      <c r="H1865" s="1">
        <v>100110</v>
      </c>
      <c r="I1865" s="1">
        <v>15622.730221003681</v>
      </c>
      <c r="J1865" s="1">
        <v>115732.73022100369</v>
      </c>
    </row>
    <row r="1866" spans="1:10" x14ac:dyDescent="0.2">
      <c r="A1866">
        <v>2005190</v>
      </c>
      <c r="B1866">
        <v>2018</v>
      </c>
      <c r="C1866" t="s">
        <v>6</v>
      </c>
      <c r="D1866" t="s">
        <v>7</v>
      </c>
      <c r="E1866" t="s">
        <v>8</v>
      </c>
      <c r="F1866" s="28">
        <v>5217</v>
      </c>
      <c r="G1866" t="s">
        <v>248</v>
      </c>
      <c r="H1866" s="1">
        <v>101958</v>
      </c>
      <c r="I1866" s="1">
        <v>15418.022217019306</v>
      </c>
      <c r="J1866" s="1">
        <v>117376.0222170193</v>
      </c>
    </row>
    <row r="1867" spans="1:10" x14ac:dyDescent="0.2">
      <c r="A1867">
        <v>2005190</v>
      </c>
      <c r="B1867">
        <v>2019</v>
      </c>
      <c r="C1867" t="s">
        <v>6</v>
      </c>
      <c r="D1867" t="s">
        <v>7</v>
      </c>
      <c r="E1867" t="s">
        <v>8</v>
      </c>
      <c r="F1867" s="28">
        <v>5217</v>
      </c>
      <c r="G1867" t="s">
        <v>248</v>
      </c>
      <c r="H1867" s="1">
        <v>114529</v>
      </c>
      <c r="I1867" s="1">
        <v>17442.517241997095</v>
      </c>
      <c r="J1867" s="1">
        <v>131971.51724199709</v>
      </c>
    </row>
    <row r="1868" spans="1:10" x14ac:dyDescent="0.2">
      <c r="A1868">
        <v>2005190</v>
      </c>
      <c r="B1868">
        <v>2020</v>
      </c>
      <c r="C1868" t="s">
        <v>6</v>
      </c>
      <c r="D1868" t="s">
        <v>7</v>
      </c>
      <c r="E1868" t="s">
        <v>8</v>
      </c>
      <c r="F1868" s="28">
        <v>5217</v>
      </c>
      <c r="G1868" t="s">
        <v>248</v>
      </c>
      <c r="H1868" s="1">
        <v>138398</v>
      </c>
      <c r="I1868" s="1">
        <v>20937.517204377298</v>
      </c>
      <c r="J1868" s="1">
        <v>159335.51720437731</v>
      </c>
    </row>
    <row r="1869" spans="1:10" x14ac:dyDescent="0.2">
      <c r="A1869">
        <v>2005190</v>
      </c>
      <c r="B1869">
        <v>2021</v>
      </c>
      <c r="C1869" t="s">
        <v>6</v>
      </c>
      <c r="D1869" t="s">
        <v>7</v>
      </c>
      <c r="E1869" t="s">
        <v>8</v>
      </c>
      <c r="F1869" s="28">
        <v>5217</v>
      </c>
      <c r="G1869" t="s">
        <v>248</v>
      </c>
      <c r="H1869" s="25">
        <v>128355</v>
      </c>
      <c r="I1869" s="1">
        <v>19162.518506789482</v>
      </c>
      <c r="J1869" s="1">
        <v>147517.51850678949</v>
      </c>
    </row>
    <row r="1870" spans="1:10" x14ac:dyDescent="0.2">
      <c r="A1870">
        <v>2005190</v>
      </c>
      <c r="B1870">
        <v>2022</v>
      </c>
      <c r="C1870" t="s">
        <v>6</v>
      </c>
      <c r="D1870" t="s">
        <v>7</v>
      </c>
      <c r="E1870" t="s">
        <v>8</v>
      </c>
      <c r="F1870" s="28">
        <v>5217</v>
      </c>
      <c r="G1870" t="s">
        <v>248</v>
      </c>
      <c r="H1870" s="1">
        <v>133554</v>
      </c>
      <c r="I1870" s="1">
        <v>18137.374972747537</v>
      </c>
      <c r="J1870" s="1">
        <v>151691.37497274752</v>
      </c>
    </row>
    <row r="1871" spans="1:10" x14ac:dyDescent="0.2">
      <c r="A1871">
        <v>2005190</v>
      </c>
      <c r="B1871">
        <v>2023</v>
      </c>
      <c r="C1871" t="s">
        <v>6</v>
      </c>
      <c r="D1871" t="s">
        <v>7</v>
      </c>
      <c r="E1871" t="s">
        <v>8</v>
      </c>
      <c r="F1871" s="28">
        <v>5217</v>
      </c>
      <c r="G1871" s="10" t="s">
        <v>248</v>
      </c>
      <c r="H1871" s="1">
        <v>125073</v>
      </c>
      <c r="I1871" s="1">
        <v>17510.592253131661</v>
      </c>
      <c r="J1871" s="1">
        <v>142583.59225313168</v>
      </c>
    </row>
    <row r="1872" spans="1:10" x14ac:dyDescent="0.2">
      <c r="A1872">
        <v>2007440</v>
      </c>
      <c r="B1872">
        <v>2015</v>
      </c>
      <c r="C1872" t="s">
        <v>6</v>
      </c>
      <c r="D1872" t="s">
        <v>7</v>
      </c>
      <c r="E1872" t="s">
        <v>8</v>
      </c>
      <c r="F1872" s="29">
        <v>5218</v>
      </c>
      <c r="G1872" s="3" t="s">
        <v>249</v>
      </c>
      <c r="H1872" s="27">
        <v>189881</v>
      </c>
      <c r="I1872" s="1">
        <v>30584.900105165882</v>
      </c>
      <c r="J1872" s="1">
        <v>220465.90010516587</v>
      </c>
    </row>
    <row r="1873" spans="1:10" x14ac:dyDescent="0.2">
      <c r="A1873">
        <v>2007440</v>
      </c>
      <c r="B1873">
        <v>2016</v>
      </c>
      <c r="C1873" t="s">
        <v>6</v>
      </c>
      <c r="D1873" t="s">
        <v>7</v>
      </c>
      <c r="E1873" t="s">
        <v>8</v>
      </c>
      <c r="F1873" s="29">
        <v>5218</v>
      </c>
      <c r="G1873" s="3" t="s">
        <v>249</v>
      </c>
      <c r="H1873" s="1">
        <v>231696</v>
      </c>
      <c r="I1873" s="26">
        <v>611928.78803390707</v>
      </c>
      <c r="J1873" s="26">
        <v>843624.78803390707</v>
      </c>
    </row>
    <row r="1874" spans="1:10" x14ac:dyDescent="0.2">
      <c r="A1874">
        <v>2007440</v>
      </c>
      <c r="B1874">
        <v>2017</v>
      </c>
      <c r="C1874" t="s">
        <v>6</v>
      </c>
      <c r="D1874" t="s">
        <v>7</v>
      </c>
      <c r="E1874" t="s">
        <v>8</v>
      </c>
      <c r="F1874" s="29">
        <v>5218</v>
      </c>
      <c r="G1874" s="3" t="s">
        <v>249</v>
      </c>
      <c r="H1874" s="1">
        <v>213149</v>
      </c>
      <c r="I1874" s="1">
        <v>33263.103824560116</v>
      </c>
      <c r="J1874" s="1">
        <v>246412.10382456012</v>
      </c>
    </row>
    <row r="1875" spans="1:10" x14ac:dyDescent="0.2">
      <c r="A1875">
        <v>2007440</v>
      </c>
      <c r="B1875">
        <v>2018</v>
      </c>
      <c r="C1875" t="s">
        <v>6</v>
      </c>
      <c r="D1875" t="s">
        <v>7</v>
      </c>
      <c r="E1875" t="s">
        <v>8</v>
      </c>
      <c r="F1875" s="28">
        <v>5218</v>
      </c>
      <c r="G1875" t="s">
        <v>249</v>
      </c>
      <c r="H1875" s="1">
        <v>261360</v>
      </c>
      <c r="I1875" s="1">
        <v>39522.688623160182</v>
      </c>
      <c r="J1875" s="1">
        <v>300882.68862316018</v>
      </c>
    </row>
    <row r="1876" spans="1:10" x14ac:dyDescent="0.2">
      <c r="A1876">
        <v>2007440</v>
      </c>
      <c r="B1876">
        <v>2019</v>
      </c>
      <c r="C1876" t="s">
        <v>6</v>
      </c>
      <c r="D1876" t="s">
        <v>7</v>
      </c>
      <c r="E1876" t="s">
        <v>8</v>
      </c>
      <c r="F1876" s="28">
        <v>5218</v>
      </c>
      <c r="G1876" t="s">
        <v>249</v>
      </c>
      <c r="H1876" s="1">
        <v>287252</v>
      </c>
      <c r="I1876" s="1">
        <v>43747.853930429417</v>
      </c>
      <c r="J1876" s="1">
        <v>330999.85393042944</v>
      </c>
    </row>
    <row r="1877" spans="1:10" x14ac:dyDescent="0.2">
      <c r="A1877">
        <v>2007440</v>
      </c>
      <c r="B1877">
        <v>2020</v>
      </c>
      <c r="C1877" t="s">
        <v>6</v>
      </c>
      <c r="D1877" t="s">
        <v>7</v>
      </c>
      <c r="E1877" t="s">
        <v>8</v>
      </c>
      <c r="F1877" s="28">
        <v>5218</v>
      </c>
      <c r="G1877" t="s">
        <v>249</v>
      </c>
      <c r="H1877" s="1">
        <v>327922</v>
      </c>
      <c r="I1877" s="1">
        <v>49609.622369498204</v>
      </c>
      <c r="J1877" s="1">
        <v>377531.62236949819</v>
      </c>
    </row>
    <row r="1878" spans="1:10" x14ac:dyDescent="0.2">
      <c r="A1878">
        <v>2007440</v>
      </c>
      <c r="B1878">
        <v>2021</v>
      </c>
      <c r="C1878" t="s">
        <v>6</v>
      </c>
      <c r="D1878" t="s">
        <v>7</v>
      </c>
      <c r="E1878" t="s">
        <v>8</v>
      </c>
      <c r="F1878" s="28">
        <v>5218</v>
      </c>
      <c r="G1878" t="s">
        <v>249</v>
      </c>
      <c r="H1878" s="25">
        <v>322906</v>
      </c>
      <c r="I1878" s="1">
        <v>48207.644431096291</v>
      </c>
      <c r="J1878" s="1">
        <v>371113.64443109627</v>
      </c>
    </row>
    <row r="1879" spans="1:10" x14ac:dyDescent="0.2">
      <c r="A1879">
        <v>2007440</v>
      </c>
      <c r="B1879">
        <v>2022</v>
      </c>
      <c r="C1879" t="s">
        <v>6</v>
      </c>
      <c r="D1879" t="s">
        <v>7</v>
      </c>
      <c r="E1879" t="s">
        <v>8</v>
      </c>
      <c r="F1879" s="28">
        <v>5218</v>
      </c>
      <c r="G1879" t="s">
        <v>249</v>
      </c>
      <c r="H1879" s="1">
        <v>310793</v>
      </c>
      <c r="I1879" s="1">
        <v>42207.415576509316</v>
      </c>
      <c r="J1879" s="1">
        <v>353000.41557650932</v>
      </c>
    </row>
    <row r="1880" spans="1:10" x14ac:dyDescent="0.2">
      <c r="A1880">
        <v>2007440</v>
      </c>
      <c r="B1880">
        <v>2023</v>
      </c>
      <c r="C1880" t="s">
        <v>6</v>
      </c>
      <c r="D1880" t="s">
        <v>7</v>
      </c>
      <c r="E1880" t="s">
        <v>8</v>
      </c>
      <c r="F1880" s="28">
        <v>5218</v>
      </c>
      <c r="G1880" s="10" t="s">
        <v>249</v>
      </c>
      <c r="H1880" s="1">
        <v>318260</v>
      </c>
      <c r="I1880" s="1">
        <v>44557.34723306934</v>
      </c>
      <c r="J1880" s="1">
        <v>362817.34723306936</v>
      </c>
    </row>
    <row r="1881" spans="1:10" x14ac:dyDescent="0.2">
      <c r="A1881">
        <v>2011610</v>
      </c>
      <c r="B1881">
        <v>2015</v>
      </c>
      <c r="C1881" t="s">
        <v>6</v>
      </c>
      <c r="D1881" t="s">
        <v>7</v>
      </c>
      <c r="E1881" t="s">
        <v>8</v>
      </c>
      <c r="F1881" s="29">
        <v>5219</v>
      </c>
      <c r="G1881" s="3" t="s">
        <v>250</v>
      </c>
      <c r="H1881" s="27">
        <v>152033</v>
      </c>
      <c r="I1881" s="1">
        <v>24488.569776274006</v>
      </c>
      <c r="J1881" s="1">
        <v>176521.569776274</v>
      </c>
    </row>
    <row r="1882" spans="1:10" x14ac:dyDescent="0.2">
      <c r="A1882">
        <v>2011610</v>
      </c>
      <c r="B1882">
        <v>2016</v>
      </c>
      <c r="C1882" t="s">
        <v>6</v>
      </c>
      <c r="D1882" t="s">
        <v>7</v>
      </c>
      <c r="E1882" t="s">
        <v>8</v>
      </c>
      <c r="F1882" s="29">
        <v>5219</v>
      </c>
      <c r="G1882" s="3" t="s">
        <v>250</v>
      </c>
      <c r="H1882" s="1">
        <v>130147</v>
      </c>
      <c r="I1882" s="26">
        <v>343727.88385702058</v>
      </c>
      <c r="J1882" s="26">
        <v>473874.88385702058</v>
      </c>
    </row>
    <row r="1883" spans="1:10" x14ac:dyDescent="0.2">
      <c r="A1883">
        <v>2011610</v>
      </c>
      <c r="B1883">
        <v>2017</v>
      </c>
      <c r="C1883" t="s">
        <v>6</v>
      </c>
      <c r="D1883" t="s">
        <v>7</v>
      </c>
      <c r="E1883" t="s">
        <v>8</v>
      </c>
      <c r="F1883" s="29">
        <v>5219</v>
      </c>
      <c r="G1883" s="3" t="s">
        <v>250</v>
      </c>
      <c r="H1883" s="1">
        <v>162745</v>
      </c>
      <c r="I1883" s="1">
        <v>25397.275295347554</v>
      </c>
      <c r="J1883" s="1">
        <v>188142.27529534756</v>
      </c>
    </row>
    <row r="1884" spans="1:10" x14ac:dyDescent="0.2">
      <c r="A1884">
        <v>2011610</v>
      </c>
      <c r="B1884">
        <v>2018</v>
      </c>
      <c r="C1884" t="s">
        <v>6</v>
      </c>
      <c r="D1884" t="s">
        <v>7</v>
      </c>
      <c r="E1884" t="s">
        <v>8</v>
      </c>
      <c r="F1884" s="28">
        <v>5219</v>
      </c>
      <c r="G1884" t="s">
        <v>250</v>
      </c>
      <c r="H1884" s="1">
        <v>190147</v>
      </c>
      <c r="I1884" s="1">
        <v>28753.905240388885</v>
      </c>
      <c r="J1884" s="1">
        <v>218900.90524038888</v>
      </c>
    </row>
    <row r="1885" spans="1:10" x14ac:dyDescent="0.2">
      <c r="A1885">
        <v>2011610</v>
      </c>
      <c r="B1885">
        <v>2019</v>
      </c>
      <c r="C1885" t="s">
        <v>6</v>
      </c>
      <c r="D1885" t="s">
        <v>7</v>
      </c>
      <c r="E1885" t="s">
        <v>8</v>
      </c>
      <c r="F1885" s="28">
        <v>5219</v>
      </c>
      <c r="G1885" t="s">
        <v>250</v>
      </c>
      <c r="H1885" s="1">
        <v>207130</v>
      </c>
      <c r="I1885" s="1">
        <v>31545.44784582821</v>
      </c>
      <c r="J1885" s="1">
        <v>238675.4478458282</v>
      </c>
    </row>
    <row r="1886" spans="1:10" x14ac:dyDescent="0.2">
      <c r="A1886">
        <v>2011610</v>
      </c>
      <c r="B1886">
        <v>2020</v>
      </c>
      <c r="C1886" t="s">
        <v>6</v>
      </c>
      <c r="D1886" t="s">
        <v>7</v>
      </c>
      <c r="E1886" t="s">
        <v>8</v>
      </c>
      <c r="F1886" s="28">
        <v>5219</v>
      </c>
      <c r="G1886" t="s">
        <v>250</v>
      </c>
      <c r="H1886" s="1">
        <v>229043</v>
      </c>
      <c r="I1886" s="1">
        <v>34650.730162590422</v>
      </c>
      <c r="J1886" s="1">
        <v>263693.73016259039</v>
      </c>
    </row>
    <row r="1887" spans="1:10" x14ac:dyDescent="0.2">
      <c r="A1887">
        <v>2011610</v>
      </c>
      <c r="B1887">
        <v>2021</v>
      </c>
      <c r="C1887" t="s">
        <v>6</v>
      </c>
      <c r="D1887" t="s">
        <v>7</v>
      </c>
      <c r="E1887" t="s">
        <v>8</v>
      </c>
      <c r="F1887" s="28">
        <v>5219</v>
      </c>
      <c r="G1887" t="s">
        <v>250</v>
      </c>
      <c r="H1887" s="25">
        <v>217999</v>
      </c>
      <c r="I1887" s="1">
        <v>32545.751018360021</v>
      </c>
      <c r="J1887" s="1">
        <v>250544.75101836002</v>
      </c>
    </row>
    <row r="1888" spans="1:10" x14ac:dyDescent="0.2">
      <c r="A1888">
        <v>2011610</v>
      </c>
      <c r="B1888">
        <v>2022</v>
      </c>
      <c r="C1888" t="s">
        <v>6</v>
      </c>
      <c r="D1888" t="s">
        <v>7</v>
      </c>
      <c r="E1888" t="s">
        <v>8</v>
      </c>
      <c r="F1888" s="28">
        <v>5219</v>
      </c>
      <c r="G1888" t="s">
        <v>250</v>
      </c>
      <c r="H1888" s="1">
        <v>203755</v>
      </c>
      <c r="I1888" s="1">
        <v>27671.060676371912</v>
      </c>
      <c r="J1888" s="1">
        <v>231426.06067637191</v>
      </c>
    </row>
    <row r="1889" spans="1:10" x14ac:dyDescent="0.2">
      <c r="A1889">
        <v>2011610</v>
      </c>
      <c r="B1889">
        <v>2023</v>
      </c>
      <c r="C1889" t="s">
        <v>6</v>
      </c>
      <c r="D1889" t="s">
        <v>7</v>
      </c>
      <c r="E1889" t="s">
        <v>8</v>
      </c>
      <c r="F1889" s="28">
        <v>5219</v>
      </c>
      <c r="G1889" s="10" t="s">
        <v>250</v>
      </c>
      <c r="H1889" s="1">
        <v>219322</v>
      </c>
      <c r="I1889" s="1">
        <v>30705.732765195862</v>
      </c>
      <c r="J1889" s="1">
        <v>250027.73276519586</v>
      </c>
    </row>
    <row r="1890" spans="1:10" x14ac:dyDescent="0.2">
      <c r="A1890">
        <v>2012810</v>
      </c>
      <c r="B1890">
        <v>2015</v>
      </c>
      <c r="C1890" t="s">
        <v>6</v>
      </c>
      <c r="D1890" t="s">
        <v>7</v>
      </c>
      <c r="E1890" t="s">
        <v>8</v>
      </c>
      <c r="F1890" s="29">
        <v>5220</v>
      </c>
      <c r="G1890" s="3" t="s">
        <v>251</v>
      </c>
      <c r="H1890" s="27">
        <v>440523</v>
      </c>
      <c r="I1890" s="1">
        <v>70956.820055866512</v>
      </c>
      <c r="J1890" s="1">
        <v>511479.8200558665</v>
      </c>
    </row>
    <row r="1891" spans="1:10" x14ac:dyDescent="0.2">
      <c r="A1891">
        <v>2012810</v>
      </c>
      <c r="B1891">
        <v>2016</v>
      </c>
      <c r="C1891" t="s">
        <v>6</v>
      </c>
      <c r="D1891" t="s">
        <v>7</v>
      </c>
      <c r="E1891" t="s">
        <v>8</v>
      </c>
      <c r="F1891" s="29">
        <v>5220</v>
      </c>
      <c r="G1891" s="3" t="s">
        <v>251</v>
      </c>
      <c r="H1891" s="1">
        <v>302054</v>
      </c>
      <c r="I1891" s="26">
        <v>797752.47167959542</v>
      </c>
      <c r="J1891" s="26">
        <v>1099806.4716795953</v>
      </c>
    </row>
    <row r="1892" spans="1:10" x14ac:dyDescent="0.2">
      <c r="A1892">
        <v>2012810</v>
      </c>
      <c r="B1892">
        <v>2017</v>
      </c>
      <c r="C1892" t="s">
        <v>6</v>
      </c>
      <c r="D1892" t="s">
        <v>7</v>
      </c>
      <c r="E1892" t="s">
        <v>8</v>
      </c>
      <c r="F1892" s="29">
        <v>5220</v>
      </c>
      <c r="G1892" s="3" t="s">
        <v>251</v>
      </c>
      <c r="H1892" s="1">
        <v>347256</v>
      </c>
      <c r="I1892" s="1">
        <v>54191.257672808446</v>
      </c>
      <c r="J1892" s="1">
        <v>401447.25767280842</v>
      </c>
    </row>
    <row r="1893" spans="1:10" x14ac:dyDescent="0.2">
      <c r="A1893">
        <v>2012810</v>
      </c>
      <c r="B1893">
        <v>2018</v>
      </c>
      <c r="C1893" t="s">
        <v>6</v>
      </c>
      <c r="D1893" t="s">
        <v>7</v>
      </c>
      <c r="E1893" t="s">
        <v>8</v>
      </c>
      <c r="F1893" s="28">
        <v>5220</v>
      </c>
      <c r="G1893" t="s">
        <v>251</v>
      </c>
      <c r="H1893" s="1">
        <v>365273</v>
      </c>
      <c r="I1893" s="1">
        <v>55236.344664246972</v>
      </c>
      <c r="J1893" s="1">
        <v>420509.34466424695</v>
      </c>
    </row>
    <row r="1894" spans="1:10" x14ac:dyDescent="0.2">
      <c r="A1894">
        <v>2012810</v>
      </c>
      <c r="B1894">
        <v>2019</v>
      </c>
      <c r="C1894" t="s">
        <v>6</v>
      </c>
      <c r="D1894" t="s">
        <v>7</v>
      </c>
      <c r="E1894" t="s">
        <v>8</v>
      </c>
      <c r="F1894" s="28">
        <v>5220</v>
      </c>
      <c r="G1894" t="s">
        <v>251</v>
      </c>
      <c r="H1894" s="1">
        <v>410119</v>
      </c>
      <c r="I1894" s="1">
        <v>62460.230411254859</v>
      </c>
      <c r="J1894" s="1">
        <v>472579.23041125486</v>
      </c>
    </row>
    <row r="1895" spans="1:10" x14ac:dyDescent="0.2">
      <c r="A1895">
        <v>2012810</v>
      </c>
      <c r="B1895">
        <v>2020</v>
      </c>
      <c r="C1895" t="s">
        <v>6</v>
      </c>
      <c r="D1895" t="s">
        <v>7</v>
      </c>
      <c r="E1895" t="s">
        <v>8</v>
      </c>
      <c r="F1895" s="28">
        <v>5220</v>
      </c>
      <c r="G1895" t="s">
        <v>251</v>
      </c>
      <c r="H1895" s="1">
        <v>479492</v>
      </c>
      <c r="I1895" s="1">
        <v>72539.863288207052</v>
      </c>
      <c r="J1895" s="1">
        <v>552031.8632882071</v>
      </c>
    </row>
    <row r="1896" spans="1:10" x14ac:dyDescent="0.2">
      <c r="A1896">
        <v>2012810</v>
      </c>
      <c r="B1896">
        <v>2021</v>
      </c>
      <c r="C1896" t="s">
        <v>6</v>
      </c>
      <c r="D1896" t="s">
        <v>7</v>
      </c>
      <c r="E1896" t="s">
        <v>8</v>
      </c>
      <c r="F1896" s="28">
        <v>5220</v>
      </c>
      <c r="G1896" t="s">
        <v>251</v>
      </c>
      <c r="H1896" s="25">
        <v>462841</v>
      </c>
      <c r="I1896" s="1">
        <v>69098.977275532307</v>
      </c>
      <c r="J1896" s="1">
        <v>531939.97727553232</v>
      </c>
    </row>
    <row r="1897" spans="1:10" x14ac:dyDescent="0.2">
      <c r="A1897">
        <v>2012810</v>
      </c>
      <c r="B1897">
        <v>2022</v>
      </c>
      <c r="C1897" t="s">
        <v>6</v>
      </c>
      <c r="D1897" t="s">
        <v>7</v>
      </c>
      <c r="E1897" t="s">
        <v>8</v>
      </c>
      <c r="F1897" s="28">
        <v>5220</v>
      </c>
      <c r="G1897" t="s">
        <v>251</v>
      </c>
      <c r="H1897" s="1">
        <v>423084</v>
      </c>
      <c r="I1897" s="1">
        <v>57457.157052352748</v>
      </c>
      <c r="J1897" s="1">
        <v>480541.15705235273</v>
      </c>
    </row>
    <row r="1898" spans="1:10" x14ac:dyDescent="0.2">
      <c r="A1898">
        <v>2012810</v>
      </c>
      <c r="B1898">
        <v>2023</v>
      </c>
      <c r="C1898" t="s">
        <v>6</v>
      </c>
      <c r="D1898" t="s">
        <v>7</v>
      </c>
      <c r="E1898" t="s">
        <v>8</v>
      </c>
      <c r="F1898" s="28">
        <v>5220</v>
      </c>
      <c r="G1898" s="10" t="s">
        <v>251</v>
      </c>
      <c r="H1898" s="1">
        <v>442383</v>
      </c>
      <c r="I1898" s="1">
        <v>61934.936658728446</v>
      </c>
      <c r="J1898" s="1">
        <v>504317.93665872846</v>
      </c>
    </row>
    <row r="1899" spans="1:10" x14ac:dyDescent="0.2">
      <c r="A1899">
        <v>2005800</v>
      </c>
      <c r="B1899">
        <v>2015</v>
      </c>
      <c r="C1899" t="s">
        <v>6</v>
      </c>
      <c r="D1899" t="s">
        <v>7</v>
      </c>
      <c r="E1899" t="s">
        <v>8</v>
      </c>
      <c r="F1899" s="29">
        <v>5222</v>
      </c>
      <c r="G1899" s="3" t="s">
        <v>252</v>
      </c>
      <c r="H1899" s="27">
        <v>263006</v>
      </c>
      <c r="I1899" s="1">
        <v>42363.439401831973</v>
      </c>
      <c r="J1899" s="1">
        <v>305369.43940183194</v>
      </c>
    </row>
    <row r="1900" spans="1:10" x14ac:dyDescent="0.2">
      <c r="A1900">
        <v>2005800</v>
      </c>
      <c r="B1900">
        <v>2016</v>
      </c>
      <c r="C1900" t="s">
        <v>6</v>
      </c>
      <c r="D1900" t="s">
        <v>7</v>
      </c>
      <c r="E1900" t="s">
        <v>8</v>
      </c>
      <c r="F1900" s="29">
        <v>5222</v>
      </c>
      <c r="G1900" s="3" t="s">
        <v>252</v>
      </c>
      <c r="H1900" s="1">
        <v>274345</v>
      </c>
      <c r="I1900" s="26">
        <v>724570.82808365847</v>
      </c>
      <c r="J1900" s="26">
        <v>998915.82808365847</v>
      </c>
    </row>
    <row r="1901" spans="1:10" x14ac:dyDescent="0.2">
      <c r="A1901">
        <v>2005800</v>
      </c>
      <c r="B1901">
        <v>2017</v>
      </c>
      <c r="C1901" t="s">
        <v>6</v>
      </c>
      <c r="D1901" t="s">
        <v>7</v>
      </c>
      <c r="E1901" t="s">
        <v>8</v>
      </c>
      <c r="F1901" s="29">
        <v>5222</v>
      </c>
      <c r="G1901" s="3" t="s">
        <v>252</v>
      </c>
      <c r="H1901" s="1">
        <v>288184</v>
      </c>
      <c r="I1901" s="1">
        <v>44972.738847365144</v>
      </c>
      <c r="J1901" s="1">
        <v>333156.73884736514</v>
      </c>
    </row>
    <row r="1902" spans="1:10" x14ac:dyDescent="0.2">
      <c r="A1902">
        <v>2005800</v>
      </c>
      <c r="B1902">
        <v>2018</v>
      </c>
      <c r="C1902" t="s">
        <v>6</v>
      </c>
      <c r="D1902" t="s">
        <v>7</v>
      </c>
      <c r="E1902" t="s">
        <v>8</v>
      </c>
      <c r="F1902" s="28">
        <v>5222</v>
      </c>
      <c r="G1902" t="s">
        <v>252</v>
      </c>
      <c r="H1902" s="1">
        <v>341262</v>
      </c>
      <c r="I1902" s="1">
        <v>51605.416915047783</v>
      </c>
      <c r="J1902" s="1">
        <v>392867.4169150478</v>
      </c>
    </row>
    <row r="1903" spans="1:10" x14ac:dyDescent="0.2">
      <c r="A1903">
        <v>2005800</v>
      </c>
      <c r="B1903">
        <v>2019</v>
      </c>
      <c r="C1903" t="s">
        <v>6</v>
      </c>
      <c r="D1903" t="s">
        <v>7</v>
      </c>
      <c r="E1903" t="s">
        <v>8</v>
      </c>
      <c r="F1903" s="28">
        <v>5222</v>
      </c>
      <c r="G1903" t="s">
        <v>252</v>
      </c>
      <c r="H1903" s="1">
        <v>391217</v>
      </c>
      <c r="I1903" s="1">
        <v>59581.496982095181</v>
      </c>
      <c r="J1903" s="1">
        <v>450798.49698209518</v>
      </c>
    </row>
    <row r="1904" spans="1:10" x14ac:dyDescent="0.2">
      <c r="A1904">
        <v>2005800</v>
      </c>
      <c r="B1904">
        <v>2020</v>
      </c>
      <c r="C1904" t="s">
        <v>6</v>
      </c>
      <c r="D1904" t="s">
        <v>7</v>
      </c>
      <c r="E1904" t="s">
        <v>8</v>
      </c>
      <c r="F1904" s="28">
        <v>5222</v>
      </c>
      <c r="G1904" t="s">
        <v>252</v>
      </c>
      <c r="H1904" s="1">
        <v>410064</v>
      </c>
      <c r="I1904" s="1">
        <v>62036.460461103285</v>
      </c>
      <c r="J1904" s="1">
        <v>472100.4604611033</v>
      </c>
    </row>
    <row r="1905" spans="1:10" x14ac:dyDescent="0.2">
      <c r="A1905">
        <v>2005800</v>
      </c>
      <c r="B1905">
        <v>2021</v>
      </c>
      <c r="C1905" t="s">
        <v>6</v>
      </c>
      <c r="D1905" t="s">
        <v>7</v>
      </c>
      <c r="E1905" t="s">
        <v>8</v>
      </c>
      <c r="F1905" s="28">
        <v>5222</v>
      </c>
      <c r="G1905" t="s">
        <v>358</v>
      </c>
      <c r="H1905" s="25">
        <v>390770</v>
      </c>
      <c r="I1905" s="1">
        <v>58339.272773932651</v>
      </c>
      <c r="J1905" s="1">
        <v>449109.27277393267</v>
      </c>
    </row>
    <row r="1906" spans="1:10" x14ac:dyDescent="0.2">
      <c r="A1906">
        <v>2005800</v>
      </c>
      <c r="B1906">
        <v>2022</v>
      </c>
      <c r="C1906" t="s">
        <v>6</v>
      </c>
      <c r="D1906" t="s">
        <v>7</v>
      </c>
      <c r="E1906" t="s">
        <v>8</v>
      </c>
      <c r="F1906" s="28">
        <v>5222</v>
      </c>
      <c r="G1906" t="s">
        <v>252</v>
      </c>
      <c r="H1906" s="1">
        <v>391647</v>
      </c>
      <c r="I1906" s="1">
        <v>53187.83784799897</v>
      </c>
      <c r="J1906" s="1">
        <v>444834.83784799895</v>
      </c>
    </row>
    <row r="1907" spans="1:10" x14ac:dyDescent="0.2">
      <c r="A1907">
        <v>2005800</v>
      </c>
      <c r="B1907">
        <v>2023</v>
      </c>
      <c r="C1907" t="s">
        <v>6</v>
      </c>
      <c r="D1907" t="s">
        <v>7</v>
      </c>
      <c r="E1907" t="s">
        <v>8</v>
      </c>
      <c r="F1907" s="28">
        <v>5222</v>
      </c>
      <c r="G1907" s="10" t="s">
        <v>252</v>
      </c>
      <c r="H1907" s="1">
        <v>381216</v>
      </c>
      <c r="I1907" s="1">
        <v>53371.374608187529</v>
      </c>
      <c r="J1907" s="1">
        <v>434587.37460818753</v>
      </c>
    </row>
    <row r="1908" spans="1:10" x14ac:dyDescent="0.2">
      <c r="A1908">
        <v>2013020</v>
      </c>
      <c r="B1908">
        <v>2015</v>
      </c>
      <c r="C1908" t="s">
        <v>6</v>
      </c>
      <c r="D1908" t="s">
        <v>7</v>
      </c>
      <c r="E1908" t="s">
        <v>8</v>
      </c>
      <c r="F1908" s="29">
        <v>5223</v>
      </c>
      <c r="G1908" s="3" t="s">
        <v>253</v>
      </c>
      <c r="H1908" s="27">
        <v>283966</v>
      </c>
      <c r="I1908" s="1">
        <v>45739.551315105433</v>
      </c>
      <c r="J1908" s="1">
        <v>329705.5513151054</v>
      </c>
    </row>
    <row r="1909" spans="1:10" x14ac:dyDescent="0.2">
      <c r="A1909">
        <v>2013020</v>
      </c>
      <c r="B1909">
        <v>2016</v>
      </c>
      <c r="C1909" t="s">
        <v>6</v>
      </c>
      <c r="D1909" t="s">
        <v>7</v>
      </c>
      <c r="E1909" t="s">
        <v>8</v>
      </c>
      <c r="F1909" s="29">
        <v>5223</v>
      </c>
      <c r="G1909" s="3" t="s">
        <v>253</v>
      </c>
      <c r="H1909" s="1">
        <v>291222</v>
      </c>
      <c r="I1909" s="26">
        <v>769141.57497980562</v>
      </c>
      <c r="J1909" s="26">
        <v>1060363.5749798056</v>
      </c>
    </row>
    <row r="1910" spans="1:10" x14ac:dyDescent="0.2">
      <c r="A1910">
        <v>2013020</v>
      </c>
      <c r="B1910">
        <v>2017</v>
      </c>
      <c r="C1910" t="s">
        <v>6</v>
      </c>
      <c r="D1910" t="s">
        <v>7</v>
      </c>
      <c r="E1910" t="s">
        <v>8</v>
      </c>
      <c r="F1910" s="29">
        <v>5223</v>
      </c>
      <c r="G1910" s="3" t="s">
        <v>253</v>
      </c>
      <c r="H1910" s="1">
        <v>299678</v>
      </c>
      <c r="I1910" s="1">
        <v>46766.442385075825</v>
      </c>
      <c r="J1910" s="1">
        <v>346444.44238507585</v>
      </c>
    </row>
    <row r="1911" spans="1:10" x14ac:dyDescent="0.2">
      <c r="A1911">
        <v>2013020</v>
      </c>
      <c r="B1911">
        <v>2018</v>
      </c>
      <c r="C1911" t="s">
        <v>6</v>
      </c>
      <c r="D1911" t="s">
        <v>7</v>
      </c>
      <c r="E1911" t="s">
        <v>8</v>
      </c>
      <c r="F1911" s="28">
        <v>5223</v>
      </c>
      <c r="G1911" t="s">
        <v>253</v>
      </c>
      <c r="H1911" s="1">
        <v>339761</v>
      </c>
      <c r="I1911" s="1">
        <v>51378.436674676792</v>
      </c>
      <c r="J1911" s="1">
        <v>391139.43667467678</v>
      </c>
    </row>
    <row r="1912" spans="1:10" x14ac:dyDescent="0.2">
      <c r="A1912">
        <v>2013020</v>
      </c>
      <c r="B1912">
        <v>2019</v>
      </c>
      <c r="C1912" t="s">
        <v>6</v>
      </c>
      <c r="D1912" t="s">
        <v>7</v>
      </c>
      <c r="E1912" t="s">
        <v>8</v>
      </c>
      <c r="F1912" s="28">
        <v>5223</v>
      </c>
      <c r="G1912" t="s">
        <v>253</v>
      </c>
      <c r="H1912" s="1">
        <v>376090</v>
      </c>
      <c r="I1912" s="1">
        <v>57277.687830529285</v>
      </c>
      <c r="J1912" s="1">
        <v>433367.68783052929</v>
      </c>
    </row>
    <row r="1913" spans="1:10" x14ac:dyDescent="0.2">
      <c r="A1913">
        <v>2013020</v>
      </c>
      <c r="B1913">
        <v>2020</v>
      </c>
      <c r="C1913" t="s">
        <v>6</v>
      </c>
      <c r="D1913" t="s">
        <v>7</v>
      </c>
      <c r="E1913" t="s">
        <v>8</v>
      </c>
      <c r="F1913" s="28">
        <v>5223</v>
      </c>
      <c r="G1913" t="s">
        <v>253</v>
      </c>
      <c r="H1913" s="1">
        <v>426034</v>
      </c>
      <c r="I1913" s="1">
        <v>64452.479115664086</v>
      </c>
      <c r="J1913" s="1">
        <v>490486.47911566409</v>
      </c>
    </row>
    <row r="1914" spans="1:10" x14ac:dyDescent="0.2">
      <c r="A1914">
        <v>2013020</v>
      </c>
      <c r="B1914">
        <v>2021</v>
      </c>
      <c r="C1914" t="s">
        <v>6</v>
      </c>
      <c r="D1914" t="s">
        <v>7</v>
      </c>
      <c r="E1914" t="s">
        <v>8</v>
      </c>
      <c r="F1914" s="28">
        <v>5223</v>
      </c>
      <c r="G1914" t="s">
        <v>253</v>
      </c>
      <c r="H1914" s="25">
        <v>456272</v>
      </c>
      <c r="I1914" s="1">
        <v>68118.270765687746</v>
      </c>
      <c r="J1914" s="1">
        <v>524390.2707656878</v>
      </c>
    </row>
    <row r="1915" spans="1:10" x14ac:dyDescent="0.2">
      <c r="A1915">
        <v>2013020</v>
      </c>
      <c r="B1915">
        <v>2022</v>
      </c>
      <c r="C1915" t="s">
        <v>6</v>
      </c>
      <c r="D1915" t="s">
        <v>7</v>
      </c>
      <c r="E1915" t="s">
        <v>8</v>
      </c>
      <c r="F1915" s="28">
        <v>5223</v>
      </c>
      <c r="G1915" t="s">
        <v>253</v>
      </c>
      <c r="H1915" s="1">
        <v>445257</v>
      </c>
      <c r="I1915" s="1">
        <v>60468.373603491091</v>
      </c>
      <c r="J1915" s="1">
        <v>505725.37360349111</v>
      </c>
    </row>
    <row r="1916" spans="1:10" x14ac:dyDescent="0.2">
      <c r="A1916">
        <v>2013020</v>
      </c>
      <c r="B1916">
        <v>2023</v>
      </c>
      <c r="C1916" t="s">
        <v>6</v>
      </c>
      <c r="D1916" t="s">
        <v>7</v>
      </c>
      <c r="E1916" t="s">
        <v>8</v>
      </c>
      <c r="F1916" s="28">
        <v>5223</v>
      </c>
      <c r="G1916" s="10" t="s">
        <v>253</v>
      </c>
      <c r="H1916" s="1">
        <v>428911</v>
      </c>
      <c r="I1916" s="1">
        <v>60048.816562191307</v>
      </c>
      <c r="J1916" s="1">
        <v>488959.81656219129</v>
      </c>
    </row>
    <row r="1917" spans="1:10" x14ac:dyDescent="0.2">
      <c r="A1917">
        <v>2004470</v>
      </c>
      <c r="B1917">
        <v>2015</v>
      </c>
      <c r="C1917" t="s">
        <v>6</v>
      </c>
      <c r="D1917" t="s">
        <v>7</v>
      </c>
      <c r="E1917" t="s">
        <v>8</v>
      </c>
      <c r="F1917" s="29">
        <v>5226</v>
      </c>
      <c r="G1917" s="3" t="s">
        <v>254</v>
      </c>
      <c r="H1917" s="27">
        <v>175671</v>
      </c>
      <c r="I1917" s="1">
        <v>28296.037973123141</v>
      </c>
      <c r="J1917" s="1">
        <v>203967.03797312314</v>
      </c>
    </row>
    <row r="1918" spans="1:10" x14ac:dyDescent="0.2">
      <c r="A1918">
        <v>2004470</v>
      </c>
      <c r="B1918">
        <v>2016</v>
      </c>
      <c r="C1918" t="s">
        <v>6</v>
      </c>
      <c r="D1918" t="s">
        <v>7</v>
      </c>
      <c r="E1918" t="s">
        <v>8</v>
      </c>
      <c r="F1918" s="29">
        <v>5226</v>
      </c>
      <c r="G1918" s="3" t="s">
        <v>254</v>
      </c>
      <c r="H1918" s="1">
        <v>150779</v>
      </c>
      <c r="I1918" s="26">
        <v>398222.00798984955</v>
      </c>
      <c r="J1918" s="26">
        <v>549001.00798984955</v>
      </c>
    </row>
    <row r="1919" spans="1:10" x14ac:dyDescent="0.2">
      <c r="A1919">
        <v>2004470</v>
      </c>
      <c r="B1919">
        <v>2017</v>
      </c>
      <c r="C1919" t="s">
        <v>6</v>
      </c>
      <c r="D1919" t="s">
        <v>7</v>
      </c>
      <c r="E1919" t="s">
        <v>8</v>
      </c>
      <c r="F1919" s="29">
        <v>5226</v>
      </c>
      <c r="G1919" s="3" t="s">
        <v>254</v>
      </c>
      <c r="H1919" s="1">
        <v>144551</v>
      </c>
      <c r="I1919" s="1">
        <v>22557.998962903835</v>
      </c>
      <c r="J1919" s="1">
        <v>167108.99896290383</v>
      </c>
    </row>
    <row r="1920" spans="1:10" x14ac:dyDescent="0.2">
      <c r="A1920">
        <v>2004470</v>
      </c>
      <c r="B1920">
        <v>2018</v>
      </c>
      <c r="C1920" t="s">
        <v>6</v>
      </c>
      <c r="D1920" t="s">
        <v>7</v>
      </c>
      <c r="E1920" t="s">
        <v>8</v>
      </c>
      <c r="F1920" s="28">
        <v>5226</v>
      </c>
      <c r="G1920" t="s">
        <v>254</v>
      </c>
      <c r="H1920" s="1">
        <v>180879</v>
      </c>
      <c r="I1920" s="1">
        <v>27352.404329157445</v>
      </c>
      <c r="J1920" s="1">
        <v>208231.40432915743</v>
      </c>
    </row>
    <row r="1921" spans="1:10" x14ac:dyDescent="0.2">
      <c r="A1921">
        <v>2004470</v>
      </c>
      <c r="B1921">
        <v>2019</v>
      </c>
      <c r="C1921" t="s">
        <v>6</v>
      </c>
      <c r="D1921" t="s">
        <v>7</v>
      </c>
      <c r="E1921" t="s">
        <v>8</v>
      </c>
      <c r="F1921" s="28">
        <v>5226</v>
      </c>
      <c r="G1921" t="s">
        <v>254</v>
      </c>
      <c r="H1921" s="1">
        <v>228291</v>
      </c>
      <c r="I1921" s="1">
        <v>34768.222054612888</v>
      </c>
      <c r="J1921" s="1">
        <v>263059.22205461288</v>
      </c>
    </row>
    <row r="1922" spans="1:10" x14ac:dyDescent="0.2">
      <c r="A1922">
        <v>2004470</v>
      </c>
      <c r="B1922">
        <v>2020</v>
      </c>
      <c r="C1922" t="s">
        <v>6</v>
      </c>
      <c r="D1922" t="s">
        <v>7</v>
      </c>
      <c r="E1922" t="s">
        <v>8</v>
      </c>
      <c r="F1922" s="28">
        <v>5226</v>
      </c>
      <c r="G1922" t="s">
        <v>254</v>
      </c>
      <c r="H1922" s="1">
        <v>257039</v>
      </c>
      <c r="I1922" s="1">
        <v>38886.100122082229</v>
      </c>
      <c r="J1922" s="1">
        <v>295925.10012208222</v>
      </c>
    </row>
    <row r="1923" spans="1:10" x14ac:dyDescent="0.2">
      <c r="A1923">
        <v>2004470</v>
      </c>
      <c r="B1923">
        <v>2021</v>
      </c>
      <c r="C1923" t="s">
        <v>6</v>
      </c>
      <c r="D1923" t="s">
        <v>7</v>
      </c>
      <c r="E1923" t="s">
        <v>8</v>
      </c>
      <c r="F1923" s="28">
        <v>5226</v>
      </c>
      <c r="G1923" t="s">
        <v>254</v>
      </c>
      <c r="H1923" s="25">
        <v>267137</v>
      </c>
      <c r="I1923" s="1">
        <v>39881.716383064326</v>
      </c>
      <c r="J1923" s="1">
        <v>307018.71638306434</v>
      </c>
    </row>
    <row r="1924" spans="1:10" x14ac:dyDescent="0.2">
      <c r="A1924">
        <v>2004470</v>
      </c>
      <c r="B1924">
        <v>2022</v>
      </c>
      <c r="C1924" t="s">
        <v>6</v>
      </c>
      <c r="D1924" t="s">
        <v>7</v>
      </c>
      <c r="E1924" t="s">
        <v>8</v>
      </c>
      <c r="F1924" s="28">
        <v>5226</v>
      </c>
      <c r="G1924" t="s">
        <v>254</v>
      </c>
      <c r="H1924" s="1">
        <v>260812</v>
      </c>
      <c r="I1924" s="1">
        <v>35419.718176859024</v>
      </c>
      <c r="J1924" s="1">
        <v>296231.71817685902</v>
      </c>
    </row>
    <row r="1925" spans="1:10" x14ac:dyDescent="0.2">
      <c r="A1925">
        <v>2004470</v>
      </c>
      <c r="B1925">
        <v>2023</v>
      </c>
      <c r="C1925" t="s">
        <v>6</v>
      </c>
      <c r="D1925" t="s">
        <v>7</v>
      </c>
      <c r="E1925" t="s">
        <v>8</v>
      </c>
      <c r="F1925" s="28">
        <v>5226</v>
      </c>
      <c r="G1925" s="10" t="s">
        <v>254</v>
      </c>
      <c r="H1925" s="1">
        <v>275717</v>
      </c>
      <c r="I1925" s="1">
        <v>38601.200612895685</v>
      </c>
      <c r="J1925" s="1">
        <v>314318.20061289566</v>
      </c>
    </row>
    <row r="1926" spans="1:10" x14ac:dyDescent="0.2">
      <c r="A1926">
        <v>2000013</v>
      </c>
      <c r="B1926">
        <v>2015</v>
      </c>
      <c r="C1926" t="s">
        <v>6</v>
      </c>
      <c r="D1926" t="s">
        <v>7</v>
      </c>
      <c r="E1926" t="s">
        <v>8</v>
      </c>
      <c r="F1926" s="29">
        <v>5227</v>
      </c>
      <c r="G1926" s="3" t="s">
        <v>255</v>
      </c>
      <c r="H1926" s="27">
        <v>60481</v>
      </c>
      <c r="I1926" s="1">
        <v>9741.9191138688839</v>
      </c>
      <c r="J1926" s="1">
        <v>70222.919113868877</v>
      </c>
    </row>
    <row r="1927" spans="1:10" x14ac:dyDescent="0.2">
      <c r="A1927">
        <v>2000013</v>
      </c>
      <c r="B1927">
        <v>2016</v>
      </c>
      <c r="C1927" t="s">
        <v>6</v>
      </c>
      <c r="D1927" t="s">
        <v>7</v>
      </c>
      <c r="E1927" t="s">
        <v>8</v>
      </c>
      <c r="F1927" s="29">
        <v>5227</v>
      </c>
      <c r="G1927" s="3" t="s">
        <v>255</v>
      </c>
      <c r="H1927" s="1">
        <v>57095</v>
      </c>
      <c r="I1927" s="26">
        <v>150794.30015546893</v>
      </c>
      <c r="J1927" s="26">
        <v>207889.30015546893</v>
      </c>
    </row>
    <row r="1928" spans="1:10" x14ac:dyDescent="0.2">
      <c r="A1928">
        <v>2000013</v>
      </c>
      <c r="B1928">
        <v>2017</v>
      </c>
      <c r="C1928" t="s">
        <v>6</v>
      </c>
      <c r="D1928" t="s">
        <v>7</v>
      </c>
      <c r="E1928" t="s">
        <v>8</v>
      </c>
      <c r="F1928" s="29">
        <v>5227</v>
      </c>
      <c r="G1928" s="3" t="s">
        <v>255</v>
      </c>
      <c r="H1928" s="1">
        <v>64087</v>
      </c>
      <c r="I1928" s="1">
        <v>10001.137865083037</v>
      </c>
      <c r="J1928" s="1">
        <v>74088.13786508303</v>
      </c>
    </row>
    <row r="1929" spans="1:10" x14ac:dyDescent="0.2">
      <c r="A1929">
        <v>2000013</v>
      </c>
      <c r="B1929">
        <v>2018</v>
      </c>
      <c r="C1929" t="s">
        <v>6</v>
      </c>
      <c r="D1929" t="s">
        <v>7</v>
      </c>
      <c r="E1929" t="s">
        <v>8</v>
      </c>
      <c r="F1929" s="28">
        <v>5227</v>
      </c>
      <c r="G1929" t="s">
        <v>255</v>
      </c>
      <c r="H1929" s="1">
        <v>66798</v>
      </c>
      <c r="I1929" s="1">
        <v>10101.149964225029</v>
      </c>
      <c r="J1929" s="1">
        <v>76899.149964225027</v>
      </c>
    </row>
    <row r="1930" spans="1:10" x14ac:dyDescent="0.2">
      <c r="A1930">
        <v>2000013</v>
      </c>
      <c r="B1930">
        <v>2019</v>
      </c>
      <c r="C1930" t="s">
        <v>6</v>
      </c>
      <c r="D1930" t="s">
        <v>7</v>
      </c>
      <c r="E1930" t="s">
        <v>8</v>
      </c>
      <c r="F1930" s="28">
        <v>5227</v>
      </c>
      <c r="G1930" t="s">
        <v>255</v>
      </c>
      <c r="H1930" s="1">
        <v>78982</v>
      </c>
      <c r="I1930" s="1">
        <v>12028.786567658975</v>
      </c>
      <c r="J1930" s="1">
        <v>91010.786567658972</v>
      </c>
    </row>
    <row r="1931" spans="1:10" x14ac:dyDescent="0.2">
      <c r="A1931">
        <v>2000013</v>
      </c>
      <c r="B1931">
        <v>2020</v>
      </c>
      <c r="C1931" t="s">
        <v>6</v>
      </c>
      <c r="D1931" t="s">
        <v>7</v>
      </c>
      <c r="E1931" t="s">
        <v>8</v>
      </c>
      <c r="F1931" s="28">
        <v>5227</v>
      </c>
      <c r="G1931" t="s">
        <v>255</v>
      </c>
      <c r="H1931" s="1">
        <v>84254</v>
      </c>
      <c r="I1931" s="1">
        <v>12746.351641913934</v>
      </c>
      <c r="J1931" s="1">
        <v>97000.351641913934</v>
      </c>
    </row>
    <row r="1932" spans="1:10" x14ac:dyDescent="0.2">
      <c r="A1932">
        <v>2000013</v>
      </c>
      <c r="B1932">
        <v>2021</v>
      </c>
      <c r="C1932" t="s">
        <v>6</v>
      </c>
      <c r="D1932" t="s">
        <v>7</v>
      </c>
      <c r="E1932" t="s">
        <v>8</v>
      </c>
      <c r="F1932" s="28">
        <v>5227</v>
      </c>
      <c r="G1932" t="s">
        <v>255</v>
      </c>
      <c r="H1932" s="25">
        <v>92319</v>
      </c>
      <c r="I1932" s="1">
        <v>13782.591609429302</v>
      </c>
      <c r="J1932" s="1">
        <v>106101.59160942931</v>
      </c>
    </row>
    <row r="1933" spans="1:10" x14ac:dyDescent="0.2">
      <c r="A1933">
        <v>2000013</v>
      </c>
      <c r="B1933">
        <v>2022</v>
      </c>
      <c r="C1933" t="s">
        <v>6</v>
      </c>
      <c r="D1933" t="s">
        <v>7</v>
      </c>
      <c r="E1933" t="s">
        <v>8</v>
      </c>
      <c r="F1933" s="28">
        <v>5227</v>
      </c>
      <c r="G1933" t="s">
        <v>255</v>
      </c>
      <c r="H1933" s="1">
        <v>101025</v>
      </c>
      <c r="I1933" s="1">
        <v>13719.756103312666</v>
      </c>
      <c r="J1933" s="1">
        <v>114744.75610331267</v>
      </c>
    </row>
    <row r="1934" spans="1:10" x14ac:dyDescent="0.2">
      <c r="A1934">
        <v>2000013</v>
      </c>
      <c r="B1934">
        <v>2023</v>
      </c>
      <c r="C1934" t="s">
        <v>6</v>
      </c>
      <c r="D1934" t="s">
        <v>7</v>
      </c>
      <c r="E1934" t="s">
        <v>8</v>
      </c>
      <c r="F1934" s="28">
        <v>5227</v>
      </c>
      <c r="G1934" s="10" t="s">
        <v>255</v>
      </c>
      <c r="H1934" s="1">
        <v>100358</v>
      </c>
      <c r="I1934" s="1">
        <v>14050.418694200884</v>
      </c>
      <c r="J1934" s="1">
        <v>114408.41869420088</v>
      </c>
    </row>
    <row r="1935" spans="1:10" x14ac:dyDescent="0.2">
      <c r="A1935">
        <v>2006630</v>
      </c>
      <c r="B1935">
        <v>2015</v>
      </c>
      <c r="C1935" t="s">
        <v>6</v>
      </c>
      <c r="D1935" t="s">
        <v>7</v>
      </c>
      <c r="E1935" t="s">
        <v>8</v>
      </c>
      <c r="F1935" s="29">
        <v>5228</v>
      </c>
      <c r="G1935" s="3" t="s">
        <v>256</v>
      </c>
      <c r="H1935" s="27">
        <v>93538</v>
      </c>
      <c r="I1935" s="1">
        <v>15066.543709149446</v>
      </c>
      <c r="J1935" s="1">
        <v>108604.54370914944</v>
      </c>
    </row>
    <row r="1936" spans="1:10" x14ac:dyDescent="0.2">
      <c r="A1936">
        <v>2006630</v>
      </c>
      <c r="B1936">
        <v>2016</v>
      </c>
      <c r="C1936" t="s">
        <v>6</v>
      </c>
      <c r="D1936" t="s">
        <v>7</v>
      </c>
      <c r="E1936" t="s">
        <v>8</v>
      </c>
      <c r="F1936" s="29">
        <v>5228</v>
      </c>
      <c r="G1936" s="3" t="s">
        <v>256</v>
      </c>
      <c r="H1936" s="1">
        <v>94168</v>
      </c>
      <c r="I1936" s="26">
        <v>248711.05390548732</v>
      </c>
      <c r="J1936" s="26">
        <v>342879.05390548729</v>
      </c>
    </row>
    <row r="1937" spans="1:10" x14ac:dyDescent="0.2">
      <c r="A1937">
        <v>2006630</v>
      </c>
      <c r="B1937">
        <v>2017</v>
      </c>
      <c r="C1937" t="s">
        <v>6</v>
      </c>
      <c r="D1937" t="s">
        <v>7</v>
      </c>
      <c r="E1937" t="s">
        <v>8</v>
      </c>
      <c r="F1937" s="29">
        <v>5228</v>
      </c>
      <c r="G1937" s="3" t="s">
        <v>256</v>
      </c>
      <c r="H1937" s="1">
        <v>107542</v>
      </c>
      <c r="I1937" s="1">
        <v>16782.535744952333</v>
      </c>
      <c r="J1937" s="1">
        <v>124324.53574495233</v>
      </c>
    </row>
    <row r="1938" spans="1:10" x14ac:dyDescent="0.2">
      <c r="A1938">
        <v>2006630</v>
      </c>
      <c r="B1938">
        <v>2018</v>
      </c>
      <c r="C1938" t="s">
        <v>6</v>
      </c>
      <c r="D1938" t="s">
        <v>7</v>
      </c>
      <c r="E1938" t="s">
        <v>8</v>
      </c>
      <c r="F1938" s="28">
        <v>5228</v>
      </c>
      <c r="G1938" t="s">
        <v>256</v>
      </c>
      <c r="H1938" s="1">
        <v>136146</v>
      </c>
      <c r="I1938" s="1">
        <v>20587.909264190257</v>
      </c>
      <c r="J1938" s="1">
        <v>156733.90926419027</v>
      </c>
    </row>
    <row r="1939" spans="1:10" x14ac:dyDescent="0.2">
      <c r="A1939">
        <v>2006630</v>
      </c>
      <c r="B1939">
        <v>2019</v>
      </c>
      <c r="C1939" t="s">
        <v>6</v>
      </c>
      <c r="D1939" t="s">
        <v>7</v>
      </c>
      <c r="E1939" t="s">
        <v>8</v>
      </c>
      <c r="F1939" s="28">
        <v>5228</v>
      </c>
      <c r="G1939" t="s">
        <v>256</v>
      </c>
      <c r="H1939" s="1">
        <v>153807</v>
      </c>
      <c r="I1939" s="1">
        <v>23424.471089766328</v>
      </c>
      <c r="J1939" s="1">
        <v>177231.47108976633</v>
      </c>
    </row>
    <row r="1940" spans="1:10" x14ac:dyDescent="0.2">
      <c r="A1940">
        <v>2006630</v>
      </c>
      <c r="B1940">
        <v>2020</v>
      </c>
      <c r="C1940" t="s">
        <v>6</v>
      </c>
      <c r="D1940" t="s">
        <v>7</v>
      </c>
      <c r="E1940" t="s">
        <v>8</v>
      </c>
      <c r="F1940" s="28">
        <v>5228</v>
      </c>
      <c r="G1940" t="s">
        <v>256</v>
      </c>
      <c r="H1940" s="1">
        <v>175828</v>
      </c>
      <c r="I1940" s="1">
        <v>26600.108202511965</v>
      </c>
      <c r="J1940" s="1">
        <v>202428.10820251197</v>
      </c>
    </row>
    <row r="1941" spans="1:10" x14ac:dyDescent="0.2">
      <c r="A1941">
        <v>2006630</v>
      </c>
      <c r="B1941">
        <v>2021</v>
      </c>
      <c r="C1941" t="s">
        <v>6</v>
      </c>
      <c r="D1941" t="s">
        <v>7</v>
      </c>
      <c r="E1941" t="s">
        <v>8</v>
      </c>
      <c r="F1941" s="28">
        <v>5228</v>
      </c>
      <c r="G1941" t="s">
        <v>256</v>
      </c>
      <c r="H1941" s="25">
        <v>165013</v>
      </c>
      <c r="I1941" s="1">
        <v>24635.305725221868</v>
      </c>
      <c r="J1941" s="1">
        <v>189648.30572522187</v>
      </c>
    </row>
    <row r="1942" spans="1:10" x14ac:dyDescent="0.2">
      <c r="A1942">
        <v>2006630</v>
      </c>
      <c r="B1942">
        <v>2022</v>
      </c>
      <c r="C1942" t="s">
        <v>6</v>
      </c>
      <c r="D1942" t="s">
        <v>7</v>
      </c>
      <c r="E1942" t="s">
        <v>8</v>
      </c>
      <c r="F1942" s="28">
        <v>5228</v>
      </c>
      <c r="G1942" t="s">
        <v>256</v>
      </c>
      <c r="H1942" s="1">
        <v>186274</v>
      </c>
      <c r="I1942" s="1">
        <v>25297.043785087491</v>
      </c>
      <c r="J1942" s="1">
        <v>211571.0437850875</v>
      </c>
    </row>
    <row r="1943" spans="1:10" x14ac:dyDescent="0.2">
      <c r="A1943">
        <v>2006630</v>
      </c>
      <c r="B1943">
        <v>2023</v>
      </c>
      <c r="C1943" t="s">
        <v>6</v>
      </c>
      <c r="D1943" t="s">
        <v>7</v>
      </c>
      <c r="E1943" t="s">
        <v>8</v>
      </c>
      <c r="F1943" s="28">
        <v>5228</v>
      </c>
      <c r="G1943" s="10" t="s">
        <v>256</v>
      </c>
      <c r="H1943" s="1">
        <v>203936</v>
      </c>
      <c r="I1943" s="1">
        <v>28551.646972045586</v>
      </c>
      <c r="J1943" s="1">
        <v>232487.64697204559</v>
      </c>
    </row>
    <row r="1944" spans="1:10" x14ac:dyDescent="0.2">
      <c r="A1944">
        <v>2010080</v>
      </c>
      <c r="B1944">
        <v>2015</v>
      </c>
      <c r="C1944" t="s">
        <v>6</v>
      </c>
      <c r="D1944" t="s">
        <v>7</v>
      </c>
      <c r="E1944" t="s">
        <v>8</v>
      </c>
      <c r="F1944" s="29">
        <v>5229</v>
      </c>
      <c r="G1944" s="3" t="s">
        <v>257</v>
      </c>
      <c r="H1944" s="27">
        <v>253486</v>
      </c>
      <c r="I1944" s="1">
        <v>40830.014525192506</v>
      </c>
      <c r="J1944" s="1">
        <v>294316.0145251925</v>
      </c>
    </row>
    <row r="1945" spans="1:10" x14ac:dyDescent="0.2">
      <c r="A1945">
        <v>2010080</v>
      </c>
      <c r="B1945">
        <v>2016</v>
      </c>
      <c r="C1945" t="s">
        <v>6</v>
      </c>
      <c r="D1945" t="s">
        <v>7</v>
      </c>
      <c r="E1945" t="s">
        <v>8</v>
      </c>
      <c r="F1945" s="29">
        <v>5229</v>
      </c>
      <c r="G1945" s="3" t="s">
        <v>257</v>
      </c>
      <c r="H1945" s="1">
        <v>266943</v>
      </c>
      <c r="I1945" s="26">
        <v>705019.6408233823</v>
      </c>
      <c r="J1945" s="26">
        <v>971962.6408233823</v>
      </c>
    </row>
    <row r="1946" spans="1:10" x14ac:dyDescent="0.2">
      <c r="A1946">
        <v>2010080</v>
      </c>
      <c r="B1946">
        <v>2017</v>
      </c>
      <c r="C1946" t="s">
        <v>6</v>
      </c>
      <c r="D1946" t="s">
        <v>7</v>
      </c>
      <c r="E1946" t="s">
        <v>8</v>
      </c>
      <c r="F1946" s="29">
        <v>5229</v>
      </c>
      <c r="G1946" s="3" t="s">
        <v>257</v>
      </c>
      <c r="H1946" s="1">
        <v>272890</v>
      </c>
      <c r="I1946" s="1">
        <v>42586.023873835722</v>
      </c>
      <c r="J1946" s="1">
        <v>315476.02387383574</v>
      </c>
    </row>
    <row r="1947" spans="1:10" x14ac:dyDescent="0.2">
      <c r="A1947">
        <v>2010080</v>
      </c>
      <c r="B1947">
        <v>2018</v>
      </c>
      <c r="C1947" t="s">
        <v>6</v>
      </c>
      <c r="D1947" t="s">
        <v>7</v>
      </c>
      <c r="E1947" t="s">
        <v>8</v>
      </c>
      <c r="F1947" s="28">
        <v>5229</v>
      </c>
      <c r="G1947" t="s">
        <v>257</v>
      </c>
      <c r="H1947" s="1">
        <v>324353</v>
      </c>
      <c r="I1947" s="1">
        <v>49048.448970721896</v>
      </c>
      <c r="J1947" s="1">
        <v>373401.44897072192</v>
      </c>
    </row>
    <row r="1948" spans="1:10" x14ac:dyDescent="0.2">
      <c r="A1948">
        <v>2010080</v>
      </c>
      <c r="B1948">
        <v>2019</v>
      </c>
      <c r="C1948" t="s">
        <v>6</v>
      </c>
      <c r="D1948" t="s">
        <v>7</v>
      </c>
      <c r="E1948" t="s">
        <v>8</v>
      </c>
      <c r="F1948" s="28">
        <v>5229</v>
      </c>
      <c r="G1948" t="s">
        <v>257</v>
      </c>
      <c r="H1948" s="1">
        <v>352576</v>
      </c>
      <c r="I1948" s="1">
        <v>53696.556846862964</v>
      </c>
      <c r="J1948" s="1">
        <v>406272.55684686295</v>
      </c>
    </row>
    <row r="1949" spans="1:10" x14ac:dyDescent="0.2">
      <c r="A1949">
        <v>2010080</v>
      </c>
      <c r="B1949">
        <v>2020</v>
      </c>
      <c r="C1949" t="s">
        <v>6</v>
      </c>
      <c r="D1949" t="s">
        <v>7</v>
      </c>
      <c r="E1949" t="s">
        <v>8</v>
      </c>
      <c r="F1949" s="28">
        <v>5229</v>
      </c>
      <c r="G1949" t="s">
        <v>257</v>
      </c>
      <c r="H1949" s="1">
        <v>365419</v>
      </c>
      <c r="I1949" s="1">
        <v>55282.349450904978</v>
      </c>
      <c r="J1949" s="1">
        <v>420701.34945090499</v>
      </c>
    </row>
    <row r="1950" spans="1:10" x14ac:dyDescent="0.2">
      <c r="A1950">
        <v>2010080</v>
      </c>
      <c r="B1950">
        <v>2021</v>
      </c>
      <c r="C1950" t="s">
        <v>6</v>
      </c>
      <c r="D1950" t="s">
        <v>7</v>
      </c>
      <c r="E1950" t="s">
        <v>8</v>
      </c>
      <c r="F1950" s="28">
        <v>5229</v>
      </c>
      <c r="G1950" t="s">
        <v>257</v>
      </c>
      <c r="H1950" s="25">
        <v>356536</v>
      </c>
      <c r="I1950" s="1">
        <v>53228.372080064619</v>
      </c>
      <c r="J1950" s="1">
        <v>409764.37208006461</v>
      </c>
    </row>
    <row r="1951" spans="1:10" x14ac:dyDescent="0.2">
      <c r="A1951">
        <v>2010080</v>
      </c>
      <c r="B1951">
        <v>2022</v>
      </c>
      <c r="C1951" t="s">
        <v>6</v>
      </c>
      <c r="D1951" t="s">
        <v>7</v>
      </c>
      <c r="E1951" t="s">
        <v>8</v>
      </c>
      <c r="F1951" s="28">
        <v>5229</v>
      </c>
      <c r="G1951" t="s">
        <v>257</v>
      </c>
      <c r="H1951" s="1">
        <v>363105</v>
      </c>
      <c r="I1951" s="1">
        <v>49311.675722775013</v>
      </c>
      <c r="J1951" s="1">
        <v>412416.67572277499</v>
      </c>
    </row>
    <row r="1952" spans="1:10" x14ac:dyDescent="0.2">
      <c r="A1952">
        <v>2010080</v>
      </c>
      <c r="B1952">
        <v>2023</v>
      </c>
      <c r="C1952" t="s">
        <v>6</v>
      </c>
      <c r="D1952" t="s">
        <v>7</v>
      </c>
      <c r="E1952" t="s">
        <v>8</v>
      </c>
      <c r="F1952" s="28">
        <v>5229</v>
      </c>
      <c r="G1952" s="10" t="s">
        <v>257</v>
      </c>
      <c r="H1952" s="1">
        <v>358267</v>
      </c>
      <c r="I1952" s="1">
        <v>50158.446305379417</v>
      </c>
      <c r="J1952" s="1">
        <v>408425.44630537939</v>
      </c>
    </row>
    <row r="1953" spans="1:10" x14ac:dyDescent="0.2">
      <c r="A1953">
        <v>2006960</v>
      </c>
      <c r="B1953">
        <v>2015</v>
      </c>
      <c r="C1953" t="s">
        <v>6</v>
      </c>
      <c r="D1953" t="s">
        <v>7</v>
      </c>
      <c r="E1953" t="s">
        <v>8</v>
      </c>
      <c r="F1953" s="29">
        <v>5230</v>
      </c>
      <c r="G1953" s="3" t="s">
        <v>258</v>
      </c>
      <c r="H1953" s="27">
        <v>572108</v>
      </c>
      <c r="I1953" s="1">
        <v>92151.747828198917</v>
      </c>
      <c r="J1953" s="1">
        <v>664259.74782819895</v>
      </c>
    </row>
    <row r="1954" spans="1:10" x14ac:dyDescent="0.2">
      <c r="A1954">
        <v>2006960</v>
      </c>
      <c r="B1954">
        <v>2016</v>
      </c>
      <c r="C1954" t="s">
        <v>6</v>
      </c>
      <c r="D1954" t="s">
        <v>7</v>
      </c>
      <c r="E1954" t="s">
        <v>8</v>
      </c>
      <c r="F1954" s="29">
        <v>5230</v>
      </c>
      <c r="G1954" s="3" t="s">
        <v>258</v>
      </c>
      <c r="H1954" s="1">
        <v>549528</v>
      </c>
      <c r="I1954" s="26">
        <v>1451351.2844316661</v>
      </c>
      <c r="J1954" s="26">
        <v>2000879.2844316661</v>
      </c>
    </row>
    <row r="1955" spans="1:10" x14ac:dyDescent="0.2">
      <c r="A1955">
        <v>2006960</v>
      </c>
      <c r="B1955">
        <v>2017</v>
      </c>
      <c r="C1955" t="s">
        <v>6</v>
      </c>
      <c r="D1955" t="s">
        <v>7</v>
      </c>
      <c r="E1955" t="s">
        <v>8</v>
      </c>
      <c r="F1955" s="29">
        <v>5230</v>
      </c>
      <c r="G1955" s="3" t="s">
        <v>258</v>
      </c>
      <c r="H1955" s="1">
        <v>568686</v>
      </c>
      <c r="I1955" s="1">
        <v>88746.658260530414</v>
      </c>
      <c r="J1955" s="1">
        <v>657432.65826053044</v>
      </c>
    </row>
    <row r="1956" spans="1:10" x14ac:dyDescent="0.2">
      <c r="A1956">
        <v>2006960</v>
      </c>
      <c r="B1956">
        <v>2018</v>
      </c>
      <c r="C1956" t="s">
        <v>6</v>
      </c>
      <c r="D1956" t="s">
        <v>7</v>
      </c>
      <c r="E1956" t="s">
        <v>8</v>
      </c>
      <c r="F1956" s="28">
        <v>5230</v>
      </c>
      <c r="G1956" t="s">
        <v>258</v>
      </c>
      <c r="H1956" s="1">
        <v>656968</v>
      </c>
      <c r="I1956" s="1">
        <v>99346.272189242038</v>
      </c>
      <c r="J1956" s="1">
        <v>756314.27218924207</v>
      </c>
    </row>
    <row r="1957" spans="1:10" x14ac:dyDescent="0.2">
      <c r="A1957">
        <v>2006960</v>
      </c>
      <c r="B1957">
        <v>2019</v>
      </c>
      <c r="C1957" t="s">
        <v>6</v>
      </c>
      <c r="D1957" t="s">
        <v>7</v>
      </c>
      <c r="E1957" t="s">
        <v>8</v>
      </c>
      <c r="F1957" s="28">
        <v>5230</v>
      </c>
      <c r="G1957" t="s">
        <v>258</v>
      </c>
      <c r="H1957" s="1">
        <v>690183</v>
      </c>
      <c r="I1957" s="1">
        <v>105113.36759801695</v>
      </c>
      <c r="J1957" s="1">
        <v>795296.36759801698</v>
      </c>
    </row>
    <row r="1958" spans="1:10" x14ac:dyDescent="0.2">
      <c r="A1958">
        <v>2006960</v>
      </c>
      <c r="B1958">
        <v>2020</v>
      </c>
      <c r="C1958" t="s">
        <v>6</v>
      </c>
      <c r="D1958" t="s">
        <v>7</v>
      </c>
      <c r="E1958" t="s">
        <v>8</v>
      </c>
      <c r="F1958" s="28">
        <v>5230</v>
      </c>
      <c r="G1958" t="s">
        <v>258</v>
      </c>
      <c r="H1958" s="1">
        <v>729131</v>
      </c>
      <c r="I1958" s="1">
        <v>110306.45570560862</v>
      </c>
      <c r="J1958" s="1">
        <v>839437.45570560859</v>
      </c>
    </row>
    <row r="1959" spans="1:10" x14ac:dyDescent="0.2">
      <c r="A1959">
        <v>2006960</v>
      </c>
      <c r="B1959">
        <v>2021</v>
      </c>
      <c r="C1959" t="s">
        <v>6</v>
      </c>
      <c r="D1959" t="s">
        <v>7</v>
      </c>
      <c r="E1959" t="s">
        <v>8</v>
      </c>
      <c r="F1959" s="28">
        <v>5230</v>
      </c>
      <c r="G1959" t="s">
        <v>258</v>
      </c>
      <c r="H1959" s="25">
        <v>746895</v>
      </c>
      <c r="I1959" s="1">
        <v>111506.28538139169</v>
      </c>
      <c r="J1959" s="1">
        <v>858401.28538139164</v>
      </c>
    </row>
    <row r="1960" spans="1:10" x14ac:dyDescent="0.2">
      <c r="A1960">
        <v>2006960</v>
      </c>
      <c r="B1960">
        <v>2022</v>
      </c>
      <c r="C1960" t="s">
        <v>6</v>
      </c>
      <c r="D1960" t="s">
        <v>7</v>
      </c>
      <c r="E1960" t="s">
        <v>8</v>
      </c>
      <c r="F1960" s="28">
        <v>5230</v>
      </c>
      <c r="G1960" t="s">
        <v>258</v>
      </c>
      <c r="H1960" s="1">
        <v>716800</v>
      </c>
      <c r="I1960" s="1">
        <v>97345.421181435479</v>
      </c>
      <c r="J1960" s="1">
        <v>814145.42118143546</v>
      </c>
    </row>
    <row r="1961" spans="1:10" x14ac:dyDescent="0.2">
      <c r="A1961">
        <v>2006960</v>
      </c>
      <c r="B1961">
        <v>2023</v>
      </c>
      <c r="C1961" t="s">
        <v>6</v>
      </c>
      <c r="D1961" t="s">
        <v>7</v>
      </c>
      <c r="E1961" t="s">
        <v>8</v>
      </c>
      <c r="F1961" s="28">
        <v>5230</v>
      </c>
      <c r="G1961" s="10" t="s">
        <v>258</v>
      </c>
      <c r="H1961" s="1">
        <v>735897</v>
      </c>
      <c r="I1961" s="1">
        <v>103027.77024060211</v>
      </c>
      <c r="J1961" s="1">
        <v>838924.77024060208</v>
      </c>
    </row>
    <row r="1962" spans="1:10" x14ac:dyDescent="0.2">
      <c r="A1962">
        <v>2007380</v>
      </c>
      <c r="B1962">
        <v>2015</v>
      </c>
      <c r="C1962" t="s">
        <v>6</v>
      </c>
      <c r="D1962" t="s">
        <v>7</v>
      </c>
      <c r="E1962" t="s">
        <v>8</v>
      </c>
      <c r="F1962" s="29">
        <v>5231</v>
      </c>
      <c r="G1962" s="3" t="s">
        <v>259</v>
      </c>
      <c r="H1962" s="27">
        <v>1065109</v>
      </c>
      <c r="I1962" s="1">
        <v>171561.41144249885</v>
      </c>
      <c r="J1962" s="1">
        <v>1236670.4114424989</v>
      </c>
    </row>
    <row r="1963" spans="1:10" x14ac:dyDescent="0.2">
      <c r="A1963">
        <v>2007380</v>
      </c>
      <c r="B1963">
        <v>2016</v>
      </c>
      <c r="C1963" t="s">
        <v>6</v>
      </c>
      <c r="D1963" t="s">
        <v>7</v>
      </c>
      <c r="E1963" t="s">
        <v>8</v>
      </c>
      <c r="F1963" s="29">
        <v>5231</v>
      </c>
      <c r="G1963" s="3" t="s">
        <v>259</v>
      </c>
      <c r="H1963" s="1">
        <v>1037709</v>
      </c>
      <c r="I1963" s="26">
        <v>2740687.8728543827</v>
      </c>
      <c r="J1963" s="26">
        <v>3778396.8728543827</v>
      </c>
    </row>
    <row r="1964" spans="1:10" x14ac:dyDescent="0.2">
      <c r="A1964">
        <v>2007380</v>
      </c>
      <c r="B1964">
        <v>2017</v>
      </c>
      <c r="C1964" t="s">
        <v>6</v>
      </c>
      <c r="D1964" t="s">
        <v>7</v>
      </c>
      <c r="E1964" t="s">
        <v>8</v>
      </c>
      <c r="F1964" s="29">
        <v>5231</v>
      </c>
      <c r="G1964" s="3" t="s">
        <v>259</v>
      </c>
      <c r="H1964" s="1">
        <v>1221112</v>
      </c>
      <c r="I1964" s="1">
        <v>190561.41589881375</v>
      </c>
      <c r="J1964" s="1">
        <v>1411673.4158988139</v>
      </c>
    </row>
    <row r="1965" spans="1:10" x14ac:dyDescent="0.2">
      <c r="A1965">
        <v>2007380</v>
      </c>
      <c r="B1965">
        <v>2018</v>
      </c>
      <c r="C1965" t="s">
        <v>6</v>
      </c>
      <c r="D1965" t="s">
        <v>7</v>
      </c>
      <c r="E1965" t="s">
        <v>8</v>
      </c>
      <c r="F1965" s="28">
        <v>5231</v>
      </c>
      <c r="G1965" t="s">
        <v>259</v>
      </c>
      <c r="H1965" s="1">
        <v>1475507</v>
      </c>
      <c r="I1965" s="1">
        <v>223125.20554902512</v>
      </c>
      <c r="J1965" s="1">
        <v>1698632.2055490252</v>
      </c>
    </row>
    <row r="1966" spans="1:10" x14ac:dyDescent="0.2">
      <c r="A1966">
        <v>2007380</v>
      </c>
      <c r="B1966">
        <v>2019</v>
      </c>
      <c r="C1966" t="s">
        <v>6</v>
      </c>
      <c r="D1966" t="s">
        <v>7</v>
      </c>
      <c r="E1966" t="s">
        <v>8</v>
      </c>
      <c r="F1966" s="28">
        <v>5231</v>
      </c>
      <c r="G1966" t="s">
        <v>259</v>
      </c>
      <c r="H1966" s="1">
        <v>1478266</v>
      </c>
      <c r="I1966" s="1">
        <v>225136.6919580026</v>
      </c>
      <c r="J1966" s="1">
        <v>1703402.6919580025</v>
      </c>
    </row>
    <row r="1967" spans="1:10" x14ac:dyDescent="0.2">
      <c r="A1967">
        <v>2007380</v>
      </c>
      <c r="B1967">
        <v>2020</v>
      </c>
      <c r="C1967" t="s">
        <v>6</v>
      </c>
      <c r="D1967" t="s">
        <v>7</v>
      </c>
      <c r="E1967" t="s">
        <v>8</v>
      </c>
      <c r="F1967" s="28">
        <v>5231</v>
      </c>
      <c r="G1967" t="s">
        <v>259</v>
      </c>
      <c r="H1967" s="1">
        <v>1623063</v>
      </c>
      <c r="I1967" s="1">
        <v>245544.8018489301</v>
      </c>
      <c r="J1967" s="1">
        <v>1868607.8018489301</v>
      </c>
    </row>
    <row r="1968" spans="1:10" x14ac:dyDescent="0.2">
      <c r="A1968">
        <v>2007380</v>
      </c>
      <c r="B1968">
        <v>2021</v>
      </c>
      <c r="C1968" t="s">
        <v>6</v>
      </c>
      <c r="D1968" t="s">
        <v>7</v>
      </c>
      <c r="E1968" t="s">
        <v>8</v>
      </c>
      <c r="F1968" s="28">
        <v>5231</v>
      </c>
      <c r="G1968" t="s">
        <v>259</v>
      </c>
      <c r="H1968" s="25">
        <v>1394856</v>
      </c>
      <c r="I1968" s="1">
        <v>208242.40515995753</v>
      </c>
      <c r="J1968" s="1">
        <v>1603098.4051599575</v>
      </c>
    </row>
    <row r="1969" spans="1:10" x14ac:dyDescent="0.2">
      <c r="A1969">
        <v>2007380</v>
      </c>
      <c r="B1969">
        <v>2022</v>
      </c>
      <c r="C1969" t="s">
        <v>6</v>
      </c>
      <c r="D1969" t="s">
        <v>7</v>
      </c>
      <c r="E1969" t="s">
        <v>8</v>
      </c>
      <c r="F1969" s="28">
        <v>5231</v>
      </c>
      <c r="G1969" t="s">
        <v>259</v>
      </c>
      <c r="H1969" s="1">
        <v>1634703</v>
      </c>
      <c r="I1969" s="1">
        <v>222001.74670976022</v>
      </c>
      <c r="J1969" s="1">
        <v>1856704.7467097603</v>
      </c>
    </row>
    <row r="1970" spans="1:10" x14ac:dyDescent="0.2">
      <c r="A1970">
        <v>2007380</v>
      </c>
      <c r="B1970">
        <v>2023</v>
      </c>
      <c r="C1970" t="s">
        <v>6</v>
      </c>
      <c r="D1970" t="s">
        <v>7</v>
      </c>
      <c r="E1970" t="s">
        <v>8</v>
      </c>
      <c r="F1970" s="28">
        <v>5231</v>
      </c>
      <c r="G1970" s="10" t="s">
        <v>259</v>
      </c>
      <c r="H1970" s="1">
        <v>1456788</v>
      </c>
      <c r="I1970" s="1">
        <v>203954.65581904296</v>
      </c>
      <c r="J1970" s="1">
        <v>1660742.6558190431</v>
      </c>
    </row>
    <row r="1971" spans="1:10" x14ac:dyDescent="0.2">
      <c r="A1971">
        <v>2003200</v>
      </c>
      <c r="B1971">
        <v>2015</v>
      </c>
      <c r="C1971" t="s">
        <v>6</v>
      </c>
      <c r="D1971" t="s">
        <v>7</v>
      </c>
      <c r="E1971" t="s">
        <v>8</v>
      </c>
      <c r="F1971" s="29">
        <v>5233</v>
      </c>
      <c r="G1971" s="3" t="s">
        <v>260</v>
      </c>
      <c r="H1971" s="27">
        <v>3140264</v>
      </c>
      <c r="I1971" s="1">
        <v>505815.01437136217</v>
      </c>
      <c r="J1971" s="1">
        <v>3646079.014371362</v>
      </c>
    </row>
    <row r="1972" spans="1:10" x14ac:dyDescent="0.2">
      <c r="A1972">
        <v>2003200</v>
      </c>
      <c r="B1972">
        <v>2016</v>
      </c>
      <c r="C1972" t="s">
        <v>6</v>
      </c>
      <c r="D1972" t="s">
        <v>7</v>
      </c>
      <c r="E1972" t="s">
        <v>8</v>
      </c>
      <c r="F1972" s="29">
        <v>5233</v>
      </c>
      <c r="G1972" s="3" t="s">
        <v>260</v>
      </c>
      <c r="H1972" s="1">
        <v>3714996</v>
      </c>
      <c r="I1972" s="26">
        <v>9811633.006505521</v>
      </c>
      <c r="J1972" s="26">
        <v>13526629.006505521</v>
      </c>
    </row>
    <row r="1973" spans="1:10" x14ac:dyDescent="0.2">
      <c r="A1973">
        <v>2003200</v>
      </c>
      <c r="B1973">
        <v>2017</v>
      </c>
      <c r="C1973" t="s">
        <v>6</v>
      </c>
      <c r="D1973" t="s">
        <v>7</v>
      </c>
      <c r="E1973" t="s">
        <v>8</v>
      </c>
      <c r="F1973" s="29">
        <v>5233</v>
      </c>
      <c r="G1973" s="3" t="s">
        <v>260</v>
      </c>
      <c r="H1973" s="1">
        <v>3950774</v>
      </c>
      <c r="I1973" s="1">
        <v>616540.5690356167</v>
      </c>
      <c r="J1973" s="1">
        <v>4567314.5690356167</v>
      </c>
    </row>
    <row r="1974" spans="1:10" x14ac:dyDescent="0.2">
      <c r="A1974">
        <v>2003200</v>
      </c>
      <c r="B1974">
        <v>2018</v>
      </c>
      <c r="C1974" t="s">
        <v>6</v>
      </c>
      <c r="D1974" t="s">
        <v>7</v>
      </c>
      <c r="E1974" t="s">
        <v>8</v>
      </c>
      <c r="F1974" s="28">
        <v>5233</v>
      </c>
      <c r="G1974" t="s">
        <v>260</v>
      </c>
      <c r="H1974" s="1">
        <v>4541633</v>
      </c>
      <c r="I1974" s="1">
        <v>686782.77815912478</v>
      </c>
      <c r="J1974" s="1">
        <v>5228415.7781591248</v>
      </c>
    </row>
    <row r="1975" spans="1:10" x14ac:dyDescent="0.2">
      <c r="A1975">
        <v>2003200</v>
      </c>
      <c r="B1975">
        <v>2019</v>
      </c>
      <c r="C1975" t="s">
        <v>6</v>
      </c>
      <c r="D1975" t="s">
        <v>7</v>
      </c>
      <c r="E1975" t="s">
        <v>8</v>
      </c>
      <c r="F1975" s="28">
        <v>5233</v>
      </c>
      <c r="G1975" t="s">
        <v>260</v>
      </c>
      <c r="H1975" s="1">
        <v>5303053</v>
      </c>
      <c r="I1975" s="1">
        <v>807643.42120968876</v>
      </c>
      <c r="J1975" s="1">
        <v>6110696.4212096892</v>
      </c>
    </row>
    <row r="1976" spans="1:10" x14ac:dyDescent="0.2">
      <c r="A1976">
        <v>2003200</v>
      </c>
      <c r="B1976">
        <v>2020</v>
      </c>
      <c r="C1976" t="s">
        <v>6</v>
      </c>
      <c r="D1976" t="s">
        <v>7</v>
      </c>
      <c r="E1976" t="s">
        <v>8</v>
      </c>
      <c r="F1976" s="28">
        <v>5233</v>
      </c>
      <c r="G1976" t="s">
        <v>260</v>
      </c>
      <c r="H1976" s="1">
        <v>6057467</v>
      </c>
      <c r="I1976" s="1">
        <v>916402.83477685892</v>
      </c>
      <c r="J1976" s="1">
        <v>6973869.8347768588</v>
      </c>
    </row>
    <row r="1977" spans="1:10" x14ac:dyDescent="0.2">
      <c r="A1977">
        <v>2003200</v>
      </c>
      <c r="B1977">
        <v>2021</v>
      </c>
      <c r="C1977" t="s">
        <v>6</v>
      </c>
      <c r="D1977" t="s">
        <v>7</v>
      </c>
      <c r="E1977" t="s">
        <v>8</v>
      </c>
      <c r="F1977" s="28">
        <v>5233</v>
      </c>
      <c r="G1977" t="s">
        <v>260</v>
      </c>
      <c r="H1977" s="25">
        <v>6142665</v>
      </c>
      <c r="I1977" s="1">
        <v>917057.62723312702</v>
      </c>
      <c r="J1977" s="1">
        <v>7059722.6272331271</v>
      </c>
    </row>
    <row r="1978" spans="1:10" x14ac:dyDescent="0.2">
      <c r="A1978">
        <v>2003200</v>
      </c>
      <c r="B1978">
        <v>2022</v>
      </c>
      <c r="C1978" t="s">
        <v>6</v>
      </c>
      <c r="D1978" t="s">
        <v>7</v>
      </c>
      <c r="E1978" t="s">
        <v>8</v>
      </c>
      <c r="F1978" s="28">
        <v>5233</v>
      </c>
      <c r="G1978" t="s">
        <v>260</v>
      </c>
      <c r="H1978" s="1">
        <v>6055556</v>
      </c>
      <c r="I1978" s="1">
        <v>822378.13798516837</v>
      </c>
      <c r="J1978" s="1">
        <v>6877934.137985168</v>
      </c>
    </row>
    <row r="1979" spans="1:10" x14ac:dyDescent="0.2">
      <c r="A1979">
        <v>2003200</v>
      </c>
      <c r="B1979">
        <v>2023</v>
      </c>
      <c r="C1979" t="s">
        <v>6</v>
      </c>
      <c r="D1979" t="s">
        <v>7</v>
      </c>
      <c r="E1979" t="s">
        <v>8</v>
      </c>
      <c r="F1979" s="28">
        <v>5233</v>
      </c>
      <c r="G1979" s="10" t="s">
        <v>260</v>
      </c>
      <c r="H1979" s="1">
        <v>6286205</v>
      </c>
      <c r="I1979" s="1">
        <v>880087.40954960301</v>
      </c>
      <c r="J1979" s="1">
        <v>7166292.4095496032</v>
      </c>
    </row>
    <row r="1980" spans="1:10" x14ac:dyDescent="0.2">
      <c r="A1980">
        <v>2008040</v>
      </c>
      <c r="B1980">
        <v>2015</v>
      </c>
      <c r="C1980" t="s">
        <v>6</v>
      </c>
      <c r="D1980" t="s">
        <v>7</v>
      </c>
      <c r="E1980" t="s">
        <v>8</v>
      </c>
      <c r="F1980" s="29">
        <v>5235</v>
      </c>
      <c r="G1980" s="3" t="s">
        <v>261</v>
      </c>
      <c r="H1980" s="27">
        <v>151118</v>
      </c>
      <c r="I1980" s="1">
        <v>24341.18702815162</v>
      </c>
      <c r="J1980" s="1">
        <v>175459.18702815162</v>
      </c>
    </row>
    <row r="1981" spans="1:10" x14ac:dyDescent="0.2">
      <c r="A1981">
        <v>2008040</v>
      </c>
      <c r="B1981">
        <v>2016</v>
      </c>
      <c r="C1981" t="s">
        <v>6</v>
      </c>
      <c r="D1981" t="s">
        <v>7</v>
      </c>
      <c r="E1981" t="s">
        <v>8</v>
      </c>
      <c r="F1981" s="29">
        <v>5235</v>
      </c>
      <c r="G1981" s="3" t="s">
        <v>261</v>
      </c>
      <c r="H1981" s="1">
        <v>145521</v>
      </c>
      <c r="I1981" s="26">
        <v>384336.07823799347</v>
      </c>
      <c r="J1981" s="26">
        <v>529857.07823799353</v>
      </c>
    </row>
    <row r="1982" spans="1:10" x14ac:dyDescent="0.2">
      <c r="A1982">
        <v>2008040</v>
      </c>
      <c r="B1982">
        <v>2017</v>
      </c>
      <c r="C1982" t="s">
        <v>6</v>
      </c>
      <c r="D1982" t="s">
        <v>7</v>
      </c>
      <c r="E1982" t="s">
        <v>8</v>
      </c>
      <c r="F1982" s="29">
        <v>5235</v>
      </c>
      <c r="G1982" s="3" t="s">
        <v>261</v>
      </c>
      <c r="H1982" s="1">
        <v>168428</v>
      </c>
      <c r="I1982" s="1">
        <v>26284.139503178583</v>
      </c>
      <c r="J1982" s="1">
        <v>194712.13950317859</v>
      </c>
    </row>
    <row r="1983" spans="1:10" x14ac:dyDescent="0.2">
      <c r="A1983">
        <v>2008040</v>
      </c>
      <c r="B1983">
        <v>2018</v>
      </c>
      <c r="C1983" t="s">
        <v>6</v>
      </c>
      <c r="D1983" t="s">
        <v>7</v>
      </c>
      <c r="E1983" t="s">
        <v>8</v>
      </c>
      <c r="F1983" s="28">
        <v>5235</v>
      </c>
      <c r="G1983" t="s">
        <v>261</v>
      </c>
      <c r="H1983" s="1">
        <v>215577</v>
      </c>
      <c r="I1983" s="1">
        <v>32599.413243476436</v>
      </c>
      <c r="J1983" s="1">
        <v>248176.41324347645</v>
      </c>
    </row>
    <row r="1984" spans="1:10" x14ac:dyDescent="0.2">
      <c r="A1984">
        <v>2008040</v>
      </c>
      <c r="B1984">
        <v>2019</v>
      </c>
      <c r="C1984" t="s">
        <v>6</v>
      </c>
      <c r="D1984" t="s">
        <v>7</v>
      </c>
      <c r="E1984" t="s">
        <v>8</v>
      </c>
      <c r="F1984" s="28">
        <v>5235</v>
      </c>
      <c r="G1984" t="s">
        <v>261</v>
      </c>
      <c r="H1984" s="1">
        <v>228807</v>
      </c>
      <c r="I1984" s="1">
        <v>34846.807730702531</v>
      </c>
      <c r="J1984" s="1">
        <v>263653.80773070251</v>
      </c>
    </row>
    <row r="1985" spans="1:10" x14ac:dyDescent="0.2">
      <c r="A1985">
        <v>2008040</v>
      </c>
      <c r="B1985">
        <v>2020</v>
      </c>
      <c r="C1985" t="s">
        <v>6</v>
      </c>
      <c r="D1985" t="s">
        <v>7</v>
      </c>
      <c r="E1985" t="s">
        <v>8</v>
      </c>
      <c r="F1985" s="28">
        <v>5235</v>
      </c>
      <c r="G1985" t="s">
        <v>261</v>
      </c>
      <c r="H1985" s="1">
        <v>244024</v>
      </c>
      <c r="I1985" s="1">
        <v>36917.1281252689</v>
      </c>
      <c r="J1985" s="1">
        <v>280941.12812526891</v>
      </c>
    </row>
    <row r="1986" spans="1:10" x14ac:dyDescent="0.2">
      <c r="A1986">
        <v>2008040</v>
      </c>
      <c r="B1986">
        <v>2021</v>
      </c>
      <c r="C1986" t="s">
        <v>6</v>
      </c>
      <c r="D1986" t="s">
        <v>7</v>
      </c>
      <c r="E1986" t="s">
        <v>8</v>
      </c>
      <c r="F1986" s="28">
        <v>5235</v>
      </c>
      <c r="G1986" t="s">
        <v>261</v>
      </c>
      <c r="H1986" s="25">
        <v>253390</v>
      </c>
      <c r="I1986" s="1">
        <v>37829.383852872008</v>
      </c>
      <c r="J1986" s="1">
        <v>291219.38385287201</v>
      </c>
    </row>
    <row r="1987" spans="1:10" x14ac:dyDescent="0.2">
      <c r="A1987">
        <v>2008040</v>
      </c>
      <c r="B1987">
        <v>2022</v>
      </c>
      <c r="C1987" t="s">
        <v>6</v>
      </c>
      <c r="D1987" t="s">
        <v>7</v>
      </c>
      <c r="E1987" t="s">
        <v>8</v>
      </c>
      <c r="F1987" s="28">
        <v>5235</v>
      </c>
      <c r="G1987" t="s">
        <v>261</v>
      </c>
      <c r="H1987" s="1">
        <v>234251</v>
      </c>
      <c r="I1987" s="1">
        <v>31812.586854314231</v>
      </c>
      <c r="J1987" s="1">
        <v>266063.58685431426</v>
      </c>
    </row>
    <row r="1988" spans="1:10" x14ac:dyDescent="0.2">
      <c r="A1988">
        <v>2008040</v>
      </c>
      <c r="B1988">
        <v>2023</v>
      </c>
      <c r="C1988" t="s">
        <v>6</v>
      </c>
      <c r="D1988" t="s">
        <v>7</v>
      </c>
      <c r="E1988" t="s">
        <v>8</v>
      </c>
      <c r="F1988" s="28">
        <v>5235</v>
      </c>
      <c r="G1988" s="10" t="s">
        <v>261</v>
      </c>
      <c r="H1988" s="1">
        <v>238518</v>
      </c>
      <c r="I1988" s="1">
        <v>33393.229897999219</v>
      </c>
      <c r="J1988" s="1">
        <v>271911.2298979992</v>
      </c>
    </row>
    <row r="1989" spans="1:10" x14ac:dyDescent="0.2">
      <c r="A1989">
        <v>2006060</v>
      </c>
      <c r="B1989">
        <v>2015</v>
      </c>
      <c r="C1989" t="s">
        <v>6</v>
      </c>
      <c r="D1989" t="s">
        <v>7</v>
      </c>
      <c r="E1989" t="s">
        <v>8</v>
      </c>
      <c r="F1989" s="29">
        <v>5236</v>
      </c>
      <c r="G1989" s="3" t="s">
        <v>262</v>
      </c>
      <c r="H1989" s="27">
        <v>373553</v>
      </c>
      <c r="I1989" s="1">
        <v>60169.691485641168</v>
      </c>
      <c r="J1989" s="1">
        <v>433722.69148564117</v>
      </c>
    </row>
    <row r="1990" spans="1:10" x14ac:dyDescent="0.2">
      <c r="A1990">
        <v>2006060</v>
      </c>
      <c r="B1990">
        <v>2016</v>
      </c>
      <c r="C1990" t="s">
        <v>6</v>
      </c>
      <c r="D1990" t="s">
        <v>7</v>
      </c>
      <c r="E1990" t="s">
        <v>8</v>
      </c>
      <c r="F1990" s="29">
        <v>5236</v>
      </c>
      <c r="G1990" s="3" t="s">
        <v>262</v>
      </c>
      <c r="H1990" s="1">
        <v>404642</v>
      </c>
      <c r="I1990" s="26">
        <v>1068693.759613527</v>
      </c>
      <c r="J1990" s="26">
        <v>1473335.759613527</v>
      </c>
    </row>
    <row r="1991" spans="1:10" x14ac:dyDescent="0.2">
      <c r="A1991">
        <v>2006060</v>
      </c>
      <c r="B1991">
        <v>2017</v>
      </c>
      <c r="C1991" t="s">
        <v>6</v>
      </c>
      <c r="D1991" t="s">
        <v>7</v>
      </c>
      <c r="E1991" t="s">
        <v>8</v>
      </c>
      <c r="F1991" s="29">
        <v>5236</v>
      </c>
      <c r="G1991" s="3" t="s">
        <v>262</v>
      </c>
      <c r="H1991" s="1">
        <v>415877</v>
      </c>
      <c r="I1991" s="1">
        <v>64899.951814207838</v>
      </c>
      <c r="J1991" s="1">
        <v>480776.95181420783</v>
      </c>
    </row>
    <row r="1992" spans="1:10" x14ac:dyDescent="0.2">
      <c r="A1992">
        <v>2006060</v>
      </c>
      <c r="B1992">
        <v>2018</v>
      </c>
      <c r="C1992" t="s">
        <v>6</v>
      </c>
      <c r="D1992" t="s">
        <v>7</v>
      </c>
      <c r="E1992" t="s">
        <v>8</v>
      </c>
      <c r="F1992" s="28">
        <v>5236</v>
      </c>
      <c r="G1992" t="s">
        <v>262</v>
      </c>
      <c r="H1992" s="1">
        <v>480230</v>
      </c>
      <c r="I1992" s="1">
        <v>72620.067177457197</v>
      </c>
      <c r="J1992" s="1">
        <v>552850.06717745715</v>
      </c>
    </row>
    <row r="1993" spans="1:10" x14ac:dyDescent="0.2">
      <c r="A1993">
        <v>2006060</v>
      </c>
      <c r="B1993">
        <v>2019</v>
      </c>
      <c r="C1993" t="s">
        <v>6</v>
      </c>
      <c r="D1993" t="s">
        <v>7</v>
      </c>
      <c r="E1993" t="s">
        <v>8</v>
      </c>
      <c r="F1993" s="28">
        <v>5236</v>
      </c>
      <c r="G1993" t="s">
        <v>262</v>
      </c>
      <c r="H1993" s="1">
        <v>543268</v>
      </c>
      <c r="I1993" s="1">
        <v>82738.53309664171</v>
      </c>
      <c r="J1993" s="1">
        <v>626006.53309664177</v>
      </c>
    </row>
    <row r="1994" spans="1:10" x14ac:dyDescent="0.2">
      <c r="A1994">
        <v>2006060</v>
      </c>
      <c r="B1994">
        <v>2020</v>
      </c>
      <c r="C1994" t="s">
        <v>6</v>
      </c>
      <c r="D1994" t="s">
        <v>7</v>
      </c>
      <c r="E1994" t="s">
        <v>8</v>
      </c>
      <c r="F1994" s="28">
        <v>5236</v>
      </c>
      <c r="G1994" t="s">
        <v>262</v>
      </c>
      <c r="H1994" s="1">
        <v>558749</v>
      </c>
      <c r="I1994" s="1">
        <v>84530.244659811637</v>
      </c>
      <c r="J1994" s="1">
        <v>643279.24465981161</v>
      </c>
    </row>
    <row r="1995" spans="1:10" x14ac:dyDescent="0.2">
      <c r="A1995">
        <v>2006060</v>
      </c>
      <c r="B1995">
        <v>2021</v>
      </c>
      <c r="C1995" t="s">
        <v>6</v>
      </c>
      <c r="D1995" t="s">
        <v>7</v>
      </c>
      <c r="E1995" t="s">
        <v>8</v>
      </c>
      <c r="F1995" s="28">
        <v>5236</v>
      </c>
      <c r="G1995" t="s">
        <v>262</v>
      </c>
      <c r="H1995" s="25">
        <v>559337</v>
      </c>
      <c r="I1995" s="1">
        <v>83505.16625010407</v>
      </c>
      <c r="J1995" s="1">
        <v>642842.16625010408</v>
      </c>
    </row>
    <row r="1996" spans="1:10" x14ac:dyDescent="0.2">
      <c r="A1996">
        <v>2006060</v>
      </c>
      <c r="B1996">
        <v>2022</v>
      </c>
      <c r="C1996" t="s">
        <v>6</v>
      </c>
      <c r="D1996" t="s">
        <v>7</v>
      </c>
      <c r="E1996" t="s">
        <v>8</v>
      </c>
      <c r="F1996" s="28">
        <v>5236</v>
      </c>
      <c r="G1996" t="s">
        <v>262</v>
      </c>
      <c r="H1996" s="1">
        <v>557404</v>
      </c>
      <c r="I1996" s="1">
        <v>75698.559079543615</v>
      </c>
      <c r="J1996" s="1">
        <v>633102.55907954357</v>
      </c>
    </row>
    <row r="1997" spans="1:10" x14ac:dyDescent="0.2">
      <c r="A1997">
        <v>2006060</v>
      </c>
      <c r="B1997">
        <v>2023</v>
      </c>
      <c r="C1997" t="s">
        <v>6</v>
      </c>
      <c r="D1997" t="s">
        <v>7</v>
      </c>
      <c r="E1997" t="s">
        <v>8</v>
      </c>
      <c r="F1997" s="28">
        <v>5236</v>
      </c>
      <c r="G1997" s="10" t="s">
        <v>262</v>
      </c>
      <c r="H1997" s="1">
        <v>578698</v>
      </c>
      <c r="I1997" s="1">
        <v>81019.442371277444</v>
      </c>
      <c r="J1997" s="1">
        <v>659717.44237127749</v>
      </c>
    </row>
    <row r="1998" spans="1:10" x14ac:dyDescent="0.2">
      <c r="A1998">
        <v>2006510</v>
      </c>
      <c r="B1998">
        <v>2015</v>
      </c>
      <c r="C1998" t="s">
        <v>6</v>
      </c>
      <c r="D1998" t="s">
        <v>7</v>
      </c>
      <c r="E1998" t="s">
        <v>8</v>
      </c>
      <c r="F1998" s="29">
        <v>5237</v>
      </c>
      <c r="G1998" s="3" t="s">
        <v>263</v>
      </c>
      <c r="H1998" s="27">
        <v>182990</v>
      </c>
      <c r="I1998" s="1">
        <v>29474.938884060564</v>
      </c>
      <c r="J1998" s="1">
        <v>212464.93888406057</v>
      </c>
    </row>
    <row r="1999" spans="1:10" x14ac:dyDescent="0.2">
      <c r="A1999">
        <v>2006510</v>
      </c>
      <c r="B1999">
        <v>2016</v>
      </c>
      <c r="C1999" t="s">
        <v>6</v>
      </c>
      <c r="D1999" t="s">
        <v>7</v>
      </c>
      <c r="E1999" t="s">
        <v>8</v>
      </c>
      <c r="F1999" s="29">
        <v>5237</v>
      </c>
      <c r="G1999" s="3" t="s">
        <v>263</v>
      </c>
      <c r="H1999" s="1">
        <v>183103</v>
      </c>
      <c r="I1999" s="26">
        <v>483586.55699259753</v>
      </c>
      <c r="J1999" s="26">
        <v>666689.55699259753</v>
      </c>
    </row>
    <row r="2000" spans="1:10" x14ac:dyDescent="0.2">
      <c r="A2000">
        <v>2006510</v>
      </c>
      <c r="B2000">
        <v>2017</v>
      </c>
      <c r="C2000" t="s">
        <v>6</v>
      </c>
      <c r="D2000" t="s">
        <v>7</v>
      </c>
      <c r="E2000" t="s">
        <v>8</v>
      </c>
      <c r="F2000" s="29">
        <v>5237</v>
      </c>
      <c r="G2000" s="3" t="s">
        <v>263</v>
      </c>
      <c r="H2000" s="1">
        <v>185277</v>
      </c>
      <c r="I2000" s="1">
        <v>28913.520998470667</v>
      </c>
      <c r="J2000" s="1">
        <v>214190.52099847066</v>
      </c>
    </row>
    <row r="2001" spans="1:10" x14ac:dyDescent="0.2">
      <c r="A2001">
        <v>2006510</v>
      </c>
      <c r="B2001">
        <v>2018</v>
      </c>
      <c r="C2001" t="s">
        <v>6</v>
      </c>
      <c r="D2001" t="s">
        <v>7</v>
      </c>
      <c r="E2001" t="s">
        <v>8</v>
      </c>
      <c r="F2001" s="28">
        <v>5237</v>
      </c>
      <c r="G2001" t="s">
        <v>263</v>
      </c>
      <c r="H2001" s="1">
        <v>204376</v>
      </c>
      <c r="I2001" s="1">
        <v>30905.6053338192</v>
      </c>
      <c r="J2001" s="1">
        <v>235281.6053338192</v>
      </c>
    </row>
    <row r="2002" spans="1:10" x14ac:dyDescent="0.2">
      <c r="A2002">
        <v>2006510</v>
      </c>
      <c r="B2002">
        <v>2019</v>
      </c>
      <c r="C2002" t="s">
        <v>6</v>
      </c>
      <c r="D2002" t="s">
        <v>7</v>
      </c>
      <c r="E2002" t="s">
        <v>8</v>
      </c>
      <c r="F2002" s="28">
        <v>5237</v>
      </c>
      <c r="G2002" t="s">
        <v>263</v>
      </c>
      <c r="H2002" s="1">
        <v>229999</v>
      </c>
      <c r="I2002" s="1">
        <v>35028.346734382474</v>
      </c>
      <c r="J2002" s="1">
        <v>265027.34673438244</v>
      </c>
    </row>
    <row r="2003" spans="1:10" x14ac:dyDescent="0.2">
      <c r="A2003">
        <v>2006510</v>
      </c>
      <c r="B2003">
        <v>2020</v>
      </c>
      <c r="C2003" t="s">
        <v>6</v>
      </c>
      <c r="D2003" t="s">
        <v>7</v>
      </c>
      <c r="E2003" t="s">
        <v>8</v>
      </c>
      <c r="F2003" s="28">
        <v>5237</v>
      </c>
      <c r="G2003" t="s">
        <v>263</v>
      </c>
      <c r="H2003" s="1">
        <v>248332</v>
      </c>
      <c r="I2003" s="1">
        <v>37568.863151182988</v>
      </c>
      <c r="J2003" s="1">
        <v>285900.863151183</v>
      </c>
    </row>
    <row r="2004" spans="1:10" x14ac:dyDescent="0.2">
      <c r="A2004">
        <v>2006510</v>
      </c>
      <c r="B2004">
        <v>2021</v>
      </c>
      <c r="C2004" t="s">
        <v>6</v>
      </c>
      <c r="D2004" t="s">
        <v>7</v>
      </c>
      <c r="E2004" t="s">
        <v>8</v>
      </c>
      <c r="F2004" s="28">
        <v>5237</v>
      </c>
      <c r="G2004" t="s">
        <v>263</v>
      </c>
      <c r="H2004" s="25">
        <v>265780</v>
      </c>
      <c r="I2004" s="1">
        <v>39679.125618281396</v>
      </c>
      <c r="J2004" s="1">
        <v>305459.12561828142</v>
      </c>
    </row>
    <row r="2005" spans="1:10" x14ac:dyDescent="0.2">
      <c r="A2005">
        <v>2006510</v>
      </c>
      <c r="B2005">
        <v>2022</v>
      </c>
      <c r="C2005" t="s">
        <v>6</v>
      </c>
      <c r="D2005" t="s">
        <v>7</v>
      </c>
      <c r="E2005" t="s">
        <v>8</v>
      </c>
      <c r="F2005" s="28">
        <v>5237</v>
      </c>
      <c r="G2005" t="s">
        <v>263</v>
      </c>
      <c r="H2005" s="1">
        <v>252262</v>
      </c>
      <c r="I2005" s="1">
        <v>34258.580689273549</v>
      </c>
      <c r="J2005" s="1">
        <v>286520.58068927354</v>
      </c>
    </row>
    <row r="2006" spans="1:10" x14ac:dyDescent="0.2">
      <c r="A2006">
        <v>2006510</v>
      </c>
      <c r="B2006">
        <v>2023</v>
      </c>
      <c r="C2006" t="s">
        <v>6</v>
      </c>
      <c r="D2006" t="s">
        <v>7</v>
      </c>
      <c r="E2006" t="s">
        <v>8</v>
      </c>
      <c r="F2006" s="28">
        <v>5237</v>
      </c>
      <c r="G2006" s="10" t="s">
        <v>263</v>
      </c>
      <c r="H2006" s="1">
        <v>244672</v>
      </c>
      <c r="I2006" s="1">
        <v>34254.80821406882</v>
      </c>
      <c r="J2006" s="1">
        <v>278926.80821406882</v>
      </c>
    </row>
    <row r="2007" spans="1:10" x14ac:dyDescent="0.2">
      <c r="A2007">
        <v>2004170</v>
      </c>
      <c r="B2007">
        <v>2015</v>
      </c>
      <c r="C2007" t="s">
        <v>6</v>
      </c>
      <c r="D2007" t="s">
        <v>7</v>
      </c>
      <c r="E2007" t="s">
        <v>8</v>
      </c>
      <c r="F2007" s="29">
        <v>5238</v>
      </c>
      <c r="G2007" s="3" t="s">
        <v>264</v>
      </c>
      <c r="H2007" s="27">
        <v>147976</v>
      </c>
      <c r="I2007" s="1">
        <v>23835.092389243928</v>
      </c>
      <c r="J2007" s="1">
        <v>171811.09238924392</v>
      </c>
    </row>
    <row r="2008" spans="1:10" x14ac:dyDescent="0.2">
      <c r="A2008">
        <v>2004170</v>
      </c>
      <c r="B2008">
        <v>2016</v>
      </c>
      <c r="C2008" t="s">
        <v>6</v>
      </c>
      <c r="D2008" t="s">
        <v>7</v>
      </c>
      <c r="E2008" t="s">
        <v>8</v>
      </c>
      <c r="F2008" s="29">
        <v>5238</v>
      </c>
      <c r="G2008" s="3" t="s">
        <v>264</v>
      </c>
      <c r="H2008" s="1">
        <v>148284</v>
      </c>
      <c r="I2008" s="26">
        <v>391630.94731588592</v>
      </c>
      <c r="J2008" s="26">
        <v>539914.94731588592</v>
      </c>
    </row>
    <row r="2009" spans="1:10" x14ac:dyDescent="0.2">
      <c r="A2009">
        <v>2004170</v>
      </c>
      <c r="B2009">
        <v>2017</v>
      </c>
      <c r="C2009" t="s">
        <v>6</v>
      </c>
      <c r="D2009" t="s">
        <v>7</v>
      </c>
      <c r="E2009" t="s">
        <v>8</v>
      </c>
      <c r="F2009" s="29">
        <v>5238</v>
      </c>
      <c r="G2009" s="3" t="s">
        <v>264</v>
      </c>
      <c r="H2009" s="1">
        <v>161223</v>
      </c>
      <c r="I2009" s="1">
        <v>25159.758609738052</v>
      </c>
      <c r="J2009" s="1">
        <v>186382.75860973806</v>
      </c>
    </row>
    <row r="2010" spans="1:10" x14ac:dyDescent="0.2">
      <c r="A2010">
        <v>2004170</v>
      </c>
      <c r="B2010">
        <v>2018</v>
      </c>
      <c r="C2010" t="s">
        <v>6</v>
      </c>
      <c r="D2010" t="s">
        <v>7</v>
      </c>
      <c r="E2010" t="s">
        <v>8</v>
      </c>
      <c r="F2010" s="28">
        <v>5238</v>
      </c>
      <c r="G2010" t="s">
        <v>264</v>
      </c>
      <c r="H2010" s="1">
        <v>194932</v>
      </c>
      <c r="I2010" s="1">
        <v>29477.489817454316</v>
      </c>
      <c r="J2010" s="1">
        <v>224409.48981745431</v>
      </c>
    </row>
    <row r="2011" spans="1:10" x14ac:dyDescent="0.2">
      <c r="A2011">
        <v>2004170</v>
      </c>
      <c r="B2011">
        <v>2019</v>
      </c>
      <c r="C2011" t="s">
        <v>6</v>
      </c>
      <c r="D2011" t="s">
        <v>7</v>
      </c>
      <c r="E2011" t="s">
        <v>8</v>
      </c>
      <c r="F2011" s="28">
        <v>5238</v>
      </c>
      <c r="G2011" t="s">
        <v>264</v>
      </c>
      <c r="H2011" s="1">
        <v>225964</v>
      </c>
      <c r="I2011" s="1">
        <v>34413.825023100108</v>
      </c>
      <c r="J2011" s="1">
        <v>260377.8250231001</v>
      </c>
    </row>
    <row r="2012" spans="1:10" x14ac:dyDescent="0.2">
      <c r="A2012">
        <v>2004170</v>
      </c>
      <c r="B2012">
        <v>2020</v>
      </c>
      <c r="C2012" t="s">
        <v>6</v>
      </c>
      <c r="D2012" t="s">
        <v>7</v>
      </c>
      <c r="E2012" t="s">
        <v>8</v>
      </c>
      <c r="F2012" s="28">
        <v>5238</v>
      </c>
      <c r="G2012" t="s">
        <v>264</v>
      </c>
      <c r="H2012" s="1">
        <v>246673</v>
      </c>
      <c r="I2012" s="1">
        <v>37317.881626579583</v>
      </c>
      <c r="J2012" s="1">
        <v>283990.88162657956</v>
      </c>
    </row>
    <row r="2013" spans="1:10" x14ac:dyDescent="0.2">
      <c r="A2013">
        <v>2004170</v>
      </c>
      <c r="B2013">
        <v>2021</v>
      </c>
      <c r="C2013" t="s">
        <v>6</v>
      </c>
      <c r="D2013" t="s">
        <v>7</v>
      </c>
      <c r="E2013" t="s">
        <v>8</v>
      </c>
      <c r="F2013" s="28">
        <v>5238</v>
      </c>
      <c r="G2013" t="s">
        <v>264</v>
      </c>
      <c r="H2013" s="25">
        <v>237804</v>
      </c>
      <c r="I2013" s="1">
        <v>35502.501273721835</v>
      </c>
      <c r="J2013" s="1">
        <v>273306.50127372181</v>
      </c>
    </row>
    <row r="2014" spans="1:10" x14ac:dyDescent="0.2">
      <c r="A2014">
        <v>2004170</v>
      </c>
      <c r="B2014">
        <v>2022</v>
      </c>
      <c r="C2014" t="s">
        <v>6</v>
      </c>
      <c r="D2014" t="s">
        <v>7</v>
      </c>
      <c r="E2014" t="s">
        <v>8</v>
      </c>
      <c r="F2014" s="28">
        <v>5238</v>
      </c>
      <c r="G2014" t="s">
        <v>264</v>
      </c>
      <c r="H2014" s="1">
        <v>212923</v>
      </c>
      <c r="I2014" s="1">
        <v>28916.125996393395</v>
      </c>
      <c r="J2014" s="1">
        <v>241839.12599639338</v>
      </c>
    </row>
    <row r="2015" spans="1:10" x14ac:dyDescent="0.2">
      <c r="A2015">
        <v>2004170</v>
      </c>
      <c r="B2015">
        <v>2023</v>
      </c>
      <c r="C2015" t="s">
        <v>6</v>
      </c>
      <c r="D2015" t="s">
        <v>7</v>
      </c>
      <c r="E2015" t="s">
        <v>8</v>
      </c>
      <c r="F2015" s="28">
        <v>5238</v>
      </c>
      <c r="G2015" s="10" t="s">
        <v>264</v>
      </c>
      <c r="H2015" s="1">
        <v>201371</v>
      </c>
      <c r="I2015" s="1">
        <v>28192.539337869686</v>
      </c>
      <c r="J2015" s="1">
        <v>229563.53933786968</v>
      </c>
    </row>
    <row r="2016" spans="1:10" x14ac:dyDescent="0.2">
      <c r="A2016">
        <v>2004650</v>
      </c>
      <c r="B2016">
        <v>2015</v>
      </c>
      <c r="C2016" t="s">
        <v>6</v>
      </c>
      <c r="D2016" t="s">
        <v>7</v>
      </c>
      <c r="E2016" t="s">
        <v>8</v>
      </c>
      <c r="F2016" s="29">
        <v>5239</v>
      </c>
      <c r="G2016" s="3" t="s">
        <v>265</v>
      </c>
      <c r="H2016" s="27">
        <v>133213</v>
      </c>
      <c r="I2016" s="1">
        <v>21457.156312161103</v>
      </c>
      <c r="J2016" s="1">
        <v>154670.1563121611</v>
      </c>
    </row>
    <row r="2017" spans="1:10" x14ac:dyDescent="0.2">
      <c r="A2017">
        <v>2004650</v>
      </c>
      <c r="B2017">
        <v>2016</v>
      </c>
      <c r="C2017" t="s">
        <v>6</v>
      </c>
      <c r="D2017" t="s">
        <v>7</v>
      </c>
      <c r="E2017" t="s">
        <v>8</v>
      </c>
      <c r="F2017" s="29">
        <v>5239</v>
      </c>
      <c r="G2017" s="3" t="s">
        <v>265</v>
      </c>
      <c r="H2017" s="1">
        <v>146088</v>
      </c>
      <c r="I2017" s="26">
        <v>385829.82231171825</v>
      </c>
      <c r="J2017" s="26">
        <v>531917.82231171825</v>
      </c>
    </row>
    <row r="2018" spans="1:10" x14ac:dyDescent="0.2">
      <c r="A2018">
        <v>2004650</v>
      </c>
      <c r="B2018">
        <v>2017</v>
      </c>
      <c r="C2018" t="s">
        <v>6</v>
      </c>
      <c r="D2018" t="s">
        <v>7</v>
      </c>
      <c r="E2018" t="s">
        <v>8</v>
      </c>
      <c r="F2018" s="29">
        <v>5239</v>
      </c>
      <c r="G2018" s="3" t="s">
        <v>265</v>
      </c>
      <c r="H2018" s="1">
        <v>135898</v>
      </c>
      <c r="I2018" s="1">
        <v>21207.649501288164</v>
      </c>
      <c r="J2018" s="1">
        <v>157105.64950128816</v>
      </c>
    </row>
    <row r="2019" spans="1:10" x14ac:dyDescent="0.2">
      <c r="A2019">
        <v>2004650</v>
      </c>
      <c r="B2019">
        <v>2018</v>
      </c>
      <c r="C2019" t="s">
        <v>6</v>
      </c>
      <c r="D2019" t="s">
        <v>7</v>
      </c>
      <c r="E2019" t="s">
        <v>8</v>
      </c>
      <c r="F2019" s="28">
        <v>5239</v>
      </c>
      <c r="G2019" t="s">
        <v>265</v>
      </c>
      <c r="H2019" s="1">
        <v>157856</v>
      </c>
      <c r="I2019" s="1">
        <v>23870.88129513917</v>
      </c>
      <c r="J2019" s="1">
        <v>181726.88129513917</v>
      </c>
    </row>
    <row r="2020" spans="1:10" x14ac:dyDescent="0.2">
      <c r="A2020">
        <v>2004650</v>
      </c>
      <c r="B2020">
        <v>2019</v>
      </c>
      <c r="C2020" t="s">
        <v>6</v>
      </c>
      <c r="D2020" t="s">
        <v>7</v>
      </c>
      <c r="E2020" t="s">
        <v>8</v>
      </c>
      <c r="F2020" s="28">
        <v>5239</v>
      </c>
      <c r="G2020" t="s">
        <v>265</v>
      </c>
      <c r="H2020" s="1">
        <v>156487</v>
      </c>
      <c r="I2020" s="1">
        <v>23832.629252402447</v>
      </c>
      <c r="J2020" s="1">
        <v>180319.62925240246</v>
      </c>
    </row>
    <row r="2021" spans="1:10" x14ac:dyDescent="0.2">
      <c r="A2021">
        <v>2004650</v>
      </c>
      <c r="B2021">
        <v>2020</v>
      </c>
      <c r="C2021" t="s">
        <v>6</v>
      </c>
      <c r="D2021" t="s">
        <v>7</v>
      </c>
      <c r="E2021" t="s">
        <v>8</v>
      </c>
      <c r="F2021" s="28">
        <v>5239</v>
      </c>
      <c r="G2021" t="s">
        <v>265</v>
      </c>
      <c r="H2021" s="1">
        <v>181657</v>
      </c>
      <c r="I2021" s="1">
        <v>27481.947447185412</v>
      </c>
      <c r="J2021" s="1">
        <v>209138.9474471854</v>
      </c>
    </row>
    <row r="2022" spans="1:10" x14ac:dyDescent="0.2">
      <c r="A2022">
        <v>2004650</v>
      </c>
      <c r="B2022">
        <v>2021</v>
      </c>
      <c r="C2022" t="s">
        <v>6</v>
      </c>
      <c r="D2022" t="s">
        <v>7</v>
      </c>
      <c r="E2022" t="s">
        <v>8</v>
      </c>
      <c r="F2022" s="28">
        <v>5239</v>
      </c>
      <c r="G2022" t="s">
        <v>265</v>
      </c>
      <c r="H2022" s="25">
        <v>190101</v>
      </c>
      <c r="I2022" s="1">
        <v>28380.771537214656</v>
      </c>
      <c r="J2022" s="1">
        <v>218481.77153721466</v>
      </c>
    </row>
    <row r="2023" spans="1:10" x14ac:dyDescent="0.2">
      <c r="A2023">
        <v>2004650</v>
      </c>
      <c r="B2023">
        <v>2022</v>
      </c>
      <c r="C2023" t="s">
        <v>6</v>
      </c>
      <c r="D2023" t="s">
        <v>7</v>
      </c>
      <c r="E2023" t="s">
        <v>8</v>
      </c>
      <c r="F2023" s="28">
        <v>5239</v>
      </c>
      <c r="G2023" t="s">
        <v>265</v>
      </c>
      <c r="H2023" s="1">
        <v>182342</v>
      </c>
      <c r="I2023" s="1">
        <v>24763.056346352274</v>
      </c>
      <c r="J2023" s="1">
        <v>207105.05634635227</v>
      </c>
    </row>
    <row r="2024" spans="1:10" x14ac:dyDescent="0.2">
      <c r="A2024">
        <v>2004650</v>
      </c>
      <c r="B2024">
        <v>2023</v>
      </c>
      <c r="C2024" t="s">
        <v>6</v>
      </c>
      <c r="D2024" t="s">
        <v>7</v>
      </c>
      <c r="E2024" t="s">
        <v>8</v>
      </c>
      <c r="F2024" s="28">
        <v>5239</v>
      </c>
      <c r="G2024" s="10" t="s">
        <v>265</v>
      </c>
      <c r="H2024" s="1">
        <v>171148</v>
      </c>
      <c r="I2024" s="1">
        <v>23961.229385550654</v>
      </c>
      <c r="J2024" s="1">
        <v>195109.22938555066</v>
      </c>
    </row>
    <row r="2025" spans="1:10" x14ac:dyDescent="0.2">
      <c r="A2025">
        <v>2012150</v>
      </c>
      <c r="B2025">
        <v>2015</v>
      </c>
      <c r="C2025" t="s">
        <v>6</v>
      </c>
      <c r="D2025" t="s">
        <v>7</v>
      </c>
      <c r="E2025" t="s">
        <v>8</v>
      </c>
      <c r="F2025" s="29">
        <v>5240</v>
      </c>
      <c r="G2025" s="3" t="s">
        <v>266</v>
      </c>
      <c r="H2025" s="27">
        <v>272656</v>
      </c>
      <c r="I2025" s="1">
        <v>43917.803903887747</v>
      </c>
      <c r="J2025" s="1">
        <v>316573.80390388775</v>
      </c>
    </row>
    <row r="2026" spans="1:10" x14ac:dyDescent="0.2">
      <c r="A2026">
        <v>2012150</v>
      </c>
      <c r="B2026">
        <v>2016</v>
      </c>
      <c r="C2026" t="s">
        <v>6</v>
      </c>
      <c r="D2026" t="s">
        <v>7</v>
      </c>
      <c r="E2026" t="s">
        <v>8</v>
      </c>
      <c r="F2026" s="29">
        <v>5240</v>
      </c>
      <c r="G2026" s="3" t="s">
        <v>266</v>
      </c>
      <c r="H2026" s="1">
        <v>298848</v>
      </c>
      <c r="I2026" s="26">
        <v>789285.17407345399</v>
      </c>
      <c r="J2026" s="26">
        <v>1088133.174073454</v>
      </c>
    </row>
    <row r="2027" spans="1:10" x14ac:dyDescent="0.2">
      <c r="A2027">
        <v>2012150</v>
      </c>
      <c r="B2027">
        <v>2017</v>
      </c>
      <c r="C2027" t="s">
        <v>6</v>
      </c>
      <c r="D2027" t="s">
        <v>7</v>
      </c>
      <c r="E2027" t="s">
        <v>8</v>
      </c>
      <c r="F2027" s="29">
        <v>5240</v>
      </c>
      <c r="G2027" s="3" t="s">
        <v>266</v>
      </c>
      <c r="H2027" s="1">
        <v>285104</v>
      </c>
      <c r="I2027" s="1">
        <v>44492.087473069951</v>
      </c>
      <c r="J2027" s="1">
        <v>329596.08747306996</v>
      </c>
    </row>
    <row r="2028" spans="1:10" x14ac:dyDescent="0.2">
      <c r="A2028">
        <v>2012150</v>
      </c>
      <c r="B2028">
        <v>2018</v>
      </c>
      <c r="C2028" t="s">
        <v>6</v>
      </c>
      <c r="D2028" t="s">
        <v>7</v>
      </c>
      <c r="E2028" t="s">
        <v>8</v>
      </c>
      <c r="F2028" s="28">
        <v>5240</v>
      </c>
      <c r="G2028" t="s">
        <v>266</v>
      </c>
      <c r="H2028" s="1">
        <v>346622</v>
      </c>
      <c r="I2028" s="1">
        <v>52415.952616838949</v>
      </c>
      <c r="J2028" s="1">
        <v>399037.95261683897</v>
      </c>
    </row>
    <row r="2029" spans="1:10" x14ac:dyDescent="0.2">
      <c r="A2029">
        <v>2012150</v>
      </c>
      <c r="B2029">
        <v>2019</v>
      </c>
      <c r="C2029" t="s">
        <v>6</v>
      </c>
      <c r="D2029" t="s">
        <v>7</v>
      </c>
      <c r="E2029" t="s">
        <v>8</v>
      </c>
      <c r="F2029" s="28">
        <v>5240</v>
      </c>
      <c r="G2029" t="s">
        <v>266</v>
      </c>
      <c r="H2029" s="1">
        <v>398391</v>
      </c>
      <c r="I2029" s="1">
        <v>60674.081556256198</v>
      </c>
      <c r="J2029" s="1">
        <v>459065.08155625622</v>
      </c>
    </row>
    <row r="2030" spans="1:10" x14ac:dyDescent="0.2">
      <c r="A2030">
        <v>2012150</v>
      </c>
      <c r="B2030">
        <v>2020</v>
      </c>
      <c r="C2030" t="s">
        <v>6</v>
      </c>
      <c r="D2030" t="s">
        <v>7</v>
      </c>
      <c r="E2030" t="s">
        <v>8</v>
      </c>
      <c r="F2030" s="28">
        <v>5240</v>
      </c>
      <c r="G2030" t="s">
        <v>266</v>
      </c>
      <c r="H2030" s="1">
        <v>457609</v>
      </c>
      <c r="I2030" s="1">
        <v>69229.297463676427</v>
      </c>
      <c r="J2030" s="1">
        <v>526838.29746367643</v>
      </c>
    </row>
    <row r="2031" spans="1:10" x14ac:dyDescent="0.2">
      <c r="A2031">
        <v>2012150</v>
      </c>
      <c r="B2031">
        <v>2021</v>
      </c>
      <c r="C2031" t="s">
        <v>6</v>
      </c>
      <c r="D2031" t="s">
        <v>7</v>
      </c>
      <c r="E2031" t="s">
        <v>8</v>
      </c>
      <c r="F2031" s="28">
        <v>5240</v>
      </c>
      <c r="G2031" t="s">
        <v>266</v>
      </c>
      <c r="H2031" s="25">
        <v>479368</v>
      </c>
      <c r="I2031" s="1">
        <v>71566.344681256363</v>
      </c>
      <c r="J2031" s="1">
        <v>550934.34468125633</v>
      </c>
    </row>
    <row r="2032" spans="1:10" x14ac:dyDescent="0.2">
      <c r="A2032">
        <v>2012150</v>
      </c>
      <c r="B2032">
        <v>2022</v>
      </c>
      <c r="C2032" t="s">
        <v>6</v>
      </c>
      <c r="D2032" t="s">
        <v>7</v>
      </c>
      <c r="E2032" t="s">
        <v>8</v>
      </c>
      <c r="F2032" s="28">
        <v>5240</v>
      </c>
      <c r="G2032" t="s">
        <v>266</v>
      </c>
      <c r="H2032" s="1">
        <v>474872</v>
      </c>
      <c r="I2032" s="1">
        <v>64490.255088268175</v>
      </c>
      <c r="J2032" s="1">
        <v>539362.2550882682</v>
      </c>
    </row>
    <row r="2033" spans="1:10" x14ac:dyDescent="0.2">
      <c r="A2033">
        <v>2012150</v>
      </c>
      <c r="B2033">
        <v>2023</v>
      </c>
      <c r="C2033" t="s">
        <v>6</v>
      </c>
      <c r="D2033" t="s">
        <v>7</v>
      </c>
      <c r="E2033" t="s">
        <v>8</v>
      </c>
      <c r="F2033" s="28">
        <v>5240</v>
      </c>
      <c r="G2033" s="10" t="s">
        <v>266</v>
      </c>
      <c r="H2033" s="1">
        <v>480937</v>
      </c>
      <c r="I2033" s="1">
        <v>67332.611406493656</v>
      </c>
      <c r="J2033" s="1">
        <v>548269.6114064937</v>
      </c>
    </row>
    <row r="2034" spans="1:10" x14ac:dyDescent="0.2">
      <c r="A2034">
        <v>2005040</v>
      </c>
      <c r="B2034">
        <v>2015</v>
      </c>
      <c r="C2034" t="s">
        <v>6</v>
      </c>
      <c r="D2034" t="s">
        <v>7</v>
      </c>
      <c r="E2034" t="s">
        <v>8</v>
      </c>
      <c r="F2034" s="29">
        <v>5241</v>
      </c>
      <c r="G2034" s="3" t="s">
        <v>362</v>
      </c>
      <c r="H2034" s="27">
        <v>154576</v>
      </c>
      <c r="I2034" s="1">
        <v>24898.181064225071</v>
      </c>
      <c r="J2034" s="1">
        <v>179474.18106422506</v>
      </c>
    </row>
    <row r="2035" spans="1:10" x14ac:dyDescent="0.2">
      <c r="A2035">
        <v>2005040</v>
      </c>
      <c r="B2035">
        <v>2016</v>
      </c>
      <c r="C2035" t="s">
        <v>6</v>
      </c>
      <c r="D2035" t="s">
        <v>7</v>
      </c>
      <c r="E2035" t="s">
        <v>8</v>
      </c>
      <c r="F2035" s="29">
        <v>5241</v>
      </c>
      <c r="G2035" s="3" t="s">
        <v>362</v>
      </c>
      <c r="H2035" s="1">
        <v>180270</v>
      </c>
      <c r="I2035" s="26">
        <v>476106.55921677628</v>
      </c>
      <c r="J2035" s="26">
        <v>656376.55921677628</v>
      </c>
    </row>
    <row r="2036" spans="1:10" x14ac:dyDescent="0.2">
      <c r="A2036">
        <v>2005040</v>
      </c>
      <c r="B2036">
        <v>2017</v>
      </c>
      <c r="C2036" t="s">
        <v>6</v>
      </c>
      <c r="D2036" t="s">
        <v>7</v>
      </c>
      <c r="E2036" t="s">
        <v>8</v>
      </c>
      <c r="F2036" s="29">
        <v>5241</v>
      </c>
      <c r="G2036" s="3" t="s">
        <v>362</v>
      </c>
      <c r="H2036" s="1">
        <v>171440</v>
      </c>
      <c r="I2036" s="1">
        <v>26754.179093885436</v>
      </c>
      <c r="J2036" s="1">
        <v>198194.17909388544</v>
      </c>
    </row>
    <row r="2037" spans="1:10" x14ac:dyDescent="0.2">
      <c r="A2037">
        <v>2005040</v>
      </c>
      <c r="B2037">
        <v>2018</v>
      </c>
      <c r="C2037" t="s">
        <v>6</v>
      </c>
      <c r="D2037" t="s">
        <v>7</v>
      </c>
      <c r="E2037" t="s">
        <v>8</v>
      </c>
      <c r="F2037" s="28">
        <v>5241</v>
      </c>
      <c r="G2037" t="s">
        <v>362</v>
      </c>
      <c r="H2037" s="1">
        <v>217226</v>
      </c>
      <c r="I2037" s="1">
        <v>32848.773947255104</v>
      </c>
      <c r="J2037" s="1">
        <v>250074.7739472551</v>
      </c>
    </row>
    <row r="2038" spans="1:10" x14ac:dyDescent="0.2">
      <c r="A2038">
        <v>2005040</v>
      </c>
      <c r="B2038">
        <v>2019</v>
      </c>
      <c r="C2038" t="s">
        <v>6</v>
      </c>
      <c r="D2038" t="s">
        <v>7</v>
      </c>
      <c r="E2038" t="s">
        <v>8</v>
      </c>
      <c r="F2038" s="28">
        <v>5241</v>
      </c>
      <c r="G2038" t="s">
        <v>362</v>
      </c>
      <c r="H2038" s="1">
        <v>245348</v>
      </c>
      <c r="I2038" s="1">
        <v>37365.966002405541</v>
      </c>
      <c r="J2038" s="1">
        <v>282713.96600240556</v>
      </c>
    </row>
    <row r="2039" spans="1:10" x14ac:dyDescent="0.2">
      <c r="A2039">
        <v>2005040</v>
      </c>
      <c r="B2039">
        <v>2020</v>
      </c>
      <c r="C2039" t="s">
        <v>6</v>
      </c>
      <c r="D2039" t="s">
        <v>7</v>
      </c>
      <c r="E2039" t="s">
        <v>8</v>
      </c>
      <c r="F2039" s="28">
        <v>5241</v>
      </c>
      <c r="G2039" t="s">
        <v>362</v>
      </c>
      <c r="H2039" s="1">
        <v>265110</v>
      </c>
      <c r="I2039" s="1">
        <v>40107.119944308914</v>
      </c>
      <c r="J2039" s="1">
        <v>305217.11994430888</v>
      </c>
    </row>
    <row r="2040" spans="1:10" x14ac:dyDescent="0.2">
      <c r="A2040">
        <v>2005040</v>
      </c>
      <c r="B2040">
        <v>2021</v>
      </c>
      <c r="C2040" t="s">
        <v>6</v>
      </c>
      <c r="D2040" t="s">
        <v>7</v>
      </c>
      <c r="E2040" t="s">
        <v>8</v>
      </c>
      <c r="F2040" s="28">
        <v>5241</v>
      </c>
      <c r="G2040" t="s">
        <v>267</v>
      </c>
      <c r="H2040" s="25">
        <v>262602</v>
      </c>
      <c r="I2040" s="1">
        <v>39204.672080713113</v>
      </c>
      <c r="J2040" s="1">
        <v>301806.67208071309</v>
      </c>
    </row>
    <row r="2041" spans="1:10" x14ac:dyDescent="0.2">
      <c r="A2041">
        <v>2005040</v>
      </c>
      <c r="B2041">
        <v>2022</v>
      </c>
      <c r="C2041" t="s">
        <v>6</v>
      </c>
      <c r="D2041" t="s">
        <v>7</v>
      </c>
      <c r="E2041" t="s">
        <v>8</v>
      </c>
      <c r="F2041" s="28">
        <v>5241</v>
      </c>
      <c r="G2041" t="s">
        <v>267</v>
      </c>
      <c r="H2041" s="1">
        <v>284173</v>
      </c>
      <c r="I2041" s="1">
        <v>38592.271726272411</v>
      </c>
      <c r="J2041" s="1">
        <v>322765.27172627242</v>
      </c>
    </row>
    <row r="2042" spans="1:10" x14ac:dyDescent="0.2">
      <c r="A2042">
        <v>2005040</v>
      </c>
      <c r="B2042">
        <v>2023</v>
      </c>
      <c r="C2042" t="s">
        <v>6</v>
      </c>
      <c r="D2042" t="s">
        <v>7</v>
      </c>
      <c r="E2042" t="s">
        <v>8</v>
      </c>
      <c r="F2042" s="28">
        <v>5241</v>
      </c>
      <c r="G2042" s="10" t="s">
        <v>267</v>
      </c>
      <c r="H2042" s="1">
        <v>270315</v>
      </c>
      <c r="I2042" s="1">
        <v>37844.904534993839</v>
      </c>
      <c r="J2042" s="1">
        <v>308159.90453499381</v>
      </c>
    </row>
    <row r="2043" spans="1:10" x14ac:dyDescent="0.2">
      <c r="A2043">
        <v>2000001</v>
      </c>
      <c r="B2043">
        <v>2015</v>
      </c>
      <c r="C2043" t="s">
        <v>6</v>
      </c>
      <c r="D2043" t="s">
        <v>7</v>
      </c>
      <c r="E2043" t="s">
        <v>8</v>
      </c>
      <c r="F2043" s="29">
        <v>5250</v>
      </c>
      <c r="G2043" s="3" t="s">
        <v>268</v>
      </c>
      <c r="H2043" s="27">
        <v>427270</v>
      </c>
      <c r="I2043" s="1">
        <v>68822.105781696038</v>
      </c>
      <c r="J2043" s="1">
        <v>496092.10578169604</v>
      </c>
    </row>
    <row r="2044" spans="1:10" x14ac:dyDescent="0.2">
      <c r="A2044">
        <v>2000001</v>
      </c>
      <c r="B2044">
        <v>2016</v>
      </c>
      <c r="C2044" t="s">
        <v>6</v>
      </c>
      <c r="D2044" t="s">
        <v>7</v>
      </c>
      <c r="E2044" t="s">
        <v>8</v>
      </c>
      <c r="F2044" s="29">
        <v>5250</v>
      </c>
      <c r="G2044" s="3" t="s">
        <v>268</v>
      </c>
      <c r="H2044" s="1">
        <v>444151</v>
      </c>
      <c r="I2044" s="26">
        <v>1173041.3952924702</v>
      </c>
      <c r="J2044" s="26">
        <v>1617192.3952924702</v>
      </c>
    </row>
    <row r="2045" spans="1:10" x14ac:dyDescent="0.2">
      <c r="A2045">
        <v>2000001</v>
      </c>
      <c r="B2045">
        <v>2017</v>
      </c>
      <c r="C2045" t="s">
        <v>6</v>
      </c>
      <c r="D2045" t="s">
        <v>7</v>
      </c>
      <c r="E2045" t="s">
        <v>8</v>
      </c>
      <c r="F2045" s="29">
        <v>5250</v>
      </c>
      <c r="G2045" s="3" t="s">
        <v>268</v>
      </c>
      <c r="H2045" s="1">
        <v>463854</v>
      </c>
      <c r="I2045" s="1">
        <v>72387.033302701442</v>
      </c>
      <c r="J2045" s="1">
        <v>536241.03330270143</v>
      </c>
    </row>
    <row r="2046" spans="1:10" x14ac:dyDescent="0.2">
      <c r="A2046">
        <v>2000001</v>
      </c>
      <c r="B2046">
        <v>2018</v>
      </c>
      <c r="C2046" t="s">
        <v>6</v>
      </c>
      <c r="D2046" t="s">
        <v>7</v>
      </c>
      <c r="E2046" t="s">
        <v>8</v>
      </c>
      <c r="F2046" s="28">
        <v>5250</v>
      </c>
      <c r="G2046" t="s">
        <v>268</v>
      </c>
      <c r="H2046" s="1">
        <v>518878</v>
      </c>
      <c r="I2046" s="1">
        <v>78464.392513805127</v>
      </c>
      <c r="J2046" s="1">
        <v>597342.39251380507</v>
      </c>
    </row>
    <row r="2047" spans="1:10" x14ac:dyDescent="0.2">
      <c r="A2047">
        <v>2000001</v>
      </c>
      <c r="B2047">
        <v>2019</v>
      </c>
      <c r="C2047" t="s">
        <v>6</v>
      </c>
      <c r="D2047" t="s">
        <v>7</v>
      </c>
      <c r="E2047" t="s">
        <v>8</v>
      </c>
      <c r="F2047" s="28">
        <v>5250</v>
      </c>
      <c r="G2047" t="s">
        <v>268</v>
      </c>
      <c r="H2047" s="1">
        <v>594526</v>
      </c>
      <c r="I2047" s="1">
        <v>90545.014850523163</v>
      </c>
      <c r="J2047" s="1">
        <v>685071.01485052321</v>
      </c>
    </row>
    <row r="2048" spans="1:10" x14ac:dyDescent="0.2">
      <c r="A2048">
        <v>2000001</v>
      </c>
      <c r="B2048">
        <v>2020</v>
      </c>
      <c r="C2048" t="s">
        <v>6</v>
      </c>
      <c r="D2048" t="s">
        <v>7</v>
      </c>
      <c r="E2048" t="s">
        <v>8</v>
      </c>
      <c r="F2048" s="28">
        <v>5250</v>
      </c>
      <c r="G2048" t="s">
        <v>268</v>
      </c>
      <c r="H2048" s="1">
        <v>641504</v>
      </c>
      <c r="I2048" s="1">
        <v>97049.820349115267</v>
      </c>
      <c r="J2048" s="1">
        <v>738553.8203491153</v>
      </c>
    </row>
    <row r="2049" spans="1:10" x14ac:dyDescent="0.2">
      <c r="A2049">
        <v>2000001</v>
      </c>
      <c r="B2049">
        <v>2021</v>
      </c>
      <c r="C2049" t="s">
        <v>6</v>
      </c>
      <c r="D2049" t="s">
        <v>7</v>
      </c>
      <c r="E2049" t="s">
        <v>8</v>
      </c>
      <c r="F2049" s="28">
        <v>5250</v>
      </c>
      <c r="G2049" t="s">
        <v>268</v>
      </c>
      <c r="H2049" s="25">
        <v>641919</v>
      </c>
      <c r="I2049" s="1">
        <v>95834.09074332747</v>
      </c>
      <c r="J2049" s="1">
        <v>737753.09074332751</v>
      </c>
    </row>
    <row r="2050" spans="1:10" x14ac:dyDescent="0.2">
      <c r="A2050">
        <v>2000001</v>
      </c>
      <c r="B2050">
        <v>2022</v>
      </c>
      <c r="C2050" t="s">
        <v>6</v>
      </c>
      <c r="D2050" t="s">
        <v>7</v>
      </c>
      <c r="E2050" t="s">
        <v>8</v>
      </c>
      <c r="F2050" s="28">
        <v>5250</v>
      </c>
      <c r="G2050" t="s">
        <v>268</v>
      </c>
      <c r="H2050" s="1">
        <v>646959</v>
      </c>
      <c r="I2050" s="1">
        <v>87860.625477288384</v>
      </c>
      <c r="J2050" s="1">
        <v>734819.62547728838</v>
      </c>
    </row>
    <row r="2051" spans="1:10" x14ac:dyDescent="0.2">
      <c r="A2051">
        <v>2000001</v>
      </c>
      <c r="B2051">
        <v>2023</v>
      </c>
      <c r="C2051" t="s">
        <v>6</v>
      </c>
      <c r="D2051" t="s">
        <v>7</v>
      </c>
      <c r="E2051" t="s">
        <v>8</v>
      </c>
      <c r="F2051" s="28">
        <v>5250</v>
      </c>
      <c r="G2051" s="10" t="s">
        <v>268</v>
      </c>
      <c r="H2051" s="1">
        <v>625922</v>
      </c>
      <c r="I2051" s="1">
        <v>87630.9429234501</v>
      </c>
      <c r="J2051" s="1">
        <v>713552.94292345014</v>
      </c>
    </row>
    <row r="2052" spans="1:10" x14ac:dyDescent="0.2">
      <c r="A2052">
        <v>2010980</v>
      </c>
      <c r="B2052">
        <v>2015</v>
      </c>
      <c r="C2052" t="s">
        <v>6</v>
      </c>
      <c r="D2052" t="s">
        <v>7</v>
      </c>
      <c r="E2052" t="s">
        <v>8</v>
      </c>
      <c r="F2052" s="29">
        <v>5251</v>
      </c>
      <c r="G2052" s="3" t="s">
        <v>269</v>
      </c>
      <c r="H2052" s="27">
        <v>137719</v>
      </c>
      <c r="I2052" s="1">
        <v>22182.955943898232</v>
      </c>
      <c r="J2052" s="1">
        <v>159901.95594389824</v>
      </c>
    </row>
    <row r="2053" spans="1:10" x14ac:dyDescent="0.2">
      <c r="A2053">
        <v>2010980</v>
      </c>
      <c r="B2053">
        <v>2016</v>
      </c>
      <c r="C2053" t="s">
        <v>6</v>
      </c>
      <c r="D2053" t="s">
        <v>7</v>
      </c>
      <c r="E2053" t="s">
        <v>8</v>
      </c>
      <c r="F2053" s="29">
        <v>5251</v>
      </c>
      <c r="G2053" s="3" t="s">
        <v>269</v>
      </c>
      <c r="H2053" s="1">
        <v>145628</v>
      </c>
      <c r="I2053" s="26">
        <v>384619.88901618437</v>
      </c>
      <c r="J2053" s="26">
        <v>530247.88901618437</v>
      </c>
    </row>
    <row r="2054" spans="1:10" x14ac:dyDescent="0.2">
      <c r="A2054">
        <v>2010980</v>
      </c>
      <c r="B2054">
        <v>2017</v>
      </c>
      <c r="C2054" t="s">
        <v>6</v>
      </c>
      <c r="D2054" t="s">
        <v>7</v>
      </c>
      <c r="E2054" t="s">
        <v>8</v>
      </c>
      <c r="F2054" s="29">
        <v>5251</v>
      </c>
      <c r="G2054" s="3" t="s">
        <v>269</v>
      </c>
      <c r="H2054" s="1">
        <v>150858</v>
      </c>
      <c r="I2054" s="1">
        <v>23542.241890721936</v>
      </c>
      <c r="J2054" s="1">
        <v>174400.24189072193</v>
      </c>
    </row>
    <row r="2055" spans="1:10" x14ac:dyDescent="0.2">
      <c r="A2055">
        <v>2010980</v>
      </c>
      <c r="B2055">
        <v>2018</v>
      </c>
      <c r="C2055" t="s">
        <v>6</v>
      </c>
      <c r="D2055" t="s">
        <v>7</v>
      </c>
      <c r="E2055" t="s">
        <v>8</v>
      </c>
      <c r="F2055" s="28">
        <v>5251</v>
      </c>
      <c r="G2055" t="s">
        <v>269</v>
      </c>
      <c r="H2055" s="1">
        <v>178716</v>
      </c>
      <c r="I2055" s="1">
        <v>27025.31688084135</v>
      </c>
      <c r="J2055" s="1">
        <v>205741.31688084136</v>
      </c>
    </row>
    <row r="2056" spans="1:10" x14ac:dyDescent="0.2">
      <c r="A2056">
        <v>2010980</v>
      </c>
      <c r="B2056">
        <v>2019</v>
      </c>
      <c r="C2056" t="s">
        <v>6</v>
      </c>
      <c r="D2056" t="s">
        <v>7</v>
      </c>
      <c r="E2056" t="s">
        <v>8</v>
      </c>
      <c r="F2056" s="28">
        <v>5251</v>
      </c>
      <c r="G2056" t="s">
        <v>269</v>
      </c>
      <c r="H2056" s="1">
        <v>196387</v>
      </c>
      <c r="I2056" s="1">
        <v>29909.312345380506</v>
      </c>
      <c r="J2056" s="1">
        <v>226296.31234538052</v>
      </c>
    </row>
    <row r="2057" spans="1:10" x14ac:dyDescent="0.2">
      <c r="A2057">
        <v>2010980</v>
      </c>
      <c r="B2057">
        <v>2020</v>
      </c>
      <c r="C2057" t="s">
        <v>6</v>
      </c>
      <c r="D2057" t="s">
        <v>7</v>
      </c>
      <c r="E2057" t="s">
        <v>8</v>
      </c>
      <c r="F2057" s="28">
        <v>5251</v>
      </c>
      <c r="G2057" t="s">
        <v>269</v>
      </c>
      <c r="H2057" s="1">
        <v>220596</v>
      </c>
      <c r="I2057" s="1">
        <v>33372.827246179964</v>
      </c>
      <c r="J2057" s="1">
        <v>253968.82724617998</v>
      </c>
    </row>
    <row r="2058" spans="1:10" x14ac:dyDescent="0.2">
      <c r="A2058">
        <v>2010980</v>
      </c>
      <c r="B2058">
        <v>2021</v>
      </c>
      <c r="C2058" t="s">
        <v>6</v>
      </c>
      <c r="D2058" t="s">
        <v>7</v>
      </c>
      <c r="E2058" t="s">
        <v>8</v>
      </c>
      <c r="F2058" s="28">
        <v>5251</v>
      </c>
      <c r="G2058" t="s">
        <v>269</v>
      </c>
      <c r="H2058" s="25">
        <v>215439</v>
      </c>
      <c r="I2058" s="1">
        <v>32163.560629381165</v>
      </c>
      <c r="J2058" s="1">
        <v>247602.56062938116</v>
      </c>
    </row>
    <row r="2059" spans="1:10" x14ac:dyDescent="0.2">
      <c r="A2059">
        <v>2010980</v>
      </c>
      <c r="B2059">
        <v>2022</v>
      </c>
      <c r="C2059" t="s">
        <v>6</v>
      </c>
      <c r="D2059" t="s">
        <v>7</v>
      </c>
      <c r="E2059" t="s">
        <v>8</v>
      </c>
      <c r="F2059" s="28">
        <v>5251</v>
      </c>
      <c r="G2059" t="s">
        <v>269</v>
      </c>
      <c r="H2059" s="1">
        <v>215590</v>
      </c>
      <c r="I2059" s="1">
        <v>29278.319409187607</v>
      </c>
      <c r="J2059" s="1">
        <v>244868.31940918759</v>
      </c>
    </row>
    <row r="2060" spans="1:10" x14ac:dyDescent="0.2">
      <c r="A2060">
        <v>2010980</v>
      </c>
      <c r="B2060">
        <v>2023</v>
      </c>
      <c r="C2060" t="s">
        <v>6</v>
      </c>
      <c r="D2060" t="s">
        <v>7</v>
      </c>
      <c r="E2060" t="s">
        <v>8</v>
      </c>
      <c r="F2060" s="28">
        <v>5251</v>
      </c>
      <c r="G2060" s="10" t="s">
        <v>269</v>
      </c>
      <c r="H2060" s="1">
        <v>229155</v>
      </c>
      <c r="I2060" s="1">
        <v>32082.382031024961</v>
      </c>
      <c r="J2060" s="1">
        <v>261237.38203102496</v>
      </c>
    </row>
    <row r="2061" spans="1:10" x14ac:dyDescent="0.2">
      <c r="A2061">
        <v>2008940</v>
      </c>
      <c r="B2061">
        <v>2015</v>
      </c>
      <c r="C2061" t="s">
        <v>6</v>
      </c>
      <c r="D2061" t="s">
        <v>7</v>
      </c>
      <c r="E2061" t="s">
        <v>8</v>
      </c>
      <c r="F2061" s="29">
        <v>5267</v>
      </c>
      <c r="G2061" s="3" t="s">
        <v>270</v>
      </c>
      <c r="H2061" s="27">
        <v>128395</v>
      </c>
      <c r="I2061" s="1">
        <v>20681.101579424867</v>
      </c>
      <c r="J2061" s="1">
        <v>149076.10157942487</v>
      </c>
    </row>
    <row r="2062" spans="1:10" x14ac:dyDescent="0.2">
      <c r="A2062">
        <v>2008940</v>
      </c>
      <c r="B2062">
        <v>2016</v>
      </c>
      <c r="C2062" t="s">
        <v>6</v>
      </c>
      <c r="D2062" t="s">
        <v>7</v>
      </c>
      <c r="E2062" t="s">
        <v>8</v>
      </c>
      <c r="F2062" s="29">
        <v>5267</v>
      </c>
      <c r="G2062" s="3" t="s">
        <v>270</v>
      </c>
      <c r="H2062" s="1">
        <v>171075</v>
      </c>
      <c r="I2062" s="26">
        <v>451827.51437262038</v>
      </c>
      <c r="J2062" s="26">
        <v>622902.51437262038</v>
      </c>
    </row>
    <row r="2063" spans="1:10" x14ac:dyDescent="0.2">
      <c r="A2063">
        <v>2008940</v>
      </c>
      <c r="B2063">
        <v>2017</v>
      </c>
      <c r="C2063" t="s">
        <v>6</v>
      </c>
      <c r="D2063" t="s">
        <v>7</v>
      </c>
      <c r="E2063" t="s">
        <v>8</v>
      </c>
      <c r="F2063" s="29">
        <v>5267</v>
      </c>
      <c r="G2063" s="3" t="s">
        <v>270</v>
      </c>
      <c r="H2063" s="1">
        <v>166931</v>
      </c>
      <c r="I2063" s="1">
        <v>26050.524208594197</v>
      </c>
      <c r="J2063" s="1">
        <v>192981.5242085942</v>
      </c>
    </row>
    <row r="2064" spans="1:10" x14ac:dyDescent="0.2">
      <c r="A2064">
        <v>2008940</v>
      </c>
      <c r="B2064">
        <v>2018</v>
      </c>
      <c r="C2064" t="s">
        <v>6</v>
      </c>
      <c r="D2064" t="s">
        <v>7</v>
      </c>
      <c r="E2064" t="s">
        <v>8</v>
      </c>
      <c r="F2064" s="28">
        <v>5267</v>
      </c>
      <c r="G2064" t="s">
        <v>270</v>
      </c>
      <c r="H2064" s="1">
        <v>192033</v>
      </c>
      <c r="I2064" s="1">
        <v>29039.10492948928</v>
      </c>
      <c r="J2064" s="1">
        <v>221072.10492948929</v>
      </c>
    </row>
    <row r="2065" spans="1:10" x14ac:dyDescent="0.2">
      <c r="A2065">
        <v>2008940</v>
      </c>
      <c r="B2065">
        <v>2019</v>
      </c>
      <c r="C2065" t="s">
        <v>6</v>
      </c>
      <c r="D2065" t="s">
        <v>7</v>
      </c>
      <c r="E2065" t="s">
        <v>8</v>
      </c>
      <c r="F2065" s="28">
        <v>5267</v>
      </c>
      <c r="G2065" t="s">
        <v>270</v>
      </c>
      <c r="H2065" s="1">
        <v>217956</v>
      </c>
      <c r="I2065" s="1">
        <v>33194.224065491879</v>
      </c>
      <c r="J2065" s="1">
        <v>251150.22406549187</v>
      </c>
    </row>
    <row r="2066" spans="1:10" x14ac:dyDescent="0.2">
      <c r="A2066">
        <v>2008940</v>
      </c>
      <c r="B2066">
        <v>2020</v>
      </c>
      <c r="C2066" t="s">
        <v>6</v>
      </c>
      <c r="D2066" t="s">
        <v>7</v>
      </c>
      <c r="E2066" t="s">
        <v>8</v>
      </c>
      <c r="F2066" s="28">
        <v>5267</v>
      </c>
      <c r="G2066" t="s">
        <v>270</v>
      </c>
      <c r="H2066" s="1">
        <v>254864</v>
      </c>
      <c r="I2066" s="1">
        <v>38557.055627801092</v>
      </c>
      <c r="J2066" s="1">
        <v>293421.05562780111</v>
      </c>
    </row>
    <row r="2067" spans="1:10" x14ac:dyDescent="0.2">
      <c r="A2067">
        <v>2008940</v>
      </c>
      <c r="B2067">
        <v>2021</v>
      </c>
      <c r="C2067" t="s">
        <v>6</v>
      </c>
      <c r="D2067" t="s">
        <v>7</v>
      </c>
      <c r="E2067" t="s">
        <v>8</v>
      </c>
      <c r="F2067" s="28">
        <v>5267</v>
      </c>
      <c r="G2067" t="s">
        <v>270</v>
      </c>
      <c r="H2067" s="25">
        <v>279110</v>
      </c>
      <c r="I2067" s="1">
        <v>41669.202917143957</v>
      </c>
      <c r="J2067" s="1">
        <v>320779.20291714394</v>
      </c>
    </row>
    <row r="2068" spans="1:10" x14ac:dyDescent="0.2">
      <c r="A2068">
        <v>2008940</v>
      </c>
      <c r="B2068">
        <v>2022</v>
      </c>
      <c r="C2068" t="s">
        <v>6</v>
      </c>
      <c r="D2068" t="s">
        <v>7</v>
      </c>
      <c r="E2068" t="s">
        <v>8</v>
      </c>
      <c r="F2068" s="28">
        <v>5267</v>
      </c>
      <c r="G2068" t="s">
        <v>270</v>
      </c>
      <c r="H2068" s="1">
        <v>265874</v>
      </c>
      <c r="I2068" s="1">
        <v>36107.165891731274</v>
      </c>
      <c r="J2068" s="1">
        <v>301981.16589173127</v>
      </c>
    </row>
    <row r="2069" spans="1:10" x14ac:dyDescent="0.2">
      <c r="A2069">
        <v>2008940</v>
      </c>
      <c r="B2069">
        <v>2023</v>
      </c>
      <c r="C2069" t="s">
        <v>6</v>
      </c>
      <c r="D2069" t="s">
        <v>7</v>
      </c>
      <c r="E2069" t="s">
        <v>8</v>
      </c>
      <c r="F2069" s="28">
        <v>5267</v>
      </c>
      <c r="G2069" s="10" t="s">
        <v>270</v>
      </c>
      <c r="H2069" s="1">
        <v>283774</v>
      </c>
      <c r="I2069" s="1">
        <v>39729.204592839247</v>
      </c>
      <c r="J2069" s="1">
        <v>323503.20459283923</v>
      </c>
    </row>
    <row r="2070" spans="1:10" x14ac:dyDescent="0.2">
      <c r="A2070">
        <v>2003510</v>
      </c>
      <c r="B2070">
        <v>2015</v>
      </c>
      <c r="C2070" t="s">
        <v>6</v>
      </c>
      <c r="D2070" t="s">
        <v>7</v>
      </c>
      <c r="E2070" t="s">
        <v>8</v>
      </c>
      <c r="F2070" s="29">
        <v>5268</v>
      </c>
      <c r="G2070" s="3" t="s">
        <v>271</v>
      </c>
      <c r="H2070" s="27">
        <v>136481</v>
      </c>
      <c r="I2070" s="1">
        <v>21983.546280318435</v>
      </c>
      <c r="J2070" s="1">
        <v>158464.54628031843</v>
      </c>
    </row>
    <row r="2071" spans="1:10" x14ac:dyDescent="0.2">
      <c r="A2071">
        <v>2003510</v>
      </c>
      <c r="B2071">
        <v>2016</v>
      </c>
      <c r="C2071" t="s">
        <v>6</v>
      </c>
      <c r="D2071" t="s">
        <v>7</v>
      </c>
      <c r="E2071" t="s">
        <v>8</v>
      </c>
      <c r="F2071" s="29">
        <v>5268</v>
      </c>
      <c r="G2071" s="3" t="s">
        <v>271</v>
      </c>
      <c r="H2071" s="1">
        <v>170067</v>
      </c>
      <c r="I2071" s="26">
        <v>449161.66112244595</v>
      </c>
      <c r="J2071" s="26">
        <v>619228.66112244595</v>
      </c>
    </row>
    <row r="2072" spans="1:10" x14ac:dyDescent="0.2">
      <c r="A2072">
        <v>2003510</v>
      </c>
      <c r="B2072">
        <v>2017</v>
      </c>
      <c r="C2072" t="s">
        <v>6</v>
      </c>
      <c r="D2072" t="s">
        <v>7</v>
      </c>
      <c r="E2072" t="s">
        <v>8</v>
      </c>
      <c r="F2072" s="29">
        <v>5268</v>
      </c>
      <c r="G2072" s="3" t="s">
        <v>271</v>
      </c>
      <c r="H2072" s="1">
        <v>168756</v>
      </c>
      <c r="I2072" s="1">
        <v>26335.325753428198</v>
      </c>
      <c r="J2072" s="1">
        <v>195091.32575342819</v>
      </c>
    </row>
    <row r="2073" spans="1:10" x14ac:dyDescent="0.2">
      <c r="A2073">
        <v>2003510</v>
      </c>
      <c r="B2073">
        <v>2018</v>
      </c>
      <c r="C2073" t="s">
        <v>6</v>
      </c>
      <c r="D2073" t="s">
        <v>7</v>
      </c>
      <c r="E2073" t="s">
        <v>8</v>
      </c>
      <c r="F2073" s="28">
        <v>5268</v>
      </c>
      <c r="G2073" t="s">
        <v>271</v>
      </c>
      <c r="H2073" s="1">
        <v>203141</v>
      </c>
      <c r="I2073" s="1">
        <v>30718.849439843059</v>
      </c>
      <c r="J2073" s="1">
        <v>233859.84943984306</v>
      </c>
    </row>
    <row r="2074" spans="1:10" x14ac:dyDescent="0.2">
      <c r="A2074">
        <v>2003510</v>
      </c>
      <c r="B2074">
        <v>2019</v>
      </c>
      <c r="C2074" t="s">
        <v>6</v>
      </c>
      <c r="D2074" t="s">
        <v>7</v>
      </c>
      <c r="E2074" t="s">
        <v>8</v>
      </c>
      <c r="F2074" s="28">
        <v>5268</v>
      </c>
      <c r="G2074" t="s">
        <v>271</v>
      </c>
      <c r="H2074" s="1">
        <v>229611</v>
      </c>
      <c r="I2074" s="1">
        <v>34969.255179493368</v>
      </c>
      <c r="J2074" s="1">
        <v>264580.25517949334</v>
      </c>
    </row>
    <row r="2075" spans="1:10" x14ac:dyDescent="0.2">
      <c r="A2075">
        <v>2003510</v>
      </c>
      <c r="B2075">
        <v>2020</v>
      </c>
      <c r="C2075" t="s">
        <v>6</v>
      </c>
      <c r="D2075" t="s">
        <v>7</v>
      </c>
      <c r="E2075" t="s">
        <v>8</v>
      </c>
      <c r="F2075" s="28">
        <v>5268</v>
      </c>
      <c r="G2075" t="s">
        <v>271</v>
      </c>
      <c r="H2075" s="1">
        <v>250475</v>
      </c>
      <c r="I2075" s="1">
        <v>37893.066531065502</v>
      </c>
      <c r="J2075" s="1">
        <v>288368.0665310655</v>
      </c>
    </row>
    <row r="2076" spans="1:10" x14ac:dyDescent="0.2">
      <c r="A2076">
        <v>2003510</v>
      </c>
      <c r="B2076">
        <v>2021</v>
      </c>
      <c r="C2076" t="s">
        <v>6</v>
      </c>
      <c r="D2076" t="s">
        <v>7</v>
      </c>
      <c r="E2076" t="s">
        <v>8</v>
      </c>
      <c r="F2076" s="28">
        <v>5268</v>
      </c>
      <c r="G2076" t="s">
        <v>271</v>
      </c>
      <c r="H2076" s="25">
        <v>254172</v>
      </c>
      <c r="I2076" s="1">
        <v>37946.131073255397</v>
      </c>
      <c r="J2076" s="1">
        <v>292118.13107325538</v>
      </c>
    </row>
    <row r="2077" spans="1:10" x14ac:dyDescent="0.2">
      <c r="A2077">
        <v>2003510</v>
      </c>
      <c r="B2077">
        <v>2022</v>
      </c>
      <c r="C2077" t="s">
        <v>6</v>
      </c>
      <c r="D2077" t="s">
        <v>7</v>
      </c>
      <c r="E2077" t="s">
        <v>8</v>
      </c>
      <c r="F2077" s="28">
        <v>5268</v>
      </c>
      <c r="G2077" t="s">
        <v>271</v>
      </c>
      <c r="H2077" s="1">
        <v>220001</v>
      </c>
      <c r="I2077" s="1">
        <v>29877.35770833843</v>
      </c>
      <c r="J2077" s="1">
        <v>249878.35770833842</v>
      </c>
    </row>
    <row r="2078" spans="1:10" x14ac:dyDescent="0.2">
      <c r="A2078">
        <v>2003510</v>
      </c>
      <c r="B2078">
        <v>2023</v>
      </c>
      <c r="C2078" t="s">
        <v>6</v>
      </c>
      <c r="D2078" t="s">
        <v>7</v>
      </c>
      <c r="E2078" t="s">
        <v>8</v>
      </c>
      <c r="F2078" s="28">
        <v>5268</v>
      </c>
      <c r="G2078" s="10" t="s">
        <v>271</v>
      </c>
      <c r="H2078" s="1">
        <v>213451</v>
      </c>
      <c r="I2078" s="1">
        <v>29883.775291415459</v>
      </c>
      <c r="J2078" s="1">
        <v>243334.77529141546</v>
      </c>
    </row>
    <row r="2079" spans="1:10" x14ac:dyDescent="0.2">
      <c r="A2079">
        <v>2004950</v>
      </c>
      <c r="B2079">
        <v>2015</v>
      </c>
      <c r="C2079" t="s">
        <v>6</v>
      </c>
      <c r="D2079" t="s">
        <v>7</v>
      </c>
      <c r="E2079" t="s">
        <v>8</v>
      </c>
      <c r="F2079" s="29">
        <v>5270</v>
      </c>
      <c r="G2079" s="3" t="s">
        <v>272</v>
      </c>
      <c r="H2079" s="27">
        <v>206713</v>
      </c>
      <c r="I2079" s="1">
        <v>33296.098374451125</v>
      </c>
      <c r="J2079" s="1">
        <v>240009.09837445113</v>
      </c>
    </row>
    <row r="2080" spans="1:10" x14ac:dyDescent="0.2">
      <c r="A2080">
        <v>2004950</v>
      </c>
      <c r="B2080">
        <v>2016</v>
      </c>
      <c r="C2080" t="s">
        <v>6</v>
      </c>
      <c r="D2080" t="s">
        <v>7</v>
      </c>
      <c r="E2080" t="s">
        <v>8</v>
      </c>
      <c r="F2080" s="29">
        <v>5270</v>
      </c>
      <c r="G2080" s="3" t="s">
        <v>272</v>
      </c>
      <c r="H2080" s="1">
        <v>222977</v>
      </c>
      <c r="I2080" s="26">
        <v>588897.02157667011</v>
      </c>
      <c r="J2080" s="26">
        <v>811874.02157667011</v>
      </c>
    </row>
    <row r="2081" spans="1:10" x14ac:dyDescent="0.2">
      <c r="A2081">
        <v>2004950</v>
      </c>
      <c r="B2081">
        <v>2017</v>
      </c>
      <c r="C2081" t="s">
        <v>6</v>
      </c>
      <c r="D2081" t="s">
        <v>7</v>
      </c>
      <c r="E2081" t="s">
        <v>8</v>
      </c>
      <c r="F2081" s="29">
        <v>5270</v>
      </c>
      <c r="G2081" s="3" t="s">
        <v>272</v>
      </c>
      <c r="H2081" s="1">
        <v>233751</v>
      </c>
      <c r="I2081" s="1">
        <v>36478.162140543711</v>
      </c>
      <c r="J2081" s="1">
        <v>270229.16214054369</v>
      </c>
    </row>
    <row r="2082" spans="1:10" x14ac:dyDescent="0.2">
      <c r="A2082">
        <v>2004950</v>
      </c>
      <c r="B2082">
        <v>2018</v>
      </c>
      <c r="C2082" t="s">
        <v>6</v>
      </c>
      <c r="D2082" t="s">
        <v>7</v>
      </c>
      <c r="E2082" t="s">
        <v>8</v>
      </c>
      <c r="F2082" s="28">
        <v>5270</v>
      </c>
      <c r="G2082" t="s">
        <v>272</v>
      </c>
      <c r="H2082" s="1">
        <v>260467</v>
      </c>
      <c r="I2082" s="1">
        <v>39387.649745977433</v>
      </c>
      <c r="J2082" s="1">
        <v>299854.64974597743</v>
      </c>
    </row>
    <row r="2083" spans="1:10" x14ac:dyDescent="0.2">
      <c r="A2083">
        <v>2004950</v>
      </c>
      <c r="B2083">
        <v>2019</v>
      </c>
      <c r="C2083" t="s">
        <v>6</v>
      </c>
      <c r="D2083" t="s">
        <v>7</v>
      </c>
      <c r="E2083" t="s">
        <v>8</v>
      </c>
      <c r="F2083" s="28">
        <v>5270</v>
      </c>
      <c r="G2083" t="s">
        <v>272</v>
      </c>
      <c r="H2083" s="1">
        <v>284140</v>
      </c>
      <c r="I2083" s="1">
        <v>43273.903108741506</v>
      </c>
      <c r="J2083" s="1">
        <v>327413.90310874151</v>
      </c>
    </row>
    <row r="2084" spans="1:10" x14ac:dyDescent="0.2">
      <c r="A2084">
        <v>2004950</v>
      </c>
      <c r="B2084">
        <v>2020</v>
      </c>
      <c r="C2084" t="s">
        <v>6</v>
      </c>
      <c r="D2084" t="s">
        <v>7</v>
      </c>
      <c r="E2084" t="s">
        <v>8</v>
      </c>
      <c r="F2084" s="28">
        <v>5270</v>
      </c>
      <c r="G2084" t="s">
        <v>272</v>
      </c>
      <c r="H2084" s="1">
        <v>349886</v>
      </c>
      <c r="I2084" s="1">
        <v>52932.442264850324</v>
      </c>
      <c r="J2084" s="1">
        <v>402818.44226485031</v>
      </c>
    </row>
    <row r="2085" spans="1:10" x14ac:dyDescent="0.2">
      <c r="A2085">
        <v>2004950</v>
      </c>
      <c r="B2085">
        <v>2021</v>
      </c>
      <c r="C2085" t="s">
        <v>6</v>
      </c>
      <c r="D2085" t="s">
        <v>7</v>
      </c>
      <c r="E2085" t="s">
        <v>8</v>
      </c>
      <c r="F2085" s="28">
        <v>5270</v>
      </c>
      <c r="G2085" t="s">
        <v>272</v>
      </c>
      <c r="H2085" s="25">
        <v>359159</v>
      </c>
      <c r="I2085" s="1">
        <v>53619.967935647255</v>
      </c>
      <c r="J2085" s="1">
        <v>412778.96793564723</v>
      </c>
    </row>
    <row r="2086" spans="1:10" x14ac:dyDescent="0.2">
      <c r="A2086">
        <v>2004950</v>
      </c>
      <c r="B2086">
        <v>2022</v>
      </c>
      <c r="C2086" t="s">
        <v>6</v>
      </c>
      <c r="D2086" t="s">
        <v>7</v>
      </c>
      <c r="E2086" t="s">
        <v>8</v>
      </c>
      <c r="F2086" s="28">
        <v>5270</v>
      </c>
      <c r="G2086" t="s">
        <v>272</v>
      </c>
      <c r="H2086" s="1">
        <v>359336</v>
      </c>
      <c r="I2086" s="1">
        <v>48799.824589358679</v>
      </c>
      <c r="J2086" s="1">
        <v>408135.8245893587</v>
      </c>
    </row>
    <row r="2087" spans="1:10" x14ac:dyDescent="0.2">
      <c r="A2087">
        <v>2004950</v>
      </c>
      <c r="B2087">
        <v>2023</v>
      </c>
      <c r="C2087" t="s">
        <v>6</v>
      </c>
      <c r="D2087" t="s">
        <v>7</v>
      </c>
      <c r="E2087" t="s">
        <v>8</v>
      </c>
      <c r="F2087" s="28">
        <v>5270</v>
      </c>
      <c r="G2087" s="10" t="s">
        <v>272</v>
      </c>
      <c r="H2087" s="1">
        <v>357922</v>
      </c>
      <c r="I2087" s="1">
        <v>50110.145278560434</v>
      </c>
      <c r="J2087" s="1">
        <v>408032.14527856046</v>
      </c>
    </row>
    <row r="2088" spans="1:10" x14ac:dyDescent="0.2">
      <c r="A2088">
        <v>2006210</v>
      </c>
      <c r="B2088">
        <v>2015</v>
      </c>
      <c r="C2088" t="s">
        <v>6</v>
      </c>
      <c r="D2088" t="s">
        <v>7</v>
      </c>
      <c r="E2088" t="s">
        <v>8</v>
      </c>
      <c r="F2088" s="29">
        <v>5271</v>
      </c>
      <c r="G2088" s="3" t="s">
        <v>273</v>
      </c>
      <c r="H2088" s="27">
        <v>120965</v>
      </c>
      <c r="I2088" s="1">
        <v>19484.32144986276</v>
      </c>
      <c r="J2088" s="1">
        <v>140449.32144986276</v>
      </c>
    </row>
    <row r="2089" spans="1:10" x14ac:dyDescent="0.2">
      <c r="A2089">
        <v>2006210</v>
      </c>
      <c r="B2089">
        <v>2016</v>
      </c>
      <c r="C2089" t="s">
        <v>6</v>
      </c>
      <c r="D2089" t="s">
        <v>7</v>
      </c>
      <c r="E2089" t="s">
        <v>8</v>
      </c>
      <c r="F2089" s="29">
        <v>5271</v>
      </c>
      <c r="G2089" s="3" t="s">
        <v>273</v>
      </c>
      <c r="H2089" s="1">
        <v>125337</v>
      </c>
      <c r="I2089" s="26">
        <v>331026.77777190873</v>
      </c>
      <c r="J2089" s="26">
        <v>456363.77777190873</v>
      </c>
    </row>
    <row r="2090" spans="1:10" x14ac:dyDescent="0.2">
      <c r="A2090">
        <v>2006210</v>
      </c>
      <c r="B2090">
        <v>2017</v>
      </c>
      <c r="C2090" t="s">
        <v>6</v>
      </c>
      <c r="D2090" t="s">
        <v>7</v>
      </c>
      <c r="E2090" t="s">
        <v>8</v>
      </c>
      <c r="F2090" s="29">
        <v>5271</v>
      </c>
      <c r="G2090" s="3" t="s">
        <v>273</v>
      </c>
      <c r="H2090" s="1">
        <v>123358</v>
      </c>
      <c r="I2090" s="1">
        <v>19250.711763086321</v>
      </c>
      <c r="J2090" s="1">
        <v>142608.71176308632</v>
      </c>
    </row>
    <row r="2091" spans="1:10" x14ac:dyDescent="0.2">
      <c r="A2091">
        <v>2006210</v>
      </c>
      <c r="B2091">
        <v>2018</v>
      </c>
      <c r="C2091" t="s">
        <v>6</v>
      </c>
      <c r="D2091" t="s">
        <v>7</v>
      </c>
      <c r="E2091" t="s">
        <v>8</v>
      </c>
      <c r="F2091" s="28">
        <v>5271</v>
      </c>
      <c r="G2091" t="s">
        <v>273</v>
      </c>
      <c r="H2091" s="1">
        <v>157399</v>
      </c>
      <c r="I2091" s="1">
        <v>23801.774053400633</v>
      </c>
      <c r="J2091" s="1">
        <v>181200.77405340064</v>
      </c>
    </row>
    <row r="2092" spans="1:10" x14ac:dyDescent="0.2">
      <c r="A2092">
        <v>2006210</v>
      </c>
      <c r="B2092">
        <v>2019</v>
      </c>
      <c r="C2092" t="s">
        <v>6</v>
      </c>
      <c r="D2092" t="s">
        <v>7</v>
      </c>
      <c r="E2092" t="s">
        <v>8</v>
      </c>
      <c r="F2092" s="28">
        <v>5271</v>
      </c>
      <c r="G2092" t="s">
        <v>273</v>
      </c>
      <c r="H2092" s="1">
        <v>161813</v>
      </c>
      <c r="I2092" s="1">
        <v>24643.767451730797</v>
      </c>
      <c r="J2092" s="1">
        <v>186456.76745173079</v>
      </c>
    </row>
    <row r="2093" spans="1:10" x14ac:dyDescent="0.2">
      <c r="A2093">
        <v>2006210</v>
      </c>
      <c r="B2093">
        <v>2020</v>
      </c>
      <c r="C2093" t="s">
        <v>6</v>
      </c>
      <c r="D2093" t="s">
        <v>7</v>
      </c>
      <c r="E2093" t="s">
        <v>8</v>
      </c>
      <c r="F2093" s="28">
        <v>5271</v>
      </c>
      <c r="G2093" t="s">
        <v>273</v>
      </c>
      <c r="H2093" s="1">
        <v>156200</v>
      </c>
      <c r="I2093" s="1">
        <v>23630.689658259034</v>
      </c>
      <c r="J2093" s="1">
        <v>179830.68965825904</v>
      </c>
    </row>
    <row r="2094" spans="1:10" x14ac:dyDescent="0.2">
      <c r="A2094">
        <v>2006210</v>
      </c>
      <c r="B2094">
        <v>2021</v>
      </c>
      <c r="C2094" t="s">
        <v>6</v>
      </c>
      <c r="D2094" t="s">
        <v>7</v>
      </c>
      <c r="E2094" t="s">
        <v>8</v>
      </c>
      <c r="F2094" s="28">
        <v>5271</v>
      </c>
      <c r="G2094" t="s">
        <v>273</v>
      </c>
      <c r="H2094" s="25">
        <v>155750</v>
      </c>
      <c r="I2094" s="1">
        <v>23252.403548225324</v>
      </c>
      <c r="J2094" s="1">
        <v>179002.40354822532</v>
      </c>
    </row>
    <row r="2095" spans="1:10" x14ac:dyDescent="0.2">
      <c r="A2095">
        <v>2006210</v>
      </c>
      <c r="B2095">
        <v>2022</v>
      </c>
      <c r="C2095" t="s">
        <v>6</v>
      </c>
      <c r="D2095" t="s">
        <v>7</v>
      </c>
      <c r="E2095" t="s">
        <v>8</v>
      </c>
      <c r="F2095" s="28">
        <v>5271</v>
      </c>
      <c r="G2095" t="s">
        <v>273</v>
      </c>
      <c r="H2095" s="1">
        <v>124646</v>
      </c>
      <c r="I2095" s="1">
        <v>16927.61909679298</v>
      </c>
      <c r="J2095" s="1">
        <v>141573.61909679297</v>
      </c>
    </row>
    <row r="2096" spans="1:10" x14ac:dyDescent="0.2">
      <c r="A2096">
        <v>2006210</v>
      </c>
      <c r="B2096">
        <v>2023</v>
      </c>
      <c r="C2096" t="s">
        <v>6</v>
      </c>
      <c r="D2096" t="s">
        <v>7</v>
      </c>
      <c r="E2096" t="s">
        <v>8</v>
      </c>
      <c r="F2096" s="28">
        <v>5271</v>
      </c>
      <c r="G2096" s="10" t="s">
        <v>273</v>
      </c>
      <c r="H2096" s="1">
        <v>83317</v>
      </c>
      <c r="I2096" s="1">
        <v>11664.627975295791</v>
      </c>
      <c r="J2096" s="1">
        <v>94981.627975295793</v>
      </c>
    </row>
    <row r="2097" spans="1:10" x14ac:dyDescent="0.2">
      <c r="A2097">
        <v>2011850</v>
      </c>
      <c r="B2097">
        <v>2015</v>
      </c>
      <c r="C2097" t="s">
        <v>6</v>
      </c>
      <c r="D2097" t="s">
        <v>7</v>
      </c>
      <c r="E2097" t="s">
        <v>8</v>
      </c>
      <c r="F2097" s="29">
        <v>5272</v>
      </c>
      <c r="G2097" s="3" t="s">
        <v>274</v>
      </c>
      <c r="H2097" s="27">
        <v>1642661</v>
      </c>
      <c r="I2097" s="1">
        <v>264590.04635351559</v>
      </c>
      <c r="J2097" s="1">
        <v>1907251.0463535157</v>
      </c>
    </row>
    <row r="2098" spans="1:10" x14ac:dyDescent="0.2">
      <c r="A2098">
        <v>2011850</v>
      </c>
      <c r="B2098">
        <v>2016</v>
      </c>
      <c r="C2098" t="s">
        <v>6</v>
      </c>
      <c r="D2098" t="s">
        <v>7</v>
      </c>
      <c r="E2098" t="s">
        <v>8</v>
      </c>
      <c r="F2098" s="29">
        <v>5272</v>
      </c>
      <c r="G2098" s="3" t="s">
        <v>274</v>
      </c>
      <c r="H2098" s="1">
        <v>1788720</v>
      </c>
      <c r="I2098" s="26">
        <v>4724170.6104489639</v>
      </c>
      <c r="J2098" s="26">
        <v>6512890.6104489639</v>
      </c>
    </row>
    <row r="2099" spans="1:10" x14ac:dyDescent="0.2">
      <c r="A2099">
        <v>2011850</v>
      </c>
      <c r="B2099">
        <v>2017</v>
      </c>
      <c r="C2099" t="s">
        <v>6</v>
      </c>
      <c r="D2099" t="s">
        <v>7</v>
      </c>
      <c r="E2099" t="s">
        <v>8</v>
      </c>
      <c r="F2099" s="29">
        <v>5272</v>
      </c>
      <c r="G2099" s="3" t="s">
        <v>274</v>
      </c>
      <c r="H2099" s="1">
        <v>1947803</v>
      </c>
      <c r="I2099" s="1">
        <v>303965.64571632835</v>
      </c>
      <c r="J2099" s="1">
        <v>2251768.6457163282</v>
      </c>
    </row>
    <row r="2100" spans="1:10" x14ac:dyDescent="0.2">
      <c r="A2100">
        <v>2011850</v>
      </c>
      <c r="B2100">
        <v>2018</v>
      </c>
      <c r="C2100" t="s">
        <v>6</v>
      </c>
      <c r="D2100" t="s">
        <v>7</v>
      </c>
      <c r="E2100" t="s">
        <v>8</v>
      </c>
      <c r="F2100" s="28">
        <v>5272</v>
      </c>
      <c r="G2100" t="s">
        <v>274</v>
      </c>
      <c r="H2100" s="1">
        <v>2391262</v>
      </c>
      <c r="I2100" s="1">
        <v>361605.07898069813</v>
      </c>
      <c r="J2100" s="1">
        <v>2752867.0789806983</v>
      </c>
    </row>
    <row r="2101" spans="1:10" x14ac:dyDescent="0.2">
      <c r="A2101">
        <v>2011850</v>
      </c>
      <c r="B2101">
        <v>2019</v>
      </c>
      <c r="C2101" t="s">
        <v>6</v>
      </c>
      <c r="D2101" t="s">
        <v>7</v>
      </c>
      <c r="E2101" t="s">
        <v>8</v>
      </c>
      <c r="F2101" s="28">
        <v>5272</v>
      </c>
      <c r="G2101" t="s">
        <v>274</v>
      </c>
      <c r="H2101" s="1">
        <v>3028016</v>
      </c>
      <c r="I2101" s="1">
        <v>461160.24141521438</v>
      </c>
      <c r="J2101" s="1">
        <v>3489176.2414152143</v>
      </c>
    </row>
    <row r="2102" spans="1:10" x14ac:dyDescent="0.2">
      <c r="A2102">
        <v>2011850</v>
      </c>
      <c r="B2102">
        <v>2020</v>
      </c>
      <c r="C2102" t="s">
        <v>6</v>
      </c>
      <c r="D2102" t="s">
        <v>7</v>
      </c>
      <c r="E2102" t="s">
        <v>8</v>
      </c>
      <c r="F2102" s="28">
        <v>5272</v>
      </c>
      <c r="G2102" t="s">
        <v>274</v>
      </c>
      <c r="H2102" s="1">
        <v>3623727</v>
      </c>
      <c r="I2102" s="1">
        <v>548214.9048863895</v>
      </c>
      <c r="J2102" s="1">
        <v>4171941.9048863896</v>
      </c>
    </row>
    <row r="2103" spans="1:10" x14ac:dyDescent="0.2">
      <c r="A2103">
        <v>2011850</v>
      </c>
      <c r="B2103">
        <v>2021</v>
      </c>
      <c r="C2103" t="s">
        <v>6</v>
      </c>
      <c r="D2103" t="s">
        <v>7</v>
      </c>
      <c r="E2103" t="s">
        <v>8</v>
      </c>
      <c r="F2103" s="28">
        <v>5272</v>
      </c>
      <c r="G2103" t="s">
        <v>274</v>
      </c>
      <c r="H2103" s="25">
        <v>3729155</v>
      </c>
      <c r="I2103" s="1">
        <v>556737.18750486174</v>
      </c>
      <c r="J2103" s="1">
        <v>4285892.1875048615</v>
      </c>
    </row>
    <row r="2104" spans="1:10" x14ac:dyDescent="0.2">
      <c r="A2104">
        <v>2011850</v>
      </c>
      <c r="B2104">
        <v>2022</v>
      </c>
      <c r="C2104" t="s">
        <v>6</v>
      </c>
      <c r="D2104" t="s">
        <v>7</v>
      </c>
      <c r="E2104" t="s">
        <v>8</v>
      </c>
      <c r="F2104" s="28">
        <v>5272</v>
      </c>
      <c r="G2104" t="s">
        <v>274</v>
      </c>
      <c r="H2104" s="1">
        <v>3828473</v>
      </c>
      <c r="I2104" s="1">
        <v>519927.89713553828</v>
      </c>
      <c r="J2104" s="1">
        <v>4348400.897135538</v>
      </c>
    </row>
    <row r="2105" spans="1:10" x14ac:dyDescent="0.2">
      <c r="A2105">
        <v>2011850</v>
      </c>
      <c r="B2105">
        <v>2023</v>
      </c>
      <c r="C2105" t="s">
        <v>6</v>
      </c>
      <c r="D2105" t="s">
        <v>7</v>
      </c>
      <c r="E2105" t="s">
        <v>8</v>
      </c>
      <c r="F2105" s="28">
        <v>5272</v>
      </c>
      <c r="G2105" s="10" t="s">
        <v>274</v>
      </c>
      <c r="H2105" s="1">
        <v>4010562</v>
      </c>
      <c r="I2105" s="1">
        <v>561490.61658314918</v>
      </c>
      <c r="J2105" s="1">
        <v>4572052.6165831489</v>
      </c>
    </row>
    <row r="2106" spans="1:10" x14ac:dyDescent="0.2">
      <c r="A2106">
        <v>2006300</v>
      </c>
      <c r="B2106">
        <v>2015</v>
      </c>
      <c r="C2106" t="s">
        <v>6</v>
      </c>
      <c r="D2106" t="s">
        <v>7</v>
      </c>
      <c r="E2106" t="s">
        <v>8</v>
      </c>
      <c r="F2106" s="29">
        <v>5274</v>
      </c>
      <c r="G2106" s="3" t="s">
        <v>275</v>
      </c>
      <c r="H2106" s="27">
        <v>444716</v>
      </c>
      <c r="I2106" s="1">
        <v>71632.203512562861</v>
      </c>
      <c r="J2106" s="1">
        <v>516348.20351256285</v>
      </c>
    </row>
    <row r="2107" spans="1:10" x14ac:dyDescent="0.2">
      <c r="A2107">
        <v>2006300</v>
      </c>
      <c r="B2107">
        <v>2016</v>
      </c>
      <c r="C2107" t="s">
        <v>6</v>
      </c>
      <c r="D2107" t="s">
        <v>7</v>
      </c>
      <c r="E2107" t="s">
        <v>8</v>
      </c>
      <c r="F2107" s="29">
        <v>5274</v>
      </c>
      <c r="G2107" s="3" t="s">
        <v>275</v>
      </c>
      <c r="H2107" s="1">
        <v>475101</v>
      </c>
      <c r="I2107" s="26">
        <v>1254788.6992230113</v>
      </c>
      <c r="J2107" s="26">
        <v>1729889.6992230113</v>
      </c>
    </row>
    <row r="2108" spans="1:10" x14ac:dyDescent="0.2">
      <c r="A2108">
        <v>2006300</v>
      </c>
      <c r="B2108">
        <v>2017</v>
      </c>
      <c r="C2108" t="s">
        <v>6</v>
      </c>
      <c r="D2108" t="s">
        <v>7</v>
      </c>
      <c r="E2108" t="s">
        <v>8</v>
      </c>
      <c r="F2108" s="29">
        <v>5274</v>
      </c>
      <c r="G2108" s="3" t="s">
        <v>275</v>
      </c>
      <c r="H2108" s="1">
        <v>525689</v>
      </c>
      <c r="I2108" s="1">
        <v>82036.733864241367</v>
      </c>
      <c r="J2108" s="1">
        <v>607725.7338642414</v>
      </c>
    </row>
    <row r="2109" spans="1:10" x14ac:dyDescent="0.2">
      <c r="A2109">
        <v>2006300</v>
      </c>
      <c r="B2109">
        <v>2018</v>
      </c>
      <c r="C2109" t="s">
        <v>6</v>
      </c>
      <c r="D2109" t="s">
        <v>7</v>
      </c>
      <c r="E2109" t="s">
        <v>8</v>
      </c>
      <c r="F2109" s="28">
        <v>5274</v>
      </c>
      <c r="G2109" t="s">
        <v>275</v>
      </c>
      <c r="H2109" s="1">
        <v>641606</v>
      </c>
      <c r="I2109" s="1">
        <v>97023.240575265183</v>
      </c>
      <c r="J2109" s="1">
        <v>738629.24057526514</v>
      </c>
    </row>
    <row r="2110" spans="1:10" x14ac:dyDescent="0.2">
      <c r="A2110">
        <v>2006300</v>
      </c>
      <c r="B2110">
        <v>2019</v>
      </c>
      <c r="C2110" t="s">
        <v>6</v>
      </c>
      <c r="D2110" t="s">
        <v>7</v>
      </c>
      <c r="E2110" t="s">
        <v>8</v>
      </c>
      <c r="F2110" s="28">
        <v>5274</v>
      </c>
      <c r="G2110" t="s">
        <v>275</v>
      </c>
      <c r="H2110" s="1">
        <v>714487</v>
      </c>
      <c r="I2110" s="1">
        <v>108814.8138609678</v>
      </c>
      <c r="J2110" s="1">
        <v>823301.81386096776</v>
      </c>
    </row>
    <row r="2111" spans="1:10" x14ac:dyDescent="0.2">
      <c r="A2111">
        <v>2006300</v>
      </c>
      <c r="B2111">
        <v>2020</v>
      </c>
      <c r="C2111" t="s">
        <v>6</v>
      </c>
      <c r="D2111" t="s">
        <v>7</v>
      </c>
      <c r="E2111" t="s">
        <v>8</v>
      </c>
      <c r="F2111" s="28">
        <v>5274</v>
      </c>
      <c r="G2111" t="s">
        <v>275</v>
      </c>
      <c r="H2111" s="1">
        <v>807943</v>
      </c>
      <c r="I2111" s="1">
        <v>122229.51533010742</v>
      </c>
      <c r="J2111" s="1">
        <v>930172.51533010742</v>
      </c>
    </row>
    <row r="2112" spans="1:10" x14ac:dyDescent="0.2">
      <c r="A2112">
        <v>2006300</v>
      </c>
      <c r="B2112">
        <v>2021</v>
      </c>
      <c r="C2112" t="s">
        <v>6</v>
      </c>
      <c r="D2112" t="s">
        <v>7</v>
      </c>
      <c r="E2112" t="s">
        <v>8</v>
      </c>
      <c r="F2112" s="28">
        <v>5274</v>
      </c>
      <c r="G2112" t="s">
        <v>275</v>
      </c>
      <c r="H2112" s="25">
        <v>806142</v>
      </c>
      <c r="I2112" s="1">
        <v>120351.4549032004</v>
      </c>
      <c r="J2112" s="1">
        <v>926493.45490320039</v>
      </c>
    </row>
    <row r="2113" spans="1:10" x14ac:dyDescent="0.2">
      <c r="A2113">
        <v>2006300</v>
      </c>
      <c r="B2113">
        <v>2022</v>
      </c>
      <c r="C2113" t="s">
        <v>6</v>
      </c>
      <c r="D2113" t="s">
        <v>7</v>
      </c>
      <c r="E2113" t="s">
        <v>8</v>
      </c>
      <c r="F2113" s="28">
        <v>5274</v>
      </c>
      <c r="G2113" t="s">
        <v>275</v>
      </c>
      <c r="H2113" s="1">
        <v>814602</v>
      </c>
      <c r="I2113" s="1">
        <v>110627.47598387235</v>
      </c>
      <c r="J2113" s="1">
        <v>925229.47598387231</v>
      </c>
    </row>
    <row r="2114" spans="1:10" x14ac:dyDescent="0.2">
      <c r="A2114">
        <v>2006300</v>
      </c>
      <c r="B2114">
        <v>2023</v>
      </c>
      <c r="C2114" t="s">
        <v>6</v>
      </c>
      <c r="D2114" t="s">
        <v>7</v>
      </c>
      <c r="E2114" t="s">
        <v>8</v>
      </c>
      <c r="F2114" s="28">
        <v>5274</v>
      </c>
      <c r="G2114" s="10" t="s">
        <v>275</v>
      </c>
      <c r="H2114" s="1">
        <v>840186</v>
      </c>
      <c r="I2114" s="1">
        <v>117628.54063458681</v>
      </c>
      <c r="J2114" s="1">
        <v>957814.54063458683</v>
      </c>
    </row>
    <row r="2115" spans="1:10" x14ac:dyDescent="0.2">
      <c r="A2115">
        <v>2009840</v>
      </c>
      <c r="B2115">
        <v>2015</v>
      </c>
      <c r="C2115" t="s">
        <v>6</v>
      </c>
      <c r="D2115" t="s">
        <v>7</v>
      </c>
      <c r="E2115" t="s">
        <v>8</v>
      </c>
      <c r="F2115" s="29">
        <v>5275</v>
      </c>
      <c r="G2115" s="3" t="s">
        <v>276</v>
      </c>
      <c r="H2115" s="27">
        <v>1066636</v>
      </c>
      <c r="I2115" s="1">
        <v>171807.37150411951</v>
      </c>
      <c r="J2115" s="1">
        <v>1238443.3715041196</v>
      </c>
    </row>
    <row r="2116" spans="1:10" x14ac:dyDescent="0.2">
      <c r="A2116">
        <v>2009840</v>
      </c>
      <c r="B2116">
        <v>2016</v>
      </c>
      <c r="C2116" t="s">
        <v>6</v>
      </c>
      <c r="D2116" t="s">
        <v>7</v>
      </c>
      <c r="E2116" t="s">
        <v>8</v>
      </c>
      <c r="F2116" s="29">
        <v>5275</v>
      </c>
      <c r="G2116" s="3" t="s">
        <v>276</v>
      </c>
      <c r="H2116" s="1">
        <v>1132608</v>
      </c>
      <c r="I2116" s="26">
        <v>2991324.7442460284</v>
      </c>
      <c r="J2116" s="26">
        <v>4123932.7442460284</v>
      </c>
    </row>
    <row r="2117" spans="1:10" x14ac:dyDescent="0.2">
      <c r="A2117">
        <v>2009840</v>
      </c>
      <c r="B2117">
        <v>2017</v>
      </c>
      <c r="C2117" t="s">
        <v>6</v>
      </c>
      <c r="D2117" t="s">
        <v>7</v>
      </c>
      <c r="E2117" t="s">
        <v>8</v>
      </c>
      <c r="F2117" s="29">
        <v>5275</v>
      </c>
      <c r="G2117" s="3" t="s">
        <v>276</v>
      </c>
      <c r="H2117" s="1">
        <v>1222749</v>
      </c>
      <c r="I2117" s="1">
        <v>190816.87898313883</v>
      </c>
      <c r="J2117" s="1">
        <v>1413565.8789831388</v>
      </c>
    </row>
    <row r="2118" spans="1:10" x14ac:dyDescent="0.2">
      <c r="A2118">
        <v>2009840</v>
      </c>
      <c r="B2118">
        <v>2018</v>
      </c>
      <c r="C2118" t="s">
        <v>6</v>
      </c>
      <c r="D2118" t="s">
        <v>7</v>
      </c>
      <c r="E2118" t="s">
        <v>8</v>
      </c>
      <c r="F2118" s="28">
        <v>5275</v>
      </c>
      <c r="G2118" t="s">
        <v>276</v>
      </c>
      <c r="H2118" s="1">
        <v>1522290</v>
      </c>
      <c r="I2118" s="1">
        <v>230199.70027605796</v>
      </c>
      <c r="J2118" s="1">
        <v>1752489.7002760579</v>
      </c>
    </row>
    <row r="2119" spans="1:10" x14ac:dyDescent="0.2">
      <c r="A2119">
        <v>2009840</v>
      </c>
      <c r="B2119">
        <v>2019</v>
      </c>
      <c r="C2119" t="s">
        <v>6</v>
      </c>
      <c r="D2119" t="s">
        <v>7</v>
      </c>
      <c r="E2119" t="s">
        <v>8</v>
      </c>
      <c r="F2119" s="28">
        <v>5275</v>
      </c>
      <c r="G2119" t="s">
        <v>276</v>
      </c>
      <c r="H2119" s="1">
        <v>1616493</v>
      </c>
      <c r="I2119" s="1">
        <v>246188.36298289179</v>
      </c>
      <c r="J2119" s="1">
        <v>1862681.3629828917</v>
      </c>
    </row>
    <row r="2120" spans="1:10" x14ac:dyDescent="0.2">
      <c r="A2120">
        <v>2009840</v>
      </c>
      <c r="B2120">
        <v>2020</v>
      </c>
      <c r="C2120" t="s">
        <v>6</v>
      </c>
      <c r="D2120" t="s">
        <v>7</v>
      </c>
      <c r="E2120" t="s">
        <v>8</v>
      </c>
      <c r="F2120" s="28">
        <v>5275</v>
      </c>
      <c r="G2120" t="s">
        <v>276</v>
      </c>
      <c r="H2120" s="1">
        <v>1853575</v>
      </c>
      <c r="I2120" s="1">
        <v>280417.76941938215</v>
      </c>
      <c r="J2120" s="1">
        <v>2133992.7694193823</v>
      </c>
    </row>
    <row r="2121" spans="1:10" x14ac:dyDescent="0.2">
      <c r="A2121">
        <v>2009840</v>
      </c>
      <c r="B2121">
        <v>2021</v>
      </c>
      <c r="C2121" t="s">
        <v>6</v>
      </c>
      <c r="D2121" t="s">
        <v>7</v>
      </c>
      <c r="E2121" t="s">
        <v>8</v>
      </c>
      <c r="F2121" s="28">
        <v>5275</v>
      </c>
      <c r="G2121" t="s">
        <v>276</v>
      </c>
      <c r="H2121" s="25">
        <v>1828556</v>
      </c>
      <c r="I2121" s="1">
        <v>272990.8316053208</v>
      </c>
      <c r="J2121" s="1">
        <v>2101546.8316053208</v>
      </c>
    </row>
    <row r="2122" spans="1:10" x14ac:dyDescent="0.2">
      <c r="A2122">
        <v>2009840</v>
      </c>
      <c r="B2122">
        <v>2022</v>
      </c>
      <c r="C2122" t="s">
        <v>6</v>
      </c>
      <c r="D2122" t="s">
        <v>7</v>
      </c>
      <c r="E2122" t="s">
        <v>8</v>
      </c>
      <c r="F2122" s="28">
        <v>5275</v>
      </c>
      <c r="G2122" t="s">
        <v>276</v>
      </c>
      <c r="H2122" s="1">
        <v>1812854</v>
      </c>
      <c r="I2122" s="1">
        <v>246195.64197886444</v>
      </c>
      <c r="J2122" s="1">
        <v>2059049.6419788646</v>
      </c>
    </row>
    <row r="2123" spans="1:10" x14ac:dyDescent="0.2">
      <c r="A2123">
        <v>2009840</v>
      </c>
      <c r="B2123">
        <v>2023</v>
      </c>
      <c r="C2123" t="s">
        <v>6</v>
      </c>
      <c r="D2123" t="s">
        <v>7</v>
      </c>
      <c r="E2123" t="s">
        <v>8</v>
      </c>
      <c r="F2123" s="28">
        <v>5275</v>
      </c>
      <c r="G2123" s="10" t="s">
        <v>276</v>
      </c>
      <c r="H2123" s="1">
        <v>1971399</v>
      </c>
      <c r="I2123" s="1">
        <v>276001.72744902177</v>
      </c>
      <c r="J2123" s="1">
        <v>2247400.7274490218</v>
      </c>
    </row>
    <row r="2124" spans="1:10" x14ac:dyDescent="0.2">
      <c r="A2124">
        <v>2004920</v>
      </c>
      <c r="B2124">
        <v>2015</v>
      </c>
      <c r="C2124" t="s">
        <v>6</v>
      </c>
      <c r="D2124" t="s">
        <v>7</v>
      </c>
      <c r="E2124" t="s">
        <v>8</v>
      </c>
      <c r="F2124" s="29">
        <v>5276</v>
      </c>
      <c r="G2124" s="3" t="s">
        <v>277</v>
      </c>
      <c r="H2124" s="27">
        <v>607026</v>
      </c>
      <c r="I2124" s="1">
        <v>97776.131215015834</v>
      </c>
      <c r="J2124" s="1">
        <v>704802.13121501589</v>
      </c>
    </row>
    <row r="2125" spans="1:10" x14ac:dyDescent="0.2">
      <c r="A2125">
        <v>2004920</v>
      </c>
      <c r="B2125">
        <v>2016</v>
      </c>
      <c r="C2125" t="s">
        <v>6</v>
      </c>
      <c r="D2125" t="s">
        <v>7</v>
      </c>
      <c r="E2125" t="s">
        <v>8</v>
      </c>
      <c r="F2125" s="29">
        <v>5276</v>
      </c>
      <c r="G2125" s="3" t="s">
        <v>277</v>
      </c>
      <c r="H2125" s="1">
        <v>624653</v>
      </c>
      <c r="I2125" s="26">
        <v>1649764.8372678095</v>
      </c>
      <c r="J2125" s="26">
        <v>2274417.8372678095</v>
      </c>
    </row>
    <row r="2126" spans="1:10" x14ac:dyDescent="0.2">
      <c r="A2126">
        <v>2004920</v>
      </c>
      <c r="B2126">
        <v>2017</v>
      </c>
      <c r="C2126" t="s">
        <v>6</v>
      </c>
      <c r="D2126" t="s">
        <v>7</v>
      </c>
      <c r="E2126" t="s">
        <v>8</v>
      </c>
      <c r="F2126" s="29">
        <v>5276</v>
      </c>
      <c r="G2126" s="3" t="s">
        <v>277</v>
      </c>
      <c r="H2126" s="1">
        <v>662553</v>
      </c>
      <c r="I2126" s="1">
        <v>103395.13311474028</v>
      </c>
      <c r="J2126" s="1">
        <v>765948.13311474025</v>
      </c>
    </row>
    <row r="2127" spans="1:10" x14ac:dyDescent="0.2">
      <c r="A2127">
        <v>2004920</v>
      </c>
      <c r="B2127">
        <v>2018</v>
      </c>
      <c r="C2127" t="s">
        <v>6</v>
      </c>
      <c r="D2127" t="s">
        <v>7</v>
      </c>
      <c r="E2127" t="s">
        <v>8</v>
      </c>
      <c r="F2127" s="28">
        <v>5276</v>
      </c>
      <c r="G2127" t="s">
        <v>277</v>
      </c>
      <c r="H2127" s="1">
        <v>793111</v>
      </c>
      <c r="I2127" s="1">
        <v>119933.72779539024</v>
      </c>
      <c r="J2127" s="1">
        <v>913044.72779539018</v>
      </c>
    </row>
    <row r="2128" spans="1:10" x14ac:dyDescent="0.2">
      <c r="A2128">
        <v>2004920</v>
      </c>
      <c r="B2128">
        <v>2019</v>
      </c>
      <c r="C2128" t="s">
        <v>6</v>
      </c>
      <c r="D2128" t="s">
        <v>7</v>
      </c>
      <c r="E2128" t="s">
        <v>8</v>
      </c>
      <c r="F2128" s="28">
        <v>5276</v>
      </c>
      <c r="G2128" t="s">
        <v>277</v>
      </c>
      <c r="H2128" s="1">
        <v>865485</v>
      </c>
      <c r="I2128" s="1">
        <v>131811.48036907558</v>
      </c>
      <c r="J2128" s="1">
        <v>997296.48036907555</v>
      </c>
    </row>
    <row r="2129" spans="1:10" x14ac:dyDescent="0.2">
      <c r="A2129">
        <v>2004920</v>
      </c>
      <c r="B2129">
        <v>2020</v>
      </c>
      <c r="C2129" t="s">
        <v>6</v>
      </c>
      <c r="D2129" t="s">
        <v>7</v>
      </c>
      <c r="E2129" t="s">
        <v>8</v>
      </c>
      <c r="F2129" s="28">
        <v>5276</v>
      </c>
      <c r="G2129" t="s">
        <v>277</v>
      </c>
      <c r="H2129" s="1">
        <v>942464</v>
      </c>
      <c r="I2129" s="1">
        <v>142580.50126812703</v>
      </c>
      <c r="J2129" s="1">
        <v>1085044.501268127</v>
      </c>
    </row>
    <row r="2130" spans="1:10" x14ac:dyDescent="0.2">
      <c r="A2130">
        <v>2004920</v>
      </c>
      <c r="B2130">
        <v>2021</v>
      </c>
      <c r="C2130" t="s">
        <v>6</v>
      </c>
      <c r="D2130" t="s">
        <v>7</v>
      </c>
      <c r="E2130" t="s">
        <v>8</v>
      </c>
      <c r="F2130" s="28">
        <v>5276</v>
      </c>
      <c r="G2130" t="s">
        <v>277</v>
      </c>
      <c r="H2130" s="25">
        <v>899516</v>
      </c>
      <c r="I2130" s="1">
        <v>134291.55075496278</v>
      </c>
      <c r="J2130" s="1">
        <v>1033807.5507549627</v>
      </c>
    </row>
    <row r="2131" spans="1:10" x14ac:dyDescent="0.2">
      <c r="A2131">
        <v>2004920</v>
      </c>
      <c r="B2131">
        <v>2022</v>
      </c>
      <c r="C2131" t="s">
        <v>6</v>
      </c>
      <c r="D2131" t="s">
        <v>7</v>
      </c>
      <c r="E2131" t="s">
        <v>8</v>
      </c>
      <c r="F2131" s="28">
        <v>5276</v>
      </c>
      <c r="G2131" t="s">
        <v>277</v>
      </c>
      <c r="H2131" s="1">
        <v>904096</v>
      </c>
      <c r="I2131" s="1">
        <v>122781.25824281681</v>
      </c>
      <c r="J2131" s="1">
        <v>1026877.2582428168</v>
      </c>
    </row>
    <row r="2132" spans="1:10" x14ac:dyDescent="0.2">
      <c r="A2132">
        <v>2004920</v>
      </c>
      <c r="B2132">
        <v>2023</v>
      </c>
      <c r="C2132" t="s">
        <v>6</v>
      </c>
      <c r="D2132" t="s">
        <v>7</v>
      </c>
      <c r="E2132" t="s">
        <v>8</v>
      </c>
      <c r="F2132" s="28">
        <v>5276</v>
      </c>
      <c r="G2132" s="10" t="s">
        <v>277</v>
      </c>
      <c r="H2132" s="1">
        <v>903209</v>
      </c>
      <c r="I2132" s="1">
        <v>126451.94820911621</v>
      </c>
      <c r="J2132" s="1">
        <v>1029660.9482091162</v>
      </c>
    </row>
    <row r="2133" spans="1:10" x14ac:dyDescent="0.2">
      <c r="A2133">
        <v>2010950</v>
      </c>
      <c r="B2133">
        <v>2015</v>
      </c>
      <c r="C2133" t="s">
        <v>6</v>
      </c>
      <c r="D2133" t="s">
        <v>7</v>
      </c>
      <c r="E2133" t="s">
        <v>8</v>
      </c>
      <c r="F2133" s="29">
        <v>5278</v>
      </c>
      <c r="G2133" s="3" t="s">
        <v>278</v>
      </c>
      <c r="H2133" s="27">
        <v>167721</v>
      </c>
      <c r="I2133" s="1">
        <v>27015.499341895855</v>
      </c>
      <c r="J2133" s="1">
        <v>194736.49934189586</v>
      </c>
    </row>
    <row r="2134" spans="1:10" x14ac:dyDescent="0.2">
      <c r="A2134">
        <v>2010950</v>
      </c>
      <c r="B2134">
        <v>2016</v>
      </c>
      <c r="C2134" t="s">
        <v>6</v>
      </c>
      <c r="D2134" t="s">
        <v>7</v>
      </c>
      <c r="E2134" t="s">
        <v>8</v>
      </c>
      <c r="F2134" s="29">
        <v>5278</v>
      </c>
      <c r="G2134" s="3" t="s">
        <v>278</v>
      </c>
      <c r="H2134" s="1">
        <v>161128</v>
      </c>
      <c r="I2134" s="26">
        <v>425549.71829443233</v>
      </c>
      <c r="J2134" s="26">
        <v>586677.71829443239</v>
      </c>
    </row>
    <row r="2135" spans="1:10" x14ac:dyDescent="0.2">
      <c r="A2135">
        <v>2010950</v>
      </c>
      <c r="B2135">
        <v>2017</v>
      </c>
      <c r="C2135" t="s">
        <v>6</v>
      </c>
      <c r="D2135" t="s">
        <v>7</v>
      </c>
      <c r="E2135" t="s">
        <v>8</v>
      </c>
      <c r="F2135" s="29">
        <v>5278</v>
      </c>
      <c r="G2135" s="3" t="s">
        <v>278</v>
      </c>
      <c r="H2135" s="1">
        <v>190242</v>
      </c>
      <c r="I2135" s="1">
        <v>29688.337256060153</v>
      </c>
      <c r="J2135" s="1">
        <v>219930.33725606016</v>
      </c>
    </row>
    <row r="2136" spans="1:10" x14ac:dyDescent="0.2">
      <c r="A2136">
        <v>2010950</v>
      </c>
      <c r="B2136">
        <v>2018</v>
      </c>
      <c r="C2136" t="s">
        <v>6</v>
      </c>
      <c r="D2136" t="s">
        <v>7</v>
      </c>
      <c r="E2136" t="s">
        <v>8</v>
      </c>
      <c r="F2136" s="28">
        <v>5278</v>
      </c>
      <c r="G2136" t="s">
        <v>278</v>
      </c>
      <c r="H2136" s="1">
        <v>243305</v>
      </c>
      <c r="I2136" s="1">
        <v>36792.423306772216</v>
      </c>
      <c r="J2136" s="1">
        <v>280097.42330677219</v>
      </c>
    </row>
    <row r="2137" spans="1:10" x14ac:dyDescent="0.2">
      <c r="A2137">
        <v>2010950</v>
      </c>
      <c r="B2137">
        <v>2019</v>
      </c>
      <c r="C2137" t="s">
        <v>6</v>
      </c>
      <c r="D2137" t="s">
        <v>7</v>
      </c>
      <c r="E2137" t="s">
        <v>8</v>
      </c>
      <c r="F2137" s="28">
        <v>5278</v>
      </c>
      <c r="G2137" t="s">
        <v>278</v>
      </c>
      <c r="H2137" s="1">
        <v>223550</v>
      </c>
      <c r="I2137" s="1">
        <v>34046.178081083839</v>
      </c>
      <c r="J2137" s="1">
        <v>257596.17808108384</v>
      </c>
    </row>
    <row r="2138" spans="1:10" x14ac:dyDescent="0.2">
      <c r="A2138">
        <v>2010950</v>
      </c>
      <c r="B2138">
        <v>2020</v>
      </c>
      <c r="C2138" t="s">
        <v>6</v>
      </c>
      <c r="D2138" t="s">
        <v>7</v>
      </c>
      <c r="E2138" t="s">
        <v>8</v>
      </c>
      <c r="F2138" s="28">
        <v>5278</v>
      </c>
      <c r="G2138" t="s">
        <v>278</v>
      </c>
      <c r="H2138" s="1">
        <v>284578</v>
      </c>
      <c r="I2138" s="1">
        <v>43052.332916568754</v>
      </c>
      <c r="J2138" s="1">
        <v>327630.33291656873</v>
      </c>
    </row>
    <row r="2139" spans="1:10" x14ac:dyDescent="0.2">
      <c r="A2139">
        <v>2010950</v>
      </c>
      <c r="B2139">
        <v>2021</v>
      </c>
      <c r="C2139" t="s">
        <v>6</v>
      </c>
      <c r="D2139" t="s">
        <v>7</v>
      </c>
      <c r="E2139" t="s">
        <v>8</v>
      </c>
      <c r="F2139" s="28">
        <v>5278</v>
      </c>
      <c r="G2139" t="s">
        <v>278</v>
      </c>
      <c r="H2139" s="25">
        <v>321369</v>
      </c>
      <c r="I2139" s="1">
        <v>47978.180904588284</v>
      </c>
      <c r="J2139" s="1">
        <v>369347.18090458831</v>
      </c>
    </row>
    <row r="2140" spans="1:10" x14ac:dyDescent="0.2">
      <c r="A2140">
        <v>2010950</v>
      </c>
      <c r="B2140">
        <v>2022</v>
      </c>
      <c r="C2140" t="s">
        <v>6</v>
      </c>
      <c r="D2140" t="s">
        <v>7</v>
      </c>
      <c r="E2140" t="s">
        <v>8</v>
      </c>
      <c r="F2140" s="28">
        <v>5278</v>
      </c>
      <c r="G2140" t="s">
        <v>278</v>
      </c>
      <c r="H2140" s="1">
        <v>308165</v>
      </c>
      <c r="I2140" s="1">
        <v>41850.518580325144</v>
      </c>
      <c r="J2140" s="1">
        <v>350015.51858032512</v>
      </c>
    </row>
    <row r="2141" spans="1:10" x14ac:dyDescent="0.2">
      <c r="A2141">
        <v>2010950</v>
      </c>
      <c r="B2141">
        <v>2023</v>
      </c>
      <c r="C2141" t="s">
        <v>6</v>
      </c>
      <c r="D2141" t="s">
        <v>7</v>
      </c>
      <c r="E2141" t="s">
        <v>8</v>
      </c>
      <c r="F2141" s="28">
        <v>5278</v>
      </c>
      <c r="G2141" s="10" t="s">
        <v>278</v>
      </c>
      <c r="H2141" s="1">
        <v>318691</v>
      </c>
      <c r="I2141" s="1">
        <v>44617.688515848989</v>
      </c>
      <c r="J2141" s="1">
        <v>363308.688515849</v>
      </c>
    </row>
    <row r="2142" spans="1:10" x14ac:dyDescent="0.2">
      <c r="A2142">
        <v>2007620</v>
      </c>
      <c r="B2142">
        <v>2015</v>
      </c>
      <c r="C2142" t="s">
        <v>6</v>
      </c>
      <c r="D2142" t="s">
        <v>7</v>
      </c>
      <c r="E2142" t="s">
        <v>8</v>
      </c>
      <c r="F2142" s="29">
        <v>5280</v>
      </c>
      <c r="G2142" s="3" t="s">
        <v>279</v>
      </c>
      <c r="H2142" s="27">
        <v>2793839</v>
      </c>
      <c r="I2142" s="1">
        <v>450014.9394879769</v>
      </c>
      <c r="J2142" s="1">
        <v>3243853.939487977</v>
      </c>
    </row>
    <row r="2143" spans="1:10" x14ac:dyDescent="0.2">
      <c r="A2143">
        <v>2007620</v>
      </c>
      <c r="B2143">
        <v>2016</v>
      </c>
      <c r="C2143" t="s">
        <v>6</v>
      </c>
      <c r="D2143" t="s">
        <v>7</v>
      </c>
      <c r="E2143" t="s">
        <v>8</v>
      </c>
      <c r="F2143" s="29">
        <v>5280</v>
      </c>
      <c r="G2143" s="3" t="s">
        <v>279</v>
      </c>
      <c r="H2143" s="1">
        <v>3424293</v>
      </c>
      <c r="I2143" s="26">
        <v>9043861.5435662866</v>
      </c>
      <c r="J2143" s="26">
        <v>12468154.543566287</v>
      </c>
    </row>
    <row r="2144" spans="1:10" x14ac:dyDescent="0.2">
      <c r="A2144">
        <v>2007620</v>
      </c>
      <c r="B2144">
        <v>2017</v>
      </c>
      <c r="C2144" t="s">
        <v>6</v>
      </c>
      <c r="D2144" t="s">
        <v>7</v>
      </c>
      <c r="E2144" t="s">
        <v>8</v>
      </c>
      <c r="F2144" s="29">
        <v>5280</v>
      </c>
      <c r="G2144" s="3" t="s">
        <v>279</v>
      </c>
      <c r="H2144" s="1">
        <v>3505298</v>
      </c>
      <c r="I2144" s="1">
        <v>547021.52630330389</v>
      </c>
      <c r="J2144" s="1">
        <v>4052319.5263033039</v>
      </c>
    </row>
    <row r="2145" spans="1:10" x14ac:dyDescent="0.2">
      <c r="A2145">
        <v>2007620</v>
      </c>
      <c r="B2145">
        <v>2018</v>
      </c>
      <c r="C2145" t="s">
        <v>6</v>
      </c>
      <c r="D2145" t="s">
        <v>7</v>
      </c>
      <c r="E2145" t="s">
        <v>8</v>
      </c>
      <c r="F2145" s="28">
        <v>5280</v>
      </c>
      <c r="G2145" t="s">
        <v>279</v>
      </c>
      <c r="H2145" s="1">
        <v>4006194</v>
      </c>
      <c r="I2145" s="1">
        <v>605814.04203387117</v>
      </c>
      <c r="J2145" s="1">
        <v>4612008.0420338716</v>
      </c>
    </row>
    <row r="2146" spans="1:10" x14ac:dyDescent="0.2">
      <c r="A2146">
        <v>2007620</v>
      </c>
      <c r="B2146">
        <v>2019</v>
      </c>
      <c r="C2146" t="s">
        <v>6</v>
      </c>
      <c r="D2146" t="s">
        <v>7</v>
      </c>
      <c r="E2146" t="s">
        <v>8</v>
      </c>
      <c r="F2146" s="28">
        <v>5280</v>
      </c>
      <c r="G2146" t="s">
        <v>279</v>
      </c>
      <c r="H2146" s="1">
        <v>4645813</v>
      </c>
      <c r="I2146" s="1">
        <v>707547.20075783657</v>
      </c>
      <c r="J2146" s="1">
        <v>5353360.2007578369</v>
      </c>
    </row>
    <row r="2147" spans="1:10" x14ac:dyDescent="0.2">
      <c r="A2147">
        <v>2007620</v>
      </c>
      <c r="B2147">
        <v>2020</v>
      </c>
      <c r="C2147" t="s">
        <v>6</v>
      </c>
      <c r="D2147" t="s">
        <v>7</v>
      </c>
      <c r="E2147" t="s">
        <v>8</v>
      </c>
      <c r="F2147" s="28">
        <v>5280</v>
      </c>
      <c r="G2147" t="s">
        <v>279</v>
      </c>
      <c r="H2147" s="1">
        <v>5130966</v>
      </c>
      <c r="I2147" s="1">
        <v>776237.293169518</v>
      </c>
      <c r="J2147" s="1">
        <v>5907203.293169518</v>
      </c>
    </row>
    <row r="2148" spans="1:10" x14ac:dyDescent="0.2">
      <c r="A2148">
        <v>2007620</v>
      </c>
      <c r="B2148">
        <v>2021</v>
      </c>
      <c r="C2148" t="s">
        <v>6</v>
      </c>
      <c r="D2148" t="s">
        <v>7</v>
      </c>
      <c r="E2148" t="s">
        <v>8</v>
      </c>
      <c r="F2148" s="28">
        <v>5280</v>
      </c>
      <c r="G2148" t="s">
        <v>279</v>
      </c>
      <c r="H2148" s="25">
        <v>5074284</v>
      </c>
      <c r="I2148" s="1">
        <v>757555.69365202577</v>
      </c>
      <c r="J2148" s="1">
        <v>5831839.6936520254</v>
      </c>
    </row>
    <row r="2149" spans="1:10" x14ac:dyDescent="0.2">
      <c r="A2149">
        <v>2007620</v>
      </c>
      <c r="B2149">
        <v>2022</v>
      </c>
      <c r="C2149" t="s">
        <v>6</v>
      </c>
      <c r="D2149" t="s">
        <v>7</v>
      </c>
      <c r="E2149" t="s">
        <v>8</v>
      </c>
      <c r="F2149" s="28">
        <v>5280</v>
      </c>
      <c r="G2149" t="s">
        <v>279</v>
      </c>
      <c r="H2149" s="1">
        <v>5080682</v>
      </c>
      <c r="I2149" s="1">
        <v>689984.8342340095</v>
      </c>
      <c r="J2149" s="1">
        <v>5770666.8342340095</v>
      </c>
    </row>
    <row r="2150" spans="1:10" x14ac:dyDescent="0.2">
      <c r="A2150">
        <v>2007620</v>
      </c>
      <c r="B2150">
        <v>2023</v>
      </c>
      <c r="C2150" t="s">
        <v>6</v>
      </c>
      <c r="D2150" t="s">
        <v>7</v>
      </c>
      <c r="E2150" t="s">
        <v>8</v>
      </c>
      <c r="F2150" s="28">
        <v>5280</v>
      </c>
      <c r="G2150" s="10" t="s">
        <v>279</v>
      </c>
      <c r="H2150" s="1">
        <v>4995571</v>
      </c>
      <c r="I2150" s="1">
        <v>699394.8082525339</v>
      </c>
      <c r="J2150" s="1">
        <v>5694965.8082525339</v>
      </c>
    </row>
    <row r="2151" spans="1:10" x14ac:dyDescent="0.2">
      <c r="A2151">
        <v>2011040</v>
      </c>
      <c r="B2151">
        <v>2015</v>
      </c>
      <c r="C2151" t="s">
        <v>6</v>
      </c>
      <c r="D2151" t="s">
        <v>7</v>
      </c>
      <c r="E2151" t="s">
        <v>8</v>
      </c>
      <c r="F2151" s="29">
        <v>5281</v>
      </c>
      <c r="G2151" s="3" t="s">
        <v>280</v>
      </c>
      <c r="H2151" s="27">
        <v>120345</v>
      </c>
      <c r="I2151" s="1">
        <v>19384.4555440312</v>
      </c>
      <c r="J2151" s="1">
        <v>139729.4555440312</v>
      </c>
    </row>
    <row r="2152" spans="1:10" x14ac:dyDescent="0.2">
      <c r="A2152">
        <v>2011040</v>
      </c>
      <c r="B2152">
        <v>2016</v>
      </c>
      <c r="C2152" t="s">
        <v>6</v>
      </c>
      <c r="D2152" t="s">
        <v>7</v>
      </c>
      <c r="E2152" t="s">
        <v>8</v>
      </c>
      <c r="F2152" s="29">
        <v>5281</v>
      </c>
      <c r="G2152" s="3" t="s">
        <v>280</v>
      </c>
      <c r="H2152" s="1">
        <v>147741</v>
      </c>
      <c r="I2152" s="26">
        <v>390199.01925873716</v>
      </c>
      <c r="J2152" s="26">
        <v>537940.01925873721</v>
      </c>
    </row>
    <row r="2153" spans="1:10" x14ac:dyDescent="0.2">
      <c r="A2153">
        <v>2011040</v>
      </c>
      <c r="B2153">
        <v>2017</v>
      </c>
      <c r="C2153" t="s">
        <v>6</v>
      </c>
      <c r="D2153" t="s">
        <v>7</v>
      </c>
      <c r="E2153" t="s">
        <v>8</v>
      </c>
      <c r="F2153" s="29">
        <v>5281</v>
      </c>
      <c r="G2153" s="3" t="s">
        <v>280</v>
      </c>
      <c r="H2153" s="1">
        <v>148437</v>
      </c>
      <c r="I2153" s="1">
        <v>23164.431183848996</v>
      </c>
      <c r="J2153" s="1">
        <v>171601.431183849</v>
      </c>
    </row>
    <row r="2154" spans="1:10" x14ac:dyDescent="0.2">
      <c r="A2154">
        <v>2011040</v>
      </c>
      <c r="B2154">
        <v>2018</v>
      </c>
      <c r="C2154" t="s">
        <v>6</v>
      </c>
      <c r="D2154" t="s">
        <v>7</v>
      </c>
      <c r="E2154" t="s">
        <v>8</v>
      </c>
      <c r="F2154" s="28">
        <v>5281</v>
      </c>
      <c r="G2154" t="s">
        <v>280</v>
      </c>
      <c r="H2154" s="1">
        <v>164310</v>
      </c>
      <c r="I2154" s="1">
        <v>24846.850962930246</v>
      </c>
      <c r="J2154" s="1">
        <v>189156.85096293024</v>
      </c>
    </row>
    <row r="2155" spans="1:10" x14ac:dyDescent="0.2">
      <c r="A2155">
        <v>2011040</v>
      </c>
      <c r="B2155">
        <v>2019</v>
      </c>
      <c r="C2155" t="s">
        <v>6</v>
      </c>
      <c r="D2155" t="s">
        <v>7</v>
      </c>
      <c r="E2155" t="s">
        <v>8</v>
      </c>
      <c r="F2155" s="28">
        <v>5281</v>
      </c>
      <c r="G2155" t="s">
        <v>280</v>
      </c>
      <c r="H2155" s="1">
        <v>224958</v>
      </c>
      <c r="I2155" s="1">
        <v>34260.613414289684</v>
      </c>
      <c r="J2155" s="1">
        <v>259218.61341428969</v>
      </c>
    </row>
    <row r="2156" spans="1:10" x14ac:dyDescent="0.2">
      <c r="A2156">
        <v>2011040</v>
      </c>
      <c r="B2156">
        <v>2020</v>
      </c>
      <c r="C2156" t="s">
        <v>6</v>
      </c>
      <c r="D2156" t="s">
        <v>7</v>
      </c>
      <c r="E2156" t="s">
        <v>8</v>
      </c>
      <c r="F2156" s="28">
        <v>5281</v>
      </c>
      <c r="G2156" t="s">
        <v>280</v>
      </c>
      <c r="H2156" s="1">
        <v>236757</v>
      </c>
      <c r="I2156" s="1">
        <v>35817.741302307521</v>
      </c>
      <c r="J2156" s="1">
        <v>272574.74130230752</v>
      </c>
    </row>
    <row r="2157" spans="1:10" x14ac:dyDescent="0.2">
      <c r="A2157">
        <v>2011040</v>
      </c>
      <c r="B2157">
        <v>2021</v>
      </c>
      <c r="C2157" t="s">
        <v>6</v>
      </c>
      <c r="D2157" t="s">
        <v>7</v>
      </c>
      <c r="E2157" t="s">
        <v>8</v>
      </c>
      <c r="F2157" s="28">
        <v>5281</v>
      </c>
      <c r="G2157" t="s">
        <v>280</v>
      </c>
      <c r="H2157" s="25">
        <v>240158</v>
      </c>
      <c r="I2157" s="1">
        <v>35853.937279837548</v>
      </c>
      <c r="J2157" s="1">
        <v>276011.93727983756</v>
      </c>
    </row>
    <row r="2158" spans="1:10" x14ac:dyDescent="0.2">
      <c r="A2158">
        <v>2011040</v>
      </c>
      <c r="B2158">
        <v>2022</v>
      </c>
      <c r="C2158" t="s">
        <v>6</v>
      </c>
      <c r="D2158" t="s">
        <v>7</v>
      </c>
      <c r="E2158" t="s">
        <v>8</v>
      </c>
      <c r="F2158" s="28">
        <v>5281</v>
      </c>
      <c r="G2158" t="s">
        <v>280</v>
      </c>
      <c r="H2158" s="1">
        <v>247689</v>
      </c>
      <c r="I2158" s="1">
        <v>33637.541890357941</v>
      </c>
      <c r="J2158" s="1">
        <v>281326.54189035797</v>
      </c>
    </row>
    <row r="2159" spans="1:10" x14ac:dyDescent="0.2">
      <c r="A2159">
        <v>2011040</v>
      </c>
      <c r="B2159">
        <v>2023</v>
      </c>
      <c r="C2159" t="s">
        <v>6</v>
      </c>
      <c r="D2159" t="s">
        <v>7</v>
      </c>
      <c r="E2159" t="s">
        <v>8</v>
      </c>
      <c r="F2159" s="28">
        <v>5281</v>
      </c>
      <c r="G2159" s="10" t="s">
        <v>280</v>
      </c>
      <c r="H2159" s="1">
        <v>253057</v>
      </c>
      <c r="I2159" s="1">
        <v>35428.733170234489</v>
      </c>
      <c r="J2159" s="1">
        <v>288485.73317023448</v>
      </c>
    </row>
    <row r="2160" spans="1:10" x14ac:dyDescent="0.2">
      <c r="A2160">
        <v>2010650</v>
      </c>
      <c r="B2160">
        <v>2015</v>
      </c>
      <c r="C2160" t="s">
        <v>6</v>
      </c>
      <c r="D2160" t="s">
        <v>7</v>
      </c>
      <c r="E2160" t="s">
        <v>8</v>
      </c>
      <c r="F2160" s="29">
        <v>5283</v>
      </c>
      <c r="G2160" s="3" t="s">
        <v>281</v>
      </c>
      <c r="H2160" s="27">
        <v>339359</v>
      </c>
      <c r="I2160" s="1">
        <v>54661.925704988847</v>
      </c>
      <c r="J2160" s="1">
        <v>394020.92570498883</v>
      </c>
    </row>
    <row r="2161" spans="1:10" x14ac:dyDescent="0.2">
      <c r="A2161">
        <v>2010650</v>
      </c>
      <c r="B2161">
        <v>2016</v>
      </c>
      <c r="C2161" t="s">
        <v>6</v>
      </c>
      <c r="D2161" t="s">
        <v>7</v>
      </c>
      <c r="E2161" t="s">
        <v>8</v>
      </c>
      <c r="F2161" s="29">
        <v>5283</v>
      </c>
      <c r="G2161" s="3" t="s">
        <v>281</v>
      </c>
      <c r="H2161" s="1">
        <v>334369</v>
      </c>
      <c r="I2161" s="26">
        <v>883103.9868402495</v>
      </c>
      <c r="J2161" s="26">
        <v>1217472.9868402495</v>
      </c>
    </row>
    <row r="2162" spans="1:10" x14ac:dyDescent="0.2">
      <c r="A2162">
        <v>2010650</v>
      </c>
      <c r="B2162">
        <v>2017</v>
      </c>
      <c r="C2162" t="s">
        <v>6</v>
      </c>
      <c r="D2162" t="s">
        <v>7</v>
      </c>
      <c r="E2162" t="s">
        <v>8</v>
      </c>
      <c r="F2162" s="29">
        <v>5283</v>
      </c>
      <c r="G2162" s="3" t="s">
        <v>281</v>
      </c>
      <c r="H2162" s="1">
        <v>355014</v>
      </c>
      <c r="I2162" s="1">
        <v>55401.937335724702</v>
      </c>
      <c r="J2162" s="1">
        <v>410415.93733572471</v>
      </c>
    </row>
    <row r="2163" spans="1:10" x14ac:dyDescent="0.2">
      <c r="A2163">
        <v>2010650</v>
      </c>
      <c r="B2163">
        <v>2018</v>
      </c>
      <c r="C2163" t="s">
        <v>6</v>
      </c>
      <c r="D2163" t="s">
        <v>7</v>
      </c>
      <c r="E2163" t="s">
        <v>8</v>
      </c>
      <c r="F2163" s="28">
        <v>5283</v>
      </c>
      <c r="G2163" t="s">
        <v>281</v>
      </c>
      <c r="H2163" s="1">
        <v>418374</v>
      </c>
      <c r="I2163" s="1">
        <v>63266.243227831408</v>
      </c>
      <c r="J2163" s="1">
        <v>481640.24322783144</v>
      </c>
    </row>
    <row r="2164" spans="1:10" x14ac:dyDescent="0.2">
      <c r="A2164">
        <v>2010650</v>
      </c>
      <c r="B2164">
        <v>2019</v>
      </c>
      <c r="C2164" t="s">
        <v>6</v>
      </c>
      <c r="D2164" t="s">
        <v>7</v>
      </c>
      <c r="E2164" t="s">
        <v>8</v>
      </c>
      <c r="F2164" s="28">
        <v>5283</v>
      </c>
      <c r="G2164" t="s">
        <v>281</v>
      </c>
      <c r="H2164" s="1">
        <v>459787</v>
      </c>
      <c r="I2164" s="1">
        <v>70024.558628348444</v>
      </c>
      <c r="J2164" s="1">
        <v>529811.5586283484</v>
      </c>
    </row>
    <row r="2165" spans="1:10" x14ac:dyDescent="0.2">
      <c r="A2165">
        <v>2010650</v>
      </c>
      <c r="B2165">
        <v>2020</v>
      </c>
      <c r="C2165" t="s">
        <v>6</v>
      </c>
      <c r="D2165" t="s">
        <v>7</v>
      </c>
      <c r="E2165" t="s">
        <v>8</v>
      </c>
      <c r="F2165" s="28">
        <v>5283</v>
      </c>
      <c r="G2165" t="s">
        <v>281</v>
      </c>
      <c r="H2165" s="1">
        <v>513558</v>
      </c>
      <c r="I2165" s="1">
        <v>77693.532135186906</v>
      </c>
      <c r="J2165" s="1">
        <v>591251.53213518695</v>
      </c>
    </row>
    <row r="2166" spans="1:10" x14ac:dyDescent="0.2">
      <c r="A2166">
        <v>2010650</v>
      </c>
      <c r="B2166">
        <v>2021</v>
      </c>
      <c r="C2166" t="s">
        <v>6</v>
      </c>
      <c r="D2166" t="s">
        <v>7</v>
      </c>
      <c r="E2166" t="s">
        <v>8</v>
      </c>
      <c r="F2166" s="28">
        <v>5283</v>
      </c>
      <c r="G2166" t="s">
        <v>281</v>
      </c>
      <c r="H2166" s="25">
        <v>526984</v>
      </c>
      <c r="I2166" s="1">
        <v>78675.08591626308</v>
      </c>
      <c r="J2166" s="1">
        <v>605659.08591626305</v>
      </c>
    </row>
    <row r="2167" spans="1:10" x14ac:dyDescent="0.2">
      <c r="A2167">
        <v>2010650</v>
      </c>
      <c r="B2167">
        <v>2022</v>
      </c>
      <c r="C2167" t="s">
        <v>6</v>
      </c>
      <c r="D2167" t="s">
        <v>7</v>
      </c>
      <c r="E2167" t="s">
        <v>8</v>
      </c>
      <c r="F2167" s="28">
        <v>5283</v>
      </c>
      <c r="G2167" t="s">
        <v>281</v>
      </c>
      <c r="H2167" s="1">
        <v>475623</v>
      </c>
      <c r="I2167" s="1">
        <v>64592.245059399953</v>
      </c>
      <c r="J2167" s="1">
        <v>540215.24505939998</v>
      </c>
    </row>
    <row r="2168" spans="1:10" x14ac:dyDescent="0.2">
      <c r="A2168">
        <v>2010650</v>
      </c>
      <c r="B2168">
        <v>2023</v>
      </c>
      <c r="C2168" t="s">
        <v>6</v>
      </c>
      <c r="D2168" t="s">
        <v>7</v>
      </c>
      <c r="E2168" t="s">
        <v>8</v>
      </c>
      <c r="F2168" s="28">
        <v>5283</v>
      </c>
      <c r="G2168" s="10" t="s">
        <v>281</v>
      </c>
      <c r="H2168" s="1">
        <v>490444</v>
      </c>
      <c r="I2168" s="1">
        <v>68663.619702053213</v>
      </c>
      <c r="J2168" s="1">
        <v>559107.61970205326</v>
      </c>
    </row>
    <row r="2169" spans="1:10" x14ac:dyDescent="0.2">
      <c r="A2169">
        <v>2009510</v>
      </c>
      <c r="B2169">
        <v>2015</v>
      </c>
      <c r="C2169" t="s">
        <v>6</v>
      </c>
      <c r="D2169" t="s">
        <v>7</v>
      </c>
      <c r="E2169" t="s">
        <v>8</v>
      </c>
      <c r="F2169" s="29">
        <v>5284</v>
      </c>
      <c r="G2169" s="3" t="s">
        <v>282</v>
      </c>
      <c r="H2169" s="27">
        <v>430609</v>
      </c>
      <c r="I2169" s="1">
        <v>69359.932006811505</v>
      </c>
      <c r="J2169" s="1">
        <v>499968.93200681149</v>
      </c>
    </row>
    <row r="2170" spans="1:10" x14ac:dyDescent="0.2">
      <c r="A2170">
        <v>2009510</v>
      </c>
      <c r="B2170">
        <v>2016</v>
      </c>
      <c r="C2170" t="s">
        <v>6</v>
      </c>
      <c r="D2170" t="s">
        <v>7</v>
      </c>
      <c r="E2170" t="s">
        <v>8</v>
      </c>
      <c r="F2170" s="29">
        <v>5284</v>
      </c>
      <c r="G2170" s="3" t="s">
        <v>282</v>
      </c>
      <c r="H2170" s="1">
        <v>451109</v>
      </c>
      <c r="I2170" s="26">
        <v>1191419.9943485975</v>
      </c>
      <c r="J2170" s="26">
        <v>1642528.9943485975</v>
      </c>
    </row>
    <row r="2171" spans="1:10" x14ac:dyDescent="0.2">
      <c r="A2171">
        <v>2009510</v>
      </c>
      <c r="B2171">
        <v>2017</v>
      </c>
      <c r="C2171" t="s">
        <v>6</v>
      </c>
      <c r="D2171" t="s">
        <v>7</v>
      </c>
      <c r="E2171" t="s">
        <v>8</v>
      </c>
      <c r="F2171" s="29">
        <v>5284</v>
      </c>
      <c r="G2171" s="3" t="s">
        <v>282</v>
      </c>
      <c r="H2171" s="1">
        <v>490735</v>
      </c>
      <c r="I2171" s="1">
        <v>76581.964988555002</v>
      </c>
      <c r="J2171" s="1">
        <v>567316.96498855506</v>
      </c>
    </row>
    <row r="2172" spans="1:10" x14ac:dyDescent="0.2">
      <c r="A2172">
        <v>2009510</v>
      </c>
      <c r="B2172">
        <v>2018</v>
      </c>
      <c r="C2172" t="s">
        <v>6</v>
      </c>
      <c r="D2172" t="s">
        <v>7</v>
      </c>
      <c r="E2172" t="s">
        <v>8</v>
      </c>
      <c r="F2172" s="28">
        <v>5284</v>
      </c>
      <c r="G2172" t="s">
        <v>282</v>
      </c>
      <c r="H2172" s="1">
        <v>597197</v>
      </c>
      <c r="I2172" s="1">
        <v>90307.740578839119</v>
      </c>
      <c r="J2172" s="1">
        <v>687504.74057883909</v>
      </c>
    </row>
    <row r="2173" spans="1:10" x14ac:dyDescent="0.2">
      <c r="A2173">
        <v>2009510</v>
      </c>
      <c r="B2173">
        <v>2019</v>
      </c>
      <c r="C2173" t="s">
        <v>6</v>
      </c>
      <c r="D2173" t="s">
        <v>7</v>
      </c>
      <c r="E2173" t="s">
        <v>8</v>
      </c>
      <c r="F2173" s="28">
        <v>5284</v>
      </c>
      <c r="G2173" t="s">
        <v>282</v>
      </c>
      <c r="H2173" s="1">
        <v>626262</v>
      </c>
      <c r="I2173" s="1">
        <v>95378.338525679836</v>
      </c>
      <c r="J2173" s="1">
        <v>721640.33852567989</v>
      </c>
    </row>
    <row r="2174" spans="1:10" x14ac:dyDescent="0.2">
      <c r="A2174">
        <v>2009510</v>
      </c>
      <c r="B2174">
        <v>2020</v>
      </c>
      <c r="C2174" t="s">
        <v>6</v>
      </c>
      <c r="D2174" t="s">
        <v>7</v>
      </c>
      <c r="E2174" t="s">
        <v>8</v>
      </c>
      <c r="F2174" s="28">
        <v>5284</v>
      </c>
      <c r="G2174" t="s">
        <v>282</v>
      </c>
      <c r="H2174" s="1">
        <v>652503</v>
      </c>
      <c r="I2174" s="1">
        <v>98713.80213881559</v>
      </c>
      <c r="J2174" s="1">
        <v>751216.80213881563</v>
      </c>
    </row>
    <row r="2175" spans="1:10" x14ac:dyDescent="0.2">
      <c r="A2175">
        <v>2009510</v>
      </c>
      <c r="B2175">
        <v>2021</v>
      </c>
      <c r="C2175" t="s">
        <v>6</v>
      </c>
      <c r="D2175" t="s">
        <v>7</v>
      </c>
      <c r="E2175" t="s">
        <v>8</v>
      </c>
      <c r="F2175" s="28">
        <v>5284</v>
      </c>
      <c r="G2175" t="s">
        <v>282</v>
      </c>
      <c r="H2175" s="25">
        <v>742263</v>
      </c>
      <c r="I2175" s="1">
        <v>110814.75964633307</v>
      </c>
      <c r="J2175" s="1">
        <v>853077.75964633306</v>
      </c>
    </row>
    <row r="2176" spans="1:10" x14ac:dyDescent="0.2">
      <c r="A2176">
        <v>2009510</v>
      </c>
      <c r="B2176">
        <v>2022</v>
      </c>
      <c r="C2176" t="s">
        <v>6</v>
      </c>
      <c r="D2176" t="s">
        <v>7</v>
      </c>
      <c r="E2176" t="s">
        <v>8</v>
      </c>
      <c r="F2176" s="28">
        <v>5284</v>
      </c>
      <c r="G2176" t="s">
        <v>282</v>
      </c>
      <c r="H2176" s="1">
        <v>765976</v>
      </c>
      <c r="I2176" s="1">
        <v>104023.7951100324</v>
      </c>
      <c r="J2176" s="1">
        <v>869999.79511003243</v>
      </c>
    </row>
    <row r="2177" spans="1:10" x14ac:dyDescent="0.2">
      <c r="A2177">
        <v>2009510</v>
      </c>
      <c r="B2177">
        <v>2023</v>
      </c>
      <c r="C2177" t="s">
        <v>6</v>
      </c>
      <c r="D2177" t="s">
        <v>7</v>
      </c>
      <c r="E2177" t="s">
        <v>8</v>
      </c>
      <c r="F2177" s="28">
        <v>5284</v>
      </c>
      <c r="G2177" s="10" t="s">
        <v>282</v>
      </c>
      <c r="H2177" s="1">
        <v>746680</v>
      </c>
      <c r="I2177" s="1">
        <v>104537.42233390377</v>
      </c>
      <c r="J2177" s="1">
        <v>851217.42233390373</v>
      </c>
    </row>
    <row r="2178" spans="1:10" x14ac:dyDescent="0.2">
      <c r="A2178">
        <v>2010770</v>
      </c>
      <c r="B2178">
        <v>2015</v>
      </c>
      <c r="C2178" t="s">
        <v>6</v>
      </c>
      <c r="D2178" t="s">
        <v>7</v>
      </c>
      <c r="E2178" t="s">
        <v>8</v>
      </c>
      <c r="F2178" s="29">
        <v>5285</v>
      </c>
      <c r="G2178" s="3" t="s">
        <v>283</v>
      </c>
      <c r="H2178" s="27">
        <v>228601</v>
      </c>
      <c r="I2178" s="1">
        <v>36821.686998388599</v>
      </c>
      <c r="J2178" s="1">
        <v>265422.68699838861</v>
      </c>
    </row>
    <row r="2179" spans="1:10" x14ac:dyDescent="0.2">
      <c r="A2179">
        <v>2010770</v>
      </c>
      <c r="B2179">
        <v>2016</v>
      </c>
      <c r="C2179" t="s">
        <v>6</v>
      </c>
      <c r="D2179" t="s">
        <v>7</v>
      </c>
      <c r="E2179" t="s">
        <v>8</v>
      </c>
      <c r="F2179" s="29">
        <v>5285</v>
      </c>
      <c r="G2179" s="3" t="s">
        <v>283</v>
      </c>
      <c r="H2179" s="1">
        <v>257211</v>
      </c>
      <c r="I2179" s="26">
        <v>679321.2227364725</v>
      </c>
      <c r="J2179" s="26">
        <v>936532.2227364725</v>
      </c>
    </row>
    <row r="2180" spans="1:10" x14ac:dyDescent="0.2">
      <c r="A2180">
        <v>2010770</v>
      </c>
      <c r="B2180">
        <v>2017</v>
      </c>
      <c r="C2180" t="s">
        <v>6</v>
      </c>
      <c r="D2180" t="s">
        <v>7</v>
      </c>
      <c r="E2180" t="s">
        <v>8</v>
      </c>
      <c r="F2180" s="29">
        <v>5285</v>
      </c>
      <c r="G2180" s="3" t="s">
        <v>283</v>
      </c>
      <c r="H2180" s="1">
        <v>271697</v>
      </c>
      <c r="I2180" s="1">
        <v>42399.849494116839</v>
      </c>
      <c r="J2180" s="1">
        <v>314096.84949411685</v>
      </c>
    </row>
    <row r="2181" spans="1:10" x14ac:dyDescent="0.2">
      <c r="A2181">
        <v>2010770</v>
      </c>
      <c r="B2181">
        <v>2018</v>
      </c>
      <c r="C2181" t="s">
        <v>6</v>
      </c>
      <c r="D2181" t="s">
        <v>7</v>
      </c>
      <c r="E2181" t="s">
        <v>8</v>
      </c>
      <c r="F2181" s="28">
        <v>5285</v>
      </c>
      <c r="G2181" t="s">
        <v>283</v>
      </c>
      <c r="H2181" s="1">
        <v>317000</v>
      </c>
      <c r="I2181" s="1">
        <v>47936.533109663978</v>
      </c>
      <c r="J2181" s="1">
        <v>364936.53310966399</v>
      </c>
    </row>
    <row r="2182" spans="1:10" x14ac:dyDescent="0.2">
      <c r="A2182">
        <v>2010770</v>
      </c>
      <c r="B2182">
        <v>2019</v>
      </c>
      <c r="C2182" t="s">
        <v>6</v>
      </c>
      <c r="D2182" t="s">
        <v>7</v>
      </c>
      <c r="E2182" t="s">
        <v>8</v>
      </c>
      <c r="F2182" s="28">
        <v>5285</v>
      </c>
      <c r="G2182" t="s">
        <v>283</v>
      </c>
      <c r="H2182" s="1">
        <v>356799</v>
      </c>
      <c r="I2182" s="1">
        <v>54339.710548658615</v>
      </c>
      <c r="J2182" s="1">
        <v>411138.71054865862</v>
      </c>
    </row>
    <row r="2183" spans="1:10" x14ac:dyDescent="0.2">
      <c r="A2183">
        <v>2010770</v>
      </c>
      <c r="B2183">
        <v>2020</v>
      </c>
      <c r="C2183" t="s">
        <v>6</v>
      </c>
      <c r="D2183" t="s">
        <v>7</v>
      </c>
      <c r="E2183" t="s">
        <v>8</v>
      </c>
      <c r="F2183" s="28">
        <v>5285</v>
      </c>
      <c r="G2183" t="s">
        <v>283</v>
      </c>
      <c r="H2183" s="1">
        <v>385543</v>
      </c>
      <c r="I2183" s="1">
        <v>58326.805268336509</v>
      </c>
      <c r="J2183" s="1">
        <v>443869.80526833649</v>
      </c>
    </row>
    <row r="2184" spans="1:10" x14ac:dyDescent="0.2">
      <c r="A2184">
        <v>2010770</v>
      </c>
      <c r="B2184">
        <v>2021</v>
      </c>
      <c r="C2184" t="s">
        <v>6</v>
      </c>
      <c r="D2184" t="s">
        <v>7</v>
      </c>
      <c r="E2184" t="s">
        <v>8</v>
      </c>
      <c r="F2184" s="28">
        <v>5285</v>
      </c>
      <c r="G2184" t="s">
        <v>283</v>
      </c>
      <c r="H2184" s="25">
        <v>379932</v>
      </c>
      <c r="I2184" s="1">
        <v>56721.2339318417</v>
      </c>
      <c r="J2184" s="1">
        <v>436653.23393184168</v>
      </c>
    </row>
    <row r="2185" spans="1:10" x14ac:dyDescent="0.2">
      <c r="A2185">
        <v>2010770</v>
      </c>
      <c r="B2185">
        <v>2022</v>
      </c>
      <c r="C2185" t="s">
        <v>6</v>
      </c>
      <c r="D2185" t="s">
        <v>7</v>
      </c>
      <c r="E2185" t="s">
        <v>8</v>
      </c>
      <c r="F2185" s="28">
        <v>5285</v>
      </c>
      <c r="G2185" t="s">
        <v>283</v>
      </c>
      <c r="H2185" s="1">
        <v>379269</v>
      </c>
      <c r="I2185" s="1">
        <v>51506.836699305037</v>
      </c>
      <c r="J2185" s="1">
        <v>430775.83669930504</v>
      </c>
    </row>
    <row r="2186" spans="1:10" x14ac:dyDescent="0.2">
      <c r="A2186">
        <v>2010770</v>
      </c>
      <c r="B2186">
        <v>2023</v>
      </c>
      <c r="C2186" t="s">
        <v>6</v>
      </c>
      <c r="D2186" t="s">
        <v>7</v>
      </c>
      <c r="E2186" t="s">
        <v>8</v>
      </c>
      <c r="F2186" s="28">
        <v>5285</v>
      </c>
      <c r="G2186" s="10" t="s">
        <v>283</v>
      </c>
      <c r="H2186" s="1">
        <v>378553</v>
      </c>
      <c r="I2186" s="1">
        <v>52998.546682335509</v>
      </c>
      <c r="J2186" s="1">
        <v>431551.54668233549</v>
      </c>
    </row>
    <row r="2187" spans="1:10" x14ac:dyDescent="0.2">
      <c r="A2187">
        <v>2011910</v>
      </c>
      <c r="B2187">
        <v>2015</v>
      </c>
      <c r="C2187" t="s">
        <v>6</v>
      </c>
      <c r="D2187" t="s">
        <v>7</v>
      </c>
      <c r="E2187" t="s">
        <v>8</v>
      </c>
      <c r="F2187" s="29">
        <v>5286</v>
      </c>
      <c r="G2187" s="3" t="s">
        <v>284</v>
      </c>
      <c r="H2187" s="27">
        <v>198668</v>
      </c>
      <c r="I2187" s="1">
        <v>32000.257709265778</v>
      </c>
      <c r="J2187" s="1">
        <v>230668.25770926577</v>
      </c>
    </row>
    <row r="2188" spans="1:10" x14ac:dyDescent="0.2">
      <c r="A2188">
        <v>2011910</v>
      </c>
      <c r="B2188">
        <v>2016</v>
      </c>
      <c r="C2188" t="s">
        <v>6</v>
      </c>
      <c r="D2188" t="s">
        <v>7</v>
      </c>
      <c r="E2188" t="s">
        <v>8</v>
      </c>
      <c r="F2188" s="29">
        <v>5286</v>
      </c>
      <c r="G2188" s="3" t="s">
        <v>284</v>
      </c>
      <c r="H2188" s="1">
        <v>239461</v>
      </c>
      <c r="I2188" s="26">
        <v>632442.48484751326</v>
      </c>
      <c r="J2188" s="26">
        <v>871903.48484751326</v>
      </c>
    </row>
    <row r="2189" spans="1:10" x14ac:dyDescent="0.2">
      <c r="A2189">
        <v>2011910</v>
      </c>
      <c r="B2189">
        <v>2017</v>
      </c>
      <c r="C2189" t="s">
        <v>6</v>
      </c>
      <c r="D2189" t="s">
        <v>7</v>
      </c>
      <c r="E2189" t="s">
        <v>8</v>
      </c>
      <c r="F2189" s="29">
        <v>5286</v>
      </c>
      <c r="G2189" s="3" t="s">
        <v>284</v>
      </c>
      <c r="H2189" s="1">
        <v>234437</v>
      </c>
      <c r="I2189" s="1">
        <v>36585.216310273092</v>
      </c>
      <c r="J2189" s="1">
        <v>271022.2163102731</v>
      </c>
    </row>
    <row r="2190" spans="1:10" x14ac:dyDescent="0.2">
      <c r="A2190">
        <v>2011910</v>
      </c>
      <c r="B2190">
        <v>2018</v>
      </c>
      <c r="C2190" t="s">
        <v>6</v>
      </c>
      <c r="D2190" t="s">
        <v>7</v>
      </c>
      <c r="E2190" t="s">
        <v>8</v>
      </c>
      <c r="F2190" s="28">
        <v>5286</v>
      </c>
      <c r="G2190" t="s">
        <v>284</v>
      </c>
      <c r="H2190" s="1">
        <v>290768</v>
      </c>
      <c r="I2190" s="1">
        <v>43969.747190002439</v>
      </c>
      <c r="J2190" s="1">
        <v>334737.74719000247</v>
      </c>
    </row>
    <row r="2191" spans="1:10" x14ac:dyDescent="0.2">
      <c r="A2191">
        <v>2011910</v>
      </c>
      <c r="B2191">
        <v>2019</v>
      </c>
      <c r="C2191" t="s">
        <v>6</v>
      </c>
      <c r="D2191" t="s">
        <v>7</v>
      </c>
      <c r="E2191" t="s">
        <v>8</v>
      </c>
      <c r="F2191" s="28">
        <v>5286</v>
      </c>
      <c r="G2191" t="s">
        <v>284</v>
      </c>
      <c r="H2191" s="1">
        <v>278757</v>
      </c>
      <c r="I2191" s="1">
        <v>42454.083933566042</v>
      </c>
      <c r="J2191" s="1">
        <v>321211.08393356606</v>
      </c>
    </row>
    <row r="2192" spans="1:10" x14ac:dyDescent="0.2">
      <c r="A2192">
        <v>2011910</v>
      </c>
      <c r="B2192">
        <v>2020</v>
      </c>
      <c r="C2192" t="s">
        <v>6</v>
      </c>
      <c r="D2192" t="s">
        <v>7</v>
      </c>
      <c r="E2192" t="s">
        <v>8</v>
      </c>
      <c r="F2192" s="28">
        <v>5286</v>
      </c>
      <c r="G2192" t="s">
        <v>284</v>
      </c>
      <c r="H2192" s="1">
        <v>350557</v>
      </c>
      <c r="I2192" s="1">
        <v>53033.954382396369</v>
      </c>
      <c r="J2192" s="1">
        <v>403590.95438239636</v>
      </c>
    </row>
    <row r="2193" spans="1:10" x14ac:dyDescent="0.2">
      <c r="A2193">
        <v>2011910</v>
      </c>
      <c r="B2193">
        <v>2021</v>
      </c>
      <c r="C2193" t="s">
        <v>6</v>
      </c>
      <c r="D2193" t="s">
        <v>7</v>
      </c>
      <c r="E2193" t="s">
        <v>8</v>
      </c>
      <c r="F2193" s="28">
        <v>5286</v>
      </c>
      <c r="G2193" t="s">
        <v>284</v>
      </c>
      <c r="H2193" s="25">
        <v>344509</v>
      </c>
      <c r="I2193" s="1">
        <v>51432.823717467472</v>
      </c>
      <c r="J2193" s="1">
        <v>395941.82371746749</v>
      </c>
    </row>
    <row r="2194" spans="1:10" x14ac:dyDescent="0.2">
      <c r="A2194">
        <v>2011910</v>
      </c>
      <c r="B2194">
        <v>2022</v>
      </c>
      <c r="C2194" t="s">
        <v>6</v>
      </c>
      <c r="D2194" t="s">
        <v>7</v>
      </c>
      <c r="E2194" t="s">
        <v>8</v>
      </c>
      <c r="F2194" s="28">
        <v>5286</v>
      </c>
      <c r="G2194" t="s">
        <v>284</v>
      </c>
      <c r="H2194" s="1">
        <v>332202</v>
      </c>
      <c r="I2194" s="1">
        <v>45114.876684312541</v>
      </c>
      <c r="J2194" s="1">
        <v>377316.87668431253</v>
      </c>
    </row>
    <row r="2195" spans="1:10" x14ac:dyDescent="0.2">
      <c r="A2195">
        <v>2011910</v>
      </c>
      <c r="B2195">
        <v>2023</v>
      </c>
      <c r="C2195" t="s">
        <v>6</v>
      </c>
      <c r="D2195" t="s">
        <v>7</v>
      </c>
      <c r="E2195" t="s">
        <v>8</v>
      </c>
      <c r="F2195" s="28">
        <v>5286</v>
      </c>
      <c r="G2195" s="10" t="s">
        <v>284</v>
      </c>
      <c r="H2195" s="1">
        <v>344662</v>
      </c>
      <c r="I2195" s="1">
        <v>48253.705812996122</v>
      </c>
      <c r="J2195" s="1">
        <v>392915.70581299614</v>
      </c>
    </row>
    <row r="2196" spans="1:10" x14ac:dyDescent="0.2">
      <c r="A2196">
        <v>2003900</v>
      </c>
      <c r="B2196">
        <v>2015</v>
      </c>
      <c r="C2196" t="s">
        <v>6</v>
      </c>
      <c r="D2196" t="s">
        <v>7</v>
      </c>
      <c r="E2196" t="s">
        <v>8</v>
      </c>
      <c r="F2196" s="29">
        <v>5287</v>
      </c>
      <c r="G2196" s="3" t="s">
        <v>285</v>
      </c>
      <c r="H2196" s="27">
        <v>331294</v>
      </c>
      <c r="I2196" s="1">
        <v>53362.863558970224</v>
      </c>
      <c r="J2196" s="1">
        <v>384656.86355897022</v>
      </c>
    </row>
    <row r="2197" spans="1:10" x14ac:dyDescent="0.2">
      <c r="A2197">
        <v>2003900</v>
      </c>
      <c r="B2197">
        <v>2016</v>
      </c>
      <c r="C2197" t="s">
        <v>6</v>
      </c>
      <c r="D2197" t="s">
        <v>7</v>
      </c>
      <c r="E2197" t="s">
        <v>8</v>
      </c>
      <c r="F2197" s="29">
        <v>5287</v>
      </c>
      <c r="G2197" s="3" t="s">
        <v>285</v>
      </c>
      <c r="H2197" s="1">
        <v>385186</v>
      </c>
      <c r="I2197" s="26">
        <v>1017309.7976059015</v>
      </c>
      <c r="J2197" s="26">
        <v>1402495.7976059015</v>
      </c>
    </row>
    <row r="2198" spans="1:10" x14ac:dyDescent="0.2">
      <c r="A2198">
        <v>2003900</v>
      </c>
      <c r="B2198">
        <v>2017</v>
      </c>
      <c r="C2198" t="s">
        <v>6</v>
      </c>
      <c r="D2198" t="s">
        <v>7</v>
      </c>
      <c r="E2198" t="s">
        <v>8</v>
      </c>
      <c r="F2198" s="29">
        <v>5287</v>
      </c>
      <c r="G2198" s="3" t="s">
        <v>285</v>
      </c>
      <c r="H2198" s="1">
        <v>392425</v>
      </c>
      <c r="I2198" s="1">
        <v>61240.134921360193</v>
      </c>
      <c r="J2198" s="1">
        <v>453665.13492136018</v>
      </c>
    </row>
    <row r="2199" spans="1:10" x14ac:dyDescent="0.2">
      <c r="A2199">
        <v>2003900</v>
      </c>
      <c r="B2199">
        <v>2018</v>
      </c>
      <c r="C2199" t="s">
        <v>6</v>
      </c>
      <c r="D2199" t="s">
        <v>7</v>
      </c>
      <c r="E2199" t="s">
        <v>8</v>
      </c>
      <c r="F2199" s="28">
        <v>5287</v>
      </c>
      <c r="G2199" t="s">
        <v>285</v>
      </c>
      <c r="H2199" s="1">
        <v>461063</v>
      </c>
      <c r="I2199" s="1">
        <v>69721.645946817036</v>
      </c>
      <c r="J2199" s="1">
        <v>530784.64594681701</v>
      </c>
    </row>
    <row r="2200" spans="1:10" x14ac:dyDescent="0.2">
      <c r="A2200">
        <v>2003900</v>
      </c>
      <c r="B2200">
        <v>2019</v>
      </c>
      <c r="C2200" t="s">
        <v>6</v>
      </c>
      <c r="D2200" t="s">
        <v>7</v>
      </c>
      <c r="E2200" t="s">
        <v>8</v>
      </c>
      <c r="F2200" s="28">
        <v>5287</v>
      </c>
      <c r="G2200" t="s">
        <v>285</v>
      </c>
      <c r="H2200" s="1">
        <v>530189</v>
      </c>
      <c r="I2200" s="1">
        <v>80746.629884284324</v>
      </c>
      <c r="J2200" s="1">
        <v>610935.62988428434</v>
      </c>
    </row>
    <row r="2201" spans="1:10" x14ac:dyDescent="0.2">
      <c r="A2201">
        <v>2003900</v>
      </c>
      <c r="B2201">
        <v>2020</v>
      </c>
      <c r="C2201" t="s">
        <v>6</v>
      </c>
      <c r="D2201" t="s">
        <v>7</v>
      </c>
      <c r="E2201" t="s">
        <v>8</v>
      </c>
      <c r="F2201" s="28">
        <v>5287</v>
      </c>
      <c r="G2201" t="s">
        <v>285</v>
      </c>
      <c r="H2201" s="1">
        <v>598359</v>
      </c>
      <c r="I2201" s="1">
        <v>90522.636576352219</v>
      </c>
      <c r="J2201" s="1">
        <v>688881.63657635218</v>
      </c>
    </row>
    <row r="2202" spans="1:10" x14ac:dyDescent="0.2">
      <c r="A2202">
        <v>2003900</v>
      </c>
      <c r="B2202">
        <v>2021</v>
      </c>
      <c r="C2202" t="s">
        <v>6</v>
      </c>
      <c r="D2202" t="s">
        <v>7</v>
      </c>
      <c r="E2202" t="s">
        <v>8</v>
      </c>
      <c r="F2202" s="28">
        <v>5287</v>
      </c>
      <c r="G2202" t="s">
        <v>285</v>
      </c>
      <c r="H2202" s="25">
        <v>573193</v>
      </c>
      <c r="I2202" s="1">
        <v>85573.771730452136</v>
      </c>
      <c r="J2202" s="1">
        <v>658766.77173045208</v>
      </c>
    </row>
    <row r="2203" spans="1:10" x14ac:dyDescent="0.2">
      <c r="A2203">
        <v>2003900</v>
      </c>
      <c r="B2203">
        <v>2022</v>
      </c>
      <c r="C2203" t="s">
        <v>6</v>
      </c>
      <c r="D2203" t="s">
        <v>7</v>
      </c>
      <c r="E2203" t="s">
        <v>8</v>
      </c>
      <c r="F2203" s="28">
        <v>5287</v>
      </c>
      <c r="G2203" t="s">
        <v>285</v>
      </c>
      <c r="H2203" s="1">
        <v>582299</v>
      </c>
      <c r="I2203" s="1">
        <v>79079.438348951866</v>
      </c>
      <c r="J2203" s="1">
        <v>661378.43834895187</v>
      </c>
    </row>
    <row r="2204" spans="1:10" x14ac:dyDescent="0.2">
      <c r="A2204">
        <v>2003900</v>
      </c>
      <c r="B2204">
        <v>2023</v>
      </c>
      <c r="C2204" t="s">
        <v>6</v>
      </c>
      <c r="D2204" t="s">
        <v>7</v>
      </c>
      <c r="E2204" t="s">
        <v>8</v>
      </c>
      <c r="F2204" s="28">
        <v>5287</v>
      </c>
      <c r="G2204" s="10" t="s">
        <v>285</v>
      </c>
      <c r="H2204" s="1">
        <v>573622</v>
      </c>
      <c r="I2204" s="1">
        <v>80308.787263645136</v>
      </c>
      <c r="J2204" s="1">
        <v>653930.78726364509</v>
      </c>
    </row>
    <row r="2205" spans="1:10" x14ac:dyDescent="0.2">
      <c r="A2205">
        <v>2010440</v>
      </c>
      <c r="B2205">
        <v>2015</v>
      </c>
      <c r="C2205" t="s">
        <v>6</v>
      </c>
      <c r="D2205" t="s">
        <v>7</v>
      </c>
      <c r="E2205" t="s">
        <v>8</v>
      </c>
      <c r="F2205" s="29">
        <v>5288</v>
      </c>
      <c r="G2205" s="3" t="s">
        <v>286</v>
      </c>
      <c r="H2205" s="27">
        <v>197088</v>
      </c>
      <c r="I2205" s="1">
        <v>31745.760723436957</v>
      </c>
      <c r="J2205" s="1">
        <v>228833.76072343695</v>
      </c>
    </row>
    <row r="2206" spans="1:10" x14ac:dyDescent="0.2">
      <c r="A2206">
        <v>2010440</v>
      </c>
      <c r="B2206">
        <v>2016</v>
      </c>
      <c r="C2206" t="s">
        <v>6</v>
      </c>
      <c r="D2206" t="s">
        <v>7</v>
      </c>
      <c r="E2206" t="s">
        <v>8</v>
      </c>
      <c r="F2206" s="29">
        <v>5288</v>
      </c>
      <c r="G2206" s="3" t="s">
        <v>286</v>
      </c>
      <c r="H2206" s="1">
        <v>225823</v>
      </c>
      <c r="I2206" s="26">
        <v>596413.88541617733</v>
      </c>
      <c r="J2206" s="26">
        <v>822236.88541617733</v>
      </c>
    </row>
    <row r="2207" spans="1:10" x14ac:dyDescent="0.2">
      <c r="A2207">
        <v>2010440</v>
      </c>
      <c r="B2207">
        <v>2017</v>
      </c>
      <c r="C2207" t="s">
        <v>6</v>
      </c>
      <c r="D2207" t="s">
        <v>7</v>
      </c>
      <c r="E2207" t="s">
        <v>8</v>
      </c>
      <c r="F2207" s="29">
        <v>5288</v>
      </c>
      <c r="G2207" s="3" t="s">
        <v>286</v>
      </c>
      <c r="H2207" s="1">
        <v>233377</v>
      </c>
      <c r="I2207" s="1">
        <v>36419.797330807873</v>
      </c>
      <c r="J2207" s="1">
        <v>269796.79733080789</v>
      </c>
    </row>
    <row r="2208" spans="1:10" x14ac:dyDescent="0.2">
      <c r="A2208">
        <v>2010440</v>
      </c>
      <c r="B2208">
        <v>2018</v>
      </c>
      <c r="C2208" t="s">
        <v>6</v>
      </c>
      <c r="D2208" t="s">
        <v>7</v>
      </c>
      <c r="E2208" t="s">
        <v>8</v>
      </c>
      <c r="F2208" s="28">
        <v>5288</v>
      </c>
      <c r="G2208" t="s">
        <v>286</v>
      </c>
      <c r="H2208" s="1">
        <v>260751</v>
      </c>
      <c r="I2208" s="1">
        <v>39430.596040624579</v>
      </c>
      <c r="J2208" s="1">
        <v>300181.5960406246</v>
      </c>
    </row>
    <row r="2209" spans="1:10" x14ac:dyDescent="0.2">
      <c r="A2209">
        <v>2010440</v>
      </c>
      <c r="B2209">
        <v>2019</v>
      </c>
      <c r="C2209" t="s">
        <v>6</v>
      </c>
      <c r="D2209" t="s">
        <v>7</v>
      </c>
      <c r="E2209" t="s">
        <v>8</v>
      </c>
      <c r="F2209" s="28">
        <v>5288</v>
      </c>
      <c r="G2209" t="s">
        <v>286</v>
      </c>
      <c r="H2209" s="1">
        <v>301212</v>
      </c>
      <c r="I2209" s="1">
        <v>45873.931523862339</v>
      </c>
      <c r="J2209" s="1">
        <v>347085.93152386235</v>
      </c>
    </row>
    <row r="2210" spans="1:10" x14ac:dyDescent="0.2">
      <c r="A2210">
        <v>2010440</v>
      </c>
      <c r="B2210">
        <v>2020</v>
      </c>
      <c r="C2210" t="s">
        <v>6</v>
      </c>
      <c r="D2210" t="s">
        <v>7</v>
      </c>
      <c r="E2210" t="s">
        <v>8</v>
      </c>
      <c r="F2210" s="28">
        <v>5288</v>
      </c>
      <c r="G2210" t="s">
        <v>286</v>
      </c>
      <c r="H2210" s="1">
        <v>336189</v>
      </c>
      <c r="I2210" s="1">
        <v>50860.294017416432</v>
      </c>
      <c r="J2210" s="1">
        <v>387049.29401741643</v>
      </c>
    </row>
    <row r="2211" spans="1:10" x14ac:dyDescent="0.2">
      <c r="A2211">
        <v>2010440</v>
      </c>
      <c r="B2211">
        <v>2021</v>
      </c>
      <c r="C2211" t="s">
        <v>6</v>
      </c>
      <c r="D2211" t="s">
        <v>7</v>
      </c>
      <c r="E2211" t="s">
        <v>8</v>
      </c>
      <c r="F2211" s="28">
        <v>5288</v>
      </c>
      <c r="G2211" t="s">
        <v>286</v>
      </c>
      <c r="H2211" s="25">
        <v>347641</v>
      </c>
      <c r="I2211" s="1">
        <v>51900.409771483792</v>
      </c>
      <c r="J2211" s="1">
        <v>399541.4097714838</v>
      </c>
    </row>
    <row r="2212" spans="1:10" x14ac:dyDescent="0.2">
      <c r="A2212">
        <v>2010440</v>
      </c>
      <c r="B2212">
        <v>2022</v>
      </c>
      <c r="C2212" t="s">
        <v>6</v>
      </c>
      <c r="D2212" t="s">
        <v>7</v>
      </c>
      <c r="E2212" t="s">
        <v>8</v>
      </c>
      <c r="F2212" s="28">
        <v>5288</v>
      </c>
      <c r="G2212" t="s">
        <v>286</v>
      </c>
      <c r="H2212" s="1">
        <v>343583</v>
      </c>
      <c r="I2212" s="1">
        <v>46660.47969556522</v>
      </c>
      <c r="J2212" s="1">
        <v>390243.47969556524</v>
      </c>
    </row>
    <row r="2213" spans="1:10" x14ac:dyDescent="0.2">
      <c r="A2213">
        <v>2010440</v>
      </c>
      <c r="B2213">
        <v>2023</v>
      </c>
      <c r="C2213" t="s">
        <v>6</v>
      </c>
      <c r="D2213" t="s">
        <v>7</v>
      </c>
      <c r="E2213" t="s">
        <v>8</v>
      </c>
      <c r="F2213" s="28">
        <v>5288</v>
      </c>
      <c r="G2213" s="10" t="s">
        <v>286</v>
      </c>
      <c r="H2213" s="1">
        <v>360610</v>
      </c>
      <c r="I2213" s="1">
        <v>50486.473278819634</v>
      </c>
      <c r="J2213" s="1">
        <v>411096.47327881964</v>
      </c>
    </row>
    <row r="2214" spans="1:10" x14ac:dyDescent="0.2">
      <c r="A2214">
        <v>2013110</v>
      </c>
      <c r="B2214">
        <v>2015</v>
      </c>
      <c r="C2214" t="s">
        <v>6</v>
      </c>
      <c r="D2214" t="s">
        <v>7</v>
      </c>
      <c r="E2214" t="s">
        <v>8</v>
      </c>
      <c r="F2214" s="29">
        <v>5289</v>
      </c>
      <c r="G2214" s="3" t="s">
        <v>287</v>
      </c>
      <c r="H2214" s="27">
        <v>268098</v>
      </c>
      <c r="I2214" s="1">
        <v>43183.628421984096</v>
      </c>
      <c r="J2214" s="1">
        <v>311281.62842198409</v>
      </c>
    </row>
    <row r="2215" spans="1:10" x14ac:dyDescent="0.2">
      <c r="A2215">
        <v>2013110</v>
      </c>
      <c r="B2215">
        <v>2016</v>
      </c>
      <c r="C2215" t="s">
        <v>6</v>
      </c>
      <c r="D2215" t="s">
        <v>7</v>
      </c>
      <c r="E2215" t="s">
        <v>8</v>
      </c>
      <c r="F2215" s="29">
        <v>5289</v>
      </c>
      <c r="G2215" s="3" t="s">
        <v>287</v>
      </c>
      <c r="H2215" s="1">
        <v>289417</v>
      </c>
      <c r="I2215" s="26">
        <v>764377.01100813958</v>
      </c>
      <c r="J2215" s="26">
        <v>1053794.0110081395</v>
      </c>
    </row>
    <row r="2216" spans="1:10" x14ac:dyDescent="0.2">
      <c r="A2216">
        <v>2013110</v>
      </c>
      <c r="B2216">
        <v>2017</v>
      </c>
      <c r="C2216" t="s">
        <v>6</v>
      </c>
      <c r="D2216" t="s">
        <v>7</v>
      </c>
      <c r="E2216" t="s">
        <v>8</v>
      </c>
      <c r="F2216" s="29">
        <v>5289</v>
      </c>
      <c r="G2216" s="3" t="s">
        <v>287</v>
      </c>
      <c r="H2216" s="1">
        <v>313874</v>
      </c>
      <c r="I2216" s="1">
        <v>48981.80826478183</v>
      </c>
      <c r="J2216" s="1">
        <v>362855.80826478184</v>
      </c>
    </row>
    <row r="2217" spans="1:10" x14ac:dyDescent="0.2">
      <c r="A2217">
        <v>2013110</v>
      </c>
      <c r="B2217">
        <v>2018</v>
      </c>
      <c r="C2217" t="s">
        <v>6</v>
      </c>
      <c r="D2217" t="s">
        <v>7</v>
      </c>
      <c r="E2217" t="s">
        <v>8</v>
      </c>
      <c r="F2217" s="28">
        <v>5289</v>
      </c>
      <c r="G2217" t="s">
        <v>287</v>
      </c>
      <c r="H2217" s="1">
        <v>369551</v>
      </c>
      <c r="I2217" s="1">
        <v>55883.261032206414</v>
      </c>
      <c r="J2217" s="1">
        <v>425434.26103220641</v>
      </c>
    </row>
    <row r="2218" spans="1:10" x14ac:dyDescent="0.2">
      <c r="A2218">
        <v>2013110</v>
      </c>
      <c r="B2218">
        <v>2019</v>
      </c>
      <c r="C2218" t="s">
        <v>6</v>
      </c>
      <c r="D2218" t="s">
        <v>7</v>
      </c>
      <c r="E2218" t="s">
        <v>8</v>
      </c>
      <c r="F2218" s="28">
        <v>5289</v>
      </c>
      <c r="G2218" t="s">
        <v>287</v>
      </c>
      <c r="H2218" s="1">
        <v>353446</v>
      </c>
      <c r="I2218" s="1">
        <v>53829.055951897833</v>
      </c>
      <c r="J2218" s="1">
        <v>407275.05595189781</v>
      </c>
    </row>
    <row r="2219" spans="1:10" x14ac:dyDescent="0.2">
      <c r="A2219">
        <v>2013110</v>
      </c>
      <c r="B2219">
        <v>2020</v>
      </c>
      <c r="C2219" t="s">
        <v>6</v>
      </c>
      <c r="D2219" t="s">
        <v>7</v>
      </c>
      <c r="E2219" t="s">
        <v>8</v>
      </c>
      <c r="F2219" s="28">
        <v>5289</v>
      </c>
      <c r="G2219" t="s">
        <v>287</v>
      </c>
      <c r="H2219" s="1">
        <v>505674</v>
      </c>
      <c r="I2219" s="1">
        <v>76500.802575227135</v>
      </c>
      <c r="J2219" s="1">
        <v>582174.80257522711</v>
      </c>
    </row>
    <row r="2220" spans="1:10" x14ac:dyDescent="0.2">
      <c r="A2220">
        <v>2013110</v>
      </c>
      <c r="B2220">
        <v>2021</v>
      </c>
      <c r="C2220" t="s">
        <v>6</v>
      </c>
      <c r="D2220" t="s">
        <v>7</v>
      </c>
      <c r="E2220" t="s">
        <v>8</v>
      </c>
      <c r="F2220" s="28">
        <v>5289</v>
      </c>
      <c r="G2220" t="s">
        <v>287</v>
      </c>
      <c r="H2220" s="25">
        <v>394668</v>
      </c>
      <c r="I2220" s="1">
        <v>58921.217358401234</v>
      </c>
      <c r="J2220" s="1">
        <v>453589.21735840122</v>
      </c>
    </row>
    <row r="2221" spans="1:10" x14ac:dyDescent="0.2">
      <c r="A2221">
        <v>2013110</v>
      </c>
      <c r="B2221">
        <v>2022</v>
      </c>
      <c r="C2221" t="s">
        <v>6</v>
      </c>
      <c r="D2221" t="s">
        <v>7</v>
      </c>
      <c r="E2221" t="s">
        <v>8</v>
      </c>
      <c r="F2221" s="28">
        <v>5289</v>
      </c>
      <c r="G2221" t="s">
        <v>287</v>
      </c>
      <c r="H2221" s="1">
        <v>439619</v>
      </c>
      <c r="I2221" s="1">
        <v>59702.701889455195</v>
      </c>
      <c r="J2221" s="1">
        <v>499321.7018894552</v>
      </c>
    </row>
    <row r="2222" spans="1:10" x14ac:dyDescent="0.2">
      <c r="A2222">
        <v>2013110</v>
      </c>
      <c r="B2222">
        <v>2023</v>
      </c>
      <c r="C2222" t="s">
        <v>6</v>
      </c>
      <c r="D2222" t="s">
        <v>7</v>
      </c>
      <c r="E2222" t="s">
        <v>8</v>
      </c>
      <c r="F2222" s="28">
        <v>5289</v>
      </c>
      <c r="G2222" s="10" t="s">
        <v>287</v>
      </c>
      <c r="H2222" s="1">
        <v>411172</v>
      </c>
      <c r="I2222" s="1">
        <v>57565.303765837954</v>
      </c>
      <c r="J2222" s="1">
        <v>468737.30376583798</v>
      </c>
    </row>
    <row r="2223" spans="1:10" x14ac:dyDescent="0.2">
      <c r="A2223">
        <v>2012090</v>
      </c>
      <c r="B2223">
        <v>2015</v>
      </c>
      <c r="C2223" t="s">
        <v>6</v>
      </c>
      <c r="D2223" t="s">
        <v>7</v>
      </c>
      <c r="E2223" t="s">
        <v>8</v>
      </c>
      <c r="F2223" s="29">
        <v>5291</v>
      </c>
      <c r="G2223" s="3" t="s">
        <v>288</v>
      </c>
      <c r="H2223" s="27">
        <v>379095</v>
      </c>
      <c r="I2223" s="1">
        <v>61062.363824542001</v>
      </c>
      <c r="J2223" s="1">
        <v>440157.36382454203</v>
      </c>
    </row>
    <row r="2224" spans="1:10" x14ac:dyDescent="0.2">
      <c r="A2224">
        <v>2012090</v>
      </c>
      <c r="B2224">
        <v>2016</v>
      </c>
      <c r="C2224" t="s">
        <v>6</v>
      </c>
      <c r="D2224" t="s">
        <v>7</v>
      </c>
      <c r="E2224" t="s">
        <v>8</v>
      </c>
      <c r="F2224" s="29">
        <v>5291</v>
      </c>
      <c r="G2224" s="3" t="s">
        <v>288</v>
      </c>
      <c r="H2224" s="1">
        <v>415029</v>
      </c>
      <c r="I2224" s="26">
        <v>1096131.9084332683</v>
      </c>
      <c r="J2224" s="26">
        <v>1511160.9084332683</v>
      </c>
    </row>
    <row r="2225" spans="1:10" x14ac:dyDescent="0.2">
      <c r="A2225">
        <v>2012090</v>
      </c>
      <c r="B2225">
        <v>2017</v>
      </c>
      <c r="C2225" t="s">
        <v>6</v>
      </c>
      <c r="D2225" t="s">
        <v>7</v>
      </c>
      <c r="E2225" t="s">
        <v>8</v>
      </c>
      <c r="F2225" s="29">
        <v>5291</v>
      </c>
      <c r="G2225" s="3" t="s">
        <v>288</v>
      </c>
      <c r="H2225" s="1">
        <v>433803</v>
      </c>
      <c r="I2225" s="1">
        <v>67697.40523486225</v>
      </c>
      <c r="J2225" s="1">
        <v>501500.40523486224</v>
      </c>
    </row>
    <row r="2226" spans="1:10" x14ac:dyDescent="0.2">
      <c r="A2226">
        <v>2012090</v>
      </c>
      <c r="B2226">
        <v>2018</v>
      </c>
      <c r="C2226" t="s">
        <v>6</v>
      </c>
      <c r="D2226" t="s">
        <v>7</v>
      </c>
      <c r="E2226" t="s">
        <v>8</v>
      </c>
      <c r="F2226" s="28">
        <v>5291</v>
      </c>
      <c r="G2226" t="s">
        <v>288</v>
      </c>
      <c r="H2226" s="1">
        <v>491319</v>
      </c>
      <c r="I2226" s="1">
        <v>74296.938520211348</v>
      </c>
      <c r="J2226" s="1">
        <v>565615.93852021138</v>
      </c>
    </row>
    <row r="2227" spans="1:10" x14ac:dyDescent="0.2">
      <c r="A2227">
        <v>2012090</v>
      </c>
      <c r="B2227">
        <v>2019</v>
      </c>
      <c r="C2227" t="s">
        <v>6</v>
      </c>
      <c r="D2227" t="s">
        <v>7</v>
      </c>
      <c r="E2227" t="s">
        <v>8</v>
      </c>
      <c r="F2227" s="28">
        <v>5291</v>
      </c>
      <c r="G2227" t="s">
        <v>288</v>
      </c>
      <c r="H2227" s="1">
        <v>548811</v>
      </c>
      <c r="I2227" s="1">
        <v>83582.71992331784</v>
      </c>
      <c r="J2227" s="1">
        <v>632393.7199233179</v>
      </c>
    </row>
    <row r="2228" spans="1:10" x14ac:dyDescent="0.2">
      <c r="A2228">
        <v>2012090</v>
      </c>
      <c r="B2228">
        <v>2020</v>
      </c>
      <c r="C2228" t="s">
        <v>6</v>
      </c>
      <c r="D2228" t="s">
        <v>7</v>
      </c>
      <c r="E2228" t="s">
        <v>8</v>
      </c>
      <c r="F2228" s="28">
        <v>5291</v>
      </c>
      <c r="G2228" t="s">
        <v>288</v>
      </c>
      <c r="H2228" s="1">
        <v>593332</v>
      </c>
      <c r="I2228" s="1">
        <v>89762.127761294178</v>
      </c>
      <c r="J2228" s="1">
        <v>683094.12776129413</v>
      </c>
    </row>
    <row r="2229" spans="1:10" x14ac:dyDescent="0.2">
      <c r="A2229">
        <v>2012090</v>
      </c>
      <c r="B2229">
        <v>2021</v>
      </c>
      <c r="C2229" t="s">
        <v>6</v>
      </c>
      <c r="D2229" t="s">
        <v>7</v>
      </c>
      <c r="E2229" t="s">
        <v>8</v>
      </c>
      <c r="F2229" s="28">
        <v>5291</v>
      </c>
      <c r="G2229" t="s">
        <v>288</v>
      </c>
      <c r="H2229" s="25">
        <v>586632</v>
      </c>
      <c r="I2229" s="1">
        <v>87580.121979470423</v>
      </c>
      <c r="J2229" s="1">
        <v>674212.12197947036</v>
      </c>
    </row>
    <row r="2230" spans="1:10" x14ac:dyDescent="0.2">
      <c r="A2230">
        <v>2012090</v>
      </c>
      <c r="B2230">
        <v>2022</v>
      </c>
      <c r="C2230" t="s">
        <v>6</v>
      </c>
      <c r="D2230" t="s">
        <v>7</v>
      </c>
      <c r="E2230" t="s">
        <v>8</v>
      </c>
      <c r="F2230" s="28">
        <v>5291</v>
      </c>
      <c r="G2230" t="s">
        <v>288</v>
      </c>
      <c r="H2230" s="1">
        <v>559142</v>
      </c>
      <c r="I2230" s="1">
        <v>75934.589132575609</v>
      </c>
      <c r="J2230" s="1">
        <v>635076.58913257555</v>
      </c>
    </row>
    <row r="2231" spans="1:10" x14ac:dyDescent="0.2">
      <c r="A2231">
        <v>2012090</v>
      </c>
      <c r="B2231">
        <v>2023</v>
      </c>
      <c r="C2231" t="s">
        <v>6</v>
      </c>
      <c r="D2231" t="s">
        <v>7</v>
      </c>
      <c r="E2231" t="s">
        <v>8</v>
      </c>
      <c r="F2231" s="28">
        <v>5291</v>
      </c>
      <c r="G2231" s="10" t="s">
        <v>288</v>
      </c>
      <c r="H2231" s="1">
        <v>537443</v>
      </c>
      <c r="I2231" s="1">
        <v>75243.619584561311</v>
      </c>
      <c r="J2231" s="1">
        <v>612686.61958456133</v>
      </c>
    </row>
    <row r="2232" spans="1:10" x14ac:dyDescent="0.2">
      <c r="A2232">
        <v>2012300</v>
      </c>
      <c r="B2232">
        <v>2015</v>
      </c>
      <c r="C2232" t="s">
        <v>6</v>
      </c>
      <c r="D2232" t="s">
        <v>7</v>
      </c>
      <c r="E2232" t="s">
        <v>8</v>
      </c>
      <c r="F2232" s="29">
        <v>5292</v>
      </c>
      <c r="G2232" s="3" t="s">
        <v>289</v>
      </c>
      <c r="H2232" s="27">
        <v>1007235</v>
      </c>
      <c r="I2232" s="1">
        <v>162239.41235524754</v>
      </c>
      <c r="J2232" s="1">
        <v>1169474.4123552474</v>
      </c>
    </row>
    <row r="2233" spans="1:10" x14ac:dyDescent="0.2">
      <c r="A2233">
        <v>2012300</v>
      </c>
      <c r="B2233">
        <v>2016</v>
      </c>
      <c r="C2233" t="s">
        <v>6</v>
      </c>
      <c r="D2233" t="s">
        <v>7</v>
      </c>
      <c r="E2233" t="s">
        <v>8</v>
      </c>
      <c r="F2233" s="29">
        <v>5292</v>
      </c>
      <c r="G2233" s="3" t="s">
        <v>289</v>
      </c>
      <c r="H2233" s="1">
        <v>1078110</v>
      </c>
      <c r="I2233" s="26">
        <v>2847381.323645222</v>
      </c>
      <c r="J2233" s="26">
        <v>3925491.323645222</v>
      </c>
    </row>
    <row r="2234" spans="1:10" x14ac:dyDescent="0.2">
      <c r="A2234">
        <v>2012300</v>
      </c>
      <c r="B2234">
        <v>2017</v>
      </c>
      <c r="C2234" t="s">
        <v>6</v>
      </c>
      <c r="D2234" t="s">
        <v>7</v>
      </c>
      <c r="E2234" t="s">
        <v>8</v>
      </c>
      <c r="F2234" s="29">
        <v>5292</v>
      </c>
      <c r="G2234" s="3" t="s">
        <v>289</v>
      </c>
      <c r="H2234" s="1">
        <v>1134310</v>
      </c>
      <c r="I2234" s="1">
        <v>177015.47414830371</v>
      </c>
      <c r="J2234" s="1">
        <v>1311325.4741483037</v>
      </c>
    </row>
    <row r="2235" spans="1:10" x14ac:dyDescent="0.2">
      <c r="A2235">
        <v>2012300</v>
      </c>
      <c r="B2235">
        <v>2018</v>
      </c>
      <c r="C2235" t="s">
        <v>6</v>
      </c>
      <c r="D2235" t="s">
        <v>7</v>
      </c>
      <c r="E2235" t="s">
        <v>8</v>
      </c>
      <c r="F2235" s="28">
        <v>5292</v>
      </c>
      <c r="G2235" t="s">
        <v>289</v>
      </c>
      <c r="H2235" s="1">
        <v>1266515</v>
      </c>
      <c r="I2235" s="1">
        <v>191521.57170784249</v>
      </c>
      <c r="J2235" s="1">
        <v>1458036.5717078424</v>
      </c>
    </row>
    <row r="2236" spans="1:10" x14ac:dyDescent="0.2">
      <c r="A2236">
        <v>2012300</v>
      </c>
      <c r="B2236">
        <v>2019</v>
      </c>
      <c r="C2236" t="s">
        <v>6</v>
      </c>
      <c r="D2236" t="s">
        <v>7</v>
      </c>
      <c r="E2236" t="s">
        <v>8</v>
      </c>
      <c r="F2236" s="28">
        <v>5292</v>
      </c>
      <c r="G2236" t="s">
        <v>289</v>
      </c>
      <c r="H2236" s="1">
        <v>1424044</v>
      </c>
      <c r="I2236" s="1">
        <v>216878.7994600714</v>
      </c>
      <c r="J2236" s="1">
        <v>1640922.7994600714</v>
      </c>
    </row>
    <row r="2237" spans="1:10" x14ac:dyDescent="0.2">
      <c r="A2237">
        <v>2012300</v>
      </c>
      <c r="B2237">
        <v>2020</v>
      </c>
      <c r="C2237" t="s">
        <v>6</v>
      </c>
      <c r="D2237" t="s">
        <v>7</v>
      </c>
      <c r="E2237" t="s">
        <v>8</v>
      </c>
      <c r="F2237" s="28">
        <v>5292</v>
      </c>
      <c r="G2237" t="s">
        <v>289</v>
      </c>
      <c r="H2237" s="1">
        <v>1580915</v>
      </c>
      <c r="I2237" s="1">
        <v>239168.44904664904</v>
      </c>
      <c r="J2237" s="1">
        <v>1820083.449046649</v>
      </c>
    </row>
    <row r="2238" spans="1:10" x14ac:dyDescent="0.2">
      <c r="A2238">
        <v>2012300</v>
      </c>
      <c r="B2238">
        <v>2021</v>
      </c>
      <c r="C2238" t="s">
        <v>6</v>
      </c>
      <c r="D2238" t="s">
        <v>7</v>
      </c>
      <c r="E2238" t="s">
        <v>8</v>
      </c>
      <c r="F2238" s="28">
        <v>5292</v>
      </c>
      <c r="G2238" t="s">
        <v>289</v>
      </c>
      <c r="H2238" s="25">
        <v>1587913</v>
      </c>
      <c r="I2238" s="1">
        <v>237064.48716194622</v>
      </c>
      <c r="J2238" s="1">
        <v>1824977.4871619463</v>
      </c>
    </row>
    <row r="2239" spans="1:10" x14ac:dyDescent="0.2">
      <c r="A2239">
        <v>2012300</v>
      </c>
      <c r="B2239">
        <v>2022</v>
      </c>
      <c r="C2239" t="s">
        <v>6</v>
      </c>
      <c r="D2239" t="s">
        <v>7</v>
      </c>
      <c r="E2239" t="s">
        <v>8</v>
      </c>
      <c r="F2239" s="28">
        <v>5292</v>
      </c>
      <c r="G2239" t="s">
        <v>289</v>
      </c>
      <c r="H2239" s="1">
        <v>1604824</v>
      </c>
      <c r="I2239" s="1">
        <v>217944.01255869979</v>
      </c>
      <c r="J2239" s="1">
        <v>1822768.0125586998</v>
      </c>
    </row>
    <row r="2240" spans="1:10" x14ac:dyDescent="0.2">
      <c r="A2240">
        <v>2012300</v>
      </c>
      <c r="B2240">
        <v>2023</v>
      </c>
      <c r="C2240" t="s">
        <v>6</v>
      </c>
      <c r="D2240" t="s">
        <v>7</v>
      </c>
      <c r="E2240" t="s">
        <v>8</v>
      </c>
      <c r="F2240" s="28">
        <v>5292</v>
      </c>
      <c r="G2240" s="10" t="s">
        <v>289</v>
      </c>
      <c r="H2240" s="1">
        <v>1614378</v>
      </c>
      <c r="I2240" s="1">
        <v>226017.72485209582</v>
      </c>
      <c r="J2240" s="1">
        <v>1840395.7248520958</v>
      </c>
    </row>
    <row r="2241" spans="1:10" x14ac:dyDescent="0.2">
      <c r="A2241">
        <v>2005850</v>
      </c>
      <c r="B2241">
        <v>2015</v>
      </c>
      <c r="C2241" t="s">
        <v>6</v>
      </c>
      <c r="D2241" t="s">
        <v>7</v>
      </c>
      <c r="E2241" t="s">
        <v>8</v>
      </c>
      <c r="F2241" s="29">
        <v>5293</v>
      </c>
      <c r="G2241" s="3" t="s">
        <v>290</v>
      </c>
      <c r="H2241" s="27">
        <v>238867</v>
      </c>
      <c r="I2241" s="1">
        <v>38475.273110109272</v>
      </c>
      <c r="J2241" s="1">
        <v>277342.27311010926</v>
      </c>
    </row>
    <row r="2242" spans="1:10" x14ac:dyDescent="0.2">
      <c r="A2242">
        <v>2005850</v>
      </c>
      <c r="B2242">
        <v>2016</v>
      </c>
      <c r="C2242" t="s">
        <v>6</v>
      </c>
      <c r="D2242" t="s">
        <v>7</v>
      </c>
      <c r="E2242" t="s">
        <v>8</v>
      </c>
      <c r="F2242" s="29">
        <v>5293</v>
      </c>
      <c r="G2242" s="3" t="s">
        <v>290</v>
      </c>
      <c r="H2242" s="1">
        <v>234913</v>
      </c>
      <c r="I2242" s="26">
        <v>620421.03559293854</v>
      </c>
      <c r="J2242" s="26">
        <v>855334.03559293854</v>
      </c>
    </row>
    <row r="2243" spans="1:10" x14ac:dyDescent="0.2">
      <c r="A2243">
        <v>2005850</v>
      </c>
      <c r="B2243">
        <v>2017</v>
      </c>
      <c r="C2243" t="s">
        <v>6</v>
      </c>
      <c r="D2243" t="s">
        <v>7</v>
      </c>
      <c r="E2243" t="s">
        <v>8</v>
      </c>
      <c r="F2243" s="29">
        <v>5293</v>
      </c>
      <c r="G2243" s="3" t="s">
        <v>290</v>
      </c>
      <c r="H2243" s="1">
        <v>266478</v>
      </c>
      <c r="I2243" s="1">
        <v>41585.395103712101</v>
      </c>
      <c r="J2243" s="1">
        <v>308063.3951037121</v>
      </c>
    </row>
    <row r="2244" spans="1:10" x14ac:dyDescent="0.2">
      <c r="A2244">
        <v>2005850</v>
      </c>
      <c r="B2244">
        <v>2018</v>
      </c>
      <c r="C2244" t="s">
        <v>6</v>
      </c>
      <c r="D2244" t="s">
        <v>7</v>
      </c>
      <c r="E2244" t="s">
        <v>8</v>
      </c>
      <c r="F2244" s="28">
        <v>5293</v>
      </c>
      <c r="G2244" t="s">
        <v>290</v>
      </c>
      <c r="H2244" s="1">
        <v>303870</v>
      </c>
      <c r="I2244" s="1">
        <v>45951.023078970327</v>
      </c>
      <c r="J2244" s="1">
        <v>349821.02307897032</v>
      </c>
    </row>
    <row r="2245" spans="1:10" x14ac:dyDescent="0.2">
      <c r="A2245">
        <v>2005850</v>
      </c>
      <c r="B2245">
        <v>2019</v>
      </c>
      <c r="C2245" t="s">
        <v>6</v>
      </c>
      <c r="D2245" t="s">
        <v>7</v>
      </c>
      <c r="E2245" t="s">
        <v>8</v>
      </c>
      <c r="F2245" s="28">
        <v>5293</v>
      </c>
      <c r="G2245" t="s">
        <v>290</v>
      </c>
      <c r="H2245" s="1">
        <v>350499</v>
      </c>
      <c r="I2245" s="1">
        <v>53380.234270819979</v>
      </c>
      <c r="J2245" s="1">
        <v>403879.23427081999</v>
      </c>
    </row>
    <row r="2246" spans="1:10" x14ac:dyDescent="0.2">
      <c r="A2246">
        <v>2005850</v>
      </c>
      <c r="B2246">
        <v>2020</v>
      </c>
      <c r="C2246" t="s">
        <v>6</v>
      </c>
      <c r="D2246" t="s">
        <v>7</v>
      </c>
      <c r="E2246" t="s">
        <v>8</v>
      </c>
      <c r="F2246" s="28">
        <v>5293</v>
      </c>
      <c r="G2246" t="s">
        <v>290</v>
      </c>
      <c r="H2246" s="1">
        <v>391355</v>
      </c>
      <c r="I2246" s="1">
        <v>59206.07267098569</v>
      </c>
      <c r="J2246" s="1">
        <v>450561.07267098571</v>
      </c>
    </row>
    <row r="2247" spans="1:10" x14ac:dyDescent="0.2">
      <c r="A2247">
        <v>2005850</v>
      </c>
      <c r="B2247">
        <v>2021</v>
      </c>
      <c r="C2247" t="s">
        <v>6</v>
      </c>
      <c r="D2247" t="s">
        <v>7</v>
      </c>
      <c r="E2247" t="s">
        <v>8</v>
      </c>
      <c r="F2247" s="28">
        <v>5293</v>
      </c>
      <c r="G2247" t="s">
        <v>290</v>
      </c>
      <c r="H2247" s="25">
        <v>378701</v>
      </c>
      <c r="I2247" s="1">
        <v>56537.454100266317</v>
      </c>
      <c r="J2247" s="1">
        <v>435238.45410026633</v>
      </c>
    </row>
    <row r="2248" spans="1:10" x14ac:dyDescent="0.2">
      <c r="A2248">
        <v>2005850</v>
      </c>
      <c r="B2248">
        <v>2022</v>
      </c>
      <c r="C2248" t="s">
        <v>6</v>
      </c>
      <c r="D2248" t="s">
        <v>7</v>
      </c>
      <c r="E2248" t="s">
        <v>8</v>
      </c>
      <c r="F2248" s="28">
        <v>5293</v>
      </c>
      <c r="G2248" t="s">
        <v>290</v>
      </c>
      <c r="H2248" s="1">
        <v>360759</v>
      </c>
      <c r="I2248" s="1">
        <v>48993.07589284805</v>
      </c>
      <c r="J2248" s="1">
        <v>409752.07589284808</v>
      </c>
    </row>
    <row r="2249" spans="1:10" x14ac:dyDescent="0.2">
      <c r="A2249">
        <v>2005850</v>
      </c>
      <c r="B2249">
        <v>2023</v>
      </c>
      <c r="C2249" t="s">
        <v>6</v>
      </c>
      <c r="D2249" t="s">
        <v>7</v>
      </c>
      <c r="E2249" t="s">
        <v>8</v>
      </c>
      <c r="F2249" s="28">
        <v>5293</v>
      </c>
      <c r="G2249" s="10" t="s">
        <v>290</v>
      </c>
      <c r="H2249" s="1">
        <v>364736</v>
      </c>
      <c r="I2249" s="1">
        <v>51064.125558979387</v>
      </c>
      <c r="J2249" s="1">
        <v>415800.1255589794</v>
      </c>
    </row>
    <row r="2250" spans="1:10" x14ac:dyDescent="0.2">
      <c r="A2250">
        <v>2011310</v>
      </c>
      <c r="B2250">
        <v>2015</v>
      </c>
      <c r="C2250" t="s">
        <v>6</v>
      </c>
      <c r="D2250" t="s">
        <v>7</v>
      </c>
      <c r="E2250" t="s">
        <v>8</v>
      </c>
      <c r="F2250" s="29">
        <v>5294</v>
      </c>
      <c r="G2250" s="3" t="s">
        <v>291</v>
      </c>
      <c r="H2250" s="27">
        <v>517595</v>
      </c>
      <c r="I2250" s="1">
        <v>83371.118594979664</v>
      </c>
      <c r="J2250" s="1">
        <v>600966.11859497963</v>
      </c>
    </row>
    <row r="2251" spans="1:10" x14ac:dyDescent="0.2">
      <c r="A2251">
        <v>2011310</v>
      </c>
      <c r="B2251">
        <v>2016</v>
      </c>
      <c r="C2251" t="s">
        <v>6</v>
      </c>
      <c r="D2251" t="s">
        <v>7</v>
      </c>
      <c r="E2251" t="s">
        <v>8</v>
      </c>
      <c r="F2251" s="29">
        <v>5294</v>
      </c>
      <c r="G2251" s="3" t="s">
        <v>291</v>
      </c>
      <c r="H2251" s="1">
        <v>565546</v>
      </c>
      <c r="I2251" s="26">
        <v>1493662.662833584</v>
      </c>
      <c r="J2251" s="26">
        <v>2059208.662833584</v>
      </c>
    </row>
    <row r="2252" spans="1:10" x14ac:dyDescent="0.2">
      <c r="A2252">
        <v>2011310</v>
      </c>
      <c r="B2252">
        <v>2017</v>
      </c>
      <c r="C2252" t="s">
        <v>6</v>
      </c>
      <c r="D2252" t="s">
        <v>7</v>
      </c>
      <c r="E2252" t="s">
        <v>8</v>
      </c>
      <c r="F2252" s="29">
        <v>5294</v>
      </c>
      <c r="G2252" s="3" t="s">
        <v>291</v>
      </c>
      <c r="H2252" s="1">
        <v>593203</v>
      </c>
      <c r="I2252" s="1">
        <v>92572.674411048298</v>
      </c>
      <c r="J2252" s="1">
        <v>685775.6744110483</v>
      </c>
    </row>
    <row r="2253" spans="1:10" x14ac:dyDescent="0.2">
      <c r="A2253">
        <v>2011310</v>
      </c>
      <c r="B2253">
        <v>2018</v>
      </c>
      <c r="C2253" t="s">
        <v>6</v>
      </c>
      <c r="D2253" t="s">
        <v>7</v>
      </c>
      <c r="E2253" t="s">
        <v>8</v>
      </c>
      <c r="F2253" s="28">
        <v>5294</v>
      </c>
      <c r="G2253" t="s">
        <v>291</v>
      </c>
      <c r="H2253" s="1">
        <v>689020</v>
      </c>
      <c r="I2253" s="1">
        <v>104193.15471047531</v>
      </c>
      <c r="J2253" s="1">
        <v>793213.15471047536</v>
      </c>
    </row>
    <row r="2254" spans="1:10" x14ac:dyDescent="0.2">
      <c r="A2254">
        <v>2011310</v>
      </c>
      <c r="B2254">
        <v>2019</v>
      </c>
      <c r="C2254" t="s">
        <v>6</v>
      </c>
      <c r="D2254" t="s">
        <v>7</v>
      </c>
      <c r="E2254" t="s">
        <v>8</v>
      </c>
      <c r="F2254" s="28">
        <v>5294</v>
      </c>
      <c r="G2254" t="s">
        <v>291</v>
      </c>
      <c r="H2254" s="1">
        <v>797526</v>
      </c>
      <c r="I2254" s="1">
        <v>121461.47269199049</v>
      </c>
      <c r="J2254" s="1">
        <v>918987.47269199044</v>
      </c>
    </row>
    <row r="2255" spans="1:10" x14ac:dyDescent="0.2">
      <c r="A2255">
        <v>2011310</v>
      </c>
      <c r="B2255">
        <v>2020</v>
      </c>
      <c r="C2255" t="s">
        <v>6</v>
      </c>
      <c r="D2255" t="s">
        <v>7</v>
      </c>
      <c r="E2255" t="s">
        <v>8</v>
      </c>
      <c r="F2255" s="28">
        <v>5294</v>
      </c>
      <c r="G2255" t="s">
        <v>291</v>
      </c>
      <c r="H2255" s="1">
        <v>870213</v>
      </c>
      <c r="I2255" s="1">
        <v>131650.02138017007</v>
      </c>
      <c r="J2255" s="1">
        <v>1001863.02138017</v>
      </c>
    </row>
    <row r="2256" spans="1:10" x14ac:dyDescent="0.2">
      <c r="A2256">
        <v>2011310</v>
      </c>
      <c r="B2256">
        <v>2021</v>
      </c>
      <c r="C2256" t="s">
        <v>6</v>
      </c>
      <c r="D2256" t="s">
        <v>7</v>
      </c>
      <c r="E2256" t="s">
        <v>8</v>
      </c>
      <c r="F2256" s="28">
        <v>5294</v>
      </c>
      <c r="G2256" t="s">
        <v>291</v>
      </c>
      <c r="H2256" s="25">
        <v>912493</v>
      </c>
      <c r="I2256" s="1">
        <v>136228.92758222006</v>
      </c>
      <c r="J2256" s="1">
        <v>1048721.9275822202</v>
      </c>
    </row>
    <row r="2257" spans="1:10" x14ac:dyDescent="0.2">
      <c r="A2257">
        <v>2011310</v>
      </c>
      <c r="B2257">
        <v>2022</v>
      </c>
      <c r="C2257" t="s">
        <v>6</v>
      </c>
      <c r="D2257" t="s">
        <v>7</v>
      </c>
      <c r="E2257" t="s">
        <v>8</v>
      </c>
      <c r="F2257" s="28">
        <v>5294</v>
      </c>
      <c r="G2257" t="s">
        <v>291</v>
      </c>
      <c r="H2257" s="1">
        <v>868052</v>
      </c>
      <c r="I2257" s="1">
        <v>117886.28285070791</v>
      </c>
      <c r="J2257" s="1">
        <v>985938.28285070788</v>
      </c>
    </row>
    <row r="2258" spans="1:10" x14ac:dyDescent="0.2">
      <c r="A2258">
        <v>2011310</v>
      </c>
      <c r="B2258">
        <v>2023</v>
      </c>
      <c r="C2258" t="s">
        <v>6</v>
      </c>
      <c r="D2258" t="s">
        <v>7</v>
      </c>
      <c r="E2258" t="s">
        <v>8</v>
      </c>
      <c r="F2258" s="28">
        <v>5294</v>
      </c>
      <c r="G2258" s="10" t="s">
        <v>291</v>
      </c>
      <c r="H2258" s="1">
        <v>885250</v>
      </c>
      <c r="I2258" s="1">
        <v>123937.63475797974</v>
      </c>
      <c r="J2258" s="1">
        <v>1009187.6347579798</v>
      </c>
    </row>
    <row r="2259" spans="1:10" x14ac:dyDescent="0.2">
      <c r="A2259">
        <v>2006570</v>
      </c>
      <c r="B2259">
        <v>2015</v>
      </c>
      <c r="C2259" t="s">
        <v>6</v>
      </c>
      <c r="D2259" t="s">
        <v>7</v>
      </c>
      <c r="E2259" t="s">
        <v>8</v>
      </c>
      <c r="F2259" s="29">
        <v>5295</v>
      </c>
      <c r="G2259" s="3" t="s">
        <v>292</v>
      </c>
      <c r="H2259" s="27">
        <v>154310</v>
      </c>
      <c r="I2259" s="1">
        <v>24855.3353691425</v>
      </c>
      <c r="J2259" s="1">
        <v>179165.3353691425</v>
      </c>
    </row>
    <row r="2260" spans="1:10" x14ac:dyDescent="0.2">
      <c r="A2260">
        <v>2006570</v>
      </c>
      <c r="B2260">
        <v>2016</v>
      </c>
      <c r="C2260" t="s">
        <v>6</v>
      </c>
      <c r="D2260" t="s">
        <v>7</v>
      </c>
      <c r="E2260" t="s">
        <v>8</v>
      </c>
      <c r="F2260" s="29">
        <v>5295</v>
      </c>
      <c r="G2260" s="3" t="s">
        <v>292</v>
      </c>
      <c r="H2260" s="1">
        <v>167586</v>
      </c>
      <c r="I2260" s="26">
        <v>442607.62618806801</v>
      </c>
      <c r="J2260" s="26">
        <v>610193.62618806795</v>
      </c>
    </row>
    <row r="2261" spans="1:10" x14ac:dyDescent="0.2">
      <c r="A2261">
        <v>2006570</v>
      </c>
      <c r="B2261">
        <v>2017</v>
      </c>
      <c r="C2261" t="s">
        <v>6</v>
      </c>
      <c r="D2261" t="s">
        <v>7</v>
      </c>
      <c r="E2261" t="s">
        <v>8</v>
      </c>
      <c r="F2261" s="29">
        <v>5295</v>
      </c>
      <c r="G2261" s="3" t="s">
        <v>292</v>
      </c>
      <c r="H2261" s="1">
        <v>184912</v>
      </c>
      <c r="I2261" s="1">
        <v>28856.560689503869</v>
      </c>
      <c r="J2261" s="1">
        <v>213768.56068950388</v>
      </c>
    </row>
    <row r="2262" spans="1:10" x14ac:dyDescent="0.2">
      <c r="A2262">
        <v>2006570</v>
      </c>
      <c r="B2262">
        <v>2018</v>
      </c>
      <c r="C2262" t="s">
        <v>6</v>
      </c>
      <c r="D2262" t="s">
        <v>7</v>
      </c>
      <c r="E2262" t="s">
        <v>8</v>
      </c>
      <c r="F2262" s="28">
        <v>5295</v>
      </c>
      <c r="G2262" t="s">
        <v>292</v>
      </c>
      <c r="H2262" s="1">
        <v>207358</v>
      </c>
      <c r="I2262" s="1">
        <v>31356.541427614204</v>
      </c>
      <c r="J2262" s="1">
        <v>238714.5414276142</v>
      </c>
    </row>
    <row r="2263" spans="1:10" x14ac:dyDescent="0.2">
      <c r="A2263">
        <v>2006570</v>
      </c>
      <c r="B2263">
        <v>2019</v>
      </c>
      <c r="C2263" t="s">
        <v>6</v>
      </c>
      <c r="D2263" t="s">
        <v>7</v>
      </c>
      <c r="E2263" t="s">
        <v>8</v>
      </c>
      <c r="F2263" s="28">
        <v>5295</v>
      </c>
      <c r="G2263" t="s">
        <v>292</v>
      </c>
      <c r="H2263" s="1">
        <v>255265</v>
      </c>
      <c r="I2263" s="1">
        <v>38876.303501981063</v>
      </c>
      <c r="J2263" s="1">
        <v>294141.30350198108</v>
      </c>
    </row>
    <row r="2264" spans="1:10" x14ac:dyDescent="0.2">
      <c r="A2264">
        <v>2006570</v>
      </c>
      <c r="B2264">
        <v>2020</v>
      </c>
      <c r="C2264" t="s">
        <v>6</v>
      </c>
      <c r="D2264" t="s">
        <v>7</v>
      </c>
      <c r="E2264" t="s">
        <v>8</v>
      </c>
      <c r="F2264" s="28">
        <v>5295</v>
      </c>
      <c r="G2264" t="s">
        <v>292</v>
      </c>
      <c r="H2264" s="1">
        <v>271426</v>
      </c>
      <c r="I2264" s="1">
        <v>41062.634898736338</v>
      </c>
      <c r="J2264" s="1">
        <v>312488.63489873632</v>
      </c>
    </row>
    <row r="2265" spans="1:10" x14ac:dyDescent="0.2">
      <c r="A2265">
        <v>2006570</v>
      </c>
      <c r="B2265">
        <v>2021</v>
      </c>
      <c r="C2265" t="s">
        <v>6</v>
      </c>
      <c r="D2265" t="s">
        <v>7</v>
      </c>
      <c r="E2265" t="s">
        <v>8</v>
      </c>
      <c r="F2265" s="28">
        <v>5295</v>
      </c>
      <c r="G2265" t="s">
        <v>292</v>
      </c>
      <c r="H2265" s="25">
        <v>281114</v>
      </c>
      <c r="I2265" s="1">
        <v>41968.386331016467</v>
      </c>
      <c r="J2265" s="1">
        <v>323082.38633101649</v>
      </c>
    </row>
    <row r="2266" spans="1:10" x14ac:dyDescent="0.2">
      <c r="A2266">
        <v>2006570</v>
      </c>
      <c r="B2266">
        <v>2022</v>
      </c>
      <c r="C2266" t="s">
        <v>6</v>
      </c>
      <c r="D2266" t="s">
        <v>7</v>
      </c>
      <c r="E2266" t="s">
        <v>8</v>
      </c>
      <c r="F2266" s="28">
        <v>5295</v>
      </c>
      <c r="G2266" t="s">
        <v>292</v>
      </c>
      <c r="H2266" s="1">
        <v>284926</v>
      </c>
      <c r="I2266" s="1">
        <v>38694.533308512393</v>
      </c>
      <c r="J2266" s="1">
        <v>323620.53330851241</v>
      </c>
    </row>
    <row r="2267" spans="1:10" x14ac:dyDescent="0.2">
      <c r="A2267">
        <v>2006570</v>
      </c>
      <c r="B2267">
        <v>2023</v>
      </c>
      <c r="C2267" t="s">
        <v>6</v>
      </c>
      <c r="D2267" t="s">
        <v>7</v>
      </c>
      <c r="E2267" t="s">
        <v>8</v>
      </c>
      <c r="F2267" s="28">
        <v>5295</v>
      </c>
      <c r="G2267" s="10" t="s">
        <v>292</v>
      </c>
      <c r="H2267" s="1">
        <v>290227</v>
      </c>
      <c r="I2267" s="1">
        <v>40632.64379881863</v>
      </c>
      <c r="J2267" s="1">
        <v>330859.64379881864</v>
      </c>
    </row>
    <row r="2268" spans="1:10" x14ac:dyDescent="0.2">
      <c r="A2268">
        <v>2003180</v>
      </c>
      <c r="B2268">
        <v>2015</v>
      </c>
      <c r="C2268" t="s">
        <v>6</v>
      </c>
      <c r="D2268" t="s">
        <v>7</v>
      </c>
      <c r="E2268" t="s">
        <v>8</v>
      </c>
      <c r="F2268" s="29">
        <v>5296</v>
      </c>
      <c r="G2268" s="3" t="s">
        <v>293</v>
      </c>
      <c r="H2268" s="27">
        <v>818457</v>
      </c>
      <c r="I2268" s="1">
        <v>131832.17691803683</v>
      </c>
      <c r="J2268" s="1">
        <v>950289.17691803677</v>
      </c>
    </row>
    <row r="2269" spans="1:10" x14ac:dyDescent="0.2">
      <c r="A2269">
        <v>2003180</v>
      </c>
      <c r="B2269">
        <v>2016</v>
      </c>
      <c r="C2269" t="s">
        <v>6</v>
      </c>
      <c r="D2269" t="s">
        <v>7</v>
      </c>
      <c r="E2269" t="s">
        <v>8</v>
      </c>
      <c r="F2269" s="29">
        <v>5296</v>
      </c>
      <c r="G2269" s="3" t="s">
        <v>293</v>
      </c>
      <c r="H2269" s="1">
        <v>888454</v>
      </c>
      <c r="I2269" s="26">
        <v>2346489.7543685841</v>
      </c>
      <c r="J2269" s="26">
        <v>3234943.7543685841</v>
      </c>
    </row>
    <row r="2270" spans="1:10" x14ac:dyDescent="0.2">
      <c r="A2270">
        <v>2003180</v>
      </c>
      <c r="B2270">
        <v>2017</v>
      </c>
      <c r="C2270" t="s">
        <v>6</v>
      </c>
      <c r="D2270" t="s">
        <v>7</v>
      </c>
      <c r="E2270" t="s">
        <v>8</v>
      </c>
      <c r="F2270" s="29">
        <v>5296</v>
      </c>
      <c r="G2270" s="3" t="s">
        <v>293</v>
      </c>
      <c r="H2270" s="1">
        <v>946174</v>
      </c>
      <c r="I2270" s="1">
        <v>147655.79007219992</v>
      </c>
      <c r="J2270" s="1">
        <v>1093829.7900721999</v>
      </c>
    </row>
    <row r="2271" spans="1:10" x14ac:dyDescent="0.2">
      <c r="A2271">
        <v>2003180</v>
      </c>
      <c r="B2271">
        <v>2018</v>
      </c>
      <c r="C2271" t="s">
        <v>6</v>
      </c>
      <c r="D2271" t="s">
        <v>7</v>
      </c>
      <c r="E2271" t="s">
        <v>8</v>
      </c>
      <c r="F2271" s="28">
        <v>5296</v>
      </c>
      <c r="G2271" t="s">
        <v>293</v>
      </c>
      <c r="H2271" s="1">
        <v>1085552</v>
      </c>
      <c r="I2271" s="1">
        <v>164156.46495350773</v>
      </c>
      <c r="J2271" s="1">
        <v>1249708.4649535078</v>
      </c>
    </row>
    <row r="2272" spans="1:10" x14ac:dyDescent="0.2">
      <c r="A2272">
        <v>2003180</v>
      </c>
      <c r="B2272">
        <v>2019</v>
      </c>
      <c r="C2272" t="s">
        <v>6</v>
      </c>
      <c r="D2272" t="s">
        <v>7</v>
      </c>
      <c r="E2272" t="s">
        <v>8</v>
      </c>
      <c r="F2272" s="28">
        <v>5296</v>
      </c>
      <c r="G2272" t="s">
        <v>293</v>
      </c>
      <c r="H2272" s="1">
        <v>1191124</v>
      </c>
      <c r="I2272" s="1">
        <v>181405.59078797992</v>
      </c>
      <c r="J2272" s="1">
        <v>1372529.59078798</v>
      </c>
    </row>
    <row r="2273" spans="1:10" x14ac:dyDescent="0.2">
      <c r="A2273">
        <v>2003180</v>
      </c>
      <c r="B2273">
        <v>2020</v>
      </c>
      <c r="C2273" t="s">
        <v>6</v>
      </c>
      <c r="D2273" t="s">
        <v>7</v>
      </c>
      <c r="E2273" t="s">
        <v>8</v>
      </c>
      <c r="F2273" s="28">
        <v>5296</v>
      </c>
      <c r="G2273" t="s">
        <v>293</v>
      </c>
      <c r="H2273" s="1">
        <v>1247870</v>
      </c>
      <c r="I2273" s="1">
        <v>188783.79451889693</v>
      </c>
      <c r="J2273" s="1">
        <v>1436653.7945188968</v>
      </c>
    </row>
    <row r="2274" spans="1:10" x14ac:dyDescent="0.2">
      <c r="A2274">
        <v>2003180</v>
      </c>
      <c r="B2274">
        <v>2021</v>
      </c>
      <c r="C2274" t="s">
        <v>6</v>
      </c>
      <c r="D2274" t="s">
        <v>7</v>
      </c>
      <c r="E2274" t="s">
        <v>8</v>
      </c>
      <c r="F2274" s="28">
        <v>5296</v>
      </c>
      <c r="G2274" t="s">
        <v>293</v>
      </c>
      <c r="H2274" s="25">
        <v>1198611</v>
      </c>
      <c r="I2274" s="1">
        <v>178944.37668919362</v>
      </c>
      <c r="J2274" s="1">
        <v>1377555.3766891935</v>
      </c>
    </row>
    <row r="2275" spans="1:10" x14ac:dyDescent="0.2">
      <c r="A2275">
        <v>2003180</v>
      </c>
      <c r="B2275">
        <v>2022</v>
      </c>
      <c r="C2275" t="s">
        <v>6</v>
      </c>
      <c r="D2275" t="s">
        <v>7</v>
      </c>
      <c r="E2275" t="s">
        <v>8</v>
      </c>
      <c r="F2275" s="28">
        <v>5296</v>
      </c>
      <c r="G2275" t="s">
        <v>293</v>
      </c>
      <c r="H2275" s="1">
        <v>1185188</v>
      </c>
      <c r="I2275" s="1">
        <v>160955.11305689614</v>
      </c>
      <c r="J2275" s="1">
        <v>1346143.1130568963</v>
      </c>
    </row>
    <row r="2276" spans="1:10" x14ac:dyDescent="0.2">
      <c r="A2276">
        <v>2003180</v>
      </c>
      <c r="B2276">
        <v>2023</v>
      </c>
      <c r="C2276" t="s">
        <v>6</v>
      </c>
      <c r="D2276" t="s">
        <v>7</v>
      </c>
      <c r="E2276" t="s">
        <v>8</v>
      </c>
      <c r="F2276" s="28">
        <v>5296</v>
      </c>
      <c r="G2276" s="10" t="s">
        <v>293</v>
      </c>
      <c r="H2276" s="1">
        <v>1155508</v>
      </c>
      <c r="I2276" s="1">
        <v>161774.55912332522</v>
      </c>
      <c r="J2276" s="1">
        <v>1317282.5591233252</v>
      </c>
    </row>
    <row r="2277" spans="1:10" x14ac:dyDescent="0.2">
      <c r="A2277">
        <v>2009900</v>
      </c>
      <c r="B2277">
        <v>2015</v>
      </c>
      <c r="C2277" t="s">
        <v>6</v>
      </c>
      <c r="D2277" t="s">
        <v>7</v>
      </c>
      <c r="E2277" t="s">
        <v>8</v>
      </c>
      <c r="F2277" s="29">
        <v>5297</v>
      </c>
      <c r="G2277" s="3" t="s">
        <v>294</v>
      </c>
      <c r="H2277" s="27">
        <v>368475</v>
      </c>
      <c r="I2277" s="1">
        <v>59351.757502072345</v>
      </c>
      <c r="J2277" s="1">
        <v>427826.75750207237</v>
      </c>
    </row>
    <row r="2278" spans="1:10" x14ac:dyDescent="0.2">
      <c r="A2278">
        <v>2009900</v>
      </c>
      <c r="B2278">
        <v>2016</v>
      </c>
      <c r="C2278" t="s">
        <v>6</v>
      </c>
      <c r="D2278" t="s">
        <v>7</v>
      </c>
      <c r="E2278" t="s">
        <v>8</v>
      </c>
      <c r="F2278" s="29">
        <v>5297</v>
      </c>
      <c r="G2278" s="3" t="s">
        <v>294</v>
      </c>
      <c r="H2278" s="1">
        <v>449027</v>
      </c>
      <c r="I2278" s="26">
        <v>1185915.3946129153</v>
      </c>
      <c r="J2278" s="26">
        <v>1634942.3946129153</v>
      </c>
    </row>
    <row r="2279" spans="1:10" x14ac:dyDescent="0.2">
      <c r="A2279">
        <v>2009900</v>
      </c>
      <c r="B2279">
        <v>2017</v>
      </c>
      <c r="C2279" t="s">
        <v>6</v>
      </c>
      <c r="D2279" t="s">
        <v>7</v>
      </c>
      <c r="E2279" t="s">
        <v>8</v>
      </c>
      <c r="F2279" s="29">
        <v>5297</v>
      </c>
      <c r="G2279" s="3" t="s">
        <v>294</v>
      </c>
      <c r="H2279" s="1">
        <v>466792</v>
      </c>
      <c r="I2279" s="1">
        <v>72845.524775973929</v>
      </c>
      <c r="J2279" s="1">
        <v>539637.52477597399</v>
      </c>
    </row>
    <row r="2280" spans="1:10" x14ac:dyDescent="0.2">
      <c r="A2280">
        <v>2009900</v>
      </c>
      <c r="B2280">
        <v>2018</v>
      </c>
      <c r="C2280" t="s">
        <v>6</v>
      </c>
      <c r="D2280" t="s">
        <v>7</v>
      </c>
      <c r="E2280" t="s">
        <v>8</v>
      </c>
      <c r="F2280" s="28">
        <v>5297</v>
      </c>
      <c r="G2280" t="s">
        <v>294</v>
      </c>
      <c r="H2280" s="1">
        <v>559339</v>
      </c>
      <c r="I2280" s="1">
        <v>84582.878526896966</v>
      </c>
      <c r="J2280" s="1">
        <v>643921.87852689694</v>
      </c>
    </row>
    <row r="2281" spans="1:10" x14ac:dyDescent="0.2">
      <c r="A2281">
        <v>2009900</v>
      </c>
      <c r="B2281">
        <v>2019</v>
      </c>
      <c r="C2281" t="s">
        <v>6</v>
      </c>
      <c r="D2281" t="s">
        <v>7</v>
      </c>
      <c r="E2281" t="s">
        <v>8</v>
      </c>
      <c r="F2281" s="28">
        <v>5297</v>
      </c>
      <c r="G2281" t="s">
        <v>294</v>
      </c>
      <c r="H2281" s="1">
        <v>614279</v>
      </c>
      <c r="I2281" s="1">
        <v>93553.353726101996</v>
      </c>
      <c r="J2281" s="1">
        <v>707832.35372610204</v>
      </c>
    </row>
    <row r="2282" spans="1:10" x14ac:dyDescent="0.2">
      <c r="A2282">
        <v>2009900</v>
      </c>
      <c r="B2282">
        <v>2020</v>
      </c>
      <c r="C2282" t="s">
        <v>6</v>
      </c>
      <c r="D2282" t="s">
        <v>7</v>
      </c>
      <c r="E2282" t="s">
        <v>8</v>
      </c>
      <c r="F2282" s="28">
        <v>5297</v>
      </c>
      <c r="G2282" t="s">
        <v>294</v>
      </c>
      <c r="H2282" s="1">
        <v>686931</v>
      </c>
      <c r="I2282" s="1">
        <v>103922.23609242981</v>
      </c>
      <c r="J2282" s="1">
        <v>790853.23609242984</v>
      </c>
    </row>
    <row r="2283" spans="1:10" x14ac:dyDescent="0.2">
      <c r="A2283">
        <v>2009900</v>
      </c>
      <c r="B2283">
        <v>2021</v>
      </c>
      <c r="C2283" t="s">
        <v>6</v>
      </c>
      <c r="D2283" t="s">
        <v>7</v>
      </c>
      <c r="E2283" t="s">
        <v>8</v>
      </c>
      <c r="F2283" s="28">
        <v>5297</v>
      </c>
      <c r="G2283" t="s">
        <v>294</v>
      </c>
      <c r="H2283" s="25">
        <v>698105</v>
      </c>
      <c r="I2283" s="1">
        <v>104222.27402268919</v>
      </c>
      <c r="J2283" s="1">
        <v>802327.27402268921</v>
      </c>
    </row>
    <row r="2284" spans="1:10" x14ac:dyDescent="0.2">
      <c r="A2284">
        <v>2009900</v>
      </c>
      <c r="B2284">
        <v>2022</v>
      </c>
      <c r="C2284" t="s">
        <v>6</v>
      </c>
      <c r="D2284" t="s">
        <v>7</v>
      </c>
      <c r="E2284" t="s">
        <v>8</v>
      </c>
      <c r="F2284" s="28">
        <v>5297</v>
      </c>
      <c r="G2284" t="s">
        <v>294</v>
      </c>
      <c r="H2284" s="1">
        <v>714182</v>
      </c>
      <c r="I2284" s="1">
        <v>96989.882240792344</v>
      </c>
      <c r="J2284" s="1">
        <v>811171.88224079239</v>
      </c>
    </row>
    <row r="2285" spans="1:10" x14ac:dyDescent="0.2">
      <c r="A2285">
        <v>2009900</v>
      </c>
      <c r="B2285">
        <v>2023</v>
      </c>
      <c r="C2285" t="s">
        <v>6</v>
      </c>
      <c r="D2285" t="s">
        <v>7</v>
      </c>
      <c r="E2285" t="s">
        <v>8</v>
      </c>
      <c r="F2285" s="28">
        <v>5297</v>
      </c>
      <c r="G2285" s="10" t="s">
        <v>294</v>
      </c>
      <c r="H2285" s="1">
        <v>731587</v>
      </c>
      <c r="I2285" s="1">
        <v>102424.35741280556</v>
      </c>
      <c r="J2285" s="1">
        <v>834011.35741280555</v>
      </c>
    </row>
    <row r="2286" spans="1:10" x14ac:dyDescent="0.2">
      <c r="A2286">
        <v>2007080</v>
      </c>
      <c r="B2286">
        <v>2015</v>
      </c>
      <c r="C2286" t="s">
        <v>6</v>
      </c>
      <c r="D2286" t="s">
        <v>7</v>
      </c>
      <c r="E2286" t="s">
        <v>8</v>
      </c>
      <c r="F2286" s="29">
        <v>5298</v>
      </c>
      <c r="G2286" s="3" t="s">
        <v>295</v>
      </c>
      <c r="H2286" s="27">
        <v>57945</v>
      </c>
      <c r="I2286" s="1">
        <v>9333.4353442094616</v>
      </c>
      <c r="J2286" s="1">
        <v>67278.435344209458</v>
      </c>
    </row>
    <row r="2287" spans="1:10" x14ac:dyDescent="0.2">
      <c r="A2287">
        <v>2007080</v>
      </c>
      <c r="B2287">
        <v>2016</v>
      </c>
      <c r="C2287" t="s">
        <v>6</v>
      </c>
      <c r="D2287" t="s">
        <v>7</v>
      </c>
      <c r="E2287" t="s">
        <v>8</v>
      </c>
      <c r="F2287" s="29">
        <v>5298</v>
      </c>
      <c r="G2287" s="3" t="s">
        <v>295</v>
      </c>
      <c r="H2287" s="1">
        <v>66940</v>
      </c>
      <c r="I2287" s="26">
        <v>176789.08383496443</v>
      </c>
      <c r="J2287" s="26">
        <v>243729.08383496443</v>
      </c>
    </row>
    <row r="2288" spans="1:10" x14ac:dyDescent="0.2">
      <c r="A2288">
        <v>2007080</v>
      </c>
      <c r="B2288">
        <v>2017</v>
      </c>
      <c r="C2288" t="s">
        <v>6</v>
      </c>
      <c r="D2288" t="s">
        <v>7</v>
      </c>
      <c r="E2288" t="s">
        <v>8</v>
      </c>
      <c r="F2288" s="29">
        <v>5298</v>
      </c>
      <c r="G2288" s="3" t="s">
        <v>295</v>
      </c>
      <c r="H2288" s="1">
        <v>67323</v>
      </c>
      <c r="I2288" s="1">
        <v>10506.133919374995</v>
      </c>
      <c r="J2288" s="1">
        <v>77829.133919374988</v>
      </c>
    </row>
    <row r="2289" spans="1:10" x14ac:dyDescent="0.2">
      <c r="A2289">
        <v>2007080</v>
      </c>
      <c r="B2289">
        <v>2018</v>
      </c>
      <c r="C2289" t="s">
        <v>6</v>
      </c>
      <c r="D2289" t="s">
        <v>7</v>
      </c>
      <c r="E2289" t="s">
        <v>8</v>
      </c>
      <c r="F2289" s="28">
        <v>5298</v>
      </c>
      <c r="G2289" t="s">
        <v>295</v>
      </c>
      <c r="H2289" s="1">
        <v>81894</v>
      </c>
      <c r="I2289" s="1">
        <v>12383.957231807008</v>
      </c>
      <c r="J2289" s="1">
        <v>94277.957231807013</v>
      </c>
    </row>
    <row r="2290" spans="1:10" x14ac:dyDescent="0.2">
      <c r="A2290">
        <v>2007080</v>
      </c>
      <c r="B2290">
        <v>2019</v>
      </c>
      <c r="C2290" t="s">
        <v>6</v>
      </c>
      <c r="D2290" t="s">
        <v>7</v>
      </c>
      <c r="E2290" t="s">
        <v>8</v>
      </c>
      <c r="F2290" s="28">
        <v>5298</v>
      </c>
      <c r="G2290" t="s">
        <v>295</v>
      </c>
      <c r="H2290" s="1">
        <v>77688</v>
      </c>
      <c r="I2290" s="1">
        <v>11831.713186147355</v>
      </c>
      <c r="J2290" s="1">
        <v>89519.713186147361</v>
      </c>
    </row>
    <row r="2291" spans="1:10" x14ac:dyDescent="0.2">
      <c r="A2291">
        <v>2007080</v>
      </c>
      <c r="B2291">
        <v>2020</v>
      </c>
      <c r="C2291" t="s">
        <v>6</v>
      </c>
      <c r="D2291" t="s">
        <v>7</v>
      </c>
      <c r="E2291" t="s">
        <v>8</v>
      </c>
      <c r="F2291" s="28">
        <v>5298</v>
      </c>
      <c r="G2291" t="s">
        <v>295</v>
      </c>
      <c r="H2291" s="1">
        <v>86133</v>
      </c>
      <c r="I2291" s="1">
        <v>13030.615828007843</v>
      </c>
      <c r="J2291" s="1">
        <v>99163.615828007838</v>
      </c>
    </row>
    <row r="2292" spans="1:10" x14ac:dyDescent="0.2">
      <c r="A2292">
        <v>2007080</v>
      </c>
      <c r="B2292">
        <v>2021</v>
      </c>
      <c r="C2292" t="s">
        <v>6</v>
      </c>
      <c r="D2292" t="s">
        <v>7</v>
      </c>
      <c r="E2292" t="s">
        <v>8</v>
      </c>
      <c r="F2292" s="28">
        <v>5298</v>
      </c>
      <c r="G2292" t="s">
        <v>295</v>
      </c>
      <c r="H2292" s="25">
        <v>63692</v>
      </c>
      <c r="I2292" s="1">
        <v>9508.7774432973838</v>
      </c>
      <c r="J2292" s="1">
        <v>73200.777443297382</v>
      </c>
    </row>
    <row r="2293" spans="1:10" x14ac:dyDescent="0.2">
      <c r="A2293">
        <v>2007080</v>
      </c>
      <c r="B2293">
        <v>2022</v>
      </c>
      <c r="C2293" t="s">
        <v>6</v>
      </c>
      <c r="D2293" t="s">
        <v>7</v>
      </c>
      <c r="E2293" t="s">
        <v>8</v>
      </c>
      <c r="F2293" s="28">
        <v>5298</v>
      </c>
      <c r="G2293" t="s">
        <v>295</v>
      </c>
      <c r="H2293" s="1">
        <v>85968</v>
      </c>
      <c r="I2293" s="1">
        <v>11674.931875175287</v>
      </c>
      <c r="J2293" s="1">
        <v>97642.931875175287</v>
      </c>
    </row>
    <row r="2294" spans="1:10" x14ac:dyDescent="0.2">
      <c r="A2294">
        <v>2007080</v>
      </c>
      <c r="B2294">
        <v>2023</v>
      </c>
      <c r="C2294" t="s">
        <v>6</v>
      </c>
      <c r="D2294" t="s">
        <v>7</v>
      </c>
      <c r="E2294" t="s">
        <v>8</v>
      </c>
      <c r="F2294" s="28">
        <v>5298</v>
      </c>
      <c r="G2294" s="10" t="s">
        <v>295</v>
      </c>
      <c r="H2294" s="1">
        <v>72192</v>
      </c>
      <c r="I2294" s="1">
        <v>10107.094864104009</v>
      </c>
      <c r="J2294" s="1">
        <v>82299.094864104001</v>
      </c>
    </row>
    <row r="2295" spans="1:10" x14ac:dyDescent="0.2">
      <c r="A2295">
        <v>2005520</v>
      </c>
      <c r="B2295">
        <v>2015</v>
      </c>
      <c r="C2295" t="s">
        <v>6</v>
      </c>
      <c r="D2295" t="s">
        <v>7</v>
      </c>
      <c r="E2295" t="s">
        <v>8</v>
      </c>
      <c r="F2295" s="29">
        <v>5299</v>
      </c>
      <c r="G2295" s="3" t="s">
        <v>296</v>
      </c>
      <c r="H2295" s="27">
        <v>103661</v>
      </c>
      <c r="I2295" s="1">
        <v>16697.096232912194</v>
      </c>
      <c r="J2295" s="1">
        <v>120358.0962329122</v>
      </c>
    </row>
    <row r="2296" spans="1:10" x14ac:dyDescent="0.2">
      <c r="A2296">
        <v>2005520</v>
      </c>
      <c r="B2296">
        <v>2016</v>
      </c>
      <c r="C2296" t="s">
        <v>6</v>
      </c>
      <c r="D2296" t="s">
        <v>7</v>
      </c>
      <c r="E2296" t="s">
        <v>8</v>
      </c>
      <c r="F2296" s="29">
        <v>5299</v>
      </c>
      <c r="G2296" s="3" t="s">
        <v>296</v>
      </c>
      <c r="H2296" s="1">
        <v>117010</v>
      </c>
      <c r="I2296" s="26">
        <v>309031.73202307289</v>
      </c>
      <c r="J2296" s="26">
        <v>426041.73202307289</v>
      </c>
    </row>
    <row r="2297" spans="1:10" x14ac:dyDescent="0.2">
      <c r="A2297">
        <v>2005520</v>
      </c>
      <c r="B2297">
        <v>2017</v>
      </c>
      <c r="C2297" t="s">
        <v>6</v>
      </c>
      <c r="D2297" t="s">
        <v>7</v>
      </c>
      <c r="E2297" t="s">
        <v>8</v>
      </c>
      <c r="F2297" s="29">
        <v>5299</v>
      </c>
      <c r="G2297" s="3" t="s">
        <v>296</v>
      </c>
      <c r="H2297" s="1">
        <v>115536</v>
      </c>
      <c r="I2297" s="1">
        <v>18030.044539145751</v>
      </c>
      <c r="J2297" s="1">
        <v>133566.04453914575</v>
      </c>
    </row>
    <row r="2298" spans="1:10" x14ac:dyDescent="0.2">
      <c r="A2298">
        <v>2005520</v>
      </c>
      <c r="B2298">
        <v>2018</v>
      </c>
      <c r="C2298" t="s">
        <v>6</v>
      </c>
      <c r="D2298" t="s">
        <v>7</v>
      </c>
      <c r="E2298" t="s">
        <v>8</v>
      </c>
      <c r="F2298" s="28">
        <v>5299</v>
      </c>
      <c r="G2298" t="s">
        <v>296</v>
      </c>
      <c r="H2298" s="1">
        <v>136595</v>
      </c>
      <c r="I2298" s="1">
        <v>20655.806751150005</v>
      </c>
      <c r="J2298" s="1">
        <v>157250.80675115</v>
      </c>
    </row>
    <row r="2299" spans="1:10" x14ac:dyDescent="0.2">
      <c r="A2299">
        <v>2005520</v>
      </c>
      <c r="B2299">
        <v>2019</v>
      </c>
      <c r="C2299" t="s">
        <v>6</v>
      </c>
      <c r="D2299" t="s">
        <v>7</v>
      </c>
      <c r="E2299" t="s">
        <v>8</v>
      </c>
      <c r="F2299" s="28">
        <v>5299</v>
      </c>
      <c r="G2299" t="s">
        <v>296</v>
      </c>
      <c r="H2299" s="1">
        <v>164646</v>
      </c>
      <c r="I2299" s="1">
        <v>25075.227181114427</v>
      </c>
      <c r="J2299" s="1">
        <v>189721.22718111443</v>
      </c>
    </row>
    <row r="2300" spans="1:10" x14ac:dyDescent="0.2">
      <c r="A2300">
        <v>2005520</v>
      </c>
      <c r="B2300">
        <v>2020</v>
      </c>
      <c r="C2300" t="s">
        <v>6</v>
      </c>
      <c r="D2300" t="s">
        <v>7</v>
      </c>
      <c r="E2300" t="s">
        <v>8</v>
      </c>
      <c r="F2300" s="28">
        <v>5299</v>
      </c>
      <c r="G2300" t="s">
        <v>296</v>
      </c>
      <c r="H2300" s="1">
        <v>202228</v>
      </c>
      <c r="I2300" s="1">
        <v>30594.027581372648</v>
      </c>
      <c r="J2300" s="1">
        <v>232822.02758137265</v>
      </c>
    </row>
    <row r="2301" spans="1:10" x14ac:dyDescent="0.2">
      <c r="A2301">
        <v>2005520</v>
      </c>
      <c r="B2301">
        <v>2021</v>
      </c>
      <c r="C2301" t="s">
        <v>6</v>
      </c>
      <c r="D2301" t="s">
        <v>7</v>
      </c>
      <c r="E2301" t="s">
        <v>8</v>
      </c>
      <c r="F2301" s="28">
        <v>5299</v>
      </c>
      <c r="G2301" t="s">
        <v>296</v>
      </c>
      <c r="H2301" s="25">
        <v>221028</v>
      </c>
      <c r="I2301" s="1">
        <v>32997.959880944763</v>
      </c>
      <c r="J2301" s="1">
        <v>254025.95988094475</v>
      </c>
    </row>
    <row r="2302" spans="1:10" x14ac:dyDescent="0.2">
      <c r="A2302">
        <v>2005520</v>
      </c>
      <c r="B2302">
        <v>2022</v>
      </c>
      <c r="C2302" t="s">
        <v>6</v>
      </c>
      <c r="D2302" t="s">
        <v>7</v>
      </c>
      <c r="E2302" t="s">
        <v>8</v>
      </c>
      <c r="F2302" s="28">
        <v>5299</v>
      </c>
      <c r="G2302" t="s">
        <v>296</v>
      </c>
      <c r="H2302" s="1">
        <v>232056</v>
      </c>
      <c r="I2302" s="1">
        <v>31514.493663056906</v>
      </c>
      <c r="J2302" s="1">
        <v>263570.49366305693</v>
      </c>
    </row>
    <row r="2303" spans="1:10" x14ac:dyDescent="0.2">
      <c r="A2303">
        <v>2005520</v>
      </c>
      <c r="B2303">
        <v>2023</v>
      </c>
      <c r="C2303" t="s">
        <v>6</v>
      </c>
      <c r="D2303" t="s">
        <v>7</v>
      </c>
      <c r="E2303" t="s">
        <v>8</v>
      </c>
      <c r="F2303" s="28">
        <v>5299</v>
      </c>
      <c r="G2303" s="10" t="s">
        <v>296</v>
      </c>
      <c r="H2303" s="1">
        <v>241736</v>
      </c>
      <c r="I2303" s="1">
        <v>33843.759475690473</v>
      </c>
      <c r="J2303" s="1">
        <v>275579.75947569049</v>
      </c>
    </row>
    <row r="2304" spans="1:10" x14ac:dyDescent="0.2">
      <c r="A2304">
        <v>2006270</v>
      </c>
      <c r="B2304">
        <v>2015</v>
      </c>
      <c r="C2304" t="s">
        <v>6</v>
      </c>
      <c r="D2304" t="s">
        <v>7</v>
      </c>
      <c r="E2304" t="s">
        <v>8</v>
      </c>
      <c r="F2304" s="29">
        <v>5300</v>
      </c>
      <c r="G2304" s="3" t="s">
        <v>297</v>
      </c>
      <c r="H2304" s="27">
        <v>368587</v>
      </c>
      <c r="I2304" s="1">
        <v>59369.797794738683</v>
      </c>
      <c r="J2304" s="1">
        <v>427956.79779473867</v>
      </c>
    </row>
    <row r="2305" spans="1:10" x14ac:dyDescent="0.2">
      <c r="A2305">
        <v>2006270</v>
      </c>
      <c r="B2305">
        <v>2016</v>
      </c>
      <c r="C2305" t="s">
        <v>6</v>
      </c>
      <c r="D2305" t="s">
        <v>7</v>
      </c>
      <c r="E2305" t="s">
        <v>8</v>
      </c>
      <c r="F2305" s="29">
        <v>5300</v>
      </c>
      <c r="G2305" s="3" t="s">
        <v>297</v>
      </c>
      <c r="H2305" s="1">
        <v>400280</v>
      </c>
      <c r="I2305" s="26">
        <v>1057177.4771951593</v>
      </c>
      <c r="J2305" s="26">
        <v>1457457.4771951593</v>
      </c>
    </row>
    <row r="2306" spans="1:10" x14ac:dyDescent="0.2">
      <c r="A2306">
        <v>2006270</v>
      </c>
      <c r="B2306">
        <v>2017</v>
      </c>
      <c r="C2306" t="s">
        <v>6</v>
      </c>
      <c r="D2306" t="s">
        <v>7</v>
      </c>
      <c r="E2306" t="s">
        <v>8</v>
      </c>
      <c r="F2306" s="29">
        <v>5300</v>
      </c>
      <c r="G2306" s="3" t="s">
        <v>297</v>
      </c>
      <c r="H2306" s="1">
        <v>427109</v>
      </c>
      <c r="I2306" s="1">
        <v>66652.768773975229</v>
      </c>
      <c r="J2306" s="1">
        <v>493761.7687739752</v>
      </c>
    </row>
    <row r="2307" spans="1:10" x14ac:dyDescent="0.2">
      <c r="A2307">
        <v>2006270</v>
      </c>
      <c r="B2307">
        <v>2018</v>
      </c>
      <c r="C2307" t="s">
        <v>6</v>
      </c>
      <c r="D2307" t="s">
        <v>7</v>
      </c>
      <c r="E2307" t="s">
        <v>8</v>
      </c>
      <c r="F2307" s="28">
        <v>5300</v>
      </c>
      <c r="G2307" t="s">
        <v>297</v>
      </c>
      <c r="H2307" s="1">
        <v>488689</v>
      </c>
      <c r="I2307" s="1">
        <v>73899.231636683224</v>
      </c>
      <c r="J2307" s="1">
        <v>562588.23163668322</v>
      </c>
    </row>
    <row r="2308" spans="1:10" x14ac:dyDescent="0.2">
      <c r="A2308">
        <v>2006270</v>
      </c>
      <c r="B2308">
        <v>2019</v>
      </c>
      <c r="C2308" t="s">
        <v>6</v>
      </c>
      <c r="D2308" t="s">
        <v>7</v>
      </c>
      <c r="E2308" t="s">
        <v>8</v>
      </c>
      <c r="F2308" s="28">
        <v>5300</v>
      </c>
      <c r="G2308" t="s">
        <v>297</v>
      </c>
      <c r="H2308" s="1">
        <v>569246</v>
      </c>
      <c r="I2308" s="1">
        <v>86694.925913418265</v>
      </c>
      <c r="J2308" s="1">
        <v>655940.92591341829</v>
      </c>
    </row>
    <row r="2309" spans="1:10" x14ac:dyDescent="0.2">
      <c r="A2309">
        <v>2006270</v>
      </c>
      <c r="B2309">
        <v>2020</v>
      </c>
      <c r="C2309" t="s">
        <v>6</v>
      </c>
      <c r="D2309" t="s">
        <v>7</v>
      </c>
      <c r="E2309" t="s">
        <v>8</v>
      </c>
      <c r="F2309" s="28">
        <v>5300</v>
      </c>
      <c r="G2309" t="s">
        <v>297</v>
      </c>
      <c r="H2309" s="1">
        <v>638036</v>
      </c>
      <c r="I2309" s="1">
        <v>96525.164576164927</v>
      </c>
      <c r="J2309" s="1">
        <v>734561.16457616491</v>
      </c>
    </row>
    <row r="2310" spans="1:10" x14ac:dyDescent="0.2">
      <c r="A2310">
        <v>2006270</v>
      </c>
      <c r="B2310">
        <v>2021</v>
      </c>
      <c r="C2310" t="s">
        <v>6</v>
      </c>
      <c r="D2310" t="s">
        <v>7</v>
      </c>
      <c r="E2310" t="s">
        <v>8</v>
      </c>
      <c r="F2310" s="28">
        <v>5300</v>
      </c>
      <c r="G2310" t="s">
        <v>297</v>
      </c>
      <c r="H2310" s="25">
        <v>630212</v>
      </c>
      <c r="I2310" s="1">
        <v>94086.316179352667</v>
      </c>
      <c r="J2310" s="1">
        <v>724298.3161793527</v>
      </c>
    </row>
    <row r="2311" spans="1:10" x14ac:dyDescent="0.2">
      <c r="A2311">
        <v>2006270</v>
      </c>
      <c r="B2311">
        <v>2022</v>
      </c>
      <c r="C2311" t="s">
        <v>6</v>
      </c>
      <c r="D2311" t="s">
        <v>7</v>
      </c>
      <c r="E2311" t="s">
        <v>8</v>
      </c>
      <c r="F2311" s="28">
        <v>5300</v>
      </c>
      <c r="G2311" t="s">
        <v>297</v>
      </c>
      <c r="H2311" s="1">
        <v>634025</v>
      </c>
      <c r="I2311" s="1">
        <v>86104.11644051288</v>
      </c>
      <c r="J2311" s="1">
        <v>720129.11644051294</v>
      </c>
    </row>
    <row r="2312" spans="1:10" x14ac:dyDescent="0.2">
      <c r="A2312">
        <v>2006270</v>
      </c>
      <c r="B2312">
        <v>2023</v>
      </c>
      <c r="C2312" t="s">
        <v>6</v>
      </c>
      <c r="D2312" t="s">
        <v>7</v>
      </c>
      <c r="E2312" t="s">
        <v>8</v>
      </c>
      <c r="F2312" s="28">
        <v>5300</v>
      </c>
      <c r="G2312" s="10" t="s">
        <v>297</v>
      </c>
      <c r="H2312" s="1">
        <v>622764</v>
      </c>
      <c r="I2312" s="1">
        <v>87188.813524336074</v>
      </c>
      <c r="J2312" s="1">
        <v>709952.81352433609</v>
      </c>
    </row>
    <row r="2313" spans="1:10" x14ac:dyDescent="0.2">
      <c r="A2313">
        <v>2007020</v>
      </c>
      <c r="B2313">
        <v>2015</v>
      </c>
      <c r="C2313" t="s">
        <v>6</v>
      </c>
      <c r="D2313" t="s">
        <v>7</v>
      </c>
      <c r="E2313" t="s">
        <v>8</v>
      </c>
      <c r="F2313" s="29">
        <v>5302</v>
      </c>
      <c r="G2313" s="3" t="s">
        <v>298</v>
      </c>
      <c r="H2313" s="27">
        <v>1895294</v>
      </c>
      <c r="I2313" s="1">
        <v>305282.66472116887</v>
      </c>
      <c r="J2313" s="1">
        <v>2200576.664721169</v>
      </c>
    </row>
    <row r="2314" spans="1:10" x14ac:dyDescent="0.2">
      <c r="A2314">
        <v>2007020</v>
      </c>
      <c r="B2314">
        <v>2016</v>
      </c>
      <c r="C2314" t="s">
        <v>6</v>
      </c>
      <c r="D2314" t="s">
        <v>7</v>
      </c>
      <c r="E2314" t="s">
        <v>8</v>
      </c>
      <c r="F2314" s="29">
        <v>5302</v>
      </c>
      <c r="G2314" s="3" t="s">
        <v>298</v>
      </c>
      <c r="H2314" s="1">
        <v>2009709</v>
      </c>
      <c r="I2314" s="26">
        <v>5307821.5737634543</v>
      </c>
      <c r="J2314" s="26">
        <v>7317530.5737634543</v>
      </c>
    </row>
    <row r="2315" spans="1:10" x14ac:dyDescent="0.2">
      <c r="A2315">
        <v>2007020</v>
      </c>
      <c r="B2315">
        <v>2017</v>
      </c>
      <c r="C2315" t="s">
        <v>6</v>
      </c>
      <c r="D2315" t="s">
        <v>7</v>
      </c>
      <c r="E2315" t="s">
        <v>8</v>
      </c>
      <c r="F2315" s="29">
        <v>5302</v>
      </c>
      <c r="G2315" s="3" t="s">
        <v>298</v>
      </c>
      <c r="H2315" s="1">
        <v>2056201</v>
      </c>
      <c r="I2315" s="1">
        <v>320881.76508998091</v>
      </c>
      <c r="J2315" s="1">
        <v>2377082.7650899808</v>
      </c>
    </row>
    <row r="2316" spans="1:10" x14ac:dyDescent="0.2">
      <c r="A2316">
        <v>2007020</v>
      </c>
      <c r="B2316">
        <v>2018</v>
      </c>
      <c r="C2316" t="s">
        <v>6</v>
      </c>
      <c r="D2316" t="s">
        <v>7</v>
      </c>
      <c r="E2316" t="s">
        <v>8</v>
      </c>
      <c r="F2316" s="28">
        <v>5302</v>
      </c>
      <c r="G2316" t="s">
        <v>298</v>
      </c>
      <c r="H2316" s="1">
        <v>2411663</v>
      </c>
      <c r="I2316" s="1">
        <v>364690.10488596704</v>
      </c>
      <c r="J2316" s="1">
        <v>2776353.104885967</v>
      </c>
    </row>
    <row r="2317" spans="1:10" x14ac:dyDescent="0.2">
      <c r="A2317">
        <v>2007020</v>
      </c>
      <c r="B2317">
        <v>2019</v>
      </c>
      <c r="C2317" t="s">
        <v>6</v>
      </c>
      <c r="D2317" t="s">
        <v>7</v>
      </c>
      <c r="E2317" t="s">
        <v>8</v>
      </c>
      <c r="F2317" s="28">
        <v>5302</v>
      </c>
      <c r="G2317" t="s">
        <v>298</v>
      </c>
      <c r="H2317" s="1">
        <v>3256602</v>
      </c>
      <c r="I2317" s="1">
        <v>495973.3913272816</v>
      </c>
      <c r="J2317" s="1">
        <v>3752575.3913272815</v>
      </c>
    </row>
    <row r="2318" spans="1:10" x14ac:dyDescent="0.2">
      <c r="A2318">
        <v>2007020</v>
      </c>
      <c r="B2318">
        <v>2020</v>
      </c>
      <c r="C2318" t="s">
        <v>6</v>
      </c>
      <c r="D2318" t="s">
        <v>7</v>
      </c>
      <c r="E2318" t="s">
        <v>8</v>
      </c>
      <c r="F2318" s="28">
        <v>5302</v>
      </c>
      <c r="G2318" t="s">
        <v>298</v>
      </c>
      <c r="H2318" s="1">
        <v>3252682</v>
      </c>
      <c r="I2318" s="1">
        <v>492081.42701027729</v>
      </c>
      <c r="J2318" s="1">
        <v>3744763.4270102773</v>
      </c>
    </row>
    <row r="2319" spans="1:10" x14ac:dyDescent="0.2">
      <c r="A2319">
        <v>2007020</v>
      </c>
      <c r="B2319">
        <v>2021</v>
      </c>
      <c r="C2319" t="s">
        <v>6</v>
      </c>
      <c r="D2319" t="s">
        <v>7</v>
      </c>
      <c r="E2319" t="s">
        <v>8</v>
      </c>
      <c r="F2319" s="28">
        <v>5302</v>
      </c>
      <c r="G2319" t="s">
        <v>298</v>
      </c>
      <c r="H2319" s="25">
        <v>3328551</v>
      </c>
      <c r="I2319" s="1">
        <v>496929.76618201582</v>
      </c>
      <c r="J2319" s="1">
        <v>3825480.7661820156</v>
      </c>
    </row>
    <row r="2320" spans="1:10" x14ac:dyDescent="0.2">
      <c r="A2320">
        <v>2007020</v>
      </c>
      <c r="B2320">
        <v>2022</v>
      </c>
      <c r="C2320" t="s">
        <v>6</v>
      </c>
      <c r="D2320" t="s">
        <v>7</v>
      </c>
      <c r="E2320" t="s">
        <v>8</v>
      </c>
      <c r="F2320" s="28">
        <v>5302</v>
      </c>
      <c r="G2320" t="s">
        <v>298</v>
      </c>
      <c r="H2320" s="1">
        <v>2697961</v>
      </c>
      <c r="I2320" s="1">
        <v>366398.08855480864</v>
      </c>
      <c r="J2320" s="1">
        <v>3064359.0885548089</v>
      </c>
    </row>
    <row r="2321" spans="1:10" x14ac:dyDescent="0.2">
      <c r="A2321">
        <v>2007020</v>
      </c>
      <c r="B2321">
        <v>2023</v>
      </c>
      <c r="C2321" t="s">
        <v>6</v>
      </c>
      <c r="D2321" t="s">
        <v>7</v>
      </c>
      <c r="E2321" t="s">
        <v>8</v>
      </c>
      <c r="F2321" s="28">
        <v>5302</v>
      </c>
      <c r="G2321" s="10" t="s">
        <v>298</v>
      </c>
      <c r="H2321" s="1">
        <v>4005799</v>
      </c>
      <c r="I2321" s="1">
        <v>560823.78240709461</v>
      </c>
      <c r="J2321" s="1">
        <v>4566622.7824070947</v>
      </c>
    </row>
    <row r="2322" spans="1:10" x14ac:dyDescent="0.2">
      <c r="A2322">
        <v>2005730</v>
      </c>
      <c r="B2322">
        <v>2015</v>
      </c>
      <c r="C2322" t="s">
        <v>6</v>
      </c>
      <c r="D2322" t="s">
        <v>7</v>
      </c>
      <c r="E2322" t="s">
        <v>8</v>
      </c>
      <c r="F2322" s="29">
        <v>5303</v>
      </c>
      <c r="G2322" s="3" t="s">
        <v>345</v>
      </c>
      <c r="H2322" s="27">
        <v>1180299</v>
      </c>
      <c r="I2322" s="1">
        <v>190115.53030175311</v>
      </c>
      <c r="J2322" s="1">
        <v>1370414.5303017532</v>
      </c>
    </row>
    <row r="2323" spans="1:10" x14ac:dyDescent="0.2">
      <c r="A2323">
        <v>2005730</v>
      </c>
      <c r="B2323">
        <v>2016</v>
      </c>
      <c r="C2323" t="s">
        <v>6</v>
      </c>
      <c r="D2323" t="s">
        <v>7</v>
      </c>
      <c r="E2323" t="s">
        <v>8</v>
      </c>
      <c r="F2323" s="29">
        <v>5303</v>
      </c>
      <c r="G2323" s="3" t="s">
        <v>345</v>
      </c>
      <c r="H2323" s="1">
        <v>1075548</v>
      </c>
      <c r="I2323" s="26">
        <v>2840617.2100600251</v>
      </c>
      <c r="J2323" s="26">
        <v>3916165.2100600251</v>
      </c>
    </row>
    <row r="2324" spans="1:10" x14ac:dyDescent="0.2">
      <c r="A2324">
        <v>2005730</v>
      </c>
      <c r="B2324">
        <v>2017</v>
      </c>
      <c r="C2324" t="s">
        <v>6</v>
      </c>
      <c r="D2324" t="s">
        <v>7</v>
      </c>
      <c r="E2324" t="s">
        <v>8</v>
      </c>
      <c r="F2324" s="29">
        <v>5303</v>
      </c>
      <c r="G2324" s="3" t="s">
        <v>345</v>
      </c>
      <c r="H2324" s="1">
        <v>1145944</v>
      </c>
      <c r="I2324" s="1">
        <v>178831.02547575507</v>
      </c>
      <c r="J2324" s="1">
        <v>1324775.0254757551</v>
      </c>
    </row>
    <row r="2325" spans="1:10" x14ac:dyDescent="0.2">
      <c r="A2325">
        <v>2005730</v>
      </c>
      <c r="B2325">
        <v>2018</v>
      </c>
      <c r="C2325" t="s">
        <v>6</v>
      </c>
      <c r="D2325" t="s">
        <v>7</v>
      </c>
      <c r="E2325" t="s">
        <v>8</v>
      </c>
      <c r="F2325" s="28">
        <v>5303</v>
      </c>
      <c r="G2325" t="s">
        <v>345</v>
      </c>
      <c r="H2325" s="1">
        <v>1367678</v>
      </c>
      <c r="I2325" s="1">
        <v>206819.37454371928</v>
      </c>
      <c r="J2325" s="1">
        <v>1574497.3745437192</v>
      </c>
    </row>
    <row r="2326" spans="1:10" x14ac:dyDescent="0.2">
      <c r="A2326">
        <v>2005730</v>
      </c>
      <c r="B2326">
        <v>2019</v>
      </c>
      <c r="C2326" t="s">
        <v>6</v>
      </c>
      <c r="D2326" t="s">
        <v>7</v>
      </c>
      <c r="E2326" t="s">
        <v>8</v>
      </c>
      <c r="F2326" s="28">
        <v>5303</v>
      </c>
      <c r="G2326" t="s">
        <v>345</v>
      </c>
      <c r="H2326" s="1">
        <v>1596862</v>
      </c>
      <c r="I2326" s="1">
        <v>243198.60444158223</v>
      </c>
      <c r="J2326" s="1">
        <v>1840060.6044415822</v>
      </c>
    </row>
    <row r="2327" spans="1:10" x14ac:dyDescent="0.2">
      <c r="A2327">
        <v>2005730</v>
      </c>
      <c r="B2327">
        <v>2020</v>
      </c>
      <c r="C2327" t="s">
        <v>6</v>
      </c>
      <c r="D2327" t="s">
        <v>7</v>
      </c>
      <c r="E2327" t="s">
        <v>8</v>
      </c>
      <c r="F2327" s="28">
        <v>5303</v>
      </c>
      <c r="G2327" t="s">
        <v>345</v>
      </c>
      <c r="H2327" s="1">
        <v>1731879</v>
      </c>
      <c r="I2327" s="1">
        <v>262007.01136143407</v>
      </c>
      <c r="J2327" s="1">
        <v>1993886.0113614341</v>
      </c>
    </row>
    <row r="2328" spans="1:10" x14ac:dyDescent="0.2">
      <c r="A2328">
        <v>2005730</v>
      </c>
      <c r="B2328">
        <v>2021</v>
      </c>
      <c r="C2328" t="s">
        <v>6</v>
      </c>
      <c r="D2328" t="s">
        <v>7</v>
      </c>
      <c r="E2328" t="s">
        <v>8</v>
      </c>
      <c r="F2328" s="28">
        <v>5303</v>
      </c>
      <c r="G2328" t="s">
        <v>345</v>
      </c>
      <c r="H2328" s="25">
        <v>1655803</v>
      </c>
      <c r="I2328" s="1">
        <v>247199.99712592066</v>
      </c>
      <c r="J2328" s="1">
        <v>1903002.9971259206</v>
      </c>
    </row>
    <row r="2329" spans="1:10" x14ac:dyDescent="0.2">
      <c r="A2329">
        <v>2005730</v>
      </c>
      <c r="B2329">
        <v>2022</v>
      </c>
      <c r="C2329" t="s">
        <v>6</v>
      </c>
      <c r="D2329" t="s">
        <v>7</v>
      </c>
      <c r="E2329" t="s">
        <v>8</v>
      </c>
      <c r="F2329" s="28">
        <v>5303</v>
      </c>
      <c r="G2329" t="s">
        <v>345</v>
      </c>
      <c r="H2329" s="1">
        <v>1633129</v>
      </c>
      <c r="I2329" s="1">
        <v>221787.9887676012</v>
      </c>
      <c r="J2329" s="1">
        <v>1854916.9887676011</v>
      </c>
    </row>
    <row r="2330" spans="1:10" x14ac:dyDescent="0.2">
      <c r="A2330">
        <v>2005730</v>
      </c>
      <c r="B2330">
        <v>2023</v>
      </c>
      <c r="C2330" t="s">
        <v>6</v>
      </c>
      <c r="D2330" t="s">
        <v>7</v>
      </c>
      <c r="E2330" t="s">
        <v>8</v>
      </c>
      <c r="F2330" s="28">
        <v>5303</v>
      </c>
      <c r="G2330" s="10" t="s">
        <v>345</v>
      </c>
      <c r="H2330" s="1">
        <v>1570580</v>
      </c>
      <c r="I2330" s="1">
        <v>219885.87449668211</v>
      </c>
      <c r="J2330" s="1">
        <v>1790465.8744966821</v>
      </c>
    </row>
    <row r="2331" spans="1:10" x14ac:dyDescent="0.2">
      <c r="A2331">
        <v>2006090</v>
      </c>
      <c r="B2331">
        <v>2015</v>
      </c>
      <c r="C2331" t="s">
        <v>6</v>
      </c>
      <c r="D2331" t="s">
        <v>7</v>
      </c>
      <c r="E2331" t="s">
        <v>8</v>
      </c>
      <c r="F2331" s="29">
        <v>5304</v>
      </c>
      <c r="G2331" s="3" t="s">
        <v>300</v>
      </c>
      <c r="H2331" s="27">
        <v>840832</v>
      </c>
      <c r="I2331" s="1">
        <v>135436.20860026457</v>
      </c>
      <c r="J2331" s="1">
        <v>976268.20860026451</v>
      </c>
    </row>
    <row r="2332" spans="1:10" x14ac:dyDescent="0.2">
      <c r="A2332">
        <v>2006090</v>
      </c>
      <c r="B2332">
        <v>2016</v>
      </c>
      <c r="C2332" t="s">
        <v>6</v>
      </c>
      <c r="D2332" t="s">
        <v>7</v>
      </c>
      <c r="E2332" t="s">
        <v>8</v>
      </c>
      <c r="F2332" s="29">
        <v>5304</v>
      </c>
      <c r="G2332" s="3" t="s">
        <v>300</v>
      </c>
      <c r="H2332" s="1">
        <v>879113</v>
      </c>
      <c r="I2332" s="26">
        <v>2321816.3005551794</v>
      </c>
      <c r="J2332" s="26">
        <v>3200929.3005551794</v>
      </c>
    </row>
    <row r="2333" spans="1:10" x14ac:dyDescent="0.2">
      <c r="A2333">
        <v>2006090</v>
      </c>
      <c r="B2333">
        <v>2017</v>
      </c>
      <c r="C2333" t="s">
        <v>6</v>
      </c>
      <c r="D2333" t="s">
        <v>7</v>
      </c>
      <c r="E2333" t="s">
        <v>8</v>
      </c>
      <c r="F2333" s="29">
        <v>5304</v>
      </c>
      <c r="G2333" s="3" t="s">
        <v>300</v>
      </c>
      <c r="H2333" s="1">
        <v>938191</v>
      </c>
      <c r="I2333" s="1">
        <v>146409.99789005757</v>
      </c>
      <c r="J2333" s="1">
        <v>1084600.9978900575</v>
      </c>
    </row>
    <row r="2334" spans="1:10" x14ac:dyDescent="0.2">
      <c r="A2334">
        <v>2006090</v>
      </c>
      <c r="B2334">
        <v>2018</v>
      </c>
      <c r="C2334" t="s">
        <v>6</v>
      </c>
      <c r="D2334" t="s">
        <v>7</v>
      </c>
      <c r="E2334" t="s">
        <v>8</v>
      </c>
      <c r="F2334" s="28">
        <v>5304</v>
      </c>
      <c r="G2334" t="s">
        <v>300</v>
      </c>
      <c r="H2334" s="1">
        <v>1134917</v>
      </c>
      <c r="I2334" s="1">
        <v>171621.40803539596</v>
      </c>
      <c r="J2334" s="1">
        <v>1306538.4080353959</v>
      </c>
    </row>
    <row r="2335" spans="1:10" x14ac:dyDescent="0.2">
      <c r="A2335">
        <v>2006090</v>
      </c>
      <c r="B2335">
        <v>2019</v>
      </c>
      <c r="C2335" t="s">
        <v>6</v>
      </c>
      <c r="D2335" t="s">
        <v>7</v>
      </c>
      <c r="E2335" t="s">
        <v>8</v>
      </c>
      <c r="F2335" s="28">
        <v>5304</v>
      </c>
      <c r="G2335" t="s">
        <v>300</v>
      </c>
      <c r="H2335" s="1">
        <v>1252607</v>
      </c>
      <c r="I2335" s="1">
        <v>190769.31777057567</v>
      </c>
      <c r="J2335" s="1">
        <v>1443376.3177705756</v>
      </c>
    </row>
    <row r="2336" spans="1:10" x14ac:dyDescent="0.2">
      <c r="A2336">
        <v>2006090</v>
      </c>
      <c r="B2336">
        <v>2020</v>
      </c>
      <c r="C2336" t="s">
        <v>6</v>
      </c>
      <c r="D2336" t="s">
        <v>7</v>
      </c>
      <c r="E2336" t="s">
        <v>8</v>
      </c>
      <c r="F2336" s="28">
        <v>5304</v>
      </c>
      <c r="G2336" t="s">
        <v>300</v>
      </c>
      <c r="H2336" s="1">
        <v>1421617</v>
      </c>
      <c r="I2336" s="1">
        <v>215069.07900067369</v>
      </c>
      <c r="J2336" s="1">
        <v>1636686.0790006737</v>
      </c>
    </row>
    <row r="2337" spans="1:10" x14ac:dyDescent="0.2">
      <c r="A2337">
        <v>2006090</v>
      </c>
      <c r="B2337">
        <v>2021</v>
      </c>
      <c r="C2337" t="s">
        <v>6</v>
      </c>
      <c r="D2337" t="s">
        <v>7</v>
      </c>
      <c r="E2337" t="s">
        <v>8</v>
      </c>
      <c r="F2337" s="28">
        <v>5304</v>
      </c>
      <c r="G2337" t="s">
        <v>300</v>
      </c>
      <c r="H2337" s="25">
        <v>1406118</v>
      </c>
      <c r="I2337" s="1">
        <v>209923.7442852231</v>
      </c>
      <c r="J2337" s="1">
        <v>1616041.7442852231</v>
      </c>
    </row>
    <row r="2338" spans="1:10" x14ac:dyDescent="0.2">
      <c r="A2338">
        <v>2006090</v>
      </c>
      <c r="B2338">
        <v>2022</v>
      </c>
      <c r="C2338" t="s">
        <v>6</v>
      </c>
      <c r="D2338" t="s">
        <v>7</v>
      </c>
      <c r="E2338" t="s">
        <v>8</v>
      </c>
      <c r="F2338" s="28">
        <v>5304</v>
      </c>
      <c r="G2338" t="s">
        <v>300</v>
      </c>
      <c r="H2338" s="1">
        <v>1426631</v>
      </c>
      <c r="I2338" s="1">
        <v>193744.41345632321</v>
      </c>
      <c r="J2338" s="1">
        <v>1620375.4134563231</v>
      </c>
    </row>
    <row r="2339" spans="1:10" x14ac:dyDescent="0.2">
      <c r="A2339">
        <v>2006090</v>
      </c>
      <c r="B2339">
        <v>2023</v>
      </c>
      <c r="C2339" t="s">
        <v>6</v>
      </c>
      <c r="D2339" t="s">
        <v>7</v>
      </c>
      <c r="E2339" t="s">
        <v>8</v>
      </c>
      <c r="F2339" s="28">
        <v>5304</v>
      </c>
      <c r="G2339" s="10" t="s">
        <v>300</v>
      </c>
      <c r="H2339" s="1">
        <v>1426641</v>
      </c>
      <c r="I2339" s="1">
        <v>199733.98609292175</v>
      </c>
      <c r="J2339" s="1">
        <v>1626374.9860929218</v>
      </c>
    </row>
    <row r="2340" spans="1:10" x14ac:dyDescent="0.2">
      <c r="A2340">
        <v>2011220</v>
      </c>
      <c r="B2340">
        <v>2015</v>
      </c>
      <c r="C2340" t="s">
        <v>6</v>
      </c>
      <c r="D2340" t="s">
        <v>7</v>
      </c>
      <c r="E2340" t="s">
        <v>8</v>
      </c>
      <c r="F2340" s="29">
        <v>5305</v>
      </c>
      <c r="G2340" s="3" t="s">
        <v>301</v>
      </c>
      <c r="H2340" s="27">
        <v>171801</v>
      </c>
      <c r="I2340" s="1">
        <v>27672.681431884197</v>
      </c>
      <c r="J2340" s="1">
        <v>199473.68143188421</v>
      </c>
    </row>
    <row r="2341" spans="1:10" x14ac:dyDescent="0.2">
      <c r="A2341">
        <v>2011220</v>
      </c>
      <c r="B2341">
        <v>2016</v>
      </c>
      <c r="C2341" t="s">
        <v>6</v>
      </c>
      <c r="D2341" t="s">
        <v>7</v>
      </c>
      <c r="E2341" t="s">
        <v>8</v>
      </c>
      <c r="F2341" s="29">
        <v>5305</v>
      </c>
      <c r="G2341" s="3" t="s">
        <v>301</v>
      </c>
      <c r="H2341" s="1">
        <v>201643</v>
      </c>
      <c r="I2341" s="26">
        <v>532562.88787175075</v>
      </c>
      <c r="J2341" s="26">
        <v>734205.88787175075</v>
      </c>
    </row>
    <row r="2342" spans="1:10" x14ac:dyDescent="0.2">
      <c r="A2342">
        <v>2011220</v>
      </c>
      <c r="B2342">
        <v>2017</v>
      </c>
      <c r="C2342" t="s">
        <v>6</v>
      </c>
      <c r="D2342" t="s">
        <v>7</v>
      </c>
      <c r="E2342" t="s">
        <v>8</v>
      </c>
      <c r="F2342" s="29">
        <v>5305</v>
      </c>
      <c r="G2342" s="3" t="s">
        <v>301</v>
      </c>
      <c r="H2342" s="1">
        <v>205383</v>
      </c>
      <c r="I2342" s="1">
        <v>32051.175716515816</v>
      </c>
      <c r="J2342" s="1">
        <v>237434.17571651581</v>
      </c>
    </row>
    <row r="2343" spans="1:10" x14ac:dyDescent="0.2">
      <c r="A2343">
        <v>2011220</v>
      </c>
      <c r="B2343">
        <v>2018</v>
      </c>
      <c r="C2343" t="s">
        <v>6</v>
      </c>
      <c r="D2343" t="s">
        <v>7</v>
      </c>
      <c r="E2343" t="s">
        <v>8</v>
      </c>
      <c r="F2343" s="28">
        <v>5305</v>
      </c>
      <c r="G2343" t="s">
        <v>301</v>
      </c>
      <c r="H2343" s="1">
        <v>238852</v>
      </c>
      <c r="I2343" s="1">
        <v>36119.043553026691</v>
      </c>
      <c r="J2343" s="1">
        <v>274971.04355302668</v>
      </c>
    </row>
    <row r="2344" spans="1:10" x14ac:dyDescent="0.2">
      <c r="A2344">
        <v>2011220</v>
      </c>
      <c r="B2344">
        <v>2019</v>
      </c>
      <c r="C2344" t="s">
        <v>6</v>
      </c>
      <c r="D2344" t="s">
        <v>7</v>
      </c>
      <c r="E2344" t="s">
        <v>8</v>
      </c>
      <c r="F2344" s="28">
        <v>5305</v>
      </c>
      <c r="G2344" t="s">
        <v>301</v>
      </c>
      <c r="H2344" s="1">
        <v>272985</v>
      </c>
      <c r="I2344" s="1">
        <v>41575.020905679594</v>
      </c>
      <c r="J2344" s="1">
        <v>314560.02090567962</v>
      </c>
    </row>
    <row r="2345" spans="1:10" x14ac:dyDescent="0.2">
      <c r="A2345">
        <v>2011220</v>
      </c>
      <c r="B2345">
        <v>2020</v>
      </c>
      <c r="C2345" t="s">
        <v>6</v>
      </c>
      <c r="D2345" t="s">
        <v>7</v>
      </c>
      <c r="E2345" t="s">
        <v>8</v>
      </c>
      <c r="F2345" s="28">
        <v>5305</v>
      </c>
      <c r="G2345" t="s">
        <v>301</v>
      </c>
      <c r="H2345" s="1">
        <v>296763</v>
      </c>
      <c r="I2345" s="1">
        <v>44895.738508667899</v>
      </c>
      <c r="J2345" s="1">
        <v>341658.73850866791</v>
      </c>
    </row>
    <row r="2346" spans="1:10" x14ac:dyDescent="0.2">
      <c r="A2346">
        <v>2011220</v>
      </c>
      <c r="B2346">
        <v>2021</v>
      </c>
      <c r="C2346" t="s">
        <v>6</v>
      </c>
      <c r="D2346" t="s">
        <v>7</v>
      </c>
      <c r="E2346" t="s">
        <v>8</v>
      </c>
      <c r="F2346" s="28">
        <v>5305</v>
      </c>
      <c r="G2346" t="s">
        <v>301</v>
      </c>
      <c r="H2346" s="25">
        <v>310313</v>
      </c>
      <c r="I2346" s="1">
        <v>46327.596162185844</v>
      </c>
      <c r="J2346" s="1">
        <v>356640.59616218583</v>
      </c>
    </row>
    <row r="2347" spans="1:10" x14ac:dyDescent="0.2">
      <c r="A2347">
        <v>2011220</v>
      </c>
      <c r="B2347">
        <v>2022</v>
      </c>
      <c r="C2347" t="s">
        <v>6</v>
      </c>
      <c r="D2347" t="s">
        <v>7</v>
      </c>
      <c r="E2347" t="s">
        <v>8</v>
      </c>
      <c r="F2347" s="28">
        <v>5305</v>
      </c>
      <c r="G2347" t="s">
        <v>301</v>
      </c>
      <c r="H2347" s="1">
        <v>307012</v>
      </c>
      <c r="I2347" s="1">
        <v>41693.934776443733</v>
      </c>
      <c r="J2347" s="1">
        <v>348705.93477644376</v>
      </c>
    </row>
    <row r="2348" spans="1:10" x14ac:dyDescent="0.2">
      <c r="A2348">
        <v>2011220</v>
      </c>
      <c r="B2348">
        <v>2023</v>
      </c>
      <c r="C2348" t="s">
        <v>6</v>
      </c>
      <c r="D2348" t="s">
        <v>7</v>
      </c>
      <c r="E2348" t="s">
        <v>8</v>
      </c>
      <c r="F2348" s="28">
        <v>5305</v>
      </c>
      <c r="G2348" s="10" t="s">
        <v>301</v>
      </c>
      <c r="H2348" s="1">
        <v>303771</v>
      </c>
      <c r="I2348" s="1">
        <v>42528.844109648424</v>
      </c>
      <c r="J2348" s="1">
        <v>346299.84410964843</v>
      </c>
    </row>
    <row r="2349" spans="1:10" x14ac:dyDescent="0.2">
      <c r="A2349">
        <v>2008370</v>
      </c>
      <c r="B2349">
        <v>2015</v>
      </c>
      <c r="C2349" t="s">
        <v>6</v>
      </c>
      <c r="D2349" t="s">
        <v>7</v>
      </c>
      <c r="E2349" t="s">
        <v>8</v>
      </c>
      <c r="F2349" s="29">
        <v>5306</v>
      </c>
      <c r="G2349" s="3" t="s">
        <v>302</v>
      </c>
      <c r="H2349" s="27">
        <v>815782</v>
      </c>
      <c r="I2349" s="1">
        <v>131401.30385658614</v>
      </c>
      <c r="J2349" s="1">
        <v>947183.30385658611</v>
      </c>
    </row>
    <row r="2350" spans="1:10" x14ac:dyDescent="0.2">
      <c r="A2350">
        <v>2008370</v>
      </c>
      <c r="B2350">
        <v>2016</v>
      </c>
      <c r="C2350" t="s">
        <v>6</v>
      </c>
      <c r="D2350" t="s">
        <v>7</v>
      </c>
      <c r="E2350" t="s">
        <v>8</v>
      </c>
      <c r="F2350" s="29">
        <v>5306</v>
      </c>
      <c r="G2350" s="3" t="s">
        <v>302</v>
      </c>
      <c r="H2350" s="1">
        <v>859725</v>
      </c>
      <c r="I2350" s="26">
        <v>2270605.5511346865</v>
      </c>
      <c r="J2350" s="26">
        <v>3130330.5511346865</v>
      </c>
    </row>
    <row r="2351" spans="1:10" x14ac:dyDescent="0.2">
      <c r="A2351">
        <v>2008370</v>
      </c>
      <c r="B2351">
        <v>2017</v>
      </c>
      <c r="C2351" t="s">
        <v>6</v>
      </c>
      <c r="D2351" t="s">
        <v>7</v>
      </c>
      <c r="E2351" t="s">
        <v>8</v>
      </c>
      <c r="F2351" s="29">
        <v>5306</v>
      </c>
      <c r="G2351" s="3" t="s">
        <v>302</v>
      </c>
      <c r="H2351" s="1">
        <v>847180</v>
      </c>
      <c r="I2351" s="1">
        <v>132207.21794655776</v>
      </c>
      <c r="J2351" s="1">
        <v>979387.21794655779</v>
      </c>
    </row>
    <row r="2352" spans="1:10" x14ac:dyDescent="0.2">
      <c r="A2352">
        <v>2008370</v>
      </c>
      <c r="B2352">
        <v>2018</v>
      </c>
      <c r="C2352" t="s">
        <v>6</v>
      </c>
      <c r="D2352" t="s">
        <v>7</v>
      </c>
      <c r="E2352" t="s">
        <v>8</v>
      </c>
      <c r="F2352" s="28">
        <v>5306</v>
      </c>
      <c r="G2352" t="s">
        <v>302</v>
      </c>
      <c r="H2352" s="1">
        <v>940179</v>
      </c>
      <c r="I2352" s="1">
        <v>142173.25477132734</v>
      </c>
      <c r="J2352" s="1">
        <v>1082352.2547713274</v>
      </c>
    </row>
    <row r="2353" spans="1:10" x14ac:dyDescent="0.2">
      <c r="A2353">
        <v>2008370</v>
      </c>
      <c r="B2353">
        <v>2019</v>
      </c>
      <c r="C2353" t="s">
        <v>6</v>
      </c>
      <c r="D2353" t="s">
        <v>7</v>
      </c>
      <c r="E2353" t="s">
        <v>8</v>
      </c>
      <c r="F2353" s="28">
        <v>5306</v>
      </c>
      <c r="G2353" t="s">
        <v>302</v>
      </c>
      <c r="H2353" s="1">
        <v>1071526</v>
      </c>
      <c r="I2353" s="1">
        <v>163191.0758868774</v>
      </c>
      <c r="J2353" s="1">
        <v>1234717.0758868775</v>
      </c>
    </row>
    <row r="2354" spans="1:10" x14ac:dyDescent="0.2">
      <c r="A2354">
        <v>2008370</v>
      </c>
      <c r="B2354">
        <v>2020</v>
      </c>
      <c r="C2354" t="s">
        <v>6</v>
      </c>
      <c r="D2354" t="s">
        <v>7</v>
      </c>
      <c r="E2354" t="s">
        <v>8</v>
      </c>
      <c r="F2354" s="28">
        <v>5306</v>
      </c>
      <c r="G2354" t="s">
        <v>302</v>
      </c>
      <c r="H2354" s="1">
        <v>1168260</v>
      </c>
      <c r="I2354" s="1">
        <v>176740.00960408256</v>
      </c>
      <c r="J2354" s="1">
        <v>1345000.0096040824</v>
      </c>
    </row>
    <row r="2355" spans="1:10" x14ac:dyDescent="0.2">
      <c r="A2355">
        <v>2008370</v>
      </c>
      <c r="B2355">
        <v>2021</v>
      </c>
      <c r="C2355" t="s">
        <v>6</v>
      </c>
      <c r="D2355" t="s">
        <v>7</v>
      </c>
      <c r="E2355" t="s">
        <v>8</v>
      </c>
      <c r="F2355" s="28">
        <v>5306</v>
      </c>
      <c r="G2355" t="s">
        <v>302</v>
      </c>
      <c r="H2355" s="25">
        <v>1115486</v>
      </c>
      <c r="I2355" s="1">
        <v>166534.38603143292</v>
      </c>
      <c r="J2355" s="1">
        <v>1282020.386031433</v>
      </c>
    </row>
    <row r="2356" spans="1:10" x14ac:dyDescent="0.2">
      <c r="A2356">
        <v>2008370</v>
      </c>
      <c r="B2356">
        <v>2022</v>
      </c>
      <c r="C2356" t="s">
        <v>6</v>
      </c>
      <c r="D2356" t="s">
        <v>7</v>
      </c>
      <c r="E2356" t="s">
        <v>8</v>
      </c>
      <c r="F2356" s="28">
        <v>5306</v>
      </c>
      <c r="G2356" t="s">
        <v>302</v>
      </c>
      <c r="H2356" s="1">
        <v>1073404</v>
      </c>
      <c r="I2356" s="1">
        <v>145774.22499698322</v>
      </c>
      <c r="J2356" s="1">
        <v>1219178.2249969833</v>
      </c>
    </row>
    <row r="2357" spans="1:10" x14ac:dyDescent="0.2">
      <c r="A2357">
        <v>2008370</v>
      </c>
      <c r="B2357">
        <v>2023</v>
      </c>
      <c r="C2357" t="s">
        <v>6</v>
      </c>
      <c r="D2357" t="s">
        <v>7</v>
      </c>
      <c r="E2357" t="s">
        <v>8</v>
      </c>
      <c r="F2357" s="28">
        <v>5306</v>
      </c>
      <c r="G2357" s="10" t="s">
        <v>302</v>
      </c>
      <c r="H2357" s="1">
        <v>1125387</v>
      </c>
      <c r="I2357" s="1">
        <v>157557.52947458747</v>
      </c>
      <c r="J2357" s="1">
        <v>1282944.5294745874</v>
      </c>
    </row>
    <row r="2358" spans="1:10" x14ac:dyDescent="0.2">
      <c r="A2358">
        <v>2011280</v>
      </c>
      <c r="B2358">
        <v>2015</v>
      </c>
      <c r="C2358" t="s">
        <v>6</v>
      </c>
      <c r="D2358" t="s">
        <v>7</v>
      </c>
      <c r="E2358" t="s">
        <v>8</v>
      </c>
      <c r="F2358" s="29">
        <v>5307</v>
      </c>
      <c r="G2358" s="3" t="s">
        <v>303</v>
      </c>
      <c r="H2358" s="27">
        <v>83246</v>
      </c>
      <c r="I2358" s="1">
        <v>13408.769672345516</v>
      </c>
      <c r="J2358" s="1">
        <v>96654.769672345516</v>
      </c>
    </row>
    <row r="2359" spans="1:10" x14ac:dyDescent="0.2">
      <c r="A2359">
        <v>2011280</v>
      </c>
      <c r="B2359">
        <v>2016</v>
      </c>
      <c r="C2359" t="s">
        <v>6</v>
      </c>
      <c r="D2359" t="s">
        <v>7</v>
      </c>
      <c r="E2359" t="s">
        <v>8</v>
      </c>
      <c r="F2359" s="29">
        <v>5307</v>
      </c>
      <c r="G2359" s="3" t="s">
        <v>303</v>
      </c>
      <c r="H2359" s="1">
        <v>116916</v>
      </c>
      <c r="I2359" s="26">
        <v>308784.78730856808</v>
      </c>
      <c r="J2359" s="26">
        <v>425700.78730856808</v>
      </c>
    </row>
    <row r="2360" spans="1:10" x14ac:dyDescent="0.2">
      <c r="A2360">
        <v>2011280</v>
      </c>
      <c r="B2360">
        <v>2017</v>
      </c>
      <c r="C2360" t="s">
        <v>6</v>
      </c>
      <c r="D2360" t="s">
        <v>7</v>
      </c>
      <c r="E2360" t="s">
        <v>8</v>
      </c>
      <c r="F2360" s="29">
        <v>5307</v>
      </c>
      <c r="G2360" s="3" t="s">
        <v>303</v>
      </c>
      <c r="H2360" s="1">
        <v>122028</v>
      </c>
      <c r="I2360" s="1">
        <v>19043.157760549766</v>
      </c>
      <c r="J2360" s="1">
        <v>141071.15776054977</v>
      </c>
    </row>
    <row r="2361" spans="1:10" x14ac:dyDescent="0.2">
      <c r="A2361">
        <v>2011280</v>
      </c>
      <c r="B2361">
        <v>2018</v>
      </c>
      <c r="C2361" t="s">
        <v>6</v>
      </c>
      <c r="D2361" t="s">
        <v>7</v>
      </c>
      <c r="E2361" t="s">
        <v>8</v>
      </c>
      <c r="F2361" s="28">
        <v>5307</v>
      </c>
      <c r="G2361" t="s">
        <v>303</v>
      </c>
      <c r="H2361" s="1">
        <v>146887</v>
      </c>
      <c r="I2361" s="1">
        <v>22212.156274066918</v>
      </c>
      <c r="J2361" s="1">
        <v>169099.15627406692</v>
      </c>
    </row>
    <row r="2362" spans="1:10" x14ac:dyDescent="0.2">
      <c r="A2362">
        <v>2011280</v>
      </c>
      <c r="B2362">
        <v>2019</v>
      </c>
      <c r="C2362" t="s">
        <v>6</v>
      </c>
      <c r="D2362" t="s">
        <v>7</v>
      </c>
      <c r="E2362" t="s">
        <v>8</v>
      </c>
      <c r="F2362" s="28">
        <v>5307</v>
      </c>
      <c r="G2362" t="s">
        <v>303</v>
      </c>
      <c r="H2362" s="1">
        <v>163936</v>
      </c>
      <c r="I2362" s="1">
        <v>24967.095727580232</v>
      </c>
      <c r="J2362" s="1">
        <v>188903.09572758022</v>
      </c>
    </row>
    <row r="2363" spans="1:10" x14ac:dyDescent="0.2">
      <c r="A2363">
        <v>2011280</v>
      </c>
      <c r="B2363">
        <v>2020</v>
      </c>
      <c r="C2363" t="s">
        <v>6</v>
      </c>
      <c r="D2363" t="s">
        <v>7</v>
      </c>
      <c r="E2363" t="s">
        <v>8</v>
      </c>
      <c r="F2363" s="28">
        <v>5307</v>
      </c>
      <c r="G2363" t="s">
        <v>303</v>
      </c>
      <c r="H2363" s="1">
        <v>186317</v>
      </c>
      <c r="I2363" s="1">
        <v>28186.934731484307</v>
      </c>
      <c r="J2363" s="1">
        <v>214503.9347314843</v>
      </c>
    </row>
    <row r="2364" spans="1:10" x14ac:dyDescent="0.2">
      <c r="A2364">
        <v>2011280</v>
      </c>
      <c r="B2364">
        <v>2021</v>
      </c>
      <c r="C2364" t="s">
        <v>6</v>
      </c>
      <c r="D2364" t="s">
        <v>7</v>
      </c>
      <c r="E2364" t="s">
        <v>8</v>
      </c>
      <c r="F2364" s="28">
        <v>5307</v>
      </c>
      <c r="G2364" t="s">
        <v>303</v>
      </c>
      <c r="H2364" s="25">
        <v>188926</v>
      </c>
      <c r="I2364" s="1">
        <v>28205.352120398191</v>
      </c>
      <c r="J2364" s="1">
        <v>217131.35212039819</v>
      </c>
    </row>
    <row r="2365" spans="1:10" x14ac:dyDescent="0.2">
      <c r="A2365">
        <v>2011280</v>
      </c>
      <c r="B2365">
        <v>2022</v>
      </c>
      <c r="C2365" t="s">
        <v>6</v>
      </c>
      <c r="D2365" t="s">
        <v>7</v>
      </c>
      <c r="E2365" t="s">
        <v>8</v>
      </c>
      <c r="F2365" s="28">
        <v>5307</v>
      </c>
      <c r="G2365" t="s">
        <v>303</v>
      </c>
      <c r="H2365" s="1">
        <v>183553</v>
      </c>
      <c r="I2365" s="1">
        <v>24927.516872371689</v>
      </c>
      <c r="J2365" s="1">
        <v>208480.51687237169</v>
      </c>
    </row>
    <row r="2366" spans="1:10" x14ac:dyDescent="0.2">
      <c r="A2366">
        <v>2011280</v>
      </c>
      <c r="B2366">
        <v>2023</v>
      </c>
      <c r="C2366" t="s">
        <v>6</v>
      </c>
      <c r="D2366" t="s">
        <v>7</v>
      </c>
      <c r="E2366" t="s">
        <v>8</v>
      </c>
      <c r="F2366" s="28">
        <v>5307</v>
      </c>
      <c r="G2366" s="10" t="s">
        <v>303</v>
      </c>
      <c r="H2366" s="1">
        <v>186955</v>
      </c>
      <c r="I2366" s="1">
        <v>26174.256431717709</v>
      </c>
      <c r="J2366" s="1">
        <v>213129.25643171772</v>
      </c>
    </row>
    <row r="2367" spans="1:10" x14ac:dyDescent="0.2">
      <c r="A2367">
        <v>2008400</v>
      </c>
      <c r="B2367">
        <v>2015</v>
      </c>
      <c r="C2367" t="s">
        <v>6</v>
      </c>
      <c r="D2367" t="s">
        <v>7</v>
      </c>
      <c r="E2367" t="s">
        <v>8</v>
      </c>
      <c r="F2367" s="29">
        <v>5308</v>
      </c>
      <c r="G2367" s="3" t="s">
        <v>304</v>
      </c>
      <c r="H2367" s="27">
        <v>6601665</v>
      </c>
      <c r="I2367" s="1">
        <v>1063356.8632605153</v>
      </c>
      <c r="J2367" s="1">
        <v>7665021.863260515</v>
      </c>
    </row>
    <row r="2368" spans="1:10" x14ac:dyDescent="0.2">
      <c r="A2368">
        <v>2008400</v>
      </c>
      <c r="B2368">
        <v>2016</v>
      </c>
      <c r="C2368" t="s">
        <v>6</v>
      </c>
      <c r="D2368" t="s">
        <v>7</v>
      </c>
      <c r="E2368" t="s">
        <v>8</v>
      </c>
      <c r="F2368" s="29">
        <v>5308</v>
      </c>
      <c r="G2368" s="3" t="s">
        <v>304</v>
      </c>
      <c r="H2368" s="1">
        <v>8009102</v>
      </c>
      <c r="I2368" s="26">
        <v>21152759.911115438</v>
      </c>
      <c r="J2368" s="26">
        <v>29161861.911115438</v>
      </c>
    </row>
    <row r="2369" spans="1:10" x14ac:dyDescent="0.2">
      <c r="A2369">
        <v>2008400</v>
      </c>
      <c r="B2369">
        <v>2017</v>
      </c>
      <c r="C2369" t="s">
        <v>6</v>
      </c>
      <c r="D2369" t="s">
        <v>7</v>
      </c>
      <c r="E2369" t="s">
        <v>8</v>
      </c>
      <c r="F2369" s="29">
        <v>5308</v>
      </c>
      <c r="G2369" s="3" t="s">
        <v>304</v>
      </c>
      <c r="H2369" s="1">
        <v>7012565</v>
      </c>
      <c r="I2369" s="1">
        <v>1094350.3261637466</v>
      </c>
      <c r="J2369" s="1">
        <v>8106915.3261637464</v>
      </c>
    </row>
    <row r="2370" spans="1:10" x14ac:dyDescent="0.2">
      <c r="A2370">
        <v>2008400</v>
      </c>
      <c r="B2370">
        <v>2018</v>
      </c>
      <c r="C2370" t="s">
        <v>6</v>
      </c>
      <c r="D2370" t="s">
        <v>7</v>
      </c>
      <c r="E2370" t="s">
        <v>8</v>
      </c>
      <c r="F2370" s="28">
        <v>5308</v>
      </c>
      <c r="G2370" t="s">
        <v>304</v>
      </c>
      <c r="H2370" s="1">
        <v>9004458</v>
      </c>
      <c r="I2370" s="1">
        <v>1361648.2619923619</v>
      </c>
      <c r="J2370" s="1">
        <v>10366106.261992361</v>
      </c>
    </row>
    <row r="2371" spans="1:10" x14ac:dyDescent="0.2">
      <c r="A2371">
        <v>2008400</v>
      </c>
      <c r="B2371">
        <v>2019</v>
      </c>
      <c r="C2371" t="s">
        <v>6</v>
      </c>
      <c r="D2371" t="s">
        <v>7</v>
      </c>
      <c r="E2371" t="s">
        <v>8</v>
      </c>
      <c r="F2371" s="28">
        <v>5308</v>
      </c>
      <c r="G2371" t="s">
        <v>304</v>
      </c>
      <c r="H2371" s="1">
        <v>10253035</v>
      </c>
      <c r="I2371" s="1">
        <v>1561514.8981506843</v>
      </c>
      <c r="J2371" s="1">
        <v>11814549.898150684</v>
      </c>
    </row>
    <row r="2372" spans="1:10" x14ac:dyDescent="0.2">
      <c r="A2372">
        <v>2008400</v>
      </c>
      <c r="B2372">
        <v>2020</v>
      </c>
      <c r="C2372" t="s">
        <v>6</v>
      </c>
      <c r="D2372" t="s">
        <v>7</v>
      </c>
      <c r="E2372" t="s">
        <v>8</v>
      </c>
      <c r="F2372" s="28">
        <v>5308</v>
      </c>
      <c r="G2372" t="s">
        <v>304</v>
      </c>
      <c r="H2372" s="1">
        <v>11105138</v>
      </c>
      <c r="I2372" s="1">
        <v>1680038.8584515967</v>
      </c>
      <c r="J2372" s="1">
        <v>12785176.858451597</v>
      </c>
    </row>
    <row r="2373" spans="1:10" x14ac:dyDescent="0.2">
      <c r="A2373">
        <v>2008400</v>
      </c>
      <c r="B2373">
        <v>2021</v>
      </c>
      <c r="C2373" t="s">
        <v>6</v>
      </c>
      <c r="D2373" t="s">
        <v>7</v>
      </c>
      <c r="E2373" t="s">
        <v>8</v>
      </c>
      <c r="F2373" s="28">
        <v>5308</v>
      </c>
      <c r="G2373" t="s">
        <v>304</v>
      </c>
      <c r="H2373" s="25">
        <v>10768118</v>
      </c>
      <c r="I2373" s="1">
        <v>1607605.9402305554</v>
      </c>
      <c r="J2373" s="1">
        <v>12375723.940230556</v>
      </c>
    </row>
    <row r="2374" spans="1:10" x14ac:dyDescent="0.2">
      <c r="A2374">
        <v>2008400</v>
      </c>
      <c r="B2374">
        <v>2022</v>
      </c>
      <c r="C2374" t="s">
        <v>6</v>
      </c>
      <c r="D2374" t="s">
        <v>7</v>
      </c>
      <c r="E2374" t="s">
        <v>8</v>
      </c>
      <c r="F2374" s="28">
        <v>5308</v>
      </c>
      <c r="G2374" t="s">
        <v>304</v>
      </c>
      <c r="H2374" s="1">
        <v>10375009</v>
      </c>
      <c r="I2374" s="1">
        <v>1408983.846074475</v>
      </c>
      <c r="J2374" s="1">
        <v>11783992.846074475</v>
      </c>
    </row>
    <row r="2375" spans="1:10" x14ac:dyDescent="0.2">
      <c r="A2375">
        <v>2008400</v>
      </c>
      <c r="B2375">
        <v>2023</v>
      </c>
      <c r="C2375" t="s">
        <v>6</v>
      </c>
      <c r="D2375" t="s">
        <v>7</v>
      </c>
      <c r="E2375" t="s">
        <v>8</v>
      </c>
      <c r="F2375" s="28">
        <v>5308</v>
      </c>
      <c r="G2375" s="10" t="s">
        <v>304</v>
      </c>
      <c r="H2375" s="1">
        <v>9769389</v>
      </c>
      <c r="I2375" s="1">
        <v>1367743.5365045185</v>
      </c>
      <c r="J2375" s="1">
        <v>11137132.536504518</v>
      </c>
    </row>
    <row r="2376" spans="1:10" x14ac:dyDescent="0.2">
      <c r="A2376">
        <v>2006360</v>
      </c>
      <c r="B2376">
        <v>2015</v>
      </c>
      <c r="C2376" t="s">
        <v>6</v>
      </c>
      <c r="D2376" t="s">
        <v>7</v>
      </c>
      <c r="E2376" t="s">
        <v>8</v>
      </c>
      <c r="F2376" s="29">
        <v>5309</v>
      </c>
      <c r="G2376" s="3" t="s">
        <v>305</v>
      </c>
      <c r="H2376" s="27">
        <v>496098</v>
      </c>
      <c r="I2376" s="1">
        <v>79908.509921332748</v>
      </c>
      <c r="J2376" s="1">
        <v>576006.5099213327</v>
      </c>
    </row>
    <row r="2377" spans="1:10" x14ac:dyDescent="0.2">
      <c r="A2377">
        <v>2006360</v>
      </c>
      <c r="B2377">
        <v>2016</v>
      </c>
      <c r="C2377" t="s">
        <v>6</v>
      </c>
      <c r="D2377" t="s">
        <v>7</v>
      </c>
      <c r="E2377" t="s">
        <v>8</v>
      </c>
      <c r="F2377" s="29">
        <v>5309</v>
      </c>
      <c r="G2377" s="3" t="s">
        <v>305</v>
      </c>
      <c r="H2377" s="1">
        <v>538162</v>
      </c>
      <c r="I2377" s="26">
        <v>1421333.0902758185</v>
      </c>
      <c r="J2377" s="26">
        <v>1959495.0902758185</v>
      </c>
    </row>
    <row r="2378" spans="1:10" x14ac:dyDescent="0.2">
      <c r="A2378">
        <v>2006360</v>
      </c>
      <c r="B2378">
        <v>2017</v>
      </c>
      <c r="C2378" t="s">
        <v>6</v>
      </c>
      <c r="D2378" t="s">
        <v>7</v>
      </c>
      <c r="E2378" t="s">
        <v>8</v>
      </c>
      <c r="F2378" s="29">
        <v>5309</v>
      </c>
      <c r="G2378" s="3" t="s">
        <v>305</v>
      </c>
      <c r="H2378" s="1">
        <v>547604</v>
      </c>
      <c r="I2378" s="1">
        <v>85456.693236864434</v>
      </c>
      <c r="J2378" s="1">
        <v>633060.6932368644</v>
      </c>
    </row>
    <row r="2379" spans="1:10" x14ac:dyDescent="0.2">
      <c r="A2379">
        <v>2006360</v>
      </c>
      <c r="B2379">
        <v>2018</v>
      </c>
      <c r="C2379" t="s">
        <v>6</v>
      </c>
      <c r="D2379" t="s">
        <v>7</v>
      </c>
      <c r="E2379" t="s">
        <v>8</v>
      </c>
      <c r="F2379" s="28">
        <v>5309</v>
      </c>
      <c r="G2379" t="s">
        <v>305</v>
      </c>
      <c r="H2379" s="1">
        <v>600540</v>
      </c>
      <c r="I2379" s="1">
        <v>90813.266857027149</v>
      </c>
      <c r="J2379" s="1">
        <v>691353.26685702719</v>
      </c>
    </row>
    <row r="2380" spans="1:10" x14ac:dyDescent="0.2">
      <c r="A2380">
        <v>2006360</v>
      </c>
      <c r="B2380">
        <v>2019</v>
      </c>
      <c r="C2380" t="s">
        <v>6</v>
      </c>
      <c r="D2380" t="s">
        <v>7</v>
      </c>
      <c r="E2380" t="s">
        <v>8</v>
      </c>
      <c r="F2380" s="28">
        <v>5309</v>
      </c>
      <c r="G2380" t="s">
        <v>305</v>
      </c>
      <c r="H2380" s="1">
        <v>691684</v>
      </c>
      <c r="I2380" s="1">
        <v>105341.96662865755</v>
      </c>
      <c r="J2380" s="1">
        <v>797025.96662865754</v>
      </c>
    </row>
    <row r="2381" spans="1:10" x14ac:dyDescent="0.2">
      <c r="A2381">
        <v>2006360</v>
      </c>
      <c r="B2381">
        <v>2020</v>
      </c>
      <c r="C2381" t="s">
        <v>6</v>
      </c>
      <c r="D2381" t="s">
        <v>7</v>
      </c>
      <c r="E2381" t="s">
        <v>8</v>
      </c>
      <c r="F2381" s="28">
        <v>5309</v>
      </c>
      <c r="G2381" t="s">
        <v>305</v>
      </c>
      <c r="H2381" s="1">
        <v>761732</v>
      </c>
      <c r="I2381" s="1">
        <v>115238.4922840267</v>
      </c>
      <c r="J2381" s="1">
        <v>876970.4922840267</v>
      </c>
    </row>
    <row r="2382" spans="1:10" x14ac:dyDescent="0.2">
      <c r="A2382">
        <v>2006360</v>
      </c>
      <c r="B2382">
        <v>2021</v>
      </c>
      <c r="C2382" t="s">
        <v>6</v>
      </c>
      <c r="D2382" t="s">
        <v>7</v>
      </c>
      <c r="E2382" t="s">
        <v>8</v>
      </c>
      <c r="F2382" s="28">
        <v>5309</v>
      </c>
      <c r="G2382" t="s">
        <v>305</v>
      </c>
      <c r="H2382" s="25">
        <v>751823</v>
      </c>
      <c r="I2382" s="1">
        <v>112242.00188017599</v>
      </c>
      <c r="J2382" s="1">
        <v>864065.00188017602</v>
      </c>
    </row>
    <row r="2383" spans="1:10" x14ac:dyDescent="0.2">
      <c r="A2383">
        <v>2006360</v>
      </c>
      <c r="B2383">
        <v>2022</v>
      </c>
      <c r="C2383" t="s">
        <v>6</v>
      </c>
      <c r="D2383" t="s">
        <v>7</v>
      </c>
      <c r="E2383" t="s">
        <v>8</v>
      </c>
      <c r="F2383" s="28">
        <v>5309</v>
      </c>
      <c r="G2383" t="s">
        <v>305</v>
      </c>
      <c r="H2383" s="1">
        <v>739628</v>
      </c>
      <c r="I2383" s="1">
        <v>100445.59037051167</v>
      </c>
      <c r="J2383" s="1">
        <v>840073.59037051164</v>
      </c>
    </row>
    <row r="2384" spans="1:10" x14ac:dyDescent="0.2">
      <c r="A2384">
        <v>2006360</v>
      </c>
      <c r="B2384">
        <v>2023</v>
      </c>
      <c r="C2384" t="s">
        <v>6</v>
      </c>
      <c r="D2384" t="s">
        <v>7</v>
      </c>
      <c r="E2384" t="s">
        <v>8</v>
      </c>
      <c r="F2384" s="28">
        <v>5309</v>
      </c>
      <c r="G2384" s="10" t="s">
        <v>305</v>
      </c>
      <c r="H2384" s="1">
        <v>767962</v>
      </c>
      <c r="I2384" s="1">
        <v>107516.96567524162</v>
      </c>
      <c r="J2384" s="1">
        <v>875478.96567524166</v>
      </c>
    </row>
    <row r="2385" spans="1:10" x14ac:dyDescent="0.2">
      <c r="A2385">
        <v>2008700</v>
      </c>
      <c r="B2385">
        <v>2015</v>
      </c>
      <c r="C2385" t="s">
        <v>6</v>
      </c>
      <c r="D2385" t="s">
        <v>7</v>
      </c>
      <c r="E2385" t="s">
        <v>8</v>
      </c>
      <c r="F2385" s="29">
        <v>5310</v>
      </c>
      <c r="G2385" s="3" t="s">
        <v>306</v>
      </c>
      <c r="H2385" s="27">
        <v>61333</v>
      </c>
      <c r="I2385" s="1">
        <v>9879.1541973664498</v>
      </c>
      <c r="J2385" s="1">
        <v>71212.154197366443</v>
      </c>
    </row>
    <row r="2386" spans="1:10" x14ac:dyDescent="0.2">
      <c r="A2386">
        <v>2008700</v>
      </c>
      <c r="B2386">
        <v>2016</v>
      </c>
      <c r="C2386" t="s">
        <v>6</v>
      </c>
      <c r="D2386" t="s">
        <v>7</v>
      </c>
      <c r="E2386" t="s">
        <v>8</v>
      </c>
      <c r="F2386" s="29">
        <v>5310</v>
      </c>
      <c r="G2386" s="3" t="s">
        <v>306</v>
      </c>
      <c r="H2386" s="1">
        <v>76070</v>
      </c>
      <c r="I2386" s="26">
        <v>200906.99187868348</v>
      </c>
      <c r="J2386" s="26">
        <v>276976.9918786835</v>
      </c>
    </row>
    <row r="2387" spans="1:10" x14ac:dyDescent="0.2">
      <c r="A2387">
        <v>2008700</v>
      </c>
      <c r="B2387">
        <v>2017</v>
      </c>
      <c r="C2387" t="s">
        <v>6</v>
      </c>
      <c r="D2387" t="s">
        <v>7</v>
      </c>
      <c r="E2387" t="s">
        <v>8</v>
      </c>
      <c r="F2387" s="29">
        <v>5310</v>
      </c>
      <c r="G2387" s="3" t="s">
        <v>306</v>
      </c>
      <c r="H2387" s="1">
        <v>78001</v>
      </c>
      <c r="I2387" s="1">
        <v>12172.496054025652</v>
      </c>
      <c r="J2387" s="1">
        <v>90173.496054025658</v>
      </c>
    </row>
    <row r="2388" spans="1:10" x14ac:dyDescent="0.2">
      <c r="A2388">
        <v>2008700</v>
      </c>
      <c r="B2388">
        <v>2018</v>
      </c>
      <c r="C2388" t="s">
        <v>6</v>
      </c>
      <c r="D2388" t="s">
        <v>7</v>
      </c>
      <c r="E2388" t="s">
        <v>8</v>
      </c>
      <c r="F2388" s="28">
        <v>5310</v>
      </c>
      <c r="G2388" t="s">
        <v>306</v>
      </c>
      <c r="H2388" s="1">
        <v>89253</v>
      </c>
      <c r="I2388" s="1">
        <v>13496.780408949018</v>
      </c>
      <c r="J2388" s="1">
        <v>102749.78040894902</v>
      </c>
    </row>
    <row r="2389" spans="1:10" x14ac:dyDescent="0.2">
      <c r="A2389">
        <v>2008700</v>
      </c>
      <c r="B2389">
        <v>2019</v>
      </c>
      <c r="C2389" t="s">
        <v>6</v>
      </c>
      <c r="D2389" t="s">
        <v>7</v>
      </c>
      <c r="E2389" t="s">
        <v>8</v>
      </c>
      <c r="F2389" s="28">
        <v>5310</v>
      </c>
      <c r="G2389" t="s">
        <v>306</v>
      </c>
      <c r="H2389" s="1">
        <v>98790</v>
      </c>
      <c r="I2389" s="1">
        <v>15045.501823441165</v>
      </c>
      <c r="J2389" s="1">
        <v>113835.50182344117</v>
      </c>
    </row>
    <row r="2390" spans="1:10" x14ac:dyDescent="0.2">
      <c r="A2390">
        <v>2008700</v>
      </c>
      <c r="B2390">
        <v>2020</v>
      </c>
      <c r="C2390" t="s">
        <v>6</v>
      </c>
      <c r="D2390" t="s">
        <v>7</v>
      </c>
      <c r="E2390" t="s">
        <v>8</v>
      </c>
      <c r="F2390" s="28">
        <v>5310</v>
      </c>
      <c r="G2390" t="s">
        <v>306</v>
      </c>
      <c r="H2390" s="1">
        <v>113858</v>
      </c>
      <c r="I2390" s="1">
        <v>17224.987599936343</v>
      </c>
      <c r="J2390" s="1">
        <v>131082.98759993634</v>
      </c>
    </row>
    <row r="2391" spans="1:10" x14ac:dyDescent="0.2">
      <c r="A2391">
        <v>2008700</v>
      </c>
      <c r="B2391">
        <v>2021</v>
      </c>
      <c r="C2391" t="s">
        <v>6</v>
      </c>
      <c r="D2391" t="s">
        <v>7</v>
      </c>
      <c r="E2391" t="s">
        <v>8</v>
      </c>
      <c r="F2391" s="28">
        <v>5310</v>
      </c>
      <c r="G2391" t="s">
        <v>306</v>
      </c>
      <c r="H2391" s="25">
        <v>109396</v>
      </c>
      <c r="I2391" s="1">
        <v>16332.070231535523</v>
      </c>
      <c r="J2391" s="1">
        <v>125728.07023153553</v>
      </c>
    </row>
    <row r="2392" spans="1:10" x14ac:dyDescent="0.2">
      <c r="A2392">
        <v>2008700</v>
      </c>
      <c r="B2392">
        <v>2022</v>
      </c>
      <c r="C2392" t="s">
        <v>6</v>
      </c>
      <c r="D2392" t="s">
        <v>7</v>
      </c>
      <c r="E2392" t="s">
        <v>8</v>
      </c>
      <c r="F2392" s="28">
        <v>5310</v>
      </c>
      <c r="G2392" t="s">
        <v>306</v>
      </c>
      <c r="H2392" s="1">
        <v>109764</v>
      </c>
      <c r="I2392" s="1">
        <v>14906.560840623722</v>
      </c>
      <c r="J2392" s="1">
        <v>124670.56084062372</v>
      </c>
    </row>
    <row r="2393" spans="1:10" x14ac:dyDescent="0.2">
      <c r="A2393">
        <v>2008700</v>
      </c>
      <c r="B2393">
        <v>2023</v>
      </c>
      <c r="C2393" t="s">
        <v>6</v>
      </c>
      <c r="D2393" t="s">
        <v>7</v>
      </c>
      <c r="E2393" t="s">
        <v>8</v>
      </c>
      <c r="F2393" s="28">
        <v>5310</v>
      </c>
      <c r="G2393" s="10" t="s">
        <v>306</v>
      </c>
      <c r="H2393" s="1">
        <v>122791</v>
      </c>
      <c r="I2393" s="1">
        <v>17191.105461244952</v>
      </c>
      <c r="J2393" s="1">
        <v>139982.10546124494</v>
      </c>
    </row>
    <row r="2394" spans="1:10" x14ac:dyDescent="0.2">
      <c r="A2394">
        <v>2011490</v>
      </c>
      <c r="B2394">
        <v>2015</v>
      </c>
      <c r="C2394" t="s">
        <v>6</v>
      </c>
      <c r="D2394" t="s">
        <v>7</v>
      </c>
      <c r="E2394" t="s">
        <v>8</v>
      </c>
      <c r="F2394" s="29">
        <v>5312</v>
      </c>
      <c r="G2394" s="3" t="s">
        <v>307</v>
      </c>
      <c r="H2394" s="27">
        <v>2344296</v>
      </c>
      <c r="I2394" s="1">
        <v>377605.23157630279</v>
      </c>
      <c r="J2394" s="1">
        <v>2721901.231576303</v>
      </c>
    </row>
    <row r="2395" spans="1:10" x14ac:dyDescent="0.2">
      <c r="A2395">
        <v>2011490</v>
      </c>
      <c r="B2395">
        <v>2016</v>
      </c>
      <c r="C2395" t="s">
        <v>6</v>
      </c>
      <c r="D2395" t="s">
        <v>7</v>
      </c>
      <c r="E2395" t="s">
        <v>8</v>
      </c>
      <c r="F2395" s="29">
        <v>5312</v>
      </c>
      <c r="G2395" s="3" t="s">
        <v>307</v>
      </c>
      <c r="H2395" s="1">
        <v>2628103</v>
      </c>
      <c r="I2395" s="26">
        <v>6941058.9392785244</v>
      </c>
      <c r="J2395" s="26">
        <v>9569161.9392785244</v>
      </c>
    </row>
    <row r="2396" spans="1:10" x14ac:dyDescent="0.2">
      <c r="A2396">
        <v>2011490</v>
      </c>
      <c r="B2396">
        <v>2017</v>
      </c>
      <c r="C2396" t="s">
        <v>6</v>
      </c>
      <c r="D2396" t="s">
        <v>7</v>
      </c>
      <c r="E2396" t="s">
        <v>8</v>
      </c>
      <c r="F2396" s="29">
        <v>5312</v>
      </c>
      <c r="G2396" s="3" t="s">
        <v>307</v>
      </c>
      <c r="H2396" s="1">
        <v>2727114</v>
      </c>
      <c r="I2396" s="1">
        <v>425581.52336352237</v>
      </c>
      <c r="J2396" s="1">
        <v>3152695.5233635223</v>
      </c>
    </row>
    <row r="2397" spans="1:10" x14ac:dyDescent="0.2">
      <c r="A2397">
        <v>2011490</v>
      </c>
      <c r="B2397">
        <v>2018</v>
      </c>
      <c r="C2397" t="s">
        <v>6</v>
      </c>
      <c r="D2397" t="s">
        <v>7</v>
      </c>
      <c r="E2397" t="s">
        <v>8</v>
      </c>
      <c r="F2397" s="28">
        <v>5312</v>
      </c>
      <c r="G2397" t="s">
        <v>307</v>
      </c>
      <c r="H2397" s="1">
        <v>3067314</v>
      </c>
      <c r="I2397" s="1">
        <v>463837.22119475034</v>
      </c>
      <c r="J2397" s="1">
        <v>3531151.2211947502</v>
      </c>
    </row>
    <row r="2398" spans="1:10" x14ac:dyDescent="0.2">
      <c r="A2398">
        <v>2011490</v>
      </c>
      <c r="B2398">
        <v>2019</v>
      </c>
      <c r="C2398" t="s">
        <v>6</v>
      </c>
      <c r="D2398" t="s">
        <v>7</v>
      </c>
      <c r="E2398" t="s">
        <v>8</v>
      </c>
      <c r="F2398" s="28">
        <v>5312</v>
      </c>
      <c r="G2398" t="s">
        <v>307</v>
      </c>
      <c r="H2398" s="1">
        <v>3643643</v>
      </c>
      <c r="I2398" s="1">
        <v>554918.89260520949</v>
      </c>
      <c r="J2398" s="1">
        <v>4198561.8926052097</v>
      </c>
    </row>
    <row r="2399" spans="1:10" x14ac:dyDescent="0.2">
      <c r="A2399">
        <v>2011490</v>
      </c>
      <c r="B2399">
        <v>2020</v>
      </c>
      <c r="C2399" t="s">
        <v>6</v>
      </c>
      <c r="D2399" t="s">
        <v>7</v>
      </c>
      <c r="E2399" t="s">
        <v>8</v>
      </c>
      <c r="F2399" s="28">
        <v>5312</v>
      </c>
      <c r="G2399" t="s">
        <v>307</v>
      </c>
      <c r="H2399" s="1">
        <v>4063644</v>
      </c>
      <c r="I2399" s="1">
        <v>614767.67122692941</v>
      </c>
      <c r="J2399" s="1">
        <v>4678411.6712269299</v>
      </c>
    </row>
    <row r="2400" spans="1:10" x14ac:dyDescent="0.2">
      <c r="A2400">
        <v>2011490</v>
      </c>
      <c r="B2400">
        <v>2021</v>
      </c>
      <c r="C2400" t="s">
        <v>6</v>
      </c>
      <c r="D2400" t="s">
        <v>7</v>
      </c>
      <c r="E2400" t="s">
        <v>8</v>
      </c>
      <c r="F2400" s="28">
        <v>5312</v>
      </c>
      <c r="G2400" t="s">
        <v>307</v>
      </c>
      <c r="H2400" s="25">
        <v>3971583</v>
      </c>
      <c r="I2400" s="1">
        <v>592930.02016867674</v>
      </c>
      <c r="J2400" s="1">
        <v>4564513.020168677</v>
      </c>
    </row>
    <row r="2401" spans="1:10" x14ac:dyDescent="0.2">
      <c r="A2401">
        <v>2011490</v>
      </c>
      <c r="B2401">
        <v>2022</v>
      </c>
      <c r="C2401" t="s">
        <v>6</v>
      </c>
      <c r="D2401" t="s">
        <v>7</v>
      </c>
      <c r="E2401" t="s">
        <v>8</v>
      </c>
      <c r="F2401" s="28">
        <v>5312</v>
      </c>
      <c r="G2401" t="s">
        <v>307</v>
      </c>
      <c r="H2401" s="1">
        <v>3904972</v>
      </c>
      <c r="I2401" s="1">
        <v>530316.88621890685</v>
      </c>
      <c r="J2401" s="1">
        <v>4435288.8862189073</v>
      </c>
    </row>
    <row r="2402" spans="1:10" x14ac:dyDescent="0.2">
      <c r="A2402">
        <v>2011490</v>
      </c>
      <c r="B2402">
        <v>2023</v>
      </c>
      <c r="C2402" t="s">
        <v>6</v>
      </c>
      <c r="D2402" t="s">
        <v>7</v>
      </c>
      <c r="E2402" t="s">
        <v>8</v>
      </c>
      <c r="F2402" s="28">
        <v>5312</v>
      </c>
      <c r="G2402" s="10" t="s">
        <v>307</v>
      </c>
      <c r="H2402" s="1">
        <v>3961176</v>
      </c>
      <c r="I2402" s="1">
        <v>554576.42959624424</v>
      </c>
      <c r="J2402" s="1">
        <v>4515752.4295962444</v>
      </c>
    </row>
    <row r="2403" spans="1:10" x14ac:dyDescent="0.2">
      <c r="A2403">
        <v>2011430</v>
      </c>
      <c r="B2403">
        <v>2015</v>
      </c>
      <c r="C2403" t="s">
        <v>6</v>
      </c>
      <c r="D2403" t="s">
        <v>7</v>
      </c>
      <c r="E2403" t="s">
        <v>8</v>
      </c>
      <c r="F2403" s="29">
        <v>5313</v>
      </c>
      <c r="G2403" s="3" t="s">
        <v>308</v>
      </c>
      <c r="H2403" s="27">
        <v>243566</v>
      </c>
      <c r="I2403" s="1">
        <v>39232.160031887513</v>
      </c>
      <c r="J2403" s="1">
        <v>282798.16003188753</v>
      </c>
    </row>
    <row r="2404" spans="1:10" x14ac:dyDescent="0.2">
      <c r="A2404">
        <v>2011430</v>
      </c>
      <c r="B2404">
        <v>2016</v>
      </c>
      <c r="C2404" t="s">
        <v>6</v>
      </c>
      <c r="D2404" t="s">
        <v>7</v>
      </c>
      <c r="E2404" t="s">
        <v>8</v>
      </c>
      <c r="F2404" s="29">
        <v>5313</v>
      </c>
      <c r="G2404" s="3" t="s">
        <v>308</v>
      </c>
      <c r="H2404" s="1">
        <v>201642</v>
      </c>
      <c r="I2404" s="26">
        <v>532551.13143685425</v>
      </c>
      <c r="J2404" s="26">
        <v>734193.13143685425</v>
      </c>
    </row>
    <row r="2405" spans="1:10" x14ac:dyDescent="0.2">
      <c r="A2405">
        <v>2011430</v>
      </c>
      <c r="B2405">
        <v>2017</v>
      </c>
      <c r="C2405" t="s">
        <v>6</v>
      </c>
      <c r="D2405" t="s">
        <v>7</v>
      </c>
      <c r="E2405" t="s">
        <v>8</v>
      </c>
      <c r="F2405" s="29">
        <v>5313</v>
      </c>
      <c r="G2405" s="3" t="s">
        <v>308</v>
      </c>
      <c r="H2405" s="1">
        <v>233383</v>
      </c>
      <c r="I2405" s="1">
        <v>36420.733664653897</v>
      </c>
      <c r="J2405" s="1">
        <v>269803.7336646539</v>
      </c>
    </row>
    <row r="2406" spans="1:10" x14ac:dyDescent="0.2">
      <c r="A2406">
        <v>2011430</v>
      </c>
      <c r="B2406">
        <v>2018</v>
      </c>
      <c r="C2406" t="s">
        <v>6</v>
      </c>
      <c r="D2406" t="s">
        <v>7</v>
      </c>
      <c r="E2406" t="s">
        <v>8</v>
      </c>
      <c r="F2406" s="28">
        <v>5313</v>
      </c>
      <c r="G2406" t="s">
        <v>308</v>
      </c>
      <c r="H2406" s="1">
        <v>321688</v>
      </c>
      <c r="I2406" s="1">
        <v>48645.449410036548</v>
      </c>
      <c r="J2406" s="1">
        <v>370333.44941003656</v>
      </c>
    </row>
    <row r="2407" spans="1:10" x14ac:dyDescent="0.2">
      <c r="A2407">
        <v>2011430</v>
      </c>
      <c r="B2407">
        <v>2019</v>
      </c>
      <c r="C2407" t="s">
        <v>6</v>
      </c>
      <c r="D2407" t="s">
        <v>7</v>
      </c>
      <c r="E2407" t="s">
        <v>8</v>
      </c>
      <c r="F2407" s="28">
        <v>5313</v>
      </c>
      <c r="G2407" t="s">
        <v>308</v>
      </c>
      <c r="H2407" s="1">
        <v>285724</v>
      </c>
      <c r="I2407" s="1">
        <v>43515.142858598076</v>
      </c>
      <c r="J2407" s="1">
        <v>329239.14285859809</v>
      </c>
    </row>
    <row r="2408" spans="1:10" x14ac:dyDescent="0.2">
      <c r="A2408">
        <v>2011430</v>
      </c>
      <c r="B2408">
        <v>2020</v>
      </c>
      <c r="C2408" t="s">
        <v>6</v>
      </c>
      <c r="D2408" t="s">
        <v>7</v>
      </c>
      <c r="E2408" t="s">
        <v>8</v>
      </c>
      <c r="F2408" s="28">
        <v>5313</v>
      </c>
      <c r="G2408" t="s">
        <v>308</v>
      </c>
      <c r="H2408" s="1">
        <v>363419</v>
      </c>
      <c r="I2408" s="1">
        <v>54979.779800991288</v>
      </c>
      <c r="J2408" s="1">
        <v>418398.77980099129</v>
      </c>
    </row>
    <row r="2409" spans="1:10" x14ac:dyDescent="0.2">
      <c r="A2409">
        <v>2011430</v>
      </c>
      <c r="B2409">
        <v>2021</v>
      </c>
      <c r="C2409" t="s">
        <v>6</v>
      </c>
      <c r="D2409" t="s">
        <v>7</v>
      </c>
      <c r="E2409" t="s">
        <v>8</v>
      </c>
      <c r="F2409" s="28">
        <v>5313</v>
      </c>
      <c r="G2409" t="s">
        <v>308</v>
      </c>
      <c r="H2409" s="25">
        <v>350052</v>
      </c>
      <c r="I2409" s="1">
        <v>52260.355485479115</v>
      </c>
      <c r="J2409" s="1">
        <v>402312.35548547911</v>
      </c>
    </row>
    <row r="2410" spans="1:10" x14ac:dyDescent="0.2">
      <c r="A2410">
        <v>2011430</v>
      </c>
      <c r="B2410">
        <v>2022</v>
      </c>
      <c r="C2410" t="s">
        <v>6</v>
      </c>
      <c r="D2410" t="s">
        <v>7</v>
      </c>
      <c r="E2410" t="s">
        <v>8</v>
      </c>
      <c r="F2410" s="28">
        <v>5313</v>
      </c>
      <c r="G2410" t="s">
        <v>308</v>
      </c>
      <c r="H2410" s="1">
        <v>338429</v>
      </c>
      <c r="I2410" s="1">
        <v>45960.537869715437</v>
      </c>
      <c r="J2410" s="1">
        <v>384389.53786971542</v>
      </c>
    </row>
    <row r="2411" spans="1:10" x14ac:dyDescent="0.2">
      <c r="A2411">
        <v>2011430</v>
      </c>
      <c r="B2411">
        <v>2023</v>
      </c>
      <c r="C2411" t="s">
        <v>6</v>
      </c>
      <c r="D2411" t="s">
        <v>7</v>
      </c>
      <c r="E2411" t="s">
        <v>8</v>
      </c>
      <c r="F2411" s="28">
        <v>5313</v>
      </c>
      <c r="G2411" s="10" t="s">
        <v>308</v>
      </c>
      <c r="H2411" s="1">
        <v>340849</v>
      </c>
      <c r="I2411" s="1">
        <v>47719.874464414163</v>
      </c>
      <c r="J2411" s="1">
        <v>388568.87446441414</v>
      </c>
    </row>
    <row r="2412" spans="1:10" x14ac:dyDescent="0.2">
      <c r="A2412">
        <v>2012260</v>
      </c>
      <c r="B2412">
        <v>2015</v>
      </c>
      <c r="C2412" t="s">
        <v>6</v>
      </c>
      <c r="D2412" t="s">
        <v>7</v>
      </c>
      <c r="E2412" t="s">
        <v>8</v>
      </c>
      <c r="F2412" s="29">
        <v>5314</v>
      </c>
      <c r="G2412" s="3" t="s">
        <v>309</v>
      </c>
      <c r="H2412" s="27">
        <v>9206865</v>
      </c>
      <c r="I2412" s="1">
        <v>1482986.9566030728</v>
      </c>
      <c r="J2412" s="1">
        <v>10689851.956603073</v>
      </c>
    </row>
    <row r="2413" spans="1:10" x14ac:dyDescent="0.2">
      <c r="A2413">
        <v>2012260</v>
      </c>
      <c r="B2413">
        <v>2016</v>
      </c>
      <c r="C2413" t="s">
        <v>6</v>
      </c>
      <c r="D2413" t="s">
        <v>7</v>
      </c>
      <c r="E2413" t="s">
        <v>8</v>
      </c>
      <c r="F2413" s="29">
        <v>5314</v>
      </c>
      <c r="G2413" s="3" t="s">
        <v>309</v>
      </c>
      <c r="H2413" s="1">
        <v>10575662</v>
      </c>
      <c r="I2413" s="26">
        <v>27931274.197271813</v>
      </c>
      <c r="J2413" s="26">
        <v>38506936.197271809</v>
      </c>
    </row>
    <row r="2414" spans="1:10" x14ac:dyDescent="0.2">
      <c r="A2414">
        <v>2012260</v>
      </c>
      <c r="B2414">
        <v>2017</v>
      </c>
      <c r="C2414" t="s">
        <v>6</v>
      </c>
      <c r="D2414" t="s">
        <v>7</v>
      </c>
      <c r="E2414" t="s">
        <v>8</v>
      </c>
      <c r="F2414" s="29">
        <v>5314</v>
      </c>
      <c r="G2414" s="3" t="s">
        <v>309</v>
      </c>
      <c r="H2414" s="1">
        <v>11052967</v>
      </c>
      <c r="I2414" s="1">
        <v>1724877.8501913534</v>
      </c>
      <c r="J2414" s="1">
        <v>12777844.850191353</v>
      </c>
    </row>
    <row r="2415" spans="1:10" x14ac:dyDescent="0.2">
      <c r="A2415">
        <v>2012260</v>
      </c>
      <c r="B2415">
        <v>2018</v>
      </c>
      <c r="C2415" t="s">
        <v>6</v>
      </c>
      <c r="D2415" t="s">
        <v>7</v>
      </c>
      <c r="E2415" t="s">
        <v>8</v>
      </c>
      <c r="F2415" s="28">
        <v>5314</v>
      </c>
      <c r="G2415" t="s">
        <v>309</v>
      </c>
      <c r="H2415" s="1">
        <v>12582085</v>
      </c>
      <c r="I2415" s="1">
        <v>1902654.6819908724</v>
      </c>
      <c r="J2415" s="1">
        <v>14484739.681990873</v>
      </c>
    </row>
    <row r="2416" spans="1:10" x14ac:dyDescent="0.2">
      <c r="A2416">
        <v>2012260</v>
      </c>
      <c r="B2416">
        <v>2019</v>
      </c>
      <c r="C2416" t="s">
        <v>6</v>
      </c>
      <c r="D2416" t="s">
        <v>7</v>
      </c>
      <c r="E2416" t="s">
        <v>8</v>
      </c>
      <c r="F2416" s="28">
        <v>5314</v>
      </c>
      <c r="G2416" t="s">
        <v>309</v>
      </c>
      <c r="H2416" s="1">
        <v>14879741</v>
      </c>
      <c r="I2416" s="1">
        <v>2266152.144425876</v>
      </c>
      <c r="J2416" s="1">
        <v>17145893.144425876</v>
      </c>
    </row>
    <row r="2417" spans="1:10" x14ac:dyDescent="0.2">
      <c r="A2417">
        <v>2012260</v>
      </c>
      <c r="B2417">
        <v>2020</v>
      </c>
      <c r="C2417" t="s">
        <v>6</v>
      </c>
      <c r="D2417" t="s">
        <v>7</v>
      </c>
      <c r="E2417" t="s">
        <v>8</v>
      </c>
      <c r="F2417" s="28">
        <v>5314</v>
      </c>
      <c r="G2417" t="s">
        <v>309</v>
      </c>
      <c r="H2417" s="1">
        <v>16132414</v>
      </c>
      <c r="I2417" s="1">
        <v>2440589.4281213395</v>
      </c>
      <c r="J2417" s="1">
        <v>18573003.42812134</v>
      </c>
    </row>
    <row r="2418" spans="1:10" x14ac:dyDescent="0.2">
      <c r="A2418">
        <v>2012260</v>
      </c>
      <c r="B2418">
        <v>2021</v>
      </c>
      <c r="C2418" t="s">
        <v>6</v>
      </c>
      <c r="D2418" t="s">
        <v>7</v>
      </c>
      <c r="E2418" t="s">
        <v>8</v>
      </c>
      <c r="F2418" s="28">
        <v>5314</v>
      </c>
      <c r="G2418" t="s">
        <v>309</v>
      </c>
      <c r="H2418" s="25">
        <v>15787891</v>
      </c>
      <c r="I2418" s="1">
        <v>2357023.5165803833</v>
      </c>
      <c r="J2418" s="1">
        <v>18144914.516580384</v>
      </c>
    </row>
    <row r="2419" spans="1:10" x14ac:dyDescent="0.2">
      <c r="A2419">
        <v>2012260</v>
      </c>
      <c r="B2419">
        <v>2022</v>
      </c>
      <c r="C2419" t="s">
        <v>6</v>
      </c>
      <c r="D2419" t="s">
        <v>7</v>
      </c>
      <c r="E2419" t="s">
        <v>8</v>
      </c>
      <c r="F2419" s="28">
        <v>5314</v>
      </c>
      <c r="G2419" t="s">
        <v>309</v>
      </c>
      <c r="H2419" s="1">
        <v>16196515</v>
      </c>
      <c r="I2419" s="1">
        <v>2199576.694121704</v>
      </c>
      <c r="J2419" s="1">
        <v>18396091.694121704</v>
      </c>
    </row>
    <row r="2420" spans="1:10" x14ac:dyDescent="0.2">
      <c r="A2420">
        <v>2012260</v>
      </c>
      <c r="B2420">
        <v>2023</v>
      </c>
      <c r="C2420" t="s">
        <v>6</v>
      </c>
      <c r="D2420" t="s">
        <v>7</v>
      </c>
      <c r="E2420" t="s">
        <v>8</v>
      </c>
      <c r="F2420" s="28">
        <v>5314</v>
      </c>
      <c r="G2420" s="10" t="s">
        <v>309</v>
      </c>
      <c r="H2420" s="1">
        <v>16990727</v>
      </c>
      <c r="I2420" s="1">
        <v>2378752.3492782204</v>
      </c>
      <c r="J2420" s="1">
        <v>19369479.349278219</v>
      </c>
    </row>
    <row r="2421" spans="1:10" x14ac:dyDescent="0.2">
      <c r="B2421">
        <v>2015</v>
      </c>
      <c r="C2421" t="s">
        <v>6</v>
      </c>
      <c r="D2421" t="s">
        <v>7</v>
      </c>
      <c r="E2421" t="s">
        <v>8</v>
      </c>
      <c r="F2421" s="29">
        <v>5316</v>
      </c>
      <c r="G2421" s="3" t="s">
        <v>310</v>
      </c>
      <c r="H2421" s="27">
        <v>236020</v>
      </c>
      <c r="I2421" s="1">
        <v>38016.695313492404</v>
      </c>
      <c r="J2421" s="1">
        <v>274036.69531349238</v>
      </c>
    </row>
    <row r="2422" spans="1:10" x14ac:dyDescent="0.2">
      <c r="B2422">
        <v>2016</v>
      </c>
      <c r="C2422" t="s">
        <v>6</v>
      </c>
      <c r="D2422" t="s">
        <v>7</v>
      </c>
      <c r="E2422" t="s">
        <v>8</v>
      </c>
      <c r="F2422" s="29">
        <v>5316</v>
      </c>
      <c r="G2422" s="3" t="s">
        <v>310</v>
      </c>
      <c r="H2422" s="1">
        <v>278661</v>
      </c>
      <c r="I2422" s="26">
        <v>735963.79782067332</v>
      </c>
      <c r="J2422" s="26">
        <v>1014624.7978206733</v>
      </c>
    </row>
    <row r="2423" spans="1:10" x14ac:dyDescent="0.2">
      <c r="B2423">
        <v>2017</v>
      </c>
      <c r="C2423" t="s">
        <v>6</v>
      </c>
      <c r="D2423" t="s">
        <v>7</v>
      </c>
      <c r="E2423" t="s">
        <v>8</v>
      </c>
      <c r="F2423" s="29">
        <v>5316</v>
      </c>
      <c r="G2423" s="3" t="s">
        <v>310</v>
      </c>
      <c r="H2423" s="1">
        <v>276678</v>
      </c>
      <c r="I2423" s="1">
        <v>43177.162641962401</v>
      </c>
      <c r="J2423" s="1">
        <v>319855.16264196241</v>
      </c>
    </row>
    <row r="2424" spans="1:10" x14ac:dyDescent="0.2">
      <c r="B2424">
        <v>2018</v>
      </c>
      <c r="C2424" t="s">
        <v>6</v>
      </c>
      <c r="D2424" t="s">
        <v>7</v>
      </c>
      <c r="E2424" t="s">
        <v>8</v>
      </c>
      <c r="F2424" s="28">
        <v>5316</v>
      </c>
      <c r="G2424" t="s">
        <v>310</v>
      </c>
      <c r="H2424" s="1">
        <v>324918</v>
      </c>
      <c r="I2424" s="1">
        <v>49133.887901974136</v>
      </c>
      <c r="J2424" s="1">
        <v>374051.88790197414</v>
      </c>
    </row>
    <row r="2425" spans="1:10" x14ac:dyDescent="0.2">
      <c r="B2425">
        <v>2019</v>
      </c>
      <c r="C2425" t="s">
        <v>6</v>
      </c>
      <c r="D2425" t="s">
        <v>7</v>
      </c>
      <c r="E2425" t="s">
        <v>8</v>
      </c>
      <c r="F2425" s="28">
        <v>5316</v>
      </c>
      <c r="G2425" t="s">
        <v>310</v>
      </c>
      <c r="H2425" s="1">
        <v>337512</v>
      </c>
      <c r="I2425" s="1">
        <v>51402.342458075465</v>
      </c>
      <c r="J2425" s="1">
        <v>388914.34245807549</v>
      </c>
    </row>
    <row r="2426" spans="1:10" x14ac:dyDescent="0.2">
      <c r="B2426">
        <v>2020</v>
      </c>
      <c r="C2426" t="s">
        <v>6</v>
      </c>
      <c r="D2426" t="s">
        <v>7</v>
      </c>
      <c r="E2426" t="s">
        <v>8</v>
      </c>
      <c r="F2426" s="28">
        <v>5316</v>
      </c>
      <c r="G2426" t="s">
        <v>310</v>
      </c>
      <c r="H2426" s="1">
        <v>407960</v>
      </c>
      <c r="I2426" s="1">
        <v>61718.157189394085</v>
      </c>
      <c r="J2426" s="1">
        <v>469678.15718939411</v>
      </c>
    </row>
    <row r="2427" spans="1:10" x14ac:dyDescent="0.2">
      <c r="B2427">
        <v>2021</v>
      </c>
      <c r="C2427" t="s">
        <v>6</v>
      </c>
      <c r="D2427" t="s">
        <v>7</v>
      </c>
      <c r="E2427" t="s">
        <v>8</v>
      </c>
      <c r="F2427" s="28">
        <v>5316</v>
      </c>
      <c r="G2427" t="s">
        <v>310</v>
      </c>
      <c r="H2427" s="25">
        <v>368197</v>
      </c>
      <c r="I2427" s="1">
        <v>54969.279160487451</v>
      </c>
      <c r="J2427" s="1">
        <v>423166.27916048747</v>
      </c>
    </row>
    <row r="2428" spans="1:10" x14ac:dyDescent="0.2">
      <c r="B2428">
        <v>2022</v>
      </c>
      <c r="C2428" t="s">
        <v>6</v>
      </c>
      <c r="D2428" t="s">
        <v>7</v>
      </c>
      <c r="E2428" t="s">
        <v>8</v>
      </c>
      <c r="F2428" s="28">
        <v>5316</v>
      </c>
      <c r="G2428" t="s">
        <v>310</v>
      </c>
      <c r="H2428" s="1">
        <v>446716</v>
      </c>
      <c r="I2428" s="1">
        <v>60666.513906928201</v>
      </c>
      <c r="J2428" s="1">
        <v>507382.51390692819</v>
      </c>
    </row>
    <row r="2429" spans="1:10" x14ac:dyDescent="0.2">
      <c r="B2429">
        <v>2023</v>
      </c>
      <c r="C2429" t="s">
        <v>6</v>
      </c>
      <c r="D2429" t="s">
        <v>7</v>
      </c>
      <c r="E2429" t="s">
        <v>8</v>
      </c>
      <c r="F2429" s="28">
        <v>5316</v>
      </c>
      <c r="G2429" s="10" t="s">
        <v>310</v>
      </c>
      <c r="H2429" s="1">
        <v>403657</v>
      </c>
      <c r="I2429" s="1">
        <v>56513.181399041889</v>
      </c>
      <c r="J2429" s="1">
        <v>460170.1813990419</v>
      </c>
    </row>
    <row r="2430" spans="1:10" x14ac:dyDescent="0.2">
      <c r="B2430">
        <v>2015</v>
      </c>
      <c r="C2430" t="s">
        <v>6</v>
      </c>
      <c r="D2430" t="s">
        <v>7</v>
      </c>
      <c r="E2430" t="s">
        <v>8</v>
      </c>
      <c r="F2430" s="29">
        <v>5317</v>
      </c>
      <c r="G2430" s="3" t="s">
        <v>311</v>
      </c>
      <c r="H2430" s="27">
        <v>314881</v>
      </c>
      <c r="I2430" s="1">
        <v>50719.15531314211</v>
      </c>
      <c r="J2430" s="1">
        <v>365600.15531314211</v>
      </c>
    </row>
    <row r="2431" spans="1:10" x14ac:dyDescent="0.2">
      <c r="B2431">
        <v>2016</v>
      </c>
      <c r="C2431" t="s">
        <v>6</v>
      </c>
      <c r="D2431" t="s">
        <v>7</v>
      </c>
      <c r="E2431" t="s">
        <v>8</v>
      </c>
      <c r="F2431" s="29">
        <v>5317</v>
      </c>
      <c r="G2431" s="3" t="s">
        <v>311</v>
      </c>
      <c r="H2431" s="1">
        <v>349954</v>
      </c>
      <c r="I2431" s="26">
        <v>924256.13023191167</v>
      </c>
      <c r="J2431" s="26">
        <v>1274210.1302319118</v>
      </c>
    </row>
    <row r="2432" spans="1:10" x14ac:dyDescent="0.2">
      <c r="B2432">
        <v>2017</v>
      </c>
      <c r="C2432" t="s">
        <v>6</v>
      </c>
      <c r="D2432" t="s">
        <v>7</v>
      </c>
      <c r="E2432" t="s">
        <v>8</v>
      </c>
      <c r="F2432" s="29">
        <v>5317</v>
      </c>
      <c r="G2432" s="3" t="s">
        <v>311</v>
      </c>
      <c r="H2432" s="1">
        <v>367258</v>
      </c>
      <c r="I2432" s="1">
        <v>57312.682604189089</v>
      </c>
      <c r="J2432" s="1">
        <v>424570.68260418909</v>
      </c>
    </row>
    <row r="2433" spans="1:10" x14ac:dyDescent="0.2">
      <c r="B2433">
        <v>2018</v>
      </c>
      <c r="C2433" t="s">
        <v>6</v>
      </c>
      <c r="D2433" t="s">
        <v>7</v>
      </c>
      <c r="E2433" t="s">
        <v>8</v>
      </c>
      <c r="F2433" s="28">
        <v>5317</v>
      </c>
      <c r="G2433" t="s">
        <v>311</v>
      </c>
      <c r="H2433" s="1">
        <v>400035</v>
      </c>
      <c r="I2433" s="1">
        <v>60493.031616796303</v>
      </c>
      <c r="J2433" s="1">
        <v>460528.03161679627</v>
      </c>
    </row>
    <row r="2434" spans="1:10" x14ac:dyDescent="0.2">
      <c r="B2434">
        <v>2019</v>
      </c>
      <c r="C2434" t="s">
        <v>6</v>
      </c>
      <c r="D2434" t="s">
        <v>7</v>
      </c>
      <c r="E2434" t="s">
        <v>8</v>
      </c>
      <c r="F2434" s="28">
        <v>5317</v>
      </c>
      <c r="G2434" t="s">
        <v>311</v>
      </c>
      <c r="H2434" s="1">
        <v>451147</v>
      </c>
      <c r="I2434" s="1">
        <v>68708.705447312605</v>
      </c>
      <c r="J2434" s="1">
        <v>519855.70544731262</v>
      </c>
    </row>
    <row r="2435" spans="1:10" x14ac:dyDescent="0.2">
      <c r="B2435">
        <v>2020</v>
      </c>
      <c r="C2435" t="s">
        <v>6</v>
      </c>
      <c r="D2435" t="s">
        <v>7</v>
      </c>
      <c r="E2435" t="s">
        <v>8</v>
      </c>
      <c r="F2435" s="28">
        <v>5317</v>
      </c>
      <c r="G2435" t="s">
        <v>311</v>
      </c>
      <c r="H2435" s="1">
        <v>492030</v>
      </c>
      <c r="I2435" s="1">
        <v>74436.672423515949</v>
      </c>
      <c r="J2435" s="1">
        <v>566466.67242351593</v>
      </c>
    </row>
    <row r="2436" spans="1:10" x14ac:dyDescent="0.2">
      <c r="B2436">
        <v>2021</v>
      </c>
      <c r="C2436" t="s">
        <v>6</v>
      </c>
      <c r="D2436" t="s">
        <v>7</v>
      </c>
      <c r="E2436" t="s">
        <v>8</v>
      </c>
      <c r="F2436" s="28">
        <v>5317</v>
      </c>
      <c r="G2436" t="s">
        <v>311</v>
      </c>
      <c r="H2436" s="25">
        <v>510568</v>
      </c>
      <c r="I2436" s="1">
        <v>76224.290046936163</v>
      </c>
      <c r="J2436" s="1">
        <v>586792.29004693613</v>
      </c>
    </row>
    <row r="2437" spans="1:10" x14ac:dyDescent="0.2">
      <c r="B2437">
        <v>2022</v>
      </c>
      <c r="C2437" t="s">
        <v>6</v>
      </c>
      <c r="D2437" t="s">
        <v>7</v>
      </c>
      <c r="E2437" t="s">
        <v>8</v>
      </c>
      <c r="F2437" s="28">
        <v>5317</v>
      </c>
      <c r="G2437" t="s">
        <v>311</v>
      </c>
      <c r="H2437" s="1">
        <v>491743</v>
      </c>
      <c r="I2437" s="1">
        <v>66781.430591549419</v>
      </c>
      <c r="J2437" s="1">
        <v>558524.43059154938</v>
      </c>
    </row>
    <row r="2438" spans="1:10" x14ac:dyDescent="0.2">
      <c r="B2438">
        <v>2023</v>
      </c>
      <c r="C2438" t="s">
        <v>6</v>
      </c>
      <c r="D2438" t="s">
        <v>7</v>
      </c>
      <c r="E2438" t="s">
        <v>8</v>
      </c>
      <c r="F2438" s="28">
        <v>5317</v>
      </c>
      <c r="G2438" s="10" t="s">
        <v>311</v>
      </c>
      <c r="H2438" s="1">
        <v>510322</v>
      </c>
      <c r="I2438" s="1">
        <v>71446.59886468426</v>
      </c>
      <c r="J2438" s="1">
        <v>581768.59886468423</v>
      </c>
    </row>
    <row r="2439" spans="1:10" x14ac:dyDescent="0.2">
      <c r="A2439">
        <v>2004710</v>
      </c>
      <c r="B2439">
        <v>2015</v>
      </c>
      <c r="C2439" t="s">
        <v>6</v>
      </c>
      <c r="D2439" t="s">
        <v>7</v>
      </c>
      <c r="E2439" t="s">
        <v>8</v>
      </c>
      <c r="F2439" s="29">
        <v>5318</v>
      </c>
      <c r="G2439" s="3" t="s">
        <v>312</v>
      </c>
      <c r="H2439" s="27">
        <v>439303</v>
      </c>
      <c r="I2439" s="1">
        <v>70760.309725036655</v>
      </c>
      <c r="J2439" s="1">
        <v>510063.30972503667</v>
      </c>
    </row>
    <row r="2440" spans="1:10" x14ac:dyDescent="0.2">
      <c r="A2440">
        <v>2004710</v>
      </c>
      <c r="B2440">
        <v>2016</v>
      </c>
      <c r="C2440" t="s">
        <v>6</v>
      </c>
      <c r="D2440" t="s">
        <v>7</v>
      </c>
      <c r="E2440" t="s">
        <v>8</v>
      </c>
      <c r="F2440" s="29">
        <v>5318</v>
      </c>
      <c r="G2440" s="3" t="s">
        <v>312</v>
      </c>
      <c r="H2440" s="1">
        <v>445996</v>
      </c>
      <c r="I2440" s="26">
        <v>1177916.7171310943</v>
      </c>
      <c r="J2440" s="26">
        <v>1623912.7171310943</v>
      </c>
    </row>
    <row r="2441" spans="1:10" x14ac:dyDescent="0.2">
      <c r="A2441">
        <v>2004710</v>
      </c>
      <c r="B2441">
        <v>2017</v>
      </c>
      <c r="C2441" t="s">
        <v>6</v>
      </c>
      <c r="D2441" t="s">
        <v>7</v>
      </c>
      <c r="E2441" t="s">
        <v>8</v>
      </c>
      <c r="F2441" s="29">
        <v>5318</v>
      </c>
      <c r="G2441" s="3" t="s">
        <v>312</v>
      </c>
      <c r="H2441" s="1">
        <v>453117</v>
      </c>
      <c r="I2441" s="1">
        <v>70711.463885231497</v>
      </c>
      <c r="J2441" s="1">
        <v>523828.46388523153</v>
      </c>
    </row>
    <row r="2442" spans="1:10" x14ac:dyDescent="0.2">
      <c r="A2442">
        <v>2004710</v>
      </c>
      <c r="B2442">
        <v>2018</v>
      </c>
      <c r="C2442" t="s">
        <v>6</v>
      </c>
      <c r="D2442" t="s">
        <v>7</v>
      </c>
      <c r="E2442" t="s">
        <v>8</v>
      </c>
      <c r="F2442" s="28">
        <v>5318</v>
      </c>
      <c r="G2442" t="s">
        <v>312</v>
      </c>
      <c r="H2442" s="1">
        <v>452085</v>
      </c>
      <c r="I2442" s="1">
        <v>68363.998646316846</v>
      </c>
      <c r="J2442" s="1">
        <v>520448.99864631682</v>
      </c>
    </row>
    <row r="2443" spans="1:10" x14ac:dyDescent="0.2">
      <c r="A2443">
        <v>2004710</v>
      </c>
      <c r="B2443">
        <v>2019</v>
      </c>
      <c r="C2443" t="s">
        <v>6</v>
      </c>
      <c r="D2443" t="s">
        <v>7</v>
      </c>
      <c r="E2443" t="s">
        <v>8</v>
      </c>
      <c r="F2443" s="28">
        <v>5318</v>
      </c>
      <c r="G2443" t="s">
        <v>312</v>
      </c>
      <c r="H2443" s="1">
        <v>495291</v>
      </c>
      <c r="I2443" s="1">
        <v>75431.740496345781</v>
      </c>
      <c r="J2443" s="1">
        <v>570722.7404963458</v>
      </c>
    </row>
    <row r="2444" spans="1:10" x14ac:dyDescent="0.2">
      <c r="A2444">
        <v>2004710</v>
      </c>
      <c r="B2444">
        <v>2020</v>
      </c>
      <c r="C2444" t="s">
        <v>6</v>
      </c>
      <c r="D2444" t="s">
        <v>7</v>
      </c>
      <c r="E2444" t="s">
        <v>8</v>
      </c>
      <c r="F2444" s="28">
        <v>5318</v>
      </c>
      <c r="G2444" t="s">
        <v>312</v>
      </c>
      <c r="H2444" s="1">
        <v>547652</v>
      </c>
      <c r="I2444" s="1">
        <v>82851.436957265527</v>
      </c>
      <c r="J2444" s="1">
        <v>630503.43695726548</v>
      </c>
    </row>
    <row r="2445" spans="1:10" x14ac:dyDescent="0.2">
      <c r="A2445">
        <v>2004710</v>
      </c>
      <c r="B2445">
        <v>2021</v>
      </c>
      <c r="C2445" t="s">
        <v>6</v>
      </c>
      <c r="D2445" t="s">
        <v>7</v>
      </c>
      <c r="E2445" t="s">
        <v>8</v>
      </c>
      <c r="F2445" s="28">
        <v>5318</v>
      </c>
      <c r="G2445" t="s">
        <v>312</v>
      </c>
      <c r="H2445" s="25">
        <v>566899</v>
      </c>
      <c r="I2445" s="1">
        <v>84634.120828798637</v>
      </c>
      <c r="J2445" s="1">
        <v>651533.12082879862</v>
      </c>
    </row>
    <row r="2446" spans="1:10" x14ac:dyDescent="0.2">
      <c r="A2446">
        <v>2004710</v>
      </c>
      <c r="B2446">
        <v>2022</v>
      </c>
      <c r="C2446" t="s">
        <v>6</v>
      </c>
      <c r="D2446" t="s">
        <v>7</v>
      </c>
      <c r="E2446" t="s">
        <v>8</v>
      </c>
      <c r="F2446" s="28">
        <v>5318</v>
      </c>
      <c r="G2446" t="s">
        <v>312</v>
      </c>
      <c r="H2446" s="1">
        <v>546860</v>
      </c>
      <c r="I2446" s="1">
        <v>74266.625317075624</v>
      </c>
      <c r="J2446" s="1">
        <v>621126.62531707564</v>
      </c>
    </row>
    <row r="2447" spans="1:10" x14ac:dyDescent="0.2">
      <c r="A2447">
        <v>2004710</v>
      </c>
      <c r="B2447">
        <v>2023</v>
      </c>
      <c r="C2447" t="s">
        <v>6</v>
      </c>
      <c r="D2447" t="s">
        <v>7</v>
      </c>
      <c r="E2447" t="s">
        <v>8</v>
      </c>
      <c r="F2447" s="28">
        <v>5318</v>
      </c>
      <c r="G2447" s="10" t="s">
        <v>312</v>
      </c>
      <c r="H2447" s="1">
        <v>537199</v>
      </c>
      <c r="I2447" s="1">
        <v>75209.458858347323</v>
      </c>
      <c r="J2447" s="1">
        <v>612408.45885834727</v>
      </c>
    </row>
    <row r="2448" spans="1:10" x14ac:dyDescent="0.2">
      <c r="A2448">
        <v>2006480</v>
      </c>
      <c r="B2448">
        <v>2015</v>
      </c>
      <c r="C2448" t="s">
        <v>6</v>
      </c>
      <c r="D2448" t="s">
        <v>7</v>
      </c>
      <c r="E2448" t="s">
        <v>8</v>
      </c>
      <c r="F2448" s="29">
        <v>5319</v>
      </c>
      <c r="G2448" s="3" t="s">
        <v>313</v>
      </c>
      <c r="H2448" s="27">
        <v>470074</v>
      </c>
      <c r="I2448" s="1">
        <v>75716.719061073745</v>
      </c>
      <c r="J2448" s="1">
        <v>545790.71906107373</v>
      </c>
    </row>
    <row r="2449" spans="1:10" x14ac:dyDescent="0.2">
      <c r="A2449">
        <v>2006480</v>
      </c>
      <c r="B2449">
        <v>2016</v>
      </c>
      <c r="C2449" t="s">
        <v>6</v>
      </c>
      <c r="D2449" t="s">
        <v>7</v>
      </c>
      <c r="E2449" t="s">
        <v>8</v>
      </c>
      <c r="F2449" s="29">
        <v>5319</v>
      </c>
      <c r="G2449" s="3" t="s">
        <v>313</v>
      </c>
      <c r="H2449" s="1">
        <v>557739</v>
      </c>
      <c r="I2449" s="26">
        <v>1473037.8888012203</v>
      </c>
      <c r="J2449" s="26">
        <v>2030776.8888012203</v>
      </c>
    </row>
    <row r="2450" spans="1:10" x14ac:dyDescent="0.2">
      <c r="A2450">
        <v>2006480</v>
      </c>
      <c r="B2450">
        <v>2017</v>
      </c>
      <c r="C2450" t="s">
        <v>6</v>
      </c>
      <c r="D2450" t="s">
        <v>7</v>
      </c>
      <c r="E2450" t="s">
        <v>8</v>
      </c>
      <c r="F2450" s="29">
        <v>5319</v>
      </c>
      <c r="G2450" s="3" t="s">
        <v>313</v>
      </c>
      <c r="H2450" s="1">
        <v>633739</v>
      </c>
      <c r="I2450" s="1">
        <v>98898.545874824194</v>
      </c>
      <c r="J2450" s="1">
        <v>732637.54587482417</v>
      </c>
    </row>
    <row r="2451" spans="1:10" x14ac:dyDescent="0.2">
      <c r="A2451">
        <v>2006480</v>
      </c>
      <c r="B2451">
        <v>2018</v>
      </c>
      <c r="C2451" t="s">
        <v>6</v>
      </c>
      <c r="D2451" t="s">
        <v>7</v>
      </c>
      <c r="E2451" t="s">
        <v>8</v>
      </c>
      <c r="F2451" s="28">
        <v>5319</v>
      </c>
      <c r="G2451" t="s">
        <v>313</v>
      </c>
      <c r="H2451" s="1">
        <v>664731</v>
      </c>
      <c r="I2451" s="1">
        <v>100520.18798271308</v>
      </c>
      <c r="J2451" s="1">
        <v>765251.18798271311</v>
      </c>
    </row>
    <row r="2452" spans="1:10" x14ac:dyDescent="0.2">
      <c r="A2452">
        <v>2006480</v>
      </c>
      <c r="B2452">
        <v>2019</v>
      </c>
      <c r="C2452" t="s">
        <v>6</v>
      </c>
      <c r="D2452" t="s">
        <v>7</v>
      </c>
      <c r="E2452" t="s">
        <v>8</v>
      </c>
      <c r="F2452" s="28">
        <v>5319</v>
      </c>
      <c r="G2452" t="s">
        <v>313</v>
      </c>
      <c r="H2452" s="1">
        <v>727325</v>
      </c>
      <c r="I2452" s="1">
        <v>110770.01329825232</v>
      </c>
      <c r="J2452" s="1">
        <v>838095.01329825236</v>
      </c>
    </row>
    <row r="2453" spans="1:10" x14ac:dyDescent="0.2">
      <c r="A2453">
        <v>2006480</v>
      </c>
      <c r="B2453">
        <v>2020</v>
      </c>
      <c r="C2453" t="s">
        <v>6</v>
      </c>
      <c r="D2453" t="s">
        <v>7</v>
      </c>
      <c r="E2453" t="s">
        <v>8</v>
      </c>
      <c r="F2453" s="28">
        <v>5319</v>
      </c>
      <c r="G2453" t="s">
        <v>313</v>
      </c>
      <c r="H2453" s="1">
        <v>803332</v>
      </c>
      <c r="I2453" s="1">
        <v>121531.94100223141</v>
      </c>
      <c r="J2453" s="1">
        <v>924863.94100223144</v>
      </c>
    </row>
    <row r="2454" spans="1:10" x14ac:dyDescent="0.2">
      <c r="A2454">
        <v>2006480</v>
      </c>
      <c r="B2454">
        <v>2021</v>
      </c>
      <c r="C2454" t="s">
        <v>6</v>
      </c>
      <c r="D2454" t="s">
        <v>7</v>
      </c>
      <c r="E2454" t="s">
        <v>8</v>
      </c>
      <c r="F2454" s="28">
        <v>5319</v>
      </c>
      <c r="G2454" t="s">
        <v>313</v>
      </c>
      <c r="H2454" s="25">
        <v>809599</v>
      </c>
      <c r="I2454" s="1">
        <v>120867.56122144255</v>
      </c>
      <c r="J2454" s="1">
        <v>930466.56122144253</v>
      </c>
    </row>
    <row r="2455" spans="1:10" x14ac:dyDescent="0.2">
      <c r="A2455">
        <v>2006480</v>
      </c>
      <c r="B2455">
        <v>2022</v>
      </c>
      <c r="C2455" t="s">
        <v>6</v>
      </c>
      <c r="D2455" t="s">
        <v>7</v>
      </c>
      <c r="E2455" t="s">
        <v>8</v>
      </c>
      <c r="F2455" s="28">
        <v>5319</v>
      </c>
      <c r="G2455" t="s">
        <v>313</v>
      </c>
      <c r="H2455" s="1">
        <v>808786</v>
      </c>
      <c r="I2455" s="1">
        <v>109837.63088120603</v>
      </c>
      <c r="J2455" s="1">
        <v>918623.63088120602</v>
      </c>
    </row>
    <row r="2456" spans="1:10" x14ac:dyDescent="0.2">
      <c r="A2456">
        <v>2006480</v>
      </c>
      <c r="B2456">
        <v>2023</v>
      </c>
      <c r="C2456" t="s">
        <v>6</v>
      </c>
      <c r="D2456" t="s">
        <v>7</v>
      </c>
      <c r="E2456" t="s">
        <v>8</v>
      </c>
      <c r="F2456" s="28">
        <v>5319</v>
      </c>
      <c r="G2456" s="10" t="s">
        <v>313</v>
      </c>
      <c r="H2456" s="1">
        <v>833706</v>
      </c>
      <c r="I2456" s="1">
        <v>116721.32134824769</v>
      </c>
      <c r="J2456" s="1">
        <v>950427.3213482477</v>
      </c>
    </row>
    <row r="2457" spans="1:10" x14ac:dyDescent="0.2">
      <c r="A2457">
        <v>2005310</v>
      </c>
      <c r="B2457">
        <v>2015</v>
      </c>
      <c r="C2457" t="s">
        <v>6</v>
      </c>
      <c r="D2457" t="s">
        <v>7</v>
      </c>
      <c r="E2457" t="s">
        <v>8</v>
      </c>
      <c r="F2457" s="29">
        <v>5320</v>
      </c>
      <c r="G2457" s="3" t="s">
        <v>314</v>
      </c>
      <c r="H2457" s="27">
        <v>172862</v>
      </c>
      <c r="I2457" s="1">
        <v>27843.580990089504</v>
      </c>
      <c r="J2457" s="1">
        <v>200705.58099008951</v>
      </c>
    </row>
    <row r="2458" spans="1:10" x14ac:dyDescent="0.2">
      <c r="A2458">
        <v>2005310</v>
      </c>
      <c r="B2458">
        <v>2016</v>
      </c>
      <c r="C2458" t="s">
        <v>6</v>
      </c>
      <c r="D2458" t="s">
        <v>7</v>
      </c>
      <c r="E2458" t="s">
        <v>8</v>
      </c>
      <c r="F2458" s="29">
        <v>5320</v>
      </c>
      <c r="G2458" s="3" t="s">
        <v>314</v>
      </c>
      <c r="H2458" s="1">
        <v>176718</v>
      </c>
      <c r="I2458" s="26">
        <v>466725.8535835864</v>
      </c>
      <c r="J2458" s="26">
        <v>643443.8535835864</v>
      </c>
    </row>
    <row r="2459" spans="1:10" x14ac:dyDescent="0.2">
      <c r="A2459">
        <v>2005310</v>
      </c>
      <c r="B2459">
        <v>2017</v>
      </c>
      <c r="C2459" t="s">
        <v>6</v>
      </c>
      <c r="D2459" t="s">
        <v>7</v>
      </c>
      <c r="E2459" t="s">
        <v>8</v>
      </c>
      <c r="F2459" s="29">
        <v>5320</v>
      </c>
      <c r="G2459" s="3" t="s">
        <v>314</v>
      </c>
      <c r="H2459" s="1">
        <v>176888</v>
      </c>
      <c r="I2459" s="1">
        <v>27604.3702260803</v>
      </c>
      <c r="J2459" s="1">
        <v>204492.3702260803</v>
      </c>
    </row>
    <row r="2460" spans="1:10" x14ac:dyDescent="0.2">
      <c r="A2460">
        <v>2005310</v>
      </c>
      <c r="B2460">
        <v>2018</v>
      </c>
      <c r="C2460" t="s">
        <v>6</v>
      </c>
      <c r="D2460" t="s">
        <v>7</v>
      </c>
      <c r="E2460" t="s">
        <v>8</v>
      </c>
      <c r="F2460" s="28">
        <v>5320</v>
      </c>
      <c r="G2460" t="s">
        <v>314</v>
      </c>
      <c r="H2460" s="1">
        <v>192097</v>
      </c>
      <c r="I2460" s="1">
        <v>29048.782967719624</v>
      </c>
      <c r="J2460" s="1">
        <v>221145.78296771963</v>
      </c>
    </row>
    <row r="2461" spans="1:10" x14ac:dyDescent="0.2">
      <c r="A2461">
        <v>2005310</v>
      </c>
      <c r="B2461">
        <v>2019</v>
      </c>
      <c r="C2461" t="s">
        <v>6</v>
      </c>
      <c r="D2461" t="s">
        <v>7</v>
      </c>
      <c r="E2461" t="s">
        <v>8</v>
      </c>
      <c r="F2461" s="28">
        <v>5320</v>
      </c>
      <c r="G2461" t="s">
        <v>314</v>
      </c>
      <c r="H2461" s="1">
        <v>213131</v>
      </c>
      <c r="I2461" s="1">
        <v>32459.387074924984</v>
      </c>
      <c r="J2461" s="1">
        <v>245590.38707492498</v>
      </c>
    </row>
    <row r="2462" spans="1:10" x14ac:dyDescent="0.2">
      <c r="A2462">
        <v>2005310</v>
      </c>
      <c r="B2462">
        <v>2020</v>
      </c>
      <c r="C2462" t="s">
        <v>6</v>
      </c>
      <c r="D2462" t="s">
        <v>7</v>
      </c>
      <c r="E2462" t="s">
        <v>8</v>
      </c>
      <c r="F2462" s="28">
        <v>5320</v>
      </c>
      <c r="G2462" t="s">
        <v>314</v>
      </c>
      <c r="H2462" s="1">
        <v>214330</v>
      </c>
      <c r="I2462" s="1">
        <v>32424.876533000377</v>
      </c>
      <c r="J2462" s="1">
        <v>246754.87653300038</v>
      </c>
    </row>
    <row r="2463" spans="1:10" x14ac:dyDescent="0.2">
      <c r="A2463">
        <v>2005310</v>
      </c>
      <c r="B2463">
        <v>2021</v>
      </c>
      <c r="C2463" t="s">
        <v>6</v>
      </c>
      <c r="D2463" t="s">
        <v>7</v>
      </c>
      <c r="E2463" t="s">
        <v>8</v>
      </c>
      <c r="F2463" s="28">
        <v>5320</v>
      </c>
      <c r="G2463" t="s">
        <v>314</v>
      </c>
      <c r="H2463" s="25">
        <v>213062</v>
      </c>
      <c r="I2463" s="1">
        <v>31808.690881489467</v>
      </c>
      <c r="J2463" s="1">
        <v>244870.69088148946</v>
      </c>
    </row>
    <row r="2464" spans="1:10" x14ac:dyDescent="0.2">
      <c r="A2464">
        <v>2005310</v>
      </c>
      <c r="B2464">
        <v>2022</v>
      </c>
      <c r="C2464" t="s">
        <v>6</v>
      </c>
      <c r="D2464" t="s">
        <v>7</v>
      </c>
      <c r="E2464" t="s">
        <v>8</v>
      </c>
      <c r="F2464" s="28">
        <v>5320</v>
      </c>
      <c r="G2464" t="s">
        <v>314</v>
      </c>
      <c r="H2464" s="1">
        <v>203147</v>
      </c>
      <c r="I2464" s="1">
        <v>27588.490899476943</v>
      </c>
      <c r="J2464" s="1">
        <v>230735.49089947695</v>
      </c>
    </row>
    <row r="2465" spans="1:10" x14ac:dyDescent="0.2">
      <c r="A2465">
        <v>2005310</v>
      </c>
      <c r="B2465">
        <v>2023</v>
      </c>
      <c r="C2465" t="s">
        <v>6</v>
      </c>
      <c r="D2465" t="s">
        <v>7</v>
      </c>
      <c r="E2465" t="s">
        <v>8</v>
      </c>
      <c r="F2465" s="28">
        <v>5320</v>
      </c>
      <c r="G2465" s="10" t="s">
        <v>314</v>
      </c>
      <c r="H2465" s="1">
        <v>224938</v>
      </c>
      <c r="I2465" s="1">
        <v>31491.989480023098</v>
      </c>
      <c r="J2465" s="1">
        <v>256429.9894800231</v>
      </c>
    </row>
    <row r="2466" spans="1:10" x14ac:dyDescent="0.2">
      <c r="A2466">
        <v>2012780</v>
      </c>
      <c r="B2466">
        <v>2015</v>
      </c>
      <c r="C2466" t="s">
        <v>6</v>
      </c>
      <c r="D2466" t="s">
        <v>7</v>
      </c>
      <c r="E2466" t="s">
        <v>8</v>
      </c>
      <c r="F2466" s="29">
        <v>5321</v>
      </c>
      <c r="G2466" s="3" t="s">
        <v>315</v>
      </c>
      <c r="H2466" s="27">
        <v>260917</v>
      </c>
      <c r="I2466" s="1">
        <v>42026.955728796274</v>
      </c>
      <c r="J2466" s="1">
        <v>302943.95572879625</v>
      </c>
    </row>
    <row r="2467" spans="1:10" x14ac:dyDescent="0.2">
      <c r="A2467">
        <v>2012780</v>
      </c>
      <c r="B2467">
        <v>2016</v>
      </c>
      <c r="C2467" t="s">
        <v>6</v>
      </c>
      <c r="D2467" t="s">
        <v>7</v>
      </c>
      <c r="E2467" t="s">
        <v>8</v>
      </c>
      <c r="F2467" s="29">
        <v>5321</v>
      </c>
      <c r="G2467" s="3" t="s">
        <v>315</v>
      </c>
      <c r="H2467" s="1">
        <v>292980</v>
      </c>
      <c r="I2467" s="26">
        <v>773782.66659421939</v>
      </c>
      <c r="J2467" s="26">
        <v>1066762.6665942194</v>
      </c>
    </row>
    <row r="2468" spans="1:10" x14ac:dyDescent="0.2">
      <c r="A2468">
        <v>2012780</v>
      </c>
      <c r="B2468">
        <v>2017</v>
      </c>
      <c r="C2468" t="s">
        <v>6</v>
      </c>
      <c r="D2468" t="s">
        <v>7</v>
      </c>
      <c r="E2468" t="s">
        <v>8</v>
      </c>
      <c r="F2468" s="29">
        <v>5321</v>
      </c>
      <c r="G2468" s="3" t="s">
        <v>315</v>
      </c>
      <c r="H2468" s="1">
        <v>323988</v>
      </c>
      <c r="I2468" s="1">
        <v>50560.155017905709</v>
      </c>
      <c r="J2468" s="1">
        <v>374548.15501790569</v>
      </c>
    </row>
    <row r="2469" spans="1:10" x14ac:dyDescent="0.2">
      <c r="A2469">
        <v>2012780</v>
      </c>
      <c r="B2469">
        <v>2018</v>
      </c>
      <c r="C2469" t="s">
        <v>6</v>
      </c>
      <c r="D2469" t="s">
        <v>7</v>
      </c>
      <c r="E2469" t="s">
        <v>8</v>
      </c>
      <c r="F2469" s="28">
        <v>5321</v>
      </c>
      <c r="G2469" t="s">
        <v>315</v>
      </c>
      <c r="H2469" s="1">
        <v>353071</v>
      </c>
      <c r="I2469" s="1">
        <v>53391.166187893286</v>
      </c>
      <c r="J2469" s="1">
        <v>406462.16618789331</v>
      </c>
    </row>
    <row r="2470" spans="1:10" x14ac:dyDescent="0.2">
      <c r="A2470">
        <v>2012780</v>
      </c>
      <c r="B2470">
        <v>2019</v>
      </c>
      <c r="C2470" t="s">
        <v>6</v>
      </c>
      <c r="D2470" t="s">
        <v>7</v>
      </c>
      <c r="E2470" t="s">
        <v>8</v>
      </c>
      <c r="F2470" s="28">
        <v>5321</v>
      </c>
      <c r="G2470" t="s">
        <v>315</v>
      </c>
      <c r="H2470" s="1">
        <v>397394</v>
      </c>
      <c r="I2470" s="1">
        <v>60522.240627842686</v>
      </c>
      <c r="J2470" s="1">
        <v>457916.24062784266</v>
      </c>
    </row>
    <row r="2471" spans="1:10" x14ac:dyDescent="0.2">
      <c r="A2471">
        <v>2012780</v>
      </c>
      <c r="B2471">
        <v>2020</v>
      </c>
      <c r="C2471" t="s">
        <v>6</v>
      </c>
      <c r="D2471" t="s">
        <v>7</v>
      </c>
      <c r="E2471" t="s">
        <v>8</v>
      </c>
      <c r="F2471" s="28">
        <v>5321</v>
      </c>
      <c r="G2471" t="s">
        <v>315</v>
      </c>
      <c r="H2471" s="1">
        <v>460439</v>
      </c>
      <c r="I2471" s="1">
        <v>69657.4335183043</v>
      </c>
      <c r="J2471" s="1">
        <v>530096.43351830426</v>
      </c>
    </row>
    <row r="2472" spans="1:10" x14ac:dyDescent="0.2">
      <c r="A2472">
        <v>2012780</v>
      </c>
      <c r="B2472">
        <v>2021</v>
      </c>
      <c r="C2472" t="s">
        <v>6</v>
      </c>
      <c r="D2472" t="s">
        <v>7</v>
      </c>
      <c r="E2472" t="s">
        <v>8</v>
      </c>
      <c r="F2472" s="28">
        <v>5321</v>
      </c>
      <c r="G2472" t="s">
        <v>315</v>
      </c>
      <c r="H2472" s="25">
        <v>426728</v>
      </c>
      <c r="I2472" s="1">
        <v>63707.554807878638</v>
      </c>
      <c r="J2472" s="1">
        <v>490435.55480787862</v>
      </c>
    </row>
    <row r="2473" spans="1:10" x14ac:dyDescent="0.2">
      <c r="A2473">
        <v>2012780</v>
      </c>
      <c r="B2473">
        <v>2022</v>
      </c>
      <c r="C2473" t="s">
        <v>6</v>
      </c>
      <c r="D2473" t="s">
        <v>7</v>
      </c>
      <c r="E2473" t="s">
        <v>8</v>
      </c>
      <c r="F2473" s="28">
        <v>5321</v>
      </c>
      <c r="G2473" t="s">
        <v>315</v>
      </c>
      <c r="H2473" s="1">
        <v>416357</v>
      </c>
      <c r="I2473" s="1">
        <v>56543.593089898059</v>
      </c>
      <c r="J2473" s="1">
        <v>472900.59308989806</v>
      </c>
    </row>
    <row r="2474" spans="1:10" x14ac:dyDescent="0.2">
      <c r="A2474">
        <v>2012780</v>
      </c>
      <c r="B2474">
        <v>2023</v>
      </c>
      <c r="C2474" t="s">
        <v>6</v>
      </c>
      <c r="D2474" t="s">
        <v>7</v>
      </c>
      <c r="E2474" t="s">
        <v>8</v>
      </c>
      <c r="F2474" s="28">
        <v>5321</v>
      </c>
      <c r="G2474" s="10" t="s">
        <v>315</v>
      </c>
      <c r="H2474" s="1">
        <v>405652</v>
      </c>
      <c r="I2474" s="1">
        <v>56792.487336734252</v>
      </c>
      <c r="J2474" s="1">
        <v>462444.48733673425</v>
      </c>
    </row>
    <row r="2475" spans="1:10" x14ac:dyDescent="0.2">
      <c r="A2475">
        <v>2010350</v>
      </c>
      <c r="B2475">
        <v>2015</v>
      </c>
      <c r="C2475" t="s">
        <v>6</v>
      </c>
      <c r="D2475" t="s">
        <v>7</v>
      </c>
      <c r="E2475" t="s">
        <v>8</v>
      </c>
      <c r="F2475" s="29">
        <v>5322</v>
      </c>
      <c r="G2475" s="3" t="s">
        <v>316</v>
      </c>
      <c r="H2475" s="27">
        <v>312424</v>
      </c>
      <c r="I2475" s="1">
        <v>50323.396392774128</v>
      </c>
      <c r="J2475" s="1">
        <v>362747.39639277413</v>
      </c>
    </row>
    <row r="2476" spans="1:10" x14ac:dyDescent="0.2">
      <c r="A2476">
        <v>2010350</v>
      </c>
      <c r="B2476">
        <v>2016</v>
      </c>
      <c r="C2476" t="s">
        <v>6</v>
      </c>
      <c r="D2476" t="s">
        <v>7</v>
      </c>
      <c r="E2476" t="s">
        <v>8</v>
      </c>
      <c r="F2476" s="29">
        <v>5322</v>
      </c>
      <c r="G2476" s="3" t="s">
        <v>316</v>
      </c>
      <c r="H2476" s="1">
        <v>322193</v>
      </c>
      <c r="I2476" s="26">
        <v>850938.61914022709</v>
      </c>
      <c r="J2476" s="26">
        <v>1173131.6191402271</v>
      </c>
    </row>
    <row r="2477" spans="1:10" x14ac:dyDescent="0.2">
      <c r="A2477">
        <v>2010350</v>
      </c>
      <c r="B2477">
        <v>2017</v>
      </c>
      <c r="C2477" t="s">
        <v>6</v>
      </c>
      <c r="D2477" t="s">
        <v>7</v>
      </c>
      <c r="E2477" t="s">
        <v>8</v>
      </c>
      <c r="F2477" s="29">
        <v>5322</v>
      </c>
      <c r="G2477" s="3" t="s">
        <v>316</v>
      </c>
      <c r="H2477" s="1">
        <v>347319</v>
      </c>
      <c r="I2477" s="1">
        <v>54201.089178191767</v>
      </c>
      <c r="J2477" s="1">
        <v>401520.08917819179</v>
      </c>
    </row>
    <row r="2478" spans="1:10" x14ac:dyDescent="0.2">
      <c r="A2478">
        <v>2010350</v>
      </c>
      <c r="B2478">
        <v>2018</v>
      </c>
      <c r="C2478" t="s">
        <v>6</v>
      </c>
      <c r="D2478" t="s">
        <v>7</v>
      </c>
      <c r="E2478" t="s">
        <v>8</v>
      </c>
      <c r="F2478" s="28">
        <v>5322</v>
      </c>
      <c r="G2478" t="s">
        <v>316</v>
      </c>
      <c r="H2478" s="1">
        <v>392573</v>
      </c>
      <c r="I2478" s="1">
        <v>59364.632846877335</v>
      </c>
      <c r="J2478" s="1">
        <v>451937.63284687733</v>
      </c>
    </row>
    <row r="2479" spans="1:10" x14ac:dyDescent="0.2">
      <c r="A2479">
        <v>2010350</v>
      </c>
      <c r="B2479">
        <v>2019</v>
      </c>
      <c r="C2479" t="s">
        <v>6</v>
      </c>
      <c r="D2479" t="s">
        <v>7</v>
      </c>
      <c r="E2479" t="s">
        <v>8</v>
      </c>
      <c r="F2479" s="28">
        <v>5322</v>
      </c>
      <c r="G2479" t="s">
        <v>316</v>
      </c>
      <c r="H2479" s="1">
        <v>441307</v>
      </c>
      <c r="I2479" s="1">
        <v>67210.094880021774</v>
      </c>
      <c r="J2479" s="1">
        <v>508517.09488002176</v>
      </c>
    </row>
    <row r="2480" spans="1:10" x14ac:dyDescent="0.2">
      <c r="A2480">
        <v>2010350</v>
      </c>
      <c r="B2480">
        <v>2020</v>
      </c>
      <c r="C2480" t="s">
        <v>6</v>
      </c>
      <c r="D2480" t="s">
        <v>7</v>
      </c>
      <c r="E2480" t="s">
        <v>8</v>
      </c>
      <c r="F2480" s="28">
        <v>5322</v>
      </c>
      <c r="G2480" t="s">
        <v>316</v>
      </c>
      <c r="H2480" s="1">
        <v>504465</v>
      </c>
      <c r="I2480" s="1">
        <v>76317.899221854314</v>
      </c>
      <c r="J2480" s="1">
        <v>580782.89922185428</v>
      </c>
    </row>
    <row r="2481" spans="1:10" x14ac:dyDescent="0.2">
      <c r="A2481">
        <v>2010350</v>
      </c>
      <c r="B2481">
        <v>2021</v>
      </c>
      <c r="C2481" t="s">
        <v>6</v>
      </c>
      <c r="D2481" t="s">
        <v>7</v>
      </c>
      <c r="E2481" t="s">
        <v>8</v>
      </c>
      <c r="F2481" s="28">
        <v>5322</v>
      </c>
      <c r="G2481" t="s">
        <v>316</v>
      </c>
      <c r="H2481" s="25">
        <v>496691</v>
      </c>
      <c r="I2481" s="1">
        <v>74152.549411053507</v>
      </c>
      <c r="J2481" s="1">
        <v>570843.54941105354</v>
      </c>
    </row>
    <row r="2482" spans="1:10" x14ac:dyDescent="0.2">
      <c r="A2482">
        <v>2010350</v>
      </c>
      <c r="B2482">
        <v>2022</v>
      </c>
      <c r="C2482" t="s">
        <v>6</v>
      </c>
      <c r="D2482" t="s">
        <v>7</v>
      </c>
      <c r="E2482" t="s">
        <v>8</v>
      </c>
      <c r="F2482" s="28">
        <v>5322</v>
      </c>
      <c r="G2482" t="s">
        <v>316</v>
      </c>
      <c r="H2482" s="1">
        <v>464100</v>
      </c>
      <c r="I2482" s="1">
        <v>63027.357659464578</v>
      </c>
      <c r="J2482" s="1">
        <v>527127.35765946459</v>
      </c>
    </row>
    <row r="2483" spans="1:10" x14ac:dyDescent="0.2">
      <c r="A2483">
        <v>2010350</v>
      </c>
      <c r="B2483">
        <v>2023</v>
      </c>
      <c r="C2483" t="s">
        <v>6</v>
      </c>
      <c r="D2483" t="s">
        <v>7</v>
      </c>
      <c r="E2483" t="s">
        <v>8</v>
      </c>
      <c r="F2483" s="28">
        <v>5322</v>
      </c>
      <c r="G2483" s="10" t="s">
        <v>316</v>
      </c>
      <c r="H2483" s="1">
        <v>462658</v>
      </c>
      <c r="I2483" s="1">
        <v>64773.497002945376</v>
      </c>
      <c r="J2483" s="1">
        <v>527431.4970029454</v>
      </c>
    </row>
    <row r="2484" spans="1:10" x14ac:dyDescent="0.2">
      <c r="A2484">
        <v>2007950</v>
      </c>
      <c r="B2484">
        <v>2015</v>
      </c>
      <c r="C2484" t="s">
        <v>6</v>
      </c>
      <c r="D2484" t="s">
        <v>7</v>
      </c>
      <c r="E2484" t="s">
        <v>8</v>
      </c>
      <c r="F2484" s="29">
        <v>5324</v>
      </c>
      <c r="G2484" s="3" t="s">
        <v>317</v>
      </c>
      <c r="H2484" s="27">
        <v>15565329</v>
      </c>
      <c r="I2484" s="1">
        <v>2507170.4518569079</v>
      </c>
      <c r="J2484" s="1">
        <v>18072499.451856907</v>
      </c>
    </row>
    <row r="2485" spans="1:10" x14ac:dyDescent="0.2">
      <c r="A2485">
        <v>2007950</v>
      </c>
      <c r="B2485">
        <v>2016</v>
      </c>
      <c r="C2485" t="s">
        <v>6</v>
      </c>
      <c r="D2485" t="s">
        <v>7</v>
      </c>
      <c r="E2485" t="s">
        <v>8</v>
      </c>
      <c r="F2485" s="29">
        <v>5324</v>
      </c>
      <c r="G2485" s="3" t="s">
        <v>317</v>
      </c>
      <c r="H2485" s="1">
        <v>15563333</v>
      </c>
      <c r="I2485" s="26">
        <v>41104163.736155301</v>
      </c>
      <c r="J2485" s="26">
        <v>56667496.736155301</v>
      </c>
    </row>
    <row r="2486" spans="1:10" x14ac:dyDescent="0.2">
      <c r="A2486">
        <v>2007950</v>
      </c>
      <c r="B2486">
        <v>2017</v>
      </c>
      <c r="C2486" t="s">
        <v>6</v>
      </c>
      <c r="D2486" t="s">
        <v>7</v>
      </c>
      <c r="E2486" t="s">
        <v>8</v>
      </c>
      <c r="F2486" s="29">
        <v>5324</v>
      </c>
      <c r="G2486" s="3" t="s">
        <v>317</v>
      </c>
      <c r="H2486" s="1">
        <v>20218416</v>
      </c>
      <c r="I2486" s="1">
        <v>3155197.8689843602</v>
      </c>
      <c r="J2486" s="1">
        <v>23373613.86898436</v>
      </c>
    </row>
    <row r="2487" spans="1:10" x14ac:dyDescent="0.2">
      <c r="A2487">
        <v>2007950</v>
      </c>
      <c r="B2487">
        <v>2018</v>
      </c>
      <c r="C2487" t="s">
        <v>6</v>
      </c>
      <c r="D2487" t="s">
        <v>7</v>
      </c>
      <c r="E2487" t="s">
        <v>8</v>
      </c>
      <c r="F2487" s="28">
        <v>5324</v>
      </c>
      <c r="G2487" t="s">
        <v>317</v>
      </c>
      <c r="H2487" s="1">
        <v>19689116</v>
      </c>
      <c r="I2487" s="1">
        <v>2977375.2714006775</v>
      </c>
      <c r="J2487" s="1">
        <v>22666491.271400679</v>
      </c>
    </row>
    <row r="2488" spans="1:10" x14ac:dyDescent="0.2">
      <c r="A2488">
        <v>2007950</v>
      </c>
      <c r="B2488">
        <v>2019</v>
      </c>
      <c r="C2488" t="s">
        <v>6</v>
      </c>
      <c r="D2488" t="s">
        <v>7</v>
      </c>
      <c r="E2488" t="s">
        <v>8</v>
      </c>
      <c r="F2488" s="28">
        <v>5324</v>
      </c>
      <c r="G2488" t="s">
        <v>317</v>
      </c>
      <c r="H2488" s="1">
        <v>24799404</v>
      </c>
      <c r="I2488" s="1">
        <v>3776895.2131010648</v>
      </c>
      <c r="J2488" s="1">
        <v>28576299.213101067</v>
      </c>
    </row>
    <row r="2489" spans="1:10" x14ac:dyDescent="0.2">
      <c r="A2489">
        <v>2007950</v>
      </c>
      <c r="B2489">
        <v>2020</v>
      </c>
      <c r="C2489" t="s">
        <v>6</v>
      </c>
      <c r="D2489" t="s">
        <v>7</v>
      </c>
      <c r="E2489" t="s">
        <v>8</v>
      </c>
      <c r="F2489" s="28">
        <v>5324</v>
      </c>
      <c r="G2489" t="s">
        <v>317</v>
      </c>
      <c r="H2489" s="1">
        <v>23528939</v>
      </c>
      <c r="I2489" s="1">
        <v>3559571.4180352604</v>
      </c>
      <c r="J2489" s="1">
        <v>27088510.418035261</v>
      </c>
    </row>
    <row r="2490" spans="1:10" x14ac:dyDescent="0.2">
      <c r="A2490">
        <v>2007950</v>
      </c>
      <c r="B2490">
        <v>2021</v>
      </c>
      <c r="C2490" t="s">
        <v>6</v>
      </c>
      <c r="D2490" t="s">
        <v>7</v>
      </c>
      <c r="E2490" t="s">
        <v>8</v>
      </c>
      <c r="F2490" s="28">
        <v>5324</v>
      </c>
      <c r="G2490" t="s">
        <v>317</v>
      </c>
      <c r="H2490" s="25">
        <v>24369652</v>
      </c>
      <c r="I2490" s="1">
        <v>3638221.3973278743</v>
      </c>
      <c r="J2490" s="1">
        <v>28007873.397327874</v>
      </c>
    </row>
    <row r="2491" spans="1:10" x14ac:dyDescent="0.2">
      <c r="A2491">
        <v>2007950</v>
      </c>
      <c r="B2491">
        <v>2022</v>
      </c>
      <c r="C2491" t="s">
        <v>6</v>
      </c>
      <c r="D2491" t="s">
        <v>7</v>
      </c>
      <c r="E2491" t="s">
        <v>8</v>
      </c>
      <c r="F2491" s="28">
        <v>5324</v>
      </c>
      <c r="G2491" t="s">
        <v>317</v>
      </c>
      <c r="H2491" s="1">
        <v>27335630</v>
      </c>
      <c r="I2491" s="1">
        <v>3712330.3789200378</v>
      </c>
      <c r="J2491" s="1">
        <v>31047960.378920037</v>
      </c>
    </row>
    <row r="2492" spans="1:10" x14ac:dyDescent="0.2">
      <c r="A2492">
        <v>2007950</v>
      </c>
      <c r="B2492">
        <v>2023</v>
      </c>
      <c r="C2492" t="s">
        <v>6</v>
      </c>
      <c r="D2492" t="s">
        <v>7</v>
      </c>
      <c r="E2492" t="s">
        <v>8</v>
      </c>
      <c r="F2492" s="28">
        <v>5324</v>
      </c>
      <c r="G2492" s="10" t="s">
        <v>317</v>
      </c>
      <c r="H2492" s="1">
        <v>27775027</v>
      </c>
      <c r="I2492" s="1">
        <v>3888586.4464490553</v>
      </c>
      <c r="J2492" s="1">
        <v>31663613.446449056</v>
      </c>
    </row>
    <row r="2493" spans="1:10" x14ac:dyDescent="0.2">
      <c r="A2493">
        <v>2008670</v>
      </c>
      <c r="B2493">
        <v>2015</v>
      </c>
      <c r="C2493" t="s">
        <v>6</v>
      </c>
      <c r="D2493" t="s">
        <v>7</v>
      </c>
      <c r="E2493" t="s">
        <v>8</v>
      </c>
      <c r="F2493" s="29">
        <v>5329</v>
      </c>
      <c r="G2493" s="3" t="s">
        <v>318</v>
      </c>
      <c r="H2493" s="27">
        <v>147512</v>
      </c>
      <c r="I2493" s="1">
        <v>23760.354033911917</v>
      </c>
      <c r="J2493" s="1">
        <v>171272.35403391192</v>
      </c>
    </row>
    <row r="2494" spans="1:10" x14ac:dyDescent="0.2">
      <c r="A2494">
        <v>2008670</v>
      </c>
      <c r="B2494">
        <v>2016</v>
      </c>
      <c r="C2494" t="s">
        <v>6</v>
      </c>
      <c r="D2494" t="s">
        <v>7</v>
      </c>
      <c r="E2494" t="s">
        <v>8</v>
      </c>
      <c r="F2494" s="29">
        <v>5329</v>
      </c>
      <c r="G2494" s="3" t="s">
        <v>318</v>
      </c>
      <c r="H2494" s="1">
        <v>119223</v>
      </c>
      <c r="I2494" s="26">
        <v>314881.95855352213</v>
      </c>
      <c r="J2494" s="26">
        <v>434104.95855352213</v>
      </c>
    </row>
    <row r="2495" spans="1:10" x14ac:dyDescent="0.2">
      <c r="A2495">
        <v>2008670</v>
      </c>
      <c r="B2495">
        <v>2017</v>
      </c>
      <c r="C2495" t="s">
        <v>6</v>
      </c>
      <c r="D2495" t="s">
        <v>7</v>
      </c>
      <c r="E2495" t="s">
        <v>8</v>
      </c>
      <c r="F2495" s="29">
        <v>5329</v>
      </c>
      <c r="G2495" s="3" t="s">
        <v>318</v>
      </c>
      <c r="H2495" s="1">
        <v>143428</v>
      </c>
      <c r="I2495" s="1">
        <v>22382.748478055295</v>
      </c>
      <c r="J2495" s="1">
        <v>165810.74847805529</v>
      </c>
    </row>
    <row r="2496" spans="1:10" x14ac:dyDescent="0.2">
      <c r="A2496">
        <v>2008670</v>
      </c>
      <c r="B2496">
        <v>2018</v>
      </c>
      <c r="C2496" t="s">
        <v>6</v>
      </c>
      <c r="D2496" t="s">
        <v>7</v>
      </c>
      <c r="E2496" t="s">
        <v>8</v>
      </c>
      <c r="F2496" s="28">
        <v>5329</v>
      </c>
      <c r="G2496" t="s">
        <v>318</v>
      </c>
      <c r="H2496" s="1">
        <v>168405</v>
      </c>
      <c r="I2496" s="1">
        <v>25466.094190324802</v>
      </c>
      <c r="J2496" s="1">
        <v>193871.0941903248</v>
      </c>
    </row>
    <row r="2497" spans="1:10" x14ac:dyDescent="0.2">
      <c r="A2497">
        <v>2008670</v>
      </c>
      <c r="B2497">
        <v>2019</v>
      </c>
      <c r="C2497" t="s">
        <v>6</v>
      </c>
      <c r="D2497" t="s">
        <v>7</v>
      </c>
      <c r="E2497" t="s">
        <v>8</v>
      </c>
      <c r="F2497" s="28">
        <v>5329</v>
      </c>
      <c r="G2497" t="s">
        <v>318</v>
      </c>
      <c r="H2497" s="1">
        <v>200212</v>
      </c>
      <c r="I2497" s="1">
        <v>30491.851514068254</v>
      </c>
      <c r="J2497" s="1">
        <v>230703.85151406826</v>
      </c>
    </row>
    <row r="2498" spans="1:10" x14ac:dyDescent="0.2">
      <c r="A2498">
        <v>2008670</v>
      </c>
      <c r="B2498">
        <v>2020</v>
      </c>
      <c r="C2498" t="s">
        <v>6</v>
      </c>
      <c r="D2498" t="s">
        <v>7</v>
      </c>
      <c r="E2498" t="s">
        <v>8</v>
      </c>
      <c r="F2498" s="28">
        <v>5329</v>
      </c>
      <c r="G2498" t="s">
        <v>318</v>
      </c>
      <c r="H2498" s="1">
        <v>221967</v>
      </c>
      <c r="I2498" s="1">
        <v>33580.23874119579</v>
      </c>
      <c r="J2498" s="1">
        <v>255547.23874119579</v>
      </c>
    </row>
    <row r="2499" spans="1:10" x14ac:dyDescent="0.2">
      <c r="A2499">
        <v>2008670</v>
      </c>
      <c r="B2499">
        <v>2021</v>
      </c>
      <c r="C2499" t="s">
        <v>6</v>
      </c>
      <c r="D2499" t="s">
        <v>7</v>
      </c>
      <c r="E2499" t="s">
        <v>8</v>
      </c>
      <c r="F2499" s="28">
        <v>5329</v>
      </c>
      <c r="G2499" t="s">
        <v>318</v>
      </c>
      <c r="H2499" s="25">
        <v>235105</v>
      </c>
      <c r="I2499" s="1">
        <v>35099.55914096639</v>
      </c>
      <c r="J2499" s="1">
        <v>270204.55914096639</v>
      </c>
    </row>
    <row r="2500" spans="1:10" x14ac:dyDescent="0.2">
      <c r="A2500">
        <v>2008670</v>
      </c>
      <c r="B2500">
        <v>2022</v>
      </c>
      <c r="C2500" t="s">
        <v>6</v>
      </c>
      <c r="D2500" t="s">
        <v>7</v>
      </c>
      <c r="E2500" t="s">
        <v>8</v>
      </c>
      <c r="F2500" s="28">
        <v>5329</v>
      </c>
      <c r="G2500" t="s">
        <v>318</v>
      </c>
      <c r="H2500" s="1">
        <v>254956</v>
      </c>
      <c r="I2500" s="1">
        <v>34624.440852028543</v>
      </c>
      <c r="J2500" s="1">
        <v>289580.44085202855</v>
      </c>
    </row>
    <row r="2501" spans="1:10" x14ac:dyDescent="0.2">
      <c r="A2501">
        <v>2008670</v>
      </c>
      <c r="B2501">
        <v>2023</v>
      </c>
      <c r="C2501" t="s">
        <v>6</v>
      </c>
      <c r="D2501" t="s">
        <v>7</v>
      </c>
      <c r="E2501" t="s">
        <v>8</v>
      </c>
      <c r="F2501" s="28">
        <v>5329</v>
      </c>
      <c r="G2501" s="10" t="s">
        <v>318</v>
      </c>
      <c r="H2501" s="1">
        <v>198207</v>
      </c>
      <c r="I2501" s="1">
        <v>27749.569920897928</v>
      </c>
      <c r="J2501" s="1">
        <v>225956.56992089792</v>
      </c>
    </row>
    <row r="2502" spans="1:10" x14ac:dyDescent="0.2">
      <c r="A2502">
        <v>2005070</v>
      </c>
      <c r="B2502">
        <v>2015</v>
      </c>
      <c r="C2502" t="s">
        <v>6</v>
      </c>
      <c r="D2502" t="s">
        <v>7</v>
      </c>
      <c r="E2502" t="s">
        <v>8</v>
      </c>
      <c r="F2502" s="29">
        <v>5330</v>
      </c>
      <c r="G2502" s="3" t="s">
        <v>319</v>
      </c>
      <c r="H2502" s="27">
        <v>725639</v>
      </c>
      <c r="I2502" s="1">
        <v>116881.60651888532</v>
      </c>
      <c r="J2502" s="1">
        <v>842520.60651888535</v>
      </c>
    </row>
    <row r="2503" spans="1:10" x14ac:dyDescent="0.2">
      <c r="A2503">
        <v>2005070</v>
      </c>
      <c r="B2503">
        <v>2016</v>
      </c>
      <c r="C2503" t="s">
        <v>6</v>
      </c>
      <c r="D2503" t="s">
        <v>7</v>
      </c>
      <c r="E2503" t="s">
        <v>8</v>
      </c>
      <c r="F2503" s="29">
        <v>5330</v>
      </c>
      <c r="G2503" s="3" t="s">
        <v>319</v>
      </c>
      <c r="H2503" s="1">
        <v>779184</v>
      </c>
      <c r="I2503" s="26">
        <v>2057898.1467076452</v>
      </c>
      <c r="J2503" s="26">
        <v>2837082.1467076452</v>
      </c>
    </row>
    <row r="2504" spans="1:10" x14ac:dyDescent="0.2">
      <c r="A2504">
        <v>2005070</v>
      </c>
      <c r="B2504">
        <v>2017</v>
      </c>
      <c r="C2504" t="s">
        <v>6</v>
      </c>
      <c r="D2504" t="s">
        <v>7</v>
      </c>
      <c r="E2504" t="s">
        <v>8</v>
      </c>
      <c r="F2504" s="29">
        <v>5330</v>
      </c>
      <c r="G2504" s="3" t="s">
        <v>319</v>
      </c>
      <c r="H2504" s="1">
        <v>807724</v>
      </c>
      <c r="I2504" s="1">
        <v>126049.88657506718</v>
      </c>
      <c r="J2504" s="1">
        <v>933773.88657506718</v>
      </c>
    </row>
    <row r="2505" spans="1:10" x14ac:dyDescent="0.2">
      <c r="A2505">
        <v>2005070</v>
      </c>
      <c r="B2505">
        <v>2018</v>
      </c>
      <c r="C2505" t="s">
        <v>6</v>
      </c>
      <c r="D2505" t="s">
        <v>7</v>
      </c>
      <c r="E2505" t="s">
        <v>8</v>
      </c>
      <c r="F2505" s="28">
        <v>5330</v>
      </c>
      <c r="G2505" t="s">
        <v>319</v>
      </c>
      <c r="H2505" s="1">
        <v>939359</v>
      </c>
      <c r="I2505" s="1">
        <v>142049.25490650107</v>
      </c>
      <c r="J2505" s="1">
        <v>1081408.2549065012</v>
      </c>
    </row>
    <row r="2506" spans="1:10" x14ac:dyDescent="0.2">
      <c r="A2506">
        <v>2005070</v>
      </c>
      <c r="B2506">
        <v>2019</v>
      </c>
      <c r="C2506" t="s">
        <v>6</v>
      </c>
      <c r="D2506" t="s">
        <v>7</v>
      </c>
      <c r="E2506" t="s">
        <v>8</v>
      </c>
      <c r="F2506" s="28">
        <v>5330</v>
      </c>
      <c r="G2506" t="s">
        <v>319</v>
      </c>
      <c r="H2506" s="1">
        <v>1009826</v>
      </c>
      <c r="I2506" s="1">
        <v>153794.30027693388</v>
      </c>
      <c r="J2506" s="1">
        <v>1163620.3002769339</v>
      </c>
    </row>
    <row r="2507" spans="1:10" x14ac:dyDescent="0.2">
      <c r="A2507">
        <v>2005070</v>
      </c>
      <c r="B2507">
        <v>2020</v>
      </c>
      <c r="C2507" t="s">
        <v>6</v>
      </c>
      <c r="D2507" t="s">
        <v>7</v>
      </c>
      <c r="E2507" t="s">
        <v>8</v>
      </c>
      <c r="F2507" s="28">
        <v>5330</v>
      </c>
      <c r="G2507" t="s">
        <v>319</v>
      </c>
      <c r="H2507" s="1">
        <v>941358</v>
      </c>
      <c r="I2507" s="1">
        <v>142413.18025172476</v>
      </c>
      <c r="J2507" s="1">
        <v>1083771.1802517248</v>
      </c>
    </row>
    <row r="2508" spans="1:10" x14ac:dyDescent="0.2">
      <c r="A2508">
        <v>2005070</v>
      </c>
      <c r="B2508">
        <v>2021</v>
      </c>
      <c r="C2508" t="s">
        <v>6</v>
      </c>
      <c r="D2508" t="s">
        <v>7</v>
      </c>
      <c r="E2508" t="s">
        <v>8</v>
      </c>
      <c r="F2508" s="28">
        <v>5330</v>
      </c>
      <c r="G2508" t="s">
        <v>319</v>
      </c>
      <c r="H2508" s="25">
        <v>918694</v>
      </c>
      <c r="I2508" s="1">
        <v>137154.6942236489</v>
      </c>
      <c r="J2508" s="1">
        <v>1055848.6942236489</v>
      </c>
    </row>
    <row r="2509" spans="1:10" x14ac:dyDescent="0.2">
      <c r="A2509">
        <v>2005070</v>
      </c>
      <c r="B2509">
        <v>2022</v>
      </c>
      <c r="C2509" t="s">
        <v>6</v>
      </c>
      <c r="D2509" t="s">
        <v>7</v>
      </c>
      <c r="E2509" t="s">
        <v>8</v>
      </c>
      <c r="F2509" s="28">
        <v>5330</v>
      </c>
      <c r="G2509" t="s">
        <v>319</v>
      </c>
      <c r="H2509" s="1">
        <v>908318</v>
      </c>
      <c r="I2509" s="1">
        <v>123354.62929224207</v>
      </c>
      <c r="J2509" s="1">
        <v>1031672.6292922421</v>
      </c>
    </row>
    <row r="2510" spans="1:10" x14ac:dyDescent="0.2">
      <c r="A2510">
        <v>2005070</v>
      </c>
      <c r="B2510">
        <v>2023</v>
      </c>
      <c r="C2510" t="s">
        <v>6</v>
      </c>
      <c r="D2510" t="s">
        <v>7</v>
      </c>
      <c r="E2510" t="s">
        <v>8</v>
      </c>
      <c r="F2510" s="28">
        <v>5330</v>
      </c>
      <c r="G2510" s="10" t="s">
        <v>319</v>
      </c>
      <c r="H2510" s="1">
        <v>885350</v>
      </c>
      <c r="I2510" s="1">
        <v>123951.63505560844</v>
      </c>
      <c r="J2510" s="1">
        <v>1009301.6350556085</v>
      </c>
    </row>
    <row r="2511" spans="1:10" x14ac:dyDescent="0.2">
      <c r="A2511">
        <v>2010560</v>
      </c>
      <c r="B2511">
        <v>2015</v>
      </c>
      <c r="C2511" t="s">
        <v>6</v>
      </c>
      <c r="D2511" t="s">
        <v>7</v>
      </c>
      <c r="E2511" t="s">
        <v>8</v>
      </c>
      <c r="F2511" s="29">
        <v>5331</v>
      </c>
      <c r="G2511" s="3" t="s">
        <v>320</v>
      </c>
      <c r="H2511" s="27">
        <v>728905</v>
      </c>
      <c r="I2511" s="1">
        <v>117407.67433895932</v>
      </c>
      <c r="J2511" s="1">
        <v>846312.67433895927</v>
      </c>
    </row>
    <row r="2512" spans="1:10" x14ac:dyDescent="0.2">
      <c r="A2512">
        <v>2010560</v>
      </c>
      <c r="B2512">
        <v>2016</v>
      </c>
      <c r="C2512" t="s">
        <v>6</v>
      </c>
      <c r="D2512" t="s">
        <v>7</v>
      </c>
      <c r="E2512" t="s">
        <v>8</v>
      </c>
      <c r="F2512" s="29">
        <v>5331</v>
      </c>
      <c r="G2512" s="3" t="s">
        <v>320</v>
      </c>
      <c r="H2512" s="1">
        <v>799962</v>
      </c>
      <c r="I2512" s="26">
        <v>2112775.0830507264</v>
      </c>
      <c r="J2512" s="26">
        <v>2912737.0830507264</v>
      </c>
    </row>
    <row r="2513" spans="1:10" x14ac:dyDescent="0.2">
      <c r="A2513">
        <v>2010560</v>
      </c>
      <c r="B2513">
        <v>2017</v>
      </c>
      <c r="C2513" t="s">
        <v>6</v>
      </c>
      <c r="D2513" t="s">
        <v>7</v>
      </c>
      <c r="E2513" t="s">
        <v>8</v>
      </c>
      <c r="F2513" s="29">
        <v>5331</v>
      </c>
      <c r="G2513" s="3" t="s">
        <v>320</v>
      </c>
      <c r="H2513" s="1">
        <v>823027</v>
      </c>
      <c r="I2513" s="1">
        <v>128438.00604936566</v>
      </c>
      <c r="J2513" s="1">
        <v>951465.00604936562</v>
      </c>
    </row>
    <row r="2514" spans="1:10" x14ac:dyDescent="0.2">
      <c r="A2514">
        <v>2010560</v>
      </c>
      <c r="B2514">
        <v>2018</v>
      </c>
      <c r="C2514" t="s">
        <v>6</v>
      </c>
      <c r="D2514" t="s">
        <v>7</v>
      </c>
      <c r="E2514" t="s">
        <v>8</v>
      </c>
      <c r="F2514" s="28">
        <v>5331</v>
      </c>
      <c r="G2514" t="s">
        <v>320</v>
      </c>
      <c r="H2514" s="1">
        <v>817627</v>
      </c>
      <c r="I2514" s="1">
        <v>123641.02131500073</v>
      </c>
      <c r="J2514" s="1">
        <v>941268.02131500072</v>
      </c>
    </row>
    <row r="2515" spans="1:10" x14ac:dyDescent="0.2">
      <c r="A2515">
        <v>2010560</v>
      </c>
      <c r="B2515">
        <v>2019</v>
      </c>
      <c r="C2515" t="s">
        <v>6</v>
      </c>
      <c r="D2515" t="s">
        <v>7</v>
      </c>
      <c r="E2515" t="s">
        <v>8</v>
      </c>
      <c r="F2515" s="28">
        <v>5331</v>
      </c>
      <c r="G2515" t="s">
        <v>320</v>
      </c>
      <c r="H2515" s="1">
        <v>1230883</v>
      </c>
      <c r="I2515" s="1">
        <v>187460.79988807303</v>
      </c>
      <c r="J2515" s="1">
        <v>1418343.799888073</v>
      </c>
    </row>
    <row r="2516" spans="1:10" x14ac:dyDescent="0.2">
      <c r="A2516">
        <v>2010560</v>
      </c>
      <c r="B2516">
        <v>2020</v>
      </c>
      <c r="C2516" t="s">
        <v>6</v>
      </c>
      <c r="D2516" t="s">
        <v>7</v>
      </c>
      <c r="E2516" t="s">
        <v>8</v>
      </c>
      <c r="F2516" s="28">
        <v>5331</v>
      </c>
      <c r="G2516" t="s">
        <v>320</v>
      </c>
      <c r="H2516" s="1">
        <v>1138103</v>
      </c>
      <c r="I2516" s="1">
        <v>172177.71313785904</v>
      </c>
      <c r="J2516" s="1">
        <v>1310280.713137859</v>
      </c>
    </row>
    <row r="2517" spans="1:10" x14ac:dyDescent="0.2">
      <c r="A2517">
        <v>2010560</v>
      </c>
      <c r="B2517">
        <v>2021</v>
      </c>
      <c r="C2517" t="s">
        <v>6</v>
      </c>
      <c r="D2517" t="s">
        <v>7</v>
      </c>
      <c r="E2517" t="s">
        <v>8</v>
      </c>
      <c r="F2517" s="28">
        <v>5331</v>
      </c>
      <c r="G2517" t="s">
        <v>320</v>
      </c>
      <c r="H2517" s="25">
        <v>1140522</v>
      </c>
      <c r="I2517" s="1">
        <v>170272.08860114959</v>
      </c>
      <c r="J2517" s="1">
        <v>1310794.0886011496</v>
      </c>
    </row>
    <row r="2518" spans="1:10" x14ac:dyDescent="0.2">
      <c r="A2518">
        <v>2010560</v>
      </c>
      <c r="B2518">
        <v>2022</v>
      </c>
      <c r="C2518" t="s">
        <v>6</v>
      </c>
      <c r="D2518" t="s">
        <v>7</v>
      </c>
      <c r="E2518" t="s">
        <v>8</v>
      </c>
      <c r="F2518" s="28">
        <v>5331</v>
      </c>
      <c r="G2518" t="s">
        <v>320</v>
      </c>
      <c r="H2518" s="1">
        <v>1211843</v>
      </c>
      <c r="I2518" s="1">
        <v>164575.01010152666</v>
      </c>
      <c r="J2518" s="1">
        <v>1376418.0101015267</v>
      </c>
    </row>
    <row r="2519" spans="1:10" x14ac:dyDescent="0.2">
      <c r="A2519">
        <v>2010560</v>
      </c>
      <c r="B2519">
        <v>2023</v>
      </c>
      <c r="C2519" t="s">
        <v>6</v>
      </c>
      <c r="D2519" t="s">
        <v>7</v>
      </c>
      <c r="E2519" t="s">
        <v>8</v>
      </c>
      <c r="F2519" s="28">
        <v>5331</v>
      </c>
      <c r="G2519" s="10" t="s">
        <v>320</v>
      </c>
      <c r="H2519" s="1">
        <v>1259989</v>
      </c>
      <c r="I2519" s="1">
        <v>176402.21008875701</v>
      </c>
      <c r="J2519" s="1">
        <v>1436391.2100887571</v>
      </c>
    </row>
    <row r="2520" spans="1:10" x14ac:dyDescent="0.2">
      <c r="A2520">
        <v>2003300</v>
      </c>
      <c r="B2520">
        <v>2015</v>
      </c>
      <c r="C2520" t="s">
        <v>6</v>
      </c>
      <c r="D2520" t="s">
        <v>7</v>
      </c>
      <c r="E2520" t="s">
        <v>8</v>
      </c>
      <c r="F2520" s="29">
        <v>5332</v>
      </c>
      <c r="G2520" s="3" t="s">
        <v>321</v>
      </c>
      <c r="H2520" s="27">
        <v>824439</v>
      </c>
      <c r="I2520" s="1">
        <v>132795.72183526974</v>
      </c>
      <c r="J2520" s="1">
        <v>957234.72183526971</v>
      </c>
    </row>
    <row r="2521" spans="1:10" x14ac:dyDescent="0.2">
      <c r="A2521">
        <v>2003300</v>
      </c>
      <c r="B2521">
        <v>2016</v>
      </c>
      <c r="C2521" t="s">
        <v>6</v>
      </c>
      <c r="D2521" t="s">
        <v>7</v>
      </c>
      <c r="E2521" t="s">
        <v>8</v>
      </c>
      <c r="F2521" s="29">
        <v>5332</v>
      </c>
      <c r="G2521" s="3" t="s">
        <v>321</v>
      </c>
      <c r="H2521" s="1">
        <v>898048</v>
      </c>
      <c r="I2521" s="26">
        <v>2371829.8311704327</v>
      </c>
      <c r="J2521" s="26">
        <v>3269877.8311704327</v>
      </c>
    </row>
    <row r="2522" spans="1:10" x14ac:dyDescent="0.2">
      <c r="A2522">
        <v>2003300</v>
      </c>
      <c r="B2522">
        <v>2017</v>
      </c>
      <c r="C2522" t="s">
        <v>6</v>
      </c>
      <c r="D2522" t="s">
        <v>7</v>
      </c>
      <c r="E2522" t="s">
        <v>8</v>
      </c>
      <c r="F2522" s="29">
        <v>5332</v>
      </c>
      <c r="G2522" s="3" t="s">
        <v>321</v>
      </c>
      <c r="H2522" s="1">
        <v>920473</v>
      </c>
      <c r="I2522" s="1">
        <v>143645.00404273218</v>
      </c>
      <c r="J2522" s="1">
        <v>1064118.0040427321</v>
      </c>
    </row>
    <row r="2523" spans="1:10" x14ac:dyDescent="0.2">
      <c r="A2523">
        <v>2003300</v>
      </c>
      <c r="B2523">
        <v>2018</v>
      </c>
      <c r="C2523" t="s">
        <v>6</v>
      </c>
      <c r="D2523" t="s">
        <v>7</v>
      </c>
      <c r="E2523" t="s">
        <v>8</v>
      </c>
      <c r="F2523" s="28">
        <v>5332</v>
      </c>
      <c r="G2523" t="s">
        <v>321</v>
      </c>
      <c r="H2523" s="1">
        <v>1077154</v>
      </c>
      <c r="I2523" s="1">
        <v>162886.52487447002</v>
      </c>
      <c r="J2523" s="1">
        <v>1240040.52487447</v>
      </c>
    </row>
    <row r="2524" spans="1:10" x14ac:dyDescent="0.2">
      <c r="A2524">
        <v>2003300</v>
      </c>
      <c r="B2524">
        <v>2019</v>
      </c>
      <c r="C2524" t="s">
        <v>6</v>
      </c>
      <c r="D2524" t="s">
        <v>7</v>
      </c>
      <c r="E2524" t="s">
        <v>8</v>
      </c>
      <c r="F2524" s="28">
        <v>5332</v>
      </c>
      <c r="G2524" t="s">
        <v>321</v>
      </c>
      <c r="H2524" s="1">
        <v>1235262</v>
      </c>
      <c r="I2524" s="1">
        <v>188127.71205008181</v>
      </c>
      <c r="J2524" s="1">
        <v>1423389.7120500817</v>
      </c>
    </row>
    <row r="2525" spans="1:10" x14ac:dyDescent="0.2">
      <c r="A2525">
        <v>2003300</v>
      </c>
      <c r="B2525">
        <v>2020</v>
      </c>
      <c r="C2525" t="s">
        <v>6</v>
      </c>
      <c r="D2525" t="s">
        <v>7</v>
      </c>
      <c r="E2525" t="s">
        <v>8</v>
      </c>
      <c r="F2525" s="28">
        <v>5332</v>
      </c>
      <c r="G2525" t="s">
        <v>321</v>
      </c>
      <c r="H2525" s="1">
        <v>1363698</v>
      </c>
      <c r="I2525" s="1">
        <v>206306.81322399827</v>
      </c>
      <c r="J2525" s="1">
        <v>1570004.8132239983</v>
      </c>
    </row>
    <row r="2526" spans="1:10" x14ac:dyDescent="0.2">
      <c r="A2526">
        <v>2003300</v>
      </c>
      <c r="B2526">
        <v>2021</v>
      </c>
      <c r="C2526" t="s">
        <v>6</v>
      </c>
      <c r="D2526" t="s">
        <v>7</v>
      </c>
      <c r="E2526" t="s">
        <v>8</v>
      </c>
      <c r="F2526" s="28">
        <v>5332</v>
      </c>
      <c r="G2526" t="s">
        <v>321</v>
      </c>
      <c r="H2526" s="25">
        <v>1306174</v>
      </c>
      <c r="I2526" s="1">
        <v>195002.79263049547</v>
      </c>
      <c r="J2526" s="1">
        <v>1501176.7926304955</v>
      </c>
    </row>
    <row r="2527" spans="1:10" x14ac:dyDescent="0.2">
      <c r="A2527">
        <v>2003300</v>
      </c>
      <c r="B2527">
        <v>2022</v>
      </c>
      <c r="C2527" t="s">
        <v>6</v>
      </c>
      <c r="D2527" t="s">
        <v>7</v>
      </c>
      <c r="E2527" t="s">
        <v>8</v>
      </c>
      <c r="F2527" s="28">
        <v>5332</v>
      </c>
      <c r="G2527" t="s">
        <v>321</v>
      </c>
      <c r="H2527" s="1">
        <v>1271320</v>
      </c>
      <c r="I2527" s="1">
        <v>172652.31704294443</v>
      </c>
      <c r="J2527" s="1">
        <v>1443972.3170429445</v>
      </c>
    </row>
    <row r="2528" spans="1:10" x14ac:dyDescent="0.2">
      <c r="A2528">
        <v>2003300</v>
      </c>
      <c r="B2528">
        <v>2023</v>
      </c>
      <c r="C2528" t="s">
        <v>6</v>
      </c>
      <c r="D2528" t="s">
        <v>7</v>
      </c>
      <c r="E2528" t="s">
        <v>8</v>
      </c>
      <c r="F2528" s="28">
        <v>5332</v>
      </c>
      <c r="G2528" s="10" t="s">
        <v>321</v>
      </c>
      <c r="H2528" s="1">
        <v>1262902</v>
      </c>
      <c r="I2528" s="1">
        <v>176810.03875868075</v>
      </c>
      <c r="J2528" s="1">
        <v>1439712.0387586807</v>
      </c>
    </row>
    <row r="2529" spans="1:10" x14ac:dyDescent="0.2">
      <c r="A2529">
        <v>2004770</v>
      </c>
      <c r="B2529">
        <v>2015</v>
      </c>
      <c r="C2529" t="s">
        <v>6</v>
      </c>
      <c r="D2529" t="s">
        <v>7</v>
      </c>
      <c r="E2529" t="s">
        <v>8</v>
      </c>
      <c r="F2529" s="29">
        <v>5333</v>
      </c>
      <c r="G2529" s="3" t="s">
        <v>322</v>
      </c>
      <c r="H2529" s="27">
        <v>312160</v>
      </c>
      <c r="I2529" s="1">
        <v>50280.87284577488</v>
      </c>
      <c r="J2529" s="1">
        <v>362440.87284577487</v>
      </c>
    </row>
    <row r="2530" spans="1:10" x14ac:dyDescent="0.2">
      <c r="A2530">
        <v>2004770</v>
      </c>
      <c r="B2530">
        <v>2016</v>
      </c>
      <c r="C2530" t="s">
        <v>6</v>
      </c>
      <c r="D2530" t="s">
        <v>7</v>
      </c>
      <c r="E2530" t="s">
        <v>8</v>
      </c>
      <c r="F2530" s="29">
        <v>5333</v>
      </c>
      <c r="G2530" s="3" t="s">
        <v>322</v>
      </c>
      <c r="H2530" s="1">
        <v>305588</v>
      </c>
      <c r="I2530" s="26">
        <v>807083.91611060407</v>
      </c>
      <c r="J2530" s="26">
        <v>1112671.9161106041</v>
      </c>
    </row>
    <row r="2531" spans="1:10" x14ac:dyDescent="0.2">
      <c r="A2531">
        <v>2004770</v>
      </c>
      <c r="B2531">
        <v>2017</v>
      </c>
      <c r="C2531" t="s">
        <v>6</v>
      </c>
      <c r="D2531" t="s">
        <v>7</v>
      </c>
      <c r="E2531" t="s">
        <v>8</v>
      </c>
      <c r="F2531" s="29">
        <v>5333</v>
      </c>
      <c r="G2531" s="3" t="s">
        <v>322</v>
      </c>
      <c r="H2531" s="1">
        <v>311697</v>
      </c>
      <c r="I2531" s="1">
        <v>48642.075134314095</v>
      </c>
      <c r="J2531" s="1">
        <v>360339.07513431407</v>
      </c>
    </row>
    <row r="2532" spans="1:10" x14ac:dyDescent="0.2">
      <c r="A2532">
        <v>2004770</v>
      </c>
      <c r="B2532">
        <v>2018</v>
      </c>
      <c r="C2532" t="s">
        <v>6</v>
      </c>
      <c r="D2532" t="s">
        <v>7</v>
      </c>
      <c r="E2532" t="s">
        <v>8</v>
      </c>
      <c r="F2532" s="28">
        <v>5333</v>
      </c>
      <c r="G2532" t="s">
        <v>322</v>
      </c>
      <c r="H2532" s="1">
        <v>351458</v>
      </c>
      <c r="I2532" s="1">
        <v>53147.249380619185</v>
      </c>
      <c r="J2532" s="1">
        <v>404605.24938061921</v>
      </c>
    </row>
    <row r="2533" spans="1:10" x14ac:dyDescent="0.2">
      <c r="A2533">
        <v>2004770</v>
      </c>
      <c r="B2533">
        <v>2019</v>
      </c>
      <c r="C2533" t="s">
        <v>6</v>
      </c>
      <c r="D2533" t="s">
        <v>7</v>
      </c>
      <c r="E2533" t="s">
        <v>8</v>
      </c>
      <c r="F2533" s="28">
        <v>5333</v>
      </c>
      <c r="G2533" t="s">
        <v>322</v>
      </c>
      <c r="H2533" s="1">
        <v>382052</v>
      </c>
      <c r="I2533" s="1">
        <v>58185.687444572774</v>
      </c>
      <c r="J2533" s="1">
        <v>440237.6874445728</v>
      </c>
    </row>
    <row r="2534" spans="1:10" x14ac:dyDescent="0.2">
      <c r="A2534">
        <v>2004770</v>
      </c>
      <c r="B2534">
        <v>2020</v>
      </c>
      <c r="C2534" t="s">
        <v>6</v>
      </c>
      <c r="D2534" t="s">
        <v>7</v>
      </c>
      <c r="E2534" t="s">
        <v>8</v>
      </c>
      <c r="F2534" s="28">
        <v>5333</v>
      </c>
      <c r="G2534" t="s">
        <v>322</v>
      </c>
      <c r="H2534" s="1">
        <v>428852</v>
      </c>
      <c r="I2534" s="1">
        <v>64878.799752392464</v>
      </c>
      <c r="J2534" s="1">
        <v>493730.79975239246</v>
      </c>
    </row>
    <row r="2535" spans="1:10" x14ac:dyDescent="0.2">
      <c r="A2535">
        <v>2004770</v>
      </c>
      <c r="B2535">
        <v>2021</v>
      </c>
      <c r="C2535" t="s">
        <v>6</v>
      </c>
      <c r="D2535" t="s">
        <v>7</v>
      </c>
      <c r="E2535" t="s">
        <v>8</v>
      </c>
      <c r="F2535" s="28">
        <v>5333</v>
      </c>
      <c r="G2535" t="s">
        <v>322</v>
      </c>
      <c r="H2535" s="25">
        <v>428614</v>
      </c>
      <c r="I2535" s="1">
        <v>63989.121633509152</v>
      </c>
      <c r="J2535" s="1">
        <v>492603.12163350917</v>
      </c>
    </row>
    <row r="2536" spans="1:10" x14ac:dyDescent="0.2">
      <c r="A2536">
        <v>2004770</v>
      </c>
      <c r="B2536">
        <v>2022</v>
      </c>
      <c r="C2536" t="s">
        <v>6</v>
      </c>
      <c r="D2536" t="s">
        <v>7</v>
      </c>
      <c r="E2536" t="s">
        <v>8</v>
      </c>
      <c r="F2536" s="28">
        <v>5333</v>
      </c>
      <c r="G2536" t="s">
        <v>322</v>
      </c>
      <c r="H2536" s="1">
        <v>420378</v>
      </c>
      <c r="I2536" s="1">
        <v>57089.667222948498</v>
      </c>
      <c r="J2536" s="1">
        <v>477467.66722294851</v>
      </c>
    </row>
    <row r="2537" spans="1:10" x14ac:dyDescent="0.2">
      <c r="A2537">
        <v>2004770</v>
      </c>
      <c r="B2537">
        <v>2023</v>
      </c>
      <c r="C2537" t="s">
        <v>6</v>
      </c>
      <c r="D2537" t="s">
        <v>7</v>
      </c>
      <c r="E2537" t="s">
        <v>8</v>
      </c>
      <c r="F2537" s="28">
        <v>5333</v>
      </c>
      <c r="G2537" s="10" t="s">
        <v>322</v>
      </c>
      <c r="H2537" s="1">
        <v>405802</v>
      </c>
      <c r="I2537" s="1">
        <v>56813.48778317729</v>
      </c>
      <c r="J2537" s="1">
        <v>462615.48778317729</v>
      </c>
    </row>
    <row r="2538" spans="1:10" x14ac:dyDescent="0.2">
      <c r="A2538">
        <v>2006330</v>
      </c>
      <c r="B2538">
        <v>2015</v>
      </c>
      <c r="C2538" t="s">
        <v>6</v>
      </c>
      <c r="D2538" t="s">
        <v>7</v>
      </c>
      <c r="E2538" t="s">
        <v>8</v>
      </c>
      <c r="F2538" s="29">
        <v>5337</v>
      </c>
      <c r="G2538" s="3" t="s">
        <v>323</v>
      </c>
      <c r="H2538" s="27">
        <v>1074546</v>
      </c>
      <c r="I2538" s="1">
        <v>173081.46717368023</v>
      </c>
      <c r="J2538" s="1">
        <v>1247627.4671736802</v>
      </c>
    </row>
    <row r="2539" spans="1:10" x14ac:dyDescent="0.2">
      <c r="A2539">
        <v>2006330</v>
      </c>
      <c r="B2539">
        <v>2016</v>
      </c>
      <c r="C2539" t="s">
        <v>6</v>
      </c>
      <c r="D2539" t="s">
        <v>7</v>
      </c>
      <c r="E2539" t="s">
        <v>8</v>
      </c>
      <c r="F2539" s="29">
        <v>5337</v>
      </c>
      <c r="G2539" s="3" t="s">
        <v>323</v>
      </c>
      <c r="H2539" s="1">
        <v>1216904</v>
      </c>
      <c r="I2539" s="26">
        <v>3213955.5259097512</v>
      </c>
      <c r="J2539" s="26">
        <v>4430859.5259097517</v>
      </c>
    </row>
    <row r="2540" spans="1:10" x14ac:dyDescent="0.2">
      <c r="A2540">
        <v>2006330</v>
      </c>
      <c r="B2540">
        <v>2017</v>
      </c>
      <c r="C2540" t="s">
        <v>6</v>
      </c>
      <c r="D2540" t="s">
        <v>7</v>
      </c>
      <c r="E2540" t="s">
        <v>8</v>
      </c>
      <c r="F2540" s="29">
        <v>5337</v>
      </c>
      <c r="G2540" s="3" t="s">
        <v>323</v>
      </c>
      <c r="H2540" s="1">
        <v>1248509</v>
      </c>
      <c r="I2540" s="1">
        <v>194836.87229542588</v>
      </c>
      <c r="J2540" s="1">
        <v>1443345.872295426</v>
      </c>
    </row>
    <row r="2541" spans="1:10" x14ac:dyDescent="0.2">
      <c r="A2541">
        <v>2006330</v>
      </c>
      <c r="B2541">
        <v>2018</v>
      </c>
      <c r="C2541" t="s">
        <v>6</v>
      </c>
      <c r="D2541" t="s">
        <v>7</v>
      </c>
      <c r="E2541" t="s">
        <v>8</v>
      </c>
      <c r="F2541" s="28">
        <v>5337</v>
      </c>
      <c r="G2541" t="s">
        <v>323</v>
      </c>
      <c r="H2541" s="1">
        <v>1455083</v>
      </c>
      <c r="I2541" s="1">
        <v>220036.70159876713</v>
      </c>
      <c r="J2541" s="1">
        <v>1675119.7015987672</v>
      </c>
    </row>
    <row r="2542" spans="1:10" x14ac:dyDescent="0.2">
      <c r="A2542">
        <v>2006330</v>
      </c>
      <c r="B2542">
        <v>2019</v>
      </c>
      <c r="C2542" t="s">
        <v>6</v>
      </c>
      <c r="D2542" t="s">
        <v>7</v>
      </c>
      <c r="E2542" t="s">
        <v>8</v>
      </c>
      <c r="F2542" s="28">
        <v>5337</v>
      </c>
      <c r="G2542" t="s">
        <v>323</v>
      </c>
      <c r="H2542" s="1">
        <v>1747127</v>
      </c>
      <c r="I2542" s="1">
        <v>266083.63664625259</v>
      </c>
      <c r="J2542" s="1">
        <v>2013210.6366462526</v>
      </c>
    </row>
    <row r="2543" spans="1:10" x14ac:dyDescent="0.2">
      <c r="A2543">
        <v>2006330</v>
      </c>
      <c r="B2543">
        <v>2020</v>
      </c>
      <c r="C2543" t="s">
        <v>6</v>
      </c>
      <c r="D2543" t="s">
        <v>7</v>
      </c>
      <c r="E2543" t="s">
        <v>8</v>
      </c>
      <c r="F2543" s="28">
        <v>5337</v>
      </c>
      <c r="G2543" t="s">
        <v>323</v>
      </c>
      <c r="H2543" s="1">
        <v>1845563</v>
      </c>
      <c r="I2543" s="1">
        <v>279205.6754018279</v>
      </c>
      <c r="J2543" s="1">
        <v>2124768.6754018278</v>
      </c>
    </row>
    <row r="2544" spans="1:10" x14ac:dyDescent="0.2">
      <c r="A2544">
        <v>2006330</v>
      </c>
      <c r="B2544">
        <v>2021</v>
      </c>
      <c r="C2544" t="s">
        <v>6</v>
      </c>
      <c r="D2544" t="s">
        <v>7</v>
      </c>
      <c r="E2544" t="s">
        <v>8</v>
      </c>
      <c r="F2544" s="28">
        <v>5337</v>
      </c>
      <c r="G2544" t="s">
        <v>323</v>
      </c>
      <c r="H2544" s="25">
        <v>1839985</v>
      </c>
      <c r="I2544" s="1">
        <v>274697.1026817424</v>
      </c>
      <c r="J2544" s="1">
        <v>2114682.1026817425</v>
      </c>
    </row>
    <row r="2545" spans="1:10" x14ac:dyDescent="0.2">
      <c r="A2545">
        <v>2006330</v>
      </c>
      <c r="B2545">
        <v>2022</v>
      </c>
      <c r="C2545" t="s">
        <v>6</v>
      </c>
      <c r="D2545" t="s">
        <v>7</v>
      </c>
      <c r="E2545" t="s">
        <v>8</v>
      </c>
      <c r="F2545" s="28">
        <v>5337</v>
      </c>
      <c r="G2545" t="s">
        <v>323</v>
      </c>
      <c r="H2545" s="1">
        <v>1649581</v>
      </c>
      <c r="I2545" s="1">
        <v>224022.26174371308</v>
      </c>
      <c r="J2545" s="1">
        <v>1873603.2617437132</v>
      </c>
    </row>
    <row r="2546" spans="1:10" x14ac:dyDescent="0.2">
      <c r="A2546">
        <v>2006330</v>
      </c>
      <c r="B2546">
        <v>2023</v>
      </c>
      <c r="C2546" t="s">
        <v>6</v>
      </c>
      <c r="D2546" t="s">
        <v>7</v>
      </c>
      <c r="E2546" t="s">
        <v>8</v>
      </c>
      <c r="F2546" s="28">
        <v>5337</v>
      </c>
      <c r="G2546" s="10" t="s">
        <v>323</v>
      </c>
      <c r="H2546" s="1">
        <v>1706850</v>
      </c>
      <c r="I2546" s="1">
        <v>238964.0800752982</v>
      </c>
      <c r="J2546" s="1">
        <v>1945814.0800752982</v>
      </c>
    </row>
    <row r="2547" spans="1:10" x14ac:dyDescent="0.2">
      <c r="A2547">
        <v>2003810</v>
      </c>
      <c r="B2547">
        <v>2015</v>
      </c>
      <c r="C2547" t="s">
        <v>6</v>
      </c>
      <c r="D2547" t="s">
        <v>7</v>
      </c>
      <c r="E2547" t="s">
        <v>8</v>
      </c>
      <c r="F2547" s="29">
        <v>5366</v>
      </c>
      <c r="G2547" s="3" t="s">
        <v>324</v>
      </c>
      <c r="H2547" s="27">
        <v>529714</v>
      </c>
      <c r="I2547" s="1">
        <v>85323.174905903375</v>
      </c>
      <c r="J2547" s="1">
        <v>615037.1749059034</v>
      </c>
    </row>
    <row r="2548" spans="1:10" x14ac:dyDescent="0.2">
      <c r="A2548">
        <v>2003810</v>
      </c>
      <c r="B2548">
        <v>2016</v>
      </c>
      <c r="C2548" t="s">
        <v>6</v>
      </c>
      <c r="D2548" t="s">
        <v>7</v>
      </c>
      <c r="E2548" t="s">
        <v>8</v>
      </c>
      <c r="F2548" s="29">
        <v>5366</v>
      </c>
      <c r="G2548" s="3" t="s">
        <v>324</v>
      </c>
      <c r="H2548" s="1">
        <v>615581</v>
      </c>
      <c r="I2548" s="26">
        <v>1625806.9482932296</v>
      </c>
      <c r="J2548" s="26">
        <v>2241387.9482932296</v>
      </c>
    </row>
    <row r="2549" spans="1:10" x14ac:dyDescent="0.2">
      <c r="A2549">
        <v>2003810</v>
      </c>
      <c r="B2549">
        <v>2017</v>
      </c>
      <c r="C2549" t="s">
        <v>6</v>
      </c>
      <c r="D2549" t="s">
        <v>7</v>
      </c>
      <c r="E2549" t="s">
        <v>8</v>
      </c>
      <c r="F2549" s="29">
        <v>5366</v>
      </c>
      <c r="G2549" s="3" t="s">
        <v>324</v>
      </c>
      <c r="H2549" s="1">
        <v>628837</v>
      </c>
      <c r="I2549" s="1">
        <v>98133.561122618034</v>
      </c>
      <c r="J2549" s="1">
        <v>726970.56112261803</v>
      </c>
    </row>
    <row r="2550" spans="1:10" x14ac:dyDescent="0.2">
      <c r="A2550">
        <v>2003810</v>
      </c>
      <c r="B2550">
        <v>2018</v>
      </c>
      <c r="C2550" t="s">
        <v>6</v>
      </c>
      <c r="D2550" t="s">
        <v>7</v>
      </c>
      <c r="E2550" t="s">
        <v>8</v>
      </c>
      <c r="F2550" s="28">
        <v>5366</v>
      </c>
      <c r="G2550" t="s">
        <v>324</v>
      </c>
      <c r="H2550" s="1">
        <v>738634</v>
      </c>
      <c r="I2550" s="1">
        <v>111695.75140985344</v>
      </c>
      <c r="J2550" s="1">
        <v>850329.75140985346</v>
      </c>
    </row>
    <row r="2551" spans="1:10" x14ac:dyDescent="0.2">
      <c r="A2551">
        <v>2003810</v>
      </c>
      <c r="B2551">
        <v>2019</v>
      </c>
      <c r="C2551" t="s">
        <v>6</v>
      </c>
      <c r="D2551" t="s">
        <v>7</v>
      </c>
      <c r="E2551" t="s">
        <v>8</v>
      </c>
      <c r="F2551" s="28">
        <v>5366</v>
      </c>
      <c r="G2551" t="s">
        <v>324</v>
      </c>
      <c r="H2551" s="1">
        <v>812479</v>
      </c>
      <c r="I2551" s="1">
        <v>123738.78202254939</v>
      </c>
      <c r="J2551" s="1">
        <v>936217.78202254942</v>
      </c>
    </row>
    <row r="2552" spans="1:10" x14ac:dyDescent="0.2">
      <c r="A2552">
        <v>2003810</v>
      </c>
      <c r="B2552">
        <v>2020</v>
      </c>
      <c r="C2552" t="s">
        <v>6</v>
      </c>
      <c r="D2552" t="s">
        <v>7</v>
      </c>
      <c r="E2552" t="s">
        <v>8</v>
      </c>
      <c r="F2552" s="28">
        <v>5366</v>
      </c>
      <c r="G2552" t="s">
        <v>324</v>
      </c>
      <c r="H2552" s="1">
        <v>895416</v>
      </c>
      <c r="I2552" s="1">
        <v>135462.85282355742</v>
      </c>
      <c r="J2552" s="1">
        <v>1030878.8528235574</v>
      </c>
    </row>
    <row r="2553" spans="1:10" x14ac:dyDescent="0.2">
      <c r="A2553">
        <v>2003810</v>
      </c>
      <c r="B2553">
        <v>2021</v>
      </c>
      <c r="C2553" t="s">
        <v>6</v>
      </c>
      <c r="D2553" t="s">
        <v>7</v>
      </c>
      <c r="E2553" t="s">
        <v>8</v>
      </c>
      <c r="F2553" s="28">
        <v>5366</v>
      </c>
      <c r="G2553" t="s">
        <v>324</v>
      </c>
      <c r="H2553" s="25">
        <v>857271</v>
      </c>
      <c r="I2553" s="1">
        <v>127984.66287120817</v>
      </c>
      <c r="J2553" s="1">
        <v>985255.66287120816</v>
      </c>
    </row>
    <row r="2554" spans="1:10" x14ac:dyDescent="0.2">
      <c r="A2554">
        <v>2003810</v>
      </c>
      <c r="B2554">
        <v>2022</v>
      </c>
      <c r="C2554" t="s">
        <v>6</v>
      </c>
      <c r="D2554" t="s">
        <v>7</v>
      </c>
      <c r="E2554" t="s">
        <v>8</v>
      </c>
      <c r="F2554" s="28">
        <v>5366</v>
      </c>
      <c r="G2554" t="s">
        <v>324</v>
      </c>
      <c r="H2554" s="1">
        <v>833797</v>
      </c>
      <c r="I2554" s="1">
        <v>113234.26359489029</v>
      </c>
      <c r="J2554" s="1">
        <v>947031.26359489025</v>
      </c>
    </row>
    <row r="2555" spans="1:10" x14ac:dyDescent="0.2">
      <c r="A2555">
        <v>2003810</v>
      </c>
      <c r="B2555">
        <v>2023</v>
      </c>
      <c r="C2555" t="s">
        <v>6</v>
      </c>
      <c r="D2555" t="s">
        <v>7</v>
      </c>
      <c r="E2555" t="s">
        <v>8</v>
      </c>
      <c r="F2555" s="28">
        <v>5366</v>
      </c>
      <c r="G2555" s="10" t="s">
        <v>324</v>
      </c>
      <c r="H2555" s="1">
        <v>888419</v>
      </c>
      <c r="I2555" s="1">
        <v>124381.30418983294</v>
      </c>
      <c r="J2555" s="1">
        <v>1012800.3041898329</v>
      </c>
    </row>
    <row r="2556" spans="1:10" x14ac:dyDescent="0.2">
      <c r="A2556">
        <v>2011400</v>
      </c>
      <c r="B2556">
        <v>2015</v>
      </c>
      <c r="C2556" t="s">
        <v>6</v>
      </c>
      <c r="D2556" t="s">
        <v>7</v>
      </c>
      <c r="E2556" t="s">
        <v>8</v>
      </c>
      <c r="F2556" s="29">
        <v>5367</v>
      </c>
      <c r="G2556" s="3" t="s">
        <v>325</v>
      </c>
      <c r="H2556" s="27">
        <v>232773</v>
      </c>
      <c r="I2556" s="1">
        <v>37493.68790021001</v>
      </c>
      <c r="J2556" s="1">
        <v>270266.68790021003</v>
      </c>
    </row>
    <row r="2557" spans="1:10" x14ac:dyDescent="0.2">
      <c r="A2557">
        <v>2011400</v>
      </c>
      <c r="B2557">
        <v>2016</v>
      </c>
      <c r="C2557" t="s">
        <v>6</v>
      </c>
      <c r="D2557" t="s">
        <v>7</v>
      </c>
      <c r="E2557" t="s">
        <v>8</v>
      </c>
      <c r="F2557" s="29">
        <v>5367</v>
      </c>
      <c r="G2557" s="3" t="s">
        <v>325</v>
      </c>
      <c r="H2557" s="1">
        <v>255798</v>
      </c>
      <c r="I2557" s="26">
        <v>675581.7827142108</v>
      </c>
      <c r="J2557" s="26">
        <v>931379.7827142108</v>
      </c>
    </row>
    <row r="2558" spans="1:10" x14ac:dyDescent="0.2">
      <c r="A2558">
        <v>2011400</v>
      </c>
      <c r="B2558">
        <v>2017</v>
      </c>
      <c r="C2558" t="s">
        <v>6</v>
      </c>
      <c r="D2558" t="s">
        <v>7</v>
      </c>
      <c r="E2558" t="s">
        <v>8</v>
      </c>
      <c r="F2558" s="29">
        <v>5367</v>
      </c>
      <c r="G2558" s="3" t="s">
        <v>325</v>
      </c>
      <c r="H2558" s="1">
        <v>263614</v>
      </c>
      <c r="I2558" s="1">
        <v>41138.45174787398</v>
      </c>
      <c r="J2558" s="1">
        <v>304752.45174787397</v>
      </c>
    </row>
    <row r="2559" spans="1:10" x14ac:dyDescent="0.2">
      <c r="A2559">
        <v>2011400</v>
      </c>
      <c r="B2559">
        <v>2018</v>
      </c>
      <c r="C2559" t="s">
        <v>6</v>
      </c>
      <c r="D2559" t="s">
        <v>7</v>
      </c>
      <c r="E2559" t="s">
        <v>8</v>
      </c>
      <c r="F2559" s="28">
        <v>5367</v>
      </c>
      <c r="G2559" t="s">
        <v>325</v>
      </c>
      <c r="H2559" s="1">
        <v>304414</v>
      </c>
      <c r="I2559" s="1">
        <v>46033.286403928229</v>
      </c>
      <c r="J2559" s="1">
        <v>350447.28640392824</v>
      </c>
    </row>
    <row r="2560" spans="1:10" x14ac:dyDescent="0.2">
      <c r="A2560">
        <v>2011400</v>
      </c>
      <c r="B2560">
        <v>2019</v>
      </c>
      <c r="C2560" t="s">
        <v>6</v>
      </c>
      <c r="D2560" t="s">
        <v>7</v>
      </c>
      <c r="E2560" t="s">
        <v>8</v>
      </c>
      <c r="F2560" s="28">
        <v>5367</v>
      </c>
      <c r="G2560" t="s">
        <v>325</v>
      </c>
      <c r="H2560" s="1">
        <v>330568</v>
      </c>
      <c r="I2560" s="1">
        <v>50344.786382946651</v>
      </c>
      <c r="J2560" s="1">
        <v>380912.78638294665</v>
      </c>
    </row>
    <row r="2561" spans="1:10" x14ac:dyDescent="0.2">
      <c r="A2561">
        <v>2011400</v>
      </c>
      <c r="B2561">
        <v>2020</v>
      </c>
      <c r="C2561" t="s">
        <v>6</v>
      </c>
      <c r="D2561" t="s">
        <v>7</v>
      </c>
      <c r="E2561" t="s">
        <v>8</v>
      </c>
      <c r="F2561" s="28">
        <v>5367</v>
      </c>
      <c r="G2561" t="s">
        <v>325</v>
      </c>
      <c r="H2561" s="1">
        <v>343029</v>
      </c>
      <c r="I2561" s="1">
        <v>51895.082220121243</v>
      </c>
      <c r="J2561" s="1">
        <v>394924.08222012123</v>
      </c>
    </row>
    <row r="2562" spans="1:10" x14ac:dyDescent="0.2">
      <c r="A2562">
        <v>2011400</v>
      </c>
      <c r="B2562">
        <v>2021</v>
      </c>
      <c r="C2562" t="s">
        <v>6</v>
      </c>
      <c r="D2562" t="s">
        <v>7</v>
      </c>
      <c r="E2562" t="s">
        <v>8</v>
      </c>
      <c r="F2562" s="28">
        <v>5367</v>
      </c>
      <c r="G2562" t="s">
        <v>325</v>
      </c>
      <c r="H2562" s="25">
        <v>329408</v>
      </c>
      <c r="I2562" s="1">
        <v>49178.348301854305</v>
      </c>
      <c r="J2562" s="1">
        <v>378586.34830185433</v>
      </c>
    </row>
    <row r="2563" spans="1:10" x14ac:dyDescent="0.2">
      <c r="A2563">
        <v>2011400</v>
      </c>
      <c r="B2563">
        <v>2022</v>
      </c>
      <c r="C2563" t="s">
        <v>6</v>
      </c>
      <c r="D2563" t="s">
        <v>7</v>
      </c>
      <c r="E2563" t="s">
        <v>8</v>
      </c>
      <c r="F2563" s="28">
        <v>5367</v>
      </c>
      <c r="G2563" t="s">
        <v>325</v>
      </c>
      <c r="H2563" s="1">
        <v>345051</v>
      </c>
      <c r="I2563" s="1">
        <v>46859.842248989247</v>
      </c>
      <c r="J2563" s="1">
        <v>391910.84224898927</v>
      </c>
    </row>
    <row r="2564" spans="1:10" x14ac:dyDescent="0.2">
      <c r="A2564">
        <v>2011400</v>
      </c>
      <c r="B2564">
        <v>2023</v>
      </c>
      <c r="C2564" t="s">
        <v>6</v>
      </c>
      <c r="D2564" t="s">
        <v>7</v>
      </c>
      <c r="E2564" t="s">
        <v>8</v>
      </c>
      <c r="F2564" s="28">
        <v>5367</v>
      </c>
      <c r="G2564" s="10" t="s">
        <v>325</v>
      </c>
      <c r="H2564" s="1">
        <v>337214</v>
      </c>
      <c r="I2564" s="1">
        <v>47210.963645611278</v>
      </c>
      <c r="J2564" s="1">
        <v>384424.96364561131</v>
      </c>
    </row>
    <row r="2565" spans="1:10" x14ac:dyDescent="0.2">
      <c r="B2565">
        <v>2015</v>
      </c>
      <c r="C2565" t="s">
        <v>6</v>
      </c>
      <c r="D2565" t="s">
        <v>7</v>
      </c>
      <c r="E2565" t="s">
        <v>8</v>
      </c>
      <c r="F2565" s="29">
        <v>5368</v>
      </c>
      <c r="G2565" s="3" t="s">
        <v>326</v>
      </c>
      <c r="H2565" s="27">
        <v>332971</v>
      </c>
      <c r="I2565" s="1">
        <v>53632.984726840434</v>
      </c>
      <c r="J2565" s="1">
        <v>386603.98472684046</v>
      </c>
    </row>
    <row r="2566" spans="1:10" x14ac:dyDescent="0.2">
      <c r="B2566">
        <v>2016</v>
      </c>
      <c r="C2566" t="s">
        <v>6</v>
      </c>
      <c r="D2566" t="s">
        <v>7</v>
      </c>
      <c r="E2566" t="s">
        <v>8</v>
      </c>
      <c r="F2566" s="29">
        <v>5368</v>
      </c>
      <c r="G2566" s="3" t="s">
        <v>326</v>
      </c>
      <c r="H2566" s="1">
        <v>338950</v>
      </c>
      <c r="I2566" s="26">
        <v>895200.28595349414</v>
      </c>
      <c r="J2566" s="26">
        <v>1234150.285953494</v>
      </c>
    </row>
    <row r="2567" spans="1:10" x14ac:dyDescent="0.2">
      <c r="B2567">
        <v>2017</v>
      </c>
      <c r="C2567" t="s">
        <v>6</v>
      </c>
      <c r="D2567" t="s">
        <v>7</v>
      </c>
      <c r="E2567" t="s">
        <v>8</v>
      </c>
      <c r="F2567" s="29">
        <v>5368</v>
      </c>
      <c r="G2567" s="3" t="s">
        <v>326</v>
      </c>
      <c r="H2567" s="1">
        <v>375747</v>
      </c>
      <c r="I2567" s="1">
        <v>58637.438940679946</v>
      </c>
      <c r="J2567" s="1">
        <v>434384.43894067995</v>
      </c>
    </row>
    <row r="2568" spans="1:10" x14ac:dyDescent="0.2">
      <c r="B2568">
        <v>2018</v>
      </c>
      <c r="C2568" t="s">
        <v>6</v>
      </c>
      <c r="D2568" t="s">
        <v>7</v>
      </c>
      <c r="E2568" t="s">
        <v>8</v>
      </c>
      <c r="F2568" s="28">
        <v>5368</v>
      </c>
      <c r="G2568" t="s">
        <v>326</v>
      </c>
      <c r="H2568" s="1">
        <v>408145</v>
      </c>
      <c r="I2568" s="1">
        <v>61719.420523797489</v>
      </c>
      <c r="J2568" s="1">
        <v>469864.42052379751</v>
      </c>
    </row>
    <row r="2569" spans="1:10" x14ac:dyDescent="0.2">
      <c r="B2569">
        <v>2019</v>
      </c>
      <c r="C2569" t="s">
        <v>6</v>
      </c>
      <c r="D2569" t="s">
        <v>7</v>
      </c>
      <c r="E2569" t="s">
        <v>8</v>
      </c>
      <c r="F2569" s="28">
        <v>5368</v>
      </c>
      <c r="G2569" t="s">
        <v>326</v>
      </c>
      <c r="H2569" s="1">
        <v>419072</v>
      </c>
      <c r="I2569" s="1">
        <v>63823.752810538885</v>
      </c>
      <c r="J2569" s="1">
        <v>482895.75281053886</v>
      </c>
    </row>
    <row r="2570" spans="1:10" x14ac:dyDescent="0.2">
      <c r="B2570">
        <v>2020</v>
      </c>
      <c r="C2570" t="s">
        <v>6</v>
      </c>
      <c r="D2570" t="s">
        <v>7</v>
      </c>
      <c r="E2570" t="s">
        <v>8</v>
      </c>
      <c r="F2570" s="28">
        <v>5368</v>
      </c>
      <c r="G2570" t="s">
        <v>326</v>
      </c>
      <c r="H2570" s="1">
        <v>446434</v>
      </c>
      <c r="I2570" s="1">
        <v>67538.689544783701</v>
      </c>
      <c r="J2570" s="1">
        <v>513972.68954478367</v>
      </c>
    </row>
    <row r="2571" spans="1:10" x14ac:dyDescent="0.2">
      <c r="B2571">
        <v>2021</v>
      </c>
      <c r="C2571" t="s">
        <v>6</v>
      </c>
      <c r="D2571" t="s">
        <v>7</v>
      </c>
      <c r="E2571" t="s">
        <v>8</v>
      </c>
      <c r="F2571" s="28">
        <v>5368</v>
      </c>
      <c r="G2571" t="s">
        <v>326</v>
      </c>
      <c r="H2571" s="25">
        <v>453955</v>
      </c>
      <c r="I2571" s="1">
        <v>67772.358605037734</v>
      </c>
      <c r="J2571" s="1">
        <v>521727.35860503773</v>
      </c>
    </row>
    <row r="2572" spans="1:10" x14ac:dyDescent="0.2">
      <c r="B2572">
        <v>2022</v>
      </c>
      <c r="C2572" t="s">
        <v>6</v>
      </c>
      <c r="D2572" t="s">
        <v>7</v>
      </c>
      <c r="E2572" t="s">
        <v>8</v>
      </c>
      <c r="F2572" s="28">
        <v>5368</v>
      </c>
      <c r="G2572" t="s">
        <v>326</v>
      </c>
      <c r="H2572" s="1">
        <v>449378</v>
      </c>
      <c r="I2572" s="1">
        <v>61028.028291951894</v>
      </c>
      <c r="J2572" s="1">
        <v>510406.02829195186</v>
      </c>
    </row>
    <row r="2573" spans="1:10" x14ac:dyDescent="0.2">
      <c r="B2573">
        <v>2023</v>
      </c>
      <c r="C2573" t="s">
        <v>6</v>
      </c>
      <c r="D2573" t="s">
        <v>7</v>
      </c>
      <c r="E2573" t="s">
        <v>8</v>
      </c>
      <c r="F2573" s="28">
        <v>5368</v>
      </c>
      <c r="G2573" s="10" t="s">
        <v>326</v>
      </c>
      <c r="H2573" s="1">
        <v>451191</v>
      </c>
      <c r="I2573" s="1">
        <v>63168.082873863474</v>
      </c>
      <c r="J2573" s="1">
        <v>514359.08287386346</v>
      </c>
    </row>
    <row r="2574" spans="1:10" x14ac:dyDescent="0.2">
      <c r="B2574">
        <v>2016</v>
      </c>
      <c r="C2574" t="s">
        <v>6</v>
      </c>
      <c r="D2574" t="s">
        <v>7</v>
      </c>
      <c r="E2574" t="s">
        <v>8</v>
      </c>
      <c r="F2574" s="29">
        <v>5404</v>
      </c>
      <c r="G2574" s="3" t="s">
        <v>364</v>
      </c>
      <c r="H2574" s="1">
        <v>217</v>
      </c>
      <c r="I2574" s="26">
        <v>568.10058408084376</v>
      </c>
      <c r="J2574" s="26">
        <v>785.10058408084376</v>
      </c>
    </row>
    <row r="2575" spans="1:10" x14ac:dyDescent="0.2">
      <c r="B2575">
        <v>2017</v>
      </c>
      <c r="C2575" t="s">
        <v>6</v>
      </c>
      <c r="D2575" t="s">
        <v>7</v>
      </c>
      <c r="E2575" t="s">
        <v>8</v>
      </c>
      <c r="F2575" s="29">
        <v>5404</v>
      </c>
      <c r="G2575" s="3" t="s">
        <v>367</v>
      </c>
      <c r="H2575" s="1">
        <v>7775</v>
      </c>
      <c r="I2575" s="1">
        <v>1213.3326088133415</v>
      </c>
      <c r="J2575" s="1">
        <v>8988.3326088133417</v>
      </c>
    </row>
    <row r="2576" spans="1:10" x14ac:dyDescent="0.2">
      <c r="B2576">
        <v>2018</v>
      </c>
      <c r="C2576" t="s">
        <v>6</v>
      </c>
      <c r="D2576" t="s">
        <v>7</v>
      </c>
      <c r="E2576" t="s">
        <v>8</v>
      </c>
      <c r="F2576" s="28">
        <v>5404</v>
      </c>
      <c r="G2576" t="s">
        <v>364</v>
      </c>
      <c r="H2576" s="1">
        <v>10656</v>
      </c>
      <c r="I2576" s="1">
        <v>1611.3933653519853</v>
      </c>
      <c r="J2576" s="1">
        <v>12267.393365351985</v>
      </c>
    </row>
    <row r="2577" spans="1:10" x14ac:dyDescent="0.2">
      <c r="B2577">
        <v>2019</v>
      </c>
      <c r="C2577" t="s">
        <v>6</v>
      </c>
      <c r="D2577" t="s">
        <v>7</v>
      </c>
      <c r="E2577" t="s">
        <v>8</v>
      </c>
      <c r="F2577" s="28">
        <v>5404</v>
      </c>
      <c r="G2577" t="s">
        <v>28</v>
      </c>
      <c r="H2577" s="1">
        <v>8258</v>
      </c>
      <c r="I2577" s="1">
        <v>1257.6754130780155</v>
      </c>
      <c r="J2577" s="1">
        <v>9515.6754130780155</v>
      </c>
    </row>
    <row r="2578" spans="1:10" x14ac:dyDescent="0.2">
      <c r="B2578">
        <v>2020</v>
      </c>
      <c r="C2578" t="s">
        <v>6</v>
      </c>
      <c r="D2578" t="s">
        <v>7</v>
      </c>
      <c r="E2578" t="s">
        <v>8</v>
      </c>
      <c r="F2578" s="28">
        <v>5404</v>
      </c>
      <c r="G2578" t="s">
        <v>28</v>
      </c>
      <c r="H2578" s="1">
        <v>6714</v>
      </c>
      <c r="I2578" s="1">
        <v>1015.7263147602506</v>
      </c>
      <c r="J2578" s="1">
        <v>7729.7263147602507</v>
      </c>
    </row>
    <row r="2579" spans="1:10" x14ac:dyDescent="0.2">
      <c r="B2579">
        <v>2021</v>
      </c>
      <c r="C2579" t="s">
        <v>6</v>
      </c>
      <c r="D2579" t="s">
        <v>7</v>
      </c>
      <c r="E2579" t="s">
        <v>8</v>
      </c>
      <c r="F2579" s="28">
        <v>5404</v>
      </c>
      <c r="G2579" t="s">
        <v>28</v>
      </c>
      <c r="H2579" s="25">
        <v>12183</v>
      </c>
      <c r="I2579" s="1">
        <v>1818.8380894255481</v>
      </c>
      <c r="J2579" s="1">
        <v>14001.838089425548</v>
      </c>
    </row>
    <row r="2580" spans="1:10" x14ac:dyDescent="0.2">
      <c r="B2580">
        <v>2022</v>
      </c>
      <c r="C2580" t="s">
        <v>6</v>
      </c>
      <c r="D2580" t="s">
        <v>7</v>
      </c>
      <c r="E2580" t="s">
        <v>8</v>
      </c>
      <c r="F2580" s="28">
        <v>5404</v>
      </c>
      <c r="G2580" t="s">
        <v>28</v>
      </c>
      <c r="H2580" s="1">
        <v>12875</v>
      </c>
      <c r="I2580" s="1">
        <v>1748.496509083401</v>
      </c>
      <c r="J2580" s="1">
        <v>14623.496509083401</v>
      </c>
    </row>
    <row r="2581" spans="1:10" x14ac:dyDescent="0.2">
      <c r="B2581">
        <v>2023</v>
      </c>
      <c r="C2581" t="s">
        <v>6</v>
      </c>
      <c r="D2581" t="s">
        <v>7</v>
      </c>
      <c r="E2581" t="s">
        <v>8</v>
      </c>
      <c r="F2581" s="28">
        <v>5404</v>
      </c>
      <c r="G2581" s="10" t="s">
        <v>28</v>
      </c>
      <c r="H2581" s="1">
        <v>13406</v>
      </c>
      <c r="I2581" s="1">
        <v>1876.8799001022044</v>
      </c>
      <c r="J2581" s="1">
        <v>15282.879900102205</v>
      </c>
    </row>
    <row r="2582" spans="1:10" x14ac:dyDescent="0.2">
      <c r="A2582">
        <v>2003570</v>
      </c>
      <c r="B2582">
        <v>2015</v>
      </c>
      <c r="C2582" t="s">
        <v>6</v>
      </c>
      <c r="D2582" t="s">
        <v>7</v>
      </c>
      <c r="E2582" t="s">
        <v>8</v>
      </c>
      <c r="F2582" s="29">
        <v>5405</v>
      </c>
      <c r="G2582" s="3" t="s">
        <v>327</v>
      </c>
      <c r="H2582" s="27">
        <v>90347</v>
      </c>
      <c r="I2582" s="1">
        <v>14552.556442200228</v>
      </c>
      <c r="J2582" s="1">
        <v>104899.55644220024</v>
      </c>
    </row>
    <row r="2583" spans="1:10" x14ac:dyDescent="0.2">
      <c r="A2583">
        <v>2003570</v>
      </c>
      <c r="B2583">
        <v>2016</v>
      </c>
      <c r="C2583" t="s">
        <v>6</v>
      </c>
      <c r="D2583" t="s">
        <v>7</v>
      </c>
      <c r="E2583" t="s">
        <v>8</v>
      </c>
      <c r="F2583" s="29">
        <v>5405</v>
      </c>
      <c r="G2583" s="3" t="s">
        <v>327</v>
      </c>
      <c r="H2583" s="1">
        <v>120066</v>
      </c>
      <c r="I2583" s="26">
        <v>317103.98195636657</v>
      </c>
      <c r="J2583" s="26">
        <v>437169.98195636657</v>
      </c>
    </row>
    <row r="2584" spans="1:10" x14ac:dyDescent="0.2">
      <c r="A2584">
        <v>2003570</v>
      </c>
      <c r="B2584">
        <v>2017</v>
      </c>
      <c r="C2584" t="s">
        <v>6</v>
      </c>
      <c r="D2584" t="s">
        <v>7</v>
      </c>
      <c r="E2584" t="s">
        <v>8</v>
      </c>
      <c r="F2584" s="29">
        <v>5405</v>
      </c>
      <c r="G2584" s="3" t="s">
        <v>327</v>
      </c>
      <c r="H2584" s="1">
        <v>137053</v>
      </c>
      <c r="I2584" s="1">
        <v>21387.89376664886</v>
      </c>
      <c r="J2584" s="1">
        <v>158440.89376664886</v>
      </c>
    </row>
    <row r="2585" spans="1:10" x14ac:dyDescent="0.2">
      <c r="A2585">
        <v>2003570</v>
      </c>
      <c r="B2585">
        <v>2018</v>
      </c>
      <c r="C2585" t="s">
        <v>6</v>
      </c>
      <c r="D2585" t="s">
        <v>7</v>
      </c>
      <c r="E2585" t="s">
        <v>8</v>
      </c>
      <c r="F2585" s="28">
        <v>5405</v>
      </c>
      <c r="G2585" t="s">
        <v>327</v>
      </c>
      <c r="H2585" s="1">
        <v>142557</v>
      </c>
      <c r="I2585" s="1">
        <v>21557.376500045324</v>
      </c>
      <c r="J2585" s="1">
        <v>164114.37650004533</v>
      </c>
    </row>
    <row r="2586" spans="1:10" x14ac:dyDescent="0.2">
      <c r="A2586">
        <v>2003570</v>
      </c>
      <c r="B2586">
        <v>2019</v>
      </c>
      <c r="C2586" t="s">
        <v>6</v>
      </c>
      <c r="D2586" t="s">
        <v>7</v>
      </c>
      <c r="E2586" t="s">
        <v>8</v>
      </c>
      <c r="F2586" s="28">
        <v>5405</v>
      </c>
      <c r="G2586" t="s">
        <v>327</v>
      </c>
      <c r="H2586" s="1">
        <v>169571</v>
      </c>
      <c r="I2586" s="1">
        <v>25825.293953869237</v>
      </c>
      <c r="J2586" s="1">
        <v>195396.29395386923</v>
      </c>
    </row>
    <row r="2587" spans="1:10" x14ac:dyDescent="0.2">
      <c r="A2587">
        <v>2003570</v>
      </c>
      <c r="B2587">
        <v>2020</v>
      </c>
      <c r="C2587" t="s">
        <v>6</v>
      </c>
      <c r="D2587" t="s">
        <v>7</v>
      </c>
      <c r="E2587" t="s">
        <v>8</v>
      </c>
      <c r="F2587" s="28">
        <v>5405</v>
      </c>
      <c r="G2587" t="s">
        <v>327</v>
      </c>
      <c r="H2587" s="1">
        <v>200490</v>
      </c>
      <c r="I2587" s="1">
        <v>30331.094555597654</v>
      </c>
      <c r="J2587" s="1">
        <v>230821.09455559767</v>
      </c>
    </row>
    <row r="2588" spans="1:10" x14ac:dyDescent="0.2">
      <c r="A2588">
        <v>2003570</v>
      </c>
      <c r="B2588">
        <v>2021</v>
      </c>
      <c r="C2588" t="s">
        <v>6</v>
      </c>
      <c r="D2588" t="s">
        <v>7</v>
      </c>
      <c r="E2588" t="s">
        <v>8</v>
      </c>
      <c r="F2588" s="28">
        <v>5405</v>
      </c>
      <c r="G2588" t="s">
        <v>327</v>
      </c>
      <c r="H2588" s="25">
        <v>207375</v>
      </c>
      <c r="I2588" s="1">
        <v>30959.660904097767</v>
      </c>
      <c r="J2588" s="1">
        <v>238334.66090409778</v>
      </c>
    </row>
    <row r="2589" spans="1:10" x14ac:dyDescent="0.2">
      <c r="A2589">
        <v>2003570</v>
      </c>
      <c r="B2589">
        <v>2022</v>
      </c>
      <c r="C2589" t="s">
        <v>6</v>
      </c>
      <c r="D2589" t="s">
        <v>7</v>
      </c>
      <c r="E2589" t="s">
        <v>8</v>
      </c>
      <c r="F2589" s="28">
        <v>5405</v>
      </c>
      <c r="G2589" t="s">
        <v>327</v>
      </c>
      <c r="H2589" s="1">
        <v>215677</v>
      </c>
      <c r="I2589" s="1">
        <v>29290.134492394616</v>
      </c>
      <c r="J2589" s="1">
        <v>244967.13449239463</v>
      </c>
    </row>
    <row r="2590" spans="1:10" x14ac:dyDescent="0.2">
      <c r="A2590">
        <v>2003570</v>
      </c>
      <c r="B2590">
        <v>2023</v>
      </c>
      <c r="C2590" t="s">
        <v>6</v>
      </c>
      <c r="D2590" t="s">
        <v>7</v>
      </c>
      <c r="E2590" t="s">
        <v>8</v>
      </c>
      <c r="F2590" s="28">
        <v>5405</v>
      </c>
      <c r="G2590" s="10" t="s">
        <v>327</v>
      </c>
      <c r="H2590" s="1">
        <v>168789</v>
      </c>
      <c r="I2590" s="1">
        <v>23630.962364489857</v>
      </c>
      <c r="J2590" s="1">
        <v>192419.96236448985</v>
      </c>
    </row>
    <row r="2591" spans="1:10" x14ac:dyDescent="0.2">
      <c r="B2591">
        <v>2016</v>
      </c>
      <c r="C2591" t="s">
        <v>6</v>
      </c>
      <c r="D2591" t="s">
        <v>7</v>
      </c>
      <c r="E2591" t="s">
        <v>8</v>
      </c>
      <c r="F2591" s="29">
        <v>5406</v>
      </c>
      <c r="G2591" s="3" t="s">
        <v>29</v>
      </c>
      <c r="H2591" s="1">
        <v>71472</v>
      </c>
      <c r="I2591" s="26">
        <v>188761.59123915731</v>
      </c>
      <c r="J2591" s="26">
        <v>260233.59123915731</v>
      </c>
    </row>
    <row r="2592" spans="1:10" x14ac:dyDescent="0.2">
      <c r="B2592">
        <v>2017</v>
      </c>
      <c r="C2592" t="s">
        <v>6</v>
      </c>
      <c r="D2592" t="s">
        <v>7</v>
      </c>
      <c r="E2592" t="s">
        <v>8</v>
      </c>
      <c r="F2592" s="29">
        <v>5406</v>
      </c>
      <c r="G2592" s="3" t="s">
        <v>29</v>
      </c>
      <c r="H2592" s="1">
        <v>99583</v>
      </c>
      <c r="I2592" s="1">
        <v>15540.488898194082</v>
      </c>
      <c r="J2592" s="1">
        <v>115123.48889819407</v>
      </c>
    </row>
    <row r="2593" spans="1:10" x14ac:dyDescent="0.2">
      <c r="B2593">
        <v>2018</v>
      </c>
      <c r="C2593" t="s">
        <v>6</v>
      </c>
      <c r="D2593" t="s">
        <v>7</v>
      </c>
      <c r="E2593" t="s">
        <v>8</v>
      </c>
      <c r="F2593" s="28">
        <v>5406</v>
      </c>
      <c r="G2593" t="s">
        <v>29</v>
      </c>
      <c r="H2593" s="1">
        <v>84566</v>
      </c>
      <c r="I2593" s="1">
        <v>12788.015327923798</v>
      </c>
      <c r="J2593" s="1">
        <v>97354.0153279238</v>
      </c>
    </row>
    <row r="2594" spans="1:10" x14ac:dyDescent="0.2">
      <c r="B2594">
        <v>2019</v>
      </c>
      <c r="C2594" t="s">
        <v>6</v>
      </c>
      <c r="D2594" t="s">
        <v>7</v>
      </c>
      <c r="E2594" t="s">
        <v>8</v>
      </c>
      <c r="F2594" s="28">
        <v>5406</v>
      </c>
      <c r="G2594" t="s">
        <v>29</v>
      </c>
      <c r="H2594" s="1">
        <v>70033</v>
      </c>
      <c r="I2594" s="1">
        <v>10665.873359662468</v>
      </c>
      <c r="J2594" s="1">
        <v>80698.873359662466</v>
      </c>
    </row>
    <row r="2595" spans="1:10" x14ac:dyDescent="0.2">
      <c r="B2595">
        <v>2020</v>
      </c>
      <c r="C2595" t="s">
        <v>6</v>
      </c>
      <c r="D2595" t="s">
        <v>7</v>
      </c>
      <c r="E2595" t="s">
        <v>8</v>
      </c>
      <c r="F2595" s="28">
        <v>5406</v>
      </c>
      <c r="G2595" t="s">
        <v>29</v>
      </c>
      <c r="H2595" s="1">
        <v>30335</v>
      </c>
      <c r="I2595" s="1">
        <v>4589.2251650658627</v>
      </c>
      <c r="J2595" s="1">
        <v>34924.225165065865</v>
      </c>
    </row>
    <row r="2596" spans="1:10" x14ac:dyDescent="0.2">
      <c r="B2596">
        <v>2021</v>
      </c>
      <c r="C2596" t="s">
        <v>6</v>
      </c>
      <c r="D2596" t="s">
        <v>7</v>
      </c>
      <c r="E2596" t="s">
        <v>8</v>
      </c>
      <c r="F2596" s="28">
        <v>5406</v>
      </c>
      <c r="G2596" t="s">
        <v>29</v>
      </c>
      <c r="H2596" s="25">
        <v>34467</v>
      </c>
      <c r="I2596" s="1">
        <v>5145.685990989934</v>
      </c>
      <c r="J2596" s="1">
        <v>39612.685990989936</v>
      </c>
    </row>
    <row r="2597" spans="1:10" x14ac:dyDescent="0.2">
      <c r="B2597">
        <v>2022</v>
      </c>
      <c r="C2597" t="s">
        <v>6</v>
      </c>
      <c r="D2597" t="s">
        <v>7</v>
      </c>
      <c r="E2597" t="s">
        <v>8</v>
      </c>
      <c r="F2597" s="28">
        <v>5406</v>
      </c>
      <c r="G2597" t="s">
        <v>29</v>
      </c>
      <c r="H2597" s="1">
        <v>34520</v>
      </c>
      <c r="I2597" s="1">
        <v>4688.0077276550683</v>
      </c>
      <c r="J2597" s="1">
        <v>39208.007727655066</v>
      </c>
    </row>
    <row r="2598" spans="1:10" x14ac:dyDescent="0.2">
      <c r="B2598">
        <v>2023</v>
      </c>
      <c r="C2598" t="s">
        <v>6</v>
      </c>
      <c r="D2598" t="s">
        <v>7</v>
      </c>
      <c r="E2598" t="s">
        <v>8</v>
      </c>
      <c r="F2598" s="28">
        <v>5406</v>
      </c>
      <c r="G2598" s="10" t="s">
        <v>29</v>
      </c>
      <c r="H2598" s="1">
        <v>107563</v>
      </c>
      <c r="I2598" s="1">
        <v>15059.14013834801</v>
      </c>
      <c r="J2598" s="1">
        <v>122622.14013834801</v>
      </c>
    </row>
    <row r="2599" spans="1:10" x14ac:dyDescent="0.2">
      <c r="A2599">
        <v>2006690</v>
      </c>
      <c r="B2599">
        <v>2015</v>
      </c>
      <c r="C2599" t="s">
        <v>6</v>
      </c>
      <c r="D2599" t="s">
        <v>7</v>
      </c>
      <c r="E2599" t="s">
        <v>8</v>
      </c>
      <c r="F2599" s="29">
        <v>5409</v>
      </c>
      <c r="G2599" s="3" t="s">
        <v>328</v>
      </c>
      <c r="H2599" s="27">
        <v>149265</v>
      </c>
      <c r="I2599" s="1">
        <v>24042.716828948578</v>
      </c>
      <c r="J2599" s="1">
        <v>173307.71682894859</v>
      </c>
    </row>
    <row r="2600" spans="1:10" x14ac:dyDescent="0.2">
      <c r="A2600">
        <v>2006690</v>
      </c>
      <c r="B2600">
        <v>2016</v>
      </c>
      <c r="C2600" t="s">
        <v>6</v>
      </c>
      <c r="D2600" t="s">
        <v>7</v>
      </c>
      <c r="E2600" t="s">
        <v>8</v>
      </c>
      <c r="F2600" s="29">
        <v>5409</v>
      </c>
      <c r="G2600" s="3" t="s">
        <v>328</v>
      </c>
      <c r="H2600" s="1">
        <v>161478</v>
      </c>
      <c r="I2600" s="26">
        <v>426475.3617840762</v>
      </c>
      <c r="J2600" s="26">
        <v>587953.3617840762</v>
      </c>
    </row>
    <row r="2601" spans="1:10" x14ac:dyDescent="0.2">
      <c r="A2601">
        <v>2006690</v>
      </c>
      <c r="B2601">
        <v>2017</v>
      </c>
      <c r="C2601" t="s">
        <v>6</v>
      </c>
      <c r="D2601" t="s">
        <v>7</v>
      </c>
      <c r="E2601" t="s">
        <v>8</v>
      </c>
      <c r="F2601" s="29">
        <v>5409</v>
      </c>
      <c r="G2601" s="3" t="s">
        <v>328</v>
      </c>
      <c r="H2601" s="1">
        <v>183536</v>
      </c>
      <c r="I2601" s="1">
        <v>28641.828127481083</v>
      </c>
      <c r="J2601" s="1">
        <v>212177.82812748107</v>
      </c>
    </row>
    <row r="2602" spans="1:10" x14ac:dyDescent="0.2">
      <c r="A2602">
        <v>2006690</v>
      </c>
      <c r="B2602">
        <v>2018</v>
      </c>
      <c r="C2602" t="s">
        <v>6</v>
      </c>
      <c r="D2602" t="s">
        <v>7</v>
      </c>
      <c r="E2602" t="s">
        <v>8</v>
      </c>
      <c r="F2602" s="28">
        <v>5409</v>
      </c>
      <c r="G2602" t="s">
        <v>328</v>
      </c>
      <c r="H2602" s="1">
        <v>222798</v>
      </c>
      <c r="I2602" s="1">
        <v>33691.368150684277</v>
      </c>
      <c r="J2602" s="1">
        <v>256489.36815068428</v>
      </c>
    </row>
    <row r="2603" spans="1:10" x14ac:dyDescent="0.2">
      <c r="A2603">
        <v>2006690</v>
      </c>
      <c r="B2603">
        <v>2019</v>
      </c>
      <c r="C2603" t="s">
        <v>6</v>
      </c>
      <c r="D2603" t="s">
        <v>7</v>
      </c>
      <c r="E2603" t="s">
        <v>8</v>
      </c>
      <c r="F2603" s="28">
        <v>5409</v>
      </c>
      <c r="G2603" t="s">
        <v>328</v>
      </c>
      <c r="H2603" s="1">
        <v>217757</v>
      </c>
      <c r="I2603" s="1">
        <v>33163.916798937928</v>
      </c>
      <c r="J2603" s="1">
        <v>250920.91679893792</v>
      </c>
    </row>
    <row r="2604" spans="1:10" x14ac:dyDescent="0.2">
      <c r="A2604">
        <v>2006690</v>
      </c>
      <c r="B2604">
        <v>2020</v>
      </c>
      <c r="C2604" t="s">
        <v>6</v>
      </c>
      <c r="D2604" t="s">
        <v>7</v>
      </c>
      <c r="E2604" t="s">
        <v>8</v>
      </c>
      <c r="F2604" s="28">
        <v>5409</v>
      </c>
      <c r="G2604" t="s">
        <v>328</v>
      </c>
      <c r="H2604" s="1">
        <v>257222</v>
      </c>
      <c r="I2604" s="1">
        <v>38913.78524504933</v>
      </c>
      <c r="J2604" s="1">
        <v>296135.78524504934</v>
      </c>
    </row>
    <row r="2605" spans="1:10" x14ac:dyDescent="0.2">
      <c r="A2605">
        <v>2006690</v>
      </c>
      <c r="B2605">
        <v>2021</v>
      </c>
      <c r="C2605" t="s">
        <v>6</v>
      </c>
      <c r="D2605" t="s">
        <v>7</v>
      </c>
      <c r="E2605" t="s">
        <v>8</v>
      </c>
      <c r="F2605" s="28">
        <v>5409</v>
      </c>
      <c r="G2605" t="s">
        <v>328</v>
      </c>
      <c r="H2605" s="25">
        <v>230212</v>
      </c>
      <c r="I2605" s="1">
        <v>34369.067901406415</v>
      </c>
      <c r="J2605" s="1">
        <v>264581.06790140644</v>
      </c>
    </row>
    <row r="2606" spans="1:10" x14ac:dyDescent="0.2">
      <c r="A2606">
        <v>2006690</v>
      </c>
      <c r="B2606">
        <v>2022</v>
      </c>
      <c r="C2606" t="s">
        <v>6</v>
      </c>
      <c r="D2606" t="s">
        <v>7</v>
      </c>
      <c r="E2606" t="s">
        <v>8</v>
      </c>
      <c r="F2606" s="28">
        <v>5409</v>
      </c>
      <c r="G2606" t="s">
        <v>328</v>
      </c>
      <c r="H2606" s="1">
        <v>235972</v>
      </c>
      <c r="I2606" s="1">
        <v>32046.308212926469</v>
      </c>
      <c r="J2606" s="1">
        <v>268018.30821292649</v>
      </c>
    </row>
    <row r="2607" spans="1:10" x14ac:dyDescent="0.2">
      <c r="A2607">
        <v>2006690</v>
      </c>
      <c r="B2607">
        <v>2023</v>
      </c>
      <c r="C2607" t="s">
        <v>6</v>
      </c>
      <c r="D2607" t="s">
        <v>7</v>
      </c>
      <c r="E2607" t="s">
        <v>8</v>
      </c>
      <c r="F2607" s="28">
        <v>5409</v>
      </c>
      <c r="G2607" s="10" t="s">
        <v>328</v>
      </c>
      <c r="H2607" s="1">
        <v>241509</v>
      </c>
      <c r="I2607" s="1">
        <v>33811.978800073346</v>
      </c>
      <c r="J2607" s="1">
        <v>275320.97880007332</v>
      </c>
    </row>
    <row r="2608" spans="1:10" x14ac:dyDescent="0.2">
      <c r="A2608">
        <v>2011790</v>
      </c>
      <c r="B2608">
        <v>2015</v>
      </c>
      <c r="C2608" t="s">
        <v>6</v>
      </c>
      <c r="D2608" t="s">
        <v>7</v>
      </c>
      <c r="E2608" t="s">
        <v>8</v>
      </c>
      <c r="F2608" s="29">
        <v>5410</v>
      </c>
      <c r="G2608" s="3" t="s">
        <v>329</v>
      </c>
      <c r="H2608" s="27">
        <v>164055</v>
      </c>
      <c r="I2608" s="1">
        <v>26425.001905156325</v>
      </c>
      <c r="J2608" s="1">
        <v>190480.00190515633</v>
      </c>
    </row>
    <row r="2609" spans="1:10" x14ac:dyDescent="0.2">
      <c r="A2609">
        <v>2011790</v>
      </c>
      <c r="B2609">
        <v>2016</v>
      </c>
      <c r="C2609" t="s">
        <v>6</v>
      </c>
      <c r="D2609" t="s">
        <v>7</v>
      </c>
      <c r="E2609" t="s">
        <v>8</v>
      </c>
      <c r="F2609" s="29">
        <v>5410</v>
      </c>
      <c r="G2609" s="3" t="s">
        <v>329</v>
      </c>
      <c r="H2609" s="1">
        <v>106184</v>
      </c>
      <c r="I2609" s="26">
        <v>280444.98689667479</v>
      </c>
      <c r="J2609" s="26">
        <v>386628.98689667479</v>
      </c>
    </row>
    <row r="2610" spans="1:10" x14ac:dyDescent="0.2">
      <c r="A2610">
        <v>2011790</v>
      </c>
      <c r="B2610">
        <v>2017</v>
      </c>
      <c r="C2610" t="s">
        <v>6</v>
      </c>
      <c r="D2610" t="s">
        <v>7</v>
      </c>
      <c r="E2610" t="s">
        <v>8</v>
      </c>
      <c r="F2610" s="29">
        <v>5410</v>
      </c>
      <c r="G2610" s="3" t="s">
        <v>329</v>
      </c>
      <c r="H2610" s="1">
        <v>137457</v>
      </c>
      <c r="I2610" s="1">
        <v>21450.940245614853</v>
      </c>
      <c r="J2610" s="1">
        <v>158907.94024561485</v>
      </c>
    </row>
    <row r="2611" spans="1:10" x14ac:dyDescent="0.2">
      <c r="A2611">
        <v>2011790</v>
      </c>
      <c r="B2611">
        <v>2018</v>
      </c>
      <c r="C2611" t="s">
        <v>6</v>
      </c>
      <c r="D2611" t="s">
        <v>7</v>
      </c>
      <c r="E2611" t="s">
        <v>8</v>
      </c>
      <c r="F2611" s="28">
        <v>5410</v>
      </c>
      <c r="G2611" t="s">
        <v>329</v>
      </c>
      <c r="H2611" s="1">
        <v>166181</v>
      </c>
      <c r="I2611" s="1">
        <v>25129.782361820409</v>
      </c>
      <c r="J2611" s="1">
        <v>191310.7823618204</v>
      </c>
    </row>
    <row r="2612" spans="1:10" x14ac:dyDescent="0.2">
      <c r="A2612">
        <v>2011790</v>
      </c>
      <c r="B2612">
        <v>2019</v>
      </c>
      <c r="C2612" t="s">
        <v>6</v>
      </c>
      <c r="D2612" t="s">
        <v>7</v>
      </c>
      <c r="E2612" t="s">
        <v>8</v>
      </c>
      <c r="F2612" s="28">
        <v>5410</v>
      </c>
      <c r="G2612" t="s">
        <v>329</v>
      </c>
      <c r="H2612" s="1">
        <v>194252</v>
      </c>
      <c r="I2612" s="1">
        <v>29584.156495668522</v>
      </c>
      <c r="J2612" s="1">
        <v>223836.15649566852</v>
      </c>
    </row>
    <row r="2613" spans="1:10" x14ac:dyDescent="0.2">
      <c r="A2613">
        <v>2011790</v>
      </c>
      <c r="B2613">
        <v>2020</v>
      </c>
      <c r="C2613" t="s">
        <v>6</v>
      </c>
      <c r="D2613" t="s">
        <v>7</v>
      </c>
      <c r="E2613" t="s">
        <v>8</v>
      </c>
      <c r="F2613" s="28">
        <v>5410</v>
      </c>
      <c r="G2613" t="s">
        <v>329</v>
      </c>
      <c r="H2613" s="1">
        <v>218487</v>
      </c>
      <c r="I2613" s="1">
        <v>33053.767550345976</v>
      </c>
      <c r="J2613" s="1">
        <v>251540.76755034598</v>
      </c>
    </row>
    <row r="2614" spans="1:10" x14ac:dyDescent="0.2">
      <c r="A2614">
        <v>2011790</v>
      </c>
      <c r="B2614">
        <v>2021</v>
      </c>
      <c r="C2614" t="s">
        <v>6</v>
      </c>
      <c r="D2614" t="s">
        <v>7</v>
      </c>
      <c r="E2614" t="s">
        <v>8</v>
      </c>
      <c r="F2614" s="28">
        <v>5410</v>
      </c>
      <c r="G2614" t="s">
        <v>329</v>
      </c>
      <c r="H2614" s="25">
        <v>223525</v>
      </c>
      <c r="I2614" s="1">
        <v>33370.744803319845</v>
      </c>
      <c r="J2614" s="1">
        <v>256895.74480331986</v>
      </c>
    </row>
    <row r="2615" spans="1:10" x14ac:dyDescent="0.2">
      <c r="A2615">
        <v>2011790</v>
      </c>
      <c r="B2615">
        <v>2022</v>
      </c>
      <c r="C2615" t="s">
        <v>6</v>
      </c>
      <c r="D2615" t="s">
        <v>7</v>
      </c>
      <c r="E2615" t="s">
        <v>8</v>
      </c>
      <c r="F2615" s="28">
        <v>5410</v>
      </c>
      <c r="G2615" t="s">
        <v>329</v>
      </c>
      <c r="H2615" s="1">
        <v>230472</v>
      </c>
      <c r="I2615" s="1">
        <v>31299.377665356864</v>
      </c>
      <c r="J2615" s="1">
        <v>261771.37766535685</v>
      </c>
    </row>
    <row r="2616" spans="1:10" x14ac:dyDescent="0.2">
      <c r="A2616">
        <v>2011790</v>
      </c>
      <c r="B2616">
        <v>2023</v>
      </c>
      <c r="C2616" t="s">
        <v>6</v>
      </c>
      <c r="D2616" t="s">
        <v>7</v>
      </c>
      <c r="E2616" t="s">
        <v>8</v>
      </c>
      <c r="F2616" s="28">
        <v>5410</v>
      </c>
      <c r="G2616" s="10" t="s">
        <v>329</v>
      </c>
      <c r="H2616" s="1">
        <v>222970</v>
      </c>
      <c r="I2616" s="1">
        <v>31216.463622690477</v>
      </c>
      <c r="J2616" s="1">
        <v>254186.46362269047</v>
      </c>
    </row>
    <row r="2617" spans="1:10" x14ac:dyDescent="0.2">
      <c r="A2617">
        <v>2011640</v>
      </c>
      <c r="B2617">
        <v>2015</v>
      </c>
      <c r="C2617" t="s">
        <v>6</v>
      </c>
      <c r="D2617" t="s">
        <v>7</v>
      </c>
      <c r="E2617" t="s">
        <v>8</v>
      </c>
      <c r="F2617" s="29">
        <v>5430</v>
      </c>
      <c r="G2617" s="3" t="s">
        <v>330</v>
      </c>
      <c r="H2617" s="27">
        <v>16201599</v>
      </c>
      <c r="I2617" s="1">
        <v>2609657.0323463404</v>
      </c>
      <c r="J2617" s="1">
        <v>18811256.032346342</v>
      </c>
    </row>
    <row r="2618" spans="1:10" x14ac:dyDescent="0.2">
      <c r="A2618">
        <v>2011640</v>
      </c>
      <c r="B2618">
        <v>2016</v>
      </c>
      <c r="C2618" t="s">
        <v>6</v>
      </c>
      <c r="D2618" t="s">
        <v>7</v>
      </c>
      <c r="E2618" t="s">
        <v>8</v>
      </c>
      <c r="F2618" s="29">
        <v>5430</v>
      </c>
      <c r="G2618" s="3" t="s">
        <v>330</v>
      </c>
      <c r="H2618" s="1">
        <v>15704339</v>
      </c>
      <c r="I2618" s="26">
        <v>41476576.408515379</v>
      </c>
      <c r="J2618" s="26">
        <v>57180915.408515379</v>
      </c>
    </row>
    <row r="2619" spans="1:10" x14ac:dyDescent="0.2">
      <c r="A2619">
        <v>2011640</v>
      </c>
      <c r="B2619">
        <v>2017</v>
      </c>
      <c r="C2619" t="s">
        <v>6</v>
      </c>
      <c r="D2619" t="s">
        <v>7</v>
      </c>
      <c r="E2619" t="s">
        <v>8</v>
      </c>
      <c r="F2619" s="29">
        <v>5430</v>
      </c>
      <c r="G2619" s="3" t="s">
        <v>330</v>
      </c>
      <c r="H2619" s="1">
        <v>18461587</v>
      </c>
      <c r="I2619" s="1">
        <v>2881034.7932533077</v>
      </c>
      <c r="J2619" s="1">
        <v>21342621.793253306</v>
      </c>
    </row>
    <row r="2620" spans="1:10" x14ac:dyDescent="0.2">
      <c r="A2620">
        <v>2011640</v>
      </c>
      <c r="B2620">
        <v>2018</v>
      </c>
      <c r="C2620" t="s">
        <v>6</v>
      </c>
      <c r="D2620" t="s">
        <v>7</v>
      </c>
      <c r="E2620" t="s">
        <v>8</v>
      </c>
      <c r="F2620" s="28">
        <v>5430</v>
      </c>
      <c r="G2620" t="s">
        <v>330</v>
      </c>
      <c r="H2620" s="1">
        <v>24040718</v>
      </c>
      <c r="I2620" s="1">
        <v>3635421.685763706</v>
      </c>
      <c r="J2620" s="1">
        <v>27676139.685763706</v>
      </c>
    </row>
    <row r="2621" spans="1:10" x14ac:dyDescent="0.2">
      <c r="A2621">
        <v>2011640</v>
      </c>
      <c r="B2621">
        <v>2019</v>
      </c>
      <c r="C2621" t="s">
        <v>6</v>
      </c>
      <c r="D2621" t="s">
        <v>7</v>
      </c>
      <c r="E2621" t="s">
        <v>8</v>
      </c>
      <c r="F2621" s="28">
        <v>5430</v>
      </c>
      <c r="G2621" t="s">
        <v>330</v>
      </c>
      <c r="H2621" s="1">
        <v>24358219</v>
      </c>
      <c r="I2621" s="1">
        <v>3709703.6985553121</v>
      </c>
      <c r="J2621" s="1">
        <v>28067922.698555313</v>
      </c>
    </row>
    <row r="2622" spans="1:10" x14ac:dyDescent="0.2">
      <c r="A2622">
        <v>2011640</v>
      </c>
      <c r="B2622">
        <v>2020</v>
      </c>
      <c r="C2622" t="s">
        <v>6</v>
      </c>
      <c r="D2622" t="s">
        <v>7</v>
      </c>
      <c r="E2622" t="s">
        <v>8</v>
      </c>
      <c r="F2622" s="28">
        <v>5430</v>
      </c>
      <c r="G2622" t="s">
        <v>330</v>
      </c>
      <c r="H2622" s="1">
        <v>26154240</v>
      </c>
      <c r="I2622" s="1">
        <v>3956739.6202792879</v>
      </c>
      <c r="J2622" s="1">
        <v>30110979.62027929</v>
      </c>
    </row>
    <row r="2623" spans="1:10" x14ac:dyDescent="0.2">
      <c r="A2623">
        <v>2011640</v>
      </c>
      <c r="B2623">
        <v>2021</v>
      </c>
      <c r="C2623" t="s">
        <v>6</v>
      </c>
      <c r="D2623" t="s">
        <v>7</v>
      </c>
      <c r="E2623" t="s">
        <v>8</v>
      </c>
      <c r="F2623" s="28">
        <v>5430</v>
      </c>
      <c r="G2623" t="s">
        <v>330</v>
      </c>
      <c r="H2623" s="25">
        <v>25273479</v>
      </c>
      <c r="I2623" s="1">
        <v>3773156.5507261525</v>
      </c>
      <c r="J2623" s="1">
        <v>29046635.550726153</v>
      </c>
    </row>
    <row r="2624" spans="1:10" x14ac:dyDescent="0.2">
      <c r="A2624">
        <v>2011640</v>
      </c>
      <c r="B2624">
        <v>2022</v>
      </c>
      <c r="C2624" t="s">
        <v>6</v>
      </c>
      <c r="D2624" t="s">
        <v>7</v>
      </c>
      <c r="E2624" t="s">
        <v>8</v>
      </c>
      <c r="F2624" s="28">
        <v>5430</v>
      </c>
      <c r="G2624" t="s">
        <v>330</v>
      </c>
      <c r="H2624" s="1">
        <v>25367680</v>
      </c>
      <c r="I2624" s="1">
        <v>3445071.8387219268</v>
      </c>
      <c r="J2624" s="1">
        <v>28812751.838721927</v>
      </c>
    </row>
    <row r="2625" spans="1:10" x14ac:dyDescent="0.2">
      <c r="A2625">
        <v>2011640</v>
      </c>
      <c r="B2625">
        <v>2023</v>
      </c>
      <c r="C2625" t="s">
        <v>6</v>
      </c>
      <c r="D2625" t="s">
        <v>7</v>
      </c>
      <c r="E2625" t="s">
        <v>8</v>
      </c>
      <c r="F2625" s="28">
        <v>5430</v>
      </c>
      <c r="G2625" s="10" t="s">
        <v>330</v>
      </c>
      <c r="H2625" s="1">
        <v>22233131</v>
      </c>
      <c r="I2625" s="1">
        <v>3112704.5121765793</v>
      </c>
      <c r="J2625" s="1">
        <v>25345835.512176581</v>
      </c>
    </row>
    <row r="2626" spans="1:10" x14ac:dyDescent="0.2">
      <c r="A2626">
        <v>2004800</v>
      </c>
      <c r="B2626">
        <v>2015</v>
      </c>
      <c r="C2626" t="s">
        <v>6</v>
      </c>
      <c r="D2626" t="s">
        <v>7</v>
      </c>
      <c r="E2626" t="s">
        <v>8</v>
      </c>
      <c r="F2626" s="29">
        <v>5436</v>
      </c>
      <c r="G2626" s="3" t="s">
        <v>331</v>
      </c>
      <c r="H2626" s="27">
        <v>378324</v>
      </c>
      <c r="I2626" s="1">
        <v>60938.175738419202</v>
      </c>
      <c r="J2626" s="1">
        <v>439262.17573841917</v>
      </c>
    </row>
    <row r="2627" spans="1:10" x14ac:dyDescent="0.2">
      <c r="A2627">
        <v>2004800</v>
      </c>
      <c r="B2627">
        <v>2016</v>
      </c>
      <c r="C2627" t="s">
        <v>6</v>
      </c>
      <c r="D2627" t="s">
        <v>7</v>
      </c>
      <c r="E2627" t="s">
        <v>8</v>
      </c>
      <c r="F2627" s="29">
        <v>5436</v>
      </c>
      <c r="G2627" s="3" t="s">
        <v>331</v>
      </c>
      <c r="H2627" s="1">
        <v>416607</v>
      </c>
      <c r="I2627" s="26">
        <v>1100291.9847848665</v>
      </c>
      <c r="J2627" s="26">
        <v>1516898.9847848665</v>
      </c>
    </row>
    <row r="2628" spans="1:10" x14ac:dyDescent="0.2">
      <c r="A2628">
        <v>2004800</v>
      </c>
      <c r="B2628">
        <v>2017</v>
      </c>
      <c r="C2628" t="s">
        <v>6</v>
      </c>
      <c r="D2628" t="s">
        <v>7</v>
      </c>
      <c r="E2628" t="s">
        <v>8</v>
      </c>
      <c r="F2628" s="29">
        <v>5436</v>
      </c>
      <c r="G2628" s="3" t="s">
        <v>331</v>
      </c>
      <c r="H2628" s="1">
        <v>399970</v>
      </c>
      <c r="I2628" s="1">
        <v>62417.574732742396</v>
      </c>
      <c r="J2628" s="1">
        <v>462387.57473274239</v>
      </c>
    </row>
    <row r="2629" spans="1:10" x14ac:dyDescent="0.2">
      <c r="A2629">
        <v>2004800</v>
      </c>
      <c r="B2629">
        <v>2018</v>
      </c>
      <c r="C2629" t="s">
        <v>6</v>
      </c>
      <c r="D2629" t="s">
        <v>7</v>
      </c>
      <c r="E2629" t="s">
        <v>8</v>
      </c>
      <c r="F2629" s="28">
        <v>5436</v>
      </c>
      <c r="G2629" t="s">
        <v>331</v>
      </c>
      <c r="H2629" s="1">
        <v>503763</v>
      </c>
      <c r="I2629" s="1">
        <v>76178.712078623517</v>
      </c>
      <c r="J2629" s="1">
        <v>579941.71207862347</v>
      </c>
    </row>
    <row r="2630" spans="1:10" x14ac:dyDescent="0.2">
      <c r="A2630">
        <v>2004800</v>
      </c>
      <c r="B2630">
        <v>2019</v>
      </c>
      <c r="C2630" t="s">
        <v>6</v>
      </c>
      <c r="D2630" t="s">
        <v>7</v>
      </c>
      <c r="E2630" t="s">
        <v>8</v>
      </c>
      <c r="F2630" s="28">
        <v>5436</v>
      </c>
      <c r="G2630" t="s">
        <v>331</v>
      </c>
      <c r="H2630" s="1">
        <v>577925</v>
      </c>
      <c r="I2630" s="1">
        <v>88016.71870950739</v>
      </c>
      <c r="J2630" s="1">
        <v>665941.71870950738</v>
      </c>
    </row>
    <row r="2631" spans="1:10" x14ac:dyDescent="0.2">
      <c r="A2631">
        <v>2004800</v>
      </c>
      <c r="B2631">
        <v>2020</v>
      </c>
      <c r="C2631" t="s">
        <v>6</v>
      </c>
      <c r="D2631" t="s">
        <v>7</v>
      </c>
      <c r="E2631" t="s">
        <v>8</v>
      </c>
      <c r="F2631" s="28">
        <v>5436</v>
      </c>
      <c r="G2631" t="s">
        <v>331</v>
      </c>
      <c r="H2631" s="1">
        <v>682467</v>
      </c>
      <c r="I2631" s="1">
        <v>103246.90063382246</v>
      </c>
      <c r="J2631" s="1">
        <v>785713.90063382243</v>
      </c>
    </row>
    <row r="2632" spans="1:10" x14ac:dyDescent="0.2">
      <c r="A2632">
        <v>2004800</v>
      </c>
      <c r="B2632">
        <v>2021</v>
      </c>
      <c r="C2632" t="s">
        <v>6</v>
      </c>
      <c r="D2632" t="s">
        <v>7</v>
      </c>
      <c r="E2632" t="s">
        <v>8</v>
      </c>
      <c r="F2632" s="28">
        <v>5436</v>
      </c>
      <c r="G2632" t="s">
        <v>331</v>
      </c>
      <c r="H2632" s="25">
        <v>705575</v>
      </c>
      <c r="I2632" s="1">
        <v>105337.49363427983</v>
      </c>
      <c r="J2632" s="1">
        <v>810912.49363427982</v>
      </c>
    </row>
    <row r="2633" spans="1:10" x14ac:dyDescent="0.2">
      <c r="A2633">
        <v>2004800</v>
      </c>
      <c r="B2633">
        <v>2022</v>
      </c>
      <c r="C2633" t="s">
        <v>6</v>
      </c>
      <c r="D2633" t="s">
        <v>7</v>
      </c>
      <c r="E2633" t="s">
        <v>8</v>
      </c>
      <c r="F2633" s="28">
        <v>5436</v>
      </c>
      <c r="G2633" t="s">
        <v>331</v>
      </c>
      <c r="H2633" s="1">
        <v>662775</v>
      </c>
      <c r="I2633" s="1">
        <v>90008.526120990384</v>
      </c>
      <c r="J2633" s="1">
        <v>752783.5261209904</v>
      </c>
    </row>
    <row r="2634" spans="1:10" x14ac:dyDescent="0.2">
      <c r="A2634">
        <v>2004800</v>
      </c>
      <c r="B2634">
        <v>2023</v>
      </c>
      <c r="C2634" t="s">
        <v>6</v>
      </c>
      <c r="D2634" t="s">
        <v>7</v>
      </c>
      <c r="E2634" t="s">
        <v>8</v>
      </c>
      <c r="F2634" s="28">
        <v>5436</v>
      </c>
      <c r="G2634" s="10" t="s">
        <v>331</v>
      </c>
      <c r="H2634" s="1">
        <v>623132</v>
      </c>
      <c r="I2634" s="1">
        <v>87240.334619609639</v>
      </c>
      <c r="J2634" s="1">
        <v>710372.33461960964</v>
      </c>
    </row>
    <row r="2635" spans="1:10" x14ac:dyDescent="0.2">
      <c r="A2635">
        <v>2004790</v>
      </c>
      <c r="B2635">
        <v>2015</v>
      </c>
      <c r="C2635" t="s">
        <v>6</v>
      </c>
      <c r="D2635" t="s">
        <v>7</v>
      </c>
      <c r="E2635" t="s">
        <v>8</v>
      </c>
      <c r="F2635" s="29">
        <v>5590</v>
      </c>
      <c r="G2635" s="3" t="s">
        <v>332</v>
      </c>
      <c r="H2635" s="27">
        <v>85354</v>
      </c>
      <c r="I2635" s="1">
        <v>13748.313752172826</v>
      </c>
      <c r="J2635" s="1">
        <v>99102.31375217282</v>
      </c>
    </row>
    <row r="2636" spans="1:10" x14ac:dyDescent="0.2">
      <c r="A2636">
        <v>2004790</v>
      </c>
      <c r="B2636">
        <v>2016</v>
      </c>
      <c r="C2636" t="s">
        <v>6</v>
      </c>
      <c r="D2636" t="s">
        <v>7</v>
      </c>
      <c r="E2636" t="s">
        <v>8</v>
      </c>
      <c r="F2636" s="29">
        <v>5590</v>
      </c>
      <c r="G2636" s="3" t="s">
        <v>332</v>
      </c>
      <c r="H2636" s="1">
        <v>96961</v>
      </c>
      <c r="I2636" s="26">
        <v>256080.29381435056</v>
      </c>
      <c r="J2636" s="26">
        <v>353041.29381435056</v>
      </c>
    </row>
    <row r="2637" spans="1:10" x14ac:dyDescent="0.2">
      <c r="A2637">
        <v>2004790</v>
      </c>
      <c r="B2637">
        <v>2017</v>
      </c>
      <c r="C2637" t="s">
        <v>6</v>
      </c>
      <c r="D2637" t="s">
        <v>7</v>
      </c>
      <c r="E2637" t="s">
        <v>8</v>
      </c>
      <c r="F2637" s="29">
        <v>5590</v>
      </c>
      <c r="G2637" s="3" t="s">
        <v>332</v>
      </c>
      <c r="H2637" s="1">
        <v>109304</v>
      </c>
      <c r="I2637" s="1">
        <v>17057.50578440302</v>
      </c>
      <c r="J2637" s="1">
        <v>126361.50578440302</v>
      </c>
    </row>
    <row r="2638" spans="1:10" x14ac:dyDescent="0.2">
      <c r="A2638">
        <v>2004790</v>
      </c>
      <c r="B2638">
        <v>2018</v>
      </c>
      <c r="C2638" t="s">
        <v>6</v>
      </c>
      <c r="D2638" t="s">
        <v>7</v>
      </c>
      <c r="E2638" t="s">
        <v>8</v>
      </c>
      <c r="F2638" s="28">
        <v>5590</v>
      </c>
      <c r="G2638" t="s">
        <v>332</v>
      </c>
      <c r="H2638" s="1">
        <v>132754</v>
      </c>
      <c r="I2638" s="1">
        <v>20074.973237982118</v>
      </c>
      <c r="J2638" s="1">
        <v>152828.97323798211</v>
      </c>
    </row>
    <row r="2639" spans="1:10" x14ac:dyDescent="0.2">
      <c r="A2639">
        <v>2004790</v>
      </c>
      <c r="B2639">
        <v>2019</v>
      </c>
      <c r="C2639" t="s">
        <v>6</v>
      </c>
      <c r="D2639" t="s">
        <v>7</v>
      </c>
      <c r="E2639" t="s">
        <v>8</v>
      </c>
      <c r="F2639" s="28">
        <v>5590</v>
      </c>
      <c r="G2639" t="s">
        <v>332</v>
      </c>
      <c r="H2639" s="1">
        <v>132559</v>
      </c>
      <c r="I2639" s="1">
        <v>20188.446970478162</v>
      </c>
      <c r="J2639" s="1">
        <v>152747.44697047817</v>
      </c>
    </row>
    <row r="2640" spans="1:10" x14ac:dyDescent="0.2">
      <c r="A2640">
        <v>2004790</v>
      </c>
      <c r="B2640">
        <v>2020</v>
      </c>
      <c r="C2640" t="s">
        <v>6</v>
      </c>
      <c r="D2640" t="s">
        <v>7</v>
      </c>
      <c r="E2640" t="s">
        <v>8</v>
      </c>
      <c r="F2640" s="28">
        <v>5590</v>
      </c>
      <c r="G2640" t="s">
        <v>332</v>
      </c>
      <c r="H2640" s="1">
        <v>143761</v>
      </c>
      <c r="I2640" s="1">
        <v>21748.85772062085</v>
      </c>
      <c r="J2640" s="1">
        <v>165509.85772062084</v>
      </c>
    </row>
    <row r="2641" spans="1:10" x14ac:dyDescent="0.2">
      <c r="A2641">
        <v>2004790</v>
      </c>
      <c r="B2641">
        <v>2021</v>
      </c>
      <c r="C2641" t="s">
        <v>6</v>
      </c>
      <c r="D2641" t="s">
        <v>7</v>
      </c>
      <c r="E2641" t="s">
        <v>8</v>
      </c>
      <c r="F2641" s="28">
        <v>5590</v>
      </c>
      <c r="G2641" t="s">
        <v>332</v>
      </c>
      <c r="H2641" s="25">
        <v>140842</v>
      </c>
      <c r="I2641" s="1">
        <v>21026.741704906271</v>
      </c>
      <c r="J2641" s="1">
        <v>161868.74170490628</v>
      </c>
    </row>
    <row r="2642" spans="1:10" x14ac:dyDescent="0.2">
      <c r="A2642">
        <v>2004790</v>
      </c>
      <c r="B2642">
        <v>2022</v>
      </c>
      <c r="C2642" t="s">
        <v>6</v>
      </c>
      <c r="D2642" t="s">
        <v>7</v>
      </c>
      <c r="E2642" t="s">
        <v>8</v>
      </c>
      <c r="F2642" s="28">
        <v>5590</v>
      </c>
      <c r="G2642" t="s">
        <v>332</v>
      </c>
      <c r="H2642" s="1">
        <v>159119</v>
      </c>
      <c r="I2642" s="1">
        <v>21609.243963405181</v>
      </c>
      <c r="J2642" s="1">
        <v>180728.24396340517</v>
      </c>
    </row>
    <row r="2643" spans="1:10" x14ac:dyDescent="0.2">
      <c r="A2643">
        <v>2004790</v>
      </c>
      <c r="B2643">
        <v>2023</v>
      </c>
      <c r="C2643" t="s">
        <v>6</v>
      </c>
      <c r="D2643" t="s">
        <v>7</v>
      </c>
      <c r="E2643" t="s">
        <v>8</v>
      </c>
      <c r="F2643" s="28">
        <v>5590</v>
      </c>
      <c r="G2643" s="10" t="s">
        <v>332</v>
      </c>
      <c r="H2643" s="1">
        <v>160624</v>
      </c>
      <c r="I2643" s="1">
        <v>22487.838063107301</v>
      </c>
      <c r="J2643" s="1">
        <v>183111.83806310731</v>
      </c>
    </row>
    <row r="2644" spans="1:10" x14ac:dyDescent="0.2">
      <c r="A2644">
        <v>2000046</v>
      </c>
      <c r="B2644">
        <v>2016</v>
      </c>
      <c r="C2644" t="s">
        <v>6</v>
      </c>
      <c r="D2644" t="s">
        <v>7</v>
      </c>
      <c r="E2644" t="s">
        <v>8</v>
      </c>
      <c r="F2644" s="29">
        <v>5596</v>
      </c>
      <c r="G2644" s="3" t="s">
        <v>30</v>
      </c>
      <c r="H2644" s="1">
        <v>82505</v>
      </c>
      <c r="I2644" s="26">
        <v>217903.24343164277</v>
      </c>
      <c r="J2644" s="26">
        <v>300408.24343164277</v>
      </c>
    </row>
    <row r="2645" spans="1:10" x14ac:dyDescent="0.2">
      <c r="A2645">
        <v>2000046</v>
      </c>
      <c r="B2645">
        <v>2017</v>
      </c>
      <c r="C2645" t="s">
        <v>6</v>
      </c>
      <c r="D2645" t="s">
        <v>7</v>
      </c>
      <c r="E2645" t="s">
        <v>8</v>
      </c>
      <c r="F2645" s="29">
        <v>5596</v>
      </c>
      <c r="G2645" s="3" t="s">
        <v>30</v>
      </c>
      <c r="H2645" s="1">
        <v>80981</v>
      </c>
      <c r="I2645" s="1">
        <v>12637.541864220348</v>
      </c>
      <c r="J2645" s="1">
        <v>93618.541864220344</v>
      </c>
    </row>
    <row r="2646" spans="1:10" x14ac:dyDescent="0.2">
      <c r="A2646">
        <v>2000046</v>
      </c>
      <c r="B2646">
        <v>2018</v>
      </c>
      <c r="C2646" t="s">
        <v>6</v>
      </c>
      <c r="D2646" t="s">
        <v>7</v>
      </c>
      <c r="E2646" t="s">
        <v>8</v>
      </c>
      <c r="F2646" s="28">
        <v>5596</v>
      </c>
      <c r="G2646" t="s">
        <v>30</v>
      </c>
      <c r="H2646" s="1">
        <v>77638</v>
      </c>
      <c r="I2646" s="1">
        <v>11740.367689489249</v>
      </c>
      <c r="J2646" s="1">
        <v>89378.367689489241</v>
      </c>
    </row>
    <row r="2647" spans="1:10" x14ac:dyDescent="0.2">
      <c r="A2647">
        <v>2000046</v>
      </c>
      <c r="B2647">
        <v>2019</v>
      </c>
      <c r="C2647" t="s">
        <v>6</v>
      </c>
      <c r="D2647" t="s">
        <v>7</v>
      </c>
      <c r="E2647" t="s">
        <v>8</v>
      </c>
      <c r="F2647" s="28">
        <v>5596</v>
      </c>
      <c r="G2647" t="s">
        <v>30</v>
      </c>
      <c r="H2647" s="1">
        <v>83347</v>
      </c>
      <c r="I2647" s="1">
        <v>12693.566560161462</v>
      </c>
      <c r="J2647" s="1">
        <v>96040.56656016146</v>
      </c>
    </row>
    <row r="2648" spans="1:10" x14ac:dyDescent="0.2">
      <c r="A2648">
        <v>2000046</v>
      </c>
      <c r="B2648">
        <v>2020</v>
      </c>
      <c r="C2648" t="s">
        <v>6</v>
      </c>
      <c r="D2648" t="s">
        <v>7</v>
      </c>
      <c r="E2648" t="s">
        <v>8</v>
      </c>
      <c r="F2648" s="28">
        <v>5596</v>
      </c>
      <c r="G2648" t="s">
        <v>30</v>
      </c>
      <c r="H2648" s="1">
        <v>85198</v>
      </c>
      <c r="I2648" s="1">
        <v>12889.164516673196</v>
      </c>
      <c r="J2648" s="1">
        <v>98087.164516673191</v>
      </c>
    </row>
    <row r="2649" spans="1:10" x14ac:dyDescent="0.2">
      <c r="A2649">
        <v>2000046</v>
      </c>
      <c r="B2649">
        <v>2021</v>
      </c>
      <c r="C2649" t="s">
        <v>6</v>
      </c>
      <c r="D2649" t="s">
        <v>7</v>
      </c>
      <c r="E2649" t="s">
        <v>8</v>
      </c>
      <c r="F2649" s="28">
        <v>5596</v>
      </c>
      <c r="G2649" t="s">
        <v>30</v>
      </c>
      <c r="H2649" s="25">
        <v>67185</v>
      </c>
      <c r="I2649" s="1">
        <v>10030.258313884549</v>
      </c>
      <c r="J2649" s="1">
        <v>77215.258313884551</v>
      </c>
    </row>
    <row r="2650" spans="1:10" x14ac:dyDescent="0.2">
      <c r="A2650">
        <v>2000046</v>
      </c>
      <c r="B2650">
        <v>2022</v>
      </c>
      <c r="C2650" t="s">
        <v>6</v>
      </c>
      <c r="D2650" t="s">
        <v>7</v>
      </c>
      <c r="E2650" t="s">
        <v>8</v>
      </c>
      <c r="F2650" s="28">
        <v>5596</v>
      </c>
      <c r="G2650" t="s">
        <v>30</v>
      </c>
      <c r="H2650" s="1">
        <v>60066</v>
      </c>
      <c r="I2650" s="1">
        <v>8157.2964127847426</v>
      </c>
      <c r="J2650" s="1">
        <v>68223.296412784737</v>
      </c>
    </row>
    <row r="2651" spans="1:10" x14ac:dyDescent="0.2">
      <c r="A2651">
        <v>2000046</v>
      </c>
      <c r="B2651">
        <v>2023</v>
      </c>
      <c r="C2651" t="s">
        <v>6</v>
      </c>
      <c r="D2651" t="s">
        <v>7</v>
      </c>
      <c r="E2651" t="s">
        <v>8</v>
      </c>
      <c r="F2651" s="28">
        <v>5596</v>
      </c>
      <c r="G2651" s="10" t="s">
        <v>30</v>
      </c>
      <c r="H2651" s="1">
        <v>58206</v>
      </c>
      <c r="I2651" s="1">
        <v>8149.013237755401</v>
      </c>
      <c r="J2651" s="1">
        <v>66355.013237755396</v>
      </c>
    </row>
    <row r="2652" spans="1:10" x14ac:dyDescent="0.2">
      <c r="B2652">
        <v>2016</v>
      </c>
      <c r="C2652" t="s">
        <v>6</v>
      </c>
      <c r="D2652" t="s">
        <v>7</v>
      </c>
      <c r="E2652" t="s">
        <v>8</v>
      </c>
      <c r="F2652" s="29">
        <v>5600</v>
      </c>
      <c r="G2652" s="3" t="s">
        <v>31</v>
      </c>
      <c r="H2652" s="1">
        <v>105961</v>
      </c>
      <c r="I2652" s="26">
        <v>279852.73473920231</v>
      </c>
      <c r="J2652" s="26">
        <v>385813.73473920231</v>
      </c>
    </row>
    <row r="2653" spans="1:10" x14ac:dyDescent="0.2">
      <c r="B2653">
        <v>2017</v>
      </c>
      <c r="C2653" t="s">
        <v>6</v>
      </c>
      <c r="D2653" t="s">
        <v>7</v>
      </c>
      <c r="E2653" t="s">
        <v>8</v>
      </c>
      <c r="F2653" s="29">
        <v>5600</v>
      </c>
      <c r="G2653" s="3" t="s">
        <v>31</v>
      </c>
      <c r="H2653" s="1">
        <v>105230</v>
      </c>
      <c r="I2653" s="1">
        <v>16421.735102948929</v>
      </c>
      <c r="J2653" s="1">
        <v>121651.73510294894</v>
      </c>
    </row>
    <row r="2654" spans="1:10" x14ac:dyDescent="0.2">
      <c r="B2654">
        <v>2018</v>
      </c>
      <c r="C2654" t="s">
        <v>6</v>
      </c>
      <c r="D2654" t="s">
        <v>7</v>
      </c>
      <c r="E2654" t="s">
        <v>8</v>
      </c>
      <c r="F2654" s="28">
        <v>5600</v>
      </c>
      <c r="G2654" t="s">
        <v>31</v>
      </c>
      <c r="H2654" s="1">
        <v>85424</v>
      </c>
      <c r="I2654" s="1">
        <v>12917.761527949324</v>
      </c>
      <c r="J2654" s="1">
        <v>98341.761527949318</v>
      </c>
    </row>
    <row r="2655" spans="1:10" x14ac:dyDescent="0.2">
      <c r="B2655">
        <v>2019</v>
      </c>
      <c r="C2655" t="s">
        <v>6</v>
      </c>
      <c r="D2655" t="s">
        <v>7</v>
      </c>
      <c r="E2655" t="s">
        <v>8</v>
      </c>
      <c r="F2655" s="28">
        <v>5600</v>
      </c>
      <c r="G2655" t="s">
        <v>31</v>
      </c>
      <c r="H2655" s="1">
        <v>82485</v>
      </c>
      <c r="I2655" s="1">
        <v>12562.285837701636</v>
      </c>
      <c r="J2655" s="1">
        <v>95047.285837701638</v>
      </c>
    </row>
    <row r="2656" spans="1:10" x14ac:dyDescent="0.2">
      <c r="B2656">
        <v>2020</v>
      </c>
      <c r="C2656" t="s">
        <v>6</v>
      </c>
      <c r="D2656" t="s">
        <v>7</v>
      </c>
      <c r="E2656" t="s">
        <v>8</v>
      </c>
      <c r="F2656" s="28">
        <v>5600</v>
      </c>
      <c r="G2656" t="s">
        <v>31</v>
      </c>
      <c r="H2656" s="1">
        <v>67133</v>
      </c>
      <c r="I2656" s="1">
        <v>10156.204153827808</v>
      </c>
      <c r="J2656" s="1">
        <v>77289.204153827814</v>
      </c>
    </row>
    <row r="2657" spans="1:10" x14ac:dyDescent="0.2">
      <c r="B2657">
        <v>2021</v>
      </c>
      <c r="C2657" t="s">
        <v>6</v>
      </c>
      <c r="D2657" t="s">
        <v>7</v>
      </c>
      <c r="E2657" t="s">
        <v>8</v>
      </c>
      <c r="F2657" s="28">
        <v>5600</v>
      </c>
      <c r="G2657" t="s">
        <v>31</v>
      </c>
      <c r="H2657" s="25">
        <v>60718</v>
      </c>
      <c r="I2657" s="1">
        <v>9064.7797023508519</v>
      </c>
      <c r="J2657" s="1">
        <v>69782.779702350846</v>
      </c>
    </row>
    <row r="2658" spans="1:10" x14ac:dyDescent="0.2">
      <c r="B2658">
        <v>2022</v>
      </c>
      <c r="C2658" t="s">
        <v>6</v>
      </c>
      <c r="D2658" t="s">
        <v>7</v>
      </c>
      <c r="E2658" t="s">
        <v>8</v>
      </c>
      <c r="F2658" s="28">
        <v>5600</v>
      </c>
      <c r="G2658" t="s">
        <v>31</v>
      </c>
      <c r="H2658" s="1">
        <v>51549</v>
      </c>
      <c r="I2658" s="1">
        <v>7000.6405084846783</v>
      </c>
      <c r="J2658" s="1">
        <v>58549.640508484677</v>
      </c>
    </row>
    <row r="2659" spans="1:10" x14ac:dyDescent="0.2">
      <c r="B2659">
        <v>2023</v>
      </c>
      <c r="C2659" t="s">
        <v>6</v>
      </c>
      <c r="D2659" t="s">
        <v>7</v>
      </c>
      <c r="E2659" t="s">
        <v>8</v>
      </c>
      <c r="F2659" s="28">
        <v>5600</v>
      </c>
      <c r="G2659" s="10" t="s">
        <v>31</v>
      </c>
      <c r="H2659" s="1">
        <v>91048</v>
      </c>
      <c r="I2659" s="1">
        <v>12746.990984969827</v>
      </c>
      <c r="J2659" s="1">
        <v>103794.99098496983</v>
      </c>
    </row>
    <row r="2660" spans="1:10" x14ac:dyDescent="0.2">
      <c r="A2660">
        <v>2000048</v>
      </c>
      <c r="B2660">
        <v>2016</v>
      </c>
      <c r="C2660" t="s">
        <v>6</v>
      </c>
      <c r="D2660" t="s">
        <v>7</v>
      </c>
      <c r="E2660" t="s">
        <v>8</v>
      </c>
      <c r="F2660" s="29">
        <v>5604</v>
      </c>
      <c r="G2660" s="3" t="s">
        <v>32</v>
      </c>
      <c r="H2660" s="1">
        <v>75995</v>
      </c>
      <c r="I2660" s="26">
        <v>200709.46804225957</v>
      </c>
      <c r="J2660" s="26">
        <v>276704.46804225957</v>
      </c>
    </row>
    <row r="2661" spans="1:10" x14ac:dyDescent="0.2">
      <c r="A2661">
        <v>2000048</v>
      </c>
      <c r="B2661">
        <v>2017</v>
      </c>
      <c r="C2661" t="s">
        <v>6</v>
      </c>
      <c r="D2661" t="s">
        <v>7</v>
      </c>
      <c r="E2661" t="s">
        <v>8</v>
      </c>
      <c r="F2661" s="29">
        <v>5604</v>
      </c>
      <c r="G2661" s="3" t="s">
        <v>32</v>
      </c>
      <c r="H2661" s="1">
        <v>76703</v>
      </c>
      <c r="I2661" s="1">
        <v>11969.935832001251</v>
      </c>
      <c r="J2661" s="1">
        <v>88672.935832001254</v>
      </c>
    </row>
    <row r="2662" spans="1:10" x14ac:dyDescent="0.2">
      <c r="A2662">
        <v>2000048</v>
      </c>
      <c r="B2662">
        <v>2018</v>
      </c>
      <c r="C2662" t="s">
        <v>6</v>
      </c>
      <c r="D2662" t="s">
        <v>7</v>
      </c>
      <c r="E2662" t="s">
        <v>8</v>
      </c>
      <c r="F2662" s="28">
        <v>5604</v>
      </c>
      <c r="G2662" t="s">
        <v>32</v>
      </c>
      <c r="H2662" s="1">
        <v>55594</v>
      </c>
      <c r="I2662" s="1">
        <v>8406.8883965257392</v>
      </c>
      <c r="J2662" s="1">
        <v>64000.888396525741</v>
      </c>
    </row>
    <row r="2663" spans="1:10" x14ac:dyDescent="0.2">
      <c r="A2663">
        <v>2000048</v>
      </c>
      <c r="B2663">
        <v>2019</v>
      </c>
      <c r="C2663" t="s">
        <v>6</v>
      </c>
      <c r="D2663" t="s">
        <v>7</v>
      </c>
      <c r="E2663" t="s">
        <v>8</v>
      </c>
      <c r="F2663" s="28">
        <v>5604</v>
      </c>
      <c r="G2663" t="s">
        <v>32</v>
      </c>
      <c r="H2663" s="1">
        <v>59406</v>
      </c>
      <c r="I2663" s="1">
        <v>9047.4044065527469</v>
      </c>
      <c r="J2663" s="1">
        <v>68453.404406552741</v>
      </c>
    </row>
    <row r="2664" spans="1:10" x14ac:dyDescent="0.2">
      <c r="A2664">
        <v>2000048</v>
      </c>
      <c r="B2664">
        <v>2020</v>
      </c>
      <c r="C2664" t="s">
        <v>6</v>
      </c>
      <c r="D2664" t="s">
        <v>7</v>
      </c>
      <c r="E2664" t="s">
        <v>8</v>
      </c>
      <c r="F2664" s="28">
        <v>5604</v>
      </c>
      <c r="G2664" t="s">
        <v>32</v>
      </c>
      <c r="H2664" s="1">
        <v>51019</v>
      </c>
      <c r="I2664" s="1">
        <v>7718.4004844732244</v>
      </c>
      <c r="J2664" s="1">
        <v>58737.400484473226</v>
      </c>
    </row>
    <row r="2665" spans="1:10" x14ac:dyDescent="0.2">
      <c r="A2665">
        <v>2000048</v>
      </c>
      <c r="B2665">
        <v>2021</v>
      </c>
      <c r="C2665" t="s">
        <v>6</v>
      </c>
      <c r="D2665" t="s">
        <v>7</v>
      </c>
      <c r="E2665" t="s">
        <v>8</v>
      </c>
      <c r="F2665" s="28">
        <v>5604</v>
      </c>
      <c r="G2665" t="s">
        <v>32</v>
      </c>
      <c r="H2665" s="25">
        <v>47805</v>
      </c>
      <c r="I2665" s="1">
        <v>7136.9576348180526</v>
      </c>
      <c r="J2665" s="1">
        <v>54941.957634818056</v>
      </c>
    </row>
    <row r="2666" spans="1:10" x14ac:dyDescent="0.2">
      <c r="A2666">
        <v>2000048</v>
      </c>
      <c r="B2666">
        <v>2022</v>
      </c>
      <c r="C2666" t="s">
        <v>6</v>
      </c>
      <c r="D2666" t="s">
        <v>7</v>
      </c>
      <c r="E2666" t="s">
        <v>8</v>
      </c>
      <c r="F2666" s="28">
        <v>5604</v>
      </c>
      <c r="G2666" t="s">
        <v>32</v>
      </c>
      <c r="H2666" s="1">
        <v>24000</v>
      </c>
      <c r="I2666" s="1">
        <v>3259.3332984855629</v>
      </c>
      <c r="J2666" s="1">
        <v>27259.333298485562</v>
      </c>
    </row>
    <row r="2667" spans="1:10" x14ac:dyDescent="0.2">
      <c r="A2667">
        <v>2000048</v>
      </c>
      <c r="B2667">
        <v>2023</v>
      </c>
      <c r="C2667" t="s">
        <v>6</v>
      </c>
      <c r="D2667" t="s">
        <v>7</v>
      </c>
      <c r="E2667" t="s">
        <v>8</v>
      </c>
      <c r="F2667" s="28">
        <v>5604</v>
      </c>
      <c r="G2667" s="10" t="s">
        <v>32</v>
      </c>
      <c r="H2667" s="1">
        <v>26388</v>
      </c>
      <c r="I2667" s="1">
        <v>3694.3985382587625</v>
      </c>
      <c r="J2667" s="1">
        <v>30082.398538258763</v>
      </c>
    </row>
    <row r="2668" spans="1:10" x14ac:dyDescent="0.2">
      <c r="A2668">
        <v>2000035</v>
      </c>
      <c r="B2668">
        <v>2016</v>
      </c>
      <c r="C2668" t="s">
        <v>6</v>
      </c>
      <c r="D2668" t="s">
        <v>7</v>
      </c>
      <c r="E2668" t="s">
        <v>8</v>
      </c>
      <c r="F2668" s="29">
        <v>5608</v>
      </c>
      <c r="G2668" s="3" t="s">
        <v>33</v>
      </c>
      <c r="H2668" s="1">
        <v>6308</v>
      </c>
      <c r="I2668" s="26">
        <v>16662.860220787818</v>
      </c>
      <c r="J2668" s="26">
        <v>22970.860220787818</v>
      </c>
    </row>
    <row r="2669" spans="1:10" x14ac:dyDescent="0.2">
      <c r="A2669">
        <v>2000035</v>
      </c>
      <c r="B2669">
        <v>2017</v>
      </c>
      <c r="C2669" t="s">
        <v>6</v>
      </c>
      <c r="D2669" t="s">
        <v>7</v>
      </c>
      <c r="E2669" t="s">
        <v>8</v>
      </c>
      <c r="F2669" s="29">
        <v>5608</v>
      </c>
      <c r="G2669" s="3" t="s">
        <v>33</v>
      </c>
      <c r="H2669" s="1">
        <v>28222</v>
      </c>
      <c r="I2669" s="1">
        <v>4404.2023004411731</v>
      </c>
      <c r="J2669" s="1">
        <v>32626.202300441175</v>
      </c>
    </row>
    <row r="2670" spans="1:10" x14ac:dyDescent="0.2">
      <c r="A2670">
        <v>2000035</v>
      </c>
      <c r="B2670">
        <v>2018</v>
      </c>
      <c r="C2670" t="s">
        <v>6</v>
      </c>
      <c r="D2670" t="s">
        <v>7</v>
      </c>
      <c r="E2670" t="s">
        <v>8</v>
      </c>
      <c r="F2670" s="28">
        <v>5608</v>
      </c>
      <c r="G2670" t="s">
        <v>33</v>
      </c>
      <c r="H2670" s="1">
        <v>12076</v>
      </c>
      <c r="I2670" s="1">
        <v>1826.1248385877041</v>
      </c>
      <c r="J2670" s="1">
        <v>13902.124838587704</v>
      </c>
    </row>
    <row r="2671" spans="1:10" x14ac:dyDescent="0.2">
      <c r="A2671">
        <v>2000035</v>
      </c>
      <c r="B2671">
        <v>2019</v>
      </c>
      <c r="C2671" t="s">
        <v>6</v>
      </c>
      <c r="D2671" t="s">
        <v>7</v>
      </c>
      <c r="E2671" t="s">
        <v>8</v>
      </c>
      <c r="F2671" s="28">
        <v>5608</v>
      </c>
      <c r="G2671" t="s">
        <v>33</v>
      </c>
      <c r="H2671" s="1">
        <v>14809</v>
      </c>
      <c r="I2671" s="1">
        <v>2255.3784442083229</v>
      </c>
      <c r="J2671" s="1">
        <v>17064.378444208323</v>
      </c>
    </row>
    <row r="2672" spans="1:10" x14ac:dyDescent="0.2">
      <c r="A2672">
        <v>2000035</v>
      </c>
      <c r="B2672">
        <v>2020</v>
      </c>
      <c r="C2672" t="s">
        <v>6</v>
      </c>
      <c r="D2672" t="s">
        <v>7</v>
      </c>
      <c r="E2672" t="s">
        <v>8</v>
      </c>
      <c r="F2672" s="28">
        <v>5608</v>
      </c>
      <c r="G2672" t="s">
        <v>33</v>
      </c>
      <c r="H2672" s="1">
        <v>29130</v>
      </c>
      <c r="I2672" s="1">
        <v>4406.9269509928663</v>
      </c>
      <c r="J2672" s="1">
        <v>33536.926950992864</v>
      </c>
    </row>
    <row r="2673" spans="1:10" x14ac:dyDescent="0.2">
      <c r="A2673">
        <v>2000035</v>
      </c>
      <c r="B2673">
        <v>2021</v>
      </c>
      <c r="C2673" t="s">
        <v>6</v>
      </c>
      <c r="D2673" t="s">
        <v>7</v>
      </c>
      <c r="E2673" t="s">
        <v>8</v>
      </c>
      <c r="F2673" s="28">
        <v>5608</v>
      </c>
      <c r="G2673" t="s">
        <v>33</v>
      </c>
      <c r="H2673" s="25">
        <v>1368</v>
      </c>
      <c r="I2673" s="1">
        <v>204.2329891105762</v>
      </c>
      <c r="J2673" s="1">
        <v>1572.2329891105762</v>
      </c>
    </row>
    <row r="2674" spans="1:10" x14ac:dyDescent="0.2">
      <c r="A2674">
        <v>2000035</v>
      </c>
      <c r="B2674">
        <v>2022</v>
      </c>
      <c r="C2674" t="s">
        <v>6</v>
      </c>
      <c r="D2674" t="s">
        <v>7</v>
      </c>
      <c r="E2674" t="s">
        <v>8</v>
      </c>
      <c r="F2674" s="28">
        <v>5608</v>
      </c>
      <c r="G2674" t="s">
        <v>33</v>
      </c>
      <c r="H2674" s="1"/>
      <c r="I2674" s="1">
        <v>0</v>
      </c>
      <c r="J2674" s="1">
        <v>0</v>
      </c>
    </row>
    <row r="2675" spans="1:10" x14ac:dyDescent="0.2">
      <c r="A2675">
        <v>2000035</v>
      </c>
      <c r="B2675">
        <v>2023</v>
      </c>
      <c r="C2675" t="s">
        <v>6</v>
      </c>
      <c r="D2675" t="s">
        <v>7</v>
      </c>
      <c r="E2675" t="s">
        <v>8</v>
      </c>
      <c r="F2675" s="28">
        <v>5608</v>
      </c>
      <c r="G2675" s="10" t="s">
        <v>33</v>
      </c>
      <c r="H2675" s="1">
        <v>2754</v>
      </c>
      <c r="I2675" s="1">
        <v>385.56819669412732</v>
      </c>
      <c r="J2675" s="1">
        <v>3139.5681966941274</v>
      </c>
    </row>
    <row r="2676" spans="1:10" x14ac:dyDescent="0.2">
      <c r="A2676">
        <v>2000039</v>
      </c>
      <c r="B2676">
        <v>2016</v>
      </c>
      <c r="C2676" t="s">
        <v>6</v>
      </c>
      <c r="D2676" t="s">
        <v>7</v>
      </c>
      <c r="E2676" t="s">
        <v>8</v>
      </c>
      <c r="F2676" s="29">
        <v>5609</v>
      </c>
      <c r="G2676" s="3" t="s">
        <v>365</v>
      </c>
      <c r="H2676" s="1">
        <v>73980</v>
      </c>
      <c r="I2676" s="26">
        <v>195389.51797680708</v>
      </c>
      <c r="J2676" s="26">
        <v>269369.51797680708</v>
      </c>
    </row>
    <row r="2677" spans="1:10" x14ac:dyDescent="0.2">
      <c r="A2677">
        <v>2000039</v>
      </c>
      <c r="B2677">
        <v>2017</v>
      </c>
      <c r="C2677" t="s">
        <v>6</v>
      </c>
      <c r="D2677" t="s">
        <v>7</v>
      </c>
      <c r="E2677" t="s">
        <v>8</v>
      </c>
      <c r="F2677" s="29">
        <v>5609</v>
      </c>
      <c r="G2677" s="3" t="s">
        <v>365</v>
      </c>
      <c r="H2677" s="1">
        <v>87406</v>
      </c>
      <c r="I2677" s="1">
        <v>13640.199357677033</v>
      </c>
      <c r="J2677" s="1">
        <v>101046.19935767703</v>
      </c>
    </row>
    <row r="2678" spans="1:10" x14ac:dyDescent="0.2">
      <c r="A2678">
        <v>2000039</v>
      </c>
      <c r="B2678">
        <v>2018</v>
      </c>
      <c r="C2678" t="s">
        <v>6</v>
      </c>
      <c r="D2678" t="s">
        <v>7</v>
      </c>
      <c r="E2678" t="s">
        <v>8</v>
      </c>
      <c r="F2678" s="28">
        <v>5609</v>
      </c>
      <c r="G2678" t="s">
        <v>365</v>
      </c>
      <c r="H2678" s="1">
        <v>75126</v>
      </c>
      <c r="I2678" s="1">
        <v>11360.504688948315</v>
      </c>
      <c r="J2678" s="1">
        <v>86486.50468894832</v>
      </c>
    </row>
    <row r="2679" spans="1:10" x14ac:dyDescent="0.2">
      <c r="B2679">
        <v>2019</v>
      </c>
      <c r="C2679" t="s">
        <v>6</v>
      </c>
      <c r="D2679" t="s">
        <v>7</v>
      </c>
      <c r="E2679" t="s">
        <v>8</v>
      </c>
      <c r="F2679" s="28">
        <v>5609</v>
      </c>
      <c r="G2679" t="s">
        <v>34</v>
      </c>
      <c r="H2679" s="1">
        <v>59794</v>
      </c>
      <c r="I2679" s="1">
        <v>9106.4959614418585</v>
      </c>
      <c r="J2679" s="1">
        <v>68900.495961441862</v>
      </c>
    </row>
    <row r="2680" spans="1:10" x14ac:dyDescent="0.2">
      <c r="B2680">
        <v>2020</v>
      </c>
      <c r="C2680" t="s">
        <v>6</v>
      </c>
      <c r="D2680" t="s">
        <v>7</v>
      </c>
      <c r="E2680" t="s">
        <v>8</v>
      </c>
      <c r="F2680" s="28">
        <v>5609</v>
      </c>
      <c r="G2680" t="s">
        <v>34</v>
      </c>
      <c r="H2680" s="1">
        <v>71823</v>
      </c>
      <c r="I2680" s="1">
        <v>10865.729982875406</v>
      </c>
      <c r="J2680" s="1">
        <v>82688.729982875404</v>
      </c>
    </row>
    <row r="2681" spans="1:10" x14ac:dyDescent="0.2">
      <c r="B2681">
        <v>2021</v>
      </c>
      <c r="C2681" t="s">
        <v>6</v>
      </c>
      <c r="D2681" t="s">
        <v>7</v>
      </c>
      <c r="E2681" t="s">
        <v>8</v>
      </c>
      <c r="F2681" s="28">
        <v>5609</v>
      </c>
      <c r="G2681" t="s">
        <v>34</v>
      </c>
      <c r="H2681" s="25">
        <v>40798</v>
      </c>
      <c r="I2681" s="1">
        <v>6090.8607381091288</v>
      </c>
      <c r="J2681" s="1">
        <v>46888.860738109128</v>
      </c>
    </row>
    <row r="2682" spans="1:10" x14ac:dyDescent="0.2">
      <c r="B2682">
        <v>2022</v>
      </c>
      <c r="C2682" t="s">
        <v>6</v>
      </c>
      <c r="D2682" t="s">
        <v>7</v>
      </c>
      <c r="E2682" t="s">
        <v>8</v>
      </c>
      <c r="F2682" s="28">
        <v>5609</v>
      </c>
      <c r="G2682" t="s">
        <v>34</v>
      </c>
      <c r="H2682" s="1">
        <v>18642</v>
      </c>
      <c r="I2682" s="1">
        <v>2531.6871395986609</v>
      </c>
      <c r="J2682" s="1">
        <v>21173.68713959866</v>
      </c>
    </row>
    <row r="2683" spans="1:10" x14ac:dyDescent="0.2">
      <c r="B2683">
        <v>2023</v>
      </c>
      <c r="C2683" t="s">
        <v>6</v>
      </c>
      <c r="D2683" t="s">
        <v>7</v>
      </c>
      <c r="E2683" t="s">
        <v>8</v>
      </c>
      <c r="F2683" s="28">
        <v>5609</v>
      </c>
      <c r="G2683" s="10" t="s">
        <v>34</v>
      </c>
      <c r="H2683" s="1">
        <v>13776</v>
      </c>
      <c r="I2683" s="1">
        <v>1928.6810013283582</v>
      </c>
      <c r="J2683" s="1">
        <v>15704.681001328358</v>
      </c>
    </row>
    <row r="2684" spans="1:10" x14ac:dyDescent="0.2">
      <c r="A2684">
        <v>2000041</v>
      </c>
      <c r="B2684">
        <v>2016</v>
      </c>
      <c r="C2684" t="s">
        <v>6</v>
      </c>
      <c r="D2684" t="s">
        <v>7</v>
      </c>
      <c r="E2684" t="s">
        <v>8</v>
      </c>
      <c r="F2684" s="29">
        <v>5612</v>
      </c>
      <c r="G2684" s="3" t="s">
        <v>35</v>
      </c>
      <c r="H2684" s="1">
        <v>174198</v>
      </c>
      <c r="I2684" s="26">
        <v>460072.81721714698</v>
      </c>
      <c r="J2684" s="26">
        <v>634270.81721714698</v>
      </c>
    </row>
    <row r="2685" spans="1:10" x14ac:dyDescent="0.2">
      <c r="A2685">
        <v>2000041</v>
      </c>
      <c r="B2685">
        <v>2017</v>
      </c>
      <c r="C2685" t="s">
        <v>6</v>
      </c>
      <c r="D2685" t="s">
        <v>7</v>
      </c>
      <c r="E2685" t="s">
        <v>8</v>
      </c>
      <c r="F2685" s="29">
        <v>5612</v>
      </c>
      <c r="G2685" s="3" t="s">
        <v>35</v>
      </c>
      <c r="H2685" s="1">
        <v>137489</v>
      </c>
      <c r="I2685" s="1">
        <v>21455.934026127012</v>
      </c>
      <c r="J2685" s="1">
        <v>158944.93402612701</v>
      </c>
    </row>
    <row r="2686" spans="1:10" x14ac:dyDescent="0.2">
      <c r="A2686">
        <v>2000041</v>
      </c>
      <c r="B2686">
        <v>2018</v>
      </c>
      <c r="C2686" t="s">
        <v>6</v>
      </c>
      <c r="D2686" t="s">
        <v>7</v>
      </c>
      <c r="E2686" t="s">
        <v>8</v>
      </c>
      <c r="F2686" s="28">
        <v>5612</v>
      </c>
      <c r="G2686" t="s">
        <v>35</v>
      </c>
      <c r="H2686" s="1">
        <v>109559</v>
      </c>
      <c r="I2686" s="1">
        <v>16567.440476219796</v>
      </c>
      <c r="J2686" s="1">
        <v>126126.4404762198</v>
      </c>
    </row>
    <row r="2687" spans="1:10" x14ac:dyDescent="0.2">
      <c r="A2687">
        <v>2000041</v>
      </c>
      <c r="B2687">
        <v>2019</v>
      </c>
      <c r="C2687" t="s">
        <v>6</v>
      </c>
      <c r="D2687" t="s">
        <v>7</v>
      </c>
      <c r="E2687" t="s">
        <v>8</v>
      </c>
      <c r="F2687" s="28">
        <v>5612</v>
      </c>
      <c r="G2687" t="s">
        <v>35</v>
      </c>
      <c r="H2687" s="1">
        <v>96575</v>
      </c>
      <c r="I2687" s="1">
        <v>14708.16214797885</v>
      </c>
      <c r="J2687" s="1">
        <v>111283.16214797884</v>
      </c>
    </row>
    <row r="2688" spans="1:10" x14ac:dyDescent="0.2">
      <c r="A2688">
        <v>2000041</v>
      </c>
      <c r="B2688">
        <v>2020</v>
      </c>
      <c r="C2688" t="s">
        <v>6</v>
      </c>
      <c r="D2688" t="s">
        <v>7</v>
      </c>
      <c r="E2688" t="s">
        <v>8</v>
      </c>
      <c r="F2688" s="28">
        <v>5612</v>
      </c>
      <c r="G2688" t="s">
        <v>35</v>
      </c>
      <c r="H2688" s="1">
        <v>98227</v>
      </c>
      <c r="I2688" s="1">
        <v>14860.254501035917</v>
      </c>
      <c r="J2688" s="1">
        <v>113087.25450103592</v>
      </c>
    </row>
    <row r="2689" spans="1:10" x14ac:dyDescent="0.2">
      <c r="A2689">
        <v>2000041</v>
      </c>
      <c r="B2689">
        <v>2021</v>
      </c>
      <c r="C2689" t="s">
        <v>6</v>
      </c>
      <c r="D2689" t="s">
        <v>7</v>
      </c>
      <c r="E2689" t="s">
        <v>8</v>
      </c>
      <c r="F2689" s="28">
        <v>5612</v>
      </c>
      <c r="G2689" t="s">
        <v>35</v>
      </c>
      <c r="H2689" s="25">
        <v>81891</v>
      </c>
      <c r="I2689" s="1">
        <v>12225.762946823244</v>
      </c>
      <c r="J2689" s="1">
        <v>94116.762946823248</v>
      </c>
    </row>
    <row r="2690" spans="1:10" x14ac:dyDescent="0.2">
      <c r="A2690">
        <v>2000041</v>
      </c>
      <c r="B2690">
        <v>2022</v>
      </c>
      <c r="C2690" t="s">
        <v>6</v>
      </c>
      <c r="D2690" t="s">
        <v>7</v>
      </c>
      <c r="E2690" t="s">
        <v>8</v>
      </c>
      <c r="F2690" s="28">
        <v>5612</v>
      </c>
      <c r="G2690" t="s">
        <v>35</v>
      </c>
      <c r="H2690" s="1">
        <v>71437</v>
      </c>
      <c r="I2690" s="1">
        <v>9701.5413684963823</v>
      </c>
      <c r="J2690" s="1">
        <v>81138.541368496386</v>
      </c>
    </row>
    <row r="2691" spans="1:10" x14ac:dyDescent="0.2">
      <c r="A2691">
        <v>2000041</v>
      </c>
      <c r="B2691">
        <v>2023</v>
      </c>
      <c r="C2691" t="s">
        <v>6</v>
      </c>
      <c r="D2691" t="s">
        <v>7</v>
      </c>
      <c r="E2691" t="s">
        <v>8</v>
      </c>
      <c r="F2691" s="28">
        <v>5612</v>
      </c>
      <c r="G2691" s="10" t="s">
        <v>35</v>
      </c>
      <c r="H2691" s="1">
        <v>84113</v>
      </c>
      <c r="I2691" s="1">
        <v>11776.070344420164</v>
      </c>
      <c r="J2691" s="1">
        <v>95889.070344420164</v>
      </c>
    </row>
    <row r="2692" spans="1:10" x14ac:dyDescent="0.2">
      <c r="B2692">
        <v>2016</v>
      </c>
      <c r="C2692" t="s">
        <v>6</v>
      </c>
      <c r="D2692" t="s">
        <v>7</v>
      </c>
      <c r="E2692" t="s">
        <v>8</v>
      </c>
      <c r="F2692" s="29">
        <v>5624</v>
      </c>
      <c r="G2692" s="3" t="s">
        <v>36</v>
      </c>
      <c r="H2692" s="1">
        <v>49856</v>
      </c>
      <c r="I2692" s="26">
        <v>131675.02663172668</v>
      </c>
      <c r="J2692" s="26">
        <v>181531.02663172668</v>
      </c>
    </row>
    <row r="2693" spans="1:10" x14ac:dyDescent="0.2">
      <c r="B2693">
        <v>2017</v>
      </c>
      <c r="C2693" t="s">
        <v>6</v>
      </c>
      <c r="D2693" t="s">
        <v>7</v>
      </c>
      <c r="E2693" t="s">
        <v>8</v>
      </c>
      <c r="F2693" s="29">
        <v>5624</v>
      </c>
      <c r="G2693" s="3" t="s">
        <v>36</v>
      </c>
      <c r="H2693" s="1">
        <v>38416</v>
      </c>
      <c r="I2693" s="1">
        <v>5995.0335048454435</v>
      </c>
      <c r="J2693" s="1">
        <v>44411.033504845444</v>
      </c>
    </row>
    <row r="2694" spans="1:10" x14ac:dyDescent="0.2">
      <c r="B2694">
        <v>2018</v>
      </c>
      <c r="C2694" t="s">
        <v>6</v>
      </c>
      <c r="D2694" t="s">
        <v>7</v>
      </c>
      <c r="E2694" t="s">
        <v>8</v>
      </c>
      <c r="F2694" s="28">
        <v>5624</v>
      </c>
      <c r="G2694" t="s">
        <v>36</v>
      </c>
      <c r="H2694" s="1">
        <v>36781</v>
      </c>
      <c r="I2694" s="1">
        <v>5561.998814847163</v>
      </c>
      <c r="J2694" s="1">
        <v>42342.99881484716</v>
      </c>
    </row>
    <row r="2695" spans="1:10" x14ac:dyDescent="0.2">
      <c r="B2695">
        <v>2019</v>
      </c>
      <c r="C2695" t="s">
        <v>6</v>
      </c>
      <c r="D2695" t="s">
        <v>7</v>
      </c>
      <c r="E2695" t="s">
        <v>8</v>
      </c>
      <c r="F2695" s="28">
        <v>5624</v>
      </c>
      <c r="G2695" t="s">
        <v>36</v>
      </c>
      <c r="H2695" s="1">
        <v>36784</v>
      </c>
      <c r="I2695" s="1">
        <v>5602.1230800026296</v>
      </c>
      <c r="J2695" s="1">
        <v>42386.123080002631</v>
      </c>
    </row>
    <row r="2696" spans="1:10" x14ac:dyDescent="0.2">
      <c r="B2696">
        <v>2020</v>
      </c>
      <c r="C2696" t="s">
        <v>6</v>
      </c>
      <c r="D2696" t="s">
        <v>7</v>
      </c>
      <c r="E2696" t="s">
        <v>8</v>
      </c>
      <c r="F2696" s="28">
        <v>5624</v>
      </c>
      <c r="G2696" t="s">
        <v>36</v>
      </c>
      <c r="H2696" s="1">
        <v>30939</v>
      </c>
      <c r="I2696" s="1">
        <v>4680.6011993397969</v>
      </c>
      <c r="J2696" s="1">
        <v>35619.601199339799</v>
      </c>
    </row>
    <row r="2697" spans="1:10" x14ac:dyDescent="0.2">
      <c r="B2697">
        <v>2021</v>
      </c>
      <c r="C2697" t="s">
        <v>6</v>
      </c>
      <c r="D2697" t="s">
        <v>7</v>
      </c>
      <c r="E2697" t="s">
        <v>8</v>
      </c>
      <c r="F2697" s="28">
        <v>5624</v>
      </c>
      <c r="G2697" t="s">
        <v>36</v>
      </c>
      <c r="H2697" s="25">
        <v>13279</v>
      </c>
      <c r="I2697" s="1">
        <v>1982.4633497071211</v>
      </c>
      <c r="J2697" s="1">
        <v>15261.463349707121</v>
      </c>
    </row>
    <row r="2698" spans="1:10" x14ac:dyDescent="0.2">
      <c r="B2698">
        <v>2022</v>
      </c>
      <c r="C2698" t="s">
        <v>6</v>
      </c>
      <c r="D2698" t="s">
        <v>7</v>
      </c>
      <c r="E2698" t="s">
        <v>8</v>
      </c>
      <c r="F2698" s="28">
        <v>5624</v>
      </c>
      <c r="G2698" t="s">
        <v>36</v>
      </c>
      <c r="H2698" s="1">
        <v>20016</v>
      </c>
      <c r="I2698" s="1">
        <v>2718.2839709369596</v>
      </c>
      <c r="J2698" s="1">
        <v>22734.283970936958</v>
      </c>
    </row>
    <row r="2699" spans="1:10" x14ac:dyDescent="0.2">
      <c r="B2699">
        <v>2023</v>
      </c>
      <c r="C2699" t="s">
        <v>6</v>
      </c>
      <c r="D2699" t="s">
        <v>7</v>
      </c>
      <c r="E2699" t="s">
        <v>8</v>
      </c>
      <c r="F2699" s="28">
        <v>5624</v>
      </c>
      <c r="G2699" s="10" t="s">
        <v>36</v>
      </c>
      <c r="H2699" s="1">
        <v>25118</v>
      </c>
      <c r="I2699" s="1">
        <v>3516.5947583743973</v>
      </c>
      <c r="J2699" s="1">
        <v>28634.594758374398</v>
      </c>
    </row>
    <row r="2700" spans="1:10" x14ac:dyDescent="0.2">
      <c r="A2700">
        <v>2000044</v>
      </c>
      <c r="B2700">
        <v>2016</v>
      </c>
      <c r="C2700" t="s">
        <v>6</v>
      </c>
      <c r="D2700" t="s">
        <v>7</v>
      </c>
      <c r="E2700" t="s">
        <v>8</v>
      </c>
      <c r="F2700" s="29">
        <v>5626</v>
      </c>
      <c r="G2700" s="3" t="s">
        <v>37</v>
      </c>
      <c r="H2700" s="1">
        <v>53167</v>
      </c>
      <c r="I2700" s="26">
        <v>140414.21890526294</v>
      </c>
      <c r="J2700" s="26">
        <v>193581.21890526294</v>
      </c>
    </row>
    <row r="2701" spans="1:10" x14ac:dyDescent="0.2">
      <c r="A2701">
        <v>2000044</v>
      </c>
      <c r="B2701">
        <v>2017</v>
      </c>
      <c r="C2701" t="s">
        <v>6</v>
      </c>
      <c r="D2701" t="s">
        <v>7</v>
      </c>
      <c r="E2701" t="s">
        <v>8</v>
      </c>
      <c r="F2701" s="29">
        <v>5626</v>
      </c>
      <c r="G2701" s="3" t="s">
        <v>37</v>
      </c>
      <c r="H2701" s="1">
        <v>92883</v>
      </c>
      <c r="I2701" s="1">
        <v>14494.916103461042</v>
      </c>
      <c r="J2701" s="1">
        <v>107377.91610346104</v>
      </c>
    </row>
    <row r="2702" spans="1:10" x14ac:dyDescent="0.2">
      <c r="A2702">
        <v>2000044</v>
      </c>
      <c r="B2702">
        <v>2018</v>
      </c>
      <c r="C2702" t="s">
        <v>6</v>
      </c>
      <c r="D2702" t="s">
        <v>7</v>
      </c>
      <c r="E2702" t="s">
        <v>8</v>
      </c>
      <c r="F2702" s="28">
        <v>5626</v>
      </c>
      <c r="G2702" t="s">
        <v>37</v>
      </c>
      <c r="H2702" s="1">
        <v>61886</v>
      </c>
      <c r="I2702" s="1">
        <v>9358.3605300462605</v>
      </c>
      <c r="J2702" s="1">
        <v>71244.360530046266</v>
      </c>
    </row>
    <row r="2703" spans="1:10" x14ac:dyDescent="0.2">
      <c r="A2703">
        <v>2000044</v>
      </c>
      <c r="B2703">
        <v>2019</v>
      </c>
      <c r="C2703" t="s">
        <v>6</v>
      </c>
      <c r="D2703" t="s">
        <v>7</v>
      </c>
      <c r="E2703" t="s">
        <v>8</v>
      </c>
      <c r="F2703" s="28">
        <v>5626</v>
      </c>
      <c r="G2703" t="s">
        <v>37</v>
      </c>
      <c r="H2703" s="1">
        <v>43060</v>
      </c>
      <c r="I2703" s="1">
        <v>6557.9442101161721</v>
      </c>
      <c r="J2703" s="1">
        <v>49617.944210116169</v>
      </c>
    </row>
    <row r="2704" spans="1:10" x14ac:dyDescent="0.2">
      <c r="A2704">
        <v>2000044</v>
      </c>
      <c r="B2704">
        <v>2020</v>
      </c>
      <c r="C2704" t="s">
        <v>6</v>
      </c>
      <c r="D2704" t="s">
        <v>7</v>
      </c>
      <c r="E2704" t="s">
        <v>8</v>
      </c>
      <c r="F2704" s="28">
        <v>5626</v>
      </c>
      <c r="G2704" t="s">
        <v>37</v>
      </c>
      <c r="H2704" s="1">
        <v>29592</v>
      </c>
      <c r="I2704" s="1">
        <v>4476.8205401229279</v>
      </c>
      <c r="J2704" s="1">
        <v>34068.820540122928</v>
      </c>
    </row>
    <row r="2705" spans="1:10" x14ac:dyDescent="0.2">
      <c r="A2705">
        <v>2000044</v>
      </c>
      <c r="B2705">
        <v>2021</v>
      </c>
      <c r="C2705" t="s">
        <v>6</v>
      </c>
      <c r="D2705" t="s">
        <v>7</v>
      </c>
      <c r="E2705" t="s">
        <v>8</v>
      </c>
      <c r="F2705" s="28">
        <v>5626</v>
      </c>
      <c r="G2705" t="s">
        <v>37</v>
      </c>
      <c r="H2705" s="25">
        <v>13464</v>
      </c>
      <c r="I2705" s="1">
        <v>2010.0825770356712</v>
      </c>
      <c r="J2705" s="1">
        <v>15474.082577035671</v>
      </c>
    </row>
    <row r="2706" spans="1:10" x14ac:dyDescent="0.2">
      <c r="A2706">
        <v>2000044</v>
      </c>
      <c r="B2706">
        <v>2022</v>
      </c>
      <c r="C2706" t="s">
        <v>6</v>
      </c>
      <c r="D2706" t="s">
        <v>7</v>
      </c>
      <c r="E2706" t="s">
        <v>8</v>
      </c>
      <c r="F2706" s="28">
        <v>5626</v>
      </c>
      <c r="G2706" t="s">
        <v>37</v>
      </c>
      <c r="H2706" s="1">
        <v>17263</v>
      </c>
      <c r="I2706" s="1">
        <v>2344.411280489845</v>
      </c>
      <c r="J2706" s="1">
        <v>19607.411280489847</v>
      </c>
    </row>
    <row r="2707" spans="1:10" x14ac:dyDescent="0.2">
      <c r="A2707">
        <v>2000044</v>
      </c>
      <c r="B2707">
        <v>2023</v>
      </c>
      <c r="C2707" t="s">
        <v>6</v>
      </c>
      <c r="D2707" t="s">
        <v>7</v>
      </c>
      <c r="E2707" t="s">
        <v>8</v>
      </c>
      <c r="F2707" s="28">
        <v>5626</v>
      </c>
      <c r="G2707" s="10" t="s">
        <v>37</v>
      </c>
      <c r="H2707" s="1">
        <v>9885</v>
      </c>
      <c r="I2707" s="1">
        <v>1383.9294205960236</v>
      </c>
      <c r="J2707" s="1">
        <v>11268.929420596023</v>
      </c>
    </row>
    <row r="2708" spans="1:10" x14ac:dyDescent="0.2">
      <c r="A2708">
        <v>2000047</v>
      </c>
      <c r="B2708">
        <v>2016</v>
      </c>
      <c r="C2708" t="s">
        <v>6</v>
      </c>
      <c r="D2708" t="s">
        <v>7</v>
      </c>
      <c r="E2708" t="s">
        <v>8</v>
      </c>
      <c r="F2708" s="29">
        <v>5634</v>
      </c>
      <c r="G2708" s="3" t="s">
        <v>38</v>
      </c>
      <c r="H2708" s="1">
        <v>45289</v>
      </c>
      <c r="I2708" s="26">
        <v>119615.75325806779</v>
      </c>
      <c r="J2708" s="26">
        <v>164904.75325806779</v>
      </c>
    </row>
    <row r="2709" spans="1:10" x14ac:dyDescent="0.2">
      <c r="A2709">
        <v>2000047</v>
      </c>
      <c r="B2709">
        <v>2017</v>
      </c>
      <c r="C2709" t="s">
        <v>6</v>
      </c>
      <c r="D2709" t="s">
        <v>7</v>
      </c>
      <c r="E2709" t="s">
        <v>8</v>
      </c>
      <c r="F2709" s="29">
        <v>5634</v>
      </c>
      <c r="G2709" s="3" t="s">
        <v>38</v>
      </c>
      <c r="H2709" s="1">
        <v>48039</v>
      </c>
      <c r="I2709" s="1">
        <v>7496.7569382358979</v>
      </c>
      <c r="J2709" s="1">
        <v>55535.7569382359</v>
      </c>
    </row>
    <row r="2710" spans="1:10" x14ac:dyDescent="0.2">
      <c r="A2710">
        <v>2000047</v>
      </c>
      <c r="B2710">
        <v>2018</v>
      </c>
      <c r="C2710" t="s">
        <v>6</v>
      </c>
      <c r="D2710" t="s">
        <v>7</v>
      </c>
      <c r="E2710" t="s">
        <v>8</v>
      </c>
      <c r="F2710" s="28">
        <v>5634</v>
      </c>
      <c r="G2710" t="s">
        <v>38</v>
      </c>
      <c r="H2710" s="1">
        <v>49209</v>
      </c>
      <c r="I2710" s="1">
        <v>7441.3528637017498</v>
      </c>
      <c r="J2710" s="1">
        <v>56650.352863701752</v>
      </c>
    </row>
    <row r="2711" spans="1:10" x14ac:dyDescent="0.2">
      <c r="A2711">
        <v>2000047</v>
      </c>
      <c r="B2711">
        <v>2019</v>
      </c>
      <c r="C2711" t="s">
        <v>6</v>
      </c>
      <c r="D2711" t="s">
        <v>7</v>
      </c>
      <c r="E2711" t="s">
        <v>8</v>
      </c>
      <c r="F2711" s="28">
        <v>5634</v>
      </c>
      <c r="G2711" t="s">
        <v>38</v>
      </c>
      <c r="H2711" s="1">
        <v>75151</v>
      </c>
      <c r="I2711" s="1">
        <v>11445.333612039954</v>
      </c>
      <c r="J2711" s="1">
        <v>86596.333612039947</v>
      </c>
    </row>
    <row r="2712" spans="1:10" x14ac:dyDescent="0.2">
      <c r="A2712">
        <v>2000047</v>
      </c>
      <c r="B2712">
        <v>2020</v>
      </c>
      <c r="C2712" t="s">
        <v>6</v>
      </c>
      <c r="D2712" t="s">
        <v>7</v>
      </c>
      <c r="E2712" t="s">
        <v>8</v>
      </c>
      <c r="F2712" s="28">
        <v>5634</v>
      </c>
      <c r="G2712" t="s">
        <v>38</v>
      </c>
      <c r="H2712" s="1">
        <v>110824</v>
      </c>
      <c r="I2712" s="1">
        <v>16765.989441017278</v>
      </c>
      <c r="J2712" s="1">
        <v>127589.98944101727</v>
      </c>
    </row>
    <row r="2713" spans="1:10" x14ac:dyDescent="0.2">
      <c r="A2713">
        <v>2000047</v>
      </c>
      <c r="B2713">
        <v>2021</v>
      </c>
      <c r="C2713" t="s">
        <v>6</v>
      </c>
      <c r="D2713" t="s">
        <v>7</v>
      </c>
      <c r="E2713" t="s">
        <v>8</v>
      </c>
      <c r="F2713" s="28">
        <v>5634</v>
      </c>
      <c r="G2713" t="s">
        <v>38</v>
      </c>
      <c r="H2713" s="25">
        <v>117283</v>
      </c>
      <c r="I2713" s="1">
        <v>17509.545074455931</v>
      </c>
      <c r="J2713" s="1">
        <v>134792.54507445593</v>
      </c>
    </row>
    <row r="2714" spans="1:10" x14ac:dyDescent="0.2">
      <c r="A2714">
        <v>2000047</v>
      </c>
      <c r="B2714">
        <v>2022</v>
      </c>
      <c r="C2714" t="s">
        <v>6</v>
      </c>
      <c r="D2714" t="s">
        <v>7</v>
      </c>
      <c r="E2714" t="s">
        <v>8</v>
      </c>
      <c r="F2714" s="28">
        <v>5634</v>
      </c>
      <c r="G2714" t="s">
        <v>38</v>
      </c>
      <c r="H2714" s="1">
        <v>82454</v>
      </c>
      <c r="I2714" s="1">
        <v>11197.711158055359</v>
      </c>
      <c r="J2714" s="1">
        <v>93651.711158055361</v>
      </c>
    </row>
    <row r="2715" spans="1:10" x14ac:dyDescent="0.2">
      <c r="A2715">
        <v>2000047</v>
      </c>
      <c r="B2715">
        <v>2023</v>
      </c>
      <c r="C2715" t="s">
        <v>6</v>
      </c>
      <c r="D2715" t="s">
        <v>7</v>
      </c>
      <c r="E2715" t="s">
        <v>8</v>
      </c>
      <c r="F2715" s="28">
        <v>5634</v>
      </c>
      <c r="G2715" s="10" t="s">
        <v>38</v>
      </c>
      <c r="H2715" s="1">
        <v>62575</v>
      </c>
      <c r="I2715" s="1">
        <v>8760.6862411528746</v>
      </c>
      <c r="J2715" s="1">
        <v>71335.686241152871</v>
      </c>
    </row>
    <row r="2716" spans="1:10" x14ac:dyDescent="0.2">
      <c r="A2716">
        <v>2000051</v>
      </c>
      <c r="B2716">
        <v>2016</v>
      </c>
      <c r="C2716" t="s">
        <v>6</v>
      </c>
      <c r="D2716" t="s">
        <v>7</v>
      </c>
      <c r="E2716" t="s">
        <v>8</v>
      </c>
      <c r="F2716" s="29">
        <v>5638</v>
      </c>
      <c r="G2716" s="3" t="s">
        <v>39</v>
      </c>
      <c r="H2716" s="1">
        <v>31384</v>
      </c>
      <c r="I2716" s="26">
        <v>82883.505098702895</v>
      </c>
      <c r="J2716" s="26">
        <v>114267.5050987029</v>
      </c>
    </row>
    <row r="2717" spans="1:10" x14ac:dyDescent="0.2">
      <c r="A2717">
        <v>2000051</v>
      </c>
      <c r="B2717">
        <v>2017</v>
      </c>
      <c r="C2717" t="s">
        <v>6</v>
      </c>
      <c r="D2717" t="s">
        <v>7</v>
      </c>
      <c r="E2717" t="s">
        <v>8</v>
      </c>
      <c r="F2717" s="29">
        <v>5638</v>
      </c>
      <c r="G2717" s="3" t="s">
        <v>39</v>
      </c>
      <c r="H2717" s="1">
        <v>33070</v>
      </c>
      <c r="I2717" s="1">
        <v>5160.7600480330802</v>
      </c>
      <c r="J2717" s="1">
        <v>38230.76004803308</v>
      </c>
    </row>
    <row r="2718" spans="1:10" x14ac:dyDescent="0.2">
      <c r="A2718">
        <v>2000051</v>
      </c>
      <c r="B2718">
        <v>2018</v>
      </c>
      <c r="C2718" t="s">
        <v>6</v>
      </c>
      <c r="D2718" t="s">
        <v>7</v>
      </c>
      <c r="E2718" t="s">
        <v>8</v>
      </c>
      <c r="F2718" s="28">
        <v>5638</v>
      </c>
      <c r="G2718" t="s">
        <v>39</v>
      </c>
      <c r="H2718" s="1">
        <v>21582</v>
      </c>
      <c r="I2718" s="1">
        <v>3263.6159544882271</v>
      </c>
      <c r="J2718" s="1">
        <v>24845.615954488228</v>
      </c>
    </row>
    <row r="2719" spans="1:10" x14ac:dyDescent="0.2">
      <c r="A2719">
        <v>2000051</v>
      </c>
      <c r="B2719">
        <v>2019</v>
      </c>
      <c r="C2719" t="s">
        <v>6</v>
      </c>
      <c r="D2719" t="s">
        <v>7</v>
      </c>
      <c r="E2719" t="s">
        <v>8</v>
      </c>
      <c r="F2719" s="28">
        <v>5638</v>
      </c>
      <c r="G2719" t="s">
        <v>39</v>
      </c>
      <c r="H2719" s="1">
        <v>37186</v>
      </c>
      <c r="I2719" s="1">
        <v>5663.3468043980492</v>
      </c>
      <c r="J2719" s="1">
        <v>42849.346804398047</v>
      </c>
    </row>
    <row r="2720" spans="1:10" x14ac:dyDescent="0.2">
      <c r="A2720">
        <v>2000051</v>
      </c>
      <c r="B2720">
        <v>2020</v>
      </c>
      <c r="C2720" t="s">
        <v>6</v>
      </c>
      <c r="D2720" t="s">
        <v>7</v>
      </c>
      <c r="E2720" t="s">
        <v>8</v>
      </c>
      <c r="F2720" s="28">
        <v>5638</v>
      </c>
      <c r="G2720" t="s">
        <v>39</v>
      </c>
      <c r="H2720" s="1">
        <v>31662</v>
      </c>
      <c r="I2720" s="1">
        <v>4789.980127783595</v>
      </c>
      <c r="J2720" s="1">
        <v>36451.980127783594</v>
      </c>
    </row>
    <row r="2721" spans="1:10" x14ac:dyDescent="0.2">
      <c r="A2721">
        <v>2000051</v>
      </c>
      <c r="B2721">
        <v>2021</v>
      </c>
      <c r="C2721" t="s">
        <v>6</v>
      </c>
      <c r="D2721" t="s">
        <v>7</v>
      </c>
      <c r="E2721" t="s">
        <v>8</v>
      </c>
      <c r="F2721" s="28">
        <v>5638</v>
      </c>
      <c r="G2721" t="s">
        <v>39</v>
      </c>
      <c r="H2721" s="25">
        <v>22344</v>
      </c>
      <c r="I2721" s="1">
        <v>3335.8054888060788</v>
      </c>
      <c r="J2721" s="1">
        <v>25679.80548880608</v>
      </c>
    </row>
    <row r="2722" spans="1:10" x14ac:dyDescent="0.2">
      <c r="A2722">
        <v>2000051</v>
      </c>
      <c r="B2722">
        <v>2022</v>
      </c>
      <c r="C2722" t="s">
        <v>6</v>
      </c>
      <c r="D2722" t="s">
        <v>7</v>
      </c>
      <c r="E2722" t="s">
        <v>8</v>
      </c>
      <c r="F2722" s="28">
        <v>5638</v>
      </c>
      <c r="G2722" t="s">
        <v>39</v>
      </c>
      <c r="H2722" s="1">
        <v>14466</v>
      </c>
      <c r="I2722" s="1">
        <v>1964.5631456621729</v>
      </c>
      <c r="J2722" s="1">
        <v>16430.563145662174</v>
      </c>
    </row>
    <row r="2723" spans="1:10" x14ac:dyDescent="0.2">
      <c r="A2723">
        <v>2000051</v>
      </c>
      <c r="B2723">
        <v>2023</v>
      </c>
      <c r="C2723" t="s">
        <v>6</v>
      </c>
      <c r="D2723" t="s">
        <v>7</v>
      </c>
      <c r="E2723" t="s">
        <v>8</v>
      </c>
      <c r="F2723" s="28">
        <v>5638</v>
      </c>
      <c r="G2723" s="10" t="s">
        <v>39</v>
      </c>
      <c r="H2723" s="1">
        <v>19158</v>
      </c>
      <c r="I2723" s="1">
        <v>2682.1770197044634</v>
      </c>
      <c r="J2723" s="1">
        <v>21840.177019704464</v>
      </c>
    </row>
    <row r="2724" spans="1:10" x14ac:dyDescent="0.2">
      <c r="A2724">
        <v>2000033</v>
      </c>
      <c r="B2724">
        <v>2016</v>
      </c>
      <c r="C2724" t="s">
        <v>6</v>
      </c>
      <c r="D2724" t="s">
        <v>7</v>
      </c>
      <c r="E2724" t="s">
        <v>8</v>
      </c>
      <c r="F2724" s="29">
        <v>5655</v>
      </c>
      <c r="G2724" s="3" t="s">
        <v>40</v>
      </c>
      <c r="H2724" s="1">
        <v>5518</v>
      </c>
      <c r="I2724" s="26">
        <v>14576.863989590636</v>
      </c>
      <c r="J2724" s="26">
        <v>20094.863989590634</v>
      </c>
    </row>
    <row r="2725" spans="1:10" x14ac:dyDescent="0.2">
      <c r="A2725">
        <v>2000033</v>
      </c>
      <c r="B2725">
        <v>2017</v>
      </c>
      <c r="C2725" t="s">
        <v>6</v>
      </c>
      <c r="D2725" t="s">
        <v>7</v>
      </c>
      <c r="E2725" t="s">
        <v>8</v>
      </c>
      <c r="F2725" s="29">
        <v>5655</v>
      </c>
      <c r="G2725" s="3" t="s">
        <v>40</v>
      </c>
      <c r="H2725" s="1">
        <v>2510</v>
      </c>
      <c r="I2725" s="1">
        <v>391.69965892237775</v>
      </c>
      <c r="J2725" s="1">
        <v>2901.6996589223777</v>
      </c>
    </row>
    <row r="2726" spans="1:10" x14ac:dyDescent="0.2">
      <c r="A2726">
        <v>2000033</v>
      </c>
      <c r="B2726">
        <v>2018</v>
      </c>
      <c r="C2726" t="s">
        <v>6</v>
      </c>
      <c r="D2726" t="s">
        <v>7</v>
      </c>
      <c r="E2726" t="s">
        <v>8</v>
      </c>
      <c r="F2726" s="28">
        <v>5655</v>
      </c>
      <c r="G2726" t="s">
        <v>40</v>
      </c>
      <c r="H2726" s="1"/>
      <c r="I2726" s="1">
        <v>0</v>
      </c>
      <c r="J2726" s="1">
        <v>0</v>
      </c>
    </row>
    <row r="2727" spans="1:10" x14ac:dyDescent="0.2">
      <c r="A2727">
        <v>2000033</v>
      </c>
      <c r="B2727">
        <v>2019</v>
      </c>
      <c r="C2727" t="s">
        <v>6</v>
      </c>
      <c r="D2727" t="s">
        <v>7</v>
      </c>
      <c r="E2727" t="s">
        <v>8</v>
      </c>
      <c r="F2727" s="28">
        <v>5655</v>
      </c>
      <c r="G2727" t="s">
        <v>40</v>
      </c>
      <c r="H2727" s="1"/>
      <c r="I2727" s="1">
        <v>0</v>
      </c>
      <c r="J2727" s="1">
        <v>0</v>
      </c>
    </row>
    <row r="2728" spans="1:10" x14ac:dyDescent="0.2">
      <c r="A2728">
        <v>2000033</v>
      </c>
      <c r="B2728">
        <v>2020</v>
      </c>
      <c r="C2728" t="s">
        <v>6</v>
      </c>
      <c r="D2728" t="s">
        <v>7</v>
      </c>
      <c r="E2728" t="s">
        <v>8</v>
      </c>
      <c r="F2728" s="28">
        <v>5655</v>
      </c>
      <c r="G2728" t="s">
        <v>40</v>
      </c>
      <c r="H2728" s="1"/>
      <c r="I2728" s="1">
        <v>0</v>
      </c>
      <c r="J2728" s="1">
        <v>0</v>
      </c>
    </row>
    <row r="2729" spans="1:10" x14ac:dyDescent="0.2">
      <c r="A2729">
        <v>2000033</v>
      </c>
      <c r="B2729">
        <v>2021</v>
      </c>
      <c r="C2729" t="s">
        <v>6</v>
      </c>
      <c r="D2729" t="s">
        <v>7</v>
      </c>
      <c r="E2729" t="s">
        <v>8</v>
      </c>
      <c r="F2729" s="28">
        <v>5655</v>
      </c>
      <c r="G2729" t="s">
        <v>40</v>
      </c>
      <c r="H2729" s="25">
        <v>2248</v>
      </c>
      <c r="I2729" s="1">
        <v>335.61093532205797</v>
      </c>
      <c r="J2729" s="1">
        <v>2583.6109353220581</v>
      </c>
    </row>
    <row r="2730" spans="1:10" x14ac:dyDescent="0.2">
      <c r="A2730">
        <v>2000033</v>
      </c>
      <c r="B2730">
        <v>2022</v>
      </c>
      <c r="C2730" t="s">
        <v>6</v>
      </c>
      <c r="D2730" t="s">
        <v>7</v>
      </c>
      <c r="E2730" t="s">
        <v>8</v>
      </c>
      <c r="F2730" s="28">
        <v>5655</v>
      </c>
      <c r="G2730" t="s">
        <v>40</v>
      </c>
      <c r="H2730" s="1"/>
      <c r="I2730" s="1">
        <v>0</v>
      </c>
      <c r="J2730" s="1">
        <v>0</v>
      </c>
    </row>
    <row r="2731" spans="1:10" x14ac:dyDescent="0.2">
      <c r="A2731">
        <v>2000033</v>
      </c>
      <c r="B2731">
        <v>2023</v>
      </c>
      <c r="C2731" t="s">
        <v>6</v>
      </c>
      <c r="D2731" t="s">
        <v>7</v>
      </c>
      <c r="E2731" t="s">
        <v>8</v>
      </c>
      <c r="F2731" s="28">
        <v>5655</v>
      </c>
      <c r="G2731" s="10" t="s">
        <v>40</v>
      </c>
      <c r="H2731" s="1"/>
      <c r="I2731" s="1">
        <v>0</v>
      </c>
      <c r="J2731" s="1">
        <v>0</v>
      </c>
    </row>
    <row r="2732" spans="1:10" x14ac:dyDescent="0.2">
      <c r="A2732">
        <v>2000037</v>
      </c>
      <c r="B2732">
        <v>2016</v>
      </c>
      <c r="C2732" t="s">
        <v>6</v>
      </c>
      <c r="D2732" t="s">
        <v>7</v>
      </c>
      <c r="E2732" t="s">
        <v>8</v>
      </c>
      <c r="F2732" s="29">
        <v>5657</v>
      </c>
      <c r="G2732" s="3" t="s">
        <v>41</v>
      </c>
      <c r="H2732" s="1">
        <v>38594</v>
      </c>
      <c r="I2732" s="26">
        <v>101928.56746737394</v>
      </c>
      <c r="J2732" s="26">
        <v>140522.56746737394</v>
      </c>
    </row>
    <row r="2733" spans="1:10" x14ac:dyDescent="0.2">
      <c r="A2733">
        <v>2000037</v>
      </c>
      <c r="B2733">
        <v>2017</v>
      </c>
      <c r="C2733" t="s">
        <v>6</v>
      </c>
      <c r="D2733" t="s">
        <v>7</v>
      </c>
      <c r="E2733" t="s">
        <v>8</v>
      </c>
      <c r="F2733" s="29">
        <v>5657</v>
      </c>
      <c r="G2733" s="3" t="s">
        <v>41</v>
      </c>
      <c r="H2733" s="1">
        <v>24376</v>
      </c>
      <c r="I2733" s="1">
        <v>3804.0123051362066</v>
      </c>
      <c r="J2733" s="1">
        <v>28180.012305136206</v>
      </c>
    </row>
    <row r="2734" spans="1:10" x14ac:dyDescent="0.2">
      <c r="A2734">
        <v>2000037</v>
      </c>
      <c r="B2734">
        <v>2018</v>
      </c>
      <c r="C2734" t="s">
        <v>6</v>
      </c>
      <c r="D2734" t="s">
        <v>7</v>
      </c>
      <c r="E2734" t="s">
        <v>8</v>
      </c>
      <c r="F2734" s="28">
        <v>5657</v>
      </c>
      <c r="G2734" t="s">
        <v>41</v>
      </c>
      <c r="H2734" s="1">
        <v>3855</v>
      </c>
      <c r="I2734" s="1">
        <v>582.95058403077167</v>
      </c>
      <c r="J2734" s="1">
        <v>4437.950584030772</v>
      </c>
    </row>
    <row r="2735" spans="1:10" x14ac:dyDescent="0.2">
      <c r="A2735">
        <v>2000037</v>
      </c>
      <c r="B2735">
        <v>2019</v>
      </c>
      <c r="C2735" t="s">
        <v>6</v>
      </c>
      <c r="D2735" t="s">
        <v>7</v>
      </c>
      <c r="E2735" t="s">
        <v>8</v>
      </c>
      <c r="F2735" s="28">
        <v>5657</v>
      </c>
      <c r="G2735" t="s">
        <v>41</v>
      </c>
      <c r="H2735" s="1">
        <v>1286</v>
      </c>
      <c r="I2735" s="1">
        <v>195.8549989365861</v>
      </c>
      <c r="J2735" s="1">
        <v>1481.8549989365861</v>
      </c>
    </row>
    <row r="2736" spans="1:10" x14ac:dyDescent="0.2">
      <c r="A2736">
        <v>2000037</v>
      </c>
      <c r="B2736">
        <v>2020</v>
      </c>
      <c r="C2736" t="s">
        <v>6</v>
      </c>
      <c r="D2736" t="s">
        <v>7</v>
      </c>
      <c r="E2736" t="s">
        <v>8</v>
      </c>
      <c r="F2736" s="28">
        <v>5657</v>
      </c>
      <c r="G2736" t="s">
        <v>41</v>
      </c>
      <c r="H2736" s="1">
        <v>1316</v>
      </c>
      <c r="I2736" s="1">
        <v>199.09082964320672</v>
      </c>
      <c r="J2736" s="1">
        <v>1515.0908296432067</v>
      </c>
    </row>
    <row r="2737" spans="1:10" x14ac:dyDescent="0.2">
      <c r="A2737">
        <v>2000037</v>
      </c>
      <c r="B2737">
        <v>2021</v>
      </c>
      <c r="C2737" t="s">
        <v>6</v>
      </c>
      <c r="D2737" t="s">
        <v>7</v>
      </c>
      <c r="E2737" t="s">
        <v>8</v>
      </c>
      <c r="F2737" s="28">
        <v>5657</v>
      </c>
      <c r="G2737" t="s">
        <v>354</v>
      </c>
      <c r="H2737" s="25">
        <v>1789</v>
      </c>
      <c r="I2737" s="1">
        <v>267.08539292311468</v>
      </c>
      <c r="J2737" s="1">
        <v>2056.0853929231148</v>
      </c>
    </row>
    <row r="2738" spans="1:10" x14ac:dyDescent="0.2">
      <c r="A2738">
        <v>2000037</v>
      </c>
      <c r="B2738">
        <v>2022</v>
      </c>
      <c r="C2738" t="s">
        <v>6</v>
      </c>
      <c r="D2738" t="s">
        <v>7</v>
      </c>
      <c r="E2738" t="s">
        <v>8</v>
      </c>
      <c r="F2738" s="28">
        <v>5657</v>
      </c>
      <c r="G2738" t="s">
        <v>41</v>
      </c>
      <c r="H2738" s="1">
        <v>3596</v>
      </c>
      <c r="I2738" s="1">
        <v>488.3567725564202</v>
      </c>
      <c r="J2738" s="1">
        <v>4084.3567725564203</v>
      </c>
    </row>
    <row r="2739" spans="1:10" x14ac:dyDescent="0.2">
      <c r="A2739">
        <v>2000037</v>
      </c>
      <c r="B2739">
        <v>2023</v>
      </c>
      <c r="C2739" t="s">
        <v>6</v>
      </c>
      <c r="D2739" t="s">
        <v>7</v>
      </c>
      <c r="E2739" t="s">
        <v>8</v>
      </c>
      <c r="F2739" s="28">
        <v>5657</v>
      </c>
      <c r="G2739" s="10" t="s">
        <v>41</v>
      </c>
      <c r="H2739" s="1">
        <v>4131</v>
      </c>
      <c r="I2739" s="1">
        <v>578.35229504119104</v>
      </c>
      <c r="J2739" s="1">
        <v>4709.3522950411907</v>
      </c>
    </row>
    <row r="2740" spans="1:10" x14ac:dyDescent="0.2">
      <c r="A2740">
        <v>2000040</v>
      </c>
      <c r="B2740">
        <v>2016</v>
      </c>
      <c r="C2740" t="s">
        <v>6</v>
      </c>
      <c r="D2740" t="s">
        <v>7</v>
      </c>
      <c r="E2740" t="s">
        <v>8</v>
      </c>
      <c r="F2740" s="29">
        <v>5671</v>
      </c>
      <c r="G2740" s="3" t="s">
        <v>42</v>
      </c>
      <c r="H2740" s="1">
        <v>22770</v>
      </c>
      <c r="I2740" s="26">
        <v>60135.230067857483</v>
      </c>
      <c r="J2740" s="26">
        <v>82905.230067857483</v>
      </c>
    </row>
    <row r="2741" spans="1:10" x14ac:dyDescent="0.2">
      <c r="A2741">
        <v>2000040</v>
      </c>
      <c r="B2741">
        <v>2017</v>
      </c>
      <c r="C2741" t="s">
        <v>6</v>
      </c>
      <c r="D2741" t="s">
        <v>7</v>
      </c>
      <c r="E2741" t="s">
        <v>8</v>
      </c>
      <c r="F2741" s="29">
        <v>5671</v>
      </c>
      <c r="G2741" s="3" t="s">
        <v>42</v>
      </c>
      <c r="H2741" s="1">
        <v>37077</v>
      </c>
      <c r="I2741" s="1">
        <v>5786.0750015398407</v>
      </c>
      <c r="J2741" s="1">
        <v>42863.075001539837</v>
      </c>
    </row>
    <row r="2742" spans="1:10" x14ac:dyDescent="0.2">
      <c r="A2742">
        <v>2000040</v>
      </c>
      <c r="B2742">
        <v>2018</v>
      </c>
      <c r="C2742" t="s">
        <v>6</v>
      </c>
      <c r="D2742" t="s">
        <v>7</v>
      </c>
      <c r="E2742" t="s">
        <v>8</v>
      </c>
      <c r="F2742" s="28">
        <v>5671</v>
      </c>
      <c r="G2742" t="s">
        <v>42</v>
      </c>
      <c r="H2742" s="1">
        <v>37551</v>
      </c>
      <c r="I2742" s="1">
        <v>5678.4377123059685</v>
      </c>
      <c r="J2742" s="1">
        <v>43229.437712305968</v>
      </c>
    </row>
    <row r="2743" spans="1:10" x14ac:dyDescent="0.2">
      <c r="A2743">
        <v>2000040</v>
      </c>
      <c r="B2743">
        <v>2019</v>
      </c>
      <c r="C2743" t="s">
        <v>6</v>
      </c>
      <c r="D2743" t="s">
        <v>7</v>
      </c>
      <c r="E2743" t="s">
        <v>8</v>
      </c>
      <c r="F2743" s="28">
        <v>5671</v>
      </c>
      <c r="G2743" t="s">
        <v>42</v>
      </c>
      <c r="H2743" s="1">
        <v>25099</v>
      </c>
      <c r="I2743" s="1">
        <v>3822.5230313447701</v>
      </c>
      <c r="J2743" s="1">
        <v>28921.523031344768</v>
      </c>
    </row>
    <row r="2744" spans="1:10" x14ac:dyDescent="0.2">
      <c r="A2744">
        <v>2000040</v>
      </c>
      <c r="B2744">
        <v>2020</v>
      </c>
      <c r="C2744" t="s">
        <v>6</v>
      </c>
      <c r="D2744" t="s">
        <v>7</v>
      </c>
      <c r="E2744" t="s">
        <v>8</v>
      </c>
      <c r="F2744" s="28">
        <v>5671</v>
      </c>
      <c r="G2744" t="s">
        <v>42</v>
      </c>
      <c r="H2744" s="1">
        <v>23557</v>
      </c>
      <c r="I2744" s="1">
        <v>3563.8166215083743</v>
      </c>
      <c r="J2744" s="1">
        <v>27120.816621508373</v>
      </c>
    </row>
    <row r="2745" spans="1:10" x14ac:dyDescent="0.2">
      <c r="A2745">
        <v>2000040</v>
      </c>
      <c r="B2745">
        <v>2021</v>
      </c>
      <c r="C2745" t="s">
        <v>6</v>
      </c>
      <c r="D2745" t="s">
        <v>7</v>
      </c>
      <c r="E2745" t="s">
        <v>8</v>
      </c>
      <c r="F2745" s="28">
        <v>5671</v>
      </c>
      <c r="G2745" t="s">
        <v>42</v>
      </c>
      <c r="H2745" s="25">
        <v>24522</v>
      </c>
      <c r="I2745" s="1">
        <v>3660.9659056794953</v>
      </c>
      <c r="J2745" s="1">
        <v>28182.965905679495</v>
      </c>
    </row>
    <row r="2746" spans="1:10" x14ac:dyDescent="0.2">
      <c r="A2746">
        <v>2000040</v>
      </c>
      <c r="B2746">
        <v>2022</v>
      </c>
      <c r="C2746" t="s">
        <v>6</v>
      </c>
      <c r="D2746" t="s">
        <v>7</v>
      </c>
      <c r="E2746" t="s">
        <v>8</v>
      </c>
      <c r="F2746" s="28">
        <v>5671</v>
      </c>
      <c r="G2746" t="s">
        <v>42</v>
      </c>
      <c r="H2746" s="1">
        <v>23486</v>
      </c>
      <c r="I2746" s="1">
        <v>3189.5292436763307</v>
      </c>
      <c r="J2746" s="1">
        <v>26675.52924367633</v>
      </c>
    </row>
    <row r="2747" spans="1:10" x14ac:dyDescent="0.2">
      <c r="A2747">
        <v>2000040</v>
      </c>
      <c r="B2747">
        <v>2023</v>
      </c>
      <c r="C2747" t="s">
        <v>6</v>
      </c>
      <c r="D2747" t="s">
        <v>7</v>
      </c>
      <c r="E2747" t="s">
        <v>8</v>
      </c>
      <c r="F2747" s="28">
        <v>5671</v>
      </c>
      <c r="G2747" s="10" t="s">
        <v>42</v>
      </c>
      <c r="H2747" s="1">
        <v>29501</v>
      </c>
      <c r="I2747" s="1">
        <v>4130.2278034398878</v>
      </c>
      <c r="J2747" s="1">
        <v>33631.227803439891</v>
      </c>
    </row>
    <row r="2748" spans="1:10" x14ac:dyDescent="0.2">
      <c r="A2748">
        <v>2093310</v>
      </c>
      <c r="B2748">
        <v>2016</v>
      </c>
      <c r="C2748" t="s">
        <v>6</v>
      </c>
      <c r="D2748" t="s">
        <v>7</v>
      </c>
      <c r="E2748" t="s">
        <v>8</v>
      </c>
      <c r="F2748" s="29">
        <v>5682</v>
      </c>
      <c r="G2748" s="3" t="s">
        <v>43</v>
      </c>
      <c r="H2748" s="1">
        <v>136713</v>
      </c>
      <c r="I2748" s="26">
        <v>361069.76220474683</v>
      </c>
      <c r="J2748" s="26">
        <v>497782.76220474683</v>
      </c>
    </row>
    <row r="2749" spans="1:10" x14ac:dyDescent="0.2">
      <c r="A2749">
        <v>2093310</v>
      </c>
      <c r="B2749">
        <v>2017</v>
      </c>
      <c r="C2749" t="s">
        <v>6</v>
      </c>
      <c r="D2749" t="s">
        <v>7</v>
      </c>
      <c r="E2749" t="s">
        <v>8</v>
      </c>
      <c r="F2749" s="29">
        <v>5682</v>
      </c>
      <c r="G2749" s="3" t="s">
        <v>43</v>
      </c>
      <c r="H2749" s="1">
        <v>135426</v>
      </c>
      <c r="I2749" s="1">
        <v>21133.991238733834</v>
      </c>
      <c r="J2749" s="1">
        <v>156559.99123873384</v>
      </c>
    </row>
    <row r="2750" spans="1:10" x14ac:dyDescent="0.2">
      <c r="A2750">
        <v>2093310</v>
      </c>
      <c r="B2750">
        <v>2018</v>
      </c>
      <c r="C2750" t="s">
        <v>6</v>
      </c>
      <c r="D2750" t="s">
        <v>7</v>
      </c>
      <c r="E2750" t="s">
        <v>8</v>
      </c>
      <c r="F2750" s="28">
        <v>5682</v>
      </c>
      <c r="G2750" t="s">
        <v>43</v>
      </c>
      <c r="H2750" s="1">
        <v>122875</v>
      </c>
      <c r="I2750" s="1">
        <v>18581.077305520383</v>
      </c>
      <c r="J2750" s="1">
        <v>141456.07730552039</v>
      </c>
    </row>
    <row r="2751" spans="1:10" x14ac:dyDescent="0.2">
      <c r="A2751">
        <v>2093310</v>
      </c>
      <c r="B2751">
        <v>2019</v>
      </c>
      <c r="C2751" t="s">
        <v>6</v>
      </c>
      <c r="D2751" t="s">
        <v>7</v>
      </c>
      <c r="E2751" t="s">
        <v>8</v>
      </c>
      <c r="F2751" s="28">
        <v>5682</v>
      </c>
      <c r="G2751" t="s">
        <v>43</v>
      </c>
      <c r="H2751" s="1">
        <v>130055</v>
      </c>
      <c r="I2751" s="1">
        <v>19807.093224492772</v>
      </c>
      <c r="J2751" s="1">
        <v>149862.09322449277</v>
      </c>
    </row>
    <row r="2752" spans="1:10" x14ac:dyDescent="0.2">
      <c r="A2752">
        <v>2093310</v>
      </c>
      <c r="B2752">
        <v>2020</v>
      </c>
      <c r="C2752" t="s">
        <v>6</v>
      </c>
      <c r="D2752" t="s">
        <v>7</v>
      </c>
      <c r="E2752" t="s">
        <v>8</v>
      </c>
      <c r="F2752" s="28">
        <v>5682</v>
      </c>
      <c r="G2752" t="s">
        <v>43</v>
      </c>
      <c r="H2752" s="1">
        <v>134352</v>
      </c>
      <c r="I2752" s="1">
        <v>20325.418802601907</v>
      </c>
      <c r="J2752" s="1">
        <v>154677.4188026019</v>
      </c>
    </row>
    <row r="2753" spans="1:10" x14ac:dyDescent="0.2">
      <c r="A2753">
        <v>2093310</v>
      </c>
      <c r="B2753">
        <v>2021</v>
      </c>
      <c r="C2753" t="s">
        <v>6</v>
      </c>
      <c r="D2753" t="s">
        <v>7</v>
      </c>
      <c r="E2753" t="s">
        <v>8</v>
      </c>
      <c r="F2753" s="28">
        <v>5682</v>
      </c>
      <c r="G2753" t="s">
        <v>43</v>
      </c>
      <c r="H2753" s="25">
        <v>157257</v>
      </c>
      <c r="I2753" s="1">
        <v>23477.388281112489</v>
      </c>
      <c r="J2753" s="1">
        <v>180734.38828111248</v>
      </c>
    </row>
    <row r="2754" spans="1:10" x14ac:dyDescent="0.2">
      <c r="A2754">
        <v>2093310</v>
      </c>
      <c r="B2754">
        <v>2022</v>
      </c>
      <c r="C2754" t="s">
        <v>6</v>
      </c>
      <c r="D2754" t="s">
        <v>7</v>
      </c>
      <c r="E2754" t="s">
        <v>8</v>
      </c>
      <c r="F2754" s="28">
        <v>5682</v>
      </c>
      <c r="G2754" t="s">
        <v>43</v>
      </c>
      <c r="H2754" s="1"/>
      <c r="I2754" s="1">
        <v>0</v>
      </c>
      <c r="J2754" s="1">
        <v>0</v>
      </c>
    </row>
    <row r="2755" spans="1:10" x14ac:dyDescent="0.2">
      <c r="A2755">
        <v>2093310</v>
      </c>
      <c r="B2755">
        <v>2023</v>
      </c>
      <c r="C2755" t="s">
        <v>6</v>
      </c>
      <c r="D2755" t="s">
        <v>7</v>
      </c>
      <c r="E2755" t="s">
        <v>8</v>
      </c>
      <c r="F2755" s="28">
        <v>5682</v>
      </c>
      <c r="G2755" s="10" t="s">
        <v>43</v>
      </c>
      <c r="H2755" s="1"/>
      <c r="I2755" s="1">
        <v>0</v>
      </c>
      <c r="J2755" s="1">
        <v>0</v>
      </c>
    </row>
    <row r="2756" spans="1:10" x14ac:dyDescent="0.2">
      <c r="A2756">
        <v>2000043</v>
      </c>
      <c r="B2756">
        <v>2016</v>
      </c>
      <c r="C2756" t="s">
        <v>6</v>
      </c>
      <c r="D2756" t="s">
        <v>7</v>
      </c>
      <c r="E2756" t="s">
        <v>8</v>
      </c>
      <c r="F2756" s="29">
        <v>5688</v>
      </c>
      <c r="G2756" s="3" t="s">
        <v>44</v>
      </c>
      <c r="H2756" s="1">
        <v>13997</v>
      </c>
      <c r="I2756" s="26">
        <v>36967.27676307362</v>
      </c>
      <c r="J2756" s="26">
        <v>50964.27676307362</v>
      </c>
    </row>
    <row r="2757" spans="1:10" x14ac:dyDescent="0.2">
      <c r="A2757">
        <v>2000043</v>
      </c>
      <c r="B2757">
        <v>2017</v>
      </c>
      <c r="C2757" t="s">
        <v>6</v>
      </c>
      <c r="D2757" t="s">
        <v>7</v>
      </c>
      <c r="E2757" t="s">
        <v>8</v>
      </c>
      <c r="F2757" s="29">
        <v>5688</v>
      </c>
      <c r="G2757" s="3" t="s">
        <v>44</v>
      </c>
      <c r="H2757" s="1">
        <v>11942</v>
      </c>
      <c r="I2757" s="1">
        <v>1863.6164648808904</v>
      </c>
      <c r="J2757" s="1">
        <v>13805.61646488089</v>
      </c>
    </row>
    <row r="2758" spans="1:10" x14ac:dyDescent="0.2">
      <c r="A2758">
        <v>2000043</v>
      </c>
      <c r="B2758">
        <v>2018</v>
      </c>
      <c r="C2758" t="s">
        <v>6</v>
      </c>
      <c r="D2758" t="s">
        <v>7</v>
      </c>
      <c r="E2758" t="s">
        <v>8</v>
      </c>
      <c r="F2758" s="28">
        <v>5688</v>
      </c>
      <c r="G2758" t="s">
        <v>44</v>
      </c>
      <c r="H2758" s="1">
        <v>7138</v>
      </c>
      <c r="I2758" s="1">
        <v>1079.4037013778595</v>
      </c>
      <c r="J2758" s="1">
        <v>8217.4037013778598</v>
      </c>
    </row>
    <row r="2759" spans="1:10" x14ac:dyDescent="0.2">
      <c r="A2759">
        <v>2000043</v>
      </c>
      <c r="B2759">
        <v>2019</v>
      </c>
      <c r="C2759" t="s">
        <v>6</v>
      </c>
      <c r="D2759" t="s">
        <v>7</v>
      </c>
      <c r="E2759" t="s">
        <v>8</v>
      </c>
      <c r="F2759" s="28">
        <v>5688</v>
      </c>
      <c r="G2759" t="s">
        <v>44</v>
      </c>
      <c r="H2759" s="1">
        <v>4984</v>
      </c>
      <c r="I2759" s="1">
        <v>759.05234424568039</v>
      </c>
      <c r="J2759" s="1">
        <v>5743.0523442456806</v>
      </c>
    </row>
    <row r="2760" spans="1:10" x14ac:dyDescent="0.2">
      <c r="A2760">
        <v>2000043</v>
      </c>
      <c r="B2760">
        <v>2020</v>
      </c>
      <c r="C2760" t="s">
        <v>6</v>
      </c>
      <c r="D2760" t="s">
        <v>7</v>
      </c>
      <c r="E2760" t="s">
        <v>8</v>
      </c>
      <c r="F2760" s="28">
        <v>5688</v>
      </c>
      <c r="G2760" t="s">
        <v>44</v>
      </c>
      <c r="H2760" s="1">
        <v>4914</v>
      </c>
      <c r="I2760" s="1">
        <v>743.41362983793135</v>
      </c>
      <c r="J2760" s="1">
        <v>5657.4136298379317</v>
      </c>
    </row>
    <row r="2761" spans="1:10" x14ac:dyDescent="0.2">
      <c r="A2761">
        <v>2000043</v>
      </c>
      <c r="B2761">
        <v>2021</v>
      </c>
      <c r="C2761" t="s">
        <v>6</v>
      </c>
      <c r="D2761" t="s">
        <v>7</v>
      </c>
      <c r="E2761" t="s">
        <v>8</v>
      </c>
      <c r="F2761" s="28">
        <v>5688</v>
      </c>
      <c r="G2761" t="s">
        <v>44</v>
      </c>
      <c r="H2761" s="25">
        <v>7476</v>
      </c>
      <c r="I2761" s="1">
        <v>1116.1153703148157</v>
      </c>
      <c r="J2761" s="1">
        <v>8592.1153703148157</v>
      </c>
    </row>
    <row r="2762" spans="1:10" x14ac:dyDescent="0.2">
      <c r="A2762">
        <v>2000043</v>
      </c>
      <c r="B2762">
        <v>2022</v>
      </c>
      <c r="C2762" t="s">
        <v>6</v>
      </c>
      <c r="D2762" t="s">
        <v>7</v>
      </c>
      <c r="E2762" t="s">
        <v>8</v>
      </c>
      <c r="F2762" s="28">
        <v>5688</v>
      </c>
      <c r="G2762" t="s">
        <v>44</v>
      </c>
      <c r="H2762" s="1">
        <v>10259</v>
      </c>
      <c r="I2762" s="1">
        <v>1393.2291795484746</v>
      </c>
      <c r="J2762" s="1">
        <v>11652.229179548474</v>
      </c>
    </row>
    <row r="2763" spans="1:10" x14ac:dyDescent="0.2">
      <c r="A2763">
        <v>2000043</v>
      </c>
      <c r="B2763">
        <v>2023</v>
      </c>
      <c r="C2763" t="s">
        <v>6</v>
      </c>
      <c r="D2763" t="s">
        <v>7</v>
      </c>
      <c r="E2763" t="s">
        <v>8</v>
      </c>
      <c r="F2763" s="28">
        <v>5688</v>
      </c>
      <c r="G2763" s="10" t="s">
        <v>44</v>
      </c>
      <c r="H2763" s="1">
        <v>13639</v>
      </c>
      <c r="I2763" s="1">
        <v>1909.5005935770525</v>
      </c>
      <c r="J2763" s="1">
        <v>15548.500593577053</v>
      </c>
    </row>
    <row r="2764" spans="1:10" x14ac:dyDescent="0.2">
      <c r="B2764">
        <v>2015</v>
      </c>
      <c r="C2764" t="s">
        <v>6</v>
      </c>
      <c r="D2764" t="s">
        <v>7</v>
      </c>
      <c r="E2764" t="s">
        <v>8</v>
      </c>
      <c r="F2764" s="29">
        <v>5696</v>
      </c>
      <c r="G2764" s="3" t="s">
        <v>333</v>
      </c>
      <c r="H2764" s="27">
        <v>174983</v>
      </c>
      <c r="I2764" s="1">
        <v>28185.219032458441</v>
      </c>
      <c r="J2764" s="1">
        <v>203168.21903245844</v>
      </c>
    </row>
    <row r="2765" spans="1:10" x14ac:dyDescent="0.2">
      <c r="B2765">
        <v>2016</v>
      </c>
      <c r="C2765" t="s">
        <v>6</v>
      </c>
      <c r="D2765" t="s">
        <v>7</v>
      </c>
      <c r="E2765" t="s">
        <v>8</v>
      </c>
      <c r="F2765" s="29">
        <v>5696</v>
      </c>
      <c r="G2765" s="3" t="s">
        <v>333</v>
      </c>
      <c r="H2765" s="1">
        <v>170897</v>
      </c>
      <c r="I2765" s="26">
        <v>451358.41522060102</v>
      </c>
      <c r="J2765" s="26">
        <v>622255.41522060102</v>
      </c>
    </row>
    <row r="2766" spans="1:10" x14ac:dyDescent="0.2">
      <c r="B2766">
        <v>2017</v>
      </c>
      <c r="C2766" t="s">
        <v>6</v>
      </c>
      <c r="D2766" t="s">
        <v>7</v>
      </c>
      <c r="E2766" t="s">
        <v>8</v>
      </c>
      <c r="F2766" s="29">
        <v>5696</v>
      </c>
      <c r="G2766" s="3" t="s">
        <v>333</v>
      </c>
      <c r="H2766" s="1">
        <v>180801</v>
      </c>
      <c r="I2766" s="1">
        <v>28215.015949332595</v>
      </c>
      <c r="J2766" s="1">
        <v>209016.01594933259</v>
      </c>
    </row>
    <row r="2767" spans="1:10" x14ac:dyDescent="0.2">
      <c r="B2767">
        <v>2018</v>
      </c>
      <c r="C2767" t="s">
        <v>6</v>
      </c>
      <c r="D2767" t="s">
        <v>7</v>
      </c>
      <c r="E2767" t="s">
        <v>8</v>
      </c>
      <c r="F2767" s="28">
        <v>5696</v>
      </c>
      <c r="G2767" t="s">
        <v>333</v>
      </c>
      <c r="H2767" s="1">
        <v>245653</v>
      </c>
      <c r="I2767" s="1">
        <v>37147.486334347901</v>
      </c>
      <c r="J2767" s="1">
        <v>282800.48633434792</v>
      </c>
    </row>
    <row r="2768" spans="1:10" x14ac:dyDescent="0.2">
      <c r="B2768">
        <v>2019</v>
      </c>
      <c r="C2768" t="s">
        <v>6</v>
      </c>
      <c r="D2768" t="s">
        <v>7</v>
      </c>
      <c r="E2768" t="s">
        <v>8</v>
      </c>
      <c r="F2768" s="28">
        <v>5696</v>
      </c>
      <c r="G2768" t="s">
        <v>333</v>
      </c>
      <c r="H2768" s="1">
        <v>230846</v>
      </c>
      <c r="I2768" s="1">
        <v>35157.342989514116</v>
      </c>
      <c r="J2768" s="1">
        <v>266003.34298951412</v>
      </c>
    </row>
    <row r="2769" spans="1:10" x14ac:dyDescent="0.2">
      <c r="B2769">
        <v>2020</v>
      </c>
      <c r="C2769" t="s">
        <v>6</v>
      </c>
      <c r="D2769" t="s">
        <v>7</v>
      </c>
      <c r="E2769" t="s">
        <v>8</v>
      </c>
      <c r="F2769" s="28">
        <v>5696</v>
      </c>
      <c r="G2769" t="s">
        <v>333</v>
      </c>
      <c r="H2769" s="1">
        <v>249157</v>
      </c>
      <c r="I2769" s="1">
        <v>37693.673131772382</v>
      </c>
      <c r="J2769" s="1">
        <v>286850.67313177238</v>
      </c>
    </row>
    <row r="2770" spans="1:10" x14ac:dyDescent="0.2">
      <c r="B2770">
        <v>2021</v>
      </c>
      <c r="C2770" t="s">
        <v>6</v>
      </c>
      <c r="D2770" t="s">
        <v>7</v>
      </c>
      <c r="E2770" t="s">
        <v>8</v>
      </c>
      <c r="F2770" s="28">
        <v>5696</v>
      </c>
      <c r="G2770" t="s">
        <v>333</v>
      </c>
      <c r="H2770" s="25">
        <v>247170</v>
      </c>
      <c r="I2770" s="1">
        <v>36900.780642149948</v>
      </c>
      <c r="J2770" s="1">
        <v>284070.78064214997</v>
      </c>
    </row>
    <row r="2771" spans="1:10" x14ac:dyDescent="0.2">
      <c r="B2771">
        <v>2022</v>
      </c>
      <c r="C2771" t="s">
        <v>6</v>
      </c>
      <c r="D2771" t="s">
        <v>7</v>
      </c>
      <c r="E2771" t="s">
        <v>8</v>
      </c>
      <c r="F2771" s="28">
        <v>5696</v>
      </c>
      <c r="G2771" t="s">
        <v>333</v>
      </c>
      <c r="H2771" s="1">
        <v>257382</v>
      </c>
      <c r="I2771" s="1">
        <v>34953.905126283797</v>
      </c>
      <c r="J2771" s="1">
        <v>292335.90512628382</v>
      </c>
    </row>
    <row r="2772" spans="1:10" x14ac:dyDescent="0.2">
      <c r="B2772">
        <v>2023</v>
      </c>
      <c r="C2772" t="s">
        <v>6</v>
      </c>
      <c r="D2772" t="s">
        <v>7</v>
      </c>
      <c r="E2772" t="s">
        <v>8</v>
      </c>
      <c r="F2772" s="28">
        <v>5696</v>
      </c>
      <c r="G2772" s="10" t="s">
        <v>333</v>
      </c>
      <c r="H2772" s="1">
        <v>273619</v>
      </c>
      <c r="I2772" s="1">
        <v>38307.474368645766</v>
      </c>
      <c r="J2772" s="1">
        <v>311926.47436864575</v>
      </c>
    </row>
    <row r="2773" spans="1:10" x14ac:dyDescent="0.2">
      <c r="A2773">
        <v>2000045</v>
      </c>
      <c r="B2773">
        <v>2016</v>
      </c>
      <c r="C2773" t="s">
        <v>6</v>
      </c>
      <c r="D2773" t="s">
        <v>7</v>
      </c>
      <c r="E2773" t="s">
        <v>8</v>
      </c>
      <c r="F2773" s="29">
        <v>9034</v>
      </c>
      <c r="G2773" s="3" t="s">
        <v>45</v>
      </c>
      <c r="H2773" s="1">
        <v>32289</v>
      </c>
      <c r="I2773" s="26">
        <v>85277.783033281914</v>
      </c>
      <c r="J2773" s="26">
        <v>117566.78303328191</v>
      </c>
    </row>
    <row r="2774" spans="1:10" x14ac:dyDescent="0.2">
      <c r="A2774">
        <v>2000045</v>
      </c>
      <c r="B2774">
        <v>2017</v>
      </c>
      <c r="C2774" t="s">
        <v>6</v>
      </c>
      <c r="D2774" t="s">
        <v>7</v>
      </c>
      <c r="E2774" t="s">
        <v>8</v>
      </c>
      <c r="F2774" s="29">
        <v>9034</v>
      </c>
      <c r="G2774" s="3" t="s">
        <v>45</v>
      </c>
      <c r="H2774" s="1">
        <v>43915</v>
      </c>
      <c r="I2774" s="1">
        <v>6853.1834747315615</v>
      </c>
      <c r="J2774" s="1">
        <v>50768.183474731559</v>
      </c>
    </row>
    <row r="2775" spans="1:10" x14ac:dyDescent="0.2">
      <c r="A2775">
        <v>2000045</v>
      </c>
      <c r="B2775">
        <v>2018</v>
      </c>
      <c r="C2775" t="s">
        <v>6</v>
      </c>
      <c r="D2775" t="s">
        <v>7</v>
      </c>
      <c r="E2775" t="s">
        <v>8</v>
      </c>
      <c r="F2775" s="28">
        <v>9034</v>
      </c>
      <c r="G2775" t="s">
        <v>45</v>
      </c>
      <c r="H2775" s="1">
        <v>46987</v>
      </c>
      <c r="I2775" s="1">
        <v>7105.3434738920541</v>
      </c>
      <c r="J2775" s="1">
        <v>54092.343473892055</v>
      </c>
    </row>
    <row r="2776" spans="1:10" x14ac:dyDescent="0.2">
      <c r="A2776">
        <v>2000045</v>
      </c>
      <c r="B2776">
        <v>2019</v>
      </c>
      <c r="C2776" t="s">
        <v>6</v>
      </c>
      <c r="D2776" t="s">
        <v>7</v>
      </c>
      <c r="E2776" t="s">
        <v>8</v>
      </c>
      <c r="F2776" s="28">
        <v>9034</v>
      </c>
      <c r="G2776" t="s">
        <v>45</v>
      </c>
      <c r="H2776" s="1">
        <v>53007</v>
      </c>
      <c r="I2776" s="1">
        <v>8072.850644348071</v>
      </c>
      <c r="J2776" s="1">
        <v>61079.850644348073</v>
      </c>
    </row>
    <row r="2777" spans="1:10" x14ac:dyDescent="0.2">
      <c r="A2777">
        <v>2000045</v>
      </c>
      <c r="B2777">
        <v>2020</v>
      </c>
      <c r="C2777" t="s">
        <v>6</v>
      </c>
      <c r="D2777" t="s">
        <v>7</v>
      </c>
      <c r="E2777" t="s">
        <v>8</v>
      </c>
      <c r="F2777" s="28">
        <v>9034</v>
      </c>
      <c r="G2777" t="s">
        <v>45</v>
      </c>
      <c r="H2777" s="1">
        <v>74640</v>
      </c>
      <c r="I2777" s="1">
        <v>11291.899334778836</v>
      </c>
      <c r="J2777" s="1">
        <v>85931.899334778835</v>
      </c>
    </row>
    <row r="2778" spans="1:10" x14ac:dyDescent="0.2">
      <c r="A2778">
        <v>2000045</v>
      </c>
      <c r="B2778">
        <v>2021</v>
      </c>
      <c r="C2778" t="s">
        <v>6</v>
      </c>
      <c r="D2778" t="s">
        <v>7</v>
      </c>
      <c r="E2778" t="s">
        <v>8</v>
      </c>
      <c r="F2778" s="28">
        <v>9034</v>
      </c>
      <c r="G2778" t="s">
        <v>45</v>
      </c>
      <c r="H2778" s="25">
        <v>92874</v>
      </c>
      <c r="I2778" s="1">
        <v>13865.449291414954</v>
      </c>
      <c r="J2778" s="1">
        <v>106739.44929141496</v>
      </c>
    </row>
    <row r="2779" spans="1:10" x14ac:dyDescent="0.2">
      <c r="A2779">
        <v>2000045</v>
      </c>
      <c r="B2779">
        <v>2022</v>
      </c>
      <c r="C2779" t="s">
        <v>6</v>
      </c>
      <c r="D2779" t="s">
        <v>7</v>
      </c>
      <c r="E2779" t="s">
        <v>8</v>
      </c>
      <c r="F2779" s="28">
        <v>9034</v>
      </c>
      <c r="G2779" t="s">
        <v>45</v>
      </c>
      <c r="H2779" s="1">
        <v>94205</v>
      </c>
      <c r="I2779" s="1">
        <v>12793.562224326351</v>
      </c>
      <c r="J2779" s="1">
        <v>106998.56222432635</v>
      </c>
    </row>
    <row r="2780" spans="1:10" x14ac:dyDescent="0.2">
      <c r="A2780">
        <v>2000045</v>
      </c>
      <c r="B2780">
        <v>2023</v>
      </c>
      <c r="C2780" t="s">
        <v>6</v>
      </c>
      <c r="D2780" t="s">
        <v>7</v>
      </c>
      <c r="E2780" t="s">
        <v>8</v>
      </c>
      <c r="F2780" s="28">
        <v>9034</v>
      </c>
      <c r="G2780" s="10" t="s">
        <v>45</v>
      </c>
      <c r="H2780" s="1">
        <v>73201</v>
      </c>
      <c r="I2780" s="1">
        <v>10248.357867177492</v>
      </c>
      <c r="J2780" s="1">
        <v>83449.357867177489</v>
      </c>
    </row>
    <row r="2781" spans="1:10" x14ac:dyDescent="0.2">
      <c r="B2781">
        <v>2016</v>
      </c>
      <c r="C2781" t="s">
        <v>6</v>
      </c>
      <c r="D2781" t="s">
        <v>7</v>
      </c>
      <c r="E2781" t="s">
        <v>8</v>
      </c>
      <c r="F2781" s="29">
        <v>9042</v>
      </c>
      <c r="G2781" s="3" t="s">
        <v>46</v>
      </c>
      <c r="H2781" s="1">
        <v>18362</v>
      </c>
      <c r="I2781" s="26">
        <v>48495.634968137078</v>
      </c>
      <c r="J2781" s="26">
        <v>66857.634968137078</v>
      </c>
    </row>
    <row r="2782" spans="1:10" x14ac:dyDescent="0.2">
      <c r="B2782">
        <v>2017</v>
      </c>
      <c r="C2782" t="s">
        <v>6</v>
      </c>
      <c r="D2782" t="s">
        <v>7</v>
      </c>
      <c r="E2782" t="s">
        <v>8</v>
      </c>
      <c r="F2782" s="29">
        <v>9042</v>
      </c>
      <c r="G2782" s="3" t="s">
        <v>46</v>
      </c>
      <c r="H2782" s="1">
        <v>21618</v>
      </c>
      <c r="I2782" s="1">
        <v>3373.6108472446062</v>
      </c>
      <c r="J2782" s="1">
        <v>24991.610847244607</v>
      </c>
    </row>
    <row r="2783" spans="1:10" x14ac:dyDescent="0.2">
      <c r="B2783">
        <v>2018</v>
      </c>
      <c r="C2783" t="s">
        <v>6</v>
      </c>
      <c r="D2783" t="s">
        <v>7</v>
      </c>
      <c r="E2783" t="s">
        <v>8</v>
      </c>
      <c r="F2783" s="28">
        <v>9042</v>
      </c>
      <c r="G2783" t="s">
        <v>46</v>
      </c>
      <c r="H2783" s="1">
        <v>18805</v>
      </c>
      <c r="I2783" s="1">
        <v>2843.6798268997827</v>
      </c>
      <c r="J2783" s="1">
        <v>21648.679826899781</v>
      </c>
    </row>
    <row r="2784" spans="1:10" x14ac:dyDescent="0.2">
      <c r="B2784">
        <v>2019</v>
      </c>
      <c r="C2784" t="s">
        <v>6</v>
      </c>
      <c r="D2784" t="s">
        <v>7</v>
      </c>
      <c r="E2784" t="s">
        <v>8</v>
      </c>
      <c r="F2784" s="28">
        <v>9042</v>
      </c>
      <c r="G2784" t="s">
        <v>46</v>
      </c>
      <c r="H2784" s="1">
        <v>11258</v>
      </c>
      <c r="I2784" s="1">
        <v>1714.5688787154638</v>
      </c>
      <c r="J2784" s="1">
        <v>12972.568878715463</v>
      </c>
    </row>
    <row r="2785" spans="1:10" x14ac:dyDescent="0.2">
      <c r="B2785">
        <v>2020</v>
      </c>
      <c r="C2785" t="s">
        <v>6</v>
      </c>
      <c r="D2785" t="s">
        <v>7</v>
      </c>
      <c r="E2785" t="s">
        <v>8</v>
      </c>
      <c r="F2785" s="28">
        <v>9042</v>
      </c>
      <c r="G2785" t="s">
        <v>46</v>
      </c>
      <c r="H2785" s="1">
        <v>11788</v>
      </c>
      <c r="I2785" s="1">
        <v>1783.3455165912771</v>
      </c>
      <c r="J2785" s="1">
        <v>13571.345516591276</v>
      </c>
    </row>
    <row r="2786" spans="1:10" x14ac:dyDescent="0.2">
      <c r="B2786">
        <v>2021</v>
      </c>
      <c r="C2786" t="s">
        <v>6</v>
      </c>
      <c r="D2786" t="s">
        <v>7</v>
      </c>
      <c r="E2786" t="s">
        <v>8</v>
      </c>
      <c r="F2786" s="28">
        <v>9042</v>
      </c>
      <c r="G2786" t="s">
        <v>46</v>
      </c>
      <c r="H2786" s="25">
        <v>6244</v>
      </c>
      <c r="I2786" s="1">
        <v>932.18624561874117</v>
      </c>
      <c r="J2786" s="1">
        <v>7176.1862456187409</v>
      </c>
    </row>
    <row r="2787" spans="1:10" x14ac:dyDescent="0.2">
      <c r="B2787">
        <v>2022</v>
      </c>
      <c r="C2787" t="s">
        <v>6</v>
      </c>
      <c r="D2787" t="s">
        <v>7</v>
      </c>
      <c r="E2787" t="s">
        <v>8</v>
      </c>
      <c r="F2787" s="28">
        <v>9042</v>
      </c>
      <c r="G2787" t="s">
        <v>46</v>
      </c>
      <c r="H2787" s="1">
        <v>5377</v>
      </c>
      <c r="I2787" s="1">
        <v>730.22646441486961</v>
      </c>
      <c r="J2787" s="1">
        <v>6107.22646441487</v>
      </c>
    </row>
    <row r="2788" spans="1:10" x14ac:dyDescent="0.2">
      <c r="B2788">
        <v>2023</v>
      </c>
      <c r="C2788" t="s">
        <v>6</v>
      </c>
      <c r="D2788" t="s">
        <v>7</v>
      </c>
      <c r="E2788" t="s">
        <v>8</v>
      </c>
      <c r="F2788" s="28">
        <v>9042</v>
      </c>
      <c r="G2788" s="10" t="s">
        <v>46</v>
      </c>
      <c r="H2788" s="1">
        <v>748</v>
      </c>
      <c r="I2788" s="1">
        <v>104.72222626260248</v>
      </c>
      <c r="J2788" s="1">
        <v>852.72222626260248</v>
      </c>
    </row>
    <row r="2789" spans="1:10" x14ac:dyDescent="0.2">
      <c r="A2789">
        <v>2000347</v>
      </c>
      <c r="B2789">
        <v>2016</v>
      </c>
      <c r="C2789" t="s">
        <v>6</v>
      </c>
      <c r="D2789" t="s">
        <v>7</v>
      </c>
      <c r="E2789" t="s">
        <v>8</v>
      </c>
      <c r="F2789" s="29">
        <v>9047</v>
      </c>
      <c r="G2789" s="3" t="s">
        <v>47</v>
      </c>
      <c r="H2789" s="1">
        <v>44604</v>
      </c>
      <c r="I2789" s="26">
        <v>117801.6516942654</v>
      </c>
      <c r="J2789" s="26">
        <v>162405.6516942654</v>
      </c>
    </row>
    <row r="2790" spans="1:10" x14ac:dyDescent="0.2">
      <c r="A2790">
        <v>2000347</v>
      </c>
      <c r="B2790">
        <v>2017</v>
      </c>
      <c r="C2790" t="s">
        <v>6</v>
      </c>
      <c r="D2790" t="s">
        <v>7</v>
      </c>
      <c r="E2790" t="s">
        <v>8</v>
      </c>
      <c r="F2790" s="29">
        <v>9047</v>
      </c>
      <c r="G2790" s="3" t="s">
        <v>47</v>
      </c>
      <c r="H2790" s="1">
        <v>34380</v>
      </c>
      <c r="I2790" s="1">
        <v>5365.1929377495408</v>
      </c>
      <c r="J2790" s="1">
        <v>39745.19293774954</v>
      </c>
    </row>
    <row r="2791" spans="1:10" x14ac:dyDescent="0.2">
      <c r="A2791">
        <v>2000347</v>
      </c>
      <c r="B2791">
        <v>2018</v>
      </c>
      <c r="C2791" t="s">
        <v>6</v>
      </c>
      <c r="D2791" t="s">
        <v>7</v>
      </c>
      <c r="E2791" t="s">
        <v>8</v>
      </c>
      <c r="F2791" s="28">
        <v>9047</v>
      </c>
      <c r="G2791" t="s">
        <v>47</v>
      </c>
      <c r="H2791" s="1">
        <v>21956</v>
      </c>
      <c r="I2791" s="1">
        <v>3320.1719903967892</v>
      </c>
      <c r="J2791" s="1">
        <v>25276.17199039679</v>
      </c>
    </row>
    <row r="2792" spans="1:10" x14ac:dyDescent="0.2">
      <c r="A2792">
        <v>2000347</v>
      </c>
      <c r="B2792">
        <v>2019</v>
      </c>
      <c r="C2792" t="s">
        <v>6</v>
      </c>
      <c r="D2792" t="s">
        <v>7</v>
      </c>
      <c r="E2792" t="s">
        <v>8</v>
      </c>
      <c r="F2792" s="28">
        <v>9047</v>
      </c>
      <c r="G2792" t="s">
        <v>47</v>
      </c>
      <c r="H2792" s="1">
        <v>25550</v>
      </c>
      <c r="I2792" s="1">
        <v>3891.2093490122661</v>
      </c>
      <c r="J2792" s="1">
        <v>29441.209349012264</v>
      </c>
    </row>
    <row r="2793" spans="1:10" x14ac:dyDescent="0.2">
      <c r="A2793">
        <v>2000347</v>
      </c>
      <c r="B2793">
        <v>2020</v>
      </c>
      <c r="C2793" t="s">
        <v>6</v>
      </c>
      <c r="D2793" t="s">
        <v>7</v>
      </c>
      <c r="E2793" t="s">
        <v>8</v>
      </c>
      <c r="F2793" s="28">
        <v>9047</v>
      </c>
      <c r="G2793" t="s">
        <v>47</v>
      </c>
      <c r="H2793" s="1">
        <v>20067</v>
      </c>
      <c r="I2793" s="1">
        <v>3035.8325824089889</v>
      </c>
      <c r="J2793" s="1">
        <v>23102.832582408988</v>
      </c>
    </row>
    <row r="2794" spans="1:10" x14ac:dyDescent="0.2">
      <c r="A2794">
        <v>2000347</v>
      </c>
      <c r="B2794">
        <v>2021</v>
      </c>
      <c r="C2794" t="s">
        <v>6</v>
      </c>
      <c r="D2794" t="s">
        <v>7</v>
      </c>
      <c r="E2794" t="s">
        <v>8</v>
      </c>
      <c r="F2794" s="28">
        <v>9047</v>
      </c>
      <c r="G2794" t="s">
        <v>47</v>
      </c>
      <c r="H2794" s="25">
        <v>16296</v>
      </c>
      <c r="I2794" s="1">
        <v>2432.8806948435308</v>
      </c>
      <c r="J2794" s="1">
        <v>18728.88069484353</v>
      </c>
    </row>
    <row r="2795" spans="1:10" x14ac:dyDescent="0.2">
      <c r="A2795">
        <v>2000347</v>
      </c>
      <c r="B2795">
        <v>2022</v>
      </c>
      <c r="C2795" t="s">
        <v>6</v>
      </c>
      <c r="D2795" t="s">
        <v>7</v>
      </c>
      <c r="E2795" t="s">
        <v>8</v>
      </c>
      <c r="F2795" s="28">
        <v>9047</v>
      </c>
      <c r="G2795" t="s">
        <v>47</v>
      </c>
      <c r="H2795" s="1">
        <v>9242</v>
      </c>
      <c r="I2795" s="1">
        <v>1255.114931025149</v>
      </c>
      <c r="J2795" s="1">
        <v>10497.114931025149</v>
      </c>
    </row>
    <row r="2796" spans="1:10" x14ac:dyDescent="0.2">
      <c r="A2796">
        <v>2000347</v>
      </c>
      <c r="B2796">
        <v>2023</v>
      </c>
      <c r="C2796" t="s">
        <v>6</v>
      </c>
      <c r="D2796" t="s">
        <v>7</v>
      </c>
      <c r="E2796" t="s">
        <v>8</v>
      </c>
      <c r="F2796" s="28">
        <v>9047</v>
      </c>
      <c r="G2796" s="10" t="s">
        <v>47</v>
      </c>
      <c r="H2796" s="1">
        <v>7144</v>
      </c>
      <c r="I2796" s="1">
        <v>1000.1812625936259</v>
      </c>
      <c r="J2796" s="1">
        <v>8144.1812625936254</v>
      </c>
    </row>
    <row r="2797" spans="1:10" x14ac:dyDescent="0.2">
      <c r="B2797">
        <v>2016</v>
      </c>
      <c r="C2797" t="s">
        <v>6</v>
      </c>
      <c r="D2797" t="s">
        <v>7</v>
      </c>
      <c r="E2797" t="s">
        <v>8</v>
      </c>
      <c r="F2797" s="29">
        <v>9053</v>
      </c>
      <c r="G2797" s="3" t="s">
        <v>48</v>
      </c>
      <c r="H2797" s="1">
        <v>0</v>
      </c>
      <c r="I2797" s="26">
        <v>0</v>
      </c>
      <c r="J2797" s="26">
        <v>0</v>
      </c>
    </row>
    <row r="2798" spans="1:10" x14ac:dyDescent="0.2">
      <c r="B2798">
        <v>2017</v>
      </c>
      <c r="C2798" t="s">
        <v>6</v>
      </c>
      <c r="D2798" t="s">
        <v>7</v>
      </c>
      <c r="E2798" t="s">
        <v>8</v>
      </c>
      <c r="F2798" s="29">
        <v>9053</v>
      </c>
      <c r="G2798" s="3" t="s">
        <v>48</v>
      </c>
      <c r="H2798" s="1"/>
      <c r="I2798" s="1">
        <v>0</v>
      </c>
      <c r="J2798" s="1">
        <v>0</v>
      </c>
    </row>
    <row r="2799" spans="1:10" x14ac:dyDescent="0.2">
      <c r="B2799">
        <v>2018</v>
      </c>
      <c r="C2799" t="s">
        <v>6</v>
      </c>
      <c r="D2799" t="s">
        <v>7</v>
      </c>
      <c r="E2799" t="s">
        <v>8</v>
      </c>
      <c r="F2799" s="28">
        <v>9053</v>
      </c>
      <c r="G2799" t="s">
        <v>48</v>
      </c>
      <c r="H2799" s="1"/>
      <c r="I2799" s="1">
        <v>0</v>
      </c>
      <c r="J2799" s="1">
        <v>0</v>
      </c>
    </row>
    <row r="2800" spans="1:10" x14ac:dyDescent="0.2">
      <c r="B2800">
        <v>2019</v>
      </c>
      <c r="C2800" t="s">
        <v>6</v>
      </c>
      <c r="D2800" t="s">
        <v>7</v>
      </c>
      <c r="E2800" t="s">
        <v>8</v>
      </c>
      <c r="F2800" s="28">
        <v>9053</v>
      </c>
      <c r="G2800" t="s">
        <v>48</v>
      </c>
      <c r="H2800" s="1"/>
      <c r="I2800" s="1">
        <v>0</v>
      </c>
      <c r="J2800" s="1">
        <v>0</v>
      </c>
    </row>
    <row r="2801" spans="1:10" x14ac:dyDescent="0.2">
      <c r="B2801">
        <v>2020</v>
      </c>
      <c r="C2801" t="s">
        <v>6</v>
      </c>
      <c r="D2801" t="s">
        <v>7</v>
      </c>
      <c r="E2801" t="s">
        <v>8</v>
      </c>
      <c r="F2801" s="28">
        <v>9053</v>
      </c>
      <c r="G2801" t="s">
        <v>48</v>
      </c>
      <c r="H2801" s="1"/>
      <c r="I2801" s="1">
        <v>0</v>
      </c>
      <c r="J2801" s="1">
        <v>0</v>
      </c>
    </row>
    <row r="2802" spans="1:10" x14ac:dyDescent="0.2">
      <c r="B2802">
        <v>2022</v>
      </c>
      <c r="C2802" t="s">
        <v>6</v>
      </c>
      <c r="D2802" t="s">
        <v>7</v>
      </c>
      <c r="E2802" t="s">
        <v>8</v>
      </c>
      <c r="F2802" s="28">
        <v>9053</v>
      </c>
      <c r="G2802" t="s">
        <v>48</v>
      </c>
      <c r="H2802" s="1"/>
      <c r="I2802" s="1">
        <v>0</v>
      </c>
      <c r="J2802" s="1">
        <v>0</v>
      </c>
    </row>
    <row r="2803" spans="1:10" x14ac:dyDescent="0.2">
      <c r="B2803">
        <v>2023</v>
      </c>
      <c r="C2803" t="s">
        <v>6</v>
      </c>
      <c r="D2803" t="s">
        <v>7</v>
      </c>
      <c r="E2803" t="s">
        <v>8</v>
      </c>
      <c r="F2803" s="28">
        <v>9053</v>
      </c>
      <c r="G2803" s="10" t="s">
        <v>48</v>
      </c>
      <c r="H2803" s="1"/>
      <c r="I2803" s="1">
        <v>0</v>
      </c>
      <c r="J2803" s="1">
        <v>0</v>
      </c>
    </row>
    <row r="2804" spans="1:10" x14ac:dyDescent="0.2">
      <c r="A2804">
        <v>2000049</v>
      </c>
      <c r="B2804">
        <v>2016</v>
      </c>
      <c r="C2804" t="s">
        <v>6</v>
      </c>
      <c r="D2804" t="s">
        <v>7</v>
      </c>
      <c r="E2804" t="s">
        <v>8</v>
      </c>
      <c r="F2804" s="29">
        <v>9055</v>
      </c>
      <c r="G2804" s="3" t="s">
        <v>49</v>
      </c>
      <c r="H2804" s="1">
        <v>38922</v>
      </c>
      <c r="I2804" s="26">
        <v>102792.71429224116</v>
      </c>
      <c r="J2804" s="26">
        <v>141714.71429224117</v>
      </c>
    </row>
    <row r="2805" spans="1:10" x14ac:dyDescent="0.2">
      <c r="A2805">
        <v>2000049</v>
      </c>
      <c r="B2805">
        <v>2017</v>
      </c>
      <c r="C2805" t="s">
        <v>6</v>
      </c>
      <c r="D2805" t="s">
        <v>7</v>
      </c>
      <c r="E2805" t="s">
        <v>8</v>
      </c>
      <c r="F2805" s="29">
        <v>9055</v>
      </c>
      <c r="G2805" s="3" t="s">
        <v>49</v>
      </c>
      <c r="H2805" s="1">
        <v>49297</v>
      </c>
      <c r="I2805" s="1">
        <v>7693.0749346201028</v>
      </c>
      <c r="J2805" s="1">
        <v>56990.074934620105</v>
      </c>
    </row>
    <row r="2806" spans="1:10" x14ac:dyDescent="0.2">
      <c r="A2806">
        <v>2000049</v>
      </c>
      <c r="B2806">
        <v>2018</v>
      </c>
      <c r="C2806" t="s">
        <v>6</v>
      </c>
      <c r="D2806" t="s">
        <v>7</v>
      </c>
      <c r="E2806" t="s">
        <v>8</v>
      </c>
      <c r="F2806" s="28">
        <v>9055</v>
      </c>
      <c r="G2806" t="s">
        <v>49</v>
      </c>
      <c r="H2806" s="1">
        <v>37756</v>
      </c>
      <c r="I2806" s="1">
        <v>5709.4376785125341</v>
      </c>
      <c r="J2806" s="1">
        <v>43465.437678512535</v>
      </c>
    </row>
    <row r="2807" spans="1:10" x14ac:dyDescent="0.2">
      <c r="A2807">
        <v>2000049</v>
      </c>
      <c r="B2807">
        <v>2019</v>
      </c>
      <c r="C2807" t="s">
        <v>6</v>
      </c>
      <c r="D2807" t="s">
        <v>7</v>
      </c>
      <c r="E2807" t="s">
        <v>8</v>
      </c>
      <c r="F2807" s="28">
        <v>9055</v>
      </c>
      <c r="G2807" t="s">
        <v>49</v>
      </c>
      <c r="H2807" s="1">
        <v>54225</v>
      </c>
      <c r="I2807" s="1">
        <v>8258.3493913968741</v>
      </c>
      <c r="J2807" s="1">
        <v>62483.34939139687</v>
      </c>
    </row>
    <row r="2808" spans="1:10" x14ac:dyDescent="0.2">
      <c r="A2808">
        <v>2000049</v>
      </c>
      <c r="B2808">
        <v>2020</v>
      </c>
      <c r="C2808" t="s">
        <v>6</v>
      </c>
      <c r="D2808" t="s">
        <v>7</v>
      </c>
      <c r="E2808" t="s">
        <v>8</v>
      </c>
      <c r="F2808" s="28">
        <v>9055</v>
      </c>
      <c r="G2808" t="s">
        <v>49</v>
      </c>
      <c r="H2808" s="1">
        <v>67277</v>
      </c>
      <c r="I2808" s="1">
        <v>10177.989168621594</v>
      </c>
      <c r="J2808" s="1">
        <v>77454.9891686216</v>
      </c>
    </row>
    <row r="2809" spans="1:10" x14ac:dyDescent="0.2">
      <c r="A2809">
        <v>2000049</v>
      </c>
      <c r="B2809">
        <v>2021</v>
      </c>
      <c r="C2809" t="s">
        <v>6</v>
      </c>
      <c r="D2809" t="s">
        <v>7</v>
      </c>
      <c r="E2809" t="s">
        <v>8</v>
      </c>
      <c r="F2809" s="28">
        <v>9055</v>
      </c>
      <c r="G2809" t="s">
        <v>49</v>
      </c>
      <c r="H2809" s="25">
        <v>78581</v>
      </c>
      <c r="I2809" s="1">
        <v>11731.602717323238</v>
      </c>
      <c r="J2809" s="1">
        <v>90312.602717323243</v>
      </c>
    </row>
    <row r="2810" spans="1:10" x14ac:dyDescent="0.2">
      <c r="A2810">
        <v>2000049</v>
      </c>
      <c r="B2810">
        <v>2022</v>
      </c>
      <c r="C2810" t="s">
        <v>6</v>
      </c>
      <c r="D2810" t="s">
        <v>7</v>
      </c>
      <c r="E2810" t="s">
        <v>8</v>
      </c>
      <c r="F2810" s="28">
        <v>9055</v>
      </c>
      <c r="G2810" t="s">
        <v>49</v>
      </c>
      <c r="H2810" s="1">
        <v>76976</v>
      </c>
      <c r="I2810" s="1">
        <v>10453.768332676029</v>
      </c>
      <c r="J2810" s="1">
        <v>87429.768332676031</v>
      </c>
    </row>
    <row r="2811" spans="1:10" x14ac:dyDescent="0.2">
      <c r="A2811">
        <v>2000049</v>
      </c>
      <c r="B2811">
        <v>2023</v>
      </c>
      <c r="C2811" t="s">
        <v>6</v>
      </c>
      <c r="D2811" t="s">
        <v>7</v>
      </c>
      <c r="E2811" t="s">
        <v>8</v>
      </c>
      <c r="F2811" s="28">
        <v>9055</v>
      </c>
      <c r="G2811" s="10" t="s">
        <v>49</v>
      </c>
      <c r="H2811" s="1">
        <v>92824</v>
      </c>
      <c r="I2811" s="1">
        <v>12995.636270855366</v>
      </c>
      <c r="J2811" s="1">
        <v>105819.63627085536</v>
      </c>
    </row>
    <row r="2812" spans="1:10" x14ac:dyDescent="0.2">
      <c r="A2812" t="s">
        <v>373</v>
      </c>
      <c r="B2812">
        <v>2016</v>
      </c>
      <c r="C2812" t="s">
        <v>6</v>
      </c>
      <c r="D2812" t="s">
        <v>7</v>
      </c>
      <c r="E2812" t="s">
        <v>8</v>
      </c>
      <c r="F2812" s="29">
        <v>9056</v>
      </c>
      <c r="G2812" s="3" t="s">
        <v>50</v>
      </c>
      <c r="H2812" s="1">
        <v>10381</v>
      </c>
      <c r="I2812" s="26">
        <v>27413.997246349747</v>
      </c>
      <c r="J2812" s="26">
        <v>37794.997246349747</v>
      </c>
    </row>
    <row r="2813" spans="1:10" x14ac:dyDescent="0.2">
      <c r="A2813" t="s">
        <v>373</v>
      </c>
      <c r="B2813">
        <v>2017</v>
      </c>
      <c r="C2813" t="s">
        <v>6</v>
      </c>
      <c r="D2813" t="s">
        <v>7</v>
      </c>
      <c r="E2813" t="s">
        <v>8</v>
      </c>
      <c r="F2813" s="29">
        <v>9056</v>
      </c>
      <c r="G2813" s="3" t="s">
        <v>50</v>
      </c>
      <c r="H2813" s="1">
        <v>14784</v>
      </c>
      <c r="I2813" s="1">
        <v>2307.1265966169053</v>
      </c>
      <c r="J2813" s="1">
        <v>17091.126596616905</v>
      </c>
    </row>
    <row r="2814" spans="1:10" x14ac:dyDescent="0.2">
      <c r="A2814" t="s">
        <v>373</v>
      </c>
      <c r="B2814">
        <v>2018</v>
      </c>
      <c r="C2814" t="s">
        <v>6</v>
      </c>
      <c r="D2814" t="s">
        <v>7</v>
      </c>
      <c r="E2814" t="s">
        <v>8</v>
      </c>
      <c r="F2814" s="28">
        <v>9056</v>
      </c>
      <c r="G2814" t="s">
        <v>50</v>
      </c>
      <c r="H2814" s="1">
        <v>2557</v>
      </c>
      <c r="I2814" s="1">
        <v>386.6678711716429</v>
      </c>
      <c r="J2814" s="1">
        <v>2943.6678711716431</v>
      </c>
    </row>
    <row r="2815" spans="1:10" x14ac:dyDescent="0.2">
      <c r="A2815" t="s">
        <v>373</v>
      </c>
      <c r="B2815">
        <v>2019</v>
      </c>
      <c r="C2815" t="s">
        <v>6</v>
      </c>
      <c r="D2815" t="s">
        <v>7</v>
      </c>
      <c r="E2815" t="s">
        <v>8</v>
      </c>
      <c r="F2815" s="28">
        <v>9056</v>
      </c>
      <c r="G2815" t="s">
        <v>50</v>
      </c>
      <c r="H2815" s="1"/>
      <c r="I2815" s="1">
        <v>0</v>
      </c>
      <c r="J2815" s="1">
        <v>0</v>
      </c>
    </row>
    <row r="2816" spans="1:10" x14ac:dyDescent="0.2">
      <c r="A2816" t="s">
        <v>373</v>
      </c>
      <c r="B2816">
        <v>2020</v>
      </c>
      <c r="C2816" t="s">
        <v>6</v>
      </c>
      <c r="D2816" t="s">
        <v>7</v>
      </c>
      <c r="E2816" t="s">
        <v>8</v>
      </c>
      <c r="F2816" s="28">
        <v>9056</v>
      </c>
      <c r="G2816" t="s">
        <v>50</v>
      </c>
      <c r="H2816" s="1">
        <v>7254</v>
      </c>
      <c r="I2816" s="1">
        <v>1097.4201202369463</v>
      </c>
      <c r="J2816" s="1">
        <v>8351.4201202369459</v>
      </c>
    </row>
    <row r="2817" spans="1:10" x14ac:dyDescent="0.2">
      <c r="A2817" t="s">
        <v>373</v>
      </c>
      <c r="B2817">
        <v>2021</v>
      </c>
      <c r="C2817" t="s">
        <v>6</v>
      </c>
      <c r="D2817" t="s">
        <v>7</v>
      </c>
      <c r="E2817" t="s">
        <v>8</v>
      </c>
      <c r="F2817" s="28">
        <v>9056</v>
      </c>
      <c r="G2817" t="s">
        <v>50</v>
      </c>
      <c r="H2817" s="25">
        <v>27704</v>
      </c>
      <c r="I2817" s="1">
        <v>4136.0166157305584</v>
      </c>
      <c r="J2817" s="1">
        <v>31840.016615730558</v>
      </c>
    </row>
    <row r="2818" spans="1:10" x14ac:dyDescent="0.2">
      <c r="A2818" t="s">
        <v>373</v>
      </c>
      <c r="B2818">
        <v>2022</v>
      </c>
      <c r="C2818" t="s">
        <v>6</v>
      </c>
      <c r="D2818" t="s">
        <v>7</v>
      </c>
      <c r="E2818" t="s">
        <v>8</v>
      </c>
      <c r="F2818" s="28">
        <v>9056</v>
      </c>
      <c r="G2818" t="s">
        <v>50</v>
      </c>
      <c r="H2818" s="1">
        <v>12847</v>
      </c>
      <c r="I2818" s="1">
        <v>1744.6939535685012</v>
      </c>
      <c r="J2818" s="1">
        <v>14591.693953568501</v>
      </c>
    </row>
    <row r="2819" spans="1:10" x14ac:dyDescent="0.2">
      <c r="A2819" t="s">
        <v>373</v>
      </c>
      <c r="B2819">
        <v>2023</v>
      </c>
      <c r="C2819" t="s">
        <v>6</v>
      </c>
      <c r="D2819" t="s">
        <v>7</v>
      </c>
      <c r="E2819" t="s">
        <v>8</v>
      </c>
      <c r="F2819" s="28">
        <v>9056</v>
      </c>
      <c r="G2819" s="10" t="s">
        <v>50</v>
      </c>
      <c r="H2819" s="1">
        <v>14218</v>
      </c>
      <c r="I2819" s="1">
        <v>1990.5623168471686</v>
      </c>
      <c r="J2819" s="1">
        <v>16208.562316847168</v>
      </c>
    </row>
    <row r="2820" spans="1:10" x14ac:dyDescent="0.2">
      <c r="B2820">
        <v>2016</v>
      </c>
      <c r="C2820" t="s">
        <v>6</v>
      </c>
      <c r="D2820" t="s">
        <v>7</v>
      </c>
      <c r="E2820" t="s">
        <v>8</v>
      </c>
      <c r="F2820" s="29">
        <v>9273</v>
      </c>
      <c r="G2820" s="3" t="s">
        <v>51</v>
      </c>
      <c r="H2820" s="1">
        <v>11386</v>
      </c>
      <c r="I2820" s="26">
        <v>30067.77470982842</v>
      </c>
      <c r="J2820" s="26">
        <v>41453.774709828416</v>
      </c>
    </row>
    <row r="2821" spans="1:10" x14ac:dyDescent="0.2">
      <c r="B2821">
        <v>2017</v>
      </c>
      <c r="C2821" t="s">
        <v>6</v>
      </c>
      <c r="D2821" t="s">
        <v>7</v>
      </c>
      <c r="E2821" t="s">
        <v>8</v>
      </c>
      <c r="F2821" s="29">
        <v>9273</v>
      </c>
      <c r="G2821" s="3" t="s">
        <v>51</v>
      </c>
      <c r="H2821" s="1">
        <v>19649</v>
      </c>
      <c r="I2821" s="1">
        <v>3066.3372901058965</v>
      </c>
      <c r="J2821" s="1">
        <v>22715.337290105897</v>
      </c>
    </row>
    <row r="2822" spans="1:10" x14ac:dyDescent="0.2">
      <c r="B2822">
        <v>2018</v>
      </c>
      <c r="C2822" t="s">
        <v>6</v>
      </c>
      <c r="D2822" t="s">
        <v>7</v>
      </c>
      <c r="E2822" t="s">
        <v>8</v>
      </c>
      <c r="F2822" s="28">
        <v>9273</v>
      </c>
      <c r="G2822" t="s">
        <v>51</v>
      </c>
      <c r="H2822" s="1">
        <v>6196</v>
      </c>
      <c r="I2822" s="1">
        <v>936.95507617500948</v>
      </c>
      <c r="J2822" s="1">
        <v>7132.9550761750097</v>
      </c>
    </row>
    <row r="2823" spans="1:10" x14ac:dyDescent="0.2">
      <c r="B2823">
        <v>2019</v>
      </c>
      <c r="C2823" t="s">
        <v>6</v>
      </c>
      <c r="D2823" t="s">
        <v>7</v>
      </c>
      <c r="E2823" t="s">
        <v>8</v>
      </c>
      <c r="F2823" s="28">
        <v>9273</v>
      </c>
      <c r="G2823" t="s">
        <v>51</v>
      </c>
      <c r="H2823" s="1">
        <v>1541</v>
      </c>
      <c r="I2823" s="1">
        <v>234.69094351576919</v>
      </c>
      <c r="J2823" s="1">
        <v>1775.6909435157693</v>
      </c>
    </row>
    <row r="2824" spans="1:10" x14ac:dyDescent="0.2">
      <c r="B2824">
        <v>2020</v>
      </c>
      <c r="C2824" t="s">
        <v>6</v>
      </c>
      <c r="D2824" t="s">
        <v>7</v>
      </c>
      <c r="E2824" t="s">
        <v>8</v>
      </c>
      <c r="F2824" s="28">
        <v>9273</v>
      </c>
      <c r="G2824" t="s">
        <v>51</v>
      </c>
      <c r="H2824" s="1">
        <v>2208</v>
      </c>
      <c r="I2824" s="1">
        <v>334.03689350471154</v>
      </c>
      <c r="J2824" s="1">
        <v>2542.0368935047118</v>
      </c>
    </row>
    <row r="2825" spans="1:10" x14ac:dyDescent="0.2">
      <c r="B2825">
        <v>2021</v>
      </c>
      <c r="C2825" t="s">
        <v>6</v>
      </c>
      <c r="D2825" t="s">
        <v>7</v>
      </c>
      <c r="E2825" t="s">
        <v>8</v>
      </c>
      <c r="F2825" s="28">
        <v>9273</v>
      </c>
      <c r="G2825" t="s">
        <v>51</v>
      </c>
      <c r="H2825" s="25">
        <v>2866</v>
      </c>
      <c r="I2825" s="1">
        <v>427.874083911485</v>
      </c>
      <c r="J2825" s="1">
        <v>3293.8740839114848</v>
      </c>
    </row>
    <row r="2826" spans="1:10" x14ac:dyDescent="0.2">
      <c r="B2826">
        <v>2022</v>
      </c>
      <c r="C2826" t="s">
        <v>6</v>
      </c>
      <c r="D2826" t="s">
        <v>7</v>
      </c>
      <c r="E2826" t="s">
        <v>8</v>
      </c>
      <c r="F2826" s="28">
        <v>9273</v>
      </c>
      <c r="G2826" t="s">
        <v>51</v>
      </c>
      <c r="H2826" s="1">
        <v>3590</v>
      </c>
      <c r="I2826" s="1">
        <v>487.54193923179878</v>
      </c>
      <c r="J2826" s="1">
        <v>4077.541939231799</v>
      </c>
    </row>
    <row r="2827" spans="1:10" x14ac:dyDescent="0.2">
      <c r="B2827">
        <v>2023</v>
      </c>
      <c r="C2827" t="s">
        <v>6</v>
      </c>
      <c r="D2827" t="s">
        <v>7</v>
      </c>
      <c r="E2827" t="s">
        <v>8</v>
      </c>
      <c r="F2827" s="28">
        <v>9273</v>
      </c>
      <c r="G2827" s="10" t="s">
        <v>51</v>
      </c>
      <c r="H2827" s="1">
        <v>5551</v>
      </c>
      <c r="I2827" s="1">
        <v>777.15652136859137</v>
      </c>
      <c r="J2827" s="1">
        <v>6328.1565213685917</v>
      </c>
    </row>
    <row r="2828" spans="1:10" x14ac:dyDescent="0.2">
      <c r="A2828">
        <v>2000034</v>
      </c>
      <c r="B2828">
        <v>2016</v>
      </c>
      <c r="C2828" t="s">
        <v>6</v>
      </c>
      <c r="D2828" t="s">
        <v>7</v>
      </c>
      <c r="E2828" t="s">
        <v>8</v>
      </c>
      <c r="F2828" s="29">
        <v>9274</v>
      </c>
      <c r="G2828" s="3" t="s">
        <v>52</v>
      </c>
      <c r="H2828" s="1">
        <v>63111</v>
      </c>
      <c r="I2828" s="26">
        <v>166679.93919675521</v>
      </c>
      <c r="J2828" s="26">
        <v>229790.93919675521</v>
      </c>
    </row>
    <row r="2829" spans="1:10" x14ac:dyDescent="0.2">
      <c r="A2829">
        <v>2000034</v>
      </c>
      <c r="B2829">
        <v>2017</v>
      </c>
      <c r="C2829" t="s">
        <v>6</v>
      </c>
      <c r="D2829" t="s">
        <v>7</v>
      </c>
      <c r="E2829" t="s">
        <v>8</v>
      </c>
      <c r="F2829" s="29">
        <v>9274</v>
      </c>
      <c r="G2829" s="3" t="s">
        <v>52</v>
      </c>
      <c r="H2829" s="1">
        <v>49123</v>
      </c>
      <c r="I2829" s="1">
        <v>7665.9212530852437</v>
      </c>
      <c r="J2829" s="1">
        <v>56788.921253085246</v>
      </c>
    </row>
    <row r="2830" spans="1:10" x14ac:dyDescent="0.2">
      <c r="A2830">
        <v>2000034</v>
      </c>
      <c r="B2830">
        <v>2018</v>
      </c>
      <c r="C2830" t="s">
        <v>6</v>
      </c>
      <c r="D2830" t="s">
        <v>7</v>
      </c>
      <c r="E2830" t="s">
        <v>8</v>
      </c>
      <c r="F2830" s="28">
        <v>9274</v>
      </c>
      <c r="G2830" t="s">
        <v>52</v>
      </c>
      <c r="H2830" s="1">
        <v>39257</v>
      </c>
      <c r="I2830" s="1">
        <v>5936.4179188835287</v>
      </c>
      <c r="J2830" s="1">
        <v>45193.417918883526</v>
      </c>
    </row>
    <row r="2831" spans="1:10" x14ac:dyDescent="0.2">
      <c r="A2831">
        <v>2000034</v>
      </c>
      <c r="B2831">
        <v>2019</v>
      </c>
      <c r="C2831" t="s">
        <v>6</v>
      </c>
      <c r="D2831" t="s">
        <v>7</v>
      </c>
      <c r="E2831" t="s">
        <v>8</v>
      </c>
      <c r="F2831" s="28">
        <v>9274</v>
      </c>
      <c r="G2831" t="s">
        <v>52</v>
      </c>
      <c r="H2831" s="1">
        <v>37268</v>
      </c>
      <c r="I2831" s="1">
        <v>5675.8352257921388</v>
      </c>
      <c r="J2831" s="1">
        <v>42943.835225792136</v>
      </c>
    </row>
    <row r="2832" spans="1:10" x14ac:dyDescent="0.2">
      <c r="A2832">
        <v>2000034</v>
      </c>
      <c r="B2832">
        <v>2020</v>
      </c>
      <c r="C2832" t="s">
        <v>6</v>
      </c>
      <c r="D2832" t="s">
        <v>7</v>
      </c>
      <c r="E2832" t="s">
        <v>8</v>
      </c>
      <c r="F2832" s="28">
        <v>9274</v>
      </c>
      <c r="G2832" t="s">
        <v>52</v>
      </c>
      <c r="H2832" s="1">
        <v>38459</v>
      </c>
      <c r="I2832" s="1">
        <v>5818.2630830152639</v>
      </c>
      <c r="J2832" s="1">
        <v>44277.263083015263</v>
      </c>
    </row>
    <row r="2833" spans="1:10" x14ac:dyDescent="0.2">
      <c r="A2833">
        <v>2000034</v>
      </c>
      <c r="B2833">
        <v>2021</v>
      </c>
      <c r="C2833" t="s">
        <v>6</v>
      </c>
      <c r="D2833" t="s">
        <v>7</v>
      </c>
      <c r="E2833" t="s">
        <v>8</v>
      </c>
      <c r="F2833" s="28">
        <v>9274</v>
      </c>
      <c r="G2833" t="s">
        <v>52</v>
      </c>
      <c r="H2833" s="25">
        <v>36147</v>
      </c>
      <c r="I2833" s="1">
        <v>5396.4984337573096</v>
      </c>
      <c r="J2833" s="1">
        <v>41543.498433757311</v>
      </c>
    </row>
    <row r="2834" spans="1:10" x14ac:dyDescent="0.2">
      <c r="A2834">
        <v>2000034</v>
      </c>
      <c r="B2834">
        <v>2022</v>
      </c>
      <c r="C2834" t="s">
        <v>6</v>
      </c>
      <c r="D2834" t="s">
        <v>7</v>
      </c>
      <c r="E2834" t="s">
        <v>8</v>
      </c>
      <c r="F2834" s="28">
        <v>9274</v>
      </c>
      <c r="G2834" t="s">
        <v>52</v>
      </c>
      <c r="H2834" s="1">
        <v>35526</v>
      </c>
      <c r="I2834" s="1">
        <v>4824.6281150832547</v>
      </c>
      <c r="J2834" s="1">
        <v>40350.628115083251</v>
      </c>
    </row>
    <row r="2835" spans="1:10" x14ac:dyDescent="0.2">
      <c r="A2835">
        <v>2000034</v>
      </c>
      <c r="B2835">
        <v>2023</v>
      </c>
      <c r="C2835" t="s">
        <v>6</v>
      </c>
      <c r="D2835" t="s">
        <v>7</v>
      </c>
      <c r="E2835" t="s">
        <v>8</v>
      </c>
      <c r="F2835" s="28">
        <v>9274</v>
      </c>
      <c r="G2835" s="10" t="s">
        <v>52</v>
      </c>
      <c r="H2835" s="1">
        <v>50617</v>
      </c>
      <c r="I2835" s="1">
        <v>7086.530650714104</v>
      </c>
      <c r="J2835" s="1">
        <v>57703.530650714107</v>
      </c>
    </row>
    <row r="2836" spans="1:10" x14ac:dyDescent="0.2">
      <c r="A2836">
        <v>2000023</v>
      </c>
      <c r="B2836">
        <v>2015</v>
      </c>
      <c r="C2836" t="s">
        <v>6</v>
      </c>
      <c r="D2836" t="s">
        <v>7</v>
      </c>
      <c r="E2836" t="s">
        <v>8</v>
      </c>
      <c r="F2836" s="29">
        <v>9291</v>
      </c>
      <c r="G2836" s="3" t="s">
        <v>334</v>
      </c>
      <c r="H2836" s="27">
        <v>221389</v>
      </c>
      <c r="I2836" s="1">
        <v>35660.0210099092</v>
      </c>
      <c r="J2836" s="1">
        <v>257049.02100990919</v>
      </c>
    </row>
    <row r="2837" spans="1:10" x14ac:dyDescent="0.2">
      <c r="A2837">
        <v>2000023</v>
      </c>
      <c r="B2837">
        <v>2016</v>
      </c>
      <c r="C2837" t="s">
        <v>6</v>
      </c>
      <c r="D2837" t="s">
        <v>7</v>
      </c>
      <c r="E2837" t="s">
        <v>8</v>
      </c>
      <c r="F2837" s="29">
        <v>9291</v>
      </c>
      <c r="G2837" s="3" t="s">
        <v>334</v>
      </c>
      <c r="H2837" s="1">
        <v>237125</v>
      </c>
      <c r="I2837" s="26">
        <v>626271.102447488</v>
      </c>
      <c r="J2837" s="26">
        <v>863396.102447488</v>
      </c>
    </row>
    <row r="2838" spans="1:10" x14ac:dyDescent="0.2">
      <c r="A2838">
        <v>2000023</v>
      </c>
      <c r="B2838">
        <v>2017</v>
      </c>
      <c r="C2838" t="s">
        <v>6</v>
      </c>
      <c r="D2838" t="s">
        <v>7</v>
      </c>
      <c r="E2838" t="s">
        <v>8</v>
      </c>
      <c r="F2838" s="29">
        <v>9291</v>
      </c>
      <c r="G2838" s="3" t="s">
        <v>334</v>
      </c>
      <c r="H2838" s="1">
        <v>219313</v>
      </c>
      <c r="I2838" s="1">
        <v>34225.030795714512</v>
      </c>
      <c r="J2838" s="1">
        <v>253538.03079571453</v>
      </c>
    </row>
    <row r="2839" spans="1:10" x14ac:dyDescent="0.2">
      <c r="A2839">
        <v>2000023</v>
      </c>
      <c r="B2839">
        <v>2018</v>
      </c>
      <c r="C2839" t="s">
        <v>6</v>
      </c>
      <c r="D2839" t="s">
        <v>7</v>
      </c>
      <c r="E2839" t="s">
        <v>8</v>
      </c>
      <c r="F2839" s="28">
        <v>9291</v>
      </c>
      <c r="G2839" t="s">
        <v>334</v>
      </c>
      <c r="H2839" s="1">
        <v>257440</v>
      </c>
      <c r="I2839" s="1">
        <v>38929.908781551712</v>
      </c>
      <c r="J2839" s="1">
        <v>296369.9087815517</v>
      </c>
    </row>
    <row r="2840" spans="1:10" x14ac:dyDescent="0.2">
      <c r="A2840">
        <v>2000023</v>
      </c>
      <c r="B2840">
        <v>2019</v>
      </c>
      <c r="C2840" t="s">
        <v>6</v>
      </c>
      <c r="D2840" t="s">
        <v>7</v>
      </c>
      <c r="E2840" t="s">
        <v>8</v>
      </c>
      <c r="F2840" s="28">
        <v>9291</v>
      </c>
      <c r="G2840" t="s">
        <v>334</v>
      </c>
      <c r="H2840" s="1">
        <v>304225</v>
      </c>
      <c r="I2840" s="1">
        <v>46332.804861184217</v>
      </c>
      <c r="J2840" s="1">
        <v>350557.80486118421</v>
      </c>
    </row>
    <row r="2841" spans="1:10" x14ac:dyDescent="0.2">
      <c r="A2841">
        <v>2000023</v>
      </c>
      <c r="B2841">
        <v>2020</v>
      </c>
      <c r="C2841" t="s">
        <v>6</v>
      </c>
      <c r="D2841" t="s">
        <v>7</v>
      </c>
      <c r="E2841" t="s">
        <v>8</v>
      </c>
      <c r="F2841" s="28">
        <v>9291</v>
      </c>
      <c r="G2841" t="s">
        <v>334</v>
      </c>
      <c r="H2841" s="1">
        <v>351175</v>
      </c>
      <c r="I2841" s="1">
        <v>53127.448404219693</v>
      </c>
      <c r="J2841" s="1">
        <v>404302.4484042197</v>
      </c>
    </row>
    <row r="2842" spans="1:10" x14ac:dyDescent="0.2">
      <c r="A2842">
        <v>2000023</v>
      </c>
      <c r="B2842">
        <v>2021</v>
      </c>
      <c r="C2842" t="s">
        <v>6</v>
      </c>
      <c r="D2842" t="s">
        <v>7</v>
      </c>
      <c r="E2842" t="s">
        <v>8</v>
      </c>
      <c r="F2842" s="28">
        <v>9291</v>
      </c>
      <c r="G2842" t="s">
        <v>334</v>
      </c>
      <c r="H2842" s="25">
        <v>371583</v>
      </c>
      <c r="I2842" s="1">
        <v>55474.785667160271</v>
      </c>
      <c r="J2842" s="1">
        <v>427057.78566716029</v>
      </c>
    </row>
    <row r="2843" spans="1:10" x14ac:dyDescent="0.2">
      <c r="A2843">
        <v>2000023</v>
      </c>
      <c r="B2843">
        <v>2022</v>
      </c>
      <c r="C2843" t="s">
        <v>6</v>
      </c>
      <c r="D2843" t="s">
        <v>7</v>
      </c>
      <c r="E2843" t="s">
        <v>8</v>
      </c>
      <c r="F2843" s="28">
        <v>9291</v>
      </c>
      <c r="G2843" t="s">
        <v>334</v>
      </c>
      <c r="H2843" s="1">
        <v>362213</v>
      </c>
      <c r="I2843" s="1">
        <v>49190.537168514631</v>
      </c>
      <c r="J2843" s="1">
        <v>411403.53716851462</v>
      </c>
    </row>
    <row r="2844" spans="1:10" x14ac:dyDescent="0.2">
      <c r="A2844">
        <v>2000023</v>
      </c>
      <c r="B2844">
        <v>2023</v>
      </c>
      <c r="C2844" t="s">
        <v>6</v>
      </c>
      <c r="D2844" t="s">
        <v>7</v>
      </c>
      <c r="E2844" t="s">
        <v>8</v>
      </c>
      <c r="F2844" s="28">
        <v>9291</v>
      </c>
      <c r="G2844" s="10" t="s">
        <v>334</v>
      </c>
      <c r="H2844" s="1">
        <v>381597</v>
      </c>
      <c r="I2844" s="1">
        <v>53424.715742152832</v>
      </c>
      <c r="J2844" s="1">
        <v>435021.71574215282</v>
      </c>
    </row>
    <row r="2845" spans="1:10" x14ac:dyDescent="0.2">
      <c r="A2845">
        <v>2000020</v>
      </c>
      <c r="B2845">
        <v>2015</v>
      </c>
      <c r="C2845" t="s">
        <v>6</v>
      </c>
      <c r="D2845" t="s">
        <v>7</v>
      </c>
      <c r="E2845" t="s">
        <v>8</v>
      </c>
      <c r="F2845" s="29">
        <v>9302</v>
      </c>
      <c r="G2845" s="3" t="s">
        <v>335</v>
      </c>
      <c r="H2845" s="27">
        <v>100472</v>
      </c>
      <c r="I2845" s="1">
        <v>16183.431114046305</v>
      </c>
      <c r="J2845" s="1">
        <v>116655.43111404631</v>
      </c>
    </row>
    <row r="2846" spans="1:10" x14ac:dyDescent="0.2">
      <c r="A2846">
        <v>2000020</v>
      </c>
      <c r="B2846">
        <v>2016</v>
      </c>
      <c r="C2846" t="s">
        <v>6</v>
      </c>
      <c r="D2846" t="s">
        <v>7</v>
      </c>
      <c r="E2846" t="s">
        <v>8</v>
      </c>
      <c r="F2846" s="29">
        <v>9302</v>
      </c>
      <c r="G2846" s="3" t="s">
        <v>335</v>
      </c>
      <c r="H2846" s="1">
        <v>128118</v>
      </c>
      <c r="I2846" s="26">
        <v>338370.90805198235</v>
      </c>
      <c r="J2846" s="26">
        <v>466488.90805198235</v>
      </c>
    </row>
    <row r="2847" spans="1:10" x14ac:dyDescent="0.2">
      <c r="A2847">
        <v>2000020</v>
      </c>
      <c r="B2847">
        <v>2017</v>
      </c>
      <c r="C2847" t="s">
        <v>6</v>
      </c>
      <c r="D2847" t="s">
        <v>7</v>
      </c>
      <c r="E2847" t="s">
        <v>8</v>
      </c>
      <c r="F2847" s="29">
        <v>9302</v>
      </c>
      <c r="G2847" s="3" t="s">
        <v>335</v>
      </c>
      <c r="H2847" s="1">
        <v>134841</v>
      </c>
      <c r="I2847" s="1">
        <v>21042.69868874595</v>
      </c>
      <c r="J2847" s="1">
        <v>155883.69868874596</v>
      </c>
    </row>
    <row r="2848" spans="1:10" x14ac:dyDescent="0.2">
      <c r="A2848">
        <v>2000020</v>
      </c>
      <c r="B2848">
        <v>2018</v>
      </c>
      <c r="C2848" t="s">
        <v>6</v>
      </c>
      <c r="D2848" t="s">
        <v>7</v>
      </c>
      <c r="E2848" t="s">
        <v>8</v>
      </c>
      <c r="F2848" s="28">
        <v>9302</v>
      </c>
      <c r="G2848" t="s">
        <v>335</v>
      </c>
      <c r="H2848" s="1">
        <v>137639</v>
      </c>
      <c r="I2848" s="1">
        <v>20813.679749782463</v>
      </c>
      <c r="J2848" s="1">
        <v>158452.67974978246</v>
      </c>
    </row>
    <row r="2849" spans="1:10" x14ac:dyDescent="0.2">
      <c r="A2849">
        <v>2000020</v>
      </c>
      <c r="B2849">
        <v>2019</v>
      </c>
      <c r="C2849" t="s">
        <v>6</v>
      </c>
      <c r="D2849" t="s">
        <v>7</v>
      </c>
      <c r="E2849" t="s">
        <v>8</v>
      </c>
      <c r="F2849" s="28">
        <v>9302</v>
      </c>
      <c r="G2849" t="s">
        <v>335</v>
      </c>
      <c r="H2849" s="1">
        <v>169220</v>
      </c>
      <c r="I2849" s="1">
        <v>25771.837418389656</v>
      </c>
      <c r="J2849" s="1">
        <v>194991.83741838965</v>
      </c>
    </row>
    <row r="2850" spans="1:10" x14ac:dyDescent="0.2">
      <c r="A2850">
        <v>2000020</v>
      </c>
      <c r="B2850">
        <v>2020</v>
      </c>
      <c r="C2850" t="s">
        <v>6</v>
      </c>
      <c r="D2850" t="s">
        <v>7</v>
      </c>
      <c r="E2850" t="s">
        <v>8</v>
      </c>
      <c r="F2850" s="28">
        <v>9302</v>
      </c>
      <c r="G2850" t="s">
        <v>335</v>
      </c>
      <c r="H2850" s="1">
        <v>156832</v>
      </c>
      <c r="I2850" s="1">
        <v>23726.301667631757</v>
      </c>
      <c r="J2850" s="1">
        <v>180558.30166763175</v>
      </c>
    </row>
    <row r="2851" spans="1:10" x14ac:dyDescent="0.2">
      <c r="A2851">
        <v>2000020</v>
      </c>
      <c r="B2851">
        <v>2021</v>
      </c>
      <c r="C2851" t="s">
        <v>6</v>
      </c>
      <c r="D2851" t="s">
        <v>7</v>
      </c>
      <c r="E2851" t="s">
        <v>8</v>
      </c>
      <c r="F2851" s="28">
        <v>9302</v>
      </c>
      <c r="G2851" t="s">
        <v>335</v>
      </c>
      <c r="H2851" s="25">
        <v>162930</v>
      </c>
      <c r="I2851" s="1">
        <v>24324.328154814459</v>
      </c>
      <c r="J2851" s="1">
        <v>187254.32815481446</v>
      </c>
    </row>
    <row r="2852" spans="1:10" x14ac:dyDescent="0.2">
      <c r="A2852">
        <v>2000020</v>
      </c>
      <c r="B2852">
        <v>2022</v>
      </c>
      <c r="C2852" t="s">
        <v>6</v>
      </c>
      <c r="D2852" t="s">
        <v>7</v>
      </c>
      <c r="E2852" t="s">
        <v>8</v>
      </c>
      <c r="F2852" s="28">
        <v>9302</v>
      </c>
      <c r="G2852" t="s">
        <v>335</v>
      </c>
      <c r="H2852" s="1">
        <v>185194</v>
      </c>
      <c r="I2852" s="1">
        <v>25150.37378665564</v>
      </c>
      <c r="J2852" s="1">
        <v>210344.37378665563</v>
      </c>
    </row>
    <row r="2853" spans="1:10" x14ac:dyDescent="0.2">
      <c r="A2853">
        <v>2000020</v>
      </c>
      <c r="B2853">
        <v>2023</v>
      </c>
      <c r="C2853" t="s">
        <v>6</v>
      </c>
      <c r="D2853" t="s">
        <v>7</v>
      </c>
      <c r="E2853" t="s">
        <v>8</v>
      </c>
      <c r="F2853" s="28">
        <v>9302</v>
      </c>
      <c r="G2853" s="10" t="s">
        <v>335</v>
      </c>
      <c r="H2853" s="1">
        <v>200374</v>
      </c>
      <c r="I2853" s="1">
        <v>28052.956370511645</v>
      </c>
      <c r="J2853" s="1">
        <v>228426.95637051165</v>
      </c>
    </row>
    <row r="2854" spans="1:10" x14ac:dyDescent="0.2">
      <c r="B2854">
        <v>2016</v>
      </c>
      <c r="C2854" t="s">
        <v>6</v>
      </c>
      <c r="D2854" t="s">
        <v>7</v>
      </c>
      <c r="E2854" t="s">
        <v>8</v>
      </c>
      <c r="F2854" s="29">
        <v>9303</v>
      </c>
      <c r="G2854" s="3" t="s">
        <v>363</v>
      </c>
      <c r="H2854" s="1">
        <v>18200</v>
      </c>
      <c r="I2854" s="26">
        <v>48063.880907502826</v>
      </c>
      <c r="J2854" s="26">
        <v>66263.880907502826</v>
      </c>
    </row>
    <row r="2855" spans="1:10" x14ac:dyDescent="0.2">
      <c r="B2855">
        <v>2017</v>
      </c>
      <c r="C2855" t="s">
        <v>6</v>
      </c>
      <c r="D2855" t="s">
        <v>7</v>
      </c>
      <c r="E2855" t="s">
        <v>8</v>
      </c>
      <c r="F2855" s="29">
        <v>9303</v>
      </c>
      <c r="G2855" s="3" t="s">
        <v>363</v>
      </c>
      <c r="H2855" s="1">
        <v>18589</v>
      </c>
      <c r="I2855" s="1">
        <v>2900.9183106406695</v>
      </c>
      <c r="J2855" s="1">
        <v>21489.918310640671</v>
      </c>
    </row>
    <row r="2856" spans="1:10" x14ac:dyDescent="0.2">
      <c r="B2856">
        <v>2018</v>
      </c>
      <c r="C2856" t="s">
        <v>6</v>
      </c>
      <c r="D2856" t="s">
        <v>7</v>
      </c>
      <c r="E2856" t="s">
        <v>8</v>
      </c>
      <c r="F2856" s="28">
        <v>9303</v>
      </c>
      <c r="G2856" t="s">
        <v>363</v>
      </c>
      <c r="H2856" s="1">
        <v>4132</v>
      </c>
      <c r="I2856" s="1">
        <v>624.83834324647171</v>
      </c>
      <c r="J2856" s="1">
        <v>4756.8383432464716</v>
      </c>
    </row>
    <row r="2857" spans="1:10" x14ac:dyDescent="0.2">
      <c r="B2857">
        <v>2019</v>
      </c>
      <c r="C2857" t="s">
        <v>6</v>
      </c>
      <c r="D2857" t="s">
        <v>7</v>
      </c>
      <c r="E2857" t="s">
        <v>8</v>
      </c>
      <c r="F2857" s="28">
        <v>9303</v>
      </c>
      <c r="G2857" t="s">
        <v>363</v>
      </c>
      <c r="H2857" s="1">
        <v>2658</v>
      </c>
      <c r="I2857" s="1">
        <v>404.80761055477905</v>
      </c>
      <c r="J2857" s="1">
        <v>3062.8076105547789</v>
      </c>
    </row>
    <row r="2858" spans="1:10" x14ac:dyDescent="0.2">
      <c r="B2858">
        <v>2020</v>
      </c>
      <c r="C2858" t="s">
        <v>6</v>
      </c>
      <c r="D2858" t="s">
        <v>7</v>
      </c>
      <c r="E2858" t="s">
        <v>8</v>
      </c>
      <c r="F2858" s="28">
        <v>9303</v>
      </c>
      <c r="G2858" t="s">
        <v>53</v>
      </c>
      <c r="H2858" s="1">
        <v>3683</v>
      </c>
      <c r="I2858" s="1">
        <v>557.18201031605645</v>
      </c>
      <c r="J2858" s="1">
        <v>4240.1820103160562</v>
      </c>
    </row>
    <row r="2859" spans="1:10" x14ac:dyDescent="0.2">
      <c r="B2859">
        <v>2021</v>
      </c>
      <c r="C2859" t="s">
        <v>6</v>
      </c>
      <c r="D2859" t="s">
        <v>7</v>
      </c>
      <c r="E2859" t="s">
        <v>8</v>
      </c>
      <c r="F2859" s="28">
        <v>9303</v>
      </c>
      <c r="G2859" t="s">
        <v>53</v>
      </c>
      <c r="H2859" s="25">
        <v>11160</v>
      </c>
      <c r="I2859" s="1">
        <v>1666.1112269547009</v>
      </c>
      <c r="J2859" s="1">
        <v>12826.111226954701</v>
      </c>
    </row>
    <row r="2860" spans="1:10" x14ac:dyDescent="0.2">
      <c r="B2860">
        <v>2022</v>
      </c>
      <c r="C2860" t="s">
        <v>6</v>
      </c>
      <c r="D2860" t="s">
        <v>7</v>
      </c>
      <c r="E2860" t="s">
        <v>8</v>
      </c>
      <c r="F2860" s="28">
        <v>9303</v>
      </c>
      <c r="G2860" t="s">
        <v>53</v>
      </c>
      <c r="H2860" s="1">
        <v>11924</v>
      </c>
      <c r="I2860" s="1">
        <v>1619.3454271309104</v>
      </c>
      <c r="J2860" s="1">
        <v>13543.345427130911</v>
      </c>
    </row>
    <row r="2861" spans="1:10" x14ac:dyDescent="0.2">
      <c r="B2861">
        <v>2023</v>
      </c>
      <c r="C2861" t="s">
        <v>6</v>
      </c>
      <c r="D2861" t="s">
        <v>7</v>
      </c>
      <c r="E2861" t="s">
        <v>8</v>
      </c>
      <c r="F2861" s="28">
        <v>9303</v>
      </c>
      <c r="G2861" s="10" t="s">
        <v>53</v>
      </c>
      <c r="H2861" s="1">
        <v>10196</v>
      </c>
      <c r="I2861" s="1">
        <v>1427.4703462212499</v>
      </c>
      <c r="J2861" s="1">
        <v>11623.470346221249</v>
      </c>
    </row>
    <row r="2862" spans="1:10" x14ac:dyDescent="0.2">
      <c r="B2862">
        <v>2016</v>
      </c>
      <c r="C2862" t="s">
        <v>6</v>
      </c>
      <c r="D2862" t="s">
        <v>7</v>
      </c>
      <c r="E2862" t="s">
        <v>8</v>
      </c>
      <c r="F2862" s="29">
        <v>9304</v>
      </c>
      <c r="G2862" s="3" t="s">
        <v>54</v>
      </c>
      <c r="H2862" s="1">
        <v>0</v>
      </c>
      <c r="I2862" s="26">
        <v>0</v>
      </c>
      <c r="J2862" s="26">
        <v>0</v>
      </c>
    </row>
    <row r="2863" spans="1:10" x14ac:dyDescent="0.2">
      <c r="B2863">
        <v>2017</v>
      </c>
      <c r="C2863" t="s">
        <v>6</v>
      </c>
      <c r="D2863" t="s">
        <v>7</v>
      </c>
      <c r="E2863" t="s">
        <v>8</v>
      </c>
      <c r="F2863" s="29">
        <v>9304</v>
      </c>
      <c r="G2863" s="3" t="s">
        <v>54</v>
      </c>
      <c r="H2863" s="1"/>
      <c r="I2863" s="1">
        <v>0</v>
      </c>
      <c r="J2863" s="1">
        <v>0</v>
      </c>
    </row>
    <row r="2864" spans="1:10" x14ac:dyDescent="0.2">
      <c r="B2864">
        <v>2018</v>
      </c>
      <c r="C2864" t="s">
        <v>6</v>
      </c>
      <c r="D2864" t="s">
        <v>7</v>
      </c>
      <c r="E2864" t="s">
        <v>8</v>
      </c>
      <c r="F2864" s="28">
        <v>9304</v>
      </c>
      <c r="G2864" t="s">
        <v>54</v>
      </c>
      <c r="H2864" s="1">
        <v>521</v>
      </c>
      <c r="I2864" s="1">
        <v>78.785279968879905</v>
      </c>
      <c r="J2864" s="1">
        <v>599.78527996887988</v>
      </c>
    </row>
    <row r="2865" spans="1:10" x14ac:dyDescent="0.2">
      <c r="B2865">
        <v>2019</v>
      </c>
      <c r="C2865" t="s">
        <v>6</v>
      </c>
      <c r="D2865" t="s">
        <v>7</v>
      </c>
      <c r="E2865" t="s">
        <v>8</v>
      </c>
      <c r="F2865" s="28">
        <v>9304</v>
      </c>
      <c r="G2865" t="s">
        <v>54</v>
      </c>
      <c r="H2865" s="1"/>
      <c r="I2865" s="1">
        <v>0</v>
      </c>
      <c r="J2865" s="1">
        <v>0</v>
      </c>
    </row>
    <row r="2866" spans="1:10" x14ac:dyDescent="0.2">
      <c r="B2866">
        <v>2020</v>
      </c>
      <c r="C2866" t="s">
        <v>6</v>
      </c>
      <c r="D2866" t="s">
        <v>7</v>
      </c>
      <c r="E2866" t="s">
        <v>8</v>
      </c>
      <c r="F2866" s="28">
        <v>9304</v>
      </c>
      <c r="G2866" t="s">
        <v>54</v>
      </c>
      <c r="H2866" s="1"/>
      <c r="I2866" s="1">
        <v>0</v>
      </c>
      <c r="J2866" s="1">
        <v>0</v>
      </c>
    </row>
    <row r="2867" spans="1:10" x14ac:dyDescent="0.2">
      <c r="B2867">
        <v>2022</v>
      </c>
      <c r="C2867" t="s">
        <v>6</v>
      </c>
      <c r="D2867" t="s">
        <v>7</v>
      </c>
      <c r="E2867" t="s">
        <v>8</v>
      </c>
      <c r="F2867" s="28">
        <v>9304</v>
      </c>
      <c r="G2867" t="s">
        <v>54</v>
      </c>
      <c r="H2867" s="1"/>
      <c r="I2867" s="1">
        <v>0</v>
      </c>
      <c r="J2867" s="1">
        <v>0</v>
      </c>
    </row>
    <row r="2868" spans="1:10" x14ac:dyDescent="0.2">
      <c r="B2868">
        <v>2023</v>
      </c>
      <c r="C2868" t="s">
        <v>6</v>
      </c>
      <c r="D2868" t="s">
        <v>7</v>
      </c>
      <c r="E2868" t="s">
        <v>8</v>
      </c>
      <c r="F2868" s="28">
        <v>9304</v>
      </c>
      <c r="G2868" s="10" t="s">
        <v>54</v>
      </c>
      <c r="H2868" s="1"/>
      <c r="I2868" s="1">
        <v>0</v>
      </c>
      <c r="J2868" s="1">
        <v>0</v>
      </c>
    </row>
    <row r="2869" spans="1:10" x14ac:dyDescent="0.2">
      <c r="B2869">
        <v>2016</v>
      </c>
      <c r="C2869" t="s">
        <v>6</v>
      </c>
      <c r="D2869" t="s">
        <v>7</v>
      </c>
      <c r="E2869" t="s">
        <v>8</v>
      </c>
      <c r="F2869" s="29">
        <v>9305</v>
      </c>
      <c r="G2869" s="3" t="s">
        <v>55</v>
      </c>
      <c r="H2869" s="1">
        <v>29576</v>
      </c>
      <c r="I2869" s="26">
        <v>78118.462099337718</v>
      </c>
      <c r="J2869" s="26">
        <v>107694.46209933772</v>
      </c>
    </row>
    <row r="2870" spans="1:10" x14ac:dyDescent="0.2">
      <c r="B2870">
        <v>2017</v>
      </c>
      <c r="C2870" t="s">
        <v>6</v>
      </c>
      <c r="D2870" t="s">
        <v>7</v>
      </c>
      <c r="E2870" t="s">
        <v>8</v>
      </c>
      <c r="F2870" s="29">
        <v>9305</v>
      </c>
      <c r="G2870" s="3" t="s">
        <v>55</v>
      </c>
      <c r="H2870" s="1">
        <v>20567</v>
      </c>
      <c r="I2870" s="1">
        <v>3209.5963685484235</v>
      </c>
      <c r="J2870" s="1">
        <v>23776.596368548424</v>
      </c>
    </row>
    <row r="2871" spans="1:10" x14ac:dyDescent="0.2">
      <c r="B2871">
        <v>2018</v>
      </c>
      <c r="C2871" t="s">
        <v>6</v>
      </c>
      <c r="D2871" t="s">
        <v>7</v>
      </c>
      <c r="E2871" t="s">
        <v>8</v>
      </c>
      <c r="F2871" s="28">
        <v>9305</v>
      </c>
      <c r="G2871" t="s">
        <v>55</v>
      </c>
      <c r="H2871" s="1">
        <v>16044</v>
      </c>
      <c r="I2871" s="1">
        <v>2426.1632088689239</v>
      </c>
      <c r="J2871" s="1">
        <v>18470.163208868922</v>
      </c>
    </row>
    <row r="2872" spans="1:10" x14ac:dyDescent="0.2">
      <c r="B2872">
        <v>2019</v>
      </c>
      <c r="C2872" t="s">
        <v>6</v>
      </c>
      <c r="D2872" t="s">
        <v>7</v>
      </c>
      <c r="E2872" t="s">
        <v>8</v>
      </c>
      <c r="F2872" s="28">
        <v>9305</v>
      </c>
      <c r="G2872" t="s">
        <v>55</v>
      </c>
      <c r="H2872" s="1">
        <v>20663</v>
      </c>
      <c r="I2872" s="1">
        <v>3146.9298934888634</v>
      </c>
      <c r="J2872" s="1">
        <v>23809.929893488865</v>
      </c>
    </row>
    <row r="2873" spans="1:10" x14ac:dyDescent="0.2">
      <c r="B2873">
        <v>2020</v>
      </c>
      <c r="C2873" t="s">
        <v>6</v>
      </c>
      <c r="D2873" t="s">
        <v>7</v>
      </c>
      <c r="E2873" t="s">
        <v>8</v>
      </c>
      <c r="F2873" s="28">
        <v>9305</v>
      </c>
      <c r="G2873" t="s">
        <v>55</v>
      </c>
      <c r="H2873" s="1">
        <v>26980</v>
      </c>
      <c r="I2873" s="1">
        <v>4081.6645773356513</v>
      </c>
      <c r="J2873" s="1">
        <v>31061.66457733565</v>
      </c>
    </row>
    <row r="2874" spans="1:10" x14ac:dyDescent="0.2">
      <c r="B2874">
        <v>2021</v>
      </c>
      <c r="C2874" t="s">
        <v>6</v>
      </c>
      <c r="D2874" t="s">
        <v>7</v>
      </c>
      <c r="E2874" t="s">
        <v>8</v>
      </c>
      <c r="F2874" s="28">
        <v>9305</v>
      </c>
      <c r="G2874" t="s">
        <v>55</v>
      </c>
      <c r="H2874" s="25">
        <v>23162</v>
      </c>
      <c r="I2874" s="1">
        <v>3457.927261534478</v>
      </c>
      <c r="J2874" s="1">
        <v>26619.927261534478</v>
      </c>
    </row>
    <row r="2875" spans="1:10" x14ac:dyDescent="0.2">
      <c r="B2875">
        <v>2022</v>
      </c>
      <c r="C2875" t="s">
        <v>6</v>
      </c>
      <c r="D2875" t="s">
        <v>7</v>
      </c>
      <c r="E2875" t="s">
        <v>8</v>
      </c>
      <c r="F2875" s="28">
        <v>9305</v>
      </c>
      <c r="G2875" t="s">
        <v>55</v>
      </c>
      <c r="H2875" s="1">
        <v>26559</v>
      </c>
      <c r="I2875" s="1">
        <v>3606.8597114365862</v>
      </c>
      <c r="J2875" s="1">
        <v>30165.859711436588</v>
      </c>
    </row>
    <row r="2876" spans="1:10" x14ac:dyDescent="0.2">
      <c r="B2876">
        <v>2023</v>
      </c>
      <c r="C2876" t="s">
        <v>6</v>
      </c>
      <c r="D2876" t="s">
        <v>7</v>
      </c>
      <c r="E2876" t="s">
        <v>8</v>
      </c>
      <c r="F2876" s="28">
        <v>9305</v>
      </c>
      <c r="G2876" s="10" t="s">
        <v>55</v>
      </c>
      <c r="H2876" s="1">
        <v>28012</v>
      </c>
      <c r="I2876" s="1">
        <v>3921.763371748691</v>
      </c>
      <c r="J2876" s="1">
        <v>31933.76337174869</v>
      </c>
    </row>
    <row r="2877" spans="1:10" x14ac:dyDescent="0.2">
      <c r="A2877">
        <v>2000029</v>
      </c>
      <c r="B2877">
        <v>2015</v>
      </c>
      <c r="C2877" t="s">
        <v>6</v>
      </c>
      <c r="D2877" t="s">
        <v>7</v>
      </c>
      <c r="E2877" t="s">
        <v>8</v>
      </c>
      <c r="F2877" s="29">
        <v>9332</v>
      </c>
      <c r="G2877" s="3" t="s">
        <v>336</v>
      </c>
      <c r="H2877" s="27">
        <v>197143</v>
      </c>
      <c r="I2877" s="1">
        <v>31754.619795728468</v>
      </c>
      <c r="J2877" s="1">
        <v>228897.61979572847</v>
      </c>
    </row>
    <row r="2878" spans="1:10" x14ac:dyDescent="0.2">
      <c r="A2878">
        <v>2000029</v>
      </c>
      <c r="B2878">
        <v>2016</v>
      </c>
      <c r="C2878" t="s">
        <v>6</v>
      </c>
      <c r="D2878" t="s">
        <v>7</v>
      </c>
      <c r="E2878" t="s">
        <v>8</v>
      </c>
      <c r="F2878" s="29">
        <v>9332</v>
      </c>
      <c r="G2878" s="3" t="s">
        <v>336</v>
      </c>
      <c r="H2878" s="1">
        <v>229416</v>
      </c>
      <c r="I2878" s="26">
        <v>605905.50859222491</v>
      </c>
      <c r="J2878" s="26">
        <v>835321.50859222491</v>
      </c>
    </row>
    <row r="2879" spans="1:10" x14ac:dyDescent="0.2">
      <c r="A2879">
        <v>2000029</v>
      </c>
      <c r="B2879">
        <v>2017</v>
      </c>
      <c r="C2879" t="s">
        <v>6</v>
      </c>
      <c r="D2879" t="s">
        <v>7</v>
      </c>
      <c r="E2879" t="s">
        <v>8</v>
      </c>
      <c r="F2879" s="29">
        <v>9332</v>
      </c>
      <c r="G2879" s="3" t="s">
        <v>336</v>
      </c>
      <c r="H2879" s="1">
        <v>207503</v>
      </c>
      <c r="I2879" s="1">
        <v>32382.013675446276</v>
      </c>
      <c r="J2879" s="1">
        <v>239885.01367544627</v>
      </c>
    </row>
    <row r="2880" spans="1:10" x14ac:dyDescent="0.2">
      <c r="A2880">
        <v>2000029</v>
      </c>
      <c r="B2880">
        <v>2018</v>
      </c>
      <c r="C2880" t="s">
        <v>6</v>
      </c>
      <c r="D2880" t="s">
        <v>7</v>
      </c>
      <c r="E2880" t="s">
        <v>8</v>
      </c>
      <c r="F2880" s="28">
        <v>9332</v>
      </c>
      <c r="G2880" t="s">
        <v>336</v>
      </c>
      <c r="H2880" s="1">
        <v>243017</v>
      </c>
      <c r="I2880" s="1">
        <v>36748.872134735684</v>
      </c>
      <c r="J2880" s="1">
        <v>279765.87213473569</v>
      </c>
    </row>
    <row r="2881" spans="1:10" x14ac:dyDescent="0.2">
      <c r="A2881">
        <v>2000029</v>
      </c>
      <c r="B2881">
        <v>2019</v>
      </c>
      <c r="C2881" t="s">
        <v>6</v>
      </c>
      <c r="D2881" t="s">
        <v>7</v>
      </c>
      <c r="E2881" t="s">
        <v>8</v>
      </c>
      <c r="F2881" s="28">
        <v>9332</v>
      </c>
      <c r="G2881" t="s">
        <v>336</v>
      </c>
      <c r="H2881" s="1">
        <v>282633</v>
      </c>
      <c r="I2881" s="1">
        <v>43044.390291169628</v>
      </c>
      <c r="J2881" s="1">
        <v>325677.39029116964</v>
      </c>
    </row>
    <row r="2882" spans="1:10" x14ac:dyDescent="0.2">
      <c r="A2882">
        <v>2000029</v>
      </c>
      <c r="B2882">
        <v>2020</v>
      </c>
      <c r="C2882" t="s">
        <v>6</v>
      </c>
      <c r="D2882" t="s">
        <v>7</v>
      </c>
      <c r="E2882" t="s">
        <v>8</v>
      </c>
      <c r="F2882" s="28">
        <v>9332</v>
      </c>
      <c r="G2882" t="s">
        <v>336</v>
      </c>
      <c r="H2882" s="1">
        <v>306011</v>
      </c>
      <c r="I2882" s="1">
        <v>46294.820569868796</v>
      </c>
      <c r="J2882" s="1">
        <v>352305.82056986878</v>
      </c>
    </row>
    <row r="2883" spans="1:10" x14ac:dyDescent="0.2">
      <c r="A2883">
        <v>2000029</v>
      </c>
      <c r="B2883">
        <v>2021</v>
      </c>
      <c r="C2883" t="s">
        <v>6</v>
      </c>
      <c r="D2883" t="s">
        <v>7</v>
      </c>
      <c r="E2883" t="s">
        <v>8</v>
      </c>
      <c r="F2883" s="28">
        <v>9332</v>
      </c>
      <c r="G2883" t="s">
        <v>336</v>
      </c>
      <c r="H2883" s="25">
        <v>315344</v>
      </c>
      <c r="I2883" s="1">
        <v>47078.689852401716</v>
      </c>
      <c r="J2883" s="1">
        <v>362422.68985240173</v>
      </c>
    </row>
    <row r="2884" spans="1:10" x14ac:dyDescent="0.2">
      <c r="A2884">
        <v>2000029</v>
      </c>
      <c r="B2884">
        <v>2022</v>
      </c>
      <c r="C2884" t="s">
        <v>6</v>
      </c>
      <c r="D2884" t="s">
        <v>7</v>
      </c>
      <c r="E2884" t="s">
        <v>8</v>
      </c>
      <c r="F2884" s="28">
        <v>9332</v>
      </c>
      <c r="G2884" t="s">
        <v>336</v>
      </c>
      <c r="H2884" s="1">
        <v>332544</v>
      </c>
      <c r="I2884" s="1">
        <v>45161.322183815959</v>
      </c>
      <c r="J2884" s="1">
        <v>377705.32218381594</v>
      </c>
    </row>
    <row r="2885" spans="1:10" x14ac:dyDescent="0.2">
      <c r="A2885">
        <v>2000029</v>
      </c>
      <c r="B2885">
        <v>2023</v>
      </c>
      <c r="C2885" t="s">
        <v>6</v>
      </c>
      <c r="D2885" t="s">
        <v>7</v>
      </c>
      <c r="E2885" t="s">
        <v>8</v>
      </c>
      <c r="F2885" s="28">
        <v>9332</v>
      </c>
      <c r="G2885" s="10" t="s">
        <v>336</v>
      </c>
      <c r="H2885" s="1">
        <v>325524</v>
      </c>
      <c r="I2885" s="1">
        <v>45574.328852817394</v>
      </c>
      <c r="J2885" s="1">
        <v>371098.32885281742</v>
      </c>
    </row>
    <row r="2886" spans="1:10" x14ac:dyDescent="0.2">
      <c r="A2886">
        <v>2000028</v>
      </c>
      <c r="B2886">
        <v>2015</v>
      </c>
      <c r="C2886" t="s">
        <v>6</v>
      </c>
      <c r="D2886" t="s">
        <v>7</v>
      </c>
      <c r="E2886" t="s">
        <v>8</v>
      </c>
      <c r="F2886" s="29">
        <v>9333</v>
      </c>
      <c r="G2886" s="3" t="s">
        <v>337</v>
      </c>
      <c r="H2886" s="27">
        <v>230945</v>
      </c>
      <c r="I2886" s="1">
        <v>37199.244552048571</v>
      </c>
      <c r="J2886" s="1">
        <v>268144.24455204856</v>
      </c>
    </row>
    <row r="2887" spans="1:10" x14ac:dyDescent="0.2">
      <c r="A2887">
        <v>2000028</v>
      </c>
      <c r="B2887">
        <v>2016</v>
      </c>
      <c r="C2887" t="s">
        <v>6</v>
      </c>
      <c r="D2887" t="s">
        <v>7</v>
      </c>
      <c r="E2887" t="s">
        <v>8</v>
      </c>
      <c r="F2887" s="29">
        <v>9333</v>
      </c>
      <c r="G2887" s="3" t="s">
        <v>337</v>
      </c>
      <c r="H2887" s="1">
        <v>220961</v>
      </c>
      <c r="I2887" s="26">
        <v>583576.91183531797</v>
      </c>
      <c r="J2887" s="26">
        <v>804537.91183531797</v>
      </c>
    </row>
    <row r="2888" spans="1:10" x14ac:dyDescent="0.2">
      <c r="A2888">
        <v>2000028</v>
      </c>
      <c r="B2888">
        <v>2017</v>
      </c>
      <c r="C2888" t="s">
        <v>6</v>
      </c>
      <c r="D2888" t="s">
        <v>7</v>
      </c>
      <c r="E2888" t="s">
        <v>8</v>
      </c>
      <c r="F2888" s="29">
        <v>9333</v>
      </c>
      <c r="G2888" s="3" t="s">
        <v>337</v>
      </c>
      <c r="H2888" s="1">
        <v>224452</v>
      </c>
      <c r="I2888" s="1">
        <v>35027.000734838861</v>
      </c>
      <c r="J2888" s="1">
        <v>259479.00073483886</v>
      </c>
    </row>
    <row r="2889" spans="1:10" x14ac:dyDescent="0.2">
      <c r="A2889">
        <v>2000028</v>
      </c>
      <c r="B2889">
        <v>2018</v>
      </c>
      <c r="C2889" t="s">
        <v>6</v>
      </c>
      <c r="D2889" t="s">
        <v>7</v>
      </c>
      <c r="E2889" t="s">
        <v>8</v>
      </c>
      <c r="F2889" s="28">
        <v>9333</v>
      </c>
      <c r="G2889" t="s">
        <v>337</v>
      </c>
      <c r="H2889" s="1">
        <v>251629</v>
      </c>
      <c r="I2889" s="1">
        <v>38051.173154106109</v>
      </c>
      <c r="J2889" s="1">
        <v>289680.17315410613</v>
      </c>
    </row>
    <row r="2890" spans="1:10" x14ac:dyDescent="0.2">
      <c r="A2890">
        <v>2000028</v>
      </c>
      <c r="B2890">
        <v>2019</v>
      </c>
      <c r="C2890" t="s">
        <v>6</v>
      </c>
      <c r="D2890" t="s">
        <v>7</v>
      </c>
      <c r="E2890" t="s">
        <v>8</v>
      </c>
      <c r="F2890" s="28">
        <v>9333</v>
      </c>
      <c r="G2890" t="s">
        <v>337</v>
      </c>
      <c r="H2890" s="1">
        <v>304068</v>
      </c>
      <c r="I2890" s="1">
        <v>46308.894103149185</v>
      </c>
      <c r="J2890" s="1">
        <v>350376.89410314918</v>
      </c>
    </row>
    <row r="2891" spans="1:10" x14ac:dyDescent="0.2">
      <c r="A2891">
        <v>2000028</v>
      </c>
      <c r="B2891">
        <v>2020</v>
      </c>
      <c r="C2891" t="s">
        <v>6</v>
      </c>
      <c r="D2891" t="s">
        <v>7</v>
      </c>
      <c r="E2891" t="s">
        <v>8</v>
      </c>
      <c r="F2891" s="28">
        <v>9333</v>
      </c>
      <c r="G2891" t="s">
        <v>337</v>
      </c>
      <c r="H2891" s="1">
        <v>339156</v>
      </c>
      <c r="I2891" s="1">
        <v>51309.156093063386</v>
      </c>
      <c r="J2891" s="1">
        <v>390465.15609306342</v>
      </c>
    </row>
    <row r="2892" spans="1:10" x14ac:dyDescent="0.2">
      <c r="A2892">
        <v>2000028</v>
      </c>
      <c r="B2892">
        <v>2021</v>
      </c>
      <c r="C2892" t="s">
        <v>6</v>
      </c>
      <c r="D2892" t="s">
        <v>7</v>
      </c>
      <c r="E2892" t="s">
        <v>8</v>
      </c>
      <c r="F2892" s="28">
        <v>9333</v>
      </c>
      <c r="G2892" t="s">
        <v>337</v>
      </c>
      <c r="H2892" s="25">
        <v>357036</v>
      </c>
      <c r="I2892" s="1">
        <v>53303.018640412054</v>
      </c>
      <c r="J2892" s="1">
        <v>410339.01864041208</v>
      </c>
    </row>
    <row r="2893" spans="1:10" x14ac:dyDescent="0.2">
      <c r="A2893">
        <v>2000028</v>
      </c>
      <c r="B2893">
        <v>2022</v>
      </c>
      <c r="C2893" t="s">
        <v>6</v>
      </c>
      <c r="D2893" t="s">
        <v>7</v>
      </c>
      <c r="E2893" t="s">
        <v>8</v>
      </c>
      <c r="F2893" s="28">
        <v>9333</v>
      </c>
      <c r="G2893" t="s">
        <v>337</v>
      </c>
      <c r="H2893" s="1">
        <v>380833</v>
      </c>
      <c r="I2893" s="1">
        <v>51719.236585923012</v>
      </c>
      <c r="J2893" s="1">
        <v>432552.236585923</v>
      </c>
    </row>
    <row r="2894" spans="1:10" x14ac:dyDescent="0.2">
      <c r="A2894">
        <v>2000028</v>
      </c>
      <c r="B2894">
        <v>2023</v>
      </c>
      <c r="C2894" t="s">
        <v>6</v>
      </c>
      <c r="D2894" t="s">
        <v>7</v>
      </c>
      <c r="E2894" t="s">
        <v>8</v>
      </c>
      <c r="F2894" s="28">
        <v>9333</v>
      </c>
      <c r="G2894" s="10" t="s">
        <v>337</v>
      </c>
      <c r="H2894" s="1">
        <v>385882</v>
      </c>
      <c r="I2894" s="1">
        <v>54024.628495542209</v>
      </c>
      <c r="J2894" s="1">
        <v>439906.62849554222</v>
      </c>
    </row>
    <row r="2895" spans="1:10" x14ac:dyDescent="0.2">
      <c r="A2895">
        <v>2000030</v>
      </c>
      <c r="B2895">
        <v>2015</v>
      </c>
      <c r="C2895" t="s">
        <v>6</v>
      </c>
      <c r="D2895" t="s">
        <v>7</v>
      </c>
      <c r="E2895" t="s">
        <v>8</v>
      </c>
      <c r="F2895" s="29">
        <v>9335</v>
      </c>
      <c r="G2895" s="3" t="s">
        <v>338</v>
      </c>
      <c r="H2895" s="27">
        <v>249524</v>
      </c>
      <c r="I2895" s="1">
        <v>40191.83917212049</v>
      </c>
      <c r="J2895" s="1">
        <v>289715.8391721205</v>
      </c>
    </row>
    <row r="2896" spans="1:10" x14ac:dyDescent="0.2">
      <c r="A2896">
        <v>2000030</v>
      </c>
      <c r="B2896">
        <v>2016</v>
      </c>
      <c r="C2896" t="s">
        <v>6</v>
      </c>
      <c r="D2896" t="s">
        <v>7</v>
      </c>
      <c r="E2896" t="s">
        <v>8</v>
      </c>
      <c r="F2896" s="29">
        <v>9335</v>
      </c>
      <c r="G2896" s="3" t="s">
        <v>338</v>
      </c>
      <c r="H2896" s="1">
        <v>292262</v>
      </c>
      <c r="I2896" s="26">
        <v>771893.71517174714</v>
      </c>
      <c r="J2896" s="26">
        <v>1064155.7151717471</v>
      </c>
    </row>
    <row r="2897" spans="1:10" x14ac:dyDescent="0.2">
      <c r="A2897">
        <v>2000030</v>
      </c>
      <c r="B2897">
        <v>2017</v>
      </c>
      <c r="C2897" t="s">
        <v>6</v>
      </c>
      <c r="D2897" t="s">
        <v>7</v>
      </c>
      <c r="E2897" t="s">
        <v>8</v>
      </c>
      <c r="F2897" s="29">
        <v>9335</v>
      </c>
      <c r="G2897" s="3" t="s">
        <v>338</v>
      </c>
      <c r="H2897" s="1">
        <v>301267</v>
      </c>
      <c r="I2897" s="1">
        <v>47014.414798632657</v>
      </c>
      <c r="J2897" s="1">
        <v>348281.41479863267</v>
      </c>
    </row>
    <row r="2898" spans="1:10" x14ac:dyDescent="0.2">
      <c r="A2898">
        <v>2000030</v>
      </c>
      <c r="B2898">
        <v>2018</v>
      </c>
      <c r="C2898" t="s">
        <v>6</v>
      </c>
      <c r="D2898" t="s">
        <v>7</v>
      </c>
      <c r="E2898" t="s">
        <v>8</v>
      </c>
      <c r="F2898" s="28">
        <v>9335</v>
      </c>
      <c r="G2898" t="s">
        <v>338</v>
      </c>
      <c r="H2898" s="1">
        <v>341893</v>
      </c>
      <c r="I2898" s="1">
        <v>51700.83632322507</v>
      </c>
      <c r="J2898" s="1">
        <v>393593.83632322506</v>
      </c>
    </row>
    <row r="2899" spans="1:10" x14ac:dyDescent="0.2">
      <c r="A2899">
        <v>2000030</v>
      </c>
      <c r="B2899">
        <v>2019</v>
      </c>
      <c r="C2899" t="s">
        <v>6</v>
      </c>
      <c r="D2899" t="s">
        <v>7</v>
      </c>
      <c r="E2899" t="s">
        <v>8</v>
      </c>
      <c r="F2899" s="28">
        <v>9335</v>
      </c>
      <c r="G2899" t="s">
        <v>338</v>
      </c>
      <c r="H2899" s="1">
        <v>395464</v>
      </c>
      <c r="I2899" s="1">
        <v>60228.305831615929</v>
      </c>
      <c r="J2899" s="1">
        <v>455692.30583161593</v>
      </c>
    </row>
    <row r="2900" spans="1:10" x14ac:dyDescent="0.2">
      <c r="A2900">
        <v>2000030</v>
      </c>
      <c r="B2900">
        <v>2020</v>
      </c>
      <c r="C2900" t="s">
        <v>6</v>
      </c>
      <c r="D2900" t="s">
        <v>7</v>
      </c>
      <c r="E2900" t="s">
        <v>8</v>
      </c>
      <c r="F2900" s="28">
        <v>9335</v>
      </c>
      <c r="G2900" t="s">
        <v>338</v>
      </c>
      <c r="H2900" s="1">
        <v>447810</v>
      </c>
      <c r="I2900" s="1">
        <v>67746.857463924316</v>
      </c>
      <c r="J2900" s="1">
        <v>515556.85746392433</v>
      </c>
    </row>
    <row r="2901" spans="1:10" x14ac:dyDescent="0.2">
      <c r="A2901">
        <v>2000030</v>
      </c>
      <c r="B2901">
        <v>2021</v>
      </c>
      <c r="C2901" t="s">
        <v>6</v>
      </c>
      <c r="D2901" t="s">
        <v>7</v>
      </c>
      <c r="E2901" t="s">
        <v>8</v>
      </c>
      <c r="F2901" s="28">
        <v>9335</v>
      </c>
      <c r="G2901" t="s">
        <v>338</v>
      </c>
      <c r="H2901" s="25">
        <v>461961</v>
      </c>
      <c r="I2901" s="1">
        <v>68967.59932932083</v>
      </c>
      <c r="J2901" s="1">
        <v>530928.59932932083</v>
      </c>
    </row>
    <row r="2902" spans="1:10" x14ac:dyDescent="0.2">
      <c r="A2902">
        <v>2000030</v>
      </c>
      <c r="B2902">
        <v>2022</v>
      </c>
      <c r="C2902" t="s">
        <v>6</v>
      </c>
      <c r="D2902" t="s">
        <v>7</v>
      </c>
      <c r="E2902" t="s">
        <v>8</v>
      </c>
      <c r="F2902" s="28">
        <v>9335</v>
      </c>
      <c r="G2902" t="s">
        <v>338</v>
      </c>
      <c r="H2902" s="1">
        <v>467705</v>
      </c>
      <c r="I2902" s="1">
        <v>63516.93668200793</v>
      </c>
      <c r="J2902" s="1">
        <v>531221.93668200797</v>
      </c>
    </row>
    <row r="2903" spans="1:10" x14ac:dyDescent="0.2">
      <c r="A2903">
        <v>2000030</v>
      </c>
      <c r="B2903">
        <v>2023</v>
      </c>
      <c r="C2903" t="s">
        <v>6</v>
      </c>
      <c r="D2903" t="s">
        <v>7</v>
      </c>
      <c r="E2903" t="s">
        <v>8</v>
      </c>
      <c r="F2903" s="28">
        <v>9335</v>
      </c>
      <c r="G2903" s="10" t="s">
        <v>338</v>
      </c>
      <c r="H2903" s="1">
        <v>488734</v>
      </c>
      <c r="I2903" s="1">
        <v>68424.214612602635</v>
      </c>
      <c r="J2903" s="1">
        <v>557158.21461260261</v>
      </c>
    </row>
    <row r="2904" spans="1:10" x14ac:dyDescent="0.2">
      <c r="A2904">
        <v>2000346</v>
      </c>
      <c r="B2904">
        <v>2015</v>
      </c>
      <c r="C2904" t="s">
        <v>6</v>
      </c>
      <c r="D2904" t="s">
        <v>7</v>
      </c>
      <c r="E2904" t="s">
        <v>8</v>
      </c>
      <c r="F2904" s="29">
        <v>9389</v>
      </c>
      <c r="G2904" s="3" t="s">
        <v>339</v>
      </c>
      <c r="H2904" s="27">
        <v>185385</v>
      </c>
      <c r="I2904" s="1">
        <v>29860.711213845392</v>
      </c>
      <c r="J2904" s="1">
        <v>215245.71121384538</v>
      </c>
    </row>
    <row r="2905" spans="1:10" x14ac:dyDescent="0.2">
      <c r="A2905">
        <v>2000346</v>
      </c>
      <c r="B2905">
        <v>2016</v>
      </c>
      <c r="C2905" t="s">
        <v>6</v>
      </c>
      <c r="D2905" t="s">
        <v>7</v>
      </c>
      <c r="E2905" t="s">
        <v>8</v>
      </c>
      <c r="F2905" s="29">
        <v>9389</v>
      </c>
      <c r="G2905" s="3" t="s">
        <v>339</v>
      </c>
      <c r="H2905" s="1">
        <v>179823</v>
      </c>
      <c r="I2905" s="26">
        <v>474933.49198492855</v>
      </c>
      <c r="J2905" s="26">
        <v>654756.49198492849</v>
      </c>
    </row>
    <row r="2906" spans="1:10" x14ac:dyDescent="0.2">
      <c r="A2906">
        <v>2000346</v>
      </c>
      <c r="B2906">
        <v>2017</v>
      </c>
      <c r="C2906" t="s">
        <v>6</v>
      </c>
      <c r="D2906" t="s">
        <v>7</v>
      </c>
      <c r="E2906" t="s">
        <v>8</v>
      </c>
      <c r="F2906" s="29">
        <v>9389</v>
      </c>
      <c r="G2906" s="3" t="s">
        <v>339</v>
      </c>
      <c r="H2906" s="1">
        <v>194366</v>
      </c>
      <c r="I2906" s="1">
        <v>30331.91071956449</v>
      </c>
      <c r="J2906" s="1">
        <v>224697.91071956448</v>
      </c>
    </row>
    <row r="2907" spans="1:10" x14ac:dyDescent="0.2">
      <c r="A2907">
        <v>2000346</v>
      </c>
      <c r="B2907">
        <v>2018</v>
      </c>
      <c r="C2907" t="s">
        <v>6</v>
      </c>
      <c r="D2907" t="s">
        <v>7</v>
      </c>
      <c r="E2907" t="s">
        <v>8</v>
      </c>
      <c r="F2907" s="28">
        <v>9389</v>
      </c>
      <c r="G2907" t="s">
        <v>339</v>
      </c>
      <c r="H2907" s="1">
        <v>213747</v>
      </c>
      <c r="I2907" s="1">
        <v>32322.681837827589</v>
      </c>
      <c r="J2907" s="1">
        <v>246069.68183782758</v>
      </c>
    </row>
    <row r="2908" spans="1:10" x14ac:dyDescent="0.2">
      <c r="A2908">
        <v>2000346</v>
      </c>
      <c r="B2908">
        <v>2019</v>
      </c>
      <c r="C2908" t="s">
        <v>6</v>
      </c>
      <c r="D2908" t="s">
        <v>7</v>
      </c>
      <c r="E2908" t="s">
        <v>8</v>
      </c>
      <c r="F2908" s="28">
        <v>9389</v>
      </c>
      <c r="G2908" t="s">
        <v>339</v>
      </c>
      <c r="H2908" s="1">
        <v>237810</v>
      </c>
      <c r="I2908" s="1">
        <v>36217.945021080515</v>
      </c>
      <c r="J2908" s="1">
        <v>274027.94502108049</v>
      </c>
    </row>
    <row r="2909" spans="1:10" x14ac:dyDescent="0.2">
      <c r="A2909">
        <v>2000346</v>
      </c>
      <c r="B2909">
        <v>2020</v>
      </c>
      <c r="C2909" t="s">
        <v>6</v>
      </c>
      <c r="D2909" t="s">
        <v>7</v>
      </c>
      <c r="E2909" t="s">
        <v>8</v>
      </c>
      <c r="F2909" s="28">
        <v>9389</v>
      </c>
      <c r="G2909" t="s">
        <v>339</v>
      </c>
      <c r="H2909" s="1">
        <v>268841</v>
      </c>
      <c r="I2909" s="1">
        <v>40671.563626222895</v>
      </c>
      <c r="J2909" s="1">
        <v>309512.56362622289</v>
      </c>
    </row>
    <row r="2910" spans="1:10" x14ac:dyDescent="0.2">
      <c r="A2910">
        <v>2000346</v>
      </c>
      <c r="B2910">
        <v>2021</v>
      </c>
      <c r="C2910" t="s">
        <v>6</v>
      </c>
      <c r="D2910" t="s">
        <v>7</v>
      </c>
      <c r="E2910" t="s">
        <v>8</v>
      </c>
      <c r="F2910" s="28">
        <v>9389</v>
      </c>
      <c r="G2910" t="s">
        <v>339</v>
      </c>
      <c r="H2910" s="25">
        <v>256776</v>
      </c>
      <c r="I2910" s="1">
        <v>38334.890359544828</v>
      </c>
      <c r="J2910" s="1">
        <v>295110.89035954484</v>
      </c>
    </row>
    <row r="2911" spans="1:10" x14ac:dyDescent="0.2">
      <c r="A2911">
        <v>2000346</v>
      </c>
      <c r="B2911">
        <v>2022</v>
      </c>
      <c r="C2911" t="s">
        <v>6</v>
      </c>
      <c r="D2911" t="s">
        <v>7</v>
      </c>
      <c r="E2911" t="s">
        <v>8</v>
      </c>
      <c r="F2911" s="28">
        <v>9389</v>
      </c>
      <c r="G2911" t="s">
        <v>339</v>
      </c>
      <c r="H2911" s="1">
        <v>248599</v>
      </c>
      <c r="I2911" s="1">
        <v>33761.124944592186</v>
      </c>
      <c r="J2911" s="1">
        <v>282360.12494459219</v>
      </c>
    </row>
    <row r="2912" spans="1:10" x14ac:dyDescent="0.2">
      <c r="A2912">
        <v>2000346</v>
      </c>
      <c r="B2912">
        <v>2023</v>
      </c>
      <c r="C2912" t="s">
        <v>6</v>
      </c>
      <c r="D2912" t="s">
        <v>7</v>
      </c>
      <c r="E2912" t="s">
        <v>8</v>
      </c>
      <c r="F2912" s="28">
        <v>9389</v>
      </c>
      <c r="G2912" s="10" t="s">
        <v>339</v>
      </c>
      <c r="H2912" s="1">
        <v>241074</v>
      </c>
      <c r="I2912" s="1">
        <v>33751.077505388545</v>
      </c>
      <c r="J2912" s="1">
        <v>274825.07750538853</v>
      </c>
    </row>
    <row r="2913" spans="1:10" x14ac:dyDescent="0.2">
      <c r="B2913">
        <v>2016</v>
      </c>
      <c r="C2913" t="s">
        <v>6</v>
      </c>
      <c r="D2913" t="s">
        <v>7</v>
      </c>
      <c r="E2913" t="s">
        <v>8</v>
      </c>
      <c r="F2913" s="29">
        <v>9395</v>
      </c>
      <c r="G2913" s="3" t="s">
        <v>56</v>
      </c>
      <c r="H2913" s="1">
        <v>2163</v>
      </c>
      <c r="I2913" s="26">
        <v>5714.678386500992</v>
      </c>
      <c r="J2913" s="26">
        <v>7877.678386500992</v>
      </c>
    </row>
    <row r="2914" spans="1:10" x14ac:dyDescent="0.2">
      <c r="B2914">
        <v>2017</v>
      </c>
      <c r="C2914" t="s">
        <v>6</v>
      </c>
      <c r="D2914" t="s">
        <v>7</v>
      </c>
      <c r="E2914" t="s">
        <v>8</v>
      </c>
      <c r="F2914" s="29">
        <v>9395</v>
      </c>
      <c r="G2914" s="3" t="s">
        <v>56</v>
      </c>
      <c r="H2914" s="1">
        <v>1407</v>
      </c>
      <c r="I2914" s="1">
        <v>219.57028689393846</v>
      </c>
      <c r="J2914" s="1">
        <v>1626.5702868939384</v>
      </c>
    </row>
    <row r="2915" spans="1:10" x14ac:dyDescent="0.2">
      <c r="B2915">
        <v>2018</v>
      </c>
      <c r="C2915" t="s">
        <v>6</v>
      </c>
      <c r="D2915" t="s">
        <v>7</v>
      </c>
      <c r="E2915" t="s">
        <v>8</v>
      </c>
      <c r="F2915" s="28">
        <v>9395</v>
      </c>
      <c r="G2915" t="s">
        <v>56</v>
      </c>
      <c r="H2915" s="1">
        <v>3003</v>
      </c>
      <c r="I2915" s="1">
        <v>454.11170008934045</v>
      </c>
      <c r="J2915" s="1">
        <v>3457.1117000893405</v>
      </c>
    </row>
    <row r="2916" spans="1:10" x14ac:dyDescent="0.2">
      <c r="B2916">
        <v>2019</v>
      </c>
      <c r="C2916" t="s">
        <v>6</v>
      </c>
      <c r="D2916" t="s">
        <v>7</v>
      </c>
      <c r="E2916" t="s">
        <v>8</v>
      </c>
      <c r="F2916" s="28">
        <v>9395</v>
      </c>
      <c r="G2916" t="s">
        <v>56</v>
      </c>
      <c r="H2916" s="1">
        <v>3303</v>
      </c>
      <c r="I2916" s="1">
        <v>503.03970566683034</v>
      </c>
      <c r="J2916" s="1">
        <v>3806.0397056668303</v>
      </c>
    </row>
    <row r="2917" spans="1:10" x14ac:dyDescent="0.2">
      <c r="B2917">
        <v>2020</v>
      </c>
      <c r="C2917" t="s">
        <v>6</v>
      </c>
      <c r="D2917" t="s">
        <v>7</v>
      </c>
      <c r="E2917" t="s">
        <v>8</v>
      </c>
      <c r="F2917" s="28">
        <v>9395</v>
      </c>
      <c r="G2917" t="s">
        <v>56</v>
      </c>
      <c r="H2917" s="1"/>
      <c r="I2917" s="1">
        <v>0</v>
      </c>
      <c r="J2917" s="1">
        <v>0</v>
      </c>
    </row>
    <row r="2918" spans="1:10" x14ac:dyDescent="0.2">
      <c r="B2918">
        <v>2022</v>
      </c>
      <c r="C2918" t="s">
        <v>6</v>
      </c>
      <c r="D2918" t="s">
        <v>7</v>
      </c>
      <c r="E2918" t="s">
        <v>8</v>
      </c>
      <c r="F2918" s="28">
        <v>9395</v>
      </c>
      <c r="G2918" t="s">
        <v>56</v>
      </c>
      <c r="H2918" s="1"/>
      <c r="I2918" s="1">
        <v>0</v>
      </c>
      <c r="J2918" s="1">
        <v>0</v>
      </c>
    </row>
    <row r="2919" spans="1:10" x14ac:dyDescent="0.2">
      <c r="B2919">
        <v>2023</v>
      </c>
      <c r="C2919" t="s">
        <v>6</v>
      </c>
      <c r="D2919" t="s">
        <v>7</v>
      </c>
      <c r="E2919" t="s">
        <v>8</v>
      </c>
      <c r="F2919" s="28">
        <v>9395</v>
      </c>
      <c r="G2919" s="10" t="s">
        <v>56</v>
      </c>
      <c r="H2919" s="1"/>
      <c r="I2919" s="1">
        <v>0</v>
      </c>
      <c r="J2919" s="1">
        <v>0</v>
      </c>
    </row>
    <row r="2920" spans="1:10" x14ac:dyDescent="0.2">
      <c r="A2920">
        <v>2000348</v>
      </c>
      <c r="B2920">
        <v>2015</v>
      </c>
      <c r="C2920" t="s">
        <v>6</v>
      </c>
      <c r="D2920" t="s">
        <v>7</v>
      </c>
      <c r="E2920" t="s">
        <v>8</v>
      </c>
      <c r="F2920" s="29">
        <v>9410</v>
      </c>
      <c r="G2920" s="3" t="s">
        <v>340</v>
      </c>
      <c r="H2920" s="27">
        <v>237572</v>
      </c>
      <c r="I2920" s="1">
        <v>38266.68222615464</v>
      </c>
      <c r="J2920" s="1">
        <v>275838.68222615466</v>
      </c>
    </row>
    <row r="2921" spans="1:10" x14ac:dyDescent="0.2">
      <c r="A2921">
        <v>2000348</v>
      </c>
      <c r="B2921">
        <v>2016</v>
      </c>
      <c r="C2921" t="s">
        <v>6</v>
      </c>
      <c r="D2921" t="s">
        <v>7</v>
      </c>
      <c r="E2921" t="s">
        <v>8</v>
      </c>
      <c r="F2921" s="29">
        <v>9410</v>
      </c>
      <c r="G2921" s="3" t="s">
        <v>340</v>
      </c>
      <c r="H2921" s="1">
        <v>255732</v>
      </c>
      <c r="I2921" s="26">
        <v>675408.88947887742</v>
      </c>
      <c r="J2921" s="26">
        <v>931140.88947887742</v>
      </c>
    </row>
    <row r="2922" spans="1:10" x14ac:dyDescent="0.2">
      <c r="A2922">
        <v>2000348</v>
      </c>
      <c r="B2922">
        <v>2017</v>
      </c>
      <c r="C2922" t="s">
        <v>6</v>
      </c>
      <c r="D2922" t="s">
        <v>7</v>
      </c>
      <c r="E2922" t="s">
        <v>8</v>
      </c>
      <c r="F2922" s="29">
        <v>9410</v>
      </c>
      <c r="G2922" s="3" t="s">
        <v>340</v>
      </c>
      <c r="H2922" s="1">
        <v>252450</v>
      </c>
      <c r="I2922" s="1">
        <v>39396.246571694923</v>
      </c>
      <c r="J2922" s="1">
        <v>291846.24657169491</v>
      </c>
    </row>
    <row r="2923" spans="1:10" x14ac:dyDescent="0.2">
      <c r="A2923">
        <v>2000348</v>
      </c>
      <c r="B2923">
        <v>2018</v>
      </c>
      <c r="C2923" t="s">
        <v>6</v>
      </c>
      <c r="D2923" t="s">
        <v>7</v>
      </c>
      <c r="E2923" t="s">
        <v>8</v>
      </c>
      <c r="F2923" s="28">
        <v>9410</v>
      </c>
      <c r="G2923" t="s">
        <v>340</v>
      </c>
      <c r="H2923" s="1">
        <v>287563</v>
      </c>
      <c r="I2923" s="1">
        <v>43485.08918174859</v>
      </c>
      <c r="J2923" s="1">
        <v>331048.08918174857</v>
      </c>
    </row>
    <row r="2924" spans="1:10" x14ac:dyDescent="0.2">
      <c r="A2924">
        <v>2000348</v>
      </c>
      <c r="B2924">
        <v>2019</v>
      </c>
      <c r="C2924" t="s">
        <v>6</v>
      </c>
      <c r="D2924" t="s">
        <v>7</v>
      </c>
      <c r="E2924" t="s">
        <v>8</v>
      </c>
      <c r="F2924" s="28">
        <v>9410</v>
      </c>
      <c r="G2924" t="s">
        <v>340</v>
      </c>
      <c r="H2924" s="1">
        <v>321827</v>
      </c>
      <c r="I2924" s="1">
        <v>49013.551121901008</v>
      </c>
      <c r="J2924" s="1">
        <v>370840.55112190102</v>
      </c>
    </row>
    <row r="2925" spans="1:10" x14ac:dyDescent="0.2">
      <c r="A2925">
        <v>2000348</v>
      </c>
      <c r="B2925">
        <v>2020</v>
      </c>
      <c r="C2925" t="s">
        <v>6</v>
      </c>
      <c r="D2925" t="s">
        <v>7</v>
      </c>
      <c r="E2925" t="s">
        <v>8</v>
      </c>
      <c r="F2925" s="28">
        <v>9410</v>
      </c>
      <c r="G2925" t="s">
        <v>340</v>
      </c>
      <c r="H2925" s="1">
        <v>356358</v>
      </c>
      <c r="I2925" s="1">
        <v>53911.557651971023</v>
      </c>
      <c r="J2925" s="1">
        <v>410269.557651971</v>
      </c>
    </row>
    <row r="2926" spans="1:10" x14ac:dyDescent="0.2">
      <c r="A2926">
        <v>2000348</v>
      </c>
      <c r="B2926">
        <v>2021</v>
      </c>
      <c r="C2926" t="s">
        <v>6</v>
      </c>
      <c r="D2926" t="s">
        <v>7</v>
      </c>
      <c r="E2926" t="s">
        <v>8</v>
      </c>
      <c r="F2926" s="28">
        <v>9410</v>
      </c>
      <c r="G2926" t="s">
        <v>340</v>
      </c>
      <c r="H2926" s="25">
        <v>370091</v>
      </c>
      <c r="I2926" s="1">
        <v>55252.040331083525</v>
      </c>
      <c r="J2926" s="1">
        <v>425343.04033108352</v>
      </c>
    </row>
    <row r="2927" spans="1:10" x14ac:dyDescent="0.2">
      <c r="A2927">
        <v>2000348</v>
      </c>
      <c r="B2927">
        <v>2022</v>
      </c>
      <c r="C2927" t="s">
        <v>6</v>
      </c>
      <c r="D2927" t="s">
        <v>7</v>
      </c>
      <c r="E2927" t="s">
        <v>8</v>
      </c>
      <c r="F2927" s="28">
        <v>9410</v>
      </c>
      <c r="G2927" t="s">
        <v>340</v>
      </c>
      <c r="H2927" s="1">
        <v>348447</v>
      </c>
      <c r="I2927" s="1">
        <v>47321.037910724954</v>
      </c>
      <c r="J2927" s="1">
        <v>395768.03791072493</v>
      </c>
    </row>
    <row r="2928" spans="1:10" x14ac:dyDescent="0.2">
      <c r="A2928">
        <v>2000348</v>
      </c>
      <c r="B2928">
        <v>2023</v>
      </c>
      <c r="C2928" t="s">
        <v>6</v>
      </c>
      <c r="D2928" t="s">
        <v>7</v>
      </c>
      <c r="E2928" t="s">
        <v>8</v>
      </c>
      <c r="F2928" s="28">
        <v>9410</v>
      </c>
      <c r="G2928" s="10" t="s">
        <v>340</v>
      </c>
      <c r="H2928" s="1">
        <v>372370</v>
      </c>
      <c r="I2928" s="1">
        <v>52132.90827995359</v>
      </c>
      <c r="J2928" s="1">
        <v>424502.90827995358</v>
      </c>
    </row>
    <row r="2929" spans="1:10" x14ac:dyDescent="0.2">
      <c r="A2929">
        <v>2000351</v>
      </c>
      <c r="B2929">
        <v>2015</v>
      </c>
      <c r="C2929" t="s">
        <v>6</v>
      </c>
      <c r="D2929" t="s">
        <v>7</v>
      </c>
      <c r="E2929" t="s">
        <v>8</v>
      </c>
      <c r="F2929" s="29">
        <v>9444</v>
      </c>
      <c r="G2929" s="3" t="s">
        <v>341</v>
      </c>
      <c r="H2929" s="27">
        <v>373997</v>
      </c>
      <c r="I2929" s="1">
        <v>60241.208360139899</v>
      </c>
      <c r="J2929" s="1">
        <v>434238.20836013992</v>
      </c>
    </row>
    <row r="2930" spans="1:10" x14ac:dyDescent="0.2">
      <c r="A2930">
        <v>2000351</v>
      </c>
      <c r="B2930">
        <v>2016</v>
      </c>
      <c r="C2930" t="s">
        <v>6</v>
      </c>
      <c r="D2930" t="s">
        <v>7</v>
      </c>
      <c r="E2930" t="s">
        <v>8</v>
      </c>
      <c r="F2930" s="29">
        <v>9444</v>
      </c>
      <c r="G2930" s="3" t="s">
        <v>341</v>
      </c>
      <c r="H2930" s="1">
        <v>398755</v>
      </c>
      <c r="I2930" s="26">
        <v>1053153.4280152083</v>
      </c>
      <c r="J2930" s="26">
        <v>1451908.4280152083</v>
      </c>
    </row>
    <row r="2931" spans="1:10" x14ac:dyDescent="0.2">
      <c r="A2931">
        <v>2000351</v>
      </c>
      <c r="B2931">
        <v>2017</v>
      </c>
      <c r="C2931" t="s">
        <v>6</v>
      </c>
      <c r="D2931" t="s">
        <v>7</v>
      </c>
      <c r="E2931" t="s">
        <v>8</v>
      </c>
      <c r="F2931" s="29">
        <v>9444</v>
      </c>
      <c r="G2931" s="3" t="s">
        <v>341</v>
      </c>
      <c r="H2931" s="1">
        <v>451374</v>
      </c>
      <c r="I2931" s="1">
        <v>70439.458902959886</v>
      </c>
      <c r="J2931" s="1">
        <v>521813.45890295989</v>
      </c>
    </row>
    <row r="2932" spans="1:10" x14ac:dyDescent="0.2">
      <c r="A2932">
        <v>2000351</v>
      </c>
      <c r="B2932">
        <v>2018</v>
      </c>
      <c r="C2932" t="s">
        <v>6</v>
      </c>
      <c r="D2932" t="s">
        <v>7</v>
      </c>
      <c r="E2932" t="s">
        <v>8</v>
      </c>
      <c r="F2932" s="28">
        <v>9444</v>
      </c>
      <c r="G2932" t="s">
        <v>341</v>
      </c>
      <c r="H2932" s="1">
        <v>529435</v>
      </c>
      <c r="I2932" s="1">
        <v>80060.815163769556</v>
      </c>
      <c r="J2932" s="1">
        <v>609495.81516376953</v>
      </c>
    </row>
    <row r="2933" spans="1:10" x14ac:dyDescent="0.2">
      <c r="A2933">
        <v>2000351</v>
      </c>
      <c r="B2933">
        <v>2019</v>
      </c>
      <c r="C2933" t="s">
        <v>6</v>
      </c>
      <c r="D2933" t="s">
        <v>7</v>
      </c>
      <c r="E2933" t="s">
        <v>8</v>
      </c>
      <c r="F2933" s="28">
        <v>9444</v>
      </c>
      <c r="G2933" t="s">
        <v>341</v>
      </c>
      <c r="H2933" s="1">
        <v>440004</v>
      </c>
      <c r="I2933" s="1">
        <v>67011.650818113238</v>
      </c>
      <c r="J2933" s="1">
        <v>507015.65081811324</v>
      </c>
    </row>
    <row r="2934" spans="1:10" x14ac:dyDescent="0.2">
      <c r="A2934">
        <v>2000351</v>
      </c>
      <c r="B2934">
        <v>2020</v>
      </c>
      <c r="C2934" t="s">
        <v>6</v>
      </c>
      <c r="D2934" t="s">
        <v>7</v>
      </c>
      <c r="E2934" t="s">
        <v>8</v>
      </c>
      <c r="F2934" s="28">
        <v>9444</v>
      </c>
      <c r="G2934" t="s">
        <v>341</v>
      </c>
      <c r="H2934" s="1">
        <v>560872</v>
      </c>
      <c r="I2934" s="1">
        <v>84851.422343195009</v>
      </c>
      <c r="J2934" s="1">
        <v>645723.42234319495</v>
      </c>
    </row>
    <row r="2935" spans="1:10" x14ac:dyDescent="0.2">
      <c r="A2935">
        <v>2000351</v>
      </c>
      <c r="B2935">
        <v>2021</v>
      </c>
      <c r="C2935" t="s">
        <v>6</v>
      </c>
      <c r="D2935" t="s">
        <v>7</v>
      </c>
      <c r="E2935" t="s">
        <v>8</v>
      </c>
      <c r="F2935" s="28">
        <v>9444</v>
      </c>
      <c r="G2935" t="s">
        <v>341</v>
      </c>
      <c r="H2935" s="25">
        <v>552283</v>
      </c>
      <c r="I2935" s="1">
        <v>82452.05257672249</v>
      </c>
      <c r="J2935" s="1">
        <v>634735.05257672246</v>
      </c>
    </row>
    <row r="2936" spans="1:10" x14ac:dyDescent="0.2">
      <c r="A2936">
        <v>2000351</v>
      </c>
      <c r="B2936">
        <v>2022</v>
      </c>
      <c r="C2936" t="s">
        <v>6</v>
      </c>
      <c r="D2936" t="s">
        <v>7</v>
      </c>
      <c r="E2936" t="s">
        <v>8</v>
      </c>
      <c r="F2936" s="28">
        <v>9444</v>
      </c>
      <c r="G2936" t="s">
        <v>341</v>
      </c>
      <c r="H2936" s="1">
        <v>554735</v>
      </c>
      <c r="I2936" s="1">
        <v>75336.09405564121</v>
      </c>
      <c r="J2936" s="1">
        <v>630071.09405564121</v>
      </c>
    </row>
    <row r="2937" spans="1:10" x14ac:dyDescent="0.2">
      <c r="A2937">
        <v>2000351</v>
      </c>
      <c r="B2937">
        <v>2023</v>
      </c>
      <c r="C2937" t="s">
        <v>6</v>
      </c>
      <c r="D2937" t="s">
        <v>7</v>
      </c>
      <c r="E2937" t="s">
        <v>8</v>
      </c>
      <c r="F2937" s="28">
        <v>9444</v>
      </c>
      <c r="G2937" s="10" t="s">
        <v>341</v>
      </c>
      <c r="H2937" s="1">
        <v>561904</v>
      </c>
      <c r="I2937" s="1">
        <v>78668.232387515221</v>
      </c>
      <c r="J2937" s="1">
        <v>640572.23238751525</v>
      </c>
    </row>
    <row r="2938" spans="1:10" x14ac:dyDescent="0.2">
      <c r="A2938">
        <v>2000349</v>
      </c>
      <c r="B2938">
        <v>2015</v>
      </c>
      <c r="C2938" t="s">
        <v>6</v>
      </c>
      <c r="D2938" t="s">
        <v>7</v>
      </c>
      <c r="E2938" t="s">
        <v>8</v>
      </c>
      <c r="F2938" s="29">
        <v>9445</v>
      </c>
      <c r="G2938" s="3" t="s">
        <v>342</v>
      </c>
      <c r="H2938" s="27">
        <v>393402</v>
      </c>
      <c r="I2938" s="1">
        <v>63366.850138626134</v>
      </c>
      <c r="J2938" s="1">
        <v>456768.85013862612</v>
      </c>
    </row>
    <row r="2939" spans="1:10" x14ac:dyDescent="0.2">
      <c r="A2939">
        <v>2000349</v>
      </c>
      <c r="B2939">
        <v>2016</v>
      </c>
      <c r="C2939" t="s">
        <v>6</v>
      </c>
      <c r="D2939" t="s">
        <v>7</v>
      </c>
      <c r="E2939" t="s">
        <v>8</v>
      </c>
      <c r="F2939" s="29">
        <v>9445</v>
      </c>
      <c r="G2939" s="3" t="s">
        <v>342</v>
      </c>
      <c r="H2939" s="1">
        <v>438036</v>
      </c>
      <c r="I2939" s="26">
        <v>1156896.4163981839</v>
      </c>
      <c r="J2939" s="26">
        <v>1594932.4163981839</v>
      </c>
    </row>
    <row r="2940" spans="1:10" x14ac:dyDescent="0.2">
      <c r="A2940">
        <v>2000349</v>
      </c>
      <c r="B2940">
        <v>2017</v>
      </c>
      <c r="C2940" t="s">
        <v>6</v>
      </c>
      <c r="D2940" t="s">
        <v>7</v>
      </c>
      <c r="E2940" t="s">
        <v>8</v>
      </c>
      <c r="F2940" s="29">
        <v>9445</v>
      </c>
      <c r="G2940" s="3" t="s">
        <v>342</v>
      </c>
      <c r="H2940" s="1">
        <v>456026</v>
      </c>
      <c r="I2940" s="1">
        <v>71165.429744914829</v>
      </c>
      <c r="J2940" s="1">
        <v>527191.42974491487</v>
      </c>
    </row>
    <row r="2941" spans="1:10" x14ac:dyDescent="0.2">
      <c r="A2941">
        <v>2000349</v>
      </c>
      <c r="B2941">
        <v>2018</v>
      </c>
      <c r="C2941" t="s">
        <v>6</v>
      </c>
      <c r="D2941" t="s">
        <v>7</v>
      </c>
      <c r="E2941" t="s">
        <v>8</v>
      </c>
      <c r="F2941" s="28">
        <v>9445</v>
      </c>
      <c r="G2941" t="s">
        <v>342</v>
      </c>
      <c r="H2941" s="1">
        <v>504161</v>
      </c>
      <c r="I2941" s="1">
        <v>76238.897378868453</v>
      </c>
      <c r="J2941" s="1">
        <v>580399.89737886842</v>
      </c>
    </row>
    <row r="2942" spans="1:10" x14ac:dyDescent="0.2">
      <c r="A2942">
        <v>2000349</v>
      </c>
      <c r="B2942">
        <v>2019</v>
      </c>
      <c r="C2942" t="s">
        <v>6</v>
      </c>
      <c r="D2942" t="s">
        <v>7</v>
      </c>
      <c r="E2942" t="s">
        <v>8</v>
      </c>
      <c r="F2942" s="28">
        <v>9445</v>
      </c>
      <c r="G2942" t="s">
        <v>342</v>
      </c>
      <c r="H2942" s="1">
        <v>528682</v>
      </c>
      <c r="I2942" s="1">
        <v>80517.117066712453</v>
      </c>
      <c r="J2942" s="1">
        <v>609199.11706671247</v>
      </c>
    </row>
    <row r="2943" spans="1:10" x14ac:dyDescent="0.2">
      <c r="A2943">
        <v>2000349</v>
      </c>
      <c r="B2943">
        <v>2020</v>
      </c>
      <c r="C2943" t="s">
        <v>6</v>
      </c>
      <c r="D2943" t="s">
        <v>7</v>
      </c>
      <c r="E2943" t="s">
        <v>8</v>
      </c>
      <c r="F2943" s="28">
        <v>9445</v>
      </c>
      <c r="G2943" t="s">
        <v>342</v>
      </c>
      <c r="H2943" s="1">
        <v>519678</v>
      </c>
      <c r="I2943" s="1">
        <v>78619.395263922779</v>
      </c>
      <c r="J2943" s="1">
        <v>598297.39526392275</v>
      </c>
    </row>
    <row r="2944" spans="1:10" x14ac:dyDescent="0.2">
      <c r="A2944">
        <v>2000349</v>
      </c>
      <c r="B2944">
        <v>2021</v>
      </c>
      <c r="C2944" t="s">
        <v>6</v>
      </c>
      <c r="D2944" t="s">
        <v>7</v>
      </c>
      <c r="E2944" t="s">
        <v>8</v>
      </c>
      <c r="F2944" s="28">
        <v>9445</v>
      </c>
      <c r="G2944" t="s">
        <v>342</v>
      </c>
      <c r="H2944" s="25">
        <v>534773</v>
      </c>
      <c r="I2944" s="1">
        <v>79837.930033355398</v>
      </c>
      <c r="J2944" s="1">
        <v>614610.93003335537</v>
      </c>
    </row>
    <row r="2945" spans="1:10" x14ac:dyDescent="0.2">
      <c r="A2945">
        <v>2000349</v>
      </c>
      <c r="B2945">
        <v>2022</v>
      </c>
      <c r="C2945" t="s">
        <v>6</v>
      </c>
      <c r="D2945" t="s">
        <v>7</v>
      </c>
      <c r="E2945" t="s">
        <v>8</v>
      </c>
      <c r="F2945" s="28">
        <v>9445</v>
      </c>
      <c r="G2945" t="s">
        <v>342</v>
      </c>
      <c r="H2945" s="1">
        <v>533875</v>
      </c>
      <c r="I2945" s="1">
        <v>72503.190197040822</v>
      </c>
      <c r="J2945" s="1">
        <v>606378.19019704079</v>
      </c>
    </row>
    <row r="2946" spans="1:10" x14ac:dyDescent="0.2">
      <c r="A2946">
        <v>2000349</v>
      </c>
      <c r="B2946">
        <v>2023</v>
      </c>
      <c r="C2946" t="s">
        <v>6</v>
      </c>
      <c r="D2946" t="s">
        <v>7</v>
      </c>
      <c r="E2946" t="s">
        <v>8</v>
      </c>
      <c r="F2946" s="28">
        <v>9445</v>
      </c>
      <c r="G2946" s="10" t="s">
        <v>342</v>
      </c>
      <c r="H2946" s="1">
        <v>506782</v>
      </c>
      <c r="I2946" s="1">
        <v>70950.98832862862</v>
      </c>
      <c r="J2946" s="1">
        <v>577732.98832862859</v>
      </c>
    </row>
    <row r="2947" spans="1:10" x14ac:dyDescent="0.2">
      <c r="A2947">
        <v>2000350</v>
      </c>
      <c r="B2947">
        <v>2015</v>
      </c>
      <c r="C2947" t="s">
        <v>6</v>
      </c>
      <c r="D2947" t="s">
        <v>7</v>
      </c>
      <c r="E2947" t="s">
        <v>8</v>
      </c>
      <c r="F2947" s="29">
        <v>9446</v>
      </c>
      <c r="G2947" s="3" t="s">
        <v>343</v>
      </c>
      <c r="H2947" s="27">
        <v>654948</v>
      </c>
      <c r="I2947" s="1">
        <v>105495.12143962893</v>
      </c>
      <c r="J2947" s="1">
        <v>760443.12143962889</v>
      </c>
    </row>
    <row r="2948" spans="1:10" x14ac:dyDescent="0.2">
      <c r="A2948">
        <v>2000350</v>
      </c>
      <c r="B2948">
        <v>2016</v>
      </c>
      <c r="C2948" t="s">
        <v>6</v>
      </c>
      <c r="D2948" t="s">
        <v>7</v>
      </c>
      <c r="E2948" t="s">
        <v>8</v>
      </c>
      <c r="F2948" s="29">
        <v>9446</v>
      </c>
      <c r="G2948" s="3" t="s">
        <v>343</v>
      </c>
      <c r="H2948" s="1">
        <v>670520</v>
      </c>
      <c r="I2948" s="26">
        <v>1770899.284552492</v>
      </c>
      <c r="J2948" s="26">
        <v>2441419.2845524922</v>
      </c>
    </row>
    <row r="2949" spans="1:10" x14ac:dyDescent="0.2">
      <c r="A2949">
        <v>2000350</v>
      </c>
      <c r="B2949">
        <v>2017</v>
      </c>
      <c r="C2949" t="s">
        <v>6</v>
      </c>
      <c r="D2949" t="s">
        <v>7</v>
      </c>
      <c r="E2949" t="s">
        <v>8</v>
      </c>
      <c r="F2949" s="29">
        <v>9446</v>
      </c>
      <c r="G2949" s="3" t="s">
        <v>343</v>
      </c>
      <c r="H2949" s="1">
        <v>698345</v>
      </c>
      <c r="I2949" s="1">
        <v>108980.67661758879</v>
      </c>
      <c r="J2949" s="1">
        <v>807325.67661758885</v>
      </c>
    </row>
    <row r="2950" spans="1:10" x14ac:dyDescent="0.2">
      <c r="A2950">
        <v>2000350</v>
      </c>
      <c r="B2950">
        <v>2018</v>
      </c>
      <c r="C2950" t="s">
        <v>6</v>
      </c>
      <c r="D2950" t="s">
        <v>7</v>
      </c>
      <c r="E2950" t="s">
        <v>8</v>
      </c>
      <c r="F2950" s="28">
        <v>9446</v>
      </c>
      <c r="G2950" t="s">
        <v>343</v>
      </c>
      <c r="H2950" s="1">
        <v>799655</v>
      </c>
      <c r="I2950" s="1">
        <v>120923.30720444272</v>
      </c>
      <c r="J2950" s="1">
        <v>920578.30720444268</v>
      </c>
    </row>
    <row r="2951" spans="1:10" x14ac:dyDescent="0.2">
      <c r="A2951">
        <v>2000350</v>
      </c>
      <c r="B2951">
        <v>2019</v>
      </c>
      <c r="C2951" t="s">
        <v>6</v>
      </c>
      <c r="D2951" t="s">
        <v>7</v>
      </c>
      <c r="E2951" t="s">
        <v>8</v>
      </c>
      <c r="F2951" s="28">
        <v>9446</v>
      </c>
      <c r="G2951" t="s">
        <v>343</v>
      </c>
      <c r="H2951" s="1">
        <v>902033</v>
      </c>
      <c r="I2951" s="1">
        <v>137377.66116311477</v>
      </c>
      <c r="J2951" s="1">
        <v>1039410.6611631147</v>
      </c>
    </row>
    <row r="2952" spans="1:10" x14ac:dyDescent="0.2">
      <c r="A2952">
        <v>2000350</v>
      </c>
      <c r="B2952">
        <v>2020</v>
      </c>
      <c r="C2952" t="s">
        <v>6</v>
      </c>
      <c r="D2952" t="s">
        <v>7</v>
      </c>
      <c r="E2952" t="s">
        <v>8</v>
      </c>
      <c r="F2952" s="28">
        <v>9446</v>
      </c>
      <c r="G2952" t="s">
        <v>343</v>
      </c>
      <c r="H2952" s="1">
        <v>991626</v>
      </c>
      <c r="I2952" s="1">
        <v>150017.96583265541</v>
      </c>
      <c r="J2952" s="1">
        <v>1141643.9658326553</v>
      </c>
    </row>
    <row r="2953" spans="1:10" x14ac:dyDescent="0.2">
      <c r="A2953">
        <v>2000350</v>
      </c>
      <c r="B2953">
        <v>2021</v>
      </c>
      <c r="C2953" t="s">
        <v>6</v>
      </c>
      <c r="D2953" t="s">
        <v>7</v>
      </c>
      <c r="E2953" t="s">
        <v>8</v>
      </c>
      <c r="F2953" s="28">
        <v>9446</v>
      </c>
      <c r="G2953" t="s">
        <v>343</v>
      </c>
      <c r="H2953" s="25">
        <v>1000795</v>
      </c>
      <c r="I2953" s="1">
        <v>149411.80872581809</v>
      </c>
      <c r="J2953" s="1">
        <v>1150206.8087258181</v>
      </c>
    </row>
    <row r="2954" spans="1:10" x14ac:dyDescent="0.2">
      <c r="A2954">
        <v>2000350</v>
      </c>
      <c r="B2954">
        <v>2022</v>
      </c>
      <c r="C2954" t="s">
        <v>6</v>
      </c>
      <c r="D2954" t="s">
        <v>7</v>
      </c>
      <c r="E2954" t="s">
        <v>8</v>
      </c>
      <c r="F2954" s="28">
        <v>9446</v>
      </c>
      <c r="G2954" t="s">
        <v>343</v>
      </c>
      <c r="H2954" s="1">
        <v>964336</v>
      </c>
      <c r="I2954" s="1">
        <v>130962.18482201558</v>
      </c>
      <c r="J2954" s="1">
        <v>1095298.1848220155</v>
      </c>
    </row>
    <row r="2955" spans="1:10" x14ac:dyDescent="0.2">
      <c r="A2955">
        <v>2000350</v>
      </c>
      <c r="B2955">
        <v>2023</v>
      </c>
      <c r="C2955" t="s">
        <v>6</v>
      </c>
      <c r="D2955" t="s">
        <v>7</v>
      </c>
      <c r="E2955" t="s">
        <v>8</v>
      </c>
      <c r="F2955" s="28">
        <v>9446</v>
      </c>
      <c r="G2955" s="10" t="s">
        <v>343</v>
      </c>
      <c r="H2955" s="1">
        <v>948107</v>
      </c>
      <c r="I2955" s="1">
        <v>132737.80183844554</v>
      </c>
      <c r="J2955" s="1">
        <v>1080844.8018384455</v>
      </c>
    </row>
    <row r="2956" spans="1:10" x14ac:dyDescent="0.2">
      <c r="A2956">
        <v>2000353</v>
      </c>
      <c r="B2956">
        <v>2015</v>
      </c>
      <c r="C2956" t="s">
        <v>6</v>
      </c>
      <c r="D2956" t="s">
        <v>7</v>
      </c>
      <c r="E2956" t="s">
        <v>8</v>
      </c>
      <c r="F2956" s="29">
        <v>9461</v>
      </c>
      <c r="G2956" s="3" t="s">
        <v>344</v>
      </c>
      <c r="H2956" s="27">
        <v>441821</v>
      </c>
      <c r="I2956" s="1">
        <v>71165.89416194614</v>
      </c>
      <c r="J2956" s="1">
        <v>512986.89416194614</v>
      </c>
    </row>
    <row r="2957" spans="1:10" x14ac:dyDescent="0.2">
      <c r="A2957">
        <v>2000353</v>
      </c>
      <c r="B2957">
        <v>2016</v>
      </c>
      <c r="C2957" t="s">
        <v>6</v>
      </c>
      <c r="D2957" t="s">
        <v>7</v>
      </c>
      <c r="E2957" t="s">
        <v>8</v>
      </c>
      <c r="F2957" s="29">
        <v>9461</v>
      </c>
      <c r="G2957" s="3" t="s">
        <v>344</v>
      </c>
      <c r="H2957" s="1">
        <v>464679</v>
      </c>
      <c r="I2957" s="26">
        <v>1227321.7682287879</v>
      </c>
      <c r="J2957" s="26">
        <v>1692000.7682287879</v>
      </c>
    </row>
    <row r="2958" spans="1:10" x14ac:dyDescent="0.2">
      <c r="A2958">
        <v>2000353</v>
      </c>
      <c r="B2958">
        <v>2017</v>
      </c>
      <c r="C2958" t="s">
        <v>6</v>
      </c>
      <c r="D2958" t="s">
        <v>7</v>
      </c>
      <c r="E2958" t="s">
        <v>8</v>
      </c>
      <c r="F2958" s="29">
        <v>9461</v>
      </c>
      <c r="G2958" s="3" t="s">
        <v>344</v>
      </c>
      <c r="H2958" s="1">
        <v>473607</v>
      </c>
      <c r="I2958" s="1">
        <v>73909.043969422535</v>
      </c>
      <c r="J2958" s="1">
        <v>547516.04396942258</v>
      </c>
    </row>
    <row r="2959" spans="1:10" x14ac:dyDescent="0.2">
      <c r="A2959">
        <v>2000353</v>
      </c>
      <c r="B2959">
        <v>2018</v>
      </c>
      <c r="C2959" t="s">
        <v>6</v>
      </c>
      <c r="D2959" t="s">
        <v>7</v>
      </c>
      <c r="E2959" t="s">
        <v>8</v>
      </c>
      <c r="F2959" s="28">
        <v>9461</v>
      </c>
      <c r="G2959" t="s">
        <v>344</v>
      </c>
      <c r="H2959" s="1">
        <v>563276</v>
      </c>
      <c r="I2959" s="1">
        <v>85178.229097410367</v>
      </c>
      <c r="J2959" s="1">
        <v>648454.22909741034</v>
      </c>
    </row>
    <row r="2960" spans="1:10" x14ac:dyDescent="0.2">
      <c r="A2960">
        <v>2000353</v>
      </c>
      <c r="B2960">
        <v>2019</v>
      </c>
      <c r="C2960" t="s">
        <v>6</v>
      </c>
      <c r="D2960" t="s">
        <v>7</v>
      </c>
      <c r="E2960" t="s">
        <v>8</v>
      </c>
      <c r="F2960" s="28">
        <v>9461</v>
      </c>
      <c r="G2960" t="s">
        <v>344</v>
      </c>
      <c r="H2960" s="1">
        <v>610490</v>
      </c>
      <c r="I2960" s="1">
        <v>92976.297279001898</v>
      </c>
      <c r="J2960" s="1">
        <v>703466.29727900191</v>
      </c>
    </row>
    <row r="2961" spans="1:10" x14ac:dyDescent="0.2">
      <c r="A2961">
        <v>2000353</v>
      </c>
      <c r="B2961">
        <v>2020</v>
      </c>
      <c r="C2961" t="s">
        <v>6</v>
      </c>
      <c r="D2961" t="s">
        <v>7</v>
      </c>
      <c r="E2961" t="s">
        <v>8</v>
      </c>
      <c r="F2961" s="28">
        <v>9461</v>
      </c>
      <c r="G2961" t="s">
        <v>344</v>
      </c>
      <c r="H2961" s="1">
        <v>694537</v>
      </c>
      <c r="I2961" s="1">
        <v>105072.90847105157</v>
      </c>
      <c r="J2961" s="1">
        <v>799609.9084710516</v>
      </c>
    </row>
    <row r="2962" spans="1:10" x14ac:dyDescent="0.2">
      <c r="A2962">
        <v>2000353</v>
      </c>
      <c r="B2962">
        <v>2021</v>
      </c>
      <c r="C2962" t="s">
        <v>6</v>
      </c>
      <c r="D2962" t="s">
        <v>7</v>
      </c>
      <c r="E2962" t="s">
        <v>8</v>
      </c>
      <c r="F2962" s="28">
        <v>9461</v>
      </c>
      <c r="G2962" t="s">
        <v>344</v>
      </c>
      <c r="H2962" s="25">
        <v>723689</v>
      </c>
      <c r="I2962" s="1">
        <v>108041.78922254663</v>
      </c>
      <c r="J2962" s="1">
        <v>831730.78922254662</v>
      </c>
    </row>
    <row r="2963" spans="1:10" x14ac:dyDescent="0.2">
      <c r="A2963">
        <v>2000353</v>
      </c>
      <c r="B2963">
        <v>2022</v>
      </c>
      <c r="C2963" t="s">
        <v>6</v>
      </c>
      <c r="D2963" t="s">
        <v>7</v>
      </c>
      <c r="E2963" t="s">
        <v>8</v>
      </c>
      <c r="F2963" s="28">
        <v>9461</v>
      </c>
      <c r="G2963" t="s">
        <v>344</v>
      </c>
      <c r="H2963" s="1">
        <v>750398</v>
      </c>
      <c r="I2963" s="1">
        <v>101908.21618820706</v>
      </c>
      <c r="J2963" s="1">
        <v>852306.21618820704</v>
      </c>
    </row>
    <row r="2964" spans="1:10" x14ac:dyDescent="0.2">
      <c r="A2964">
        <v>2000353</v>
      </c>
      <c r="B2964">
        <v>2023</v>
      </c>
      <c r="C2964" t="s">
        <v>6</v>
      </c>
      <c r="D2964" t="s">
        <v>7</v>
      </c>
      <c r="E2964" t="s">
        <v>8</v>
      </c>
      <c r="F2964" s="28">
        <v>9461</v>
      </c>
      <c r="G2964" s="10" t="s">
        <v>344</v>
      </c>
      <c r="H2964" s="1">
        <v>767118</v>
      </c>
      <c r="I2964" s="1">
        <v>107398.80316325546</v>
      </c>
      <c r="J2964" s="1">
        <v>874516.80316325545</v>
      </c>
    </row>
    <row r="2965" spans="1:10" x14ac:dyDescent="0.2">
      <c r="B2965">
        <v>2016</v>
      </c>
      <c r="C2965" t="s">
        <v>6</v>
      </c>
      <c r="D2965" t="s">
        <v>7</v>
      </c>
      <c r="E2965" t="s">
        <v>8</v>
      </c>
      <c r="F2965" s="29">
        <v>9487</v>
      </c>
      <c r="G2965" s="3" t="s">
        <v>57</v>
      </c>
      <c r="H2965" s="1">
        <v>14394</v>
      </c>
      <c r="I2965" s="26">
        <v>38016.392609969946</v>
      </c>
      <c r="J2965" s="26">
        <v>52410.392609969946</v>
      </c>
    </row>
    <row r="2966" spans="1:10" x14ac:dyDescent="0.2">
      <c r="B2966">
        <v>2017</v>
      </c>
      <c r="C2966" t="s">
        <v>6</v>
      </c>
      <c r="D2966" t="s">
        <v>7</v>
      </c>
      <c r="E2966" t="s">
        <v>8</v>
      </c>
      <c r="F2966" s="29">
        <v>9487</v>
      </c>
      <c r="G2966" s="3" t="s">
        <v>57</v>
      </c>
      <c r="H2966" s="1">
        <v>14830</v>
      </c>
      <c r="I2966" s="1">
        <v>2314.3051561031325</v>
      </c>
      <c r="J2966" s="1">
        <v>17144.305156103132</v>
      </c>
    </row>
    <row r="2967" spans="1:10" x14ac:dyDescent="0.2">
      <c r="B2967">
        <v>2018</v>
      </c>
      <c r="C2967" t="s">
        <v>6</v>
      </c>
      <c r="D2967" t="s">
        <v>7</v>
      </c>
      <c r="E2967" t="s">
        <v>8</v>
      </c>
      <c r="F2967" s="28">
        <v>9487</v>
      </c>
      <c r="G2967" t="s">
        <v>57</v>
      </c>
      <c r="H2967" s="1">
        <v>10525</v>
      </c>
      <c r="I2967" s="1">
        <v>1591.5836308492535</v>
      </c>
      <c r="J2967" s="1">
        <v>12116.583630849254</v>
      </c>
    </row>
    <row r="2968" spans="1:10" x14ac:dyDescent="0.2">
      <c r="B2968">
        <v>2019</v>
      </c>
      <c r="C2968" t="s">
        <v>6</v>
      </c>
      <c r="D2968" t="s">
        <v>7</v>
      </c>
      <c r="E2968" t="s">
        <v>8</v>
      </c>
      <c r="F2968" s="28">
        <v>9487</v>
      </c>
      <c r="G2968" t="s">
        <v>57</v>
      </c>
      <c r="H2968" s="1">
        <v>12660</v>
      </c>
      <c r="I2968" s="1">
        <v>1928.0904249900309</v>
      </c>
      <c r="J2968" s="1">
        <v>14588.09042499003</v>
      </c>
    </row>
    <row r="2969" spans="1:10" x14ac:dyDescent="0.2">
      <c r="B2969">
        <v>2020</v>
      </c>
      <c r="C2969" t="s">
        <v>6</v>
      </c>
      <c r="D2969" t="s">
        <v>7</v>
      </c>
      <c r="E2969" t="s">
        <v>8</v>
      </c>
      <c r="F2969" s="28">
        <v>9487</v>
      </c>
      <c r="G2969" t="s">
        <v>57</v>
      </c>
      <c r="H2969" s="1">
        <v>11436</v>
      </c>
      <c r="I2969" s="1">
        <v>1730.0932582064679</v>
      </c>
      <c r="J2969" s="1">
        <v>13166.093258206467</v>
      </c>
    </row>
    <row r="2970" spans="1:10" x14ac:dyDescent="0.2">
      <c r="B2970">
        <v>2022</v>
      </c>
      <c r="C2970" t="s">
        <v>6</v>
      </c>
      <c r="D2970" t="s">
        <v>7</v>
      </c>
      <c r="E2970" t="s">
        <v>8</v>
      </c>
      <c r="F2970" s="28">
        <v>9487</v>
      </c>
      <c r="G2970" t="s">
        <v>57</v>
      </c>
      <c r="H2970" s="1"/>
      <c r="I2970" s="1">
        <v>0</v>
      </c>
      <c r="J2970" s="1">
        <v>0</v>
      </c>
    </row>
    <row r="2971" spans="1:10" x14ac:dyDescent="0.2">
      <c r="B2971">
        <v>2023</v>
      </c>
      <c r="C2971" t="s">
        <v>6</v>
      </c>
      <c r="D2971" t="s">
        <v>7</v>
      </c>
      <c r="E2971" t="s">
        <v>8</v>
      </c>
      <c r="F2971" s="28">
        <v>9487</v>
      </c>
      <c r="G2971" s="10" t="s">
        <v>57</v>
      </c>
      <c r="H2971" s="1">
        <v>5474</v>
      </c>
      <c r="I2971" s="1">
        <v>766.37629219450002</v>
      </c>
      <c r="J2971" s="1">
        <v>6240.3762921944999</v>
      </c>
    </row>
    <row r="2972" spans="1:10" x14ac:dyDescent="0.2">
      <c r="A2972">
        <v>2000354</v>
      </c>
      <c r="B2972">
        <v>2016</v>
      </c>
      <c r="C2972" t="s">
        <v>6</v>
      </c>
      <c r="D2972" t="s">
        <v>7</v>
      </c>
      <c r="E2972" t="s">
        <v>8</v>
      </c>
      <c r="F2972" s="29">
        <v>9507</v>
      </c>
      <c r="G2972" s="3" t="s">
        <v>58</v>
      </c>
      <c r="H2972" s="1">
        <v>77780</v>
      </c>
      <c r="I2972" s="26">
        <v>205424.45145994512</v>
      </c>
      <c r="J2972" s="26">
        <v>283204.45145994512</v>
      </c>
    </row>
    <row r="2973" spans="1:10" x14ac:dyDescent="0.2">
      <c r="A2973">
        <v>2000354</v>
      </c>
      <c r="B2973">
        <v>2017</v>
      </c>
      <c r="C2973" t="s">
        <v>6</v>
      </c>
      <c r="D2973" t="s">
        <v>7</v>
      </c>
      <c r="E2973" t="s">
        <v>8</v>
      </c>
      <c r="F2973" s="29">
        <v>9507</v>
      </c>
      <c r="G2973" s="3" t="s">
        <v>58</v>
      </c>
      <c r="H2973" s="1">
        <v>85346</v>
      </c>
      <c r="I2973" s="1">
        <v>13318.724737206872</v>
      </c>
      <c r="J2973" s="1">
        <v>98664.724737206867</v>
      </c>
    </row>
    <row r="2974" spans="1:10" x14ac:dyDescent="0.2">
      <c r="A2974">
        <v>2000354</v>
      </c>
      <c r="B2974">
        <v>2018</v>
      </c>
      <c r="C2974" t="s">
        <v>6</v>
      </c>
      <c r="D2974" t="s">
        <v>7</v>
      </c>
      <c r="E2974" t="s">
        <v>8</v>
      </c>
      <c r="F2974" s="28">
        <v>9507</v>
      </c>
      <c r="G2974" t="s">
        <v>58</v>
      </c>
      <c r="H2974" s="1">
        <v>55162</v>
      </c>
      <c r="I2974" s="1">
        <v>8341.5616384709283</v>
      </c>
      <c r="J2974" s="1">
        <v>63503.561638470928</v>
      </c>
    </row>
    <row r="2975" spans="1:10" x14ac:dyDescent="0.2">
      <c r="A2975">
        <v>2000354</v>
      </c>
      <c r="B2975">
        <v>2019</v>
      </c>
      <c r="C2975" t="s">
        <v>6</v>
      </c>
      <c r="D2975" t="s">
        <v>7</v>
      </c>
      <c r="E2975" t="s">
        <v>8</v>
      </c>
      <c r="F2975" s="28">
        <v>9507</v>
      </c>
      <c r="G2975" t="s">
        <v>58</v>
      </c>
      <c r="H2975" s="1">
        <v>59117</v>
      </c>
      <c r="I2975" s="1">
        <v>9003.3903360296736</v>
      </c>
      <c r="J2975" s="1">
        <v>68120.390336029668</v>
      </c>
    </row>
    <row r="2976" spans="1:10" x14ac:dyDescent="0.2">
      <c r="A2976">
        <v>2000354</v>
      </c>
      <c r="B2976">
        <v>2020</v>
      </c>
      <c r="C2976" t="s">
        <v>6</v>
      </c>
      <c r="D2976" t="s">
        <v>7</v>
      </c>
      <c r="E2976" t="s">
        <v>8</v>
      </c>
      <c r="F2976" s="28">
        <v>9507</v>
      </c>
      <c r="G2976" t="s">
        <v>58</v>
      </c>
      <c r="H2976" s="1">
        <v>64967</v>
      </c>
      <c r="I2976" s="1">
        <v>9828.5212229712852</v>
      </c>
      <c r="J2976" s="1">
        <v>74795.521222971292</v>
      </c>
    </row>
    <row r="2977" spans="1:10" x14ac:dyDescent="0.2">
      <c r="A2977">
        <v>2000354</v>
      </c>
      <c r="B2977">
        <v>2021</v>
      </c>
      <c r="C2977" t="s">
        <v>6</v>
      </c>
      <c r="D2977" t="s">
        <v>7</v>
      </c>
      <c r="E2977" t="s">
        <v>8</v>
      </c>
      <c r="F2977" s="28">
        <v>9507</v>
      </c>
      <c r="G2977" t="s">
        <v>58</v>
      </c>
      <c r="H2977" s="25">
        <v>85542</v>
      </c>
      <c r="I2977" s="1">
        <v>12770.832130480199</v>
      </c>
      <c r="J2977" s="1">
        <v>98312.832130480194</v>
      </c>
    </row>
    <row r="2978" spans="1:10" x14ac:dyDescent="0.2">
      <c r="A2978">
        <v>2000354</v>
      </c>
      <c r="B2978">
        <v>2022</v>
      </c>
      <c r="C2978" t="s">
        <v>6</v>
      </c>
      <c r="D2978" t="s">
        <v>7</v>
      </c>
      <c r="E2978" t="s">
        <v>8</v>
      </c>
      <c r="F2978" s="28">
        <v>9507</v>
      </c>
      <c r="G2978" t="s">
        <v>58</v>
      </c>
      <c r="H2978" s="1">
        <v>86722</v>
      </c>
      <c r="I2978" s="1">
        <v>11777.329262969375</v>
      </c>
      <c r="J2978" s="1">
        <v>98499.329262969375</v>
      </c>
    </row>
    <row r="2979" spans="1:10" x14ac:dyDescent="0.2">
      <c r="A2979">
        <v>2000354</v>
      </c>
      <c r="B2979">
        <v>2023</v>
      </c>
      <c r="C2979" t="s">
        <v>6</v>
      </c>
      <c r="D2979" t="s">
        <v>7</v>
      </c>
      <c r="E2979" t="s">
        <v>8</v>
      </c>
      <c r="F2979" s="28">
        <v>9507</v>
      </c>
      <c r="G2979" s="10" t="s">
        <v>58</v>
      </c>
      <c r="H2979" s="1">
        <v>84264</v>
      </c>
      <c r="I2979" s="1">
        <v>11797.210793839486</v>
      </c>
      <c r="J2979" s="1">
        <v>96061.210793839491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9B0B-22D4-B142-A560-9DCC6D92A977}">
  <sheetPr>
    <tabColor rgb="FFFF0000"/>
  </sheetPr>
  <dimension ref="A1"/>
  <sheetViews>
    <sheetView workbookViewId="0">
      <selection activeCell="E36" sqref="E36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5194-F10E-D348-90D4-505389737018}">
  <sheetPr>
    <tabColor rgb="FFFFFF00"/>
  </sheetPr>
  <dimension ref="A1:H347"/>
  <sheetViews>
    <sheetView workbookViewId="0">
      <selection activeCell="C20" sqref="C20"/>
    </sheetView>
  </sheetViews>
  <sheetFormatPr baseColWidth="10" defaultRowHeight="16" x14ac:dyDescent="0.2"/>
  <cols>
    <col min="2" max="2" width="11.83203125" bestFit="1" customWidth="1"/>
    <col min="3" max="3" width="41.5" bestFit="1" customWidth="1"/>
    <col min="4" max="4" width="18.83203125" bestFit="1" customWidth="1"/>
    <col min="5" max="5" width="21.1640625" bestFit="1" customWidth="1"/>
    <col min="6" max="6" width="18.5" customWidth="1"/>
    <col min="7" max="7" width="17.1640625" bestFit="1" customWidth="1"/>
    <col min="8" max="8" width="16.83203125" bestFit="1" customWidth="1"/>
  </cols>
  <sheetData>
    <row r="1" spans="1:8" x14ac:dyDescent="0.2">
      <c r="A1" t="s">
        <v>1</v>
      </c>
      <c r="B1" t="s">
        <v>5</v>
      </c>
      <c r="C1" t="s">
        <v>4</v>
      </c>
      <c r="D1" t="s">
        <v>350</v>
      </c>
      <c r="E1" t="s">
        <v>372</v>
      </c>
      <c r="G1" t="s">
        <v>368</v>
      </c>
      <c r="H1" t="s">
        <v>351</v>
      </c>
    </row>
    <row r="2" spans="1:8" x14ac:dyDescent="0.2">
      <c r="A2">
        <v>2023</v>
      </c>
      <c r="B2" s="3" t="str">
        <f>LEFT(C2,4)</f>
        <v>4930</v>
      </c>
      <c r="C2" s="10" t="s">
        <v>9</v>
      </c>
      <c r="D2" s="11">
        <v>11026</v>
      </c>
      <c r="E2" s="11">
        <v>11026</v>
      </c>
      <c r="F2" s="12">
        <f>D2/$D$340</f>
        <v>2.2228307421297824E-5</v>
      </c>
      <c r="G2" s="24">
        <f>F2*$D$341</f>
        <v>1543.6728165393783</v>
      </c>
      <c r="H2" s="23">
        <f>SUM(G2,D2)</f>
        <v>12569.672816539378</v>
      </c>
    </row>
    <row r="3" spans="1:8" x14ac:dyDescent="0.2">
      <c r="A3">
        <v>2023</v>
      </c>
      <c r="B3" s="3" t="str">
        <f t="shared" ref="B3:B66" si="0">LEFT(C3,4)</f>
        <v>4931</v>
      </c>
      <c r="C3" s="10" t="s">
        <v>10</v>
      </c>
      <c r="D3" s="11">
        <v>3768</v>
      </c>
      <c r="E3" s="11">
        <v>3768</v>
      </c>
      <c r="F3" s="12">
        <f t="shared" ref="F3:F66" si="1">D3/$D$340</f>
        <v>7.5962508945628707E-6</v>
      </c>
      <c r="G3" s="24">
        <f t="shared" ref="G3:G66" si="2">F3*$D$341</f>
        <v>527.53121464904575</v>
      </c>
      <c r="H3" s="23">
        <f t="shared" ref="H3:H66" si="3">SUM(G3,D3)</f>
        <v>4295.531214649046</v>
      </c>
    </row>
    <row r="4" spans="1:8" x14ac:dyDescent="0.2">
      <c r="A4">
        <v>2023</v>
      </c>
      <c r="B4" s="3" t="str">
        <f t="shared" si="0"/>
        <v>5045</v>
      </c>
      <c r="C4" s="10" t="s">
        <v>11</v>
      </c>
      <c r="D4" s="10"/>
      <c r="E4" s="10"/>
      <c r="F4" s="12">
        <f t="shared" si="1"/>
        <v>0</v>
      </c>
      <c r="G4" s="24">
        <f t="shared" si="2"/>
        <v>0</v>
      </c>
      <c r="H4" s="23">
        <f t="shared" si="3"/>
        <v>0</v>
      </c>
    </row>
    <row r="5" spans="1:8" x14ac:dyDescent="0.2">
      <c r="A5">
        <v>2023</v>
      </c>
      <c r="B5" s="3" t="str">
        <f t="shared" si="0"/>
        <v>5046</v>
      </c>
      <c r="C5" s="10" t="s">
        <v>12</v>
      </c>
      <c r="D5" s="10"/>
      <c r="E5" s="10"/>
      <c r="F5" s="12">
        <f t="shared" si="1"/>
        <v>0</v>
      </c>
      <c r="G5" s="24">
        <f t="shared" si="2"/>
        <v>0</v>
      </c>
      <c r="H5" s="23">
        <f t="shared" si="3"/>
        <v>0</v>
      </c>
    </row>
    <row r="6" spans="1:8" x14ac:dyDescent="0.2">
      <c r="A6">
        <v>2023</v>
      </c>
      <c r="B6" s="3" t="str">
        <f t="shared" si="0"/>
        <v>5047</v>
      </c>
      <c r="C6" s="10" t="s">
        <v>13</v>
      </c>
      <c r="D6" s="11">
        <v>12710</v>
      </c>
      <c r="E6" s="11">
        <v>12710</v>
      </c>
      <c r="F6" s="12">
        <f t="shared" si="1"/>
        <v>2.5623234838082294E-5</v>
      </c>
      <c r="G6" s="24">
        <f t="shared" si="2"/>
        <v>1779.437828606521</v>
      </c>
      <c r="H6" s="23">
        <f t="shared" si="3"/>
        <v>14489.43782860652</v>
      </c>
    </row>
    <row r="7" spans="1:8" x14ac:dyDescent="0.2">
      <c r="A7">
        <v>2023</v>
      </c>
      <c r="B7" s="3" t="str">
        <f t="shared" si="0"/>
        <v>5048</v>
      </c>
      <c r="C7" s="10" t="s">
        <v>14</v>
      </c>
      <c r="D7" s="11">
        <v>79632</v>
      </c>
      <c r="E7" s="11">
        <v>79632</v>
      </c>
      <c r="F7" s="12">
        <f t="shared" si="1"/>
        <v>1.6053732782267264E-4</v>
      </c>
      <c r="G7" s="24">
        <f t="shared" si="2"/>
        <v>11148.717007678559</v>
      </c>
      <c r="H7" s="23">
        <f t="shared" si="3"/>
        <v>90780.717007678555</v>
      </c>
    </row>
    <row r="8" spans="1:8" x14ac:dyDescent="0.2">
      <c r="A8">
        <v>2023</v>
      </c>
      <c r="B8" s="3" t="str">
        <f t="shared" si="0"/>
        <v>5049</v>
      </c>
      <c r="C8" s="10" t="s">
        <v>15</v>
      </c>
      <c r="D8" s="11">
        <v>173633</v>
      </c>
      <c r="E8" s="11">
        <v>173633</v>
      </c>
      <c r="F8" s="12">
        <f t="shared" si="1"/>
        <v>3.5004241814639989E-4</v>
      </c>
      <c r="G8" s="24">
        <f t="shared" si="2"/>
        <v>24309.136781623605</v>
      </c>
      <c r="H8" s="23">
        <f t="shared" si="3"/>
        <v>197942.13678162362</v>
      </c>
    </row>
    <row r="9" spans="1:8" x14ac:dyDescent="0.2">
      <c r="A9">
        <v>2023</v>
      </c>
      <c r="B9" s="3" t="str">
        <f t="shared" si="0"/>
        <v>5050</v>
      </c>
      <c r="C9" s="10" t="s">
        <v>16</v>
      </c>
      <c r="D9" s="11">
        <v>12445</v>
      </c>
      <c r="E9" s="11">
        <v>12445</v>
      </c>
      <c r="F9" s="12">
        <f t="shared" si="1"/>
        <v>2.5088997447673811E-5</v>
      </c>
      <c r="G9" s="24">
        <f t="shared" si="2"/>
        <v>1742.337039890492</v>
      </c>
      <c r="H9" s="23">
        <f t="shared" si="3"/>
        <v>14187.337039890492</v>
      </c>
    </row>
    <row r="10" spans="1:8" x14ac:dyDescent="0.2">
      <c r="A10">
        <v>2023</v>
      </c>
      <c r="B10" s="3" t="str">
        <f t="shared" si="0"/>
        <v>5107</v>
      </c>
      <c r="C10" s="10" t="s">
        <v>17</v>
      </c>
      <c r="D10" s="11">
        <v>9502</v>
      </c>
      <c r="E10" s="11">
        <v>9502</v>
      </c>
      <c r="F10" s="12">
        <f t="shared" si="1"/>
        <v>1.9155938428910933E-5</v>
      </c>
      <c r="G10" s="24">
        <f t="shared" si="2"/>
        <v>1330.3082806781401</v>
      </c>
      <c r="H10" s="23">
        <f t="shared" si="3"/>
        <v>10832.30828067814</v>
      </c>
    </row>
    <row r="11" spans="1:8" x14ac:dyDescent="0.2">
      <c r="A11">
        <v>2023</v>
      </c>
      <c r="B11" s="3" t="str">
        <f t="shared" si="0"/>
        <v>5108</v>
      </c>
      <c r="C11" s="10" t="s">
        <v>18</v>
      </c>
      <c r="D11" s="11">
        <v>35307</v>
      </c>
      <c r="E11" s="11">
        <v>35307</v>
      </c>
      <c r="F11" s="12">
        <f t="shared" si="1"/>
        <v>7.1178564313782188E-5</v>
      </c>
      <c r="G11" s="24">
        <f t="shared" si="2"/>
        <v>4943.085083761639</v>
      </c>
      <c r="H11" s="23">
        <f t="shared" si="3"/>
        <v>40250.085083761638</v>
      </c>
    </row>
    <row r="12" spans="1:8" x14ac:dyDescent="0.2">
      <c r="A12">
        <v>2023</v>
      </c>
      <c r="B12" s="3" t="str">
        <f t="shared" si="0"/>
        <v>5109</v>
      </c>
      <c r="C12" s="10" t="s">
        <v>19</v>
      </c>
      <c r="D12" s="11">
        <v>53517</v>
      </c>
      <c r="E12" s="11">
        <v>53517</v>
      </c>
      <c r="F12" s="12">
        <f t="shared" si="1"/>
        <v>1.0788974499053108E-4</v>
      </c>
      <c r="G12" s="24">
        <f t="shared" si="2"/>
        <v>7492.5392819461185</v>
      </c>
      <c r="H12" s="23">
        <f t="shared" si="3"/>
        <v>61009.539281946119</v>
      </c>
    </row>
    <row r="13" spans="1:8" x14ac:dyDescent="0.2">
      <c r="A13">
        <v>2023</v>
      </c>
      <c r="B13" s="3" t="str">
        <f t="shared" si="0"/>
        <v>5110</v>
      </c>
      <c r="C13" s="10" t="s">
        <v>20</v>
      </c>
      <c r="D13" s="11">
        <v>14708</v>
      </c>
      <c r="E13" s="11">
        <v>14708</v>
      </c>
      <c r="F13" s="12">
        <f t="shared" si="1"/>
        <v>2.9651183162747001E-5</v>
      </c>
      <c r="G13" s="24">
        <f t="shared" si="2"/>
        <v>2059.1637752277506</v>
      </c>
      <c r="H13" s="23">
        <f t="shared" si="3"/>
        <v>16767.163775227749</v>
      </c>
    </row>
    <row r="14" spans="1:8" x14ac:dyDescent="0.2">
      <c r="A14">
        <v>2023</v>
      </c>
      <c r="B14" s="3" t="str">
        <f t="shared" si="0"/>
        <v>5111</v>
      </c>
      <c r="C14" s="10" t="s">
        <v>21</v>
      </c>
      <c r="D14" s="3"/>
      <c r="E14" s="10"/>
      <c r="F14" s="12">
        <f t="shared" si="1"/>
        <v>0</v>
      </c>
      <c r="G14" s="24">
        <f t="shared" si="2"/>
        <v>0</v>
      </c>
      <c r="H14" s="23">
        <f t="shared" si="3"/>
        <v>0</v>
      </c>
    </row>
    <row r="15" spans="1:8" x14ac:dyDescent="0.2">
      <c r="A15">
        <v>2023</v>
      </c>
      <c r="B15" s="3" t="str">
        <f t="shared" si="0"/>
        <v>5112</v>
      </c>
      <c r="C15" s="10" t="s">
        <v>22</v>
      </c>
      <c r="D15" s="11">
        <v>4590</v>
      </c>
      <c r="E15" s="11">
        <v>4590</v>
      </c>
      <c r="F15" s="12">
        <f t="shared" si="1"/>
        <v>9.2533947999054067E-6</v>
      </c>
      <c r="G15" s="24">
        <f t="shared" si="2"/>
        <v>642.61366115687883</v>
      </c>
      <c r="H15" s="23">
        <f t="shared" si="3"/>
        <v>5232.6136611568791</v>
      </c>
    </row>
    <row r="16" spans="1:8" x14ac:dyDescent="0.2">
      <c r="A16">
        <v>2023</v>
      </c>
      <c r="B16" s="3" t="str">
        <f t="shared" si="0"/>
        <v>5113</v>
      </c>
      <c r="C16" s="10" t="s">
        <v>23</v>
      </c>
      <c r="D16" s="11">
        <v>23029</v>
      </c>
      <c r="E16" s="11">
        <v>23029</v>
      </c>
      <c r="F16" s="12">
        <f t="shared" si="1"/>
        <v>4.6426237221573337E-5</v>
      </c>
      <c r="G16" s="24">
        <f t="shared" si="2"/>
        <v>3224.1285409110596</v>
      </c>
      <c r="H16" s="23">
        <f t="shared" si="3"/>
        <v>26253.128540911061</v>
      </c>
    </row>
    <row r="17" spans="1:8" x14ac:dyDescent="0.2">
      <c r="A17">
        <v>2023</v>
      </c>
      <c r="B17" s="3" t="str">
        <f t="shared" si="0"/>
        <v>5177</v>
      </c>
      <c r="C17" s="10" t="s">
        <v>24</v>
      </c>
      <c r="D17" s="11">
        <v>53687</v>
      </c>
      <c r="E17" s="11">
        <v>53687</v>
      </c>
      <c r="F17" s="12">
        <f t="shared" si="1"/>
        <v>1.0823246331645351E-4</v>
      </c>
      <c r="G17" s="24">
        <f t="shared" si="2"/>
        <v>7516.3397879148924</v>
      </c>
      <c r="H17" s="23">
        <f t="shared" si="3"/>
        <v>61203.339787914891</v>
      </c>
    </row>
    <row r="18" spans="1:8" x14ac:dyDescent="0.2">
      <c r="A18">
        <v>2023</v>
      </c>
      <c r="B18" s="3" t="str">
        <f t="shared" si="0"/>
        <v>5178</v>
      </c>
      <c r="C18" s="10" t="s">
        <v>25</v>
      </c>
      <c r="D18" s="11">
        <v>34063</v>
      </c>
      <c r="E18" s="11">
        <v>34063</v>
      </c>
      <c r="F18" s="12">
        <f t="shared" si="1"/>
        <v>6.867067256409104E-5</v>
      </c>
      <c r="G18" s="24">
        <f t="shared" si="2"/>
        <v>4768.9213812607331</v>
      </c>
      <c r="H18" s="23">
        <f t="shared" si="3"/>
        <v>38831.921381260734</v>
      </c>
    </row>
    <row r="19" spans="1:8" x14ac:dyDescent="0.2">
      <c r="A19">
        <v>2023</v>
      </c>
      <c r="B19" s="3" t="str">
        <f t="shared" si="0"/>
        <v>5179</v>
      </c>
      <c r="C19" s="10" t="s">
        <v>26</v>
      </c>
      <c r="D19" s="11">
        <v>28259</v>
      </c>
      <c r="E19" s="11">
        <v>28259</v>
      </c>
      <c r="F19" s="12">
        <f t="shared" si="1"/>
        <v>5.696986571906904E-5</v>
      </c>
      <c r="G19" s="24">
        <f t="shared" si="2"/>
        <v>3956.3441068915554</v>
      </c>
      <c r="H19" s="23">
        <f t="shared" si="3"/>
        <v>32215.344106891556</v>
      </c>
    </row>
    <row r="20" spans="1:8" x14ac:dyDescent="0.2">
      <c r="A20">
        <v>2023</v>
      </c>
      <c r="B20" s="3" t="str">
        <f t="shared" si="0"/>
        <v>5180</v>
      </c>
      <c r="C20" s="10" t="s">
        <v>27</v>
      </c>
      <c r="D20" s="11">
        <v>3900</v>
      </c>
      <c r="E20" s="11">
        <v>3900</v>
      </c>
      <c r="F20" s="12">
        <f t="shared" si="1"/>
        <v>7.8623615946908694E-6</v>
      </c>
      <c r="G20" s="24">
        <f t="shared" si="2"/>
        <v>546.01160751891678</v>
      </c>
      <c r="H20" s="23">
        <f t="shared" si="3"/>
        <v>4446.0116075189171</v>
      </c>
    </row>
    <row r="21" spans="1:8" x14ac:dyDescent="0.2">
      <c r="A21">
        <v>2023</v>
      </c>
      <c r="B21" s="3" t="str">
        <f t="shared" si="0"/>
        <v>5404</v>
      </c>
      <c r="C21" s="10" t="s">
        <v>28</v>
      </c>
      <c r="D21" s="11">
        <v>13406</v>
      </c>
      <c r="E21" s="11">
        <v>13406</v>
      </c>
      <c r="F21" s="12">
        <f t="shared" si="1"/>
        <v>2.702636398421174E-5</v>
      </c>
      <c r="G21" s="24">
        <f t="shared" si="2"/>
        <v>1876.8799001022044</v>
      </c>
      <c r="H21" s="23">
        <f t="shared" si="3"/>
        <v>15282.879900102205</v>
      </c>
    </row>
    <row r="22" spans="1:8" x14ac:dyDescent="0.2">
      <c r="A22">
        <v>2023</v>
      </c>
      <c r="B22" s="3" t="str">
        <f t="shared" si="0"/>
        <v>5406</v>
      </c>
      <c r="C22" s="10" t="s">
        <v>29</v>
      </c>
      <c r="D22" s="11">
        <v>107563</v>
      </c>
      <c r="E22" s="11">
        <v>107563</v>
      </c>
      <c r="F22" s="12">
        <f t="shared" si="1"/>
        <v>2.1684594877172664E-4</v>
      </c>
      <c r="G22" s="24">
        <f t="shared" si="2"/>
        <v>15059.14013834801</v>
      </c>
      <c r="H22" s="23">
        <f t="shared" si="3"/>
        <v>122622.14013834801</v>
      </c>
    </row>
    <row r="23" spans="1:8" x14ac:dyDescent="0.2">
      <c r="A23">
        <v>2023</v>
      </c>
      <c r="B23" s="3" t="str">
        <f t="shared" si="0"/>
        <v>5596</v>
      </c>
      <c r="C23" s="10" t="s">
        <v>30</v>
      </c>
      <c r="D23" s="11">
        <v>58206</v>
      </c>
      <c r="E23" s="11">
        <v>58206</v>
      </c>
      <c r="F23" s="12">
        <f t="shared" si="1"/>
        <v>1.1734272281553249E-4</v>
      </c>
      <c r="G23" s="24">
        <f t="shared" si="2"/>
        <v>8149.013237755401</v>
      </c>
      <c r="H23" s="23">
        <f t="shared" si="3"/>
        <v>66355.013237755396</v>
      </c>
    </row>
    <row r="24" spans="1:8" x14ac:dyDescent="0.2">
      <c r="A24">
        <v>2023</v>
      </c>
      <c r="B24" s="3" t="str">
        <f t="shared" si="0"/>
        <v>5600</v>
      </c>
      <c r="C24" s="10" t="s">
        <v>31</v>
      </c>
      <c r="D24" s="11">
        <v>91048</v>
      </c>
      <c r="E24" s="11">
        <v>91048</v>
      </c>
      <c r="F24" s="12">
        <f t="shared" si="1"/>
        <v>1.8355187140343954E-4</v>
      </c>
      <c r="G24" s="24">
        <f t="shared" si="2"/>
        <v>12746.990984969827</v>
      </c>
      <c r="H24" s="23">
        <f t="shared" si="3"/>
        <v>103794.99098496983</v>
      </c>
    </row>
    <row r="25" spans="1:8" x14ac:dyDescent="0.2">
      <c r="A25">
        <v>2023</v>
      </c>
      <c r="B25" s="3" t="str">
        <f t="shared" si="0"/>
        <v>5604</v>
      </c>
      <c r="C25" s="10" t="s">
        <v>32</v>
      </c>
      <c r="D25" s="11">
        <v>26388</v>
      </c>
      <c r="E25" s="11">
        <v>26388</v>
      </c>
      <c r="F25" s="12">
        <f t="shared" si="1"/>
        <v>5.319794814376991E-5</v>
      </c>
      <c r="G25" s="24">
        <f t="shared" si="2"/>
        <v>3694.3985382587625</v>
      </c>
      <c r="H25" s="23">
        <f t="shared" si="3"/>
        <v>30082.398538258763</v>
      </c>
    </row>
    <row r="26" spans="1:8" x14ac:dyDescent="0.2">
      <c r="A26">
        <v>2023</v>
      </c>
      <c r="B26" s="3" t="str">
        <f t="shared" si="0"/>
        <v>5608</v>
      </c>
      <c r="C26" s="10" t="s">
        <v>33</v>
      </c>
      <c r="D26" s="11">
        <v>2754</v>
      </c>
      <c r="E26" s="11">
        <v>2754</v>
      </c>
      <c r="F26" s="12">
        <f t="shared" si="1"/>
        <v>5.552036879943244E-6</v>
      </c>
      <c r="G26" s="24">
        <f t="shared" si="2"/>
        <v>385.56819669412732</v>
      </c>
      <c r="H26" s="23">
        <f t="shared" si="3"/>
        <v>3139.5681966941274</v>
      </c>
    </row>
    <row r="27" spans="1:8" x14ac:dyDescent="0.2">
      <c r="A27">
        <v>2023</v>
      </c>
      <c r="B27" s="3" t="str">
        <f t="shared" si="0"/>
        <v>5609</v>
      </c>
      <c r="C27" s="10" t="s">
        <v>34</v>
      </c>
      <c r="D27" s="11">
        <v>13776</v>
      </c>
      <c r="E27" s="11">
        <v>13776</v>
      </c>
      <c r="F27" s="12">
        <f t="shared" si="1"/>
        <v>2.7772280340631132E-5</v>
      </c>
      <c r="G27" s="24">
        <f t="shared" si="2"/>
        <v>1928.6810013283582</v>
      </c>
      <c r="H27" s="23">
        <f t="shared" si="3"/>
        <v>15704.681001328358</v>
      </c>
    </row>
    <row r="28" spans="1:8" x14ac:dyDescent="0.2">
      <c r="A28">
        <v>2023</v>
      </c>
      <c r="B28" s="3" t="str">
        <f t="shared" si="0"/>
        <v>5612</v>
      </c>
      <c r="C28" s="10" t="s">
        <v>35</v>
      </c>
      <c r="D28" s="11">
        <v>84113</v>
      </c>
      <c r="E28" s="11">
        <v>84113</v>
      </c>
      <c r="F28" s="12">
        <f t="shared" si="1"/>
        <v>1.6957097969595719E-4</v>
      </c>
      <c r="G28" s="24">
        <f t="shared" si="2"/>
        <v>11776.070344420164</v>
      </c>
      <c r="H28" s="23">
        <f t="shared" si="3"/>
        <v>95889.070344420164</v>
      </c>
    </row>
    <row r="29" spans="1:8" x14ac:dyDescent="0.2">
      <c r="A29">
        <v>2023</v>
      </c>
      <c r="B29" s="3" t="str">
        <f t="shared" si="0"/>
        <v>5624</v>
      </c>
      <c r="C29" s="10" t="s">
        <v>36</v>
      </c>
      <c r="D29" s="11">
        <v>25118</v>
      </c>
      <c r="E29" s="11">
        <v>25118</v>
      </c>
      <c r="F29" s="12">
        <f t="shared" si="1"/>
        <v>5.0637640650114166E-5</v>
      </c>
      <c r="G29" s="24">
        <f t="shared" si="2"/>
        <v>3516.5947583743973</v>
      </c>
      <c r="H29" s="23">
        <f t="shared" si="3"/>
        <v>28634.594758374398</v>
      </c>
    </row>
    <row r="30" spans="1:8" x14ac:dyDescent="0.2">
      <c r="A30">
        <v>2023</v>
      </c>
      <c r="B30" s="3" t="str">
        <f t="shared" si="0"/>
        <v>5626</v>
      </c>
      <c r="C30" s="10" t="s">
        <v>37</v>
      </c>
      <c r="D30" s="11">
        <v>9885</v>
      </c>
      <c r="E30" s="11">
        <v>9885</v>
      </c>
      <c r="F30" s="12">
        <f t="shared" si="1"/>
        <v>1.9928062657312627E-5</v>
      </c>
      <c r="G30" s="24">
        <f t="shared" si="2"/>
        <v>1383.9294205960236</v>
      </c>
      <c r="H30" s="23">
        <f t="shared" si="3"/>
        <v>11268.929420596023</v>
      </c>
    </row>
    <row r="31" spans="1:8" x14ac:dyDescent="0.2">
      <c r="A31">
        <v>2023</v>
      </c>
      <c r="B31" s="3" t="str">
        <f t="shared" si="0"/>
        <v>5634</v>
      </c>
      <c r="C31" s="10" t="s">
        <v>38</v>
      </c>
      <c r="D31" s="11">
        <v>62575</v>
      </c>
      <c r="E31" s="11">
        <v>62575</v>
      </c>
      <c r="F31" s="12">
        <f t="shared" si="1"/>
        <v>1.2615058379173875E-4</v>
      </c>
      <c r="G31" s="24">
        <f t="shared" si="2"/>
        <v>8760.6862411528746</v>
      </c>
      <c r="H31" s="23">
        <f t="shared" si="3"/>
        <v>71335.686241152871</v>
      </c>
    </row>
    <row r="32" spans="1:8" x14ac:dyDescent="0.2">
      <c r="A32">
        <v>2023</v>
      </c>
      <c r="B32" s="3" t="str">
        <f t="shared" si="0"/>
        <v>5638</v>
      </c>
      <c r="C32" s="10" t="s">
        <v>39</v>
      </c>
      <c r="D32" s="11">
        <v>19158</v>
      </c>
      <c r="E32" s="11">
        <v>19158</v>
      </c>
      <c r="F32" s="12">
        <f t="shared" si="1"/>
        <v>3.8622339341304531E-5</v>
      </c>
      <c r="G32" s="24">
        <f t="shared" si="2"/>
        <v>2682.1770197044634</v>
      </c>
      <c r="H32" s="23">
        <f t="shared" si="3"/>
        <v>21840.177019704464</v>
      </c>
    </row>
    <row r="33" spans="1:8" x14ac:dyDescent="0.2">
      <c r="A33">
        <v>2023</v>
      </c>
      <c r="B33" s="3" t="str">
        <f t="shared" si="0"/>
        <v>5655</v>
      </c>
      <c r="C33" s="10" t="s">
        <v>40</v>
      </c>
      <c r="D33" s="10"/>
      <c r="E33" s="10"/>
      <c r="F33" s="12">
        <f t="shared" si="1"/>
        <v>0</v>
      </c>
      <c r="G33" s="24">
        <f t="shared" si="2"/>
        <v>0</v>
      </c>
      <c r="H33" s="23">
        <f t="shared" si="3"/>
        <v>0</v>
      </c>
    </row>
    <row r="34" spans="1:8" x14ac:dyDescent="0.2">
      <c r="A34">
        <v>2023</v>
      </c>
      <c r="B34" s="3" t="str">
        <f t="shared" si="0"/>
        <v>5657</v>
      </c>
      <c r="C34" s="10" t="s">
        <v>41</v>
      </c>
      <c r="D34" s="11">
        <v>4131</v>
      </c>
      <c r="E34" s="11">
        <v>4131</v>
      </c>
      <c r="F34" s="12">
        <f t="shared" si="1"/>
        <v>8.3280553199148669E-6</v>
      </c>
      <c r="G34" s="24">
        <f t="shared" si="2"/>
        <v>578.35229504119104</v>
      </c>
      <c r="H34" s="23">
        <f t="shared" si="3"/>
        <v>4709.3522950411907</v>
      </c>
    </row>
    <row r="35" spans="1:8" x14ac:dyDescent="0.2">
      <c r="A35">
        <v>2023</v>
      </c>
      <c r="B35" s="3" t="str">
        <f t="shared" si="0"/>
        <v>5671</v>
      </c>
      <c r="C35" s="10" t="s">
        <v>42</v>
      </c>
      <c r="D35" s="11">
        <v>29501</v>
      </c>
      <c r="E35" s="11">
        <v>29501</v>
      </c>
      <c r="F35" s="12">
        <f t="shared" si="1"/>
        <v>5.9473725488455211E-5</v>
      </c>
      <c r="G35" s="24">
        <f t="shared" si="2"/>
        <v>4130.2278034398878</v>
      </c>
      <c r="H35" s="23">
        <f t="shared" si="3"/>
        <v>33631.227803439891</v>
      </c>
    </row>
    <row r="36" spans="1:8" x14ac:dyDescent="0.2">
      <c r="A36">
        <v>2023</v>
      </c>
      <c r="B36" s="3" t="str">
        <f t="shared" si="0"/>
        <v>5682</v>
      </c>
      <c r="C36" s="10" t="s">
        <v>43</v>
      </c>
      <c r="D36" s="10"/>
      <c r="E36" s="10"/>
      <c r="F36" s="12">
        <f t="shared" si="1"/>
        <v>0</v>
      </c>
      <c r="G36" s="24">
        <f t="shared" si="2"/>
        <v>0</v>
      </c>
      <c r="H36" s="23">
        <f t="shared" si="3"/>
        <v>0</v>
      </c>
    </row>
    <row r="37" spans="1:8" x14ac:dyDescent="0.2">
      <c r="A37">
        <v>2023</v>
      </c>
      <c r="B37" s="3" t="str">
        <f t="shared" si="0"/>
        <v>5688</v>
      </c>
      <c r="C37" s="10" t="s">
        <v>44</v>
      </c>
      <c r="D37" s="11">
        <v>13639</v>
      </c>
      <c r="E37" s="11">
        <v>13639</v>
      </c>
      <c r="F37" s="12">
        <f t="shared" si="1"/>
        <v>2.7496089689740707E-5</v>
      </c>
      <c r="G37" s="24">
        <f t="shared" si="2"/>
        <v>1909.5005935770525</v>
      </c>
      <c r="H37" s="23">
        <f t="shared" si="3"/>
        <v>15548.500593577053</v>
      </c>
    </row>
    <row r="38" spans="1:8" x14ac:dyDescent="0.2">
      <c r="A38">
        <v>2023</v>
      </c>
      <c r="B38" s="3" t="str">
        <f t="shared" si="0"/>
        <v>9034</v>
      </c>
      <c r="C38" s="10" t="s">
        <v>45</v>
      </c>
      <c r="D38" s="11">
        <v>73201</v>
      </c>
      <c r="E38" s="11">
        <v>73201</v>
      </c>
      <c r="F38" s="12">
        <f t="shared" si="1"/>
        <v>1.4757249515204263E-4</v>
      </c>
      <c r="G38" s="24">
        <f t="shared" si="2"/>
        <v>10248.357867177492</v>
      </c>
      <c r="H38" s="23">
        <f t="shared" si="3"/>
        <v>83449.357867177489</v>
      </c>
    </row>
    <row r="39" spans="1:8" x14ac:dyDescent="0.2">
      <c r="A39">
        <v>2023</v>
      </c>
      <c r="B39" s="3" t="str">
        <f t="shared" si="0"/>
        <v>9042</v>
      </c>
      <c r="C39" s="10" t="s">
        <v>46</v>
      </c>
      <c r="D39" s="10">
        <v>748</v>
      </c>
      <c r="E39" s="10">
        <v>748</v>
      </c>
      <c r="F39" s="12">
        <f t="shared" si="1"/>
        <v>1.5079606340586589E-6</v>
      </c>
      <c r="G39" s="24">
        <f t="shared" si="2"/>
        <v>104.72222626260248</v>
      </c>
      <c r="H39" s="23">
        <f t="shared" si="3"/>
        <v>852.72222626260248</v>
      </c>
    </row>
    <row r="40" spans="1:8" x14ac:dyDescent="0.2">
      <c r="A40">
        <v>2023</v>
      </c>
      <c r="B40" s="3" t="str">
        <f t="shared" si="0"/>
        <v>9047</v>
      </c>
      <c r="C40" s="10" t="s">
        <v>47</v>
      </c>
      <c r="D40" s="11">
        <v>7144</v>
      </c>
      <c r="E40" s="11">
        <v>7144</v>
      </c>
      <c r="F40" s="12">
        <f t="shared" si="1"/>
        <v>1.4402233649351684E-5</v>
      </c>
      <c r="G40" s="24">
        <f t="shared" si="2"/>
        <v>1000.1812625936259</v>
      </c>
      <c r="H40" s="23">
        <f t="shared" si="3"/>
        <v>8144.1812625936254</v>
      </c>
    </row>
    <row r="41" spans="1:8" x14ac:dyDescent="0.2">
      <c r="A41">
        <v>2023</v>
      </c>
      <c r="B41" s="3" t="str">
        <f t="shared" si="0"/>
        <v>9053</v>
      </c>
      <c r="C41" s="10" t="s">
        <v>48</v>
      </c>
      <c r="D41" s="10"/>
      <c r="E41" s="10"/>
      <c r="F41" s="12">
        <f t="shared" si="1"/>
        <v>0</v>
      </c>
      <c r="G41" s="24">
        <f t="shared" si="2"/>
        <v>0</v>
      </c>
      <c r="H41" s="23">
        <f t="shared" si="3"/>
        <v>0</v>
      </c>
    </row>
    <row r="42" spans="1:8" x14ac:dyDescent="0.2">
      <c r="A42">
        <v>2023</v>
      </c>
      <c r="B42" s="3" t="str">
        <f t="shared" si="0"/>
        <v>9055</v>
      </c>
      <c r="C42" s="10" t="s">
        <v>49</v>
      </c>
      <c r="D42" s="11">
        <v>92824</v>
      </c>
      <c r="E42" s="11">
        <v>92824</v>
      </c>
      <c r="F42" s="12">
        <f t="shared" si="1"/>
        <v>1.8713226991425263E-4</v>
      </c>
      <c r="G42" s="24">
        <f t="shared" si="2"/>
        <v>12995.636270855366</v>
      </c>
      <c r="H42" s="23">
        <f t="shared" si="3"/>
        <v>105819.63627085536</v>
      </c>
    </row>
    <row r="43" spans="1:8" x14ac:dyDescent="0.2">
      <c r="A43">
        <v>2023</v>
      </c>
      <c r="B43" s="3" t="str">
        <f t="shared" si="0"/>
        <v>9056</v>
      </c>
      <c r="C43" s="10" t="s">
        <v>50</v>
      </c>
      <c r="D43" s="11">
        <v>14218</v>
      </c>
      <c r="E43" s="11">
        <v>14218</v>
      </c>
      <c r="F43" s="12">
        <f t="shared" si="1"/>
        <v>2.8663347988029431E-5</v>
      </c>
      <c r="G43" s="24">
        <f t="shared" si="2"/>
        <v>1990.5623168471686</v>
      </c>
      <c r="H43" s="23">
        <f t="shared" si="3"/>
        <v>16208.562316847168</v>
      </c>
    </row>
    <row r="44" spans="1:8" x14ac:dyDescent="0.2">
      <c r="A44">
        <v>2023</v>
      </c>
      <c r="B44" s="3" t="str">
        <f t="shared" si="0"/>
        <v>9273</v>
      </c>
      <c r="C44" s="10" t="s">
        <v>51</v>
      </c>
      <c r="D44" s="11">
        <v>5551</v>
      </c>
      <c r="E44" s="11">
        <v>5551</v>
      </c>
      <c r="F44" s="12">
        <f t="shared" si="1"/>
        <v>1.1190761336443336E-5</v>
      </c>
      <c r="G44" s="24">
        <f t="shared" si="2"/>
        <v>777.15652136859137</v>
      </c>
      <c r="H44" s="23">
        <f t="shared" si="3"/>
        <v>6328.1565213685917</v>
      </c>
    </row>
    <row r="45" spans="1:8" x14ac:dyDescent="0.2">
      <c r="A45">
        <v>2023</v>
      </c>
      <c r="B45" s="3" t="str">
        <f t="shared" si="0"/>
        <v>9274</v>
      </c>
      <c r="C45" s="10" t="s">
        <v>52</v>
      </c>
      <c r="D45" s="11">
        <v>50617</v>
      </c>
      <c r="E45" s="11">
        <v>50617</v>
      </c>
      <c r="F45" s="12">
        <f t="shared" si="1"/>
        <v>1.0204337354832506E-4</v>
      </c>
      <c r="G45" s="24">
        <f t="shared" si="2"/>
        <v>7086.530650714104</v>
      </c>
      <c r="H45" s="23">
        <f t="shared" si="3"/>
        <v>57703.530650714107</v>
      </c>
    </row>
    <row r="46" spans="1:8" x14ac:dyDescent="0.2">
      <c r="A46">
        <v>2023</v>
      </c>
      <c r="B46" s="3" t="str">
        <f t="shared" si="0"/>
        <v>9303</v>
      </c>
      <c r="C46" s="10" t="s">
        <v>53</v>
      </c>
      <c r="D46" s="11">
        <v>10196</v>
      </c>
      <c r="E46" s="11">
        <v>10196</v>
      </c>
      <c r="F46" s="12">
        <f t="shared" si="1"/>
        <v>2.055503559473541E-5</v>
      </c>
      <c r="G46" s="24">
        <f t="shared" si="2"/>
        <v>1427.4703462212499</v>
      </c>
      <c r="H46" s="23">
        <f t="shared" si="3"/>
        <v>11623.470346221249</v>
      </c>
    </row>
    <row r="47" spans="1:8" x14ac:dyDescent="0.2">
      <c r="A47">
        <v>2023</v>
      </c>
      <c r="B47" s="3" t="str">
        <f t="shared" si="0"/>
        <v>9304</v>
      </c>
      <c r="C47" s="10" t="s">
        <v>54</v>
      </c>
      <c r="D47" s="10"/>
      <c r="E47" s="10"/>
      <c r="F47" s="12">
        <f t="shared" si="1"/>
        <v>0</v>
      </c>
      <c r="G47" s="24">
        <f t="shared" si="2"/>
        <v>0</v>
      </c>
      <c r="H47" s="23">
        <f t="shared" si="3"/>
        <v>0</v>
      </c>
    </row>
    <row r="48" spans="1:8" x14ac:dyDescent="0.2">
      <c r="A48">
        <v>2023</v>
      </c>
      <c r="B48" s="3" t="str">
        <f t="shared" si="0"/>
        <v>9305</v>
      </c>
      <c r="C48" s="10" t="s">
        <v>55</v>
      </c>
      <c r="D48" s="11">
        <v>28012</v>
      </c>
      <c r="E48" s="11">
        <v>28012</v>
      </c>
      <c r="F48" s="12">
        <f t="shared" si="1"/>
        <v>5.647191615140529E-5</v>
      </c>
      <c r="G48" s="24">
        <f t="shared" si="2"/>
        <v>3921.763371748691</v>
      </c>
      <c r="H48" s="23">
        <f t="shared" si="3"/>
        <v>31933.76337174869</v>
      </c>
    </row>
    <row r="49" spans="1:8" x14ac:dyDescent="0.2">
      <c r="A49">
        <v>2023</v>
      </c>
      <c r="B49" s="3" t="str">
        <f t="shared" si="0"/>
        <v>9395</v>
      </c>
      <c r="C49" s="10" t="s">
        <v>56</v>
      </c>
      <c r="D49" s="10"/>
      <c r="E49" s="10"/>
      <c r="F49" s="12">
        <f t="shared" si="1"/>
        <v>0</v>
      </c>
      <c r="G49" s="24">
        <f t="shared" si="2"/>
        <v>0</v>
      </c>
      <c r="H49" s="23">
        <f t="shared" si="3"/>
        <v>0</v>
      </c>
    </row>
    <row r="50" spans="1:8" x14ac:dyDescent="0.2">
      <c r="A50">
        <v>2023</v>
      </c>
      <c r="B50" s="3" t="str">
        <f t="shared" si="0"/>
        <v>9487</v>
      </c>
      <c r="C50" s="10" t="s">
        <v>57</v>
      </c>
      <c r="D50" s="11">
        <v>5474</v>
      </c>
      <c r="E50" s="11">
        <v>5474</v>
      </c>
      <c r="F50" s="12">
        <f t="shared" si="1"/>
        <v>1.1035530094702004E-5</v>
      </c>
      <c r="G50" s="24">
        <f t="shared" si="2"/>
        <v>766.37629219450002</v>
      </c>
      <c r="H50" s="23">
        <f t="shared" si="3"/>
        <v>6240.3762921944999</v>
      </c>
    </row>
    <row r="51" spans="1:8" x14ac:dyDescent="0.2">
      <c r="A51">
        <v>2023</v>
      </c>
      <c r="B51" s="3" t="str">
        <f t="shared" si="0"/>
        <v>9507</v>
      </c>
      <c r="C51" s="10" t="s">
        <v>58</v>
      </c>
      <c r="D51" s="11">
        <v>84264</v>
      </c>
      <c r="E51" s="11">
        <v>84264</v>
      </c>
      <c r="F51" s="12">
        <f t="shared" si="1"/>
        <v>1.698753942089824E-4</v>
      </c>
      <c r="G51" s="24">
        <f t="shared" si="2"/>
        <v>11797.210793839486</v>
      </c>
      <c r="H51" s="23">
        <f t="shared" si="3"/>
        <v>96061.210793839491</v>
      </c>
    </row>
    <row r="52" spans="1:8" x14ac:dyDescent="0.2">
      <c r="A52">
        <v>2023</v>
      </c>
      <c r="B52" s="3" t="str">
        <f t="shared" si="0"/>
        <v>4828</v>
      </c>
      <c r="C52" s="10" t="s">
        <v>59</v>
      </c>
      <c r="D52" s="11">
        <v>4053735</v>
      </c>
      <c r="E52" s="11">
        <v>4053735</v>
      </c>
      <c r="F52" s="12">
        <f t="shared" si="1"/>
        <v>8.1722898407831264E-3</v>
      </c>
      <c r="G52" s="24">
        <f t="shared" si="2"/>
        <v>567534.96507838357</v>
      </c>
      <c r="H52" s="23">
        <f t="shared" si="3"/>
        <v>4621269.9650783837</v>
      </c>
    </row>
    <row r="53" spans="1:8" x14ac:dyDescent="0.2">
      <c r="A53">
        <v>2023</v>
      </c>
      <c r="B53" s="3" t="str">
        <f t="shared" si="0"/>
        <v>4829</v>
      </c>
      <c r="C53" s="10" t="s">
        <v>60</v>
      </c>
      <c r="D53" s="11">
        <v>2246981</v>
      </c>
      <c r="E53" s="11">
        <v>2246981</v>
      </c>
      <c r="F53" s="12">
        <f t="shared" si="1"/>
        <v>4.5298915688205344E-3</v>
      </c>
      <c r="G53" s="24">
        <f t="shared" si="2"/>
        <v>314584.02766011871</v>
      </c>
      <c r="H53" s="23">
        <f t="shared" si="3"/>
        <v>2561565.0276601189</v>
      </c>
    </row>
    <row r="54" spans="1:8" x14ac:dyDescent="0.2">
      <c r="A54">
        <v>2023</v>
      </c>
      <c r="B54" s="3" t="str">
        <f t="shared" si="0"/>
        <v>4871</v>
      </c>
      <c r="C54" s="10" t="s">
        <v>61</v>
      </c>
      <c r="D54" s="11">
        <v>528579</v>
      </c>
      <c r="E54" s="11">
        <v>528579</v>
      </c>
      <c r="F54" s="12">
        <f t="shared" si="1"/>
        <v>1.0656100588102833E-3</v>
      </c>
      <c r="G54" s="24">
        <f t="shared" si="2"/>
        <v>74002.633202754223</v>
      </c>
      <c r="H54" s="23">
        <f t="shared" si="3"/>
        <v>602581.63320275419</v>
      </c>
    </row>
    <row r="55" spans="1:8" x14ac:dyDescent="0.2">
      <c r="A55">
        <v>2023</v>
      </c>
      <c r="B55" s="3" t="str">
        <f t="shared" si="0"/>
        <v>4882</v>
      </c>
      <c r="C55" s="10" t="s">
        <v>62</v>
      </c>
      <c r="D55" s="11">
        <v>2819319</v>
      </c>
      <c r="E55" s="11">
        <v>2819319</v>
      </c>
      <c r="F55" s="12">
        <f t="shared" si="1"/>
        <v>5.6837193407134013E-3</v>
      </c>
      <c r="G55" s="24">
        <f t="shared" si="2"/>
        <v>394713.05110221147</v>
      </c>
      <c r="H55" s="23">
        <f t="shared" si="3"/>
        <v>3214032.0511022117</v>
      </c>
    </row>
    <row r="56" spans="1:8" x14ac:dyDescent="0.2">
      <c r="A56">
        <v>2023</v>
      </c>
      <c r="B56" s="3" t="str">
        <f t="shared" si="0"/>
        <v>4912</v>
      </c>
      <c r="C56" s="10" t="s">
        <v>63</v>
      </c>
      <c r="D56" s="11">
        <v>485997</v>
      </c>
      <c r="E56" s="11">
        <v>485997</v>
      </c>
      <c r="F56" s="12">
        <f t="shared" si="1"/>
        <v>9.7976516613717396E-4</v>
      </c>
      <c r="G56" s="24">
        <f t="shared" si="2"/>
        <v>68041.026466505384</v>
      </c>
      <c r="H56" s="23">
        <f t="shared" si="3"/>
        <v>554038.02646650537</v>
      </c>
    </row>
    <row r="57" spans="1:8" x14ac:dyDescent="0.2">
      <c r="A57">
        <v>2023</v>
      </c>
      <c r="B57" s="3" t="str">
        <f t="shared" si="0"/>
        <v>4977</v>
      </c>
      <c r="C57" s="10" t="s">
        <v>64</v>
      </c>
      <c r="D57" s="11">
        <v>203499</v>
      </c>
      <c r="E57" s="11">
        <v>203499</v>
      </c>
      <c r="F57" s="12">
        <f t="shared" si="1"/>
        <v>4.1025198004051211E-4</v>
      </c>
      <c r="G57" s="24">
        <f t="shared" si="2"/>
        <v>28490.465671408216</v>
      </c>
      <c r="H57" s="23">
        <f t="shared" si="3"/>
        <v>231989.46567140822</v>
      </c>
    </row>
    <row r="58" spans="1:8" x14ac:dyDescent="0.2">
      <c r="A58">
        <v>2023</v>
      </c>
      <c r="B58" s="3" t="str">
        <f t="shared" si="0"/>
        <v>4978</v>
      </c>
      <c r="C58" s="10" t="s">
        <v>65</v>
      </c>
      <c r="D58" s="11">
        <v>29701427</v>
      </c>
      <c r="E58" s="11">
        <v>29701427</v>
      </c>
      <c r="F58" s="12">
        <f t="shared" si="1"/>
        <v>5.9877784346747287E-2</v>
      </c>
      <c r="G58" s="24">
        <f t="shared" si="2"/>
        <v>4158288.1799681424</v>
      </c>
      <c r="H58" s="23">
        <f t="shared" si="3"/>
        <v>33859715.179968141</v>
      </c>
    </row>
    <row r="59" spans="1:8" x14ac:dyDescent="0.2">
      <c r="A59">
        <v>2023</v>
      </c>
      <c r="B59" s="3" t="str">
        <f t="shared" si="0"/>
        <v>4979</v>
      </c>
      <c r="C59" s="10" t="s">
        <v>66</v>
      </c>
      <c r="D59" s="11">
        <v>102980</v>
      </c>
      <c r="E59" s="11">
        <v>102980</v>
      </c>
      <c r="F59" s="12">
        <f t="shared" si="1"/>
        <v>2.0760666590288865E-4</v>
      </c>
      <c r="G59" s="24">
        <f t="shared" si="2"/>
        <v>14417.506498025139</v>
      </c>
      <c r="H59" s="23">
        <f t="shared" si="3"/>
        <v>117397.50649802513</v>
      </c>
    </row>
    <row r="60" spans="1:8" x14ac:dyDescent="0.2">
      <c r="A60">
        <v>2023</v>
      </c>
      <c r="B60" s="3" t="str">
        <f t="shared" si="0"/>
        <v>4980</v>
      </c>
      <c r="C60" s="10" t="s">
        <v>67</v>
      </c>
      <c r="D60" s="11">
        <v>2724769</v>
      </c>
      <c r="E60" s="11">
        <v>2724769</v>
      </c>
      <c r="F60" s="12">
        <f t="shared" si="1"/>
        <v>5.4931074717959605E-3</v>
      </c>
      <c r="G60" s="24">
        <f t="shared" si="2"/>
        <v>381475.76969428494</v>
      </c>
      <c r="H60" s="23">
        <f t="shared" si="3"/>
        <v>3106244.769694285</v>
      </c>
    </row>
    <row r="61" spans="1:8" x14ac:dyDescent="0.2">
      <c r="A61">
        <v>2023</v>
      </c>
      <c r="B61" s="3" t="str">
        <f t="shared" si="0"/>
        <v>4981</v>
      </c>
      <c r="C61" s="10" t="s">
        <v>68</v>
      </c>
      <c r="D61" s="11">
        <v>4927937</v>
      </c>
      <c r="E61" s="11">
        <v>4927937</v>
      </c>
      <c r="F61" s="12">
        <f t="shared" si="1"/>
        <v>9.9346724640656768E-3</v>
      </c>
      <c r="G61" s="24">
        <f t="shared" si="2"/>
        <v>689925.8469543457</v>
      </c>
      <c r="H61" s="23">
        <f t="shared" si="3"/>
        <v>5617862.8469543457</v>
      </c>
    </row>
    <row r="62" spans="1:8" x14ac:dyDescent="0.2">
      <c r="A62">
        <v>2023</v>
      </c>
      <c r="B62" s="3" t="str">
        <f t="shared" si="0"/>
        <v>4982</v>
      </c>
      <c r="C62" s="10" t="s">
        <v>69</v>
      </c>
      <c r="D62" s="11">
        <v>54571125</v>
      </c>
      <c r="E62" s="11">
        <v>54571125</v>
      </c>
      <c r="F62" s="12">
        <f t="shared" si="1"/>
        <v>0.11001485061001917</v>
      </c>
      <c r="G62" s="24">
        <f t="shared" si="2"/>
        <v>7640119.9193245498</v>
      </c>
      <c r="H62" s="23">
        <f t="shared" si="3"/>
        <v>62211244.919324547</v>
      </c>
    </row>
    <row r="63" spans="1:8" x14ac:dyDescent="0.2">
      <c r="A63">
        <v>2023</v>
      </c>
      <c r="B63" s="3" t="str">
        <f t="shared" si="0"/>
        <v>4983</v>
      </c>
      <c r="C63" s="10" t="s">
        <v>70</v>
      </c>
      <c r="D63" s="11">
        <v>6745803</v>
      </c>
      <c r="E63" s="11">
        <v>6745803</v>
      </c>
      <c r="F63" s="12">
        <f t="shared" si="1"/>
        <v>1.3599472418602678E-2</v>
      </c>
      <c r="G63" s="24">
        <f t="shared" si="2"/>
        <v>944432.49744511046</v>
      </c>
      <c r="H63" s="23">
        <f t="shared" si="3"/>
        <v>7690235.4974451102</v>
      </c>
    </row>
    <row r="64" spans="1:8" x14ac:dyDescent="0.2">
      <c r="A64">
        <v>2023</v>
      </c>
      <c r="B64" s="3" t="str">
        <f t="shared" si="0"/>
        <v>4984</v>
      </c>
      <c r="C64" s="10" t="s">
        <v>71</v>
      </c>
      <c r="D64" s="11">
        <v>3299848</v>
      </c>
      <c r="E64" s="11">
        <v>3299848</v>
      </c>
      <c r="F64" s="12">
        <f t="shared" si="1"/>
        <v>6.652461072696788E-3</v>
      </c>
      <c r="G64" s="24">
        <f t="shared" si="2"/>
        <v>461988.54129438003</v>
      </c>
      <c r="H64" s="23">
        <f t="shared" si="3"/>
        <v>3761836.5412943801</v>
      </c>
    </row>
    <row r="65" spans="1:8" x14ac:dyDescent="0.2">
      <c r="A65">
        <v>2023</v>
      </c>
      <c r="B65" s="3" t="str">
        <f t="shared" si="0"/>
        <v>4985</v>
      </c>
      <c r="C65" s="10" t="s">
        <v>72</v>
      </c>
      <c r="D65" s="11">
        <v>6771271</v>
      </c>
      <c r="E65" s="11">
        <v>6771271</v>
      </c>
      <c r="F65" s="12">
        <f t="shared" si="1"/>
        <v>1.3650815655806163E-2</v>
      </c>
      <c r="G65" s="24">
        <f t="shared" si="2"/>
        <v>947998.09324518533</v>
      </c>
      <c r="H65" s="23">
        <f t="shared" si="3"/>
        <v>7719269.093245185</v>
      </c>
    </row>
    <row r="66" spans="1:8" x14ac:dyDescent="0.2">
      <c r="A66">
        <v>2023</v>
      </c>
      <c r="B66" s="3" t="str">
        <f t="shared" si="0"/>
        <v>4986</v>
      </c>
      <c r="C66" s="10" t="s">
        <v>73</v>
      </c>
      <c r="D66" s="11">
        <v>8791813</v>
      </c>
      <c r="E66" s="11">
        <v>8791813</v>
      </c>
      <c r="F66" s="12">
        <f t="shared" si="1"/>
        <v>1.7724208430488182E-2</v>
      </c>
      <c r="G66" s="24">
        <f t="shared" si="2"/>
        <v>1230879.9869578741</v>
      </c>
      <c r="H66" s="23">
        <f t="shared" si="3"/>
        <v>10022692.986957874</v>
      </c>
    </row>
    <row r="67" spans="1:8" x14ac:dyDescent="0.2">
      <c r="A67">
        <v>2023</v>
      </c>
      <c r="B67" s="3" t="str">
        <f t="shared" ref="B67:B130" si="4">LEFT(C67,4)</f>
        <v>4987</v>
      </c>
      <c r="C67" s="10" t="s">
        <v>74</v>
      </c>
      <c r="D67" s="11">
        <v>709889</v>
      </c>
      <c r="E67" s="11">
        <v>709889</v>
      </c>
      <c r="F67" s="12">
        <f t="shared" ref="F67:F130" si="5">D67/$D$340</f>
        <v>1.4311292333573093E-3</v>
      </c>
      <c r="G67" s="24">
        <f t="shared" ref="G67:G130" si="6">F67*$D$341</f>
        <v>99386.572833332379</v>
      </c>
      <c r="H67" s="23">
        <f t="shared" ref="H67:H130" si="7">SUM(G67,D67)</f>
        <v>809275.57283333235</v>
      </c>
    </row>
    <row r="68" spans="1:8" x14ac:dyDescent="0.2">
      <c r="A68">
        <v>2023</v>
      </c>
      <c r="B68" s="3" t="str">
        <f t="shared" si="4"/>
        <v>4988</v>
      </c>
      <c r="C68" s="10" t="s">
        <v>75</v>
      </c>
      <c r="D68" s="11">
        <v>2535874</v>
      </c>
      <c r="E68" s="11">
        <v>2535874</v>
      </c>
      <c r="F68" s="12">
        <f t="shared" si="5"/>
        <v>5.1122970119423369E-3</v>
      </c>
      <c r="G68" s="24">
        <f t="shared" si="6"/>
        <v>355029.90748857061</v>
      </c>
      <c r="H68" s="23">
        <f t="shared" si="7"/>
        <v>2890903.9074885705</v>
      </c>
    </row>
    <row r="69" spans="1:8" x14ac:dyDescent="0.2">
      <c r="A69">
        <v>2023</v>
      </c>
      <c r="B69" s="3" t="str">
        <f t="shared" si="4"/>
        <v>4990</v>
      </c>
      <c r="C69" s="10" t="s">
        <v>76</v>
      </c>
      <c r="D69" s="11">
        <v>167394</v>
      </c>
      <c r="E69" s="11">
        <v>167394</v>
      </c>
      <c r="F69" s="12">
        <f t="shared" si="5"/>
        <v>3.3746465558504702E-4</v>
      </c>
      <c r="G69" s="24">
        <f t="shared" si="6"/>
        <v>23435.658212569626</v>
      </c>
      <c r="H69" s="23">
        <f t="shared" si="7"/>
        <v>190829.65821256963</v>
      </c>
    </row>
    <row r="70" spans="1:8" x14ac:dyDescent="0.2">
      <c r="A70">
        <v>2023</v>
      </c>
      <c r="B70" s="3" t="str">
        <f t="shared" si="4"/>
        <v>4991</v>
      </c>
      <c r="C70" s="10" t="s">
        <v>77</v>
      </c>
      <c r="D70" s="11">
        <v>1025018</v>
      </c>
      <c r="E70" s="11">
        <v>1025018</v>
      </c>
      <c r="F70" s="12">
        <f t="shared" si="5"/>
        <v>2.0664261941197039E-3</v>
      </c>
      <c r="G70" s="24">
        <f t="shared" si="6"/>
        <v>143505.57074764743</v>
      </c>
      <c r="H70" s="23">
        <f t="shared" si="7"/>
        <v>1168523.5707476474</v>
      </c>
    </row>
    <row r="71" spans="1:8" x14ac:dyDescent="0.2">
      <c r="A71">
        <v>2023</v>
      </c>
      <c r="B71" s="3" t="str">
        <f t="shared" si="4"/>
        <v>4992</v>
      </c>
      <c r="C71" s="10" t="s">
        <v>78</v>
      </c>
      <c r="D71" s="11">
        <v>325715</v>
      </c>
      <c r="E71" s="11">
        <v>325715</v>
      </c>
      <c r="F71" s="12">
        <f t="shared" si="5"/>
        <v>6.5663823251659904E-4</v>
      </c>
      <c r="G71" s="24">
        <f t="shared" si="6"/>
        <v>45601.069421288194</v>
      </c>
      <c r="H71" s="23">
        <f t="shared" si="7"/>
        <v>371316.06942128821</v>
      </c>
    </row>
    <row r="72" spans="1:8" x14ac:dyDescent="0.2">
      <c r="A72">
        <v>2023</v>
      </c>
      <c r="B72" s="3" t="str">
        <f t="shared" si="4"/>
        <v>4993</v>
      </c>
      <c r="C72" s="10" t="s">
        <v>79</v>
      </c>
      <c r="D72" s="11">
        <v>794621</v>
      </c>
      <c r="E72" s="11">
        <v>794621</v>
      </c>
      <c r="F72" s="12">
        <f t="shared" si="5"/>
        <v>1.6019481109576547E-3</v>
      </c>
      <c r="G72" s="24">
        <f t="shared" si="6"/>
        <v>111249.30502007414</v>
      </c>
      <c r="H72" s="23">
        <f t="shared" si="7"/>
        <v>905870.30502007413</v>
      </c>
    </row>
    <row r="73" spans="1:8" x14ac:dyDescent="0.2">
      <c r="A73">
        <v>2023</v>
      </c>
      <c r="B73" s="3" t="str">
        <f t="shared" si="4"/>
        <v>4994</v>
      </c>
      <c r="C73" s="10" t="s">
        <v>80</v>
      </c>
      <c r="D73" s="11">
        <v>198467</v>
      </c>
      <c r="E73" s="11">
        <v>198467</v>
      </c>
      <c r="F73" s="12">
        <f t="shared" si="5"/>
        <v>4.0010751759320839E-4</v>
      </c>
      <c r="G73" s="24">
        <f t="shared" si="6"/>
        <v>27785.970694732525</v>
      </c>
      <c r="H73" s="23">
        <f t="shared" si="7"/>
        <v>226252.97069473253</v>
      </c>
    </row>
    <row r="74" spans="1:8" x14ac:dyDescent="0.2">
      <c r="A74">
        <v>2023</v>
      </c>
      <c r="B74" s="3" t="str">
        <f t="shared" si="4"/>
        <v>4995</v>
      </c>
      <c r="C74" s="10" t="s">
        <v>81</v>
      </c>
      <c r="D74" s="11">
        <v>945490</v>
      </c>
      <c r="E74" s="11">
        <v>945490</v>
      </c>
      <c r="F74" s="12">
        <f t="shared" si="5"/>
        <v>1.9060985292728896E-3</v>
      </c>
      <c r="G74" s="24">
        <f t="shared" si="6"/>
        <v>132371.41404950269</v>
      </c>
      <c r="H74" s="23">
        <f t="shared" si="7"/>
        <v>1077861.4140495027</v>
      </c>
    </row>
    <row r="75" spans="1:8" x14ac:dyDescent="0.2">
      <c r="A75">
        <v>2023</v>
      </c>
      <c r="B75" s="3" t="str">
        <f t="shared" si="4"/>
        <v>4996</v>
      </c>
      <c r="C75" s="10" t="s">
        <v>82</v>
      </c>
      <c r="D75" s="11">
        <v>249704</v>
      </c>
      <c r="E75" s="11">
        <v>249704</v>
      </c>
      <c r="F75" s="12">
        <f t="shared" si="5"/>
        <v>5.0340080503607403E-4</v>
      </c>
      <c r="G75" s="24">
        <f t="shared" si="6"/>
        <v>34959.303190744504</v>
      </c>
      <c r="H75" s="23">
        <f t="shared" si="7"/>
        <v>284663.30319074448</v>
      </c>
    </row>
    <row r="76" spans="1:8" x14ac:dyDescent="0.2">
      <c r="A76">
        <v>2023</v>
      </c>
      <c r="B76" s="3" t="str">
        <f t="shared" si="4"/>
        <v>4997</v>
      </c>
      <c r="C76" s="10" t="s">
        <v>83</v>
      </c>
      <c r="D76" s="11">
        <v>3694115</v>
      </c>
      <c r="E76" s="11">
        <v>3694115</v>
      </c>
      <c r="F76" s="12">
        <f t="shared" si="5"/>
        <v>7.4472994621465278E-3</v>
      </c>
      <c r="G76" s="24">
        <f t="shared" si="6"/>
        <v>517187.09474608791</v>
      </c>
      <c r="H76" s="23">
        <f t="shared" si="7"/>
        <v>4211302.0947460877</v>
      </c>
    </row>
    <row r="77" spans="1:8" x14ac:dyDescent="0.2">
      <c r="A77">
        <v>2023</v>
      </c>
      <c r="B77" s="3" t="str">
        <f t="shared" si="4"/>
        <v>4998</v>
      </c>
      <c r="C77" s="10" t="s">
        <v>84</v>
      </c>
      <c r="D77" s="11">
        <v>435858</v>
      </c>
      <c r="E77" s="11">
        <v>435858</v>
      </c>
      <c r="F77" s="12">
        <f t="shared" si="5"/>
        <v>8.7868543588173656E-4</v>
      </c>
      <c r="G77" s="24">
        <f t="shared" si="6"/>
        <v>61021.417238456408</v>
      </c>
      <c r="H77" s="23">
        <f t="shared" si="7"/>
        <v>496879.41723845643</v>
      </c>
    </row>
    <row r="78" spans="1:8" x14ac:dyDescent="0.2">
      <c r="A78">
        <v>2023</v>
      </c>
      <c r="B78" s="3" t="str">
        <f t="shared" si="4"/>
        <v>4999</v>
      </c>
      <c r="C78" s="10" t="s">
        <v>85</v>
      </c>
      <c r="D78" s="11">
        <v>7512087</v>
      </c>
      <c r="E78" s="11">
        <v>7512087</v>
      </c>
      <c r="F78" s="12">
        <f t="shared" si="5"/>
        <v>1.514429341660937E-2</v>
      </c>
      <c r="G78" s="24">
        <f t="shared" si="6"/>
        <v>1051714.5381261427</v>
      </c>
      <c r="H78" s="23">
        <f t="shared" si="7"/>
        <v>8563801.5381261427</v>
      </c>
    </row>
    <row r="79" spans="1:8" x14ac:dyDescent="0.2">
      <c r="A79">
        <v>2023</v>
      </c>
      <c r="B79" s="3" t="str">
        <f t="shared" si="4"/>
        <v>5000</v>
      </c>
      <c r="C79" s="10" t="s">
        <v>86</v>
      </c>
      <c r="D79" s="11">
        <v>4519903</v>
      </c>
      <c r="E79" s="11">
        <v>4519903</v>
      </c>
      <c r="F79" s="12">
        <f t="shared" si="5"/>
        <v>9.112079938186678E-3</v>
      </c>
      <c r="G79" s="24">
        <f t="shared" si="6"/>
        <v>632799.87252809596</v>
      </c>
      <c r="H79" s="23">
        <f t="shared" si="7"/>
        <v>5152702.8725280957</v>
      </c>
    </row>
    <row r="80" spans="1:8" x14ac:dyDescent="0.2">
      <c r="A80">
        <v>2023</v>
      </c>
      <c r="B80" s="3" t="str">
        <f t="shared" si="4"/>
        <v>5001</v>
      </c>
      <c r="C80" s="10" t="s">
        <v>87</v>
      </c>
      <c r="D80" s="11">
        <v>264831</v>
      </c>
      <c r="E80" s="11">
        <v>264831</v>
      </c>
      <c r="F80" s="12">
        <f t="shared" si="5"/>
        <v>5.3389668807271216E-4</v>
      </c>
      <c r="G80" s="24">
        <f t="shared" si="6"/>
        <v>37077.128213036471</v>
      </c>
      <c r="H80" s="23">
        <f t="shared" si="7"/>
        <v>301908.12821303646</v>
      </c>
    </row>
    <row r="81" spans="1:8" x14ac:dyDescent="0.2">
      <c r="A81">
        <v>2023</v>
      </c>
      <c r="B81" s="3" t="str">
        <f t="shared" si="4"/>
        <v>5002</v>
      </c>
      <c r="C81" s="10" t="s">
        <v>88</v>
      </c>
      <c r="D81" s="11">
        <v>106164</v>
      </c>
      <c r="E81" s="11">
        <v>106164</v>
      </c>
      <c r="F81" s="12">
        <f t="shared" si="5"/>
        <v>2.1402557854840036E-4</v>
      </c>
      <c r="G81" s="24">
        <f t="shared" si="6"/>
        <v>14863.275974522634</v>
      </c>
      <c r="H81" s="23">
        <f t="shared" si="7"/>
        <v>121027.27597452264</v>
      </c>
    </row>
    <row r="82" spans="1:8" x14ac:dyDescent="0.2">
      <c r="A82">
        <v>2023</v>
      </c>
      <c r="B82" s="3" t="str">
        <f t="shared" si="4"/>
        <v>5004</v>
      </c>
      <c r="C82" s="10" t="s">
        <v>89</v>
      </c>
      <c r="D82" s="11">
        <v>1407230</v>
      </c>
      <c r="E82" s="11">
        <v>1407230</v>
      </c>
      <c r="F82" s="12">
        <f t="shared" si="5"/>
        <v>2.836961822281239E-3</v>
      </c>
      <c r="G82" s="24">
        <f t="shared" si="6"/>
        <v>197016.38832021671</v>
      </c>
      <c r="H82" s="23">
        <f t="shared" si="7"/>
        <v>1604246.3883202167</v>
      </c>
    </row>
    <row r="83" spans="1:8" x14ac:dyDescent="0.2">
      <c r="A83">
        <v>2023</v>
      </c>
      <c r="B83" s="3" t="str">
        <f t="shared" si="4"/>
        <v>5005</v>
      </c>
      <c r="C83" s="10" t="s">
        <v>90</v>
      </c>
      <c r="D83" s="11">
        <v>618952</v>
      </c>
      <c r="E83" s="11">
        <v>618952</v>
      </c>
      <c r="F83" s="12">
        <f t="shared" si="5"/>
        <v>1.2478011368607955E-3</v>
      </c>
      <c r="G83" s="24">
        <f t="shared" si="6"/>
        <v>86655.12217873038</v>
      </c>
      <c r="H83" s="23">
        <f t="shared" si="7"/>
        <v>705607.12217873032</v>
      </c>
    </row>
    <row r="84" spans="1:8" x14ac:dyDescent="0.2">
      <c r="A84">
        <v>2023</v>
      </c>
      <c r="B84" s="3" t="str">
        <f t="shared" si="4"/>
        <v>5006</v>
      </c>
      <c r="C84" s="10" t="s">
        <v>91</v>
      </c>
      <c r="D84" s="11">
        <v>230834</v>
      </c>
      <c r="E84" s="11">
        <v>230834</v>
      </c>
      <c r="F84" s="12">
        <f t="shared" si="5"/>
        <v>4.6535907085868512E-4</v>
      </c>
      <c r="G84" s="24">
        <f t="shared" si="6"/>
        <v>32317.44702821067</v>
      </c>
      <c r="H84" s="23">
        <f t="shared" si="7"/>
        <v>263151.44702821068</v>
      </c>
    </row>
    <row r="85" spans="1:8" x14ac:dyDescent="0.2">
      <c r="A85">
        <v>2023</v>
      </c>
      <c r="B85" s="3" t="str">
        <f t="shared" si="4"/>
        <v>5008</v>
      </c>
      <c r="C85" s="10" t="s">
        <v>92</v>
      </c>
      <c r="D85" s="11">
        <v>706292</v>
      </c>
      <c r="E85" s="11">
        <v>706292</v>
      </c>
      <c r="F85" s="12">
        <f t="shared" si="5"/>
        <v>1.4238777167788212E-3</v>
      </c>
      <c r="G85" s="24">
        <f t="shared" si="6"/>
        <v>98882.982127628376</v>
      </c>
      <c r="H85" s="23">
        <f t="shared" si="7"/>
        <v>805174.98212762841</v>
      </c>
    </row>
    <row r="86" spans="1:8" x14ac:dyDescent="0.2">
      <c r="A86">
        <v>2023</v>
      </c>
      <c r="B86" s="3" t="str">
        <f t="shared" si="4"/>
        <v>5010</v>
      </c>
      <c r="C86" s="10" t="s">
        <v>93</v>
      </c>
      <c r="D86" s="11">
        <v>1646501</v>
      </c>
      <c r="E86" s="11">
        <v>1646501</v>
      </c>
      <c r="F86" s="12">
        <f t="shared" si="5"/>
        <v>3.3193298020564384E-3</v>
      </c>
      <c r="G86" s="24">
        <f t="shared" si="6"/>
        <v>230515.04045935997</v>
      </c>
      <c r="H86" s="23">
        <f t="shared" si="7"/>
        <v>1877016.04045936</v>
      </c>
    </row>
    <row r="87" spans="1:8" x14ac:dyDescent="0.2">
      <c r="A87">
        <v>2023</v>
      </c>
      <c r="B87" s="3" t="str">
        <f t="shared" si="4"/>
        <v>5011</v>
      </c>
      <c r="C87" s="10" t="s">
        <v>94</v>
      </c>
      <c r="D87" s="11">
        <v>612739</v>
      </c>
      <c r="E87" s="11">
        <v>612739</v>
      </c>
      <c r="F87" s="12">
        <f t="shared" si="5"/>
        <v>1.2352757900434073E-3</v>
      </c>
      <c r="G87" s="24">
        <f t="shared" si="6"/>
        <v>85785.283687059869</v>
      </c>
      <c r="H87" s="23">
        <f t="shared" si="7"/>
        <v>698524.28368705988</v>
      </c>
    </row>
    <row r="88" spans="1:8" x14ac:dyDescent="0.2">
      <c r="A88">
        <v>2023</v>
      </c>
      <c r="B88" s="3" t="str">
        <f t="shared" si="4"/>
        <v>5012</v>
      </c>
      <c r="C88" s="10" t="s">
        <v>95</v>
      </c>
      <c r="D88" s="11">
        <v>401009</v>
      </c>
      <c r="E88" s="11">
        <v>401009</v>
      </c>
      <c r="F88" s="12">
        <f t="shared" si="5"/>
        <v>8.0843019505779247E-4</v>
      </c>
      <c r="G88" s="24">
        <f t="shared" si="6"/>
        <v>56142.453517834168</v>
      </c>
      <c r="H88" s="23">
        <f t="shared" si="7"/>
        <v>457151.45351783419</v>
      </c>
    </row>
    <row r="89" spans="1:8" x14ac:dyDescent="0.2">
      <c r="A89">
        <v>2023</v>
      </c>
      <c r="B89" s="3" t="str">
        <f t="shared" si="4"/>
        <v>5013</v>
      </c>
      <c r="C89" s="10" t="s">
        <v>96</v>
      </c>
      <c r="D89" s="11">
        <v>7658423</v>
      </c>
      <c r="E89" s="11">
        <v>7658423</v>
      </c>
      <c r="F89" s="12">
        <f t="shared" si="5"/>
        <v>1.5439305351563392E-2</v>
      </c>
      <c r="G89" s="24">
        <f t="shared" si="6"/>
        <v>1072202.0136640626</v>
      </c>
      <c r="H89" s="23">
        <f t="shared" si="7"/>
        <v>8730625.0136640631</v>
      </c>
    </row>
    <row r="90" spans="1:8" x14ac:dyDescent="0.2">
      <c r="A90">
        <v>2023</v>
      </c>
      <c r="B90" s="3" t="str">
        <f t="shared" si="4"/>
        <v>5014</v>
      </c>
      <c r="C90" s="10" t="s">
        <v>97</v>
      </c>
      <c r="D90" s="11">
        <v>1658615</v>
      </c>
      <c r="E90" s="11">
        <v>1658615</v>
      </c>
      <c r="F90" s="12">
        <f t="shared" si="5"/>
        <v>3.34375150676364E-3</v>
      </c>
      <c r="G90" s="24">
        <f t="shared" si="6"/>
        <v>232211.03651409951</v>
      </c>
      <c r="H90" s="23">
        <f t="shared" si="7"/>
        <v>1890826.0365140995</v>
      </c>
    </row>
    <row r="91" spans="1:8" x14ac:dyDescent="0.2">
      <c r="A91">
        <v>2023</v>
      </c>
      <c r="B91" s="3" t="str">
        <f t="shared" si="4"/>
        <v>5015</v>
      </c>
      <c r="C91" s="10" t="s">
        <v>98</v>
      </c>
      <c r="D91" s="11">
        <v>421646</v>
      </c>
      <c r="E91" s="11">
        <v>421646</v>
      </c>
      <c r="F91" s="12">
        <f t="shared" si="5"/>
        <v>8.5003418383462206E-4</v>
      </c>
      <c r="G91" s="24">
        <f t="shared" si="6"/>
        <v>59031.694939466957</v>
      </c>
      <c r="H91" s="23">
        <f t="shared" si="7"/>
        <v>480677.69493946695</v>
      </c>
    </row>
    <row r="92" spans="1:8" x14ac:dyDescent="0.2">
      <c r="A92">
        <v>2023</v>
      </c>
      <c r="B92" s="3" t="str">
        <f t="shared" si="4"/>
        <v>5016</v>
      </c>
      <c r="C92" s="10" t="s">
        <v>99</v>
      </c>
      <c r="D92" s="11">
        <v>612351</v>
      </c>
      <c r="E92" s="11">
        <v>612351</v>
      </c>
      <c r="F92" s="12">
        <f t="shared" si="5"/>
        <v>1.2344935858642431E-3</v>
      </c>
      <c r="G92" s="24">
        <f t="shared" si="6"/>
        <v>85730.962532260557</v>
      </c>
      <c r="H92" s="23">
        <f t="shared" si="7"/>
        <v>698081.96253226057</v>
      </c>
    </row>
    <row r="93" spans="1:8" x14ac:dyDescent="0.2">
      <c r="A93">
        <v>2023</v>
      </c>
      <c r="B93" s="3" t="str">
        <f t="shared" si="4"/>
        <v>5017</v>
      </c>
      <c r="C93" s="10" t="s">
        <v>100</v>
      </c>
      <c r="D93" s="11">
        <v>3653466</v>
      </c>
      <c r="E93" s="11">
        <v>3653466</v>
      </c>
      <c r="F93" s="12">
        <f t="shared" si="5"/>
        <v>7.3653514784381719E-3</v>
      </c>
      <c r="G93" s="24">
        <f t="shared" si="6"/>
        <v>511496.11376300169</v>
      </c>
      <c r="H93" s="23">
        <f t="shared" si="7"/>
        <v>4164962.1137630017</v>
      </c>
    </row>
    <row r="94" spans="1:8" x14ac:dyDescent="0.2">
      <c r="A94">
        <v>2023</v>
      </c>
      <c r="B94" s="3" t="str">
        <f t="shared" si="4"/>
        <v>5018</v>
      </c>
      <c r="C94" s="10" t="s">
        <v>101</v>
      </c>
      <c r="D94" s="11">
        <v>268447</v>
      </c>
      <c r="E94" s="11">
        <v>268447</v>
      </c>
      <c r="F94" s="12">
        <f t="shared" si="5"/>
        <v>5.4118650846409736E-4</v>
      </c>
      <c r="G94" s="24">
        <f t="shared" si="6"/>
        <v>37583.378975289903</v>
      </c>
      <c r="H94" s="23">
        <f t="shared" si="7"/>
        <v>306030.37897528987</v>
      </c>
    </row>
    <row r="95" spans="1:8" x14ac:dyDescent="0.2">
      <c r="A95">
        <v>2023</v>
      </c>
      <c r="B95" s="3" t="str">
        <f t="shared" si="4"/>
        <v>5019</v>
      </c>
      <c r="C95" s="10" t="s">
        <v>102</v>
      </c>
      <c r="D95" s="11">
        <v>2987626</v>
      </c>
      <c r="E95" s="11">
        <v>2987626</v>
      </c>
      <c r="F95" s="12">
        <f t="shared" si="5"/>
        <v>6.023024595307667E-3</v>
      </c>
      <c r="G95" s="24">
        <f t="shared" si="6"/>
        <v>418276.53203213104</v>
      </c>
      <c r="H95" s="23">
        <f t="shared" si="7"/>
        <v>3405902.5320321312</v>
      </c>
    </row>
    <row r="96" spans="1:8" x14ac:dyDescent="0.2">
      <c r="A96">
        <v>2023</v>
      </c>
      <c r="B96" s="3" t="str">
        <f t="shared" si="4"/>
        <v>5020</v>
      </c>
      <c r="C96" s="10" t="s">
        <v>103</v>
      </c>
      <c r="D96" s="11">
        <v>7784014</v>
      </c>
      <c r="E96" s="11">
        <v>7784014</v>
      </c>
      <c r="F96" s="12">
        <f t="shared" si="5"/>
        <v>1.5692495570804117E-2</v>
      </c>
      <c r="G96" s="24">
        <f t="shared" si="6"/>
        <v>1089785.1274589112</v>
      </c>
      <c r="H96" s="23">
        <f t="shared" si="7"/>
        <v>8873799.1274589114</v>
      </c>
    </row>
    <row r="97" spans="1:8" x14ac:dyDescent="0.2">
      <c r="A97">
        <v>2023</v>
      </c>
      <c r="B97" s="3" t="str">
        <f t="shared" si="4"/>
        <v>5021</v>
      </c>
      <c r="C97" s="10" t="s">
        <v>104</v>
      </c>
      <c r="D97" s="11">
        <v>279454</v>
      </c>
      <c r="E97" s="11">
        <v>279454</v>
      </c>
      <c r="F97" s="12">
        <f t="shared" si="5"/>
        <v>5.6337651207249799E-4</v>
      </c>
      <c r="G97" s="24">
        <f t="shared" si="6"/>
        <v>39124.391735279838</v>
      </c>
      <c r="H97" s="23">
        <f t="shared" si="7"/>
        <v>318578.39173527982</v>
      </c>
    </row>
    <row r="98" spans="1:8" x14ac:dyDescent="0.2">
      <c r="A98">
        <v>2023</v>
      </c>
      <c r="B98" s="3" t="str">
        <f t="shared" si="4"/>
        <v>5022</v>
      </c>
      <c r="C98" s="10" t="s">
        <v>105</v>
      </c>
      <c r="D98" s="11">
        <v>5099765</v>
      </c>
      <c r="E98" s="11">
        <v>5099765</v>
      </c>
      <c r="F98" s="12">
        <f t="shared" si="5"/>
        <v>1.028107601998684E-2</v>
      </c>
      <c r="G98" s="24">
        <f t="shared" si="6"/>
        <v>713982.27836377127</v>
      </c>
      <c r="H98" s="23">
        <f t="shared" si="7"/>
        <v>5813747.2783637717</v>
      </c>
    </row>
    <row r="99" spans="1:8" x14ac:dyDescent="0.2">
      <c r="A99">
        <v>2023</v>
      </c>
      <c r="B99" s="3" t="str">
        <f t="shared" si="4"/>
        <v>5024</v>
      </c>
      <c r="C99" s="10" t="s">
        <v>106</v>
      </c>
      <c r="D99" s="11">
        <v>611706</v>
      </c>
      <c r="E99" s="11">
        <v>611706</v>
      </c>
      <c r="F99" s="12">
        <f t="shared" si="5"/>
        <v>1.2331932722158905E-3</v>
      </c>
      <c r="G99" s="24">
        <f t="shared" si="6"/>
        <v>85640.660612555512</v>
      </c>
      <c r="H99" s="23">
        <f t="shared" si="7"/>
        <v>697346.66061255545</v>
      </c>
    </row>
    <row r="100" spans="1:8" x14ac:dyDescent="0.2">
      <c r="A100">
        <v>2023</v>
      </c>
      <c r="B100" s="3" t="str">
        <f t="shared" si="4"/>
        <v>5025</v>
      </c>
      <c r="C100" s="10" t="s">
        <v>107</v>
      </c>
      <c r="D100" s="11">
        <v>2006999</v>
      </c>
      <c r="E100" s="11">
        <v>2006999</v>
      </c>
      <c r="F100" s="12">
        <f t="shared" si="5"/>
        <v>4.0460902200469178E-3</v>
      </c>
      <c r="G100" s="24">
        <f t="shared" si="6"/>
        <v>280985.83340483549</v>
      </c>
      <c r="H100" s="23">
        <f t="shared" si="7"/>
        <v>2287984.8334048353</v>
      </c>
    </row>
    <row r="101" spans="1:8" x14ac:dyDescent="0.2">
      <c r="A101">
        <v>2023</v>
      </c>
      <c r="B101" s="3" t="str">
        <f t="shared" si="4"/>
        <v>5026</v>
      </c>
      <c r="C101" s="10" t="s">
        <v>108</v>
      </c>
      <c r="D101" s="11">
        <v>400189</v>
      </c>
      <c r="E101" s="11">
        <v>400189</v>
      </c>
      <c r="F101" s="12">
        <f t="shared" si="5"/>
        <v>8.0677708313275486E-4</v>
      </c>
      <c r="G101" s="24">
        <f t="shared" si="6"/>
        <v>56027.651077278912</v>
      </c>
      <c r="H101" s="23">
        <f t="shared" si="7"/>
        <v>456216.65107727889</v>
      </c>
    </row>
    <row r="102" spans="1:8" x14ac:dyDescent="0.2">
      <c r="A102">
        <v>2023</v>
      </c>
      <c r="B102" s="3" t="str">
        <f t="shared" si="4"/>
        <v>5027</v>
      </c>
      <c r="C102" s="10" t="s">
        <v>109</v>
      </c>
      <c r="D102" s="11">
        <v>5999612</v>
      </c>
      <c r="E102" s="11">
        <v>5999612</v>
      </c>
      <c r="F102" s="12">
        <f t="shared" si="5"/>
        <v>1.2095158710729866E-2</v>
      </c>
      <c r="G102" s="24">
        <f t="shared" si="6"/>
        <v>839963.53656661103</v>
      </c>
      <c r="H102" s="23">
        <f t="shared" si="7"/>
        <v>6839575.5365666114</v>
      </c>
    </row>
    <row r="103" spans="1:8" x14ac:dyDescent="0.2">
      <c r="A103">
        <v>2023</v>
      </c>
      <c r="B103" s="3" t="str">
        <f t="shared" si="4"/>
        <v>5028</v>
      </c>
      <c r="C103" s="10" t="s">
        <v>110</v>
      </c>
      <c r="D103" s="11">
        <v>1301640</v>
      </c>
      <c r="E103" s="11">
        <v>1301640</v>
      </c>
      <c r="F103" s="12">
        <f t="shared" si="5"/>
        <v>2.6240934220803647E-3</v>
      </c>
      <c r="G103" s="24">
        <f t="shared" si="6"/>
        <v>182233.47405408273</v>
      </c>
      <c r="H103" s="23">
        <f t="shared" si="7"/>
        <v>1483873.4740540828</v>
      </c>
    </row>
    <row r="104" spans="1:8" x14ac:dyDescent="0.2">
      <c r="A104">
        <v>2023</v>
      </c>
      <c r="B104" s="3" t="str">
        <f t="shared" si="4"/>
        <v>5029</v>
      </c>
      <c r="C104" s="10" t="s">
        <v>111</v>
      </c>
      <c r="D104" s="11">
        <v>488418</v>
      </c>
      <c r="E104" s="11">
        <v>488418</v>
      </c>
      <c r="F104" s="12">
        <f t="shared" si="5"/>
        <v>9.8464587829633966E-4</v>
      </c>
      <c r="G104" s="24">
        <f t="shared" si="6"/>
        <v>68379.973672095963</v>
      </c>
      <c r="H104" s="23">
        <f t="shared" si="7"/>
        <v>556797.97367209592</v>
      </c>
    </row>
    <row r="105" spans="1:8" x14ac:dyDescent="0.2">
      <c r="A105">
        <v>2023</v>
      </c>
      <c r="B105" s="3" t="str">
        <f t="shared" si="4"/>
        <v>5031</v>
      </c>
      <c r="C105" s="10" t="s">
        <v>112</v>
      </c>
      <c r="D105" s="11">
        <v>9714019</v>
      </c>
      <c r="E105" s="11">
        <v>9714019</v>
      </c>
      <c r="F105" s="12">
        <f t="shared" si="5"/>
        <v>1.9583366645050615E-2</v>
      </c>
      <c r="G105" s="24">
        <f t="shared" si="6"/>
        <v>1359991.5717075127</v>
      </c>
      <c r="H105" s="23">
        <f t="shared" si="7"/>
        <v>11074010.571707513</v>
      </c>
    </row>
    <row r="106" spans="1:8" x14ac:dyDescent="0.2">
      <c r="A106">
        <v>2023</v>
      </c>
      <c r="B106" s="3" t="str">
        <f t="shared" si="4"/>
        <v>5032</v>
      </c>
      <c r="C106" s="10" t="s">
        <v>113</v>
      </c>
      <c r="D106" s="11">
        <v>870188</v>
      </c>
      <c r="E106" s="11">
        <v>870188</v>
      </c>
      <c r="F106" s="12">
        <f t="shared" si="5"/>
        <v>1.7542904388104764E-3</v>
      </c>
      <c r="G106" s="24">
        <f t="shared" si="6"/>
        <v>121828.90992914644</v>
      </c>
      <c r="H106" s="23">
        <f t="shared" si="7"/>
        <v>992016.90992914641</v>
      </c>
    </row>
    <row r="107" spans="1:8" x14ac:dyDescent="0.2">
      <c r="A107">
        <v>2023</v>
      </c>
      <c r="B107" s="3" t="str">
        <f t="shared" si="4"/>
        <v>5033</v>
      </c>
      <c r="C107" s="10" t="s">
        <v>114</v>
      </c>
      <c r="D107" s="11">
        <v>569264</v>
      </c>
      <c r="E107" s="11">
        <v>569264</v>
      </c>
      <c r="F107" s="12">
        <f t="shared" si="5"/>
        <v>1.147630618164129E-3</v>
      </c>
      <c r="G107" s="24">
        <f t="shared" si="6"/>
        <v>79698.65429298683</v>
      </c>
      <c r="H107" s="23">
        <f t="shared" si="7"/>
        <v>648962.65429298684</v>
      </c>
    </row>
    <row r="108" spans="1:8" x14ac:dyDescent="0.2">
      <c r="A108">
        <v>2023</v>
      </c>
      <c r="B108" s="3" t="str">
        <f t="shared" si="4"/>
        <v>5034</v>
      </c>
      <c r="C108" s="10" t="s">
        <v>115</v>
      </c>
      <c r="D108" s="11">
        <v>240866</v>
      </c>
      <c r="E108" s="11">
        <v>240866</v>
      </c>
      <c r="F108" s="12">
        <f t="shared" si="5"/>
        <v>4.8558348406841306E-4</v>
      </c>
      <c r="G108" s="24">
        <f t="shared" si="6"/>
        <v>33721.95688632087</v>
      </c>
      <c r="H108" s="23">
        <f t="shared" si="7"/>
        <v>274587.95688632084</v>
      </c>
    </row>
    <row r="109" spans="1:8" x14ac:dyDescent="0.2">
      <c r="A109">
        <v>2023</v>
      </c>
      <c r="B109" s="3" t="str">
        <f t="shared" si="4"/>
        <v>5035</v>
      </c>
      <c r="C109" s="10" t="s">
        <v>116</v>
      </c>
      <c r="D109" s="11">
        <v>1557606</v>
      </c>
      <c r="E109" s="11">
        <v>1557606</v>
      </c>
      <c r="F109" s="12">
        <f t="shared" si="5"/>
        <v>3.1401183574512989E-3</v>
      </c>
      <c r="G109" s="24">
        <f t="shared" si="6"/>
        <v>218069.47588233586</v>
      </c>
      <c r="H109" s="23">
        <f t="shared" si="7"/>
        <v>1775675.4758823358</v>
      </c>
    </row>
    <row r="110" spans="1:8" x14ac:dyDescent="0.2">
      <c r="A110">
        <v>2023</v>
      </c>
      <c r="B110" s="3" t="str">
        <f t="shared" si="4"/>
        <v>5036</v>
      </c>
      <c r="C110" s="10" t="s">
        <v>117</v>
      </c>
      <c r="D110" s="11">
        <v>838404</v>
      </c>
      <c r="E110" s="11">
        <v>838404</v>
      </c>
      <c r="F110" s="12">
        <f t="shared" si="5"/>
        <v>1.6902142078038982E-3</v>
      </c>
      <c r="G110" s="24">
        <f t="shared" si="6"/>
        <v>117379.05533084355</v>
      </c>
      <c r="H110" s="23">
        <f t="shared" si="7"/>
        <v>955783.05533084355</v>
      </c>
    </row>
    <row r="111" spans="1:8" x14ac:dyDescent="0.2">
      <c r="A111">
        <v>2023</v>
      </c>
      <c r="B111" s="3" t="str">
        <f t="shared" si="4"/>
        <v>5037</v>
      </c>
      <c r="C111" s="10" t="s">
        <v>118</v>
      </c>
      <c r="D111" s="11">
        <v>2909653</v>
      </c>
      <c r="E111" s="11">
        <v>2909653</v>
      </c>
      <c r="F111" s="12">
        <f t="shared" si="5"/>
        <v>5.8658317951479667E-3</v>
      </c>
      <c r="G111" s="24">
        <f t="shared" si="6"/>
        <v>407360.07996211242</v>
      </c>
      <c r="H111" s="23">
        <f t="shared" si="7"/>
        <v>3317013.0799621125</v>
      </c>
    </row>
    <row r="112" spans="1:8" x14ac:dyDescent="0.2">
      <c r="A112">
        <v>2023</v>
      </c>
      <c r="B112" s="3" t="str">
        <f t="shared" si="4"/>
        <v>5038</v>
      </c>
      <c r="C112" s="10" t="s">
        <v>119</v>
      </c>
      <c r="D112" s="11">
        <v>365813</v>
      </c>
      <c r="E112" s="11">
        <v>365813</v>
      </c>
      <c r="F112" s="12">
        <f t="shared" si="5"/>
        <v>7.3747540565093615E-4</v>
      </c>
      <c r="G112" s="24">
        <f t="shared" si="6"/>
        <v>51214.908764440384</v>
      </c>
      <c r="H112" s="23">
        <f t="shared" si="7"/>
        <v>417027.90876444039</v>
      </c>
    </row>
    <row r="113" spans="1:8" x14ac:dyDescent="0.2">
      <c r="A113">
        <v>2023</v>
      </c>
      <c r="B113" s="3" t="str">
        <f t="shared" si="4"/>
        <v>5039</v>
      </c>
      <c r="C113" s="10" t="s">
        <v>120</v>
      </c>
      <c r="D113" s="11">
        <v>419595</v>
      </c>
      <c r="E113" s="11">
        <v>419595</v>
      </c>
      <c r="F113" s="12">
        <f t="shared" si="5"/>
        <v>8.4589938803187573E-4</v>
      </c>
      <c r="G113" s="24">
        <f t="shared" si="6"/>
        <v>58744.548835102527</v>
      </c>
      <c r="H113" s="23">
        <f t="shared" si="7"/>
        <v>478339.54883510253</v>
      </c>
    </row>
    <row r="114" spans="1:8" x14ac:dyDescent="0.2">
      <c r="A114">
        <v>2023</v>
      </c>
      <c r="B114" s="3" t="str">
        <f t="shared" si="4"/>
        <v>5040</v>
      </c>
      <c r="C114" s="10" t="s">
        <v>121</v>
      </c>
      <c r="D114" s="11">
        <v>1483004</v>
      </c>
      <c r="E114" s="11">
        <v>1483004</v>
      </c>
      <c r="F114" s="12">
        <f t="shared" si="5"/>
        <v>2.9897214600956251E-3</v>
      </c>
      <c r="G114" s="24">
        <f t="shared" si="6"/>
        <v>207624.97384538042</v>
      </c>
      <c r="H114" s="23">
        <f t="shared" si="7"/>
        <v>1690628.9738453804</v>
      </c>
    </row>
    <row r="115" spans="1:8" x14ac:dyDescent="0.2">
      <c r="A115">
        <v>2023</v>
      </c>
      <c r="B115" s="3" t="str">
        <f t="shared" si="4"/>
        <v>5041</v>
      </c>
      <c r="C115" s="10" t="s">
        <v>122</v>
      </c>
      <c r="D115" s="11">
        <v>7457590</v>
      </c>
      <c r="E115" s="11">
        <v>7457590</v>
      </c>
      <c r="F115" s="12">
        <f t="shared" si="5"/>
        <v>1.5034428001269404E-2</v>
      </c>
      <c r="G115" s="24">
        <f t="shared" si="6"/>
        <v>1044084.7959274354</v>
      </c>
      <c r="H115" s="23">
        <f t="shared" si="7"/>
        <v>8501674.7959274352</v>
      </c>
    </row>
    <row r="116" spans="1:8" x14ac:dyDescent="0.2">
      <c r="A116">
        <v>2023</v>
      </c>
      <c r="B116" s="3" t="str">
        <f t="shared" si="4"/>
        <v>5042</v>
      </c>
      <c r="C116" s="10" t="s">
        <v>123</v>
      </c>
      <c r="D116" s="11">
        <v>2649129</v>
      </c>
      <c r="E116" s="11">
        <v>2649129</v>
      </c>
      <c r="F116" s="12">
        <f t="shared" si="5"/>
        <v>5.3406179766620071E-3</v>
      </c>
      <c r="G116" s="24">
        <f t="shared" si="6"/>
        <v>370885.94456794369</v>
      </c>
      <c r="H116" s="23">
        <f t="shared" si="7"/>
        <v>3020014.9445679439</v>
      </c>
    </row>
    <row r="117" spans="1:8" x14ac:dyDescent="0.2">
      <c r="A117">
        <v>2023</v>
      </c>
      <c r="B117" s="3" t="str">
        <f t="shared" si="4"/>
        <v>5043</v>
      </c>
      <c r="C117" s="10" t="s">
        <v>124</v>
      </c>
      <c r="D117" s="11">
        <v>3409537</v>
      </c>
      <c r="E117" s="11">
        <v>3409537</v>
      </c>
      <c r="F117" s="12">
        <f t="shared" si="5"/>
        <v>6.8735930165326978E-3</v>
      </c>
      <c r="G117" s="24">
        <f t="shared" si="6"/>
        <v>477345.32776031405</v>
      </c>
      <c r="H117" s="23">
        <f t="shared" si="7"/>
        <v>3886882.3277603141</v>
      </c>
    </row>
    <row r="118" spans="1:8" x14ac:dyDescent="0.2">
      <c r="A118">
        <v>2023</v>
      </c>
      <c r="B118" s="3" t="str">
        <f t="shared" si="4"/>
        <v>5056</v>
      </c>
      <c r="C118" s="10" t="s">
        <v>125</v>
      </c>
      <c r="D118" s="11">
        <v>361820</v>
      </c>
      <c r="E118" s="11">
        <v>361820</v>
      </c>
      <c r="F118" s="12">
        <f t="shared" si="5"/>
        <v>7.2942555697206419E-4</v>
      </c>
      <c r="G118" s="24">
        <f t="shared" si="6"/>
        <v>50655.87688012678</v>
      </c>
      <c r="H118" s="23">
        <f t="shared" si="7"/>
        <v>412475.87688012677</v>
      </c>
    </row>
    <row r="119" spans="1:8" x14ac:dyDescent="0.2">
      <c r="A119">
        <v>2023</v>
      </c>
      <c r="B119" s="3" t="str">
        <f t="shared" si="4"/>
        <v>5057</v>
      </c>
      <c r="C119" s="10" t="s">
        <v>126</v>
      </c>
      <c r="D119" s="11">
        <v>668696</v>
      </c>
      <c r="E119" s="11">
        <v>668696</v>
      </c>
      <c r="F119" s="12">
        <f t="shared" si="5"/>
        <v>1.3480845510060013E-3</v>
      </c>
      <c r="G119" s="24">
        <f t="shared" si="6"/>
        <v>93619.430231146034</v>
      </c>
      <c r="H119" s="23">
        <f t="shared" si="7"/>
        <v>762315.43023114605</v>
      </c>
    </row>
    <row r="120" spans="1:8" x14ac:dyDescent="0.2">
      <c r="A120">
        <v>2023</v>
      </c>
      <c r="B120" s="3" t="str">
        <f t="shared" si="4"/>
        <v>5058</v>
      </c>
      <c r="C120" s="10" t="s">
        <v>127</v>
      </c>
      <c r="D120" s="11">
        <v>1305603</v>
      </c>
      <c r="E120" s="11">
        <v>1305603</v>
      </c>
      <c r="F120" s="12">
        <f t="shared" si="5"/>
        <v>2.6320827910546623E-3</v>
      </c>
      <c r="G120" s="24">
        <f t="shared" si="6"/>
        <v>182788.30584910774</v>
      </c>
      <c r="H120" s="23">
        <f t="shared" si="7"/>
        <v>1488391.3058491077</v>
      </c>
    </row>
    <row r="121" spans="1:8" x14ac:dyDescent="0.2">
      <c r="A121">
        <v>2023</v>
      </c>
      <c r="B121" s="3" t="str">
        <f t="shared" si="4"/>
        <v>5059</v>
      </c>
      <c r="C121" s="10" t="s">
        <v>128</v>
      </c>
      <c r="D121" s="11">
        <v>402659</v>
      </c>
      <c r="E121" s="11">
        <v>402659</v>
      </c>
      <c r="F121" s="12">
        <f t="shared" si="5"/>
        <v>8.1175657880939252E-4</v>
      </c>
      <c r="G121" s="24">
        <f t="shared" si="6"/>
        <v>56373.458428707563</v>
      </c>
      <c r="H121" s="23">
        <f t="shared" si="7"/>
        <v>459032.45842870756</v>
      </c>
    </row>
    <row r="122" spans="1:8" x14ac:dyDescent="0.2">
      <c r="A122">
        <v>2023</v>
      </c>
      <c r="B122" s="3" t="str">
        <f t="shared" si="4"/>
        <v>5060</v>
      </c>
      <c r="C122" s="10" t="s">
        <v>129</v>
      </c>
      <c r="D122" s="11">
        <v>186351</v>
      </c>
      <c r="E122" s="11">
        <v>186351</v>
      </c>
      <c r="F122" s="12">
        <f t="shared" si="5"/>
        <v>3.7568178090570208E-4</v>
      </c>
      <c r="G122" s="24">
        <f t="shared" si="6"/>
        <v>26089.694634040421</v>
      </c>
      <c r="H122" s="23">
        <f t="shared" si="7"/>
        <v>212440.69463404041</v>
      </c>
    </row>
    <row r="123" spans="1:8" x14ac:dyDescent="0.2">
      <c r="A123">
        <v>2023</v>
      </c>
      <c r="B123" s="3" t="str">
        <f t="shared" si="4"/>
        <v>5061</v>
      </c>
      <c r="C123" s="10" t="s">
        <v>130</v>
      </c>
      <c r="D123" s="11">
        <v>388024</v>
      </c>
      <c r="E123" s="11">
        <v>388024</v>
      </c>
      <c r="F123" s="12">
        <f t="shared" si="5"/>
        <v>7.8225256292777687E-4</v>
      </c>
      <c r="G123" s="24">
        <f t="shared" si="6"/>
        <v>54324.514870748753</v>
      </c>
      <c r="H123" s="23">
        <f t="shared" si="7"/>
        <v>442348.51487074874</v>
      </c>
    </row>
    <row r="124" spans="1:8" x14ac:dyDescent="0.2">
      <c r="A124">
        <v>2023</v>
      </c>
      <c r="B124" s="3" t="str">
        <f t="shared" si="4"/>
        <v>5062</v>
      </c>
      <c r="C124" s="10" t="s">
        <v>131</v>
      </c>
      <c r="D124" s="11">
        <v>627948</v>
      </c>
      <c r="E124" s="11">
        <v>627948</v>
      </c>
      <c r="F124" s="12">
        <f t="shared" si="5"/>
        <v>1.2659369842725492E-3</v>
      </c>
      <c r="G124" s="24">
        <f t="shared" si="6"/>
        <v>87914.588953407365</v>
      </c>
      <c r="H124" s="23">
        <f t="shared" si="7"/>
        <v>715862.58895340736</v>
      </c>
    </row>
    <row r="125" spans="1:8" x14ac:dyDescent="0.2">
      <c r="A125">
        <v>2023</v>
      </c>
      <c r="B125" s="3" t="str">
        <f t="shared" si="4"/>
        <v>5063</v>
      </c>
      <c r="C125" s="10" t="s">
        <v>132</v>
      </c>
      <c r="D125" s="11">
        <v>533967</v>
      </c>
      <c r="E125" s="11">
        <v>533967</v>
      </c>
      <c r="F125" s="12">
        <f t="shared" si="5"/>
        <v>1.0764722137518716E-3</v>
      </c>
      <c r="G125" s="24">
        <f t="shared" si="6"/>
        <v>74756.969238988051</v>
      </c>
      <c r="H125" s="23">
        <f t="shared" si="7"/>
        <v>608723.96923898801</v>
      </c>
    </row>
    <row r="126" spans="1:8" x14ac:dyDescent="0.2">
      <c r="A126">
        <v>2023</v>
      </c>
      <c r="B126" s="3" t="str">
        <f t="shared" si="4"/>
        <v>5064</v>
      </c>
      <c r="C126" s="10" t="s">
        <v>133</v>
      </c>
      <c r="D126" s="11">
        <v>357514</v>
      </c>
      <c r="E126" s="11">
        <v>357514</v>
      </c>
      <c r="F126" s="12">
        <f t="shared" si="5"/>
        <v>7.2074470337546448E-4</v>
      </c>
      <c r="G126" s="24">
        <f t="shared" si="6"/>
        <v>50053.024064235382</v>
      </c>
      <c r="H126" s="23">
        <f t="shared" si="7"/>
        <v>407567.02406423539</v>
      </c>
    </row>
    <row r="127" spans="1:8" x14ac:dyDescent="0.2">
      <c r="A127">
        <v>2023</v>
      </c>
      <c r="B127" s="3" t="str">
        <f t="shared" si="4"/>
        <v>5065</v>
      </c>
      <c r="C127" s="10" t="s">
        <v>134</v>
      </c>
      <c r="D127" s="11">
        <v>428638</v>
      </c>
      <c r="E127" s="11">
        <v>428638</v>
      </c>
      <c r="F127" s="12">
        <f t="shared" si="5"/>
        <v>8.6412998698079608E-4</v>
      </c>
      <c r="G127" s="24">
        <f t="shared" si="6"/>
        <v>60010.595749664979</v>
      </c>
      <c r="H127" s="23">
        <f t="shared" si="7"/>
        <v>488648.59574966499</v>
      </c>
    </row>
    <row r="128" spans="1:8" x14ac:dyDescent="0.2">
      <c r="A128">
        <v>2023</v>
      </c>
      <c r="B128" s="3" t="str">
        <f t="shared" si="4"/>
        <v>5066</v>
      </c>
      <c r="C128" s="10" t="s">
        <v>135</v>
      </c>
      <c r="D128" s="11">
        <v>509741</v>
      </c>
      <c r="E128" s="11">
        <v>509741</v>
      </c>
      <c r="F128" s="12">
        <f t="shared" si="5"/>
        <v>1.0276328363177738E-3</v>
      </c>
      <c r="G128" s="24">
        <f t="shared" si="6"/>
        <v>71365.257135461565</v>
      </c>
      <c r="H128" s="23">
        <f t="shared" si="7"/>
        <v>581106.25713546155</v>
      </c>
    </row>
    <row r="129" spans="1:8" x14ac:dyDescent="0.2">
      <c r="A129">
        <v>2023</v>
      </c>
      <c r="B129" s="3" t="str">
        <f t="shared" si="4"/>
        <v>5067</v>
      </c>
      <c r="C129" s="10" t="s">
        <v>136</v>
      </c>
      <c r="D129" s="11">
        <v>784980</v>
      </c>
      <c r="E129" s="11">
        <v>784980</v>
      </c>
      <c r="F129" s="12">
        <f t="shared" si="5"/>
        <v>1.5825119498975482E-3</v>
      </c>
      <c r="G129" s="24">
        <f t="shared" si="6"/>
        <v>109899.53632569211</v>
      </c>
      <c r="H129" s="23">
        <f t="shared" si="7"/>
        <v>894879.53632569208</v>
      </c>
    </row>
    <row r="130" spans="1:8" x14ac:dyDescent="0.2">
      <c r="A130">
        <v>2023</v>
      </c>
      <c r="B130" s="3" t="str">
        <f t="shared" si="4"/>
        <v>5068</v>
      </c>
      <c r="C130" s="10" t="s">
        <v>137</v>
      </c>
      <c r="D130" s="11">
        <v>745887</v>
      </c>
      <c r="E130" s="11">
        <v>745887</v>
      </c>
      <c r="F130" s="12">
        <f t="shared" si="5"/>
        <v>1.5037008468664584E-3</v>
      </c>
      <c r="G130" s="24">
        <f t="shared" si="6"/>
        <v>104426.39997370826</v>
      </c>
      <c r="H130" s="23">
        <f t="shared" si="7"/>
        <v>850313.3999737082</v>
      </c>
    </row>
    <row r="131" spans="1:8" x14ac:dyDescent="0.2">
      <c r="A131">
        <v>2023</v>
      </c>
      <c r="B131" s="3" t="str">
        <f t="shared" ref="B131:B194" si="8">LEFT(C131,4)</f>
        <v>5069</v>
      </c>
      <c r="C131" s="10" t="s">
        <v>138</v>
      </c>
      <c r="D131" s="11">
        <v>693217</v>
      </c>
      <c r="E131" s="11">
        <v>693217</v>
      </c>
      <c r="F131" s="12">
        <f t="shared" ref="F131:F194" si="9">D131/$D$340</f>
        <v>1.3975186455350821E-3</v>
      </c>
      <c r="G131" s="24">
        <f t="shared" ref="G131:G194" si="10">F131*$D$341</f>
        <v>97052.443212677157</v>
      </c>
      <c r="H131" s="23">
        <f t="shared" ref="H131:H194" si="11">SUM(G131,D131)</f>
        <v>790269.44321267714</v>
      </c>
    </row>
    <row r="132" spans="1:8" x14ac:dyDescent="0.2">
      <c r="A132">
        <v>2023</v>
      </c>
      <c r="B132" s="3" t="str">
        <f t="shared" si="8"/>
        <v>5070</v>
      </c>
      <c r="C132" s="10" t="s">
        <v>139</v>
      </c>
      <c r="D132" s="11">
        <v>1638004</v>
      </c>
      <c r="E132" s="11">
        <v>1638004</v>
      </c>
      <c r="F132" s="12">
        <f t="shared" si="9"/>
        <v>3.302199933730775E-3</v>
      </c>
      <c r="G132" s="24">
        <f t="shared" si="10"/>
        <v>229325.43516985019</v>
      </c>
      <c r="H132" s="23">
        <f t="shared" si="11"/>
        <v>1867329.4351698502</v>
      </c>
    </row>
    <row r="133" spans="1:8" x14ac:dyDescent="0.2">
      <c r="A133">
        <v>2023</v>
      </c>
      <c r="B133" s="3" t="str">
        <f t="shared" si="8"/>
        <v>5072</v>
      </c>
      <c r="C133" s="10" t="s">
        <v>140</v>
      </c>
      <c r="D133" s="11">
        <v>223050</v>
      </c>
      <c r="E133" s="11">
        <v>223050</v>
      </c>
      <c r="F133" s="12">
        <f t="shared" si="9"/>
        <v>4.4966660351174317E-4</v>
      </c>
      <c r="G133" s="24">
        <f t="shared" si="10"/>
        <v>31227.663860793429</v>
      </c>
      <c r="H133" s="23">
        <f t="shared" si="11"/>
        <v>254277.66386079343</v>
      </c>
    </row>
    <row r="134" spans="1:8" x14ac:dyDescent="0.2">
      <c r="A134">
        <v>2023</v>
      </c>
      <c r="B134" s="3" t="str">
        <f t="shared" si="8"/>
        <v>5073</v>
      </c>
      <c r="C134" s="10" t="s">
        <v>141</v>
      </c>
      <c r="D134" s="11">
        <v>442348</v>
      </c>
      <c r="E134" s="11">
        <v>442348</v>
      </c>
      <c r="F134" s="12">
        <f t="shared" si="9"/>
        <v>8.9176921197136325E-4</v>
      </c>
      <c r="G134" s="24">
        <f t="shared" si="10"/>
        <v>61930.036554558406</v>
      </c>
      <c r="H134" s="23">
        <f t="shared" si="11"/>
        <v>504278.03655455844</v>
      </c>
    </row>
    <row r="135" spans="1:8" x14ac:dyDescent="0.2">
      <c r="A135">
        <v>2023</v>
      </c>
      <c r="B135" s="3" t="str">
        <f t="shared" si="8"/>
        <v>5076</v>
      </c>
      <c r="C135" s="10" t="s">
        <v>142</v>
      </c>
      <c r="D135" s="11">
        <v>180194</v>
      </c>
      <c r="E135" s="11">
        <v>180194</v>
      </c>
      <c r="F135" s="12">
        <f t="shared" si="9"/>
        <v>3.6326932953685293E-4</v>
      </c>
      <c r="G135" s="24">
        <f t="shared" si="10"/>
        <v>25227.696309041967</v>
      </c>
      <c r="H135" s="23">
        <f t="shared" si="11"/>
        <v>205421.69630904196</v>
      </c>
    </row>
    <row r="136" spans="1:8" x14ac:dyDescent="0.2">
      <c r="A136">
        <v>2023</v>
      </c>
      <c r="B136" s="3" t="str">
        <f t="shared" si="8"/>
        <v>5007</v>
      </c>
      <c r="C136" s="10" t="s">
        <v>143</v>
      </c>
      <c r="D136" s="11">
        <v>148485</v>
      </c>
      <c r="E136" s="11">
        <v>148485</v>
      </c>
      <c r="F136" s="12">
        <f t="shared" si="9"/>
        <v>2.9934429779171121E-4</v>
      </c>
      <c r="G136" s="24">
        <f t="shared" si="10"/>
        <v>20788.341933960604</v>
      </c>
      <c r="H136" s="23">
        <f t="shared" si="11"/>
        <v>169273.34193396062</v>
      </c>
    </row>
    <row r="137" spans="1:8" x14ac:dyDescent="0.2">
      <c r="A137">
        <v>2023</v>
      </c>
      <c r="B137" s="3" t="str">
        <f t="shared" si="8"/>
        <v>5078</v>
      </c>
      <c r="C137" s="10" t="s">
        <v>144</v>
      </c>
      <c r="D137" s="11">
        <v>403487</v>
      </c>
      <c r="E137" s="11">
        <v>403487</v>
      </c>
      <c r="F137" s="12">
        <f t="shared" si="9"/>
        <v>8.1342581865564989E-4</v>
      </c>
      <c r="G137" s="24">
        <f t="shared" si="10"/>
        <v>56489.38089307311</v>
      </c>
      <c r="H137" s="23">
        <f t="shared" si="11"/>
        <v>459976.3808930731</v>
      </c>
    </row>
    <row r="138" spans="1:8" x14ac:dyDescent="0.2">
      <c r="A138">
        <v>2023</v>
      </c>
      <c r="B138" s="3" t="str">
        <f t="shared" si="8"/>
        <v>5079</v>
      </c>
      <c r="C138" s="10" t="s">
        <v>145</v>
      </c>
      <c r="D138" s="11">
        <v>469612</v>
      </c>
      <c r="E138" s="11">
        <v>469612</v>
      </c>
      <c r="F138" s="12">
        <f t="shared" si="9"/>
        <v>9.4673316748870981E-4</v>
      </c>
      <c r="G138" s="24">
        <f t="shared" si="10"/>
        <v>65747.077700044494</v>
      </c>
      <c r="H138" s="23">
        <f t="shared" si="11"/>
        <v>535359.07770004449</v>
      </c>
    </row>
    <row r="139" spans="1:8" x14ac:dyDescent="0.2">
      <c r="A139">
        <v>2023</v>
      </c>
      <c r="B139" s="3" t="str">
        <f t="shared" si="8"/>
        <v>5080</v>
      </c>
      <c r="C139" s="10" t="s">
        <v>146</v>
      </c>
      <c r="D139" s="11">
        <v>649302</v>
      </c>
      <c r="E139" s="11">
        <v>649302</v>
      </c>
      <c r="F139" s="12">
        <f t="shared" si="9"/>
        <v>1.3089864379887105E-3</v>
      </c>
      <c r="G139" s="24">
        <f t="shared" si="10"/>
        <v>90904.212509037869</v>
      </c>
      <c r="H139" s="23">
        <f t="shared" si="11"/>
        <v>740206.21250903793</v>
      </c>
    </row>
    <row r="140" spans="1:8" x14ac:dyDescent="0.2">
      <c r="A140">
        <v>2023</v>
      </c>
      <c r="B140" s="3" t="str">
        <f t="shared" si="8"/>
        <v>5081</v>
      </c>
      <c r="C140" s="10" t="s">
        <v>147</v>
      </c>
      <c r="D140" s="11">
        <v>484445</v>
      </c>
      <c r="E140" s="11">
        <v>484445</v>
      </c>
      <c r="F140" s="12">
        <f t="shared" si="9"/>
        <v>9.7663634942051739E-4</v>
      </c>
      <c r="G140" s="24">
        <f t="shared" si="10"/>
        <v>67823.741847308105</v>
      </c>
      <c r="H140" s="23">
        <f t="shared" si="11"/>
        <v>552268.74184730812</v>
      </c>
    </row>
    <row r="141" spans="1:8" x14ac:dyDescent="0.2">
      <c r="A141">
        <v>2023</v>
      </c>
      <c r="B141" s="3" t="str">
        <f t="shared" si="8"/>
        <v>5082</v>
      </c>
      <c r="C141" s="10" t="s">
        <v>148</v>
      </c>
      <c r="D141" s="11">
        <v>112724</v>
      </c>
      <c r="E141" s="11">
        <v>112724</v>
      </c>
      <c r="F141" s="12">
        <f t="shared" si="9"/>
        <v>2.2725047394870089E-4</v>
      </c>
      <c r="G141" s="24">
        <f t="shared" si="10"/>
        <v>15781.695498964709</v>
      </c>
      <c r="H141" s="23">
        <f t="shared" si="11"/>
        <v>128505.69549896471</v>
      </c>
    </row>
    <row r="142" spans="1:8" x14ac:dyDescent="0.2">
      <c r="A142">
        <v>2023</v>
      </c>
      <c r="B142" s="3" t="str">
        <f t="shared" si="8"/>
        <v>5083</v>
      </c>
      <c r="C142" s="10" t="s">
        <v>149</v>
      </c>
      <c r="D142" s="11">
        <v>376088</v>
      </c>
      <c r="E142" s="11">
        <v>376088</v>
      </c>
      <c r="F142" s="12">
        <f t="shared" si="9"/>
        <v>7.5818970446771782E-4</v>
      </c>
      <c r="G142" s="24">
        <f t="shared" si="10"/>
        <v>52653.439345788291</v>
      </c>
      <c r="H142" s="23">
        <f t="shared" si="11"/>
        <v>428741.43934578827</v>
      </c>
    </row>
    <row r="143" spans="1:8" x14ac:dyDescent="0.2">
      <c r="A143">
        <v>2023</v>
      </c>
      <c r="B143" s="3" t="str">
        <f t="shared" si="8"/>
        <v>5087</v>
      </c>
      <c r="C143" s="10" t="s">
        <v>150</v>
      </c>
      <c r="D143" s="11">
        <v>362284</v>
      </c>
      <c r="E143" s="11">
        <v>362284</v>
      </c>
      <c r="F143" s="12">
        <f t="shared" si="9"/>
        <v>7.303609764028171E-4</v>
      </c>
      <c r="G143" s="24">
        <f t="shared" si="10"/>
        <v>50720.838261123899</v>
      </c>
      <c r="H143" s="23">
        <f t="shared" si="11"/>
        <v>413004.83826112392</v>
      </c>
    </row>
    <row r="144" spans="1:8" x14ac:dyDescent="0.2">
      <c r="A144">
        <v>2023</v>
      </c>
      <c r="B144" s="3" t="str">
        <f t="shared" si="8"/>
        <v>5088</v>
      </c>
      <c r="C144" s="10" t="s">
        <v>151</v>
      </c>
      <c r="D144" s="11">
        <v>668026</v>
      </c>
      <c r="E144" s="11">
        <v>668026</v>
      </c>
      <c r="F144" s="12">
        <f t="shared" si="9"/>
        <v>1.3467338376038365E-3</v>
      </c>
      <c r="G144" s="24">
        <f t="shared" si="10"/>
        <v>93525.628237033801</v>
      </c>
      <c r="H144" s="23">
        <f t="shared" si="11"/>
        <v>761551.62823703384</v>
      </c>
    </row>
    <row r="145" spans="1:8" x14ac:dyDescent="0.2">
      <c r="A145">
        <v>2023</v>
      </c>
      <c r="B145" s="3" t="str">
        <f t="shared" si="8"/>
        <v>5089</v>
      </c>
      <c r="C145" s="10" t="s">
        <v>152</v>
      </c>
      <c r="D145" s="11">
        <v>287516</v>
      </c>
      <c r="E145" s="11">
        <v>287516</v>
      </c>
      <c r="F145" s="12">
        <f t="shared" si="9"/>
        <v>5.7962942468183073E-4</v>
      </c>
      <c r="G145" s="24">
        <f t="shared" si="10"/>
        <v>40253.095730104833</v>
      </c>
      <c r="H145" s="23">
        <f t="shared" si="11"/>
        <v>327769.09573010483</v>
      </c>
    </row>
    <row r="146" spans="1:8" x14ac:dyDescent="0.2">
      <c r="A146">
        <v>2023</v>
      </c>
      <c r="B146" s="3" t="str">
        <f t="shared" si="8"/>
        <v>5090</v>
      </c>
      <c r="C146" s="10" t="s">
        <v>153</v>
      </c>
      <c r="D146" s="11">
        <v>275133</v>
      </c>
      <c r="E146" s="11">
        <v>275133</v>
      </c>
      <c r="F146" s="12">
        <f t="shared" si="9"/>
        <v>5.5466541862361101E-4</v>
      </c>
      <c r="G146" s="24">
        <f t="shared" si="10"/>
        <v>38519.438874744133</v>
      </c>
      <c r="H146" s="23">
        <f t="shared" si="11"/>
        <v>313652.43887474411</v>
      </c>
    </row>
    <row r="147" spans="1:8" x14ac:dyDescent="0.2">
      <c r="A147">
        <v>2023</v>
      </c>
      <c r="B147" s="3" t="str">
        <f t="shared" si="8"/>
        <v>5092</v>
      </c>
      <c r="C147" s="10" t="s">
        <v>154</v>
      </c>
      <c r="D147" s="11">
        <v>1294943</v>
      </c>
      <c r="E147" s="11">
        <v>1294943</v>
      </c>
      <c r="F147" s="12">
        <f t="shared" si="9"/>
        <v>2.6105923360291738E-3</v>
      </c>
      <c r="G147" s="24">
        <f t="shared" si="10"/>
        <v>181295.87412188938</v>
      </c>
      <c r="H147" s="23">
        <f t="shared" si="11"/>
        <v>1476238.8741218895</v>
      </c>
    </row>
    <row r="148" spans="1:8" x14ac:dyDescent="0.2">
      <c r="A148">
        <v>2023</v>
      </c>
      <c r="B148" s="3" t="str">
        <f t="shared" si="8"/>
        <v>5093</v>
      </c>
      <c r="C148" s="10" t="s">
        <v>155</v>
      </c>
      <c r="D148" s="11">
        <v>273740</v>
      </c>
      <c r="E148" s="11">
        <v>273740</v>
      </c>
      <c r="F148" s="12">
        <f t="shared" si="9"/>
        <v>5.5185714434119958E-4</v>
      </c>
      <c r="G148" s="24">
        <f t="shared" si="10"/>
        <v>38324.414728776472</v>
      </c>
      <c r="H148" s="23">
        <f t="shared" si="11"/>
        <v>312064.41472877649</v>
      </c>
    </row>
    <row r="149" spans="1:8" x14ac:dyDescent="0.2">
      <c r="A149">
        <v>2023</v>
      </c>
      <c r="B149" s="3" t="str">
        <f t="shared" si="8"/>
        <v>5095</v>
      </c>
      <c r="C149" s="10" t="s">
        <v>156</v>
      </c>
      <c r="D149" s="11">
        <v>452077</v>
      </c>
      <c r="E149" s="11">
        <v>452077</v>
      </c>
      <c r="F149" s="12">
        <f t="shared" si="9"/>
        <v>9.1138278016488817E-4</v>
      </c>
      <c r="G149" s="24">
        <f t="shared" si="10"/>
        <v>63292.125510853664</v>
      </c>
      <c r="H149" s="23">
        <f t="shared" si="11"/>
        <v>515369.12551085366</v>
      </c>
    </row>
    <row r="150" spans="1:8" x14ac:dyDescent="0.2">
      <c r="A150">
        <v>2023</v>
      </c>
      <c r="B150" s="3" t="str">
        <f t="shared" si="8"/>
        <v>5096</v>
      </c>
      <c r="C150" s="10" t="s">
        <v>157</v>
      </c>
      <c r="D150" s="11">
        <v>601217</v>
      </c>
      <c r="E150" s="11">
        <v>601217</v>
      </c>
      <c r="F150" s="12">
        <f t="shared" si="9"/>
        <v>1.2120475515064769E-3</v>
      </c>
      <c r="G150" s="24">
        <f t="shared" si="10"/>
        <v>84172.169394282188</v>
      </c>
      <c r="H150" s="23">
        <f t="shared" si="11"/>
        <v>685389.16939428216</v>
      </c>
    </row>
    <row r="151" spans="1:8" x14ac:dyDescent="0.2">
      <c r="A151">
        <v>2023</v>
      </c>
      <c r="B151" s="3" t="str">
        <f t="shared" si="8"/>
        <v>5098</v>
      </c>
      <c r="C151" s="10" t="s">
        <v>158</v>
      </c>
      <c r="D151" s="11">
        <v>288274</v>
      </c>
      <c r="E151" s="11">
        <v>288274</v>
      </c>
      <c r="F151" s="12">
        <f t="shared" si="9"/>
        <v>5.811575452174143E-4</v>
      </c>
      <c r="G151" s="24">
        <f t="shared" si="10"/>
        <v>40359.217986130308</v>
      </c>
      <c r="H151" s="23">
        <f t="shared" si="11"/>
        <v>328633.21798613033</v>
      </c>
    </row>
    <row r="152" spans="1:8" x14ac:dyDescent="0.2">
      <c r="A152">
        <v>2023</v>
      </c>
      <c r="B152" s="3" t="str">
        <f t="shared" si="8"/>
        <v>5099</v>
      </c>
      <c r="C152" s="10" t="s">
        <v>159</v>
      </c>
      <c r="D152" s="11">
        <v>924208</v>
      </c>
      <c r="E152" s="11">
        <v>924208</v>
      </c>
      <c r="F152" s="12">
        <f t="shared" si="9"/>
        <v>1.8631942268477074E-3</v>
      </c>
      <c r="G152" s="24">
        <f t="shared" si="10"/>
        <v>129391.87070816486</v>
      </c>
      <c r="H152" s="23">
        <f t="shared" si="11"/>
        <v>1053599.8707081648</v>
      </c>
    </row>
    <row r="153" spans="1:8" x14ac:dyDescent="0.2">
      <c r="A153">
        <v>2023</v>
      </c>
      <c r="B153" s="3" t="str">
        <f t="shared" si="8"/>
        <v>5100</v>
      </c>
      <c r="C153" s="10" t="s">
        <v>160</v>
      </c>
      <c r="D153" s="11">
        <v>1017943</v>
      </c>
      <c r="E153" s="11">
        <v>1017943</v>
      </c>
      <c r="F153" s="12">
        <f t="shared" si="9"/>
        <v>2.0521630637908737E-3</v>
      </c>
      <c r="G153" s="24">
        <f t="shared" si="10"/>
        <v>142515.0496904176</v>
      </c>
      <c r="H153" s="23">
        <f t="shared" si="11"/>
        <v>1160458.0496904175</v>
      </c>
    </row>
    <row r="154" spans="1:8" x14ac:dyDescent="0.2">
      <c r="A154">
        <v>2023</v>
      </c>
      <c r="B154" s="3" t="str">
        <f t="shared" si="8"/>
        <v>5101</v>
      </c>
      <c r="C154" s="10" t="s">
        <v>161</v>
      </c>
      <c r="D154" s="11">
        <v>720091</v>
      </c>
      <c r="E154" s="11">
        <v>720091</v>
      </c>
      <c r="F154" s="12">
        <f t="shared" si="9"/>
        <v>1.4516963648929595E-3</v>
      </c>
      <c r="G154" s="24">
        <f t="shared" si="10"/>
        <v>100814.88319741134</v>
      </c>
      <c r="H154" s="23">
        <f t="shared" si="11"/>
        <v>820905.88319741131</v>
      </c>
    </row>
    <row r="155" spans="1:8" x14ac:dyDescent="0.2">
      <c r="A155">
        <v>2023</v>
      </c>
      <c r="B155" s="3" t="str">
        <f t="shared" si="8"/>
        <v>5102</v>
      </c>
      <c r="C155" s="10" t="s">
        <v>162</v>
      </c>
      <c r="D155" s="11">
        <v>1561876</v>
      </c>
      <c r="E155" s="11">
        <v>1561876</v>
      </c>
      <c r="F155" s="12">
        <f t="shared" si="9"/>
        <v>3.1487266354024092E-3</v>
      </c>
      <c r="G155" s="24">
        <f t="shared" si="10"/>
        <v>218667.28859108093</v>
      </c>
      <c r="H155" s="23">
        <f t="shared" si="11"/>
        <v>1780543.2885910808</v>
      </c>
    </row>
    <row r="156" spans="1:8" x14ac:dyDescent="0.2">
      <c r="A156">
        <v>2023</v>
      </c>
      <c r="B156" s="3" t="str">
        <f t="shared" si="8"/>
        <v>5103</v>
      </c>
      <c r="C156" s="10" t="s">
        <v>163</v>
      </c>
      <c r="D156" s="11">
        <v>935718</v>
      </c>
      <c r="E156" s="11">
        <v>935718</v>
      </c>
      <c r="F156" s="12">
        <f t="shared" si="9"/>
        <v>1.8863982735028079E-3</v>
      </c>
      <c r="G156" s="24">
        <f t="shared" si="10"/>
        <v>131003.30496522711</v>
      </c>
      <c r="H156" s="23">
        <f t="shared" si="11"/>
        <v>1066721.3049652271</v>
      </c>
    </row>
    <row r="157" spans="1:8" x14ac:dyDescent="0.2">
      <c r="A157">
        <v>2023</v>
      </c>
      <c r="B157" s="3" t="str">
        <f t="shared" si="8"/>
        <v>5104</v>
      </c>
      <c r="C157" s="10" t="s">
        <v>164</v>
      </c>
      <c r="D157" s="11">
        <v>299231</v>
      </c>
      <c r="E157" s="11">
        <v>299231</v>
      </c>
      <c r="F157" s="12">
        <f t="shared" si="9"/>
        <v>6.032467493181906E-4</v>
      </c>
      <c r="G157" s="24">
        <f t="shared" si="10"/>
        <v>41893.23059730589</v>
      </c>
      <c r="H157" s="23">
        <f t="shared" si="11"/>
        <v>341124.23059730587</v>
      </c>
    </row>
    <row r="158" spans="1:8" x14ac:dyDescent="0.2">
      <c r="A158">
        <v>2023</v>
      </c>
      <c r="B158" s="3" t="str">
        <f t="shared" si="8"/>
        <v>5105</v>
      </c>
      <c r="C158" s="10" t="s">
        <v>165</v>
      </c>
      <c r="D158" s="11">
        <v>268934</v>
      </c>
      <c r="E158" s="11">
        <v>268934</v>
      </c>
      <c r="F158" s="12">
        <f t="shared" si="9"/>
        <v>5.4216829566835752E-4</v>
      </c>
      <c r="G158" s="24">
        <f t="shared" si="10"/>
        <v>37651.560424741627</v>
      </c>
      <c r="H158" s="23">
        <f t="shared" si="11"/>
        <v>306585.56042474165</v>
      </c>
    </row>
    <row r="159" spans="1:8" x14ac:dyDescent="0.2">
      <c r="A159">
        <v>2023</v>
      </c>
      <c r="B159" s="3" t="str">
        <f t="shared" si="8"/>
        <v>5106</v>
      </c>
      <c r="C159" s="10" t="s">
        <v>166</v>
      </c>
      <c r="D159" s="11">
        <v>735667</v>
      </c>
      <c r="E159" s="11">
        <v>735667</v>
      </c>
      <c r="F159" s="12">
        <f t="shared" si="9"/>
        <v>1.4830974275080635E-3</v>
      </c>
      <c r="G159" s="24">
        <f t="shared" si="10"/>
        <v>102995.56955605613</v>
      </c>
      <c r="H159" s="23">
        <f t="shared" si="11"/>
        <v>838662.56955605617</v>
      </c>
    </row>
    <row r="160" spans="1:8" x14ac:dyDescent="0.2">
      <c r="A160">
        <v>2023</v>
      </c>
      <c r="B160" s="3" t="str">
        <f t="shared" si="8"/>
        <v>5116</v>
      </c>
      <c r="C160" s="10" t="s">
        <v>167</v>
      </c>
      <c r="D160" s="11">
        <v>999085</v>
      </c>
      <c r="E160" s="11">
        <v>999085</v>
      </c>
      <c r="F160" s="12">
        <f t="shared" si="9"/>
        <v>2.0141455214953146E-3</v>
      </c>
      <c r="G160" s="24">
        <f t="shared" si="10"/>
        <v>139874.87356359919</v>
      </c>
      <c r="H160" s="23">
        <f t="shared" si="11"/>
        <v>1138959.8735635993</v>
      </c>
    </row>
    <row r="161" spans="1:8" x14ac:dyDescent="0.2">
      <c r="A161">
        <v>2023</v>
      </c>
      <c r="B161" s="3" t="str">
        <f t="shared" si="8"/>
        <v>5117</v>
      </c>
      <c r="C161" s="10" t="s">
        <v>168</v>
      </c>
      <c r="D161" s="11">
        <v>166678</v>
      </c>
      <c r="E161" s="11">
        <v>166678</v>
      </c>
      <c r="F161" s="12">
        <f t="shared" si="9"/>
        <v>3.3602120663586785E-4</v>
      </c>
      <c r="G161" s="24">
        <f t="shared" si="10"/>
        <v>23335.416081548203</v>
      </c>
      <c r="H161" s="23">
        <f t="shared" si="11"/>
        <v>190013.4160815482</v>
      </c>
    </row>
    <row r="162" spans="1:8" x14ac:dyDescent="0.2">
      <c r="A162">
        <v>2023</v>
      </c>
      <c r="B162" s="3" t="str">
        <f t="shared" si="8"/>
        <v>5118</v>
      </c>
      <c r="C162" s="10" t="s">
        <v>169</v>
      </c>
      <c r="D162" s="11">
        <v>1365863</v>
      </c>
      <c r="E162" s="11">
        <v>1365863</v>
      </c>
      <c r="F162" s="12">
        <f t="shared" si="9"/>
        <v>2.7535663576433987E-3</v>
      </c>
      <c r="G162" s="24">
        <f t="shared" si="10"/>
        <v>191224.88520015645</v>
      </c>
      <c r="H162" s="23">
        <f t="shared" si="11"/>
        <v>1557087.8852001564</v>
      </c>
    </row>
    <row r="163" spans="1:8" x14ac:dyDescent="0.2">
      <c r="A163">
        <v>2023</v>
      </c>
      <c r="B163" s="3" t="str">
        <f t="shared" si="8"/>
        <v>5119</v>
      </c>
      <c r="C163" s="10" t="s">
        <v>170</v>
      </c>
      <c r="D163" s="11">
        <v>309098</v>
      </c>
      <c r="E163" s="11">
        <v>309098</v>
      </c>
      <c r="F163" s="12">
        <f t="shared" si="9"/>
        <v>6.2313852415275849E-4</v>
      </c>
      <c r="G163" s="24">
        <f t="shared" si="10"/>
        <v>43274.639964328744</v>
      </c>
      <c r="H163" s="23">
        <f t="shared" si="11"/>
        <v>352372.63996432873</v>
      </c>
    </row>
    <row r="164" spans="1:8" x14ac:dyDescent="0.2">
      <c r="A164">
        <v>2023</v>
      </c>
      <c r="B164" s="3" t="str">
        <f t="shared" si="8"/>
        <v>5120</v>
      </c>
      <c r="C164" s="10" t="s">
        <v>171</v>
      </c>
      <c r="D164" s="11">
        <v>6222540</v>
      </c>
      <c r="E164" s="11">
        <v>6222540</v>
      </c>
      <c r="F164" s="12">
        <f t="shared" si="9"/>
        <v>1.2544579363443005E-2</v>
      </c>
      <c r="G164" s="24">
        <f t="shared" si="10"/>
        <v>871174.12006429746</v>
      </c>
      <c r="H164" s="23">
        <f t="shared" si="11"/>
        <v>7093714.1200642977</v>
      </c>
    </row>
    <row r="165" spans="1:8" x14ac:dyDescent="0.2">
      <c r="A165">
        <v>2023</v>
      </c>
      <c r="B165" s="3" t="str">
        <f t="shared" si="8"/>
        <v>5122</v>
      </c>
      <c r="C165" s="10" t="s">
        <v>172</v>
      </c>
      <c r="D165" s="11">
        <v>254856</v>
      </c>
      <c r="E165" s="11">
        <v>254856</v>
      </c>
      <c r="F165" s="12">
        <f t="shared" si="9"/>
        <v>5.1378718630167594E-4</v>
      </c>
      <c r="G165" s="24">
        <f t="shared" si="10"/>
        <v>35680.598524574627</v>
      </c>
      <c r="H165" s="23">
        <f t="shared" si="11"/>
        <v>290536.59852457466</v>
      </c>
    </row>
    <row r="166" spans="1:8" x14ac:dyDescent="0.2">
      <c r="A166">
        <v>2023</v>
      </c>
      <c r="B166" s="3" t="str">
        <f t="shared" si="8"/>
        <v>5123</v>
      </c>
      <c r="C166" s="10" t="s">
        <v>173</v>
      </c>
      <c r="D166" s="11">
        <v>260861</v>
      </c>
      <c r="E166" s="11">
        <v>260861</v>
      </c>
      <c r="F166" s="12">
        <f t="shared" si="9"/>
        <v>5.2589320716734734E-4</v>
      </c>
      <c r="G166" s="24">
        <f t="shared" si="10"/>
        <v>36521.31639717747</v>
      </c>
      <c r="H166" s="23">
        <f t="shared" si="11"/>
        <v>297382.31639717746</v>
      </c>
    </row>
    <row r="167" spans="1:8" x14ac:dyDescent="0.2">
      <c r="A167">
        <v>2023</v>
      </c>
      <c r="B167" s="3" t="str">
        <f t="shared" si="8"/>
        <v>5125</v>
      </c>
      <c r="C167" s="10" t="s">
        <v>174</v>
      </c>
      <c r="D167" s="11">
        <v>1823995</v>
      </c>
      <c r="E167" s="11">
        <v>1823995</v>
      </c>
      <c r="F167" s="12">
        <f t="shared" si="9"/>
        <v>3.6771559581815823E-3</v>
      </c>
      <c r="G167" s="24">
        <f t="shared" si="10"/>
        <v>255364.72873242729</v>
      </c>
      <c r="H167" s="23">
        <f t="shared" si="11"/>
        <v>2079359.7287324273</v>
      </c>
    </row>
    <row r="168" spans="1:8" x14ac:dyDescent="0.2">
      <c r="A168">
        <v>2023</v>
      </c>
      <c r="B168" s="3" t="str">
        <f t="shared" si="8"/>
        <v>5127</v>
      </c>
      <c r="C168" s="10" t="s">
        <v>175</v>
      </c>
      <c r="D168" s="11">
        <v>229056</v>
      </c>
      <c r="E168" s="11">
        <v>229056</v>
      </c>
      <c r="F168" s="12">
        <f t="shared" si="9"/>
        <v>4.6177464036756711E-4</v>
      </c>
      <c r="G168" s="24">
        <f t="shared" si="10"/>
        <v>32068.521736372561</v>
      </c>
      <c r="H168" s="23">
        <f t="shared" si="11"/>
        <v>261124.52173637255</v>
      </c>
    </row>
    <row r="169" spans="1:8" x14ac:dyDescent="0.2">
      <c r="A169">
        <v>2023</v>
      </c>
      <c r="B169" s="3" t="str">
        <f t="shared" si="8"/>
        <v>5128</v>
      </c>
      <c r="C169" s="10" t="s">
        <v>176</v>
      </c>
      <c r="D169" s="11">
        <v>363949</v>
      </c>
      <c r="E169" s="11">
        <v>363949</v>
      </c>
      <c r="F169" s="12">
        <f t="shared" si="9"/>
        <v>7.3371760000670442E-4</v>
      </c>
      <c r="G169" s="24">
        <f t="shared" si="10"/>
        <v>50953.943216641594</v>
      </c>
      <c r="H169" s="23">
        <f t="shared" si="11"/>
        <v>414902.94321664161</v>
      </c>
    </row>
    <row r="170" spans="1:8" x14ac:dyDescent="0.2">
      <c r="A170">
        <v>2023</v>
      </c>
      <c r="B170" s="3" t="str">
        <f t="shared" si="8"/>
        <v>5129</v>
      </c>
      <c r="C170" s="10" t="s">
        <v>177</v>
      </c>
      <c r="D170" s="11">
        <v>852433</v>
      </c>
      <c r="E170" s="11">
        <v>852433</v>
      </c>
      <c r="F170" s="12">
        <f t="shared" si="9"/>
        <v>1.7184965336531082E-3</v>
      </c>
      <c r="G170" s="24">
        <f t="shared" si="10"/>
        <v>119343.1570851725</v>
      </c>
      <c r="H170" s="23">
        <f t="shared" si="11"/>
        <v>971776.15708517248</v>
      </c>
    </row>
    <row r="171" spans="1:8" x14ac:dyDescent="0.2">
      <c r="A171">
        <v>2023</v>
      </c>
      <c r="B171" s="3" t="str">
        <f t="shared" si="8"/>
        <v>5130</v>
      </c>
      <c r="C171" s="10" t="s">
        <v>178</v>
      </c>
      <c r="D171" s="11">
        <v>696948</v>
      </c>
      <c r="E171" s="11">
        <v>696948</v>
      </c>
      <c r="F171" s="12">
        <f t="shared" si="9"/>
        <v>1.4050403047940029E-3</v>
      </c>
      <c r="G171" s="24">
        <f t="shared" si="10"/>
        <v>97574.794317203574</v>
      </c>
      <c r="H171" s="23">
        <f t="shared" si="11"/>
        <v>794522.79431720357</v>
      </c>
    </row>
    <row r="172" spans="1:8" x14ac:dyDescent="0.2">
      <c r="A172">
        <v>2023</v>
      </c>
      <c r="B172" s="3" t="str">
        <f t="shared" si="8"/>
        <v>5131</v>
      </c>
      <c r="C172" s="10" t="s">
        <v>179</v>
      </c>
      <c r="D172" s="11">
        <v>822641</v>
      </c>
      <c r="E172" s="11">
        <v>822641</v>
      </c>
      <c r="F172" s="12">
        <f t="shared" si="9"/>
        <v>1.6584361550302797E-3</v>
      </c>
      <c r="G172" s="24">
        <f t="shared" si="10"/>
        <v>115172.18841563312</v>
      </c>
      <c r="H172" s="23">
        <f t="shared" si="11"/>
        <v>937813.18841563317</v>
      </c>
    </row>
    <row r="173" spans="1:8" x14ac:dyDescent="0.2">
      <c r="A173">
        <v>2023</v>
      </c>
      <c r="B173" s="3" t="str">
        <f t="shared" si="8"/>
        <v>5132</v>
      </c>
      <c r="C173" s="10" t="s">
        <v>180</v>
      </c>
      <c r="D173" s="11">
        <v>3173536</v>
      </c>
      <c r="E173" s="11">
        <v>3173536</v>
      </c>
      <c r="F173" s="12">
        <f t="shared" si="9"/>
        <v>6.3978173245561234E-3</v>
      </c>
      <c r="G173" s="24">
        <f t="shared" si="10"/>
        <v>444304.48535362893</v>
      </c>
      <c r="H173" s="23">
        <f t="shared" si="11"/>
        <v>3617840.4853536291</v>
      </c>
    </row>
    <row r="174" spans="1:8" x14ac:dyDescent="0.2">
      <c r="A174">
        <v>2023</v>
      </c>
      <c r="B174" s="3" t="str">
        <f t="shared" si="8"/>
        <v>5133</v>
      </c>
      <c r="C174" s="10" t="s">
        <v>181</v>
      </c>
      <c r="D174" s="11">
        <v>311482</v>
      </c>
      <c r="E174" s="11">
        <v>311482</v>
      </c>
      <c r="F174" s="12">
        <f t="shared" si="9"/>
        <v>6.2794464467628237E-4</v>
      </c>
      <c r="G174" s="24">
        <f t="shared" si="10"/>
        <v>43608.407059796722</v>
      </c>
      <c r="H174" s="23">
        <f t="shared" si="11"/>
        <v>355090.40705979674</v>
      </c>
    </row>
    <row r="175" spans="1:8" x14ac:dyDescent="0.2">
      <c r="A175">
        <v>2023</v>
      </c>
      <c r="B175" s="3" t="str">
        <f t="shared" si="8"/>
        <v>5134</v>
      </c>
      <c r="C175" s="10" t="s">
        <v>182</v>
      </c>
      <c r="D175" s="11">
        <v>336620</v>
      </c>
      <c r="E175" s="11">
        <v>336620</v>
      </c>
      <c r="F175" s="12">
        <f t="shared" si="9"/>
        <v>6.7862260512944626E-4</v>
      </c>
      <c r="G175" s="24">
        <f t="shared" si="10"/>
        <v>47127.80187769686</v>
      </c>
      <c r="H175" s="23">
        <f t="shared" si="11"/>
        <v>383747.80187769688</v>
      </c>
    </row>
    <row r="176" spans="1:8" x14ac:dyDescent="0.2">
      <c r="A176">
        <v>2023</v>
      </c>
      <c r="B176" s="3" t="str">
        <f t="shared" si="8"/>
        <v>5135</v>
      </c>
      <c r="C176" s="10" t="s">
        <v>183</v>
      </c>
      <c r="D176" s="11">
        <v>1548608</v>
      </c>
      <c r="E176" s="11">
        <v>1548608</v>
      </c>
      <c r="F176" s="12">
        <f t="shared" si="9"/>
        <v>3.1219784780592403E-3</v>
      </c>
      <c r="G176" s="24">
        <f t="shared" si="10"/>
        <v>216809.7291017063</v>
      </c>
      <c r="H176" s="23">
        <f t="shared" si="11"/>
        <v>1765417.7291017063</v>
      </c>
    </row>
    <row r="177" spans="1:8" x14ac:dyDescent="0.2">
      <c r="A177">
        <v>2023</v>
      </c>
      <c r="B177" s="3" t="str">
        <f t="shared" si="8"/>
        <v>5137</v>
      </c>
      <c r="C177" s="10" t="s">
        <v>184</v>
      </c>
      <c r="D177" s="11">
        <v>238462</v>
      </c>
      <c r="E177" s="11">
        <v>238462</v>
      </c>
      <c r="F177" s="12">
        <f t="shared" si="9"/>
        <v>4.8073704374183948E-4</v>
      </c>
      <c r="G177" s="24">
        <f t="shared" si="10"/>
        <v>33385.389731327159</v>
      </c>
      <c r="H177" s="23">
        <f t="shared" si="11"/>
        <v>271847.38973132719</v>
      </c>
    </row>
    <row r="178" spans="1:8" x14ac:dyDescent="0.2">
      <c r="A178">
        <v>2023</v>
      </c>
      <c r="B178" s="3" t="str">
        <f t="shared" si="8"/>
        <v>5138</v>
      </c>
      <c r="C178" s="10" t="s">
        <v>185</v>
      </c>
      <c r="D178" s="11">
        <v>256012</v>
      </c>
      <c r="E178" s="11">
        <v>256012</v>
      </c>
      <c r="F178" s="12">
        <f t="shared" si="9"/>
        <v>5.1611767091794844E-4</v>
      </c>
      <c r="G178" s="24">
        <f t="shared" si="10"/>
        <v>35842.441965162288</v>
      </c>
      <c r="H178" s="23">
        <f t="shared" si="11"/>
        <v>291854.44196516229</v>
      </c>
    </row>
    <row r="179" spans="1:8" x14ac:dyDescent="0.2">
      <c r="A179">
        <v>2023</v>
      </c>
      <c r="B179" s="3" t="str">
        <f t="shared" si="8"/>
        <v>5140</v>
      </c>
      <c r="C179" s="10" t="s">
        <v>186</v>
      </c>
      <c r="D179" s="11">
        <v>352680</v>
      </c>
      <c r="E179" s="11">
        <v>352680</v>
      </c>
      <c r="F179" s="12">
        <f t="shared" si="9"/>
        <v>7.1099940697835274E-4</v>
      </c>
      <c r="G179" s="24">
        <f t="shared" si="10"/>
        <v>49376.2496768645</v>
      </c>
      <c r="H179" s="23">
        <f t="shared" si="11"/>
        <v>402056.24967686448</v>
      </c>
    </row>
    <row r="180" spans="1:8" x14ac:dyDescent="0.2">
      <c r="A180">
        <v>2023</v>
      </c>
      <c r="B180" s="3" t="str">
        <f t="shared" si="8"/>
        <v>5141</v>
      </c>
      <c r="C180" s="10" t="s">
        <v>187</v>
      </c>
      <c r="D180" s="11">
        <v>389576</v>
      </c>
      <c r="E180" s="11">
        <v>389576</v>
      </c>
      <c r="F180" s="12">
        <f t="shared" si="9"/>
        <v>7.8538137964443333E-4</v>
      </c>
      <c r="G180" s="24">
        <f t="shared" si="10"/>
        <v>54541.799489946025</v>
      </c>
      <c r="H180" s="23">
        <f t="shared" si="11"/>
        <v>444117.79948994605</v>
      </c>
    </row>
    <row r="181" spans="1:8" x14ac:dyDescent="0.2">
      <c r="A181">
        <v>2023</v>
      </c>
      <c r="B181" s="3" t="str">
        <f t="shared" si="8"/>
        <v>5142</v>
      </c>
      <c r="C181" s="10" t="s">
        <v>188</v>
      </c>
      <c r="D181" s="11">
        <v>103302</v>
      </c>
      <c r="E181" s="11">
        <v>103302</v>
      </c>
      <c r="F181" s="12">
        <f t="shared" si="9"/>
        <v>2.0825581473198876E-4</v>
      </c>
      <c r="G181" s="24">
        <f t="shared" si="10"/>
        <v>14462.587456389521</v>
      </c>
      <c r="H181" s="23">
        <f t="shared" si="11"/>
        <v>117764.58745638952</v>
      </c>
    </row>
    <row r="182" spans="1:8" x14ac:dyDescent="0.2">
      <c r="A182">
        <v>2023</v>
      </c>
      <c r="B182" s="3" t="str">
        <f t="shared" si="8"/>
        <v>5143</v>
      </c>
      <c r="C182" s="10" t="s">
        <v>189</v>
      </c>
      <c r="D182" s="11">
        <v>581171</v>
      </c>
      <c r="E182" s="11">
        <v>581171</v>
      </c>
      <c r="F182" s="12">
        <f t="shared" si="9"/>
        <v>1.171635012909766E-3</v>
      </c>
      <c r="G182" s="24">
        <f t="shared" si="10"/>
        <v>81365.66973163496</v>
      </c>
      <c r="H182" s="23">
        <f t="shared" si="11"/>
        <v>662536.6697316349</v>
      </c>
    </row>
    <row r="183" spans="1:8" x14ac:dyDescent="0.2">
      <c r="A183">
        <v>2023</v>
      </c>
      <c r="B183" s="3" t="str">
        <f t="shared" si="8"/>
        <v>5144</v>
      </c>
      <c r="C183" s="10" t="s">
        <v>190</v>
      </c>
      <c r="D183" s="11">
        <v>271410</v>
      </c>
      <c r="E183" s="11">
        <v>271410</v>
      </c>
      <c r="F183" s="12">
        <f t="shared" si="9"/>
        <v>5.4715988728590997E-4</v>
      </c>
      <c r="G183" s="24">
        <f t="shared" si="10"/>
        <v>37998.207794028</v>
      </c>
      <c r="H183" s="23">
        <f t="shared" si="11"/>
        <v>309408.20779402799</v>
      </c>
    </row>
    <row r="184" spans="1:8" x14ac:dyDescent="0.2">
      <c r="A184">
        <v>2023</v>
      </c>
      <c r="B184" s="3" t="str">
        <f t="shared" si="8"/>
        <v>5145</v>
      </c>
      <c r="C184" s="10" t="s">
        <v>191</v>
      </c>
      <c r="D184" s="11">
        <v>271467</v>
      </c>
      <c r="E184" s="11">
        <v>271467</v>
      </c>
      <c r="F184" s="12">
        <f t="shared" si="9"/>
        <v>5.4727479872460159E-4</v>
      </c>
      <c r="G184" s="24">
        <f t="shared" si="10"/>
        <v>38006.187963676348</v>
      </c>
      <c r="H184" s="23">
        <f t="shared" si="11"/>
        <v>309473.18796367635</v>
      </c>
    </row>
    <row r="185" spans="1:8" x14ac:dyDescent="0.2">
      <c r="A185">
        <v>2023</v>
      </c>
      <c r="B185" s="3" t="str">
        <f t="shared" si="8"/>
        <v>5147</v>
      </c>
      <c r="C185" s="10" t="s">
        <v>192</v>
      </c>
      <c r="D185" s="11">
        <v>6832862</v>
      </c>
      <c r="E185" s="11">
        <v>6832862</v>
      </c>
      <c r="F185" s="12">
        <f t="shared" si="9"/>
        <v>1.3774982505287857E-2</v>
      </c>
      <c r="G185" s="24">
        <f t="shared" si="10"/>
        <v>956621.01655767183</v>
      </c>
      <c r="H185" s="23">
        <f t="shared" si="11"/>
        <v>7789483.0165576721</v>
      </c>
    </row>
    <row r="186" spans="1:8" x14ac:dyDescent="0.2">
      <c r="A186">
        <v>2023</v>
      </c>
      <c r="B186" s="3" t="str">
        <f t="shared" si="8"/>
        <v>5148</v>
      </c>
      <c r="C186" s="10" t="s">
        <v>193</v>
      </c>
      <c r="D186" s="11">
        <v>598972</v>
      </c>
      <c r="E186" s="11">
        <v>598972</v>
      </c>
      <c r="F186" s="12">
        <f t="shared" si="9"/>
        <v>1.2075216536141485E-3</v>
      </c>
      <c r="G186" s="24">
        <f t="shared" si="10"/>
        <v>83857.862712518094</v>
      </c>
      <c r="H186" s="23">
        <f t="shared" si="11"/>
        <v>682829.86271251808</v>
      </c>
    </row>
    <row r="187" spans="1:8" x14ac:dyDescent="0.2">
      <c r="A187">
        <v>2023</v>
      </c>
      <c r="B187" s="3" t="str">
        <f t="shared" si="8"/>
        <v>5149</v>
      </c>
      <c r="C187" s="10" t="s">
        <v>194</v>
      </c>
      <c r="D187" s="11">
        <v>1184985</v>
      </c>
      <c r="E187" s="11">
        <v>1184985</v>
      </c>
      <c r="F187" s="12">
        <f t="shared" si="9"/>
        <v>2.3889180908422459E-3</v>
      </c>
      <c r="G187" s="24">
        <f t="shared" si="10"/>
        <v>165901.42685533423</v>
      </c>
      <c r="H187" s="23">
        <f t="shared" si="11"/>
        <v>1350886.4268553343</v>
      </c>
    </row>
    <row r="188" spans="1:8" x14ac:dyDescent="0.2">
      <c r="A188">
        <v>2023</v>
      </c>
      <c r="B188" s="3" t="str">
        <f t="shared" si="8"/>
        <v>5077</v>
      </c>
      <c r="C188" s="10" t="s">
        <v>195</v>
      </c>
      <c r="D188" s="11">
        <v>452987</v>
      </c>
      <c r="E188" s="11">
        <v>452897</v>
      </c>
      <c r="F188" s="12">
        <f t="shared" si="9"/>
        <v>9.1321733120364938E-4</v>
      </c>
      <c r="G188" s="24">
        <f t="shared" si="10"/>
        <v>63419.528219274747</v>
      </c>
      <c r="H188" s="23">
        <f t="shared" si="11"/>
        <v>516406.52821927477</v>
      </c>
    </row>
    <row r="189" spans="1:8" x14ac:dyDescent="0.2">
      <c r="A189">
        <v>2023</v>
      </c>
      <c r="B189" s="3" t="str">
        <f t="shared" si="8"/>
        <v>5151</v>
      </c>
      <c r="C189" s="10" t="s">
        <v>196</v>
      </c>
      <c r="D189" s="11">
        <v>401055</v>
      </c>
      <c r="E189" s="11">
        <v>401055</v>
      </c>
      <c r="F189" s="12">
        <f t="shared" si="9"/>
        <v>8.0852293060480675E-4</v>
      </c>
      <c r="G189" s="24">
        <f t="shared" si="10"/>
        <v>56148.89365474337</v>
      </c>
      <c r="H189" s="23">
        <f t="shared" si="11"/>
        <v>457203.89365474338</v>
      </c>
    </row>
    <row r="190" spans="1:8" x14ac:dyDescent="0.2">
      <c r="A190">
        <v>2023</v>
      </c>
      <c r="B190" s="3" t="str">
        <f t="shared" si="8"/>
        <v>5152</v>
      </c>
      <c r="C190" s="10" t="s">
        <v>197</v>
      </c>
      <c r="D190" s="11">
        <v>739422</v>
      </c>
      <c r="E190" s="11">
        <v>739422</v>
      </c>
      <c r="F190" s="12">
        <f t="shared" si="9"/>
        <v>1.490667470530644E-3</v>
      </c>
      <c r="G190" s="24">
        <f t="shared" si="10"/>
        <v>103521.28073201343</v>
      </c>
      <c r="H190" s="23">
        <f t="shared" si="11"/>
        <v>842943.2807320134</v>
      </c>
    </row>
    <row r="191" spans="1:8" x14ac:dyDescent="0.2">
      <c r="A191">
        <v>2023</v>
      </c>
      <c r="B191" s="3" t="str">
        <f t="shared" si="8"/>
        <v>5153</v>
      </c>
      <c r="C191" s="10" t="s">
        <v>198</v>
      </c>
      <c r="D191" s="11">
        <v>138056</v>
      </c>
      <c r="E191" s="11">
        <v>138056</v>
      </c>
      <c r="F191" s="12">
        <f t="shared" si="9"/>
        <v>2.7831953649144682E-4</v>
      </c>
      <c r="G191" s="24">
        <f t="shared" si="10"/>
        <v>19328.250894264504</v>
      </c>
      <c r="H191" s="23">
        <f t="shared" si="11"/>
        <v>157384.25089426449</v>
      </c>
    </row>
    <row r="192" spans="1:8" x14ac:dyDescent="0.2">
      <c r="A192">
        <v>2023</v>
      </c>
      <c r="B192" s="3" t="str">
        <f t="shared" si="8"/>
        <v>5154</v>
      </c>
      <c r="C192" s="10" t="s">
        <v>199</v>
      </c>
      <c r="D192" s="11">
        <v>232697</v>
      </c>
      <c r="E192" s="11">
        <v>232697</v>
      </c>
      <c r="F192" s="12">
        <f t="shared" si="9"/>
        <v>4.6911486051276442E-4</v>
      </c>
      <c r="G192" s="24">
        <f t="shared" si="10"/>
        <v>32578.272573033169</v>
      </c>
      <c r="H192" s="23">
        <f t="shared" si="11"/>
        <v>265275.27257303317</v>
      </c>
    </row>
    <row r="193" spans="1:8" x14ac:dyDescent="0.2">
      <c r="A193">
        <v>2023</v>
      </c>
      <c r="B193" s="3" t="str">
        <f t="shared" si="8"/>
        <v>5155</v>
      </c>
      <c r="C193" s="10" t="s">
        <v>200</v>
      </c>
      <c r="D193" s="11">
        <v>286091</v>
      </c>
      <c r="E193" s="11">
        <v>286091</v>
      </c>
      <c r="F193" s="12">
        <f t="shared" si="9"/>
        <v>5.767566387145398E-4</v>
      </c>
      <c r="G193" s="24">
        <f t="shared" si="10"/>
        <v>40053.591488895996</v>
      </c>
      <c r="H193" s="23">
        <f t="shared" si="11"/>
        <v>326144.591488896</v>
      </c>
    </row>
    <row r="194" spans="1:8" x14ac:dyDescent="0.2">
      <c r="A194">
        <v>2023</v>
      </c>
      <c r="B194" s="3" t="str">
        <f t="shared" si="8"/>
        <v>5156</v>
      </c>
      <c r="C194" s="10" t="s">
        <v>201</v>
      </c>
      <c r="D194" s="11">
        <v>792426</v>
      </c>
      <c r="E194" s="11">
        <v>792426</v>
      </c>
      <c r="F194" s="12">
        <f t="shared" si="9"/>
        <v>1.5975230125729505E-3</v>
      </c>
      <c r="G194" s="24">
        <f t="shared" si="10"/>
        <v>110941.99848712439</v>
      </c>
      <c r="H194" s="23">
        <f t="shared" si="11"/>
        <v>903367.99848712445</v>
      </c>
    </row>
    <row r="195" spans="1:8" x14ac:dyDescent="0.2">
      <c r="A195">
        <v>2023</v>
      </c>
      <c r="B195" s="3" t="str">
        <f t="shared" ref="B195:B258" si="12">LEFT(C195,4)</f>
        <v>5157</v>
      </c>
      <c r="C195" s="10" t="s">
        <v>202</v>
      </c>
      <c r="D195" s="11">
        <v>150444</v>
      </c>
      <c r="E195" s="11">
        <v>150444</v>
      </c>
      <c r="F195" s="12">
        <f t="shared" ref="F195:F258" si="13">D195/$D$340</f>
        <v>3.0329362250042902E-4</v>
      </c>
      <c r="G195" s="24">
        <f t="shared" ref="G195:G258" si="14">F195*$D$341</f>
        <v>21062.607764506643</v>
      </c>
      <c r="H195" s="23">
        <f t="shared" ref="H195:H258" si="15">SUM(G195,D195)</f>
        <v>171506.60776450665</v>
      </c>
    </row>
    <row r="196" spans="1:8" x14ac:dyDescent="0.2">
      <c r="A196">
        <v>2023</v>
      </c>
      <c r="B196" s="3" t="str">
        <f t="shared" si="12"/>
        <v>5158</v>
      </c>
      <c r="C196" s="10" t="s">
        <v>203</v>
      </c>
      <c r="D196" s="11">
        <v>848376</v>
      </c>
      <c r="E196" s="11">
        <v>848376</v>
      </c>
      <c r="F196" s="12">
        <f t="shared" si="13"/>
        <v>1.7103176616044772E-3</v>
      </c>
      <c r="G196" s="24">
        <f t="shared" si="14"/>
        <v>118775.16501037654</v>
      </c>
      <c r="H196" s="23">
        <f t="shared" si="15"/>
        <v>967151.1650103766</v>
      </c>
    </row>
    <row r="197" spans="1:8" x14ac:dyDescent="0.2">
      <c r="A197">
        <v>2023</v>
      </c>
      <c r="B197" s="3" t="str">
        <f t="shared" si="12"/>
        <v>5159</v>
      </c>
      <c r="C197" s="10" t="s">
        <v>204</v>
      </c>
      <c r="D197" s="11">
        <v>1384249</v>
      </c>
      <c r="E197" s="11">
        <v>1384249</v>
      </c>
      <c r="F197" s="12">
        <f t="shared" si="13"/>
        <v>2.7906323525869847E-3</v>
      </c>
      <c r="G197" s="24">
        <f t="shared" si="14"/>
        <v>193798.9799221674</v>
      </c>
      <c r="H197" s="23">
        <f t="shared" si="15"/>
        <v>1578047.9799221675</v>
      </c>
    </row>
    <row r="198" spans="1:8" x14ac:dyDescent="0.2">
      <c r="A198">
        <v>2023</v>
      </c>
      <c r="B198" s="3" t="str">
        <f t="shared" si="12"/>
        <v>5160</v>
      </c>
      <c r="C198" s="10" t="s">
        <v>205</v>
      </c>
      <c r="D198" s="11">
        <v>342543</v>
      </c>
      <c r="E198" s="11">
        <v>342543</v>
      </c>
      <c r="F198" s="12">
        <f t="shared" si="13"/>
        <v>6.9056331480261393E-4</v>
      </c>
      <c r="G198" s="24">
        <f t="shared" si="14"/>
        <v>47957.039506244175</v>
      </c>
      <c r="H198" s="23">
        <f t="shared" si="15"/>
        <v>390500.03950624418</v>
      </c>
    </row>
    <row r="199" spans="1:8" x14ac:dyDescent="0.2">
      <c r="A199">
        <v>2023</v>
      </c>
      <c r="B199" s="3" t="str">
        <f t="shared" si="12"/>
        <v>5161</v>
      </c>
      <c r="C199" s="10" t="s">
        <v>206</v>
      </c>
      <c r="D199" s="11">
        <v>420579</v>
      </c>
      <c r="E199" s="11">
        <v>420579</v>
      </c>
      <c r="F199" s="12">
        <f t="shared" si="13"/>
        <v>8.4788312234192079E-4</v>
      </c>
      <c r="G199" s="24">
        <f t="shared" si="14"/>
        <v>58882.311763768841</v>
      </c>
      <c r="H199" s="23">
        <f t="shared" si="15"/>
        <v>479461.31176376884</v>
      </c>
    </row>
    <row r="200" spans="1:8" x14ac:dyDescent="0.2">
      <c r="A200">
        <v>2023</v>
      </c>
      <c r="B200" s="3" t="str">
        <f t="shared" si="12"/>
        <v>5162</v>
      </c>
      <c r="C200" s="10" t="s">
        <v>207</v>
      </c>
      <c r="D200" s="11">
        <v>433650</v>
      </c>
      <c r="E200" s="11">
        <v>433650</v>
      </c>
      <c r="F200" s="12">
        <f t="shared" si="13"/>
        <v>8.7423412962505005E-4</v>
      </c>
      <c r="G200" s="24">
        <f t="shared" si="14"/>
        <v>60712.29066681493</v>
      </c>
      <c r="H200" s="23">
        <f t="shared" si="15"/>
        <v>494362.29066681495</v>
      </c>
    </row>
    <row r="201" spans="1:8" x14ac:dyDescent="0.2">
      <c r="A201">
        <v>2023</v>
      </c>
      <c r="B201" s="3" t="str">
        <f t="shared" si="12"/>
        <v>5163</v>
      </c>
      <c r="C201" s="10" t="s">
        <v>208</v>
      </c>
      <c r="D201" s="11">
        <v>377290</v>
      </c>
      <c r="E201" s="11">
        <v>377290</v>
      </c>
      <c r="F201" s="12">
        <f t="shared" si="13"/>
        <v>7.606129246310046E-4</v>
      </c>
      <c r="G201" s="24">
        <f t="shared" si="14"/>
        <v>52821.722923285153</v>
      </c>
      <c r="H201" s="23">
        <f t="shared" si="15"/>
        <v>430111.72292328515</v>
      </c>
    </row>
    <row r="202" spans="1:8" x14ac:dyDescent="0.2">
      <c r="A202">
        <v>2023</v>
      </c>
      <c r="B202" s="3" t="str">
        <f t="shared" si="12"/>
        <v>5164</v>
      </c>
      <c r="C202" s="10" t="s">
        <v>209</v>
      </c>
      <c r="D202" s="11">
        <v>402147</v>
      </c>
      <c r="E202" s="11">
        <v>402147</v>
      </c>
      <c r="F202" s="12">
        <f t="shared" si="13"/>
        <v>8.1072439185132024E-4</v>
      </c>
      <c r="G202" s="24">
        <f t="shared" si="14"/>
        <v>56301.776904848666</v>
      </c>
      <c r="H202" s="23">
        <f t="shared" si="15"/>
        <v>458448.77690484864</v>
      </c>
    </row>
    <row r="203" spans="1:8" x14ac:dyDescent="0.2">
      <c r="A203">
        <v>2023</v>
      </c>
      <c r="B203" s="3" t="str">
        <f t="shared" si="12"/>
        <v>5166</v>
      </c>
      <c r="C203" s="10" t="s">
        <v>210</v>
      </c>
      <c r="D203" s="11">
        <v>259222</v>
      </c>
      <c r="E203" s="11">
        <v>259222</v>
      </c>
      <c r="F203" s="12">
        <f t="shared" si="13"/>
        <v>5.2258899930742472E-4</v>
      </c>
      <c r="G203" s="24">
        <f t="shared" si="14"/>
        <v>36291.851519043237</v>
      </c>
      <c r="H203" s="23">
        <f t="shared" si="15"/>
        <v>295513.85151904321</v>
      </c>
    </row>
    <row r="204" spans="1:8" x14ac:dyDescent="0.2">
      <c r="A204">
        <v>2023</v>
      </c>
      <c r="B204" s="3" t="str">
        <f t="shared" si="12"/>
        <v>5167</v>
      </c>
      <c r="C204" s="10" t="s">
        <v>211</v>
      </c>
      <c r="D204" s="11">
        <v>599371</v>
      </c>
      <c r="E204" s="11">
        <v>599371</v>
      </c>
      <c r="F204" s="12">
        <f t="shared" si="13"/>
        <v>1.2083260336849899E-3</v>
      </c>
      <c r="G204" s="24">
        <f t="shared" si="14"/>
        <v>83913.723900056575</v>
      </c>
      <c r="H204" s="23">
        <f t="shared" si="15"/>
        <v>683284.72390005656</v>
      </c>
    </row>
    <row r="205" spans="1:8" x14ac:dyDescent="0.2">
      <c r="A205">
        <v>2023</v>
      </c>
      <c r="B205" s="3" t="str">
        <f t="shared" si="12"/>
        <v>5168</v>
      </c>
      <c r="C205" s="10" t="s">
        <v>212</v>
      </c>
      <c r="D205" s="11">
        <v>685435</v>
      </c>
      <c r="E205" s="11">
        <v>685435</v>
      </c>
      <c r="F205" s="12">
        <f t="shared" si="13"/>
        <v>1.3818302101684451E-3</v>
      </c>
      <c r="G205" s="24">
        <f t="shared" si="14"/>
        <v>95962.940051212485</v>
      </c>
      <c r="H205" s="23">
        <f t="shared" si="15"/>
        <v>781397.94005121244</v>
      </c>
    </row>
    <row r="206" spans="1:8" x14ac:dyDescent="0.2">
      <c r="A206">
        <v>2023</v>
      </c>
      <c r="B206" s="3" t="str">
        <f t="shared" si="12"/>
        <v>5171</v>
      </c>
      <c r="C206" s="10" t="s">
        <v>213</v>
      </c>
      <c r="D206" s="11">
        <v>284283</v>
      </c>
      <c r="E206" s="11">
        <v>284283</v>
      </c>
      <c r="F206" s="12">
        <f t="shared" si="13"/>
        <v>5.7311172851884731E-4</v>
      </c>
      <c r="G206" s="24">
        <f t="shared" si="14"/>
        <v>39800.466107769287</v>
      </c>
      <c r="H206" s="23">
        <f t="shared" si="15"/>
        <v>324083.46610776929</v>
      </c>
    </row>
    <row r="207" spans="1:8" x14ac:dyDescent="0.2">
      <c r="A207">
        <v>2023</v>
      </c>
      <c r="B207" s="3" t="str">
        <f t="shared" si="12"/>
        <v>5172</v>
      </c>
      <c r="C207" s="10" t="s">
        <v>214</v>
      </c>
      <c r="D207" s="11">
        <v>755712</v>
      </c>
      <c r="E207" s="11">
        <v>755712</v>
      </c>
      <c r="F207" s="12">
        <f t="shared" si="13"/>
        <v>1.5235079501146221E-3</v>
      </c>
      <c r="G207" s="24">
        <f t="shared" si="14"/>
        <v>105801.92921572707</v>
      </c>
      <c r="H207" s="23">
        <f t="shared" si="15"/>
        <v>861513.92921572702</v>
      </c>
    </row>
    <row r="208" spans="1:8" x14ac:dyDescent="0.2">
      <c r="A208">
        <v>2023</v>
      </c>
      <c r="B208" s="3" t="str">
        <f t="shared" si="12"/>
        <v>5173</v>
      </c>
      <c r="C208" s="10" t="s">
        <v>215</v>
      </c>
      <c r="D208" s="11">
        <v>361981</v>
      </c>
      <c r="E208" s="11">
        <v>361981</v>
      </c>
      <c r="F208" s="12">
        <f t="shared" si="13"/>
        <v>7.2975013138661419E-4</v>
      </c>
      <c r="G208" s="24">
        <f t="shared" si="14"/>
        <v>50678.417359308973</v>
      </c>
      <c r="H208" s="23">
        <f t="shared" si="15"/>
        <v>412659.41735930898</v>
      </c>
    </row>
    <row r="209" spans="1:8" x14ac:dyDescent="0.2">
      <c r="A209">
        <v>2023</v>
      </c>
      <c r="B209" s="3" t="str">
        <f t="shared" si="12"/>
        <v>5174</v>
      </c>
      <c r="C209" s="10" t="s">
        <v>216</v>
      </c>
      <c r="D209" s="11">
        <v>670847</v>
      </c>
      <c r="E209" s="11">
        <v>670847</v>
      </c>
      <c r="F209" s="12">
        <f t="shared" si="13"/>
        <v>1.3524209458239962E-3</v>
      </c>
      <c r="G209" s="24">
        <f t="shared" si="14"/>
        <v>93920.57663313915</v>
      </c>
      <c r="H209" s="23">
        <f t="shared" si="15"/>
        <v>764767.57663313916</v>
      </c>
    </row>
    <row r="210" spans="1:8" x14ac:dyDescent="0.2">
      <c r="A210">
        <v>2023</v>
      </c>
      <c r="B210" s="3" t="str">
        <f t="shared" si="12"/>
        <v>5175</v>
      </c>
      <c r="C210" s="10" t="s">
        <v>217</v>
      </c>
      <c r="D210" s="11">
        <v>306120</v>
      </c>
      <c r="E210" s="11">
        <v>306120</v>
      </c>
      <c r="F210" s="12">
        <f t="shared" si="13"/>
        <v>6.1713490547865872E-4</v>
      </c>
      <c r="G210" s="24">
        <f t="shared" si="14"/>
        <v>42857.711100946355</v>
      </c>
      <c r="H210" s="23">
        <f t="shared" si="15"/>
        <v>348977.71110094636</v>
      </c>
    </row>
    <row r="211" spans="1:8" x14ac:dyDescent="0.2">
      <c r="A211">
        <v>2023</v>
      </c>
      <c r="B211" s="3" t="str">
        <f t="shared" si="12"/>
        <v>5176</v>
      </c>
      <c r="C211" s="10" t="s">
        <v>218</v>
      </c>
      <c r="D211" s="11">
        <v>2496692</v>
      </c>
      <c r="E211" s="11">
        <v>2496692</v>
      </c>
      <c r="F211" s="12">
        <f t="shared" si="13"/>
        <v>5.0333064857876753E-3</v>
      </c>
      <c r="G211" s="24">
        <f t="shared" si="14"/>
        <v>349544.31087169721</v>
      </c>
      <c r="H211" s="23">
        <f t="shared" si="15"/>
        <v>2846236.310871697</v>
      </c>
    </row>
    <row r="212" spans="1:8" x14ac:dyDescent="0.2">
      <c r="A212">
        <v>2023</v>
      </c>
      <c r="B212" s="3" t="str">
        <f t="shared" si="12"/>
        <v>5185</v>
      </c>
      <c r="C212" s="10" t="s">
        <v>219</v>
      </c>
      <c r="D212" s="11">
        <v>21976456</v>
      </c>
      <c r="E212" s="11">
        <v>21976456</v>
      </c>
      <c r="F212" s="12">
        <f t="shared" si="13"/>
        <v>4.430431888251634E-2</v>
      </c>
      <c r="G212" s="24">
        <f t="shared" si="14"/>
        <v>3076769.2482381393</v>
      </c>
      <c r="H212" s="23">
        <f t="shared" si="15"/>
        <v>25053225.248238139</v>
      </c>
    </row>
    <row r="213" spans="1:8" x14ac:dyDescent="0.2">
      <c r="A213">
        <v>2023</v>
      </c>
      <c r="B213" s="3" t="str">
        <f t="shared" si="12"/>
        <v>5186</v>
      </c>
      <c r="C213" s="10" t="s">
        <v>220</v>
      </c>
      <c r="D213" s="11">
        <v>401351</v>
      </c>
      <c r="E213" s="11">
        <v>401351</v>
      </c>
      <c r="F213" s="12">
        <f t="shared" si="13"/>
        <v>8.0911966368994227E-4</v>
      </c>
      <c r="G213" s="24">
        <f t="shared" si="14"/>
        <v>56190.334535724287</v>
      </c>
      <c r="H213" s="23">
        <f t="shared" si="15"/>
        <v>457541.33453572431</v>
      </c>
    </row>
    <row r="214" spans="1:8" x14ac:dyDescent="0.2">
      <c r="A214">
        <v>2023</v>
      </c>
      <c r="B214" s="3" t="str">
        <f t="shared" si="12"/>
        <v>5187</v>
      </c>
      <c r="C214" s="10" t="s">
        <v>221</v>
      </c>
      <c r="D214" s="11">
        <v>536570</v>
      </c>
      <c r="E214" s="11">
        <v>536570</v>
      </c>
      <c r="F214" s="12">
        <f t="shared" si="13"/>
        <v>1.0817198361187897E-3</v>
      </c>
      <c r="G214" s="24">
        <f t="shared" si="14"/>
        <v>75121.396986262858</v>
      </c>
      <c r="H214" s="23">
        <f t="shared" si="15"/>
        <v>611691.39698626287</v>
      </c>
    </row>
    <row r="215" spans="1:8" x14ac:dyDescent="0.2">
      <c r="A215">
        <v>2023</v>
      </c>
      <c r="B215" s="3" t="str">
        <f t="shared" si="12"/>
        <v>5188</v>
      </c>
      <c r="C215" s="10" t="s">
        <v>222</v>
      </c>
      <c r="D215" s="11">
        <v>313851</v>
      </c>
      <c r="E215" s="11">
        <v>313851</v>
      </c>
      <c r="F215" s="12">
        <f t="shared" si="13"/>
        <v>6.3272052534751899E-4</v>
      </c>
      <c r="G215" s="24">
        <f t="shared" si="14"/>
        <v>43940.074110620393</v>
      </c>
      <c r="H215" s="23">
        <f t="shared" si="15"/>
        <v>357791.07411062042</v>
      </c>
    </row>
    <row r="216" spans="1:8" x14ac:dyDescent="0.2">
      <c r="A216">
        <v>2023</v>
      </c>
      <c r="B216" s="3" t="str">
        <f t="shared" si="12"/>
        <v>5189</v>
      </c>
      <c r="C216" s="10" t="s">
        <v>223</v>
      </c>
      <c r="D216" s="11">
        <v>113449</v>
      </c>
      <c r="E216" s="11">
        <v>113449</v>
      </c>
      <c r="F216" s="12">
        <f t="shared" si="13"/>
        <v>2.2871206680925241E-4</v>
      </c>
      <c r="G216" s="24">
        <f t="shared" si="14"/>
        <v>15883.197656772714</v>
      </c>
      <c r="H216" s="23">
        <f t="shared" si="15"/>
        <v>129332.19765677271</v>
      </c>
    </row>
    <row r="217" spans="1:8" x14ac:dyDescent="0.2">
      <c r="A217">
        <v>2023</v>
      </c>
      <c r="B217" s="3" t="str">
        <f t="shared" si="12"/>
        <v>5190</v>
      </c>
      <c r="C217" s="10" t="s">
        <v>224</v>
      </c>
      <c r="D217" s="11">
        <v>282399</v>
      </c>
      <c r="E217" s="11">
        <v>282399</v>
      </c>
      <c r="F217" s="12">
        <f t="shared" si="13"/>
        <v>5.6931360307156578E-4</v>
      </c>
      <c r="G217" s="24">
        <f t="shared" si="14"/>
        <v>39536.700500444756</v>
      </c>
      <c r="H217" s="23">
        <f t="shared" si="15"/>
        <v>321935.70050044474</v>
      </c>
    </row>
    <row r="218" spans="1:8" x14ac:dyDescent="0.2">
      <c r="A218">
        <v>2023</v>
      </c>
      <c r="B218" s="3" t="str">
        <f t="shared" si="12"/>
        <v>5191</v>
      </c>
      <c r="C218" s="10" t="s">
        <v>225</v>
      </c>
      <c r="D218" s="11">
        <v>1032686</v>
      </c>
      <c r="E218" s="11">
        <v>1032686</v>
      </c>
      <c r="F218" s="12">
        <f t="shared" si="13"/>
        <v>2.0818848066089576E-3</v>
      </c>
      <c r="G218" s="24">
        <f t="shared" si="14"/>
        <v>144579.11356981538</v>
      </c>
      <c r="H218" s="23">
        <f t="shared" si="15"/>
        <v>1177265.1135698154</v>
      </c>
    </row>
    <row r="219" spans="1:8" x14ac:dyDescent="0.2">
      <c r="A219">
        <v>2023</v>
      </c>
      <c r="B219" s="3" t="str">
        <f t="shared" si="12"/>
        <v>5192</v>
      </c>
      <c r="C219" s="10" t="s">
        <v>226</v>
      </c>
      <c r="D219" s="11">
        <v>328329</v>
      </c>
      <c r="E219" s="11">
        <v>328329</v>
      </c>
      <c r="F219" s="12">
        <f t="shared" si="13"/>
        <v>6.6190803077519446E-4</v>
      </c>
      <c r="G219" s="24">
        <f t="shared" si="14"/>
        <v>45967.037201302155</v>
      </c>
      <c r="H219" s="23">
        <f t="shared" si="15"/>
        <v>374296.03720130213</v>
      </c>
    </row>
    <row r="220" spans="1:8" x14ac:dyDescent="0.2">
      <c r="A220">
        <v>2023</v>
      </c>
      <c r="B220" s="3" t="str">
        <f t="shared" si="12"/>
        <v>5193</v>
      </c>
      <c r="C220" s="10" t="s">
        <v>227</v>
      </c>
      <c r="D220" s="11">
        <v>1675877</v>
      </c>
      <c r="E220" s="11">
        <v>1675877</v>
      </c>
      <c r="F220" s="12">
        <f t="shared" si="13"/>
        <v>3.3785515287758331E-3</v>
      </c>
      <c r="G220" s="24">
        <f t="shared" si="14"/>
        <v>234627.76789076399</v>
      </c>
      <c r="H220" s="23">
        <f t="shared" si="15"/>
        <v>1910504.7678907639</v>
      </c>
    </row>
    <row r="221" spans="1:8" x14ac:dyDescent="0.2">
      <c r="A221">
        <v>2023</v>
      </c>
      <c r="B221" s="3" t="str">
        <f t="shared" si="12"/>
        <v>5195</v>
      </c>
      <c r="C221" s="10" t="s">
        <v>228</v>
      </c>
      <c r="D221" s="11">
        <v>975325</v>
      </c>
      <c r="E221" s="11">
        <v>975325</v>
      </c>
      <c r="F221" s="12">
        <f t="shared" si="13"/>
        <v>1.9662455954722749E-3</v>
      </c>
      <c r="G221" s="24">
        <f t="shared" si="14"/>
        <v>136548.40284702243</v>
      </c>
      <c r="H221" s="23">
        <f t="shared" si="15"/>
        <v>1111873.4028470225</v>
      </c>
    </row>
    <row r="222" spans="1:8" x14ac:dyDescent="0.2">
      <c r="A222">
        <v>2023</v>
      </c>
      <c r="B222" s="3" t="str">
        <f t="shared" si="12"/>
        <v>5196</v>
      </c>
      <c r="C222" s="10" t="s">
        <v>229</v>
      </c>
      <c r="D222" s="11">
        <v>590790</v>
      </c>
      <c r="E222" s="11">
        <v>590790</v>
      </c>
      <c r="F222" s="12">
        <f t="shared" si="13"/>
        <v>1.1910268221865176E-3</v>
      </c>
      <c r="G222" s="24">
        <f t="shared" si="14"/>
        <v>82712.358360538667</v>
      </c>
      <c r="H222" s="23">
        <f t="shared" si="15"/>
        <v>673502.35836053872</v>
      </c>
    </row>
    <row r="223" spans="1:8" x14ac:dyDescent="0.2">
      <c r="A223">
        <v>2023</v>
      </c>
      <c r="B223" s="3" t="str">
        <f t="shared" si="12"/>
        <v>5197</v>
      </c>
      <c r="C223" s="10" t="s">
        <v>230</v>
      </c>
      <c r="D223" s="11">
        <v>294461</v>
      </c>
      <c r="E223" s="11">
        <v>294461</v>
      </c>
      <c r="F223" s="12">
        <f t="shared" si="13"/>
        <v>5.9363047629083798E-4</v>
      </c>
      <c r="G223" s="24">
        <f t="shared" si="14"/>
        <v>41225.416400417373</v>
      </c>
      <c r="H223" s="23">
        <f t="shared" si="15"/>
        <v>335686.41640041739</v>
      </c>
    </row>
    <row r="224" spans="1:8" x14ac:dyDescent="0.2">
      <c r="A224">
        <v>2023</v>
      </c>
      <c r="B224" s="3" t="str">
        <f t="shared" si="12"/>
        <v>5198</v>
      </c>
      <c r="C224" s="10" t="s">
        <v>231</v>
      </c>
      <c r="D224" s="11">
        <v>1476201</v>
      </c>
      <c r="E224" s="11">
        <v>1476201</v>
      </c>
      <c r="F224" s="12">
        <f t="shared" si="13"/>
        <v>2.9760066790882706E-3</v>
      </c>
      <c r="G224" s="24">
        <f t="shared" si="14"/>
        <v>206672.53359770062</v>
      </c>
      <c r="H224" s="23">
        <f t="shared" si="15"/>
        <v>1682873.5335977005</v>
      </c>
    </row>
    <row r="225" spans="1:8" x14ac:dyDescent="0.2">
      <c r="A225">
        <v>2023</v>
      </c>
      <c r="B225" s="3" t="str">
        <f t="shared" si="12"/>
        <v>5199</v>
      </c>
      <c r="C225" s="10" t="s">
        <v>232</v>
      </c>
      <c r="D225" s="11">
        <v>443730</v>
      </c>
      <c r="E225" s="11">
        <v>443730</v>
      </c>
      <c r="F225" s="12">
        <f t="shared" si="13"/>
        <v>8.9455531036209724E-4</v>
      </c>
      <c r="G225" s="24">
        <f t="shared" si="14"/>
        <v>62123.520667786899</v>
      </c>
      <c r="H225" s="23">
        <f t="shared" si="15"/>
        <v>505853.52066778688</v>
      </c>
    </row>
    <row r="226" spans="1:8" x14ac:dyDescent="0.2">
      <c r="A226">
        <v>2023</v>
      </c>
      <c r="B226" s="3" t="str">
        <f t="shared" si="12"/>
        <v>5200</v>
      </c>
      <c r="C226" s="10" t="s">
        <v>233</v>
      </c>
      <c r="D226" s="11">
        <v>1063198</v>
      </c>
      <c r="E226" s="11">
        <v>1063198</v>
      </c>
      <c r="F226" s="12">
        <f t="shared" si="13"/>
        <v>2.143396698141575E-3</v>
      </c>
      <c r="G226" s="24">
        <f t="shared" si="14"/>
        <v>148850.88438228134</v>
      </c>
      <c r="H226" s="23">
        <f t="shared" si="15"/>
        <v>1212048.8843822815</v>
      </c>
    </row>
    <row r="227" spans="1:8" x14ac:dyDescent="0.2">
      <c r="A227">
        <v>2023</v>
      </c>
      <c r="B227" s="3" t="str">
        <f t="shared" si="12"/>
        <v>5201</v>
      </c>
      <c r="C227" s="10" t="s">
        <v>234</v>
      </c>
      <c r="D227" s="11">
        <v>212561</v>
      </c>
      <c r="E227" s="11">
        <v>212561</v>
      </c>
      <c r="F227" s="12">
        <f t="shared" si="13"/>
        <v>4.2852088280232972E-4</v>
      </c>
      <c r="G227" s="24">
        <f t="shared" si="14"/>
        <v>29759.17264252012</v>
      </c>
      <c r="H227" s="23">
        <f t="shared" si="15"/>
        <v>242320.17264252011</v>
      </c>
    </row>
    <row r="228" spans="1:8" x14ac:dyDescent="0.2">
      <c r="A228">
        <v>2023</v>
      </c>
      <c r="B228" s="3" t="str">
        <f t="shared" si="12"/>
        <v>5202</v>
      </c>
      <c r="C228" s="10" t="s">
        <v>235</v>
      </c>
      <c r="D228" s="11">
        <v>288226</v>
      </c>
      <c r="E228" s="11">
        <v>288226</v>
      </c>
      <c r="F228" s="12">
        <f t="shared" si="13"/>
        <v>5.8106077769009494E-4</v>
      </c>
      <c r="G228" s="24">
        <f t="shared" si="14"/>
        <v>40352.497843268531</v>
      </c>
      <c r="H228" s="23">
        <f t="shared" si="15"/>
        <v>328578.49784326856</v>
      </c>
    </row>
    <row r="229" spans="1:8" x14ac:dyDescent="0.2">
      <c r="A229">
        <v>2023</v>
      </c>
      <c r="B229" s="3" t="str">
        <f t="shared" si="12"/>
        <v>5203</v>
      </c>
      <c r="C229" s="10" t="s">
        <v>236</v>
      </c>
      <c r="D229" s="11">
        <v>793995</v>
      </c>
      <c r="E229" s="11">
        <v>793995</v>
      </c>
      <c r="F229" s="12">
        <f t="shared" si="13"/>
        <v>1.6006861011221992E-3</v>
      </c>
      <c r="G229" s="24">
        <f t="shared" si="14"/>
        <v>111161.66315691854</v>
      </c>
      <c r="H229" s="23">
        <f t="shared" si="15"/>
        <v>905156.66315691848</v>
      </c>
    </row>
    <row r="230" spans="1:8" x14ac:dyDescent="0.2">
      <c r="A230">
        <v>2023</v>
      </c>
      <c r="B230" s="3" t="str">
        <f t="shared" si="12"/>
        <v>5204</v>
      </c>
      <c r="C230" s="10" t="s">
        <v>237</v>
      </c>
      <c r="D230" s="11">
        <v>1142451</v>
      </c>
      <c r="E230" s="11">
        <v>1142451</v>
      </c>
      <c r="F230" s="12">
        <f t="shared" si="13"/>
        <v>2.3031699656964558E-3</v>
      </c>
      <c r="G230" s="24">
        <f t="shared" si="14"/>
        <v>159946.54026194714</v>
      </c>
      <c r="H230" s="23">
        <f t="shared" si="15"/>
        <v>1302397.5402619471</v>
      </c>
    </row>
    <row r="231" spans="1:8" x14ac:dyDescent="0.2">
      <c r="A231">
        <v>2023</v>
      </c>
      <c r="B231" s="3" t="str">
        <f t="shared" si="12"/>
        <v>5205</v>
      </c>
      <c r="C231" s="10" t="s">
        <v>238</v>
      </c>
      <c r="D231" s="11">
        <v>536196</v>
      </c>
      <c r="E231" s="11">
        <v>536196</v>
      </c>
      <c r="F231" s="12">
        <f t="shared" si="13"/>
        <v>1.0809658558017603E-3</v>
      </c>
      <c r="G231" s="24">
        <f t="shared" si="14"/>
        <v>75069.03587313155</v>
      </c>
      <c r="H231" s="23">
        <f t="shared" si="15"/>
        <v>611265.03587313159</v>
      </c>
    </row>
    <row r="232" spans="1:8" x14ac:dyDescent="0.2">
      <c r="A232">
        <v>2023</v>
      </c>
      <c r="B232" s="3" t="str">
        <f t="shared" si="12"/>
        <v>5206</v>
      </c>
      <c r="C232" s="10" t="s">
        <v>239</v>
      </c>
      <c r="D232" s="11">
        <v>529940</v>
      </c>
      <c r="E232" s="11">
        <v>529940</v>
      </c>
      <c r="F232" s="12">
        <f t="shared" si="13"/>
        <v>1.0683538214078152E-3</v>
      </c>
      <c r="G232" s="24">
        <f t="shared" si="14"/>
        <v>74193.177253480695</v>
      </c>
      <c r="H232" s="23">
        <f t="shared" si="15"/>
        <v>604133.17725348065</v>
      </c>
    </row>
    <row r="233" spans="1:8" x14ac:dyDescent="0.2">
      <c r="A233">
        <v>2023</v>
      </c>
      <c r="B233" s="3" t="str">
        <f t="shared" si="12"/>
        <v>5207</v>
      </c>
      <c r="C233" s="10" t="s">
        <v>240</v>
      </c>
      <c r="D233" s="11">
        <v>1148563</v>
      </c>
      <c r="E233" s="11">
        <v>1148563</v>
      </c>
      <c r="F233" s="12">
        <f t="shared" si="13"/>
        <v>2.3154916975084432E-3</v>
      </c>
      <c r="G233" s="24">
        <f t="shared" si="14"/>
        <v>160802.23845301269</v>
      </c>
      <c r="H233" s="23">
        <f t="shared" si="15"/>
        <v>1309365.2384530127</v>
      </c>
    </row>
    <row r="234" spans="1:8" x14ac:dyDescent="0.2">
      <c r="A234">
        <v>2023</v>
      </c>
      <c r="B234" s="3" t="str">
        <f t="shared" si="12"/>
        <v>5208</v>
      </c>
      <c r="C234" s="10" t="s">
        <v>241</v>
      </c>
      <c r="D234" s="11">
        <v>372717</v>
      </c>
      <c r="E234" s="11">
        <v>372717</v>
      </c>
      <c r="F234" s="12">
        <f t="shared" si="13"/>
        <v>7.5139380166369142E-4</v>
      </c>
      <c r="G234" s="24">
        <f t="shared" si="14"/>
        <v>52181.489312725149</v>
      </c>
      <c r="H234" s="23">
        <f t="shared" si="15"/>
        <v>424898.48931272514</v>
      </c>
    </row>
    <row r="235" spans="1:8" x14ac:dyDescent="0.2">
      <c r="A235">
        <v>2023</v>
      </c>
      <c r="B235" s="3" t="str">
        <f t="shared" si="12"/>
        <v>5210</v>
      </c>
      <c r="C235" s="10" t="s">
        <v>242</v>
      </c>
      <c r="D235" s="11">
        <v>3718992</v>
      </c>
      <c r="E235" s="11">
        <v>3718992</v>
      </c>
      <c r="F235" s="12">
        <f t="shared" si="13"/>
        <v>7.4974512491698935E-3</v>
      </c>
      <c r="G235" s="24">
        <f t="shared" si="14"/>
        <v>520669.94878717721</v>
      </c>
      <c r="H235" s="23">
        <f t="shared" si="15"/>
        <v>4239661.948787177</v>
      </c>
    </row>
    <row r="236" spans="1:8" x14ac:dyDescent="0.2">
      <c r="A236">
        <v>2023</v>
      </c>
      <c r="B236" s="3" t="str">
        <f t="shared" si="12"/>
        <v>5212</v>
      </c>
      <c r="C236" s="10" t="s">
        <v>243</v>
      </c>
      <c r="D236" s="11">
        <v>930576</v>
      </c>
      <c r="E236" s="11">
        <v>930576</v>
      </c>
      <c r="F236" s="12">
        <f t="shared" si="13"/>
        <v>1.8760320521387307E-3</v>
      </c>
      <c r="G236" s="24">
        <f t="shared" si="14"/>
        <v>130283.40966115985</v>
      </c>
      <c r="H236" s="23">
        <f t="shared" si="15"/>
        <v>1060859.4096611599</v>
      </c>
    </row>
    <row r="237" spans="1:8" x14ac:dyDescent="0.2">
      <c r="A237">
        <v>2023</v>
      </c>
      <c r="B237" s="3" t="str">
        <f t="shared" si="12"/>
        <v>5213</v>
      </c>
      <c r="C237" s="10" t="s">
        <v>244</v>
      </c>
      <c r="D237" s="11">
        <v>735128</v>
      </c>
      <c r="E237" s="11">
        <v>735128</v>
      </c>
      <c r="F237" s="12">
        <f t="shared" si="13"/>
        <v>1.4820108088158741E-3</v>
      </c>
      <c r="G237" s="24">
        <f t="shared" si="14"/>
        <v>102920.10795183748</v>
      </c>
      <c r="H237" s="23">
        <f t="shared" si="15"/>
        <v>838048.10795183748</v>
      </c>
    </row>
    <row r="238" spans="1:8" x14ac:dyDescent="0.2">
      <c r="A238">
        <v>2023</v>
      </c>
      <c r="B238" s="3" t="str">
        <f t="shared" si="12"/>
        <v>5214</v>
      </c>
      <c r="C238" s="10" t="s">
        <v>245</v>
      </c>
      <c r="D238" s="11">
        <v>3612609</v>
      </c>
      <c r="E238" s="11">
        <v>3612609</v>
      </c>
      <c r="F238" s="12">
        <f t="shared" si="13"/>
        <v>7.2829841687780984E-3</v>
      </c>
      <c r="G238" s="24">
        <f t="shared" si="14"/>
        <v>505776.01216084772</v>
      </c>
      <c r="H238" s="23">
        <f t="shared" si="15"/>
        <v>4118385.0121608479</v>
      </c>
    </row>
    <row r="239" spans="1:8" x14ac:dyDescent="0.2">
      <c r="A239">
        <v>2023</v>
      </c>
      <c r="B239" s="3" t="str">
        <f t="shared" si="12"/>
        <v>5215</v>
      </c>
      <c r="C239" s="10" t="s">
        <v>246</v>
      </c>
      <c r="D239" s="11">
        <v>807078</v>
      </c>
      <c r="E239" s="11">
        <v>807078</v>
      </c>
      <c r="F239" s="12">
        <f t="shared" si="13"/>
        <v>1.6270613002871582E-3</v>
      </c>
      <c r="G239" s="24">
        <f t="shared" si="14"/>
        <v>112993.32209568007</v>
      </c>
      <c r="H239" s="23">
        <f t="shared" si="15"/>
        <v>920071.32209568005</v>
      </c>
    </row>
    <row r="240" spans="1:8" x14ac:dyDescent="0.2">
      <c r="A240">
        <v>2023</v>
      </c>
      <c r="B240" s="3" t="str">
        <f t="shared" si="12"/>
        <v>5150</v>
      </c>
      <c r="C240" s="3" t="s">
        <v>247</v>
      </c>
      <c r="D240" s="13">
        <v>1047376</v>
      </c>
      <c r="E240" s="13">
        <v>1047376</v>
      </c>
      <c r="F240" s="12">
        <f t="shared" si="13"/>
        <v>2.1114997019489601E-3</v>
      </c>
      <c r="G240" s="24">
        <f t="shared" si="14"/>
        <v>146635.75729146998</v>
      </c>
      <c r="H240" s="23">
        <f t="shared" si="15"/>
        <v>1194011.75729147</v>
      </c>
    </row>
    <row r="241" spans="1:8" x14ac:dyDescent="0.2">
      <c r="A241">
        <v>2023</v>
      </c>
      <c r="B241" s="3" t="str">
        <f t="shared" si="12"/>
        <v>5217</v>
      </c>
      <c r="C241" s="10" t="s">
        <v>248</v>
      </c>
      <c r="D241" s="11">
        <v>125073</v>
      </c>
      <c r="E241" s="11">
        <v>125073</v>
      </c>
      <c r="F241" s="12">
        <f t="shared" si="13"/>
        <v>2.5214593634173619E-4</v>
      </c>
      <c r="G241" s="24">
        <f t="shared" si="14"/>
        <v>17510.592253131661</v>
      </c>
      <c r="H241" s="23">
        <f t="shared" si="15"/>
        <v>142583.59225313168</v>
      </c>
    </row>
    <row r="242" spans="1:8" x14ac:dyDescent="0.2">
      <c r="A242">
        <v>2023</v>
      </c>
      <c r="B242" s="3" t="str">
        <f t="shared" si="12"/>
        <v>5218</v>
      </c>
      <c r="C242" s="10" t="s">
        <v>249</v>
      </c>
      <c r="D242" s="11">
        <v>318260</v>
      </c>
      <c r="E242" s="11">
        <v>318260</v>
      </c>
      <c r="F242" s="12">
        <f t="shared" si="13"/>
        <v>6.416090259298246E-4</v>
      </c>
      <c r="G242" s="24">
        <f t="shared" si="14"/>
        <v>44557.34723306934</v>
      </c>
      <c r="H242" s="23">
        <f t="shared" si="15"/>
        <v>362817.34723306936</v>
      </c>
    </row>
    <row r="243" spans="1:8" x14ac:dyDescent="0.2">
      <c r="A243">
        <v>2023</v>
      </c>
      <c r="B243" s="3" t="str">
        <f t="shared" si="12"/>
        <v>5219</v>
      </c>
      <c r="C243" s="10" t="s">
        <v>250</v>
      </c>
      <c r="D243" s="11">
        <v>219322</v>
      </c>
      <c r="E243" s="11">
        <v>219322</v>
      </c>
      <c r="F243" s="12">
        <f t="shared" si="13"/>
        <v>4.4215099222327971E-4</v>
      </c>
      <c r="G243" s="24">
        <f t="shared" si="14"/>
        <v>30705.732765195862</v>
      </c>
      <c r="H243" s="23">
        <f t="shared" si="15"/>
        <v>250027.73276519586</v>
      </c>
    </row>
    <row r="244" spans="1:8" x14ac:dyDescent="0.2">
      <c r="A244">
        <v>2023</v>
      </c>
      <c r="B244" s="3" t="str">
        <f t="shared" si="12"/>
        <v>5220</v>
      </c>
      <c r="C244" s="10" t="s">
        <v>251</v>
      </c>
      <c r="D244" s="11">
        <v>442383</v>
      </c>
      <c r="E244" s="11">
        <v>442383</v>
      </c>
      <c r="F244" s="12">
        <f t="shared" si="13"/>
        <v>8.9183977162670021E-4</v>
      </c>
      <c r="G244" s="24">
        <f t="shared" si="14"/>
        <v>61934.936658728446</v>
      </c>
      <c r="H244" s="23">
        <f t="shared" si="15"/>
        <v>504317.93665872846</v>
      </c>
    </row>
    <row r="245" spans="1:8" x14ac:dyDescent="0.2">
      <c r="A245">
        <v>2023</v>
      </c>
      <c r="B245" s="3" t="str">
        <f t="shared" si="12"/>
        <v>5222</v>
      </c>
      <c r="C245" s="10" t="s">
        <v>252</v>
      </c>
      <c r="D245" s="11">
        <v>381216</v>
      </c>
      <c r="E245" s="11">
        <v>381216</v>
      </c>
      <c r="F245" s="12">
        <f t="shared" si="13"/>
        <v>7.685277019696601E-4</v>
      </c>
      <c r="G245" s="24">
        <f t="shared" si="14"/>
        <v>53371.374608187529</v>
      </c>
      <c r="H245" s="23">
        <f t="shared" si="15"/>
        <v>434587.37460818753</v>
      </c>
    </row>
    <row r="246" spans="1:8" x14ac:dyDescent="0.2">
      <c r="A246">
        <v>2023</v>
      </c>
      <c r="B246" s="3" t="str">
        <f t="shared" si="12"/>
        <v>5223</v>
      </c>
      <c r="C246" s="10" t="s">
        <v>253</v>
      </c>
      <c r="D246" s="11">
        <v>428911</v>
      </c>
      <c r="E246" s="11">
        <v>428911</v>
      </c>
      <c r="F246" s="12">
        <f t="shared" si="13"/>
        <v>8.6468035229242445E-4</v>
      </c>
      <c r="G246" s="24">
        <f t="shared" si="14"/>
        <v>60048.816562191307</v>
      </c>
      <c r="H246" s="23">
        <f t="shared" si="15"/>
        <v>488959.81656219129</v>
      </c>
    </row>
    <row r="247" spans="1:8" x14ac:dyDescent="0.2">
      <c r="A247">
        <v>2023</v>
      </c>
      <c r="B247" s="3" t="str">
        <f t="shared" si="12"/>
        <v>5226</v>
      </c>
      <c r="C247" s="10" t="s">
        <v>254</v>
      </c>
      <c r="D247" s="11">
        <v>275717</v>
      </c>
      <c r="E247" s="11">
        <v>275717</v>
      </c>
      <c r="F247" s="12">
        <f t="shared" si="13"/>
        <v>5.5584275687266217E-4</v>
      </c>
      <c r="G247" s="24">
        <f t="shared" si="14"/>
        <v>38601.200612895685</v>
      </c>
      <c r="H247" s="23">
        <f t="shared" si="15"/>
        <v>314318.20061289566</v>
      </c>
    </row>
    <row r="248" spans="1:8" x14ac:dyDescent="0.2">
      <c r="A248">
        <v>2023</v>
      </c>
      <c r="B248" s="3" t="str">
        <f t="shared" si="12"/>
        <v>5227</v>
      </c>
      <c r="C248" s="10" t="s">
        <v>255</v>
      </c>
      <c r="D248" s="11">
        <v>100358</v>
      </c>
      <c r="E248" s="11">
        <v>100358</v>
      </c>
      <c r="F248" s="12">
        <f t="shared" si="13"/>
        <v>2.023207397230734E-4</v>
      </c>
      <c r="G248" s="24">
        <f t="shared" si="14"/>
        <v>14050.418694200884</v>
      </c>
      <c r="H248" s="23">
        <f t="shared" si="15"/>
        <v>114408.41869420088</v>
      </c>
    </row>
    <row r="249" spans="1:8" x14ac:dyDescent="0.2">
      <c r="A249">
        <v>2023</v>
      </c>
      <c r="B249" s="3" t="str">
        <f t="shared" si="12"/>
        <v>5228</v>
      </c>
      <c r="C249" s="10" t="s">
        <v>256</v>
      </c>
      <c r="D249" s="11">
        <v>203936</v>
      </c>
      <c r="E249" s="11">
        <v>203936</v>
      </c>
      <c r="F249" s="12">
        <f t="shared" si="13"/>
        <v>4.1113296773714794E-4</v>
      </c>
      <c r="G249" s="24">
        <f t="shared" si="14"/>
        <v>28551.646972045586</v>
      </c>
      <c r="H249" s="23">
        <f t="shared" si="15"/>
        <v>232487.64697204559</v>
      </c>
    </row>
    <row r="250" spans="1:8" x14ac:dyDescent="0.2">
      <c r="A250">
        <v>2023</v>
      </c>
      <c r="B250" s="3" t="str">
        <f t="shared" si="12"/>
        <v>5229</v>
      </c>
      <c r="C250" s="10" t="s">
        <v>257</v>
      </c>
      <c r="D250" s="11">
        <v>358267</v>
      </c>
      <c r="E250" s="11">
        <v>358267</v>
      </c>
      <c r="F250" s="12">
        <f t="shared" si="13"/>
        <v>7.2226274396028551E-4</v>
      </c>
      <c r="G250" s="24">
        <f t="shared" si="14"/>
        <v>50158.446305379417</v>
      </c>
      <c r="H250" s="23">
        <f t="shared" si="15"/>
        <v>408425.44630537939</v>
      </c>
    </row>
    <row r="251" spans="1:8" x14ac:dyDescent="0.2">
      <c r="A251">
        <v>2023</v>
      </c>
      <c r="B251" s="3" t="str">
        <f t="shared" si="12"/>
        <v>5230</v>
      </c>
      <c r="C251" s="10" t="s">
        <v>258</v>
      </c>
      <c r="D251" s="11">
        <v>735897</v>
      </c>
      <c r="E251" s="11">
        <v>735897</v>
      </c>
      <c r="F251" s="12">
        <f t="shared" si="13"/>
        <v>1.4835611052431349E-3</v>
      </c>
      <c r="G251" s="24">
        <f t="shared" si="14"/>
        <v>103027.77024060211</v>
      </c>
      <c r="H251" s="23">
        <f t="shared" si="15"/>
        <v>838924.77024060208</v>
      </c>
    </row>
    <row r="252" spans="1:8" x14ac:dyDescent="0.2">
      <c r="A252">
        <v>2023</v>
      </c>
      <c r="B252" s="3" t="str">
        <f t="shared" si="12"/>
        <v>5231</v>
      </c>
      <c r="C252" s="10" t="s">
        <v>259</v>
      </c>
      <c r="D252" s="11">
        <v>1456788</v>
      </c>
      <c r="E252" s="11">
        <v>1456788</v>
      </c>
      <c r="F252" s="12">
        <f t="shared" si="13"/>
        <v>2.9368702622580823E-3</v>
      </c>
      <c r="G252" s="24">
        <f t="shared" si="14"/>
        <v>203954.65581904296</v>
      </c>
      <c r="H252" s="23">
        <f t="shared" si="15"/>
        <v>1660742.6558190431</v>
      </c>
    </row>
    <row r="253" spans="1:8" x14ac:dyDescent="0.2">
      <c r="A253">
        <v>2023</v>
      </c>
      <c r="B253" s="3" t="str">
        <f t="shared" si="12"/>
        <v>5233</v>
      </c>
      <c r="C253" s="10" t="s">
        <v>260</v>
      </c>
      <c r="D253" s="11">
        <v>6286205</v>
      </c>
      <c r="E253" s="11">
        <v>6286205</v>
      </c>
      <c r="F253" s="12">
        <f t="shared" si="13"/>
        <v>1.2672927376500952E-2</v>
      </c>
      <c r="G253" s="24">
        <f t="shared" si="14"/>
        <v>880087.40954960301</v>
      </c>
      <c r="H253" s="23">
        <f t="shared" si="15"/>
        <v>7166292.4095496032</v>
      </c>
    </row>
    <row r="254" spans="1:8" x14ac:dyDescent="0.2">
      <c r="A254">
        <v>2023</v>
      </c>
      <c r="B254" s="3" t="str">
        <f t="shared" si="12"/>
        <v>5235</v>
      </c>
      <c r="C254" s="10" t="s">
        <v>261</v>
      </c>
      <c r="D254" s="11">
        <v>238518</v>
      </c>
      <c r="E254" s="11">
        <v>238518</v>
      </c>
      <c r="F254" s="12">
        <f t="shared" si="13"/>
        <v>4.8084993919037862E-4</v>
      </c>
      <c r="G254" s="24">
        <f t="shared" si="14"/>
        <v>33393.229897999219</v>
      </c>
      <c r="H254" s="23">
        <f t="shared" si="15"/>
        <v>271911.2298979992</v>
      </c>
    </row>
    <row r="255" spans="1:8" x14ac:dyDescent="0.2">
      <c r="A255">
        <v>2023</v>
      </c>
      <c r="B255" s="3" t="str">
        <f t="shared" si="12"/>
        <v>5236</v>
      </c>
      <c r="C255" s="10" t="s">
        <v>262</v>
      </c>
      <c r="D255" s="11">
        <v>578698</v>
      </c>
      <c r="E255" s="11">
        <v>578698</v>
      </c>
      <c r="F255" s="12">
        <f t="shared" si="13"/>
        <v>1.1666494692626709E-3</v>
      </c>
      <c r="G255" s="24">
        <f t="shared" si="14"/>
        <v>81019.442371277444</v>
      </c>
      <c r="H255" s="23">
        <f t="shared" si="15"/>
        <v>659717.44237127749</v>
      </c>
    </row>
    <row r="256" spans="1:8" x14ac:dyDescent="0.2">
      <c r="A256">
        <v>2023</v>
      </c>
      <c r="B256" s="3" t="str">
        <f t="shared" si="12"/>
        <v>5237</v>
      </c>
      <c r="C256" s="10" t="s">
        <v>263</v>
      </c>
      <c r="D256" s="11">
        <v>244672</v>
      </c>
      <c r="E256" s="11">
        <v>244672</v>
      </c>
      <c r="F256" s="12">
        <f t="shared" si="13"/>
        <v>4.9325634258877036E-4</v>
      </c>
      <c r="G256" s="24">
        <f t="shared" si="14"/>
        <v>34254.80821406882</v>
      </c>
      <c r="H256" s="23">
        <f t="shared" si="15"/>
        <v>278926.80821406882</v>
      </c>
    </row>
    <row r="257" spans="1:8" x14ac:dyDescent="0.2">
      <c r="A257">
        <v>2023</v>
      </c>
      <c r="B257" s="3" t="str">
        <f t="shared" si="12"/>
        <v>5238</v>
      </c>
      <c r="C257" s="10" t="s">
        <v>264</v>
      </c>
      <c r="D257" s="11">
        <v>201371</v>
      </c>
      <c r="E257" s="11">
        <v>201371</v>
      </c>
      <c r="F257" s="12">
        <f t="shared" si="13"/>
        <v>4.0596195299602436E-4</v>
      </c>
      <c r="G257" s="24">
        <f t="shared" si="14"/>
        <v>28192.539337869686</v>
      </c>
      <c r="H257" s="23">
        <f t="shared" si="15"/>
        <v>229563.53933786968</v>
      </c>
    </row>
    <row r="258" spans="1:8" x14ac:dyDescent="0.2">
      <c r="A258">
        <v>2023</v>
      </c>
      <c r="B258" s="3" t="str">
        <f t="shared" si="12"/>
        <v>5239</v>
      </c>
      <c r="C258" s="10" t="s">
        <v>265</v>
      </c>
      <c r="D258" s="11">
        <v>171148</v>
      </c>
      <c r="E258" s="11">
        <v>171148</v>
      </c>
      <c r="F258" s="12">
        <f t="shared" si="13"/>
        <v>3.4503268261747508E-4</v>
      </c>
      <c r="G258" s="24">
        <f t="shared" si="14"/>
        <v>23961.229385550654</v>
      </c>
      <c r="H258" s="23">
        <f t="shared" si="15"/>
        <v>195109.22938555066</v>
      </c>
    </row>
    <row r="259" spans="1:8" x14ac:dyDescent="0.2">
      <c r="A259">
        <v>2023</v>
      </c>
      <c r="B259" s="3" t="str">
        <f t="shared" ref="B259:B322" si="16">LEFT(C259,4)</f>
        <v>5240</v>
      </c>
      <c r="C259" s="10" t="s">
        <v>266</v>
      </c>
      <c r="D259" s="11">
        <v>480937</v>
      </c>
      <c r="E259" s="11">
        <v>480937</v>
      </c>
      <c r="F259" s="12">
        <f t="shared" ref="F259:F322" si="17">D259/$D$340</f>
        <v>9.6956425596560062E-4</v>
      </c>
      <c r="G259" s="24">
        <f t="shared" ref="G259:G322" si="18">F259*$D$341</f>
        <v>67332.611406493656</v>
      </c>
      <c r="H259" s="23">
        <f t="shared" ref="H259:H322" si="19">SUM(G259,D259)</f>
        <v>548269.6114064937</v>
      </c>
    </row>
    <row r="260" spans="1:8" x14ac:dyDescent="0.2">
      <c r="A260">
        <v>2023</v>
      </c>
      <c r="B260" s="3" t="str">
        <f t="shared" si="16"/>
        <v>5241</v>
      </c>
      <c r="C260" s="10" t="s">
        <v>267</v>
      </c>
      <c r="D260" s="11">
        <v>270315</v>
      </c>
      <c r="E260" s="11">
        <v>270315</v>
      </c>
      <c r="F260" s="12">
        <f t="shared" si="17"/>
        <v>5.4495237806893903E-4</v>
      </c>
      <c r="G260" s="24">
        <f t="shared" si="18"/>
        <v>37844.904534993839</v>
      </c>
      <c r="H260" s="23">
        <f t="shared" si="19"/>
        <v>308159.90453499381</v>
      </c>
    </row>
    <row r="261" spans="1:8" x14ac:dyDescent="0.2">
      <c r="A261">
        <v>2023</v>
      </c>
      <c r="B261" s="3" t="str">
        <f t="shared" si="16"/>
        <v>5250</v>
      </c>
      <c r="C261" s="10" t="s">
        <v>268</v>
      </c>
      <c r="D261" s="11">
        <v>625922</v>
      </c>
      <c r="E261" s="11">
        <v>625922</v>
      </c>
      <c r="F261" s="12">
        <f t="shared" si="17"/>
        <v>1.2618525882236149E-3</v>
      </c>
      <c r="G261" s="24">
        <f t="shared" si="18"/>
        <v>87630.9429234501</v>
      </c>
      <c r="H261" s="23">
        <f t="shared" si="19"/>
        <v>713552.94292345014</v>
      </c>
    </row>
    <row r="262" spans="1:8" x14ac:dyDescent="0.2">
      <c r="A262">
        <v>2023</v>
      </c>
      <c r="B262" s="3" t="str">
        <f t="shared" si="16"/>
        <v>5251</v>
      </c>
      <c r="C262" s="10" t="s">
        <v>269</v>
      </c>
      <c r="D262" s="11">
        <v>229155</v>
      </c>
      <c r="E262" s="11">
        <v>229155</v>
      </c>
      <c r="F262" s="12">
        <f t="shared" si="17"/>
        <v>4.6197422339266307E-4</v>
      </c>
      <c r="G262" s="24">
        <f t="shared" si="18"/>
        <v>32082.382031024961</v>
      </c>
      <c r="H262" s="23">
        <f t="shared" si="19"/>
        <v>261237.38203102496</v>
      </c>
    </row>
    <row r="263" spans="1:8" x14ac:dyDescent="0.2">
      <c r="A263">
        <v>2023</v>
      </c>
      <c r="B263" s="3" t="str">
        <f t="shared" si="16"/>
        <v>5267</v>
      </c>
      <c r="C263" s="10" t="s">
        <v>270</v>
      </c>
      <c r="D263" s="11">
        <v>283774</v>
      </c>
      <c r="E263" s="11">
        <v>283774</v>
      </c>
      <c r="F263" s="12">
        <f t="shared" si="17"/>
        <v>5.7208558953123249E-4</v>
      </c>
      <c r="G263" s="24">
        <f t="shared" si="18"/>
        <v>39729.204592839247</v>
      </c>
      <c r="H263" s="23">
        <f t="shared" si="19"/>
        <v>323503.20459283923</v>
      </c>
    </row>
    <row r="264" spans="1:8" x14ac:dyDescent="0.2">
      <c r="A264">
        <v>2023</v>
      </c>
      <c r="B264" s="3" t="str">
        <f t="shared" si="16"/>
        <v>5268</v>
      </c>
      <c r="C264" s="10" t="s">
        <v>271</v>
      </c>
      <c r="D264" s="11">
        <v>213451</v>
      </c>
      <c r="E264" s="11">
        <v>213451</v>
      </c>
      <c r="F264" s="12">
        <f t="shared" si="17"/>
        <v>4.3031511403804118E-4</v>
      </c>
      <c r="G264" s="24">
        <f t="shared" si="18"/>
        <v>29883.775291415459</v>
      </c>
      <c r="H264" s="23">
        <f t="shared" si="19"/>
        <v>243334.77529141546</v>
      </c>
    </row>
    <row r="265" spans="1:8" x14ac:dyDescent="0.2">
      <c r="A265">
        <v>2023</v>
      </c>
      <c r="B265" s="3" t="str">
        <f t="shared" si="16"/>
        <v>5270</v>
      </c>
      <c r="C265" s="10" t="s">
        <v>272</v>
      </c>
      <c r="D265" s="11">
        <v>357922</v>
      </c>
      <c r="E265" s="11">
        <v>357922</v>
      </c>
      <c r="F265" s="12">
        <f t="shared" si="17"/>
        <v>7.2156722735767826E-4</v>
      </c>
      <c r="G265" s="24">
        <f t="shared" si="18"/>
        <v>50110.145278560434</v>
      </c>
      <c r="H265" s="23">
        <f t="shared" si="19"/>
        <v>408032.14527856046</v>
      </c>
    </row>
    <row r="266" spans="1:8" x14ac:dyDescent="0.2">
      <c r="A266">
        <v>2023</v>
      </c>
      <c r="B266" s="3" t="str">
        <f t="shared" si="16"/>
        <v>5271</v>
      </c>
      <c r="C266" s="10" t="s">
        <v>273</v>
      </c>
      <c r="D266" s="11">
        <v>83317</v>
      </c>
      <c r="E266" s="11">
        <v>83317</v>
      </c>
      <c r="F266" s="12">
        <f t="shared" si="17"/>
        <v>1.6796625153457927E-4</v>
      </c>
      <c r="G266" s="24">
        <f t="shared" si="18"/>
        <v>11664.627975295791</v>
      </c>
      <c r="H266" s="23">
        <f t="shared" si="19"/>
        <v>94981.627975295793</v>
      </c>
    </row>
    <row r="267" spans="1:8" x14ac:dyDescent="0.2">
      <c r="A267">
        <v>2023</v>
      </c>
      <c r="B267" s="3" t="str">
        <f t="shared" si="16"/>
        <v>5272</v>
      </c>
      <c r="C267" s="10" t="s">
        <v>274</v>
      </c>
      <c r="D267" s="11">
        <v>4010562</v>
      </c>
      <c r="E267" s="11">
        <v>4010562</v>
      </c>
      <c r="F267" s="12">
        <f t="shared" si="17"/>
        <v>8.0852534979298975E-3</v>
      </c>
      <c r="G267" s="24">
        <f t="shared" si="18"/>
        <v>561490.61658314918</v>
      </c>
      <c r="H267" s="23">
        <f t="shared" si="19"/>
        <v>4572052.6165831489</v>
      </c>
    </row>
    <row r="268" spans="1:8" x14ac:dyDescent="0.2">
      <c r="A268">
        <v>2023</v>
      </c>
      <c r="B268" s="3" t="str">
        <f t="shared" si="16"/>
        <v>5274</v>
      </c>
      <c r="C268" s="10" t="s">
        <v>275</v>
      </c>
      <c r="D268" s="11">
        <v>840186</v>
      </c>
      <c r="E268" s="11">
        <v>840186</v>
      </c>
      <c r="F268" s="12">
        <f t="shared" si="17"/>
        <v>1.6938067022556262E-3</v>
      </c>
      <c r="G268" s="24">
        <f t="shared" si="18"/>
        <v>117628.54063458681</v>
      </c>
      <c r="H268" s="23">
        <f t="shared" si="19"/>
        <v>957814.54063458683</v>
      </c>
    </row>
    <row r="269" spans="1:8" x14ac:dyDescent="0.2">
      <c r="A269">
        <v>2023</v>
      </c>
      <c r="B269" s="3" t="str">
        <f t="shared" si="16"/>
        <v>5275</v>
      </c>
      <c r="C269" s="10" t="s">
        <v>276</v>
      </c>
      <c r="D269" s="11">
        <v>1971399</v>
      </c>
      <c r="E269" s="11">
        <v>1971399</v>
      </c>
      <c r="F269" s="12">
        <f t="shared" si="17"/>
        <v>3.9743209706184579E-3</v>
      </c>
      <c r="G269" s="24">
        <f t="shared" si="18"/>
        <v>276001.72744902177</v>
      </c>
      <c r="H269" s="23">
        <f t="shared" si="19"/>
        <v>2247400.7274490218</v>
      </c>
    </row>
    <row r="270" spans="1:8" x14ac:dyDescent="0.2">
      <c r="A270">
        <v>2023</v>
      </c>
      <c r="B270" s="3" t="str">
        <f t="shared" si="16"/>
        <v>5276</v>
      </c>
      <c r="C270" s="10" t="s">
        <v>277</v>
      </c>
      <c r="D270" s="11">
        <v>903209</v>
      </c>
      <c r="E270" s="11">
        <v>903209</v>
      </c>
      <c r="F270" s="12">
        <f t="shared" si="17"/>
        <v>1.8208604496356782E-3</v>
      </c>
      <c r="G270" s="24">
        <f t="shared" si="18"/>
        <v>126451.94820911621</v>
      </c>
      <c r="H270" s="23">
        <f t="shared" si="19"/>
        <v>1029660.9482091162</v>
      </c>
    </row>
    <row r="271" spans="1:8" x14ac:dyDescent="0.2">
      <c r="A271">
        <v>2023</v>
      </c>
      <c r="B271" s="3" t="str">
        <f t="shared" si="16"/>
        <v>5278</v>
      </c>
      <c r="C271" s="10" t="s">
        <v>278</v>
      </c>
      <c r="D271" s="11">
        <v>318691</v>
      </c>
      <c r="E271" s="11">
        <v>318691</v>
      </c>
      <c r="F271" s="12">
        <f t="shared" si="17"/>
        <v>6.4247791768554552E-4</v>
      </c>
      <c r="G271" s="24">
        <f t="shared" si="18"/>
        <v>44617.688515848989</v>
      </c>
      <c r="H271" s="23">
        <f t="shared" si="19"/>
        <v>363308.688515849</v>
      </c>
    </row>
    <row r="272" spans="1:8" x14ac:dyDescent="0.2">
      <c r="A272">
        <v>2023</v>
      </c>
      <c r="B272" s="3" t="str">
        <f t="shared" si="16"/>
        <v>5280</v>
      </c>
      <c r="C272" s="10" t="s">
        <v>279</v>
      </c>
      <c r="D272" s="11">
        <v>4995571</v>
      </c>
      <c r="E272" s="11">
        <v>4995571</v>
      </c>
      <c r="F272" s="12">
        <f t="shared" si="17"/>
        <v>1.0071021942038835E-2</v>
      </c>
      <c r="G272" s="24">
        <f t="shared" si="18"/>
        <v>699394.8082525339</v>
      </c>
      <c r="H272" s="23">
        <f t="shared" si="19"/>
        <v>5694965.8082525339</v>
      </c>
    </row>
    <row r="273" spans="1:8" x14ac:dyDescent="0.2">
      <c r="A273">
        <v>2023</v>
      </c>
      <c r="B273" s="3" t="str">
        <f t="shared" si="16"/>
        <v>5281</v>
      </c>
      <c r="C273" s="10" t="s">
        <v>280</v>
      </c>
      <c r="D273" s="11">
        <v>253057</v>
      </c>
      <c r="E273" s="11">
        <v>253057</v>
      </c>
      <c r="F273" s="12">
        <f t="shared" si="17"/>
        <v>5.101604200173557E-4</v>
      </c>
      <c r="G273" s="24">
        <f t="shared" si="18"/>
        <v>35428.733170234489</v>
      </c>
      <c r="H273" s="23">
        <f t="shared" si="19"/>
        <v>288485.73317023448</v>
      </c>
    </row>
    <row r="274" spans="1:8" x14ac:dyDescent="0.2">
      <c r="A274">
        <v>2023</v>
      </c>
      <c r="B274" s="3" t="str">
        <f t="shared" si="16"/>
        <v>5283</v>
      </c>
      <c r="C274" s="10" t="s">
        <v>281</v>
      </c>
      <c r="D274" s="11">
        <v>490444</v>
      </c>
      <c r="E274" s="11">
        <v>490444</v>
      </c>
      <c r="F274" s="12">
        <f t="shared" si="17"/>
        <v>9.8873027434527388E-4</v>
      </c>
      <c r="G274" s="24">
        <f t="shared" si="18"/>
        <v>68663.619702053213</v>
      </c>
      <c r="H274" s="23">
        <f t="shared" si="19"/>
        <v>559107.61970205326</v>
      </c>
    </row>
    <row r="275" spans="1:8" x14ac:dyDescent="0.2">
      <c r="A275">
        <v>2023</v>
      </c>
      <c r="B275" s="3" t="str">
        <f t="shared" si="16"/>
        <v>5284</v>
      </c>
      <c r="C275" s="10" t="s">
        <v>282</v>
      </c>
      <c r="D275" s="11">
        <v>746680</v>
      </c>
      <c r="E275" s="11">
        <v>746680</v>
      </c>
      <c r="F275" s="12">
        <f t="shared" si="17"/>
        <v>1.505299527057379E-3</v>
      </c>
      <c r="G275" s="24">
        <f t="shared" si="18"/>
        <v>104537.42233390377</v>
      </c>
      <c r="H275" s="23">
        <f t="shared" si="19"/>
        <v>851217.42233390373</v>
      </c>
    </row>
    <row r="276" spans="1:8" x14ac:dyDescent="0.2">
      <c r="A276">
        <v>2023</v>
      </c>
      <c r="B276" s="3" t="str">
        <f t="shared" si="16"/>
        <v>5285</v>
      </c>
      <c r="C276" s="10" t="s">
        <v>283</v>
      </c>
      <c r="D276" s="11">
        <v>378553</v>
      </c>
      <c r="E276" s="11">
        <v>378553</v>
      </c>
      <c r="F276" s="12">
        <f t="shared" si="17"/>
        <v>7.6315912019359294E-4</v>
      </c>
      <c r="G276" s="24">
        <f t="shared" si="18"/>
        <v>52998.546682335509</v>
      </c>
      <c r="H276" s="23">
        <f t="shared" si="19"/>
        <v>431551.54668233549</v>
      </c>
    </row>
    <row r="277" spans="1:8" x14ac:dyDescent="0.2">
      <c r="A277">
        <v>2023</v>
      </c>
      <c r="B277" s="3" t="str">
        <f t="shared" si="16"/>
        <v>5286</v>
      </c>
      <c r="C277" s="10" t="s">
        <v>284</v>
      </c>
      <c r="D277" s="11">
        <v>344662</v>
      </c>
      <c r="E277" s="11">
        <v>344662</v>
      </c>
      <c r="F277" s="12">
        <f t="shared" si="17"/>
        <v>6.9483519793572931E-4</v>
      </c>
      <c r="G277" s="24">
        <f t="shared" si="18"/>
        <v>48253.705812996122</v>
      </c>
      <c r="H277" s="23">
        <f t="shared" si="19"/>
        <v>392915.70581299614</v>
      </c>
    </row>
    <row r="278" spans="1:8" x14ac:dyDescent="0.2">
      <c r="A278">
        <v>2023</v>
      </c>
      <c r="B278" s="3" t="str">
        <f t="shared" si="16"/>
        <v>5287</v>
      </c>
      <c r="C278" s="10" t="s">
        <v>285</v>
      </c>
      <c r="D278" s="11">
        <v>573622</v>
      </c>
      <c r="E278" s="11">
        <v>573622</v>
      </c>
      <c r="F278" s="12">
        <f t="shared" si="17"/>
        <v>1.1564163032486579E-3</v>
      </c>
      <c r="G278" s="24">
        <f t="shared" si="18"/>
        <v>80308.787263645136</v>
      </c>
      <c r="H278" s="23">
        <f t="shared" si="19"/>
        <v>653930.78726364509</v>
      </c>
    </row>
    <row r="279" spans="1:8" x14ac:dyDescent="0.2">
      <c r="A279">
        <v>2023</v>
      </c>
      <c r="B279" s="3" t="str">
        <f t="shared" si="16"/>
        <v>5288</v>
      </c>
      <c r="C279" s="10" t="s">
        <v>286</v>
      </c>
      <c r="D279" s="11">
        <v>360610</v>
      </c>
      <c r="E279" s="11">
        <v>360610</v>
      </c>
      <c r="F279" s="12">
        <f t="shared" si="17"/>
        <v>7.2698620888755753E-4</v>
      </c>
      <c r="G279" s="24">
        <f t="shared" si="18"/>
        <v>50486.473278819634</v>
      </c>
      <c r="H279" s="23">
        <f t="shared" si="19"/>
        <v>411096.47327881964</v>
      </c>
    </row>
    <row r="280" spans="1:8" x14ac:dyDescent="0.2">
      <c r="A280">
        <v>2023</v>
      </c>
      <c r="B280" s="3" t="str">
        <f t="shared" si="16"/>
        <v>5289</v>
      </c>
      <c r="C280" s="10" t="s">
        <v>287</v>
      </c>
      <c r="D280" s="11">
        <v>411172</v>
      </c>
      <c r="E280" s="11">
        <v>411172</v>
      </c>
      <c r="F280" s="12">
        <f t="shared" si="17"/>
        <v>8.2891870297749587E-4</v>
      </c>
      <c r="G280" s="24">
        <f t="shared" si="18"/>
        <v>57565.303765837954</v>
      </c>
      <c r="H280" s="23">
        <f t="shared" si="19"/>
        <v>468737.30376583798</v>
      </c>
    </row>
    <row r="281" spans="1:8" x14ac:dyDescent="0.2">
      <c r="A281">
        <v>2023</v>
      </c>
      <c r="B281" s="3" t="str">
        <f t="shared" si="16"/>
        <v>5291</v>
      </c>
      <c r="C281" s="10" t="s">
        <v>288</v>
      </c>
      <c r="D281" s="11">
        <v>537443</v>
      </c>
      <c r="E281" s="11">
        <v>537443</v>
      </c>
      <c r="F281" s="12">
        <f t="shared" si="17"/>
        <v>1.0834797955219088E-3</v>
      </c>
      <c r="G281" s="24">
        <f t="shared" si="18"/>
        <v>75243.619584561311</v>
      </c>
      <c r="H281" s="23">
        <f t="shared" si="19"/>
        <v>612686.61958456133</v>
      </c>
    </row>
    <row r="282" spans="1:8" x14ac:dyDescent="0.2">
      <c r="A282">
        <v>2023</v>
      </c>
      <c r="B282" s="3" t="str">
        <f t="shared" si="16"/>
        <v>5292</v>
      </c>
      <c r="C282" s="10" t="s">
        <v>289</v>
      </c>
      <c r="D282" s="11">
        <v>1614378</v>
      </c>
      <c r="E282" s="11">
        <v>1614378</v>
      </c>
      <c r="F282" s="12">
        <f t="shared" si="17"/>
        <v>3.2545701503881681E-3</v>
      </c>
      <c r="G282" s="24">
        <f t="shared" si="18"/>
        <v>226017.72485209582</v>
      </c>
      <c r="H282" s="23">
        <f t="shared" si="19"/>
        <v>1840395.7248520958</v>
      </c>
    </row>
    <row r="283" spans="1:8" x14ac:dyDescent="0.2">
      <c r="A283">
        <v>2023</v>
      </c>
      <c r="B283" s="3" t="str">
        <f t="shared" si="16"/>
        <v>5293</v>
      </c>
      <c r="C283" s="10" t="s">
        <v>290</v>
      </c>
      <c r="D283" s="11">
        <v>364736</v>
      </c>
      <c r="E283" s="11">
        <v>364736</v>
      </c>
      <c r="F283" s="12">
        <f t="shared" si="17"/>
        <v>7.3530418425670993E-4</v>
      </c>
      <c r="G283" s="24">
        <f t="shared" si="18"/>
        <v>51064.125558979387</v>
      </c>
      <c r="H283" s="23">
        <f t="shared" si="19"/>
        <v>415800.1255589794</v>
      </c>
    </row>
    <row r="284" spans="1:8" x14ac:dyDescent="0.2">
      <c r="A284">
        <v>2023</v>
      </c>
      <c r="B284" s="3" t="str">
        <f t="shared" si="16"/>
        <v>5294</v>
      </c>
      <c r="C284" s="10" t="s">
        <v>291</v>
      </c>
      <c r="D284" s="11">
        <v>885250</v>
      </c>
      <c r="E284" s="11">
        <v>885250</v>
      </c>
      <c r="F284" s="12">
        <f t="shared" si="17"/>
        <v>1.7846552824872029E-3</v>
      </c>
      <c r="G284" s="24">
        <f t="shared" si="18"/>
        <v>123937.63475797974</v>
      </c>
      <c r="H284" s="23">
        <f t="shared" si="19"/>
        <v>1009187.6347579798</v>
      </c>
    </row>
    <row r="285" spans="1:8" x14ac:dyDescent="0.2">
      <c r="A285">
        <v>2023</v>
      </c>
      <c r="B285" s="3" t="str">
        <f t="shared" si="16"/>
        <v>5295</v>
      </c>
      <c r="C285" s="10" t="s">
        <v>292</v>
      </c>
      <c r="D285" s="11">
        <v>290227</v>
      </c>
      <c r="E285" s="11">
        <v>290227</v>
      </c>
      <c r="F285" s="12">
        <f t="shared" si="17"/>
        <v>5.8509477398521715E-4</v>
      </c>
      <c r="G285" s="24">
        <f t="shared" si="18"/>
        <v>40632.64379881863</v>
      </c>
      <c r="H285" s="23">
        <f t="shared" si="19"/>
        <v>330859.64379881864</v>
      </c>
    </row>
    <row r="286" spans="1:8" x14ac:dyDescent="0.2">
      <c r="A286">
        <v>2023</v>
      </c>
      <c r="B286" s="3" t="str">
        <f t="shared" si="16"/>
        <v>5296</v>
      </c>
      <c r="C286" s="10" t="s">
        <v>293</v>
      </c>
      <c r="D286" s="11">
        <v>1155508</v>
      </c>
      <c r="E286" s="11">
        <v>1155508</v>
      </c>
      <c r="F286" s="12">
        <f t="shared" si="17"/>
        <v>2.3294927491174502E-3</v>
      </c>
      <c r="G286" s="24">
        <f t="shared" si="18"/>
        <v>161774.55912332522</v>
      </c>
      <c r="H286" s="23">
        <f t="shared" si="19"/>
        <v>1317282.5591233252</v>
      </c>
    </row>
    <row r="287" spans="1:8" x14ac:dyDescent="0.2">
      <c r="A287">
        <v>2023</v>
      </c>
      <c r="B287" s="3" t="str">
        <f t="shared" si="16"/>
        <v>5297</v>
      </c>
      <c r="C287" s="10" t="s">
        <v>294</v>
      </c>
      <c r="D287" s="11">
        <v>731587</v>
      </c>
      <c r="E287" s="11">
        <v>731587</v>
      </c>
      <c r="F287" s="12">
        <f t="shared" si="17"/>
        <v>1.4748721876859253E-3</v>
      </c>
      <c r="G287" s="24">
        <f t="shared" si="18"/>
        <v>102424.35741280556</v>
      </c>
      <c r="H287" s="23">
        <f t="shared" si="19"/>
        <v>834011.35741280555</v>
      </c>
    </row>
    <row r="288" spans="1:8" x14ac:dyDescent="0.2">
      <c r="A288">
        <v>2023</v>
      </c>
      <c r="B288" s="3" t="str">
        <f t="shared" si="16"/>
        <v>5298</v>
      </c>
      <c r="C288" s="10" t="s">
        <v>295</v>
      </c>
      <c r="D288" s="11">
        <v>72192</v>
      </c>
      <c r="E288" s="11">
        <v>72192</v>
      </c>
      <c r="F288" s="12">
        <f t="shared" si="17"/>
        <v>1.4553836108818544E-4</v>
      </c>
      <c r="G288" s="24">
        <f t="shared" si="18"/>
        <v>10107.094864104009</v>
      </c>
      <c r="H288" s="23">
        <f t="shared" si="19"/>
        <v>82299.094864104001</v>
      </c>
    </row>
    <row r="289" spans="1:8" x14ac:dyDescent="0.2">
      <c r="A289">
        <v>2023</v>
      </c>
      <c r="B289" s="3" t="str">
        <f t="shared" si="16"/>
        <v>5299</v>
      </c>
      <c r="C289" s="10" t="s">
        <v>296</v>
      </c>
      <c r="D289" s="11">
        <v>241736</v>
      </c>
      <c r="E289" s="11">
        <v>241736</v>
      </c>
      <c r="F289" s="12">
        <f t="shared" si="17"/>
        <v>4.8733739550107483E-4</v>
      </c>
      <c r="G289" s="24">
        <f t="shared" si="18"/>
        <v>33843.759475690473</v>
      </c>
      <c r="H289" s="23">
        <f t="shared" si="19"/>
        <v>275579.75947569049</v>
      </c>
    </row>
    <row r="290" spans="1:8" x14ac:dyDescent="0.2">
      <c r="A290">
        <v>2023</v>
      </c>
      <c r="B290" s="3" t="str">
        <f t="shared" si="16"/>
        <v>5300</v>
      </c>
      <c r="C290" s="10" t="s">
        <v>297</v>
      </c>
      <c r="D290" s="11">
        <v>622764</v>
      </c>
      <c r="E290" s="11">
        <v>622764</v>
      </c>
      <c r="F290" s="12">
        <f t="shared" si="17"/>
        <v>1.2554860913220678E-3</v>
      </c>
      <c r="G290" s="24">
        <f t="shared" si="18"/>
        <v>87188.813524336074</v>
      </c>
      <c r="H290" s="23">
        <f t="shared" si="19"/>
        <v>709952.81352433609</v>
      </c>
    </row>
    <row r="291" spans="1:8" x14ac:dyDescent="0.2">
      <c r="A291">
        <v>2023</v>
      </c>
      <c r="B291" s="3" t="str">
        <f t="shared" si="16"/>
        <v>5302</v>
      </c>
      <c r="C291" s="10" t="s">
        <v>298</v>
      </c>
      <c r="D291" s="11">
        <v>4005799</v>
      </c>
      <c r="E291" s="11">
        <v>4005799</v>
      </c>
      <c r="F291" s="12">
        <f t="shared" si="17"/>
        <v>8.0756513368336127E-3</v>
      </c>
      <c r="G291" s="24">
        <f t="shared" si="18"/>
        <v>560823.78240709461</v>
      </c>
      <c r="H291" s="23">
        <f t="shared" si="19"/>
        <v>4566622.7824070947</v>
      </c>
    </row>
    <row r="292" spans="1:8" x14ac:dyDescent="0.2">
      <c r="A292">
        <v>2023</v>
      </c>
      <c r="B292" s="3" t="str">
        <f t="shared" si="16"/>
        <v>5216</v>
      </c>
      <c r="C292" s="10" t="s">
        <v>299</v>
      </c>
      <c r="D292" s="13">
        <v>984386</v>
      </c>
      <c r="E292" s="13">
        <v>984386</v>
      </c>
      <c r="F292" s="12">
        <f t="shared" si="17"/>
        <v>1.98451248224394E-3</v>
      </c>
      <c r="G292" s="24">
        <f t="shared" si="18"/>
        <v>137816.96981515805</v>
      </c>
      <c r="H292" s="23">
        <f t="shared" si="19"/>
        <v>1122202.9698151581</v>
      </c>
    </row>
    <row r="293" spans="1:8" x14ac:dyDescent="0.2">
      <c r="A293">
        <v>2023</v>
      </c>
      <c r="B293" s="3" t="str">
        <f t="shared" si="16"/>
        <v>5304</v>
      </c>
      <c r="C293" s="10" t="s">
        <v>300</v>
      </c>
      <c r="D293" s="11">
        <v>1426641</v>
      </c>
      <c r="E293" s="11">
        <v>1426641</v>
      </c>
      <c r="F293" s="12">
        <f t="shared" si="17"/>
        <v>2.8760942071311222E-3</v>
      </c>
      <c r="G293" s="24">
        <f t="shared" si="18"/>
        <v>199733.98609292175</v>
      </c>
      <c r="H293" s="23">
        <f t="shared" si="19"/>
        <v>1626374.9860929218</v>
      </c>
    </row>
    <row r="294" spans="1:8" x14ac:dyDescent="0.2">
      <c r="A294">
        <v>2023</v>
      </c>
      <c r="B294" s="3" t="str">
        <f t="shared" si="16"/>
        <v>5305</v>
      </c>
      <c r="C294" s="10" t="s">
        <v>301</v>
      </c>
      <c r="D294" s="11">
        <v>303771</v>
      </c>
      <c r="E294" s="11">
        <v>303771</v>
      </c>
      <c r="F294" s="12">
        <f t="shared" si="17"/>
        <v>6.1239934461047179E-4</v>
      </c>
      <c r="G294" s="24">
        <f t="shared" si="18"/>
        <v>42528.844109648424</v>
      </c>
      <c r="H294" s="23">
        <f t="shared" si="19"/>
        <v>346299.84410964843</v>
      </c>
    </row>
    <row r="295" spans="1:8" x14ac:dyDescent="0.2">
      <c r="A295">
        <v>2023</v>
      </c>
      <c r="B295" s="3" t="str">
        <f t="shared" si="16"/>
        <v>5306</v>
      </c>
      <c r="C295" s="10" t="s">
        <v>302</v>
      </c>
      <c r="D295" s="11">
        <v>1125387</v>
      </c>
      <c r="E295" s="11">
        <v>1125387</v>
      </c>
      <c r="F295" s="12">
        <f t="shared" si="17"/>
        <v>2.2687691097344545E-3</v>
      </c>
      <c r="G295" s="24">
        <f t="shared" si="18"/>
        <v>157557.52947458747</v>
      </c>
      <c r="H295" s="23">
        <f t="shared" si="19"/>
        <v>1282944.5294745874</v>
      </c>
    </row>
    <row r="296" spans="1:8" x14ac:dyDescent="0.2">
      <c r="A296">
        <v>2023</v>
      </c>
      <c r="B296" s="3" t="str">
        <f t="shared" si="16"/>
        <v>5307</v>
      </c>
      <c r="C296" s="10" t="s">
        <v>303</v>
      </c>
      <c r="D296" s="11">
        <v>186955</v>
      </c>
      <c r="E296" s="11">
        <v>186955</v>
      </c>
      <c r="F296" s="12">
        <f t="shared" si="17"/>
        <v>3.7689943895780292E-4</v>
      </c>
      <c r="G296" s="24">
        <f t="shared" si="18"/>
        <v>26174.256431717709</v>
      </c>
      <c r="H296" s="23">
        <f t="shared" si="19"/>
        <v>213129.25643171772</v>
      </c>
    </row>
    <row r="297" spans="1:8" x14ac:dyDescent="0.2">
      <c r="A297">
        <v>2023</v>
      </c>
      <c r="B297" s="3" t="str">
        <f t="shared" si="16"/>
        <v>5308</v>
      </c>
      <c r="C297" s="10" t="s">
        <v>304</v>
      </c>
      <c r="D297" s="11">
        <v>9769389</v>
      </c>
      <c r="E297" s="11">
        <v>9769389</v>
      </c>
      <c r="F297" s="12">
        <f t="shared" si="17"/>
        <v>1.9694992019793699E-2</v>
      </c>
      <c r="G297" s="24">
        <f t="shared" si="18"/>
        <v>1367743.5365045185</v>
      </c>
      <c r="H297" s="23">
        <f t="shared" si="19"/>
        <v>11137132.536504518</v>
      </c>
    </row>
    <row r="298" spans="1:8" x14ac:dyDescent="0.2">
      <c r="A298">
        <v>2023</v>
      </c>
      <c r="B298" s="3" t="str">
        <f t="shared" si="16"/>
        <v>5309</v>
      </c>
      <c r="C298" s="10" t="s">
        <v>305</v>
      </c>
      <c r="D298" s="11">
        <v>767962</v>
      </c>
      <c r="E298" s="11">
        <v>767962</v>
      </c>
      <c r="F298" s="12">
        <f t="shared" si="17"/>
        <v>1.5482038294825614E-3</v>
      </c>
      <c r="G298" s="24">
        <f t="shared" si="18"/>
        <v>107516.96567524162</v>
      </c>
      <c r="H298" s="23">
        <f t="shared" si="19"/>
        <v>875478.96567524166</v>
      </c>
    </row>
    <row r="299" spans="1:8" x14ac:dyDescent="0.2">
      <c r="A299">
        <v>2023</v>
      </c>
      <c r="B299" s="3" t="str">
        <f t="shared" si="16"/>
        <v>5310</v>
      </c>
      <c r="C299" s="10" t="s">
        <v>306</v>
      </c>
      <c r="D299" s="11">
        <v>122791</v>
      </c>
      <c r="E299" s="11">
        <v>122791</v>
      </c>
      <c r="F299" s="12">
        <f t="shared" si="17"/>
        <v>2.4754544681376578E-4</v>
      </c>
      <c r="G299" s="24">
        <f t="shared" si="18"/>
        <v>17191.105461244952</v>
      </c>
      <c r="H299" s="23">
        <f t="shared" si="19"/>
        <v>139982.10546124494</v>
      </c>
    </row>
    <row r="300" spans="1:8" x14ac:dyDescent="0.2">
      <c r="A300">
        <v>2023</v>
      </c>
      <c r="B300" s="3" t="str">
        <f t="shared" si="16"/>
        <v>5312</v>
      </c>
      <c r="C300" s="10" t="s">
        <v>307</v>
      </c>
      <c r="D300" s="11">
        <v>3961176</v>
      </c>
      <c r="E300" s="11">
        <v>3961176</v>
      </c>
      <c r="F300" s="12">
        <f t="shared" si="17"/>
        <v>7.985691808259282E-3</v>
      </c>
      <c r="G300" s="24">
        <f t="shared" si="18"/>
        <v>554576.42959624424</v>
      </c>
      <c r="H300" s="23">
        <f t="shared" si="19"/>
        <v>4515752.4295962444</v>
      </c>
    </row>
    <row r="301" spans="1:8" x14ac:dyDescent="0.2">
      <c r="A301">
        <v>2023</v>
      </c>
      <c r="B301" s="3" t="str">
        <f t="shared" si="16"/>
        <v>5313</v>
      </c>
      <c r="C301" s="10" t="s">
        <v>308</v>
      </c>
      <c r="D301" s="11">
        <v>340849</v>
      </c>
      <c r="E301" s="11">
        <v>340849</v>
      </c>
      <c r="F301" s="12">
        <f t="shared" si="17"/>
        <v>6.8714822748430456E-4</v>
      </c>
      <c r="G301" s="24">
        <f t="shared" si="18"/>
        <v>47719.874464414163</v>
      </c>
      <c r="H301" s="23">
        <f t="shared" si="19"/>
        <v>388568.87446441414</v>
      </c>
    </row>
    <row r="302" spans="1:8" x14ac:dyDescent="0.2">
      <c r="A302">
        <v>2023</v>
      </c>
      <c r="B302" s="3" t="str">
        <f t="shared" si="16"/>
        <v>5314</v>
      </c>
      <c r="C302" s="10" t="s">
        <v>309</v>
      </c>
      <c r="D302" s="11">
        <v>16990727</v>
      </c>
      <c r="E302" s="11">
        <v>16990727</v>
      </c>
      <c r="F302" s="12">
        <f t="shared" si="17"/>
        <v>3.4253138315558256E-2</v>
      </c>
      <c r="G302" s="24">
        <f t="shared" si="18"/>
        <v>2378752.3492782204</v>
      </c>
      <c r="H302" s="23">
        <f t="shared" si="19"/>
        <v>19369479.349278219</v>
      </c>
    </row>
    <row r="303" spans="1:8" x14ac:dyDescent="0.2">
      <c r="A303">
        <v>2023</v>
      </c>
      <c r="B303" s="3" t="str">
        <f t="shared" si="16"/>
        <v>5316</v>
      </c>
      <c r="C303" s="10" t="s">
        <v>310</v>
      </c>
      <c r="D303" s="11">
        <v>403657</v>
      </c>
      <c r="E303" s="11">
        <v>403657</v>
      </c>
      <c r="F303" s="12">
        <f t="shared" si="17"/>
        <v>8.1376853698157236E-4</v>
      </c>
      <c r="G303" s="24">
        <f t="shared" si="18"/>
        <v>56513.181399041889</v>
      </c>
      <c r="H303" s="23">
        <f t="shared" si="19"/>
        <v>460170.1813990419</v>
      </c>
    </row>
    <row r="304" spans="1:8" x14ac:dyDescent="0.2">
      <c r="A304">
        <v>2023</v>
      </c>
      <c r="B304" s="3" t="str">
        <f t="shared" si="16"/>
        <v>5317</v>
      </c>
      <c r="C304" s="10" t="s">
        <v>311</v>
      </c>
      <c r="D304" s="11">
        <v>510322</v>
      </c>
      <c r="E304" s="11">
        <v>510322</v>
      </c>
      <c r="F304" s="12">
        <f t="shared" si="17"/>
        <v>1.0288041265963676E-3</v>
      </c>
      <c r="G304" s="24">
        <f t="shared" si="18"/>
        <v>71446.59886468426</v>
      </c>
      <c r="H304" s="23">
        <f t="shared" si="19"/>
        <v>581768.59886468423</v>
      </c>
    </row>
    <row r="305" spans="1:8" x14ac:dyDescent="0.2">
      <c r="A305">
        <v>2023</v>
      </c>
      <c r="B305" s="3" t="str">
        <f t="shared" si="16"/>
        <v>5318</v>
      </c>
      <c r="C305" s="10" t="s">
        <v>312</v>
      </c>
      <c r="D305" s="11">
        <v>537199</v>
      </c>
      <c r="E305" s="11">
        <v>537199</v>
      </c>
      <c r="F305" s="12">
        <f t="shared" si="17"/>
        <v>1.0829878939247026E-3</v>
      </c>
      <c r="G305" s="24">
        <f t="shared" si="18"/>
        <v>75209.458858347323</v>
      </c>
      <c r="H305" s="23">
        <f t="shared" si="19"/>
        <v>612408.45885834727</v>
      </c>
    </row>
    <row r="306" spans="1:8" x14ac:dyDescent="0.2">
      <c r="A306">
        <v>2023</v>
      </c>
      <c r="B306" s="3" t="str">
        <f t="shared" si="16"/>
        <v>5319</v>
      </c>
      <c r="C306" s="10" t="s">
        <v>313</v>
      </c>
      <c r="D306" s="11">
        <v>833706</v>
      </c>
      <c r="E306" s="11">
        <v>833706</v>
      </c>
      <c r="F306" s="12">
        <f t="shared" si="17"/>
        <v>1.6807430860675246E-3</v>
      </c>
      <c r="G306" s="24">
        <f t="shared" si="18"/>
        <v>116721.32134824769</v>
      </c>
      <c r="H306" s="23">
        <f t="shared" si="19"/>
        <v>950427.3213482477</v>
      </c>
    </row>
    <row r="307" spans="1:8" x14ac:dyDescent="0.2">
      <c r="A307">
        <v>2023</v>
      </c>
      <c r="B307" s="3" t="str">
        <f t="shared" si="16"/>
        <v>5320</v>
      </c>
      <c r="C307" s="10" t="s">
        <v>314</v>
      </c>
      <c r="D307" s="11">
        <v>224938</v>
      </c>
      <c r="E307" s="11">
        <v>224938</v>
      </c>
      <c r="F307" s="12">
        <f t="shared" si="17"/>
        <v>4.5347279291963453E-4</v>
      </c>
      <c r="G307" s="24">
        <f t="shared" si="18"/>
        <v>31491.989480023098</v>
      </c>
      <c r="H307" s="23">
        <f t="shared" si="19"/>
        <v>256429.9894800231</v>
      </c>
    </row>
    <row r="308" spans="1:8" x14ac:dyDescent="0.2">
      <c r="A308">
        <v>2023</v>
      </c>
      <c r="B308" s="3" t="str">
        <f t="shared" si="16"/>
        <v>5321</v>
      </c>
      <c r="C308" s="10" t="s">
        <v>315</v>
      </c>
      <c r="D308" s="11">
        <v>405652</v>
      </c>
      <c r="E308" s="11">
        <v>405652</v>
      </c>
      <c r="F308" s="12">
        <f t="shared" si="17"/>
        <v>8.1779043733577956E-4</v>
      </c>
      <c r="G308" s="24">
        <f t="shared" si="18"/>
        <v>56792.487336734252</v>
      </c>
      <c r="H308" s="23">
        <f t="shared" si="19"/>
        <v>462444.48733673425</v>
      </c>
    </row>
    <row r="309" spans="1:8" x14ac:dyDescent="0.2">
      <c r="A309">
        <v>2023</v>
      </c>
      <c r="B309" s="3" t="str">
        <f t="shared" si="16"/>
        <v>5322</v>
      </c>
      <c r="C309" s="10" t="s">
        <v>316</v>
      </c>
      <c r="D309" s="11">
        <v>462658</v>
      </c>
      <c r="E309" s="11">
        <v>462658</v>
      </c>
      <c r="F309" s="12">
        <f t="shared" si="17"/>
        <v>9.3271397196833031E-4</v>
      </c>
      <c r="G309" s="24">
        <f t="shared" si="18"/>
        <v>64773.497002945376</v>
      </c>
      <c r="H309" s="23">
        <f t="shared" si="19"/>
        <v>527431.4970029454</v>
      </c>
    </row>
    <row r="310" spans="1:8" x14ac:dyDescent="0.2">
      <c r="A310">
        <v>2023</v>
      </c>
      <c r="B310" s="3" t="str">
        <f t="shared" si="16"/>
        <v>5324</v>
      </c>
      <c r="C310" s="10" t="s">
        <v>317</v>
      </c>
      <c r="D310" s="11">
        <v>27775027</v>
      </c>
      <c r="E310" s="11">
        <v>27775027</v>
      </c>
      <c r="F310" s="12">
        <f t="shared" si="17"/>
        <v>5.5994180917000501E-2</v>
      </c>
      <c r="G310" s="24">
        <f t="shared" si="18"/>
        <v>3888586.4464490553</v>
      </c>
      <c r="H310" s="23">
        <f t="shared" si="19"/>
        <v>31663613.446449056</v>
      </c>
    </row>
    <row r="311" spans="1:8" x14ac:dyDescent="0.2">
      <c r="A311">
        <v>2023</v>
      </c>
      <c r="B311" s="3" t="str">
        <f t="shared" si="16"/>
        <v>5329</v>
      </c>
      <c r="C311" s="10" t="s">
        <v>318</v>
      </c>
      <c r="D311" s="11">
        <v>198207</v>
      </c>
      <c r="E311" s="11">
        <v>198207</v>
      </c>
      <c r="F311" s="12">
        <f t="shared" si="17"/>
        <v>3.9958336015356231E-4</v>
      </c>
      <c r="G311" s="24">
        <f t="shared" si="18"/>
        <v>27749.569920897928</v>
      </c>
      <c r="H311" s="23">
        <f t="shared" si="19"/>
        <v>225956.56992089792</v>
      </c>
    </row>
    <row r="312" spans="1:8" x14ac:dyDescent="0.2">
      <c r="A312">
        <v>2023</v>
      </c>
      <c r="B312" s="3" t="str">
        <f t="shared" si="16"/>
        <v>5330</v>
      </c>
      <c r="C312" s="10" t="s">
        <v>319</v>
      </c>
      <c r="D312" s="11">
        <v>885350</v>
      </c>
      <c r="E312" s="11">
        <v>885350</v>
      </c>
      <c r="F312" s="12">
        <f t="shared" si="17"/>
        <v>1.7848568815024516E-3</v>
      </c>
      <c r="G312" s="24">
        <f t="shared" si="18"/>
        <v>123951.63505560844</v>
      </c>
      <c r="H312" s="23">
        <f t="shared" si="19"/>
        <v>1009301.6350556085</v>
      </c>
    </row>
    <row r="313" spans="1:8" x14ac:dyDescent="0.2">
      <c r="A313">
        <v>2023</v>
      </c>
      <c r="B313" s="3" t="str">
        <f t="shared" si="16"/>
        <v>5331</v>
      </c>
      <c r="C313" s="10" t="s">
        <v>320</v>
      </c>
      <c r="D313" s="11">
        <v>1259989</v>
      </c>
      <c r="E313" s="11">
        <v>1259989</v>
      </c>
      <c r="F313" s="12">
        <f t="shared" si="17"/>
        <v>2.5401254162392187E-3</v>
      </c>
      <c r="G313" s="24">
        <f t="shared" si="18"/>
        <v>176402.21008875701</v>
      </c>
      <c r="H313" s="23">
        <f t="shared" si="19"/>
        <v>1436391.2100887571</v>
      </c>
    </row>
    <row r="314" spans="1:8" x14ac:dyDescent="0.2">
      <c r="A314">
        <v>2023</v>
      </c>
      <c r="B314" s="3" t="str">
        <f t="shared" si="16"/>
        <v>5332</v>
      </c>
      <c r="C314" s="10" t="s">
        <v>321</v>
      </c>
      <c r="D314" s="11">
        <v>1262902</v>
      </c>
      <c r="E314" s="11">
        <v>1262902</v>
      </c>
      <c r="F314" s="12">
        <f t="shared" si="17"/>
        <v>2.545997995553407E-3</v>
      </c>
      <c r="G314" s="24">
        <f t="shared" si="18"/>
        <v>176810.03875868075</v>
      </c>
      <c r="H314" s="23">
        <f t="shared" si="19"/>
        <v>1439712.0387586807</v>
      </c>
    </row>
    <row r="315" spans="1:8" x14ac:dyDescent="0.2">
      <c r="A315">
        <v>2023</v>
      </c>
      <c r="B315" s="3" t="str">
        <f t="shared" si="16"/>
        <v>5333</v>
      </c>
      <c r="C315" s="10" t="s">
        <v>322</v>
      </c>
      <c r="D315" s="11">
        <v>405802</v>
      </c>
      <c r="E315" s="11">
        <v>405802</v>
      </c>
      <c r="F315" s="12">
        <f t="shared" si="17"/>
        <v>8.1809283585865234E-4</v>
      </c>
      <c r="G315" s="24">
        <f t="shared" si="18"/>
        <v>56813.48778317729</v>
      </c>
      <c r="H315" s="23">
        <f t="shared" si="19"/>
        <v>462615.48778317729</v>
      </c>
    </row>
    <row r="316" spans="1:8" x14ac:dyDescent="0.2">
      <c r="A316">
        <v>2023</v>
      </c>
      <c r="B316" s="3" t="str">
        <f t="shared" si="16"/>
        <v>5337</v>
      </c>
      <c r="C316" s="10" t="s">
        <v>323</v>
      </c>
      <c r="D316" s="11">
        <v>1706850</v>
      </c>
      <c r="E316" s="11">
        <v>1706850</v>
      </c>
      <c r="F316" s="12">
        <f t="shared" si="17"/>
        <v>3.440992791768746E-3</v>
      </c>
      <c r="G316" s="24">
        <f t="shared" si="18"/>
        <v>238964.0800752982</v>
      </c>
      <c r="H316" s="23">
        <f t="shared" si="19"/>
        <v>1945814.0800752982</v>
      </c>
    </row>
    <row r="317" spans="1:8" x14ac:dyDescent="0.2">
      <c r="A317">
        <v>2023</v>
      </c>
      <c r="B317" s="3" t="str">
        <f t="shared" si="16"/>
        <v>5366</v>
      </c>
      <c r="C317" s="10" t="s">
        <v>324</v>
      </c>
      <c r="D317" s="11">
        <v>888419</v>
      </c>
      <c r="E317" s="11">
        <v>888419</v>
      </c>
      <c r="F317" s="12">
        <f t="shared" si="17"/>
        <v>1.7910439552804274E-3</v>
      </c>
      <c r="G317" s="24">
        <f t="shared" si="18"/>
        <v>124381.30418983294</v>
      </c>
      <c r="H317" s="23">
        <f t="shared" si="19"/>
        <v>1012800.3041898329</v>
      </c>
    </row>
    <row r="318" spans="1:8" x14ac:dyDescent="0.2">
      <c r="A318">
        <v>2023</v>
      </c>
      <c r="B318" s="3" t="str">
        <f t="shared" si="16"/>
        <v>5367</v>
      </c>
      <c r="C318" s="10" t="s">
        <v>325</v>
      </c>
      <c r="D318" s="11">
        <v>337214</v>
      </c>
      <c r="E318" s="11">
        <v>337214</v>
      </c>
      <c r="F318" s="12">
        <f t="shared" si="17"/>
        <v>6.7982010328002226E-4</v>
      </c>
      <c r="G318" s="24">
        <f t="shared" si="18"/>
        <v>47210.963645611278</v>
      </c>
      <c r="H318" s="23">
        <f t="shared" si="19"/>
        <v>384424.96364561131</v>
      </c>
    </row>
    <row r="319" spans="1:8" x14ac:dyDescent="0.2">
      <c r="A319">
        <v>2023</v>
      </c>
      <c r="B319" s="3" t="str">
        <f t="shared" si="16"/>
        <v>5368</v>
      </c>
      <c r="C319" s="10" t="s">
        <v>326</v>
      </c>
      <c r="D319" s="11">
        <v>451191</v>
      </c>
      <c r="E319" s="11">
        <v>451191</v>
      </c>
      <c r="F319" s="12">
        <f t="shared" si="17"/>
        <v>9.0959661288978659E-4</v>
      </c>
      <c r="G319" s="24">
        <f t="shared" si="18"/>
        <v>63168.082873863474</v>
      </c>
      <c r="H319" s="23">
        <f t="shared" si="19"/>
        <v>514359.08287386346</v>
      </c>
    </row>
    <row r="320" spans="1:8" x14ac:dyDescent="0.2">
      <c r="A320">
        <v>2023</v>
      </c>
      <c r="B320" s="3" t="str">
        <f t="shared" si="16"/>
        <v>5405</v>
      </c>
      <c r="C320" s="10" t="s">
        <v>327</v>
      </c>
      <c r="D320" s="11">
        <v>168789</v>
      </c>
      <c r="E320" s="11">
        <v>168789</v>
      </c>
      <c r="F320" s="12">
        <f t="shared" si="17"/>
        <v>3.4027696184776336E-4</v>
      </c>
      <c r="G320" s="24">
        <f t="shared" si="18"/>
        <v>23630.962364489857</v>
      </c>
      <c r="H320" s="23">
        <f t="shared" si="19"/>
        <v>192419.96236448985</v>
      </c>
    </row>
    <row r="321" spans="1:8" x14ac:dyDescent="0.2">
      <c r="A321">
        <v>2023</v>
      </c>
      <c r="B321" s="3" t="str">
        <f t="shared" si="16"/>
        <v>5409</v>
      </c>
      <c r="C321" s="10" t="s">
        <v>328</v>
      </c>
      <c r="D321" s="11">
        <v>241509</v>
      </c>
      <c r="E321" s="11">
        <v>241509</v>
      </c>
      <c r="F321" s="12">
        <f t="shared" si="17"/>
        <v>4.868797657364608E-4</v>
      </c>
      <c r="G321" s="24">
        <f t="shared" si="18"/>
        <v>33811.978800073346</v>
      </c>
      <c r="H321" s="23">
        <f t="shared" si="19"/>
        <v>275320.97880007332</v>
      </c>
    </row>
    <row r="322" spans="1:8" x14ac:dyDescent="0.2">
      <c r="A322">
        <v>2023</v>
      </c>
      <c r="B322" s="3" t="str">
        <f t="shared" si="16"/>
        <v>5410</v>
      </c>
      <c r="C322" s="10" t="s">
        <v>329</v>
      </c>
      <c r="D322" s="11">
        <v>222970</v>
      </c>
      <c r="E322" s="11">
        <v>222970</v>
      </c>
      <c r="F322" s="12">
        <f t="shared" si="17"/>
        <v>4.4950532429954436E-4</v>
      </c>
      <c r="G322" s="24">
        <f t="shared" si="18"/>
        <v>31216.463622690477</v>
      </c>
      <c r="H322" s="23">
        <f t="shared" si="19"/>
        <v>254186.46362269047</v>
      </c>
    </row>
    <row r="323" spans="1:8" x14ac:dyDescent="0.2">
      <c r="A323">
        <v>2023</v>
      </c>
      <c r="B323" s="3" t="str">
        <f t="shared" ref="B323:B338" si="20">LEFT(C323,4)</f>
        <v>5430</v>
      </c>
      <c r="C323" s="10" t="s">
        <v>330</v>
      </c>
      <c r="D323" s="11">
        <v>22233131</v>
      </c>
      <c r="E323" s="11">
        <v>22233131</v>
      </c>
      <c r="F323" s="12">
        <f t="shared" ref="F323:F338" si="21">D323/$D$340</f>
        <v>4.4821773154905382E-2</v>
      </c>
      <c r="G323" s="24">
        <f t="shared" ref="G323:G338" si="22">F323*$D$341</f>
        <v>3112704.5121765793</v>
      </c>
      <c r="H323" s="23">
        <f t="shared" ref="H323:H338" si="23">SUM(G323,D323)</f>
        <v>25345835.512176581</v>
      </c>
    </row>
    <row r="324" spans="1:8" x14ac:dyDescent="0.2">
      <c r="A324">
        <v>2023</v>
      </c>
      <c r="B324" s="3" t="str">
        <f t="shared" si="20"/>
        <v>5436</v>
      </c>
      <c r="C324" s="10" t="s">
        <v>331</v>
      </c>
      <c r="D324" s="11">
        <v>623132</v>
      </c>
      <c r="E324" s="11">
        <v>623132</v>
      </c>
      <c r="F324" s="12">
        <f t="shared" si="21"/>
        <v>1.2562279756981821E-3</v>
      </c>
      <c r="G324" s="24">
        <f t="shared" si="22"/>
        <v>87240.334619609639</v>
      </c>
      <c r="H324" s="23">
        <f t="shared" si="23"/>
        <v>710372.33461960964</v>
      </c>
    </row>
    <row r="325" spans="1:8" x14ac:dyDescent="0.2">
      <c r="A325">
        <v>2023</v>
      </c>
      <c r="B325" s="3" t="str">
        <f t="shared" si="20"/>
        <v>5590</v>
      </c>
      <c r="C325" s="10" t="s">
        <v>332</v>
      </c>
      <c r="D325" s="11">
        <v>160624</v>
      </c>
      <c r="E325" s="11">
        <v>160624</v>
      </c>
      <c r="F325" s="12">
        <f t="shared" si="21"/>
        <v>3.2381640225272466E-4</v>
      </c>
      <c r="G325" s="24">
        <f t="shared" si="22"/>
        <v>22487.838063107301</v>
      </c>
      <c r="H325" s="23">
        <f t="shared" si="23"/>
        <v>183111.83806310731</v>
      </c>
    </row>
    <row r="326" spans="1:8" x14ac:dyDescent="0.2">
      <c r="A326">
        <v>2023</v>
      </c>
      <c r="B326" s="3" t="str">
        <f t="shared" si="20"/>
        <v>5696</v>
      </c>
      <c r="C326" s="10" t="s">
        <v>333</v>
      </c>
      <c r="D326" s="11">
        <v>273619</v>
      </c>
      <c r="E326" s="11">
        <v>273619</v>
      </c>
      <c r="F326" s="12">
        <f t="shared" si="21"/>
        <v>5.5161320953274896E-4</v>
      </c>
      <c r="G326" s="24">
        <f t="shared" si="22"/>
        <v>38307.474368645766</v>
      </c>
      <c r="H326" s="23">
        <f t="shared" si="23"/>
        <v>311926.47436864575</v>
      </c>
    </row>
    <row r="327" spans="1:8" x14ac:dyDescent="0.2">
      <c r="A327">
        <v>2023</v>
      </c>
      <c r="B327" s="3" t="str">
        <f t="shared" si="20"/>
        <v>9291</v>
      </c>
      <c r="C327" s="10" t="s">
        <v>334</v>
      </c>
      <c r="D327" s="11">
        <v>381597</v>
      </c>
      <c r="E327" s="11">
        <v>381597</v>
      </c>
      <c r="F327" s="12">
        <f t="shared" si="21"/>
        <v>7.692957942177568E-4</v>
      </c>
      <c r="G327" s="24">
        <f t="shared" si="22"/>
        <v>53424.715742152832</v>
      </c>
      <c r="H327" s="23">
        <f t="shared" si="23"/>
        <v>435021.71574215282</v>
      </c>
    </row>
    <row r="328" spans="1:8" x14ac:dyDescent="0.2">
      <c r="A328">
        <v>2023</v>
      </c>
      <c r="B328" s="3" t="str">
        <f t="shared" si="20"/>
        <v>9302</v>
      </c>
      <c r="C328" s="10" t="s">
        <v>335</v>
      </c>
      <c r="D328" s="11">
        <v>200374</v>
      </c>
      <c r="E328" s="11">
        <v>200374</v>
      </c>
      <c r="F328" s="12">
        <f t="shared" si="21"/>
        <v>4.0395201081399695E-4</v>
      </c>
      <c r="G328" s="24">
        <f t="shared" si="22"/>
        <v>28052.956370511645</v>
      </c>
      <c r="H328" s="23">
        <f t="shared" si="23"/>
        <v>228426.95637051165</v>
      </c>
    </row>
    <row r="329" spans="1:8" x14ac:dyDescent="0.2">
      <c r="A329">
        <v>2023</v>
      </c>
      <c r="B329" s="3" t="str">
        <f t="shared" si="20"/>
        <v>9332</v>
      </c>
      <c r="C329" s="10" t="s">
        <v>336</v>
      </c>
      <c r="D329" s="11">
        <v>325524</v>
      </c>
      <c r="E329" s="11">
        <v>325524</v>
      </c>
      <c r="F329" s="12">
        <f t="shared" si="21"/>
        <v>6.5625317839747451E-4</v>
      </c>
      <c r="G329" s="24">
        <f t="shared" si="22"/>
        <v>45574.328852817394</v>
      </c>
      <c r="H329" s="23">
        <f t="shared" si="23"/>
        <v>371098.32885281742</v>
      </c>
    </row>
    <row r="330" spans="1:8" x14ac:dyDescent="0.2">
      <c r="A330">
        <v>2023</v>
      </c>
      <c r="B330" s="3" t="str">
        <f t="shared" si="20"/>
        <v>9333</v>
      </c>
      <c r="C330" s="10" t="s">
        <v>337</v>
      </c>
      <c r="D330" s="11">
        <v>385882</v>
      </c>
      <c r="E330" s="11">
        <v>385882</v>
      </c>
      <c r="F330" s="12">
        <f t="shared" si="21"/>
        <v>7.7793431202115434E-4</v>
      </c>
      <c r="G330" s="24">
        <f t="shared" si="22"/>
        <v>54024.628495542209</v>
      </c>
      <c r="H330" s="23">
        <f t="shared" si="23"/>
        <v>439906.62849554222</v>
      </c>
    </row>
    <row r="331" spans="1:8" x14ac:dyDescent="0.2">
      <c r="A331">
        <v>2023</v>
      </c>
      <c r="B331" s="3" t="str">
        <f t="shared" si="20"/>
        <v>9335</v>
      </c>
      <c r="C331" s="10" t="s">
        <v>338</v>
      </c>
      <c r="D331" s="11">
        <v>488734</v>
      </c>
      <c r="E331" s="11">
        <v>488734</v>
      </c>
      <c r="F331" s="12">
        <f t="shared" si="21"/>
        <v>9.8528293118452497E-4</v>
      </c>
      <c r="G331" s="24">
        <f t="shared" si="22"/>
        <v>68424.214612602635</v>
      </c>
      <c r="H331" s="23">
        <f t="shared" si="23"/>
        <v>557158.21461260261</v>
      </c>
    </row>
    <row r="332" spans="1:8" x14ac:dyDescent="0.2">
      <c r="A332">
        <v>2023</v>
      </c>
      <c r="B332" s="3" t="str">
        <f t="shared" si="20"/>
        <v>9389</v>
      </c>
      <c r="C332" s="10" t="s">
        <v>339</v>
      </c>
      <c r="D332" s="11">
        <v>241074</v>
      </c>
      <c r="E332" s="11">
        <v>241074</v>
      </c>
      <c r="F332" s="12">
        <f t="shared" si="21"/>
        <v>4.8600281002012988E-4</v>
      </c>
      <c r="G332" s="24">
        <f t="shared" si="22"/>
        <v>33751.077505388545</v>
      </c>
      <c r="H332" s="23">
        <f t="shared" si="23"/>
        <v>274825.07750538853</v>
      </c>
    </row>
    <row r="333" spans="1:8" x14ac:dyDescent="0.2">
      <c r="A333">
        <v>2023</v>
      </c>
      <c r="B333" s="3" t="str">
        <f t="shared" si="20"/>
        <v>9410</v>
      </c>
      <c r="C333" s="10" t="s">
        <v>340</v>
      </c>
      <c r="D333" s="11">
        <v>372370</v>
      </c>
      <c r="E333" s="11">
        <v>372370</v>
      </c>
      <c r="F333" s="12">
        <f t="shared" si="21"/>
        <v>7.506942530807792E-4</v>
      </c>
      <c r="G333" s="24">
        <f t="shared" si="22"/>
        <v>52132.90827995359</v>
      </c>
      <c r="H333" s="23">
        <f t="shared" si="23"/>
        <v>424502.90827995358</v>
      </c>
    </row>
    <row r="334" spans="1:8" x14ac:dyDescent="0.2">
      <c r="A334">
        <v>2023</v>
      </c>
      <c r="B334" s="3" t="str">
        <f t="shared" si="20"/>
        <v>9444</v>
      </c>
      <c r="C334" s="10" t="s">
        <v>341</v>
      </c>
      <c r="D334" s="11">
        <v>561904</v>
      </c>
      <c r="E334" s="11">
        <v>561904</v>
      </c>
      <c r="F334" s="12">
        <f t="shared" si="21"/>
        <v>1.1327929306418406E-3</v>
      </c>
      <c r="G334" s="24">
        <f t="shared" si="22"/>
        <v>78668.232387515221</v>
      </c>
      <c r="H334" s="23">
        <f t="shared" si="23"/>
        <v>640572.23238751525</v>
      </c>
    </row>
    <row r="335" spans="1:8" x14ac:dyDescent="0.2">
      <c r="A335">
        <v>2023</v>
      </c>
      <c r="B335" s="3" t="str">
        <f t="shared" si="20"/>
        <v>9445</v>
      </c>
      <c r="C335" s="10" t="s">
        <v>342</v>
      </c>
      <c r="D335" s="11">
        <v>506782</v>
      </c>
      <c r="E335" s="11">
        <v>506782</v>
      </c>
      <c r="F335" s="12">
        <f t="shared" si="21"/>
        <v>1.0216675214565713E-3</v>
      </c>
      <c r="G335" s="24">
        <f t="shared" si="22"/>
        <v>70950.98832862862</v>
      </c>
      <c r="H335" s="23">
        <f t="shared" si="23"/>
        <v>577732.98832862859</v>
      </c>
    </row>
    <row r="336" spans="1:8" x14ac:dyDescent="0.2">
      <c r="A336">
        <v>2023</v>
      </c>
      <c r="B336" s="3" t="str">
        <f t="shared" si="20"/>
        <v>9446</v>
      </c>
      <c r="C336" s="10" t="s">
        <v>343</v>
      </c>
      <c r="D336" s="11">
        <v>948107</v>
      </c>
      <c r="E336" s="11">
        <v>948107</v>
      </c>
      <c r="F336" s="12">
        <f t="shared" si="21"/>
        <v>1.9113743755019424E-3</v>
      </c>
      <c r="G336" s="24">
        <f t="shared" si="22"/>
        <v>132737.80183844554</v>
      </c>
      <c r="H336" s="23">
        <f t="shared" si="23"/>
        <v>1080844.8018384455</v>
      </c>
    </row>
    <row r="337" spans="1:8" x14ac:dyDescent="0.2">
      <c r="A337">
        <v>2023</v>
      </c>
      <c r="B337" s="3" t="str">
        <f t="shared" si="20"/>
        <v>9461</v>
      </c>
      <c r="C337" s="10" t="s">
        <v>344</v>
      </c>
      <c r="D337" s="11">
        <v>767118</v>
      </c>
      <c r="E337" s="11">
        <v>767118</v>
      </c>
      <c r="F337" s="12">
        <f t="shared" si="21"/>
        <v>1.546502333793864E-3</v>
      </c>
      <c r="G337" s="24">
        <f t="shared" si="22"/>
        <v>107398.80316325546</v>
      </c>
      <c r="H337" s="23">
        <f t="shared" si="23"/>
        <v>874516.80316325545</v>
      </c>
    </row>
    <row r="338" spans="1:8" x14ac:dyDescent="0.2">
      <c r="A338">
        <v>2023</v>
      </c>
      <c r="B338" s="3" t="str">
        <f t="shared" si="20"/>
        <v>5303</v>
      </c>
      <c r="C338" s="10" t="s">
        <v>345</v>
      </c>
      <c r="D338" s="11">
        <v>1570580</v>
      </c>
      <c r="E338" s="11">
        <v>1570580</v>
      </c>
      <c r="F338" s="12">
        <f t="shared" si="21"/>
        <v>3.1662738136896372E-3</v>
      </c>
      <c r="G338" s="24">
        <f t="shared" si="22"/>
        <v>219885.87449668211</v>
      </c>
      <c r="H338" s="23">
        <f t="shared" si="23"/>
        <v>1790465.8744966821</v>
      </c>
    </row>
    <row r="340" spans="1:8" x14ac:dyDescent="0.2">
      <c r="C340" s="2" t="s">
        <v>346</v>
      </c>
      <c r="D340" s="8">
        <f>SUM(D2:D338)</f>
        <v>496034169</v>
      </c>
    </row>
    <row r="341" spans="1:8" x14ac:dyDescent="0.2">
      <c r="C341" s="2" t="s">
        <v>347</v>
      </c>
      <c r="D341" s="8">
        <v>69446260</v>
      </c>
    </row>
    <row r="342" spans="1:8" x14ac:dyDescent="0.2">
      <c r="D342" s="8"/>
    </row>
    <row r="343" spans="1:8" x14ac:dyDescent="0.2">
      <c r="C343" t="s">
        <v>348</v>
      </c>
      <c r="D343" s="8">
        <v>496034079</v>
      </c>
    </row>
    <row r="344" spans="1:8" x14ac:dyDescent="0.2">
      <c r="C344" t="s">
        <v>347</v>
      </c>
      <c r="D344" s="8">
        <v>69446260</v>
      </c>
    </row>
    <row r="345" spans="1:8" x14ac:dyDescent="0.2">
      <c r="D345" s="8"/>
    </row>
    <row r="346" spans="1:8" x14ac:dyDescent="0.2">
      <c r="C346" s="6" t="s">
        <v>349</v>
      </c>
      <c r="D346" s="9">
        <f>D340-D343</f>
        <v>90</v>
      </c>
    </row>
    <row r="347" spans="1:8" x14ac:dyDescent="0.2">
      <c r="D347" s="9">
        <f>D341-D344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63CB-F96B-0846-B1B0-9F38956217B8}">
  <sheetPr>
    <tabColor rgb="FFFFFF00"/>
  </sheetPr>
  <dimension ref="A1:H347"/>
  <sheetViews>
    <sheetView workbookViewId="0">
      <selection activeCell="G2" sqref="G2:H338"/>
    </sheetView>
  </sheetViews>
  <sheetFormatPr baseColWidth="10" defaultRowHeight="16" x14ac:dyDescent="0.2"/>
  <cols>
    <col min="3" max="3" width="48" style="14" bestFit="1" customWidth="1"/>
    <col min="4" max="4" width="18.83203125" bestFit="1" customWidth="1"/>
    <col min="5" max="5" width="21.1640625" bestFit="1" customWidth="1"/>
    <col min="6" max="6" width="12.1640625" bestFit="1" customWidth="1"/>
    <col min="7" max="7" width="17.1640625" bestFit="1" customWidth="1"/>
    <col min="8" max="8" width="16.83203125" bestFit="1" customWidth="1"/>
  </cols>
  <sheetData>
    <row r="1" spans="1:8" x14ac:dyDescent="0.2">
      <c r="A1" t="s">
        <v>1</v>
      </c>
      <c r="B1" s="3" t="s">
        <v>5</v>
      </c>
      <c r="C1" s="3" t="s">
        <v>4</v>
      </c>
      <c r="D1" s="3" t="s">
        <v>350</v>
      </c>
      <c r="E1" s="3" t="s">
        <v>372</v>
      </c>
      <c r="F1" s="3"/>
      <c r="G1" s="3" t="s">
        <v>368</v>
      </c>
      <c r="H1" t="s">
        <v>351</v>
      </c>
    </row>
    <row r="2" spans="1:8" x14ac:dyDescent="0.2">
      <c r="A2">
        <v>2022</v>
      </c>
      <c r="B2" s="3" t="str">
        <f>LEFT(C2,4)</f>
        <v>4931</v>
      </c>
      <c r="C2" s="10" t="s">
        <v>10</v>
      </c>
      <c r="D2" s="11">
        <v>3600</v>
      </c>
      <c r="E2" s="11">
        <v>3600</v>
      </c>
      <c r="F2" s="10">
        <f>D2/$D$340</f>
        <v>7.259392018901005E-6</v>
      </c>
      <c r="G2">
        <f>F2*$D$341</f>
        <v>488.89999477283448</v>
      </c>
      <c r="H2" s="2">
        <f>SUM(G2,D2)</f>
        <v>4088.8999947728344</v>
      </c>
    </row>
    <row r="3" spans="1:8" x14ac:dyDescent="0.2">
      <c r="A3">
        <v>2022</v>
      </c>
      <c r="B3" s="3" t="str">
        <f t="shared" ref="B3:B66" si="0">LEFT(C3,4)</f>
        <v>5045</v>
      </c>
      <c r="C3" s="10" t="s">
        <v>11</v>
      </c>
      <c r="D3" s="10"/>
      <c r="E3" s="10"/>
      <c r="F3" s="10">
        <f t="shared" ref="F3:F66" si="1">D3/$D$340</f>
        <v>0</v>
      </c>
      <c r="G3">
        <f t="shared" ref="G3:G66" si="2">F3*$D$341</f>
        <v>0</v>
      </c>
      <c r="H3" s="2">
        <f t="shared" ref="H3:H66" si="3">SUM(G3,D3)</f>
        <v>0</v>
      </c>
    </row>
    <row r="4" spans="1:8" x14ac:dyDescent="0.2">
      <c r="A4">
        <v>2022</v>
      </c>
      <c r="B4" s="3" t="str">
        <f t="shared" si="0"/>
        <v>5046</v>
      </c>
      <c r="C4" s="10" t="s">
        <v>12</v>
      </c>
      <c r="D4" s="11">
        <v>16820</v>
      </c>
      <c r="E4" s="11">
        <v>16820</v>
      </c>
      <c r="F4" s="10">
        <f t="shared" si="1"/>
        <v>3.3917492710531914E-5</v>
      </c>
      <c r="G4">
        <f t="shared" si="2"/>
        <v>2284.2494200219653</v>
      </c>
      <c r="H4" s="2">
        <f t="shared" si="3"/>
        <v>19104.249420021966</v>
      </c>
    </row>
    <row r="5" spans="1:8" x14ac:dyDescent="0.2">
      <c r="A5">
        <v>2022</v>
      </c>
      <c r="B5" s="3" t="str">
        <f t="shared" si="0"/>
        <v>5047</v>
      </c>
      <c r="C5" s="10" t="s">
        <v>13</v>
      </c>
      <c r="D5" s="11">
        <v>10020</v>
      </c>
      <c r="E5" s="11">
        <v>10020</v>
      </c>
      <c r="F5" s="10">
        <f t="shared" si="1"/>
        <v>2.020530778594113E-5</v>
      </c>
      <c r="G5">
        <f t="shared" si="2"/>
        <v>1360.7716521177226</v>
      </c>
      <c r="H5" s="2">
        <f t="shared" si="3"/>
        <v>11380.771652117723</v>
      </c>
    </row>
    <row r="6" spans="1:8" x14ac:dyDescent="0.2">
      <c r="A6">
        <v>2022</v>
      </c>
      <c r="B6" s="3" t="str">
        <f t="shared" si="0"/>
        <v>5048</v>
      </c>
      <c r="C6" s="10" t="s">
        <v>14</v>
      </c>
      <c r="D6" s="11">
        <v>58388</v>
      </c>
      <c r="E6" s="11">
        <v>58388</v>
      </c>
      <c r="F6" s="10">
        <f t="shared" si="1"/>
        <v>1.1773927255544218E-4</v>
      </c>
      <c r="G6">
        <f t="shared" si="2"/>
        <v>7929.4146929989602</v>
      </c>
      <c r="H6" s="2">
        <f t="shared" si="3"/>
        <v>66317.414692998966</v>
      </c>
    </row>
    <row r="7" spans="1:8" x14ac:dyDescent="0.2">
      <c r="A7">
        <v>2022</v>
      </c>
      <c r="B7" s="3" t="str">
        <f t="shared" si="0"/>
        <v>5049</v>
      </c>
      <c r="C7" s="10" t="s">
        <v>15</v>
      </c>
      <c r="D7" s="11">
        <v>103306</v>
      </c>
      <c r="E7" s="11">
        <v>103306</v>
      </c>
      <c r="F7" s="10">
        <f t="shared" si="1"/>
        <v>2.0831631997349643E-4</v>
      </c>
      <c r="G7">
        <f t="shared" si="2"/>
        <v>14029.528572222898</v>
      </c>
      <c r="H7" s="2">
        <f t="shared" si="3"/>
        <v>117335.5285722229</v>
      </c>
    </row>
    <row r="8" spans="1:8" x14ac:dyDescent="0.2">
      <c r="A8">
        <v>2022</v>
      </c>
      <c r="B8" s="3" t="str">
        <f t="shared" si="0"/>
        <v>5050</v>
      </c>
      <c r="C8" s="10" t="s">
        <v>16</v>
      </c>
      <c r="D8" s="11">
        <v>10261</v>
      </c>
      <c r="E8" s="11">
        <v>10261</v>
      </c>
      <c r="F8" s="10">
        <f t="shared" si="1"/>
        <v>2.0691283751650891E-5</v>
      </c>
      <c r="G8">
        <f t="shared" si="2"/>
        <v>1393.5007906566816</v>
      </c>
      <c r="H8" s="2">
        <f t="shared" si="3"/>
        <v>11654.500790656683</v>
      </c>
    </row>
    <row r="9" spans="1:8" x14ac:dyDescent="0.2">
      <c r="A9">
        <v>2022</v>
      </c>
      <c r="B9" s="3" t="str">
        <f t="shared" si="0"/>
        <v>5107</v>
      </c>
      <c r="C9" s="10" t="s">
        <v>17</v>
      </c>
      <c r="D9" s="11">
        <v>30052</v>
      </c>
      <c r="E9" s="11">
        <v>30052</v>
      </c>
      <c r="F9" s="10">
        <f t="shared" si="1"/>
        <v>6.0599791375559166E-5</v>
      </c>
      <c r="G9">
        <f t="shared" si="2"/>
        <v>4081.2285119203393</v>
      </c>
      <c r="H9" s="2">
        <f t="shared" si="3"/>
        <v>34133.228511920337</v>
      </c>
    </row>
    <row r="10" spans="1:8" x14ac:dyDescent="0.2">
      <c r="A10">
        <v>2022</v>
      </c>
      <c r="B10" s="3" t="str">
        <f t="shared" si="0"/>
        <v>5108</v>
      </c>
      <c r="C10" s="10" t="s">
        <v>18</v>
      </c>
      <c r="D10" s="11">
        <v>26854</v>
      </c>
      <c r="E10" s="11">
        <v>26854</v>
      </c>
      <c r="F10" s="10">
        <f t="shared" si="1"/>
        <v>5.4151031465435438E-5</v>
      </c>
      <c r="G10">
        <f t="shared" si="2"/>
        <v>3646.9223498971378</v>
      </c>
      <c r="H10" s="2">
        <f t="shared" si="3"/>
        <v>30500.922349897137</v>
      </c>
    </row>
    <row r="11" spans="1:8" x14ac:dyDescent="0.2">
      <c r="A11">
        <v>2022</v>
      </c>
      <c r="B11" s="3" t="str">
        <f t="shared" si="0"/>
        <v>5109</v>
      </c>
      <c r="C11" s="10" t="s">
        <v>19</v>
      </c>
      <c r="D11" s="11">
        <v>30835</v>
      </c>
      <c r="E11" s="11">
        <v>30835</v>
      </c>
      <c r="F11" s="10">
        <f t="shared" si="1"/>
        <v>6.2178709139670135E-5</v>
      </c>
      <c r="G11">
        <f t="shared" si="2"/>
        <v>4187.5642607834307</v>
      </c>
      <c r="H11" s="2">
        <f t="shared" si="3"/>
        <v>35022.564260783431</v>
      </c>
    </row>
    <row r="12" spans="1:8" x14ac:dyDescent="0.2">
      <c r="A12">
        <v>2022</v>
      </c>
      <c r="B12" s="3" t="str">
        <f t="shared" si="0"/>
        <v>5110</v>
      </c>
      <c r="C12" s="10" t="s">
        <v>20</v>
      </c>
      <c r="D12" s="11">
        <v>26235</v>
      </c>
      <c r="E12" s="11">
        <v>26235</v>
      </c>
      <c r="F12" s="10">
        <f t="shared" si="1"/>
        <v>5.2902819337741075E-5</v>
      </c>
      <c r="G12">
        <f t="shared" si="2"/>
        <v>3562.8587119070312</v>
      </c>
      <c r="H12" s="2">
        <f t="shared" si="3"/>
        <v>29797.858711907033</v>
      </c>
    </row>
    <row r="13" spans="1:8" x14ac:dyDescent="0.2">
      <c r="A13">
        <v>2022</v>
      </c>
      <c r="B13" s="3" t="str">
        <f t="shared" si="0"/>
        <v>5111</v>
      </c>
      <c r="C13" s="10" t="s">
        <v>21</v>
      </c>
      <c r="D13" s="11">
        <v>10748</v>
      </c>
      <c r="E13" s="11">
        <v>10748</v>
      </c>
      <c r="F13" s="10">
        <f t="shared" si="1"/>
        <v>2.1673318171985555E-5</v>
      </c>
      <c r="G13">
        <f t="shared" si="2"/>
        <v>1459.6380955051179</v>
      </c>
      <c r="H13" s="2">
        <f t="shared" si="3"/>
        <v>12207.638095505117</v>
      </c>
    </row>
    <row r="14" spans="1:8" x14ac:dyDescent="0.2">
      <c r="A14">
        <v>2022</v>
      </c>
      <c r="B14" s="3" t="str">
        <f t="shared" si="0"/>
        <v>5112</v>
      </c>
      <c r="C14" s="10" t="s">
        <v>22</v>
      </c>
      <c r="D14" s="11">
        <v>1516</v>
      </c>
      <c r="E14" s="11">
        <v>1516</v>
      </c>
      <c r="F14" s="10">
        <f t="shared" si="1"/>
        <v>3.0570106390705344E-6</v>
      </c>
      <c r="G14">
        <f t="shared" si="2"/>
        <v>205.88122002100474</v>
      </c>
      <c r="H14" s="2">
        <f t="shared" si="3"/>
        <v>1721.8812200210048</v>
      </c>
    </row>
    <row r="15" spans="1:8" x14ac:dyDescent="0.2">
      <c r="A15">
        <v>2022</v>
      </c>
      <c r="B15" s="3" t="str">
        <f t="shared" si="0"/>
        <v>5113</v>
      </c>
      <c r="C15" s="10" t="s">
        <v>23</v>
      </c>
      <c r="D15" s="11">
        <v>26475</v>
      </c>
      <c r="E15" s="11">
        <v>26475</v>
      </c>
      <c r="F15" s="10">
        <f t="shared" si="1"/>
        <v>5.3386778805667804E-5</v>
      </c>
      <c r="G15">
        <f t="shared" si="2"/>
        <v>3595.4520448918865</v>
      </c>
      <c r="H15" s="2">
        <f t="shared" si="3"/>
        <v>30070.452044891885</v>
      </c>
    </row>
    <row r="16" spans="1:8" x14ac:dyDescent="0.2">
      <c r="A16">
        <v>2022</v>
      </c>
      <c r="B16" s="3" t="str">
        <f t="shared" si="0"/>
        <v>5177</v>
      </c>
      <c r="C16" s="10" t="s">
        <v>24</v>
      </c>
      <c r="D16" s="11">
        <v>33874</v>
      </c>
      <c r="E16" s="11">
        <v>33874</v>
      </c>
      <c r="F16" s="10">
        <f t="shared" si="1"/>
        <v>6.8306845902292392E-5</v>
      </c>
      <c r="G16">
        <f t="shared" si="2"/>
        <v>4600.2773397041647</v>
      </c>
      <c r="H16" s="2">
        <f t="shared" si="3"/>
        <v>38474.277339704167</v>
      </c>
    </row>
    <row r="17" spans="1:8" x14ac:dyDescent="0.2">
      <c r="A17">
        <v>2022</v>
      </c>
      <c r="B17" s="3" t="str">
        <f t="shared" si="0"/>
        <v>5178</v>
      </c>
      <c r="C17" s="10" t="s">
        <v>25</v>
      </c>
      <c r="D17" s="11">
        <v>89550</v>
      </c>
      <c r="E17" s="11">
        <v>89550</v>
      </c>
      <c r="F17" s="10">
        <f t="shared" si="1"/>
        <v>1.8057737647016249E-4</v>
      </c>
      <c r="G17">
        <f t="shared" si="2"/>
        <v>12161.387369974256</v>
      </c>
      <c r="H17" s="2">
        <f t="shared" si="3"/>
        <v>101711.38736997425</v>
      </c>
    </row>
    <row r="18" spans="1:8" x14ac:dyDescent="0.2">
      <c r="A18">
        <v>2022</v>
      </c>
      <c r="B18" s="3" t="str">
        <f t="shared" si="0"/>
        <v>5179</v>
      </c>
      <c r="C18" s="10" t="s">
        <v>26</v>
      </c>
      <c r="D18" s="11">
        <v>72087</v>
      </c>
      <c r="E18" s="11">
        <v>72087</v>
      </c>
      <c r="F18" s="10">
        <f t="shared" si="1"/>
        <v>1.4536327568514355E-4</v>
      </c>
      <c r="G18">
        <f t="shared" si="2"/>
        <v>9789.8149786637005</v>
      </c>
      <c r="H18" s="2">
        <f t="shared" si="3"/>
        <v>81876.814978663693</v>
      </c>
    </row>
    <row r="19" spans="1:8" x14ac:dyDescent="0.2">
      <c r="A19">
        <v>2022</v>
      </c>
      <c r="B19" s="3" t="str">
        <f t="shared" si="0"/>
        <v>5180</v>
      </c>
      <c r="C19" s="10" t="s">
        <v>27</v>
      </c>
      <c r="D19" s="11">
        <v>3265</v>
      </c>
      <c r="E19" s="11">
        <v>3265</v>
      </c>
      <c r="F19" s="10">
        <f t="shared" si="1"/>
        <v>6.5838652615866057E-6</v>
      </c>
      <c r="G19">
        <f t="shared" si="2"/>
        <v>443.40513414814012</v>
      </c>
      <c r="H19" s="2">
        <f t="shared" si="3"/>
        <v>3708.40513414814</v>
      </c>
    </row>
    <row r="20" spans="1:8" x14ac:dyDescent="0.2">
      <c r="A20">
        <v>2022</v>
      </c>
      <c r="B20" s="3" t="str">
        <f t="shared" si="0"/>
        <v>5404</v>
      </c>
      <c r="C20" s="10" t="s">
        <v>28</v>
      </c>
      <c r="D20" s="11">
        <v>12875</v>
      </c>
      <c r="E20" s="11">
        <v>12875</v>
      </c>
      <c r="F20" s="10">
        <f t="shared" si="1"/>
        <v>2.5962408956486232E-5</v>
      </c>
      <c r="G20">
        <f t="shared" si="2"/>
        <v>1748.496509083401</v>
      </c>
      <c r="H20" s="2">
        <f t="shared" si="3"/>
        <v>14623.496509083401</v>
      </c>
    </row>
    <row r="21" spans="1:8" x14ac:dyDescent="0.2">
      <c r="A21">
        <v>2022</v>
      </c>
      <c r="B21" s="3" t="str">
        <f t="shared" si="0"/>
        <v>5406</v>
      </c>
      <c r="C21" s="10" t="s">
        <v>29</v>
      </c>
      <c r="D21" s="11">
        <v>34520</v>
      </c>
      <c r="E21" s="11">
        <v>34520</v>
      </c>
      <c r="F21" s="10">
        <f t="shared" si="1"/>
        <v>6.960950347012852E-5</v>
      </c>
      <c r="G21">
        <f t="shared" si="2"/>
        <v>4688.0077276550683</v>
      </c>
      <c r="H21" s="2">
        <f t="shared" si="3"/>
        <v>39208.007727655066</v>
      </c>
    </row>
    <row r="22" spans="1:8" x14ac:dyDescent="0.2">
      <c r="A22">
        <v>2022</v>
      </c>
      <c r="B22" s="3" t="str">
        <f t="shared" si="0"/>
        <v>5596</v>
      </c>
      <c r="C22" s="10" t="s">
        <v>30</v>
      </c>
      <c r="D22" s="11">
        <v>60066</v>
      </c>
      <c r="E22" s="11">
        <v>60066</v>
      </c>
      <c r="F22" s="10">
        <f t="shared" si="1"/>
        <v>1.2112295583536326E-4</v>
      </c>
      <c r="G22">
        <f t="shared" si="2"/>
        <v>8157.2964127847426</v>
      </c>
      <c r="H22" s="2">
        <f t="shared" si="3"/>
        <v>68223.296412784737</v>
      </c>
    </row>
    <row r="23" spans="1:8" x14ac:dyDescent="0.2">
      <c r="A23">
        <v>2022</v>
      </c>
      <c r="B23" s="3" t="str">
        <f t="shared" si="0"/>
        <v>5600</v>
      </c>
      <c r="C23" s="10" t="s">
        <v>31</v>
      </c>
      <c r="D23" s="11">
        <v>51549</v>
      </c>
      <c r="E23" s="11">
        <v>51549</v>
      </c>
      <c r="F23" s="10">
        <f t="shared" si="1"/>
        <v>1.039484442173133E-4</v>
      </c>
      <c r="G23">
        <f t="shared" si="2"/>
        <v>7000.6405084846783</v>
      </c>
      <c r="H23" s="2">
        <f t="shared" si="3"/>
        <v>58549.640508484677</v>
      </c>
    </row>
    <row r="24" spans="1:8" x14ac:dyDescent="0.2">
      <c r="A24">
        <v>2022</v>
      </c>
      <c r="B24" s="3" t="str">
        <f t="shared" si="0"/>
        <v>5604</v>
      </c>
      <c r="C24" s="10" t="s">
        <v>32</v>
      </c>
      <c r="D24" s="11">
        <v>24000</v>
      </c>
      <c r="E24" s="11">
        <v>24000</v>
      </c>
      <c r="F24" s="10">
        <f t="shared" si="1"/>
        <v>4.8395946792673362E-5</v>
      </c>
      <c r="G24">
        <f t="shared" si="2"/>
        <v>3259.3332984855629</v>
      </c>
      <c r="H24" s="2">
        <f t="shared" si="3"/>
        <v>27259.333298485562</v>
      </c>
    </row>
    <row r="25" spans="1:8" x14ac:dyDescent="0.2">
      <c r="A25">
        <v>2022</v>
      </c>
      <c r="B25" s="3" t="str">
        <f t="shared" si="0"/>
        <v>5608</v>
      </c>
      <c r="C25" s="10" t="s">
        <v>33</v>
      </c>
      <c r="D25" s="10"/>
      <c r="E25" s="10"/>
      <c r="F25" s="10">
        <f t="shared" si="1"/>
        <v>0</v>
      </c>
      <c r="G25">
        <f t="shared" si="2"/>
        <v>0</v>
      </c>
      <c r="H25" s="2">
        <f t="shared" si="3"/>
        <v>0</v>
      </c>
    </row>
    <row r="26" spans="1:8" x14ac:dyDescent="0.2">
      <c r="A26">
        <v>2022</v>
      </c>
      <c r="B26" s="3" t="str">
        <f t="shared" si="0"/>
        <v>5609</v>
      </c>
      <c r="C26" s="10" t="s">
        <v>34</v>
      </c>
      <c r="D26" s="11">
        <v>18642</v>
      </c>
      <c r="E26" s="11">
        <v>18642</v>
      </c>
      <c r="F26" s="10">
        <f t="shared" si="1"/>
        <v>3.7591551671209033E-5</v>
      </c>
      <c r="G26">
        <f t="shared" si="2"/>
        <v>2531.6871395986609</v>
      </c>
      <c r="H26" s="2">
        <f t="shared" si="3"/>
        <v>21173.68713959866</v>
      </c>
    </row>
    <row r="27" spans="1:8" x14ac:dyDescent="0.2">
      <c r="A27">
        <v>2022</v>
      </c>
      <c r="B27" s="3" t="str">
        <f t="shared" si="0"/>
        <v>5612</v>
      </c>
      <c r="C27" s="10" t="s">
        <v>35</v>
      </c>
      <c r="D27" s="11">
        <v>71437</v>
      </c>
      <c r="E27" s="11">
        <v>71437</v>
      </c>
      <c r="F27" s="10">
        <f t="shared" si="1"/>
        <v>1.440525521261753E-4</v>
      </c>
      <c r="G27">
        <f t="shared" si="2"/>
        <v>9701.5413684963823</v>
      </c>
      <c r="H27" s="2">
        <f t="shared" si="3"/>
        <v>81138.541368496386</v>
      </c>
    </row>
    <row r="28" spans="1:8" x14ac:dyDescent="0.2">
      <c r="A28">
        <v>2022</v>
      </c>
      <c r="B28" s="3" t="str">
        <f t="shared" si="0"/>
        <v>5624</v>
      </c>
      <c r="C28" s="10" t="s">
        <v>36</v>
      </c>
      <c r="D28" s="11">
        <v>20016</v>
      </c>
      <c r="E28" s="11">
        <v>20016</v>
      </c>
      <c r="F28" s="10">
        <f t="shared" si="1"/>
        <v>4.036221962508959E-5</v>
      </c>
      <c r="G28">
        <f t="shared" si="2"/>
        <v>2718.2839709369596</v>
      </c>
      <c r="H28" s="2">
        <f t="shared" si="3"/>
        <v>22734.283970936958</v>
      </c>
    </row>
    <row r="29" spans="1:8" x14ac:dyDescent="0.2">
      <c r="A29">
        <v>2022</v>
      </c>
      <c r="B29" s="3" t="str">
        <f t="shared" si="0"/>
        <v>5626</v>
      </c>
      <c r="C29" s="10" t="s">
        <v>37</v>
      </c>
      <c r="D29" s="11">
        <v>17263</v>
      </c>
      <c r="E29" s="11">
        <v>17263</v>
      </c>
      <c r="F29" s="10">
        <f t="shared" si="1"/>
        <v>3.4810801228413349E-5</v>
      </c>
      <c r="G29">
        <f t="shared" si="2"/>
        <v>2344.411280489845</v>
      </c>
      <c r="H29" s="2">
        <f t="shared" si="3"/>
        <v>19607.411280489847</v>
      </c>
    </row>
    <row r="30" spans="1:8" x14ac:dyDescent="0.2">
      <c r="A30">
        <v>2022</v>
      </c>
      <c r="B30" s="3" t="str">
        <f t="shared" si="0"/>
        <v>5634</v>
      </c>
      <c r="C30" s="10" t="s">
        <v>38</v>
      </c>
      <c r="D30" s="11">
        <v>82454</v>
      </c>
      <c r="E30" s="11">
        <v>82454</v>
      </c>
      <c r="F30" s="10">
        <f t="shared" si="1"/>
        <v>1.662683082017954E-4</v>
      </c>
      <c r="G30">
        <f t="shared" si="2"/>
        <v>11197.711158055359</v>
      </c>
      <c r="H30" s="2">
        <f t="shared" si="3"/>
        <v>93651.711158055361</v>
      </c>
    </row>
    <row r="31" spans="1:8" x14ac:dyDescent="0.2">
      <c r="A31">
        <v>2022</v>
      </c>
      <c r="B31" s="3" t="str">
        <f t="shared" si="0"/>
        <v>5638</v>
      </c>
      <c r="C31" s="10" t="s">
        <v>39</v>
      </c>
      <c r="D31" s="11">
        <v>14466</v>
      </c>
      <c r="E31" s="11">
        <v>14466</v>
      </c>
      <c r="F31" s="10">
        <f t="shared" si="1"/>
        <v>2.917065692928387E-5</v>
      </c>
      <c r="G31">
        <f t="shared" si="2"/>
        <v>1964.5631456621729</v>
      </c>
      <c r="H31" s="2">
        <f t="shared" si="3"/>
        <v>16430.563145662174</v>
      </c>
    </row>
    <row r="32" spans="1:8" x14ac:dyDescent="0.2">
      <c r="A32">
        <v>2022</v>
      </c>
      <c r="B32" s="3" t="str">
        <f t="shared" si="0"/>
        <v>4930</v>
      </c>
      <c r="C32" s="10" t="s">
        <v>9</v>
      </c>
      <c r="D32" s="11">
        <v>11291</v>
      </c>
      <c r="E32" s="11">
        <v>11291</v>
      </c>
      <c r="F32" s="10">
        <f t="shared" si="1"/>
        <v>2.2768276468169789E-5</v>
      </c>
      <c r="G32">
        <f t="shared" si="2"/>
        <v>1533.3805113833537</v>
      </c>
      <c r="H32" s="2">
        <f t="shared" si="3"/>
        <v>12824.380511383353</v>
      </c>
    </row>
    <row r="33" spans="1:8" x14ac:dyDescent="0.2">
      <c r="A33">
        <v>2022</v>
      </c>
      <c r="B33" s="3" t="str">
        <f t="shared" si="0"/>
        <v>5657</v>
      </c>
      <c r="C33" s="10" t="s">
        <v>41</v>
      </c>
      <c r="D33" s="11">
        <v>3596</v>
      </c>
      <c r="E33" s="11">
        <v>3596</v>
      </c>
      <c r="F33" s="10">
        <f t="shared" si="1"/>
        <v>7.2513260277688925E-6</v>
      </c>
      <c r="G33">
        <f t="shared" si="2"/>
        <v>488.3567725564202</v>
      </c>
      <c r="H33" s="2">
        <f t="shared" si="3"/>
        <v>4084.3567725564203</v>
      </c>
    </row>
    <row r="34" spans="1:8" x14ac:dyDescent="0.2">
      <c r="A34">
        <v>2022</v>
      </c>
      <c r="B34" s="3" t="str">
        <f t="shared" si="0"/>
        <v>5671</v>
      </c>
      <c r="C34" s="10" t="s">
        <v>42</v>
      </c>
      <c r="D34" s="11">
        <v>23486</v>
      </c>
      <c r="E34" s="11">
        <v>23486</v>
      </c>
      <c r="F34" s="10">
        <f t="shared" si="1"/>
        <v>4.7359466932196946E-5</v>
      </c>
      <c r="G34">
        <f t="shared" si="2"/>
        <v>3189.5292436763307</v>
      </c>
      <c r="H34" s="2">
        <f t="shared" si="3"/>
        <v>26675.52924367633</v>
      </c>
    </row>
    <row r="35" spans="1:8" x14ac:dyDescent="0.2">
      <c r="A35">
        <v>2022</v>
      </c>
      <c r="B35" s="3" t="str">
        <f t="shared" si="0"/>
        <v>5682</v>
      </c>
      <c r="C35" s="10" t="s">
        <v>43</v>
      </c>
      <c r="D35" s="10"/>
      <c r="E35" s="10"/>
      <c r="F35" s="10">
        <f t="shared" si="1"/>
        <v>0</v>
      </c>
      <c r="G35">
        <f t="shared" si="2"/>
        <v>0</v>
      </c>
      <c r="H35" s="2">
        <f t="shared" si="3"/>
        <v>0</v>
      </c>
    </row>
    <row r="36" spans="1:8" x14ac:dyDescent="0.2">
      <c r="A36">
        <v>2022</v>
      </c>
      <c r="B36" s="3" t="str">
        <f t="shared" si="0"/>
        <v>5688</v>
      </c>
      <c r="C36" s="10" t="s">
        <v>44</v>
      </c>
      <c r="D36" s="11">
        <v>10259</v>
      </c>
      <c r="E36" s="11">
        <v>10259</v>
      </c>
      <c r="F36" s="10">
        <f t="shared" si="1"/>
        <v>2.0687250756084835E-5</v>
      </c>
      <c r="G36">
        <f t="shared" si="2"/>
        <v>1393.2291795484746</v>
      </c>
      <c r="H36" s="2">
        <f t="shared" si="3"/>
        <v>11652.229179548474</v>
      </c>
    </row>
    <row r="37" spans="1:8" x14ac:dyDescent="0.2">
      <c r="A37">
        <v>2022</v>
      </c>
      <c r="B37" s="3" t="str">
        <f t="shared" si="0"/>
        <v>9034</v>
      </c>
      <c r="C37" s="10" t="s">
        <v>45</v>
      </c>
      <c r="D37" s="11">
        <v>94205</v>
      </c>
      <c r="E37" s="11">
        <v>94205</v>
      </c>
      <c r="F37" s="10">
        <f t="shared" si="1"/>
        <v>1.8996417365015809E-4</v>
      </c>
      <c r="G37">
        <f t="shared" si="2"/>
        <v>12793.562224326351</v>
      </c>
      <c r="H37" s="2">
        <f t="shared" si="3"/>
        <v>106998.56222432635</v>
      </c>
    </row>
    <row r="38" spans="1:8" x14ac:dyDescent="0.2">
      <c r="A38">
        <v>2022</v>
      </c>
      <c r="B38" s="3" t="str">
        <f t="shared" si="0"/>
        <v>9042</v>
      </c>
      <c r="C38" s="10" t="s">
        <v>46</v>
      </c>
      <c r="D38" s="11">
        <v>5377</v>
      </c>
      <c r="E38" s="11">
        <v>5377</v>
      </c>
      <c r="F38" s="10">
        <f t="shared" si="1"/>
        <v>1.0842708579341861E-5</v>
      </c>
      <c r="G38">
        <f t="shared" si="2"/>
        <v>730.22646441486961</v>
      </c>
      <c r="H38" s="2">
        <f t="shared" si="3"/>
        <v>6107.22646441487</v>
      </c>
    </row>
    <row r="39" spans="1:8" x14ac:dyDescent="0.2">
      <c r="A39">
        <v>2022</v>
      </c>
      <c r="B39" s="3" t="str">
        <f t="shared" si="0"/>
        <v>9047</v>
      </c>
      <c r="C39" s="10" t="s">
        <v>47</v>
      </c>
      <c r="D39" s="11">
        <v>9242</v>
      </c>
      <c r="E39" s="11">
        <v>9242</v>
      </c>
      <c r="F39" s="10">
        <f t="shared" si="1"/>
        <v>1.8636472510745302E-5</v>
      </c>
      <c r="G39">
        <f t="shared" si="2"/>
        <v>1255.114931025149</v>
      </c>
      <c r="H39" s="2">
        <f t="shared" si="3"/>
        <v>10497.114931025149</v>
      </c>
    </row>
    <row r="40" spans="1:8" x14ac:dyDescent="0.2">
      <c r="A40">
        <v>2022</v>
      </c>
      <c r="B40" s="3" t="str">
        <f t="shared" si="0"/>
        <v>9053</v>
      </c>
      <c r="C40" s="10" t="s">
        <v>48</v>
      </c>
      <c r="D40" s="10"/>
      <c r="E40" s="10"/>
      <c r="F40" s="10">
        <f t="shared" si="1"/>
        <v>0</v>
      </c>
      <c r="G40">
        <f t="shared" si="2"/>
        <v>0</v>
      </c>
      <c r="H40" s="2">
        <f t="shared" si="3"/>
        <v>0</v>
      </c>
    </row>
    <row r="41" spans="1:8" x14ac:dyDescent="0.2">
      <c r="A41">
        <v>2022</v>
      </c>
      <c r="B41" s="3" t="str">
        <f t="shared" si="0"/>
        <v>9055</v>
      </c>
      <c r="C41" s="10" t="s">
        <v>49</v>
      </c>
      <c r="D41" s="11">
        <v>76976</v>
      </c>
      <c r="E41" s="11">
        <v>76976</v>
      </c>
      <c r="F41" s="10">
        <f t="shared" si="1"/>
        <v>1.5522193334636771E-4</v>
      </c>
      <c r="G41">
        <f t="shared" si="2"/>
        <v>10453.768332676029</v>
      </c>
      <c r="H41" s="2">
        <f t="shared" si="3"/>
        <v>87429.768332676031</v>
      </c>
    </row>
    <row r="42" spans="1:8" x14ac:dyDescent="0.2">
      <c r="A42">
        <v>2022</v>
      </c>
      <c r="B42" s="3" t="str">
        <f t="shared" si="0"/>
        <v>9056</v>
      </c>
      <c r="C42" s="10" t="s">
        <v>50</v>
      </c>
      <c r="D42" s="11">
        <v>12847</v>
      </c>
      <c r="E42" s="11">
        <v>12847</v>
      </c>
      <c r="F42" s="10">
        <f t="shared" si="1"/>
        <v>2.5905947018561447E-5</v>
      </c>
      <c r="G42">
        <f t="shared" si="2"/>
        <v>1744.6939535685012</v>
      </c>
      <c r="H42" s="2">
        <f t="shared" si="3"/>
        <v>14591.693953568501</v>
      </c>
    </row>
    <row r="43" spans="1:8" x14ac:dyDescent="0.2">
      <c r="A43">
        <v>2022</v>
      </c>
      <c r="B43" s="3" t="str">
        <f t="shared" si="0"/>
        <v>9273</v>
      </c>
      <c r="C43" s="10" t="s">
        <v>51</v>
      </c>
      <c r="D43" s="11">
        <v>3590</v>
      </c>
      <c r="E43" s="11">
        <v>3590</v>
      </c>
      <c r="F43" s="10">
        <f t="shared" si="1"/>
        <v>7.2392270410707241E-6</v>
      </c>
      <c r="G43">
        <f t="shared" si="2"/>
        <v>487.54193923179878</v>
      </c>
      <c r="H43" s="2">
        <f t="shared" si="3"/>
        <v>4077.541939231799</v>
      </c>
    </row>
    <row r="44" spans="1:8" x14ac:dyDescent="0.2">
      <c r="A44">
        <v>2022</v>
      </c>
      <c r="B44" s="3" t="str">
        <f t="shared" si="0"/>
        <v>9274</v>
      </c>
      <c r="C44" s="10" t="s">
        <v>52</v>
      </c>
      <c r="D44" s="11">
        <v>35526</v>
      </c>
      <c r="E44" s="11">
        <v>35526</v>
      </c>
      <c r="F44" s="10">
        <f t="shared" si="1"/>
        <v>7.1638100239854754E-5</v>
      </c>
      <c r="G44">
        <f t="shared" si="2"/>
        <v>4824.6281150832547</v>
      </c>
      <c r="H44" s="2">
        <f t="shared" si="3"/>
        <v>40350.628115083251</v>
      </c>
    </row>
    <row r="45" spans="1:8" x14ac:dyDescent="0.2">
      <c r="A45">
        <v>2022</v>
      </c>
      <c r="B45" s="3" t="str">
        <f t="shared" si="0"/>
        <v>9303</v>
      </c>
      <c r="C45" s="10" t="s">
        <v>53</v>
      </c>
      <c r="D45" s="11">
        <v>11924</v>
      </c>
      <c r="E45" s="11">
        <v>11924</v>
      </c>
      <c r="F45" s="10">
        <f t="shared" si="1"/>
        <v>2.4044719564826549E-5</v>
      </c>
      <c r="G45">
        <f t="shared" si="2"/>
        <v>1619.3454271309104</v>
      </c>
      <c r="H45" s="2">
        <f t="shared" si="3"/>
        <v>13543.345427130911</v>
      </c>
    </row>
    <row r="46" spans="1:8" x14ac:dyDescent="0.2">
      <c r="A46">
        <v>2022</v>
      </c>
      <c r="B46" s="3" t="str">
        <f t="shared" si="0"/>
        <v>9304</v>
      </c>
      <c r="C46" s="10" t="s">
        <v>54</v>
      </c>
      <c r="D46" s="10"/>
      <c r="E46" s="10"/>
      <c r="F46" s="10">
        <f t="shared" si="1"/>
        <v>0</v>
      </c>
      <c r="G46">
        <f t="shared" si="2"/>
        <v>0</v>
      </c>
      <c r="H46" s="2">
        <f t="shared" si="3"/>
        <v>0</v>
      </c>
    </row>
    <row r="47" spans="1:8" x14ac:dyDescent="0.2">
      <c r="A47">
        <v>2022</v>
      </c>
      <c r="B47" s="3" t="str">
        <f t="shared" si="0"/>
        <v>9305</v>
      </c>
      <c r="C47" s="10" t="s">
        <v>55</v>
      </c>
      <c r="D47" s="11">
        <v>26559</v>
      </c>
      <c r="E47" s="11">
        <v>26559</v>
      </c>
      <c r="F47" s="10">
        <f t="shared" si="1"/>
        <v>5.3556164619442163E-5</v>
      </c>
      <c r="G47">
        <f t="shared" si="2"/>
        <v>3606.8597114365862</v>
      </c>
      <c r="H47" s="2">
        <f t="shared" si="3"/>
        <v>30165.859711436588</v>
      </c>
    </row>
    <row r="48" spans="1:8" x14ac:dyDescent="0.2">
      <c r="A48">
        <v>2022</v>
      </c>
      <c r="B48" s="3" t="str">
        <f t="shared" si="0"/>
        <v>9395</v>
      </c>
      <c r="C48" s="10" t="s">
        <v>56</v>
      </c>
      <c r="D48" s="10"/>
      <c r="E48" s="10"/>
      <c r="F48" s="10">
        <f t="shared" si="1"/>
        <v>0</v>
      </c>
      <c r="G48">
        <f t="shared" si="2"/>
        <v>0</v>
      </c>
      <c r="H48" s="2">
        <f t="shared" si="3"/>
        <v>0</v>
      </c>
    </row>
    <row r="49" spans="1:8" x14ac:dyDescent="0.2">
      <c r="A49">
        <v>2022</v>
      </c>
      <c r="B49" s="3" t="str">
        <f t="shared" si="0"/>
        <v>9487</v>
      </c>
      <c r="C49" s="10" t="s">
        <v>57</v>
      </c>
      <c r="D49" s="10"/>
      <c r="E49" s="10"/>
      <c r="F49" s="10">
        <f t="shared" si="1"/>
        <v>0</v>
      </c>
      <c r="G49">
        <f t="shared" si="2"/>
        <v>0</v>
      </c>
      <c r="H49" s="2">
        <f t="shared" si="3"/>
        <v>0</v>
      </c>
    </row>
    <row r="50" spans="1:8" x14ac:dyDescent="0.2">
      <c r="A50">
        <v>2022</v>
      </c>
      <c r="B50" s="3" t="str">
        <f t="shared" si="0"/>
        <v>9507</v>
      </c>
      <c r="C50" s="10" t="s">
        <v>58</v>
      </c>
      <c r="D50" s="11">
        <v>86722</v>
      </c>
      <c r="E50" s="11">
        <v>86722</v>
      </c>
      <c r="F50" s="10">
        <f t="shared" si="1"/>
        <v>1.7487472073975915E-4</v>
      </c>
      <c r="G50">
        <f t="shared" si="2"/>
        <v>11777.329262969375</v>
      </c>
      <c r="H50" s="2">
        <f t="shared" si="3"/>
        <v>98499.329262969375</v>
      </c>
    </row>
    <row r="51" spans="1:8" x14ac:dyDescent="0.2">
      <c r="A51">
        <v>2022</v>
      </c>
      <c r="B51" s="3" t="str">
        <f t="shared" si="0"/>
        <v>4828</v>
      </c>
      <c r="C51" s="10" t="s">
        <v>59</v>
      </c>
      <c r="D51" s="11">
        <v>3959848</v>
      </c>
      <c r="E51" s="11">
        <v>3959848</v>
      </c>
      <c r="F51" s="10">
        <f t="shared" si="1"/>
        <v>7.9850247131280847E-3</v>
      </c>
      <c r="G51">
        <f t="shared" si="2"/>
        <v>537769.35180589417</v>
      </c>
      <c r="H51" s="2">
        <f t="shared" si="3"/>
        <v>4497617.3518058937</v>
      </c>
    </row>
    <row r="52" spans="1:8" x14ac:dyDescent="0.2">
      <c r="A52">
        <v>2022</v>
      </c>
      <c r="B52" s="3" t="str">
        <f t="shared" si="0"/>
        <v>4829</v>
      </c>
      <c r="C52" s="10" t="s">
        <v>60</v>
      </c>
      <c r="D52" s="11">
        <v>2151162</v>
      </c>
      <c r="E52" s="11">
        <v>2151162</v>
      </c>
      <c r="F52" s="10">
        <f t="shared" si="1"/>
        <v>4.3378134039342006E-3</v>
      </c>
      <c r="G52">
        <f t="shared" si="2"/>
        <v>292139.74737653334</v>
      </c>
      <c r="H52" s="2">
        <f t="shared" si="3"/>
        <v>2443301.7473765332</v>
      </c>
    </row>
    <row r="53" spans="1:8" x14ac:dyDescent="0.2">
      <c r="A53">
        <v>2022</v>
      </c>
      <c r="B53" s="3" t="str">
        <f t="shared" si="0"/>
        <v>4871</v>
      </c>
      <c r="C53" s="10" t="s">
        <v>61</v>
      </c>
      <c r="D53" s="11">
        <v>491417</v>
      </c>
      <c r="E53" s="11">
        <v>491417</v>
      </c>
      <c r="F53" s="10">
        <f t="shared" si="1"/>
        <v>9.9094129104229873E-4</v>
      </c>
      <c r="G53">
        <f t="shared" si="2"/>
        <v>66737.157980911667</v>
      </c>
      <c r="H53" s="2">
        <f t="shared" si="3"/>
        <v>558154.15798091167</v>
      </c>
    </row>
    <row r="54" spans="1:8" x14ac:dyDescent="0.2">
      <c r="A54">
        <v>2022</v>
      </c>
      <c r="B54" s="3" t="str">
        <f t="shared" si="0"/>
        <v>4882</v>
      </c>
      <c r="C54" s="10" t="s">
        <v>62</v>
      </c>
      <c r="D54" s="11">
        <v>2810886</v>
      </c>
      <c r="E54" s="11">
        <v>2810886</v>
      </c>
      <c r="F54" s="10">
        <f t="shared" si="1"/>
        <v>5.6681453873446029E-3</v>
      </c>
      <c r="G54">
        <f t="shared" si="2"/>
        <v>381733.9307519538</v>
      </c>
      <c r="H54" s="2">
        <f t="shared" si="3"/>
        <v>3192619.9307519537</v>
      </c>
    </row>
    <row r="55" spans="1:8" x14ac:dyDescent="0.2">
      <c r="A55">
        <v>2022</v>
      </c>
      <c r="B55" s="3" t="str">
        <f t="shared" si="0"/>
        <v>4912</v>
      </c>
      <c r="C55" s="10" t="s">
        <v>63</v>
      </c>
      <c r="D55" s="11">
        <v>504295</v>
      </c>
      <c r="E55" s="11">
        <v>504295</v>
      </c>
      <c r="F55" s="10">
        <f t="shared" si="1"/>
        <v>1.016909749492134E-3</v>
      </c>
      <c r="G55">
        <f t="shared" si="2"/>
        <v>68486.061906657385</v>
      </c>
      <c r="H55" s="2">
        <f t="shared" si="3"/>
        <v>572781.06190665741</v>
      </c>
    </row>
    <row r="56" spans="1:8" x14ac:dyDescent="0.2">
      <c r="A56">
        <v>2022</v>
      </c>
      <c r="B56" s="3" t="str">
        <f t="shared" si="0"/>
        <v>4977</v>
      </c>
      <c r="C56" s="10" t="s">
        <v>64</v>
      </c>
      <c r="D56" s="11">
        <v>213896</v>
      </c>
      <c r="E56" s="11">
        <v>213896</v>
      </c>
      <c r="F56" s="10">
        <f t="shared" si="1"/>
        <v>4.3132080979856925E-4</v>
      </c>
      <c r="G56">
        <f t="shared" si="2"/>
        <v>29048.264800536166</v>
      </c>
      <c r="H56" s="2">
        <f t="shared" si="3"/>
        <v>242944.26480053616</v>
      </c>
    </row>
    <row r="57" spans="1:8" x14ac:dyDescent="0.2">
      <c r="A57">
        <v>2022</v>
      </c>
      <c r="B57" s="3" t="str">
        <f t="shared" si="0"/>
        <v>4978</v>
      </c>
      <c r="C57" s="10" t="s">
        <v>65</v>
      </c>
      <c r="D57" s="11">
        <v>33634972</v>
      </c>
      <c r="E57" s="11">
        <v>33634972</v>
      </c>
      <c r="F57" s="10">
        <f t="shared" si="1"/>
        <v>6.7824846470210767E-2</v>
      </c>
      <c r="G57">
        <f t="shared" si="2"/>
        <v>4567816.0097178984</v>
      </c>
      <c r="H57" s="2">
        <f t="shared" si="3"/>
        <v>38202788.009717897</v>
      </c>
    </row>
    <row r="58" spans="1:8" x14ac:dyDescent="0.2">
      <c r="A58">
        <v>2022</v>
      </c>
      <c r="B58" s="3" t="str">
        <f t="shared" si="0"/>
        <v>4979</v>
      </c>
      <c r="C58" s="10" t="s">
        <v>66</v>
      </c>
      <c r="D58" s="11">
        <v>109825</v>
      </c>
      <c r="E58" s="11">
        <v>109825</v>
      </c>
      <c r="F58" s="10">
        <f t="shared" si="1"/>
        <v>2.2146186902105634E-4</v>
      </c>
      <c r="G58">
        <f t="shared" si="2"/>
        <v>14914.844979424039</v>
      </c>
      <c r="H58" s="2">
        <f t="shared" si="3"/>
        <v>124739.84497942404</v>
      </c>
    </row>
    <row r="59" spans="1:8" x14ac:dyDescent="0.2">
      <c r="A59">
        <v>2022</v>
      </c>
      <c r="B59" s="3" t="str">
        <f t="shared" si="0"/>
        <v>4980</v>
      </c>
      <c r="C59" s="10" t="s">
        <v>67</v>
      </c>
      <c r="D59" s="11">
        <v>2636611</v>
      </c>
      <c r="E59" s="11">
        <v>2636611</v>
      </c>
      <c r="F59" s="10">
        <f t="shared" si="1"/>
        <v>5.3167202362073883E-3</v>
      </c>
      <c r="G59">
        <f t="shared" si="2"/>
        <v>358066.41781055497</v>
      </c>
      <c r="H59" s="2">
        <f t="shared" si="3"/>
        <v>2994677.4178105551</v>
      </c>
    </row>
    <row r="60" spans="1:8" x14ac:dyDescent="0.2">
      <c r="A60">
        <v>2022</v>
      </c>
      <c r="B60" s="3" t="str">
        <f t="shared" si="0"/>
        <v>4981</v>
      </c>
      <c r="C60" s="10" t="s">
        <v>68</v>
      </c>
      <c r="D60" s="11">
        <v>5097590</v>
      </c>
      <c r="E60" s="11">
        <v>5097590</v>
      </c>
      <c r="F60" s="10">
        <f t="shared" si="1"/>
        <v>1.0279278933785992E-2</v>
      </c>
      <c r="G60">
        <f t="shared" si="2"/>
        <v>692281.03454279248</v>
      </c>
      <c r="H60" s="2">
        <f t="shared" si="3"/>
        <v>5789871.0345427925</v>
      </c>
    </row>
    <row r="61" spans="1:8" x14ac:dyDescent="0.2">
      <c r="A61">
        <v>2022</v>
      </c>
      <c r="B61" s="3" t="str">
        <f t="shared" si="0"/>
        <v>4982</v>
      </c>
      <c r="C61" s="10" t="s">
        <v>69</v>
      </c>
      <c r="D61" s="11">
        <v>54772824</v>
      </c>
      <c r="E61" s="11">
        <v>54772824</v>
      </c>
      <c r="F61" s="10">
        <f t="shared" si="1"/>
        <v>0.11044927816618595</v>
      </c>
      <c r="G61">
        <f t="shared" si="2"/>
        <v>7438453.7131370511</v>
      </c>
      <c r="H61" s="2">
        <f t="shared" si="3"/>
        <v>62211277.713137053</v>
      </c>
    </row>
    <row r="62" spans="1:8" x14ac:dyDescent="0.2">
      <c r="A62">
        <v>2022</v>
      </c>
      <c r="B62" s="3" t="str">
        <f t="shared" si="0"/>
        <v>4983</v>
      </c>
      <c r="C62" s="10" t="s">
        <v>70</v>
      </c>
      <c r="D62" s="11">
        <v>6816890</v>
      </c>
      <c r="E62" s="11">
        <v>6816890</v>
      </c>
      <c r="F62" s="10">
        <f t="shared" si="1"/>
        <v>1.3746243572146131E-2</v>
      </c>
      <c r="G62">
        <f t="shared" si="2"/>
        <v>925771.52371305204</v>
      </c>
      <c r="H62" s="2">
        <f t="shared" si="3"/>
        <v>7742661.5237130523</v>
      </c>
    </row>
    <row r="63" spans="1:8" x14ac:dyDescent="0.2">
      <c r="A63">
        <v>2022</v>
      </c>
      <c r="B63" s="3" t="str">
        <f t="shared" si="0"/>
        <v>4984</v>
      </c>
      <c r="C63" s="10" t="s">
        <v>71</v>
      </c>
      <c r="D63" s="11">
        <v>3117021</v>
      </c>
      <c r="E63" s="11">
        <v>3117021</v>
      </c>
      <c r="F63" s="10">
        <f t="shared" si="1"/>
        <v>6.2854659361518969E-3</v>
      </c>
      <c r="G63">
        <f t="shared" si="2"/>
        <v>423308.76405744866</v>
      </c>
      <c r="H63" s="2">
        <f t="shared" si="3"/>
        <v>3540329.7640574486</v>
      </c>
    </row>
    <row r="64" spans="1:8" x14ac:dyDescent="0.2">
      <c r="A64">
        <v>2022</v>
      </c>
      <c r="B64" s="3" t="str">
        <f t="shared" si="0"/>
        <v>4985</v>
      </c>
      <c r="C64" s="10" t="s">
        <v>72</v>
      </c>
      <c r="D64" s="11">
        <v>6163797</v>
      </c>
      <c r="E64" s="11">
        <v>6163797</v>
      </c>
      <c r="F64" s="10">
        <f t="shared" si="1"/>
        <v>1.2429282985534989E-2</v>
      </c>
      <c r="G64">
        <f t="shared" si="2"/>
        <v>837077.8669668925</v>
      </c>
      <c r="H64" s="2">
        <f t="shared" si="3"/>
        <v>7000874.866966892</v>
      </c>
    </row>
    <row r="65" spans="1:8" x14ac:dyDescent="0.2">
      <c r="A65">
        <v>2022</v>
      </c>
      <c r="B65" s="3" t="str">
        <f t="shared" si="0"/>
        <v>4986</v>
      </c>
      <c r="C65" s="10" t="s">
        <v>73</v>
      </c>
      <c r="D65" s="11">
        <v>7701589</v>
      </c>
      <c r="E65" s="11">
        <v>7701589</v>
      </c>
      <c r="F65" s="10">
        <f t="shared" si="1"/>
        <v>1.5530237144293269E-2</v>
      </c>
      <c r="G65">
        <f t="shared" si="2"/>
        <v>1045918.561622922</v>
      </c>
      <c r="H65" s="2">
        <f t="shared" si="3"/>
        <v>8747507.5616229214</v>
      </c>
    </row>
    <row r="66" spans="1:8" x14ac:dyDescent="0.2">
      <c r="A66">
        <v>2022</v>
      </c>
      <c r="B66" s="3" t="str">
        <f t="shared" si="0"/>
        <v>4987</v>
      </c>
      <c r="C66" s="10" t="s">
        <v>74</v>
      </c>
      <c r="D66" s="11">
        <v>711950</v>
      </c>
      <c r="E66" s="11">
        <v>711950</v>
      </c>
      <c r="F66" s="10">
        <f t="shared" si="1"/>
        <v>1.4356455966268251E-3</v>
      </c>
      <c r="G66">
        <f t="shared" si="2"/>
        <v>96686.764244033198</v>
      </c>
      <c r="H66" s="2">
        <f t="shared" si="3"/>
        <v>808636.76424403326</v>
      </c>
    </row>
    <row r="67" spans="1:8" x14ac:dyDescent="0.2">
      <c r="A67">
        <v>2022</v>
      </c>
      <c r="B67" s="3" t="str">
        <f t="shared" ref="B67:B130" si="4">LEFT(C67,4)</f>
        <v>4988</v>
      </c>
      <c r="C67" s="10" t="s">
        <v>75</v>
      </c>
      <c r="D67" s="11">
        <v>2515379</v>
      </c>
      <c r="E67" s="11">
        <v>2515379</v>
      </c>
      <c r="F67" s="10">
        <f t="shared" ref="F67:F130" si="5">D67/$D$340</f>
        <v>5.0722561769753309E-3</v>
      </c>
      <c r="G67">
        <f t="shared" ref="G67:G130" si="6">F67*$D$341</f>
        <v>341602.43887547153</v>
      </c>
      <c r="H67" s="2">
        <f t="shared" ref="H67:H130" si="7">SUM(G67,D67)</f>
        <v>2856981.4388754717</v>
      </c>
    </row>
    <row r="68" spans="1:8" x14ac:dyDescent="0.2">
      <c r="A68">
        <v>2022</v>
      </c>
      <c r="B68" s="3" t="str">
        <f t="shared" si="4"/>
        <v>4990</v>
      </c>
      <c r="C68" s="10" t="s">
        <v>76</v>
      </c>
      <c r="D68" s="11">
        <v>164417</v>
      </c>
      <c r="E68" s="11">
        <v>164417</v>
      </c>
      <c r="F68" s="10">
        <f t="shared" si="5"/>
        <v>3.3154651599212403E-4</v>
      </c>
      <c r="G68">
        <f t="shared" si="6"/>
        <v>22328.741789045867</v>
      </c>
      <c r="H68" s="2">
        <f t="shared" si="7"/>
        <v>186745.74178904586</v>
      </c>
    </row>
    <row r="69" spans="1:8" x14ac:dyDescent="0.2">
      <c r="A69">
        <v>2022</v>
      </c>
      <c r="B69" s="3" t="str">
        <f t="shared" si="4"/>
        <v>4991</v>
      </c>
      <c r="C69" s="10" t="s">
        <v>77</v>
      </c>
      <c r="D69" s="11">
        <v>1066828</v>
      </c>
      <c r="E69" s="11">
        <v>1066828</v>
      </c>
      <c r="F69" s="10">
        <f t="shared" si="5"/>
        <v>2.1512562968722558E-3</v>
      </c>
      <c r="G69">
        <f t="shared" si="6"/>
        <v>144881.16767319816</v>
      </c>
      <c r="H69" s="2">
        <f t="shared" si="7"/>
        <v>1211709.167673198</v>
      </c>
    </row>
    <row r="70" spans="1:8" x14ac:dyDescent="0.2">
      <c r="A70">
        <v>2022</v>
      </c>
      <c r="B70" s="3" t="str">
        <f t="shared" si="4"/>
        <v>4992</v>
      </c>
      <c r="C70" s="10" t="s">
        <v>78</v>
      </c>
      <c r="D70" s="11">
        <v>328097</v>
      </c>
      <c r="E70" s="11">
        <v>328097</v>
      </c>
      <c r="F70" s="10">
        <f t="shared" si="5"/>
        <v>6.6160687311815636E-4</v>
      </c>
      <c r="G70">
        <f t="shared" si="6"/>
        <v>44557.394884717403</v>
      </c>
      <c r="H70" s="2">
        <f t="shared" si="7"/>
        <v>372654.39488471742</v>
      </c>
    </row>
    <row r="71" spans="1:8" x14ac:dyDescent="0.2">
      <c r="A71">
        <v>2022</v>
      </c>
      <c r="B71" s="3" t="str">
        <f t="shared" si="4"/>
        <v>4993</v>
      </c>
      <c r="C71" s="10" t="s">
        <v>79</v>
      </c>
      <c r="D71" s="11">
        <v>842163</v>
      </c>
      <c r="E71" s="11">
        <v>842163</v>
      </c>
      <c r="F71" s="10">
        <f t="shared" si="5"/>
        <v>1.6982198224482574E-3</v>
      </c>
      <c r="G71">
        <f t="shared" si="6"/>
        <v>114370.41286052071</v>
      </c>
      <c r="H71" s="2">
        <f t="shared" si="7"/>
        <v>956533.41286052065</v>
      </c>
    </row>
    <row r="72" spans="1:8" x14ac:dyDescent="0.2">
      <c r="A72">
        <v>2022</v>
      </c>
      <c r="B72" s="3" t="str">
        <f t="shared" si="4"/>
        <v>4994</v>
      </c>
      <c r="C72" s="10" t="s">
        <v>80</v>
      </c>
      <c r="D72" s="11">
        <v>199865</v>
      </c>
      <c r="E72" s="11">
        <v>199865</v>
      </c>
      <c r="F72" s="10">
        <f t="shared" si="5"/>
        <v>4.0302732940490258E-4</v>
      </c>
      <c r="G72">
        <f t="shared" si="6"/>
        <v>27142.777070909044</v>
      </c>
      <c r="H72" s="2">
        <f t="shared" si="7"/>
        <v>227007.77707090904</v>
      </c>
    </row>
    <row r="73" spans="1:8" x14ac:dyDescent="0.2">
      <c r="A73">
        <v>2022</v>
      </c>
      <c r="B73" s="3" t="str">
        <f t="shared" si="4"/>
        <v>4995</v>
      </c>
      <c r="C73" s="10" t="s">
        <v>81</v>
      </c>
      <c r="D73" s="11">
        <v>887660</v>
      </c>
      <c r="E73" s="11">
        <v>887660</v>
      </c>
      <c r="F73" s="10">
        <f t="shared" si="5"/>
        <v>1.789964422082685E-3</v>
      </c>
      <c r="G73">
        <f t="shared" si="6"/>
        <v>120549.15815557062</v>
      </c>
      <c r="H73" s="2">
        <f t="shared" si="7"/>
        <v>1008209.1581555706</v>
      </c>
    </row>
    <row r="74" spans="1:8" x14ac:dyDescent="0.2">
      <c r="A74">
        <v>2022</v>
      </c>
      <c r="B74" s="3" t="str">
        <f t="shared" si="4"/>
        <v>4996</v>
      </c>
      <c r="C74" s="10" t="s">
        <v>82</v>
      </c>
      <c r="D74" s="11">
        <v>241732</v>
      </c>
      <c r="E74" s="11">
        <v>241732</v>
      </c>
      <c r="F74" s="10">
        <f t="shared" si="5"/>
        <v>4.8745204208693824E-4</v>
      </c>
      <c r="G74">
        <f t="shared" si="6"/>
        <v>32828.548204563005</v>
      </c>
      <c r="H74" s="2">
        <f t="shared" si="7"/>
        <v>274560.54820456298</v>
      </c>
    </row>
    <row r="75" spans="1:8" x14ac:dyDescent="0.2">
      <c r="A75">
        <v>2022</v>
      </c>
      <c r="B75" s="3" t="str">
        <f t="shared" si="4"/>
        <v>4997</v>
      </c>
      <c r="C75" s="10" t="s">
        <v>83</v>
      </c>
      <c r="D75" s="11">
        <v>3697285</v>
      </c>
      <c r="E75" s="11">
        <v>3697285</v>
      </c>
      <c r="F75" s="10">
        <f t="shared" si="5"/>
        <v>7.4555670057228889E-3</v>
      </c>
      <c r="G75">
        <f t="shared" si="6"/>
        <v>502111.83810379973</v>
      </c>
      <c r="H75" s="2">
        <f t="shared" si="7"/>
        <v>4199396.8381038001</v>
      </c>
    </row>
    <row r="76" spans="1:8" x14ac:dyDescent="0.2">
      <c r="A76">
        <v>2022</v>
      </c>
      <c r="B76" s="3" t="str">
        <f t="shared" si="4"/>
        <v>4998</v>
      </c>
      <c r="C76" s="10" t="s">
        <v>84</v>
      </c>
      <c r="D76" s="11">
        <v>458546</v>
      </c>
      <c r="E76" s="11">
        <v>458546</v>
      </c>
      <c r="F76" s="10">
        <f t="shared" si="5"/>
        <v>9.2465699241638338E-4</v>
      </c>
      <c r="G76">
        <f t="shared" si="6"/>
        <v>62273.093611973374</v>
      </c>
      <c r="H76" s="2">
        <f t="shared" si="7"/>
        <v>520819.0936119734</v>
      </c>
    </row>
    <row r="77" spans="1:8" x14ac:dyDescent="0.2">
      <c r="A77">
        <v>2022</v>
      </c>
      <c r="B77" s="3" t="str">
        <f t="shared" si="4"/>
        <v>4999</v>
      </c>
      <c r="C77" s="10" t="s">
        <v>352</v>
      </c>
      <c r="D77" s="11">
        <v>7648620</v>
      </c>
      <c r="E77" s="11">
        <v>7648620</v>
      </c>
      <c r="F77" s="10">
        <f t="shared" si="5"/>
        <v>1.5423425273224057E-2</v>
      </c>
      <c r="G77">
        <f t="shared" si="6"/>
        <v>1038725.0772276103</v>
      </c>
      <c r="H77" s="2">
        <f t="shared" si="7"/>
        <v>8687345.0772276111</v>
      </c>
    </row>
    <row r="78" spans="1:8" x14ac:dyDescent="0.2">
      <c r="A78">
        <v>2022</v>
      </c>
      <c r="B78" s="3" t="str">
        <f t="shared" si="4"/>
        <v>5000</v>
      </c>
      <c r="C78" s="10" t="s">
        <v>86</v>
      </c>
      <c r="D78" s="11">
        <v>4443809</v>
      </c>
      <c r="E78" s="11">
        <v>4443809</v>
      </c>
      <c r="F78" s="10">
        <f t="shared" si="5"/>
        <v>8.9609309967001258E-3</v>
      </c>
      <c r="G78">
        <f t="shared" si="6"/>
        <v>603493.94357540959</v>
      </c>
      <c r="H78" s="2">
        <f t="shared" si="7"/>
        <v>5047302.9435754092</v>
      </c>
    </row>
    <row r="79" spans="1:8" x14ac:dyDescent="0.2">
      <c r="A79">
        <v>2022</v>
      </c>
      <c r="B79" s="3" t="str">
        <f t="shared" si="4"/>
        <v>5001</v>
      </c>
      <c r="C79" s="10" t="s">
        <v>87</v>
      </c>
      <c r="D79" s="11">
        <v>263209</v>
      </c>
      <c r="E79" s="11">
        <v>263209</v>
      </c>
      <c r="F79" s="10">
        <f t="shared" si="5"/>
        <v>5.3076036497303185E-4</v>
      </c>
      <c r="G79">
        <f t="shared" si="6"/>
        <v>35745.244090045271</v>
      </c>
      <c r="H79" s="2">
        <f t="shared" si="7"/>
        <v>298954.24409004528</v>
      </c>
    </row>
    <row r="80" spans="1:8" x14ac:dyDescent="0.2">
      <c r="A80">
        <v>2022</v>
      </c>
      <c r="B80" s="3" t="str">
        <f t="shared" si="4"/>
        <v>5002</v>
      </c>
      <c r="C80" s="10" t="s">
        <v>88</v>
      </c>
      <c r="D80" s="11">
        <v>92823</v>
      </c>
      <c r="E80" s="11">
        <v>92823</v>
      </c>
      <c r="F80" s="10">
        <f t="shared" si="5"/>
        <v>1.8717737371401334E-4</v>
      </c>
      <c r="G80">
        <f t="shared" si="6"/>
        <v>12605.878948555226</v>
      </c>
      <c r="H80" s="2">
        <f t="shared" si="7"/>
        <v>105428.87894855523</v>
      </c>
    </row>
    <row r="81" spans="1:8" x14ac:dyDescent="0.2">
      <c r="A81">
        <v>2022</v>
      </c>
      <c r="B81" s="3" t="str">
        <f t="shared" si="4"/>
        <v>5004</v>
      </c>
      <c r="C81" s="10" t="s">
        <v>89</v>
      </c>
      <c r="D81" s="11">
        <v>1343332</v>
      </c>
      <c r="E81" s="11">
        <v>1343332</v>
      </c>
      <c r="F81" s="10">
        <f t="shared" si="5"/>
        <v>2.7088259998706457E-3</v>
      </c>
      <c r="G81">
        <f t="shared" si="6"/>
        <v>182431.94660505035</v>
      </c>
      <c r="H81" s="2">
        <f t="shared" si="7"/>
        <v>1525763.9466050505</v>
      </c>
    </row>
    <row r="82" spans="1:8" x14ac:dyDescent="0.2">
      <c r="A82">
        <v>2022</v>
      </c>
      <c r="B82" s="3" t="str">
        <f t="shared" si="4"/>
        <v>5005</v>
      </c>
      <c r="C82" s="10" t="s">
        <v>90</v>
      </c>
      <c r="D82" s="11">
        <v>602133</v>
      </c>
      <c r="E82" s="11">
        <v>602133</v>
      </c>
      <c r="F82" s="10">
        <f t="shared" si="5"/>
        <v>1.2141998595880329E-3</v>
      </c>
      <c r="G82">
        <f t="shared" si="6"/>
        <v>81773.005709041972</v>
      </c>
      <c r="H82" s="2">
        <f t="shared" si="7"/>
        <v>683906.00570904196</v>
      </c>
    </row>
    <row r="83" spans="1:8" x14ac:dyDescent="0.2">
      <c r="A83">
        <v>2022</v>
      </c>
      <c r="B83" s="3" t="str">
        <f t="shared" si="4"/>
        <v>5006</v>
      </c>
      <c r="C83" s="10" t="s">
        <v>91</v>
      </c>
      <c r="D83" s="11">
        <v>267684</v>
      </c>
      <c r="E83" s="11">
        <v>267684</v>
      </c>
      <c r="F83" s="10">
        <f t="shared" si="5"/>
        <v>5.3978419255208243E-4</v>
      </c>
      <c r="G83">
        <f t="shared" si="6"/>
        <v>36352.973944658734</v>
      </c>
      <c r="H83" s="2">
        <f t="shared" si="7"/>
        <v>304036.97394465876</v>
      </c>
    </row>
    <row r="84" spans="1:8" x14ac:dyDescent="0.2">
      <c r="A84">
        <v>2022</v>
      </c>
      <c r="B84" s="3" t="str">
        <f t="shared" si="4"/>
        <v>5655</v>
      </c>
      <c r="C84" s="3" t="s">
        <v>40</v>
      </c>
      <c r="D84" s="3"/>
      <c r="E84" s="3"/>
      <c r="F84" s="10">
        <f t="shared" si="5"/>
        <v>0</v>
      </c>
      <c r="G84">
        <f t="shared" si="6"/>
        <v>0</v>
      </c>
      <c r="H84" s="2">
        <f t="shared" si="7"/>
        <v>0</v>
      </c>
    </row>
    <row r="85" spans="1:8" x14ac:dyDescent="0.2">
      <c r="A85">
        <v>2022</v>
      </c>
      <c r="B85" s="3" t="str">
        <f t="shared" si="4"/>
        <v>5008</v>
      </c>
      <c r="C85" s="10" t="s">
        <v>92</v>
      </c>
      <c r="D85" s="11">
        <v>661756</v>
      </c>
      <c r="E85" s="11">
        <v>661756</v>
      </c>
      <c r="F85" s="10">
        <f t="shared" si="5"/>
        <v>1.3344295069055148E-3</v>
      </c>
      <c r="G85">
        <f t="shared" si="6"/>
        <v>89870.140261358843</v>
      </c>
      <c r="H85" s="2">
        <f t="shared" si="7"/>
        <v>751626.14026135881</v>
      </c>
    </row>
    <row r="86" spans="1:8" x14ac:dyDescent="0.2">
      <c r="A86">
        <v>2022</v>
      </c>
      <c r="B86" s="3" t="str">
        <f t="shared" si="4"/>
        <v>5010</v>
      </c>
      <c r="C86" s="10" t="s">
        <v>93</v>
      </c>
      <c r="D86" s="11">
        <v>1497968</v>
      </c>
      <c r="E86" s="11">
        <v>1497968</v>
      </c>
      <c r="F86" s="10">
        <f t="shared" si="5"/>
        <v>3.0206491510469725E-3</v>
      </c>
      <c r="G86">
        <f t="shared" si="6"/>
        <v>203432.37426940925</v>
      </c>
      <c r="H86" s="2">
        <f t="shared" si="7"/>
        <v>1701400.3742694093</v>
      </c>
    </row>
    <row r="87" spans="1:8" x14ac:dyDescent="0.2">
      <c r="A87">
        <v>2022</v>
      </c>
      <c r="B87" s="3" t="str">
        <f t="shared" si="4"/>
        <v>5011</v>
      </c>
      <c r="C87" s="10" t="s">
        <v>94</v>
      </c>
      <c r="D87" s="11">
        <v>606812</v>
      </c>
      <c r="E87" s="11">
        <v>606812</v>
      </c>
      <c r="F87" s="10">
        <f t="shared" si="5"/>
        <v>1.2236350527148213E-3</v>
      </c>
      <c r="G87">
        <f t="shared" si="6"/>
        <v>82408.439896692566</v>
      </c>
      <c r="H87" s="2">
        <f t="shared" si="7"/>
        <v>689220.43989669252</v>
      </c>
    </row>
    <row r="88" spans="1:8" x14ac:dyDescent="0.2">
      <c r="A88">
        <v>2022</v>
      </c>
      <c r="B88" s="3" t="str">
        <f t="shared" si="4"/>
        <v>5012</v>
      </c>
      <c r="C88" s="10" t="s">
        <v>95</v>
      </c>
      <c r="D88" s="11">
        <v>394071</v>
      </c>
      <c r="E88" s="11">
        <v>394071</v>
      </c>
      <c r="F88" s="10">
        <f t="shared" si="5"/>
        <v>7.9464329785564937E-4</v>
      </c>
      <c r="G88">
        <f t="shared" si="6"/>
        <v>53517.030511146011</v>
      </c>
      <c r="H88" s="2">
        <f t="shared" si="7"/>
        <v>447588.030511146</v>
      </c>
    </row>
    <row r="89" spans="1:8" x14ac:dyDescent="0.2">
      <c r="A89">
        <v>2022</v>
      </c>
      <c r="B89" s="3" t="str">
        <f t="shared" si="4"/>
        <v>5013</v>
      </c>
      <c r="C89" s="10" t="s">
        <v>96</v>
      </c>
      <c r="D89" s="11">
        <v>7152808</v>
      </c>
      <c r="E89" s="11">
        <v>7152808</v>
      </c>
      <c r="F89" s="10">
        <f t="shared" si="5"/>
        <v>1.4423621474425349E-2</v>
      </c>
      <c r="G89">
        <f t="shared" si="6"/>
        <v>971391.05383641343</v>
      </c>
      <c r="H89" s="2">
        <f t="shared" si="7"/>
        <v>8124199.0538364137</v>
      </c>
    </row>
    <row r="90" spans="1:8" x14ac:dyDescent="0.2">
      <c r="A90">
        <v>2022</v>
      </c>
      <c r="B90" s="3" t="str">
        <f t="shared" si="4"/>
        <v>5014</v>
      </c>
      <c r="C90" s="10" t="s">
        <v>97</v>
      </c>
      <c r="D90" s="11">
        <v>1617165</v>
      </c>
      <c r="E90" s="11">
        <v>1617165</v>
      </c>
      <c r="F90" s="10">
        <f t="shared" si="5"/>
        <v>3.2610096372905676E-3</v>
      </c>
      <c r="G90">
        <f t="shared" si="6"/>
        <v>219619.98890189189</v>
      </c>
      <c r="H90" s="2">
        <f t="shared" si="7"/>
        <v>1836784.988901892</v>
      </c>
    </row>
    <row r="91" spans="1:8" x14ac:dyDescent="0.2">
      <c r="A91">
        <v>2022</v>
      </c>
      <c r="B91" s="3" t="str">
        <f t="shared" si="4"/>
        <v>5015</v>
      </c>
      <c r="C91" s="10" t="s">
        <v>98</v>
      </c>
      <c r="D91" s="11">
        <v>421652</v>
      </c>
      <c r="E91" s="11">
        <v>421652</v>
      </c>
      <c r="F91" s="10">
        <f t="shared" si="5"/>
        <v>8.5026032320934626E-4</v>
      </c>
      <c r="G91">
        <f t="shared" si="6"/>
        <v>57262.683498876446</v>
      </c>
      <c r="H91" s="2">
        <f t="shared" si="7"/>
        <v>478914.68349887646</v>
      </c>
    </row>
    <row r="92" spans="1:8" x14ac:dyDescent="0.2">
      <c r="A92">
        <v>2022</v>
      </c>
      <c r="B92" s="3" t="str">
        <f t="shared" si="4"/>
        <v>5016</v>
      </c>
      <c r="C92" s="10" t="s">
        <v>99</v>
      </c>
      <c r="D92" s="11">
        <v>581189</v>
      </c>
      <c r="E92" s="11">
        <v>581189</v>
      </c>
      <c r="F92" s="10">
        <f t="shared" si="5"/>
        <v>1.1719663300202934E-3</v>
      </c>
      <c r="G92">
        <f t="shared" si="6"/>
        <v>78928.694183896921</v>
      </c>
      <c r="H92" s="2">
        <f t="shared" si="7"/>
        <v>660117.69418389688</v>
      </c>
    </row>
    <row r="93" spans="1:8" x14ac:dyDescent="0.2">
      <c r="A93">
        <v>2022</v>
      </c>
      <c r="B93" s="3" t="str">
        <f t="shared" si="4"/>
        <v>5017</v>
      </c>
      <c r="C93" s="10" t="s">
        <v>100</v>
      </c>
      <c r="D93" s="11">
        <v>3766952</v>
      </c>
      <c r="E93" s="11">
        <v>3766952</v>
      </c>
      <c r="F93" s="10">
        <f t="shared" si="5"/>
        <v>7.596050356773105E-3</v>
      </c>
      <c r="G93">
        <f t="shared" si="6"/>
        <v>511573.00364153285</v>
      </c>
      <c r="H93" s="2">
        <f t="shared" si="7"/>
        <v>4278525.0036415327</v>
      </c>
    </row>
    <row r="94" spans="1:8" x14ac:dyDescent="0.2">
      <c r="A94">
        <v>2022</v>
      </c>
      <c r="B94" s="3" t="str">
        <f t="shared" si="4"/>
        <v>5018</v>
      </c>
      <c r="C94" s="10" t="s">
        <v>101</v>
      </c>
      <c r="D94" s="11">
        <v>267061</v>
      </c>
      <c r="E94" s="11">
        <v>267061</v>
      </c>
      <c r="F94" s="10">
        <f t="shared" si="5"/>
        <v>5.3852791443325591E-4</v>
      </c>
      <c r="G94">
        <f t="shared" si="6"/>
        <v>36268.367084452206</v>
      </c>
      <c r="H94" s="2">
        <f t="shared" si="7"/>
        <v>303329.36708445218</v>
      </c>
    </row>
    <row r="95" spans="1:8" x14ac:dyDescent="0.2">
      <c r="A95">
        <v>2022</v>
      </c>
      <c r="B95" s="3" t="str">
        <f t="shared" si="4"/>
        <v>5019</v>
      </c>
      <c r="C95" s="10" t="s">
        <v>102</v>
      </c>
      <c r="D95" s="11">
        <v>2748353</v>
      </c>
      <c r="E95" s="11">
        <v>2748353</v>
      </c>
      <c r="F95" s="10">
        <f t="shared" si="5"/>
        <v>5.5420477314785093E-3</v>
      </c>
      <c r="G95">
        <f t="shared" si="6"/>
        <v>373241.60203719552</v>
      </c>
      <c r="H95" s="2">
        <f t="shared" si="7"/>
        <v>3121594.6020371956</v>
      </c>
    </row>
    <row r="96" spans="1:8" x14ac:dyDescent="0.2">
      <c r="A96">
        <v>2022</v>
      </c>
      <c r="B96" s="3" t="str">
        <f t="shared" si="4"/>
        <v>5020</v>
      </c>
      <c r="C96" s="10" t="s">
        <v>103</v>
      </c>
      <c r="D96" s="11">
        <v>7897844</v>
      </c>
      <c r="E96" s="11">
        <v>7897844</v>
      </c>
      <c r="F96" s="10">
        <f t="shared" si="5"/>
        <v>1.5925984916701441E-2</v>
      </c>
      <c r="G96">
        <f t="shared" si="6"/>
        <v>1072571.0806435172</v>
      </c>
      <c r="H96" s="2">
        <f t="shared" si="7"/>
        <v>8970415.0806435179</v>
      </c>
    </row>
    <row r="97" spans="1:8" x14ac:dyDescent="0.2">
      <c r="A97">
        <v>2022</v>
      </c>
      <c r="B97" s="3" t="str">
        <f t="shared" si="4"/>
        <v>5021</v>
      </c>
      <c r="C97" s="10" t="s">
        <v>104</v>
      </c>
      <c r="D97" s="11">
        <v>287163</v>
      </c>
      <c r="E97" s="11">
        <v>287163</v>
      </c>
      <c r="F97" s="10">
        <f t="shared" si="5"/>
        <v>5.7906355286768587E-4</v>
      </c>
      <c r="G97">
        <f t="shared" si="6"/>
        <v>38998.330333042068</v>
      </c>
      <c r="H97" s="2">
        <f t="shared" si="7"/>
        <v>326161.33033304207</v>
      </c>
    </row>
    <row r="98" spans="1:8" x14ac:dyDescent="0.2">
      <c r="A98">
        <v>2022</v>
      </c>
      <c r="B98" s="3" t="str">
        <f t="shared" si="4"/>
        <v>5022</v>
      </c>
      <c r="C98" s="10" t="s">
        <v>105</v>
      </c>
      <c r="D98" s="11">
        <v>4333600</v>
      </c>
      <c r="E98" s="11">
        <v>4333600</v>
      </c>
      <c r="F98" s="10">
        <f t="shared" si="5"/>
        <v>8.7386947925303868E-3</v>
      </c>
      <c r="G98">
        <f t="shared" si="6"/>
        <v>588526.94926320983</v>
      </c>
      <c r="H98" s="2">
        <f t="shared" si="7"/>
        <v>4922126.9492632095</v>
      </c>
    </row>
    <row r="99" spans="1:8" x14ac:dyDescent="0.2">
      <c r="A99">
        <v>2022</v>
      </c>
      <c r="B99" s="3" t="str">
        <f t="shared" si="4"/>
        <v>5024</v>
      </c>
      <c r="C99" s="10" t="s">
        <v>106</v>
      </c>
      <c r="D99" s="11">
        <v>637187</v>
      </c>
      <c r="E99" s="11">
        <v>637187</v>
      </c>
      <c r="F99" s="10">
        <f t="shared" si="5"/>
        <v>1.2848861728742985E-3</v>
      </c>
      <c r="G99">
        <f t="shared" si="6"/>
        <v>86533.533602588344</v>
      </c>
      <c r="H99" s="2">
        <f t="shared" si="7"/>
        <v>723720.53360258834</v>
      </c>
    </row>
    <row r="100" spans="1:8" x14ac:dyDescent="0.2">
      <c r="A100">
        <v>2022</v>
      </c>
      <c r="B100" s="3" t="str">
        <f t="shared" si="4"/>
        <v>5025</v>
      </c>
      <c r="C100" s="10" t="s">
        <v>107</v>
      </c>
      <c r="D100" s="11">
        <v>1847442</v>
      </c>
      <c r="E100" s="11">
        <v>1847442</v>
      </c>
      <c r="F100" s="10">
        <f t="shared" si="5"/>
        <v>3.7253626972729194E-3</v>
      </c>
      <c r="G100">
        <f t="shared" si="6"/>
        <v>250892.88448419856</v>
      </c>
      <c r="H100" s="2">
        <f t="shared" si="7"/>
        <v>2098334.8844841984</v>
      </c>
    </row>
    <row r="101" spans="1:8" x14ac:dyDescent="0.2">
      <c r="A101">
        <v>2022</v>
      </c>
      <c r="B101" s="3" t="str">
        <f t="shared" si="4"/>
        <v>5026</v>
      </c>
      <c r="C101" s="10" t="s">
        <v>108</v>
      </c>
      <c r="D101" s="11">
        <v>386757</v>
      </c>
      <c r="E101" s="11">
        <v>386757</v>
      </c>
      <c r="F101" s="10">
        <f t="shared" si="5"/>
        <v>7.7989463307058223E-4</v>
      </c>
      <c r="G101">
        <f t="shared" si="6"/>
        <v>52523.748688432541</v>
      </c>
      <c r="H101" s="2">
        <f t="shared" si="7"/>
        <v>439280.74868843256</v>
      </c>
    </row>
    <row r="102" spans="1:8" x14ac:dyDescent="0.2">
      <c r="A102">
        <v>2022</v>
      </c>
      <c r="B102" s="3" t="str">
        <f t="shared" si="4"/>
        <v>5027</v>
      </c>
      <c r="C102" s="10" t="s">
        <v>109</v>
      </c>
      <c r="D102" s="11">
        <v>6113073</v>
      </c>
      <c r="E102" s="11">
        <v>6113073</v>
      </c>
      <c r="F102" s="10">
        <f t="shared" si="5"/>
        <v>1.2326998151988672E-2</v>
      </c>
      <c r="G102">
        <f t="shared" si="6"/>
        <v>830189.26604054309</v>
      </c>
      <c r="H102" s="2">
        <f t="shared" si="7"/>
        <v>6943262.2660405431</v>
      </c>
    </row>
    <row r="103" spans="1:8" x14ac:dyDescent="0.2">
      <c r="A103">
        <v>2022</v>
      </c>
      <c r="B103" s="3" t="str">
        <f t="shared" si="4"/>
        <v>5028</v>
      </c>
      <c r="C103" s="10" t="s">
        <v>110</v>
      </c>
      <c r="D103" s="11">
        <v>1399992</v>
      </c>
      <c r="E103" s="11">
        <v>1399992</v>
      </c>
      <c r="F103" s="10">
        <f t="shared" si="5"/>
        <v>2.8230807642570153E-3</v>
      </c>
      <c r="G103">
        <f t="shared" si="6"/>
        <v>190126.68930055833</v>
      </c>
      <c r="H103" s="2">
        <f t="shared" si="7"/>
        <v>1590118.6893005583</v>
      </c>
    </row>
    <row r="104" spans="1:8" x14ac:dyDescent="0.2">
      <c r="A104">
        <v>2022</v>
      </c>
      <c r="B104" s="3" t="str">
        <f t="shared" si="4"/>
        <v>5029</v>
      </c>
      <c r="C104" s="10" t="s">
        <v>111</v>
      </c>
      <c r="D104" s="11">
        <v>493869</v>
      </c>
      <c r="E104" s="11">
        <v>493869</v>
      </c>
      <c r="F104" s="10">
        <f t="shared" si="5"/>
        <v>9.9588574360628349E-4</v>
      </c>
      <c r="G104">
        <f t="shared" si="6"/>
        <v>67070.153199573615</v>
      </c>
      <c r="H104" s="2">
        <f t="shared" si="7"/>
        <v>560939.15319957363</v>
      </c>
    </row>
    <row r="105" spans="1:8" x14ac:dyDescent="0.2">
      <c r="A105">
        <v>2022</v>
      </c>
      <c r="B105" s="3" t="str">
        <f t="shared" si="4"/>
        <v>5031</v>
      </c>
      <c r="C105" s="10" t="s">
        <v>112</v>
      </c>
      <c r="D105" s="11">
        <v>9696223</v>
      </c>
      <c r="E105" s="11">
        <v>9696223</v>
      </c>
      <c r="F105" s="10">
        <f t="shared" si="5"/>
        <v>1.9552412183245656E-2</v>
      </c>
      <c r="G105">
        <f t="shared" si="6"/>
        <v>1316800.9372267327</v>
      </c>
      <c r="H105" s="2">
        <f t="shared" si="7"/>
        <v>11013023.937226733</v>
      </c>
    </row>
    <row r="106" spans="1:8" x14ac:dyDescent="0.2">
      <c r="A106">
        <v>2022</v>
      </c>
      <c r="B106" s="3" t="str">
        <f t="shared" si="4"/>
        <v>5032</v>
      </c>
      <c r="C106" s="10" t="s">
        <v>113</v>
      </c>
      <c r="D106" s="11">
        <v>854686</v>
      </c>
      <c r="E106" s="11">
        <v>854686</v>
      </c>
      <c r="F106" s="10">
        <f t="shared" si="5"/>
        <v>1.7234724241851178E-3</v>
      </c>
      <c r="G106">
        <f t="shared" si="6"/>
        <v>116071.10581455966</v>
      </c>
      <c r="H106" s="2">
        <f t="shared" si="7"/>
        <v>970757.10581455962</v>
      </c>
    </row>
    <row r="107" spans="1:8" x14ac:dyDescent="0.2">
      <c r="A107">
        <v>2022</v>
      </c>
      <c r="B107" s="3" t="str">
        <f t="shared" si="4"/>
        <v>5033</v>
      </c>
      <c r="C107" s="10" t="s">
        <v>114</v>
      </c>
      <c r="D107" s="11">
        <v>559676</v>
      </c>
      <c r="E107" s="11">
        <v>559676</v>
      </c>
      <c r="F107" s="10">
        <f t="shared" si="5"/>
        <v>1.1285854132140108E-3</v>
      </c>
      <c r="G107">
        <f t="shared" si="6"/>
        <v>76007.109298466923</v>
      </c>
      <c r="H107" s="2">
        <f t="shared" si="7"/>
        <v>635683.10929846694</v>
      </c>
    </row>
    <row r="108" spans="1:8" x14ac:dyDescent="0.2">
      <c r="A108">
        <v>2022</v>
      </c>
      <c r="B108" s="3" t="str">
        <f t="shared" si="4"/>
        <v>5034</v>
      </c>
      <c r="C108" s="10" t="s">
        <v>115</v>
      </c>
      <c r="D108" s="11">
        <v>248245</v>
      </c>
      <c r="E108" s="11">
        <v>248245</v>
      </c>
      <c r="F108" s="10">
        <f t="shared" si="5"/>
        <v>5.0058549214779995E-4</v>
      </c>
      <c r="G108">
        <f t="shared" si="6"/>
        <v>33713.049778439519</v>
      </c>
      <c r="H108" s="2">
        <f t="shared" si="7"/>
        <v>281958.04977843951</v>
      </c>
    </row>
    <row r="109" spans="1:8" x14ac:dyDescent="0.2">
      <c r="A109">
        <v>2022</v>
      </c>
      <c r="B109" s="3" t="str">
        <f t="shared" si="4"/>
        <v>5035</v>
      </c>
      <c r="C109" s="10" t="s">
        <v>116</v>
      </c>
      <c r="D109" s="11">
        <v>1584817</v>
      </c>
      <c r="E109" s="11">
        <v>1584817</v>
      </c>
      <c r="F109" s="10">
        <f t="shared" si="5"/>
        <v>3.1957799670051762E-3</v>
      </c>
      <c r="G109">
        <f t="shared" si="6"/>
        <v>215226.95083774978</v>
      </c>
      <c r="H109" s="2">
        <f t="shared" si="7"/>
        <v>1800043.9508377498</v>
      </c>
    </row>
    <row r="110" spans="1:8" x14ac:dyDescent="0.2">
      <c r="A110">
        <v>2022</v>
      </c>
      <c r="B110" s="3" t="str">
        <f t="shared" si="4"/>
        <v>5036</v>
      </c>
      <c r="C110" s="10" t="s">
        <v>117</v>
      </c>
      <c r="D110" s="11">
        <v>847286</v>
      </c>
      <c r="E110" s="11">
        <v>847286</v>
      </c>
      <c r="F110" s="10">
        <f t="shared" si="5"/>
        <v>1.7085503405907102E-3</v>
      </c>
      <c r="G110">
        <f t="shared" si="6"/>
        <v>115066.14471419329</v>
      </c>
      <c r="H110" s="2">
        <f t="shared" si="7"/>
        <v>962352.1447141933</v>
      </c>
    </row>
    <row r="111" spans="1:8" x14ac:dyDescent="0.2">
      <c r="A111">
        <v>2022</v>
      </c>
      <c r="B111" s="3" t="str">
        <f t="shared" si="4"/>
        <v>5037</v>
      </c>
      <c r="C111" s="10" t="s">
        <v>118</v>
      </c>
      <c r="D111" s="11">
        <v>2863924</v>
      </c>
      <c r="E111" s="11">
        <v>2863924</v>
      </c>
      <c r="F111" s="10">
        <f t="shared" si="5"/>
        <v>5.7750963967608451E-3</v>
      </c>
      <c r="G111">
        <f t="shared" si="6"/>
        <v>388936.78573049867</v>
      </c>
      <c r="H111" s="2">
        <f t="shared" si="7"/>
        <v>3252860.7857304988</v>
      </c>
    </row>
    <row r="112" spans="1:8" x14ac:dyDescent="0.2">
      <c r="A112">
        <v>2022</v>
      </c>
      <c r="B112" s="3" t="str">
        <f t="shared" si="4"/>
        <v>5038</v>
      </c>
      <c r="C112" s="10" t="s">
        <v>119</v>
      </c>
      <c r="D112" s="11">
        <v>379378</v>
      </c>
      <c r="E112" s="11">
        <v>379378</v>
      </c>
      <c r="F112" s="10">
        <f t="shared" si="5"/>
        <v>7.650148959296182E-4</v>
      </c>
      <c r="G112">
        <f t="shared" si="6"/>
        <v>51521.639504702332</v>
      </c>
      <c r="H112" s="2">
        <f t="shared" si="7"/>
        <v>430899.63950470235</v>
      </c>
    </row>
    <row r="113" spans="1:8" x14ac:dyDescent="0.2">
      <c r="A113">
        <v>2022</v>
      </c>
      <c r="B113" s="3" t="str">
        <f t="shared" si="4"/>
        <v>5039</v>
      </c>
      <c r="C113" s="10" t="s">
        <v>120</v>
      </c>
      <c r="D113" s="11">
        <v>471512</v>
      </c>
      <c r="E113" s="11">
        <v>471512</v>
      </c>
      <c r="F113" s="10">
        <f t="shared" si="5"/>
        <v>9.5080290267112518E-4</v>
      </c>
      <c r="G113">
        <f t="shared" si="6"/>
        <v>64033.948426480201</v>
      </c>
      <c r="H113" s="2">
        <f t="shared" si="7"/>
        <v>535545.94842648017</v>
      </c>
    </row>
    <row r="114" spans="1:8" x14ac:dyDescent="0.2">
      <c r="A114">
        <v>2022</v>
      </c>
      <c r="B114" s="3" t="str">
        <f t="shared" si="4"/>
        <v>5040</v>
      </c>
      <c r="C114" s="10" t="s">
        <v>121</v>
      </c>
      <c r="D114" s="11">
        <v>1482181</v>
      </c>
      <c r="E114" s="11">
        <v>1482181</v>
      </c>
      <c r="F114" s="10">
        <f t="shared" si="5"/>
        <v>2.9888147005463083E-3</v>
      </c>
      <c r="G114">
        <f t="shared" si="6"/>
        <v>201288.41198677625</v>
      </c>
      <c r="H114" s="2">
        <f t="shared" si="7"/>
        <v>1683469.4119867762</v>
      </c>
    </row>
    <row r="115" spans="1:8" x14ac:dyDescent="0.2">
      <c r="A115">
        <v>2022</v>
      </c>
      <c r="B115" s="3" t="str">
        <f t="shared" si="4"/>
        <v>5041</v>
      </c>
      <c r="C115" s="10" t="s">
        <v>122</v>
      </c>
      <c r="D115" s="11">
        <v>7217682</v>
      </c>
      <c r="E115" s="11">
        <v>7217682</v>
      </c>
      <c r="F115" s="10">
        <f t="shared" si="5"/>
        <v>1.4554439751601511E-2</v>
      </c>
      <c r="G115">
        <f t="shared" si="6"/>
        <v>980201.30335332802</v>
      </c>
      <c r="H115" s="2">
        <f t="shared" si="7"/>
        <v>8197883.3033533283</v>
      </c>
    </row>
    <row r="116" spans="1:8" x14ac:dyDescent="0.2">
      <c r="A116">
        <v>2022</v>
      </c>
      <c r="B116" s="3" t="str">
        <f t="shared" si="4"/>
        <v>5042</v>
      </c>
      <c r="C116" s="10" t="s">
        <v>123</v>
      </c>
      <c r="D116" s="11">
        <v>2536196</v>
      </c>
      <c r="E116" s="11">
        <v>2536196</v>
      </c>
      <c r="F116" s="10">
        <f t="shared" si="5"/>
        <v>5.1142336113246256E-3</v>
      </c>
      <c r="G116">
        <f t="shared" si="6"/>
        <v>344429.50309524545</v>
      </c>
      <c r="H116" s="2">
        <f t="shared" si="7"/>
        <v>2880625.5030952455</v>
      </c>
    </row>
    <row r="117" spans="1:8" x14ac:dyDescent="0.2">
      <c r="A117">
        <v>2022</v>
      </c>
      <c r="B117" s="3" t="str">
        <f t="shared" si="4"/>
        <v>5043</v>
      </c>
      <c r="C117" s="10" t="s">
        <v>124</v>
      </c>
      <c r="D117" s="11">
        <v>3402427</v>
      </c>
      <c r="E117" s="11">
        <v>3402427</v>
      </c>
      <c r="F117" s="10">
        <f t="shared" si="5"/>
        <v>6.8609865024148028E-3</v>
      </c>
      <c r="G117">
        <f t="shared" si="6"/>
        <v>462068.4840319308</v>
      </c>
      <c r="H117" s="2">
        <f t="shared" si="7"/>
        <v>3864495.4840319306</v>
      </c>
    </row>
    <row r="118" spans="1:8" x14ac:dyDescent="0.2">
      <c r="A118">
        <v>2022</v>
      </c>
      <c r="B118" s="3" t="str">
        <f t="shared" si="4"/>
        <v>5056</v>
      </c>
      <c r="C118" s="10" t="s">
        <v>125</v>
      </c>
      <c r="D118" s="11">
        <v>361672</v>
      </c>
      <c r="E118" s="11">
        <v>361672</v>
      </c>
      <c r="F118" s="10">
        <f t="shared" si="5"/>
        <v>7.2931078618332335E-4</v>
      </c>
      <c r="G118">
        <f t="shared" si="6"/>
        <v>49117.066363744605</v>
      </c>
      <c r="H118" s="2">
        <f t="shared" si="7"/>
        <v>410789.06636374461</v>
      </c>
    </row>
    <row r="119" spans="1:8" x14ac:dyDescent="0.2">
      <c r="A119">
        <v>2022</v>
      </c>
      <c r="B119" s="3" t="str">
        <f t="shared" si="4"/>
        <v>5057</v>
      </c>
      <c r="C119" s="10" t="s">
        <v>126</v>
      </c>
      <c r="D119" s="11">
        <v>652976</v>
      </c>
      <c r="E119" s="11">
        <v>652976</v>
      </c>
      <c r="F119" s="10">
        <f t="shared" si="5"/>
        <v>1.3167246563705285E-3</v>
      </c>
      <c r="G119">
        <f t="shared" si="6"/>
        <v>88677.767496329543</v>
      </c>
      <c r="H119" s="2">
        <f t="shared" si="7"/>
        <v>741653.7674963295</v>
      </c>
    </row>
    <row r="120" spans="1:8" x14ac:dyDescent="0.2">
      <c r="A120">
        <v>2022</v>
      </c>
      <c r="B120" s="3" t="str">
        <f t="shared" si="4"/>
        <v>5058</v>
      </c>
      <c r="C120" s="10" t="s">
        <v>127</v>
      </c>
      <c r="D120" s="11">
        <v>1276599</v>
      </c>
      <c r="E120" s="11">
        <v>1276599</v>
      </c>
      <c r="F120" s="10">
        <f t="shared" si="5"/>
        <v>2.5742590533158346E-3</v>
      </c>
      <c r="G120">
        <f t="shared" si="6"/>
        <v>173369.23456305714</v>
      </c>
      <c r="H120" s="2">
        <f t="shared" si="7"/>
        <v>1449968.2345630571</v>
      </c>
    </row>
    <row r="121" spans="1:8" x14ac:dyDescent="0.2">
      <c r="A121">
        <v>2022</v>
      </c>
      <c r="B121" s="3" t="str">
        <f t="shared" si="4"/>
        <v>5059</v>
      </c>
      <c r="C121" s="10" t="s">
        <v>128</v>
      </c>
      <c r="D121" s="11">
        <v>378466</v>
      </c>
      <c r="E121" s="11">
        <v>378466</v>
      </c>
      <c r="F121" s="10">
        <f t="shared" si="5"/>
        <v>7.6317584995149661E-4</v>
      </c>
      <c r="G121">
        <f t="shared" si="6"/>
        <v>51397.784839359883</v>
      </c>
      <c r="H121" s="2">
        <f t="shared" si="7"/>
        <v>429863.78483935987</v>
      </c>
    </row>
    <row r="122" spans="1:8" x14ac:dyDescent="0.2">
      <c r="A122">
        <v>2022</v>
      </c>
      <c r="B122" s="3" t="str">
        <f t="shared" si="4"/>
        <v>5060</v>
      </c>
      <c r="C122" s="10" t="s">
        <v>129</v>
      </c>
      <c r="D122" s="11">
        <v>182602</v>
      </c>
      <c r="E122" s="11">
        <v>182602</v>
      </c>
      <c r="F122" s="10">
        <f t="shared" si="5"/>
        <v>3.6821652817648924E-4</v>
      </c>
      <c r="G122">
        <f t="shared" si="6"/>
        <v>24798.365790419197</v>
      </c>
      <c r="H122" s="2">
        <f t="shared" si="7"/>
        <v>207400.36579041919</v>
      </c>
    </row>
    <row r="123" spans="1:8" x14ac:dyDescent="0.2">
      <c r="A123">
        <v>2022</v>
      </c>
      <c r="B123" s="3" t="str">
        <f t="shared" si="4"/>
        <v>5061</v>
      </c>
      <c r="C123" s="10" t="s">
        <v>130</v>
      </c>
      <c r="D123" s="11">
        <v>378119</v>
      </c>
      <c r="E123" s="11">
        <v>378119</v>
      </c>
      <c r="F123" s="10">
        <f t="shared" si="5"/>
        <v>7.6247612522078588E-4</v>
      </c>
      <c r="G123">
        <f t="shared" si="6"/>
        <v>51350.660312085944</v>
      </c>
      <c r="H123" s="2">
        <f t="shared" si="7"/>
        <v>429469.66031208594</v>
      </c>
    </row>
    <row r="124" spans="1:8" x14ac:dyDescent="0.2">
      <c r="A124">
        <v>2022</v>
      </c>
      <c r="B124" s="3" t="str">
        <f t="shared" si="4"/>
        <v>5062</v>
      </c>
      <c r="C124" s="10" t="s">
        <v>131</v>
      </c>
      <c r="D124" s="11">
        <v>629330</v>
      </c>
      <c r="E124" s="11">
        <v>629330</v>
      </c>
      <c r="F124" s="10">
        <f t="shared" si="5"/>
        <v>1.269042549793047E-3</v>
      </c>
      <c r="G124">
        <f t="shared" si="6"/>
        <v>85466.509363996636</v>
      </c>
      <c r="H124" s="2">
        <f t="shared" si="7"/>
        <v>714796.50936399668</v>
      </c>
    </row>
    <row r="125" spans="1:8" x14ac:dyDescent="0.2">
      <c r="A125">
        <v>2022</v>
      </c>
      <c r="B125" s="3" t="str">
        <f t="shared" si="4"/>
        <v>5063</v>
      </c>
      <c r="C125" s="10" t="s">
        <v>132</v>
      </c>
      <c r="D125" s="11">
        <v>527972</v>
      </c>
      <c r="E125" s="11">
        <v>527972</v>
      </c>
      <c r="F125" s="10">
        <f t="shared" si="5"/>
        <v>1.0646543675008893E-3</v>
      </c>
      <c r="G125">
        <f t="shared" si="6"/>
        <v>71701.530011167488</v>
      </c>
      <c r="H125" s="2">
        <f t="shared" si="7"/>
        <v>599673.53001116752</v>
      </c>
    </row>
    <row r="126" spans="1:8" x14ac:dyDescent="0.2">
      <c r="A126">
        <v>2022</v>
      </c>
      <c r="B126" s="3" t="str">
        <f t="shared" si="4"/>
        <v>5064</v>
      </c>
      <c r="C126" s="10" t="s">
        <v>133</v>
      </c>
      <c r="D126" s="11">
        <v>363560</v>
      </c>
      <c r="E126" s="11">
        <v>363560</v>
      </c>
      <c r="F126" s="10">
        <f t="shared" si="5"/>
        <v>7.3311793399768034E-4</v>
      </c>
      <c r="G126">
        <f t="shared" si="6"/>
        <v>49373.467249892135</v>
      </c>
      <c r="H126" s="2">
        <f t="shared" si="7"/>
        <v>412933.46724989213</v>
      </c>
    </row>
    <row r="127" spans="1:8" x14ac:dyDescent="0.2">
      <c r="A127">
        <v>2022</v>
      </c>
      <c r="B127" s="3" t="str">
        <f t="shared" si="4"/>
        <v>5065</v>
      </c>
      <c r="C127" s="10" t="s">
        <v>134</v>
      </c>
      <c r="D127" s="11">
        <v>437287</v>
      </c>
      <c r="E127" s="11">
        <v>437287</v>
      </c>
      <c r="F127" s="10">
        <f t="shared" si="5"/>
        <v>8.8178826604698988E-4</v>
      </c>
      <c r="G127">
        <f t="shared" si="6"/>
        <v>59386.003337285678</v>
      </c>
      <c r="H127" s="2">
        <f t="shared" si="7"/>
        <v>496673.00333728566</v>
      </c>
    </row>
    <row r="128" spans="1:8" x14ac:dyDescent="0.2">
      <c r="A128">
        <v>2022</v>
      </c>
      <c r="B128" s="3" t="str">
        <f t="shared" si="4"/>
        <v>5066</v>
      </c>
      <c r="C128" s="10" t="s">
        <v>135</v>
      </c>
      <c r="D128" s="11">
        <v>490227</v>
      </c>
      <c r="E128" s="11">
        <v>490227</v>
      </c>
      <c r="F128" s="10">
        <f t="shared" si="5"/>
        <v>9.8854165868049525E-4</v>
      </c>
      <c r="G128">
        <f t="shared" si="6"/>
        <v>66575.549371528425</v>
      </c>
      <c r="H128" s="2">
        <f t="shared" si="7"/>
        <v>556802.54937152844</v>
      </c>
    </row>
    <row r="129" spans="1:8" x14ac:dyDescent="0.2">
      <c r="A129">
        <v>2022</v>
      </c>
      <c r="B129" s="3" t="str">
        <f t="shared" si="4"/>
        <v>5067</v>
      </c>
      <c r="C129" s="10" t="s">
        <v>136</v>
      </c>
      <c r="D129" s="11">
        <v>767254</v>
      </c>
      <c r="E129" s="11">
        <v>767254</v>
      </c>
      <c r="F129" s="10">
        <f t="shared" si="5"/>
        <v>1.5471659900194088E-3</v>
      </c>
      <c r="G129">
        <f t="shared" si="6"/>
        <v>104197.35460817676</v>
      </c>
      <c r="H129" s="2">
        <f t="shared" si="7"/>
        <v>871451.35460817674</v>
      </c>
    </row>
    <row r="130" spans="1:8" x14ac:dyDescent="0.2">
      <c r="A130">
        <v>2022</v>
      </c>
      <c r="B130" s="3" t="str">
        <f t="shared" si="4"/>
        <v>5068</v>
      </c>
      <c r="C130" s="10" t="s">
        <v>137</v>
      </c>
      <c r="D130" s="11">
        <v>737573</v>
      </c>
      <c r="E130" s="11">
        <v>737573</v>
      </c>
      <c r="F130" s="10">
        <f t="shared" si="5"/>
        <v>1.487314319321353E-3</v>
      </c>
      <c r="G130">
        <f t="shared" si="6"/>
        <v>100166.50995682884</v>
      </c>
      <c r="H130" s="2">
        <f t="shared" si="7"/>
        <v>837739.50995682878</v>
      </c>
    </row>
    <row r="131" spans="1:8" x14ac:dyDescent="0.2">
      <c r="A131">
        <v>2022</v>
      </c>
      <c r="B131" s="3" t="str">
        <f t="shared" ref="B131:B194" si="8">LEFT(C131,4)</f>
        <v>5069</v>
      </c>
      <c r="C131" s="10" t="s">
        <v>138</v>
      </c>
      <c r="D131" s="11">
        <v>653714</v>
      </c>
      <c r="E131" s="11">
        <v>653714</v>
      </c>
      <c r="F131" s="10">
        <f t="shared" ref="F131:F194" si="9">D131/$D$340</f>
        <v>1.3182128317344032E-3</v>
      </c>
      <c r="G131">
        <f t="shared" ref="G131:G194" si="10">F131*$D$341</f>
        <v>88777.991995257966</v>
      </c>
      <c r="H131" s="2">
        <f t="shared" ref="H131:H194" si="11">SUM(G131,D131)</f>
        <v>742491.99199525802</v>
      </c>
    </row>
    <row r="132" spans="1:8" x14ac:dyDescent="0.2">
      <c r="A132">
        <v>2022</v>
      </c>
      <c r="B132" s="3" t="str">
        <f t="shared" si="8"/>
        <v>5070</v>
      </c>
      <c r="C132" s="10" t="s">
        <v>139</v>
      </c>
      <c r="D132" s="11">
        <v>1651071</v>
      </c>
      <c r="E132" s="11">
        <v>1651071</v>
      </c>
      <c r="F132" s="10">
        <f t="shared" si="9"/>
        <v>3.3293810111219169E-3</v>
      </c>
      <c r="G132">
        <f t="shared" si="10"/>
        <v>224224.61201932738</v>
      </c>
      <c r="H132" s="2">
        <f t="shared" si="11"/>
        <v>1875295.6120193275</v>
      </c>
    </row>
    <row r="133" spans="1:8" x14ac:dyDescent="0.2">
      <c r="A133">
        <v>2022</v>
      </c>
      <c r="B133" s="3" t="str">
        <f t="shared" si="8"/>
        <v>5072</v>
      </c>
      <c r="C133" s="10" t="s">
        <v>140</v>
      </c>
      <c r="D133" s="11">
        <v>218435</v>
      </c>
      <c r="E133" s="11">
        <v>218435</v>
      </c>
      <c r="F133" s="10">
        <f t="shared" si="9"/>
        <v>4.4047369323573361E-4</v>
      </c>
      <c r="G133">
        <f t="shared" si="10"/>
        <v>29664.68621061225</v>
      </c>
      <c r="H133" s="2">
        <f t="shared" si="11"/>
        <v>248099.68621061224</v>
      </c>
    </row>
    <row r="134" spans="1:8" x14ac:dyDescent="0.2">
      <c r="A134">
        <v>2022</v>
      </c>
      <c r="B134" s="3" t="str">
        <f t="shared" si="8"/>
        <v>5073</v>
      </c>
      <c r="C134" s="10" t="s">
        <v>141</v>
      </c>
      <c r="D134" s="11">
        <v>411197</v>
      </c>
      <c r="E134" s="11">
        <v>411197</v>
      </c>
      <c r="F134" s="10">
        <f t="shared" si="9"/>
        <v>8.2917783888778785E-4</v>
      </c>
      <c r="G134">
        <f t="shared" si="10"/>
        <v>55842.836430723662</v>
      </c>
      <c r="H134" s="2">
        <f t="shared" si="11"/>
        <v>467039.83643072366</v>
      </c>
    </row>
    <row r="135" spans="1:8" x14ac:dyDescent="0.2">
      <c r="A135">
        <v>2022</v>
      </c>
      <c r="B135" s="3" t="str">
        <f t="shared" si="8"/>
        <v>5076</v>
      </c>
      <c r="C135" s="10" t="s">
        <v>142</v>
      </c>
      <c r="D135" s="11">
        <v>168780</v>
      </c>
      <c r="E135" s="11">
        <v>168780</v>
      </c>
      <c r="F135" s="10">
        <f t="shared" si="9"/>
        <v>3.4034449581947545E-4</v>
      </c>
      <c r="G135">
        <f t="shared" si="10"/>
        <v>22921.261421599724</v>
      </c>
      <c r="H135" s="2">
        <f t="shared" si="11"/>
        <v>191701.26142159972</v>
      </c>
    </row>
    <row r="136" spans="1:8" x14ac:dyDescent="0.2">
      <c r="A136">
        <v>2022</v>
      </c>
      <c r="B136" s="3" t="str">
        <f t="shared" si="8"/>
        <v>5007</v>
      </c>
      <c r="C136" s="3" t="s">
        <v>143</v>
      </c>
      <c r="D136" s="11">
        <v>140898</v>
      </c>
      <c r="E136" s="11">
        <v>140898</v>
      </c>
      <c r="F136" s="10">
        <f t="shared" si="9"/>
        <v>2.8412050463308717E-4</v>
      </c>
      <c r="G136">
        <f t="shared" si="10"/>
        <v>19134.730962084119</v>
      </c>
      <c r="H136" s="2">
        <f t="shared" si="11"/>
        <v>160032.73096208411</v>
      </c>
    </row>
    <row r="137" spans="1:8" x14ac:dyDescent="0.2">
      <c r="A137">
        <v>2022</v>
      </c>
      <c r="B137" s="3" t="str">
        <f t="shared" si="8"/>
        <v>5078</v>
      </c>
      <c r="C137" s="10" t="s">
        <v>144</v>
      </c>
      <c r="D137" s="11">
        <v>346818</v>
      </c>
      <c r="E137" s="11">
        <v>346818</v>
      </c>
      <c r="F137" s="10">
        <f t="shared" si="9"/>
        <v>6.9935772811422468E-4</v>
      </c>
      <c r="G137">
        <f t="shared" si="10"/>
        <v>47099.810663090255</v>
      </c>
      <c r="H137" s="2">
        <f t="shared" si="11"/>
        <v>393917.81066309026</v>
      </c>
    </row>
    <row r="138" spans="1:8" x14ac:dyDescent="0.2">
      <c r="A138">
        <v>2022</v>
      </c>
      <c r="B138" s="3" t="str">
        <f t="shared" si="8"/>
        <v>5079</v>
      </c>
      <c r="C138" s="10" t="s">
        <v>145</v>
      </c>
      <c r="D138" s="11">
        <v>461533</v>
      </c>
      <c r="E138" s="11">
        <v>461533</v>
      </c>
      <c r="F138" s="10">
        <f t="shared" si="9"/>
        <v>9.3068027129428817E-4</v>
      </c>
      <c r="G138">
        <f t="shared" si="10"/>
        <v>62678.744802080721</v>
      </c>
      <c r="H138" s="2">
        <f t="shared" si="11"/>
        <v>524211.74480208074</v>
      </c>
    </row>
    <row r="139" spans="1:8" x14ac:dyDescent="0.2">
      <c r="A139">
        <v>2022</v>
      </c>
      <c r="B139" s="3" t="str">
        <f t="shared" si="8"/>
        <v>5080</v>
      </c>
      <c r="C139" s="10" t="s">
        <v>146</v>
      </c>
      <c r="D139" s="11">
        <v>587561</v>
      </c>
      <c r="E139" s="11">
        <v>587561</v>
      </c>
      <c r="F139" s="10">
        <f t="shared" si="9"/>
        <v>1.1848154538937482E-3</v>
      </c>
      <c r="G139">
        <f t="shared" si="10"/>
        <v>79794.047174644831</v>
      </c>
      <c r="H139" s="2">
        <f t="shared" si="11"/>
        <v>667355.04717464489</v>
      </c>
    </row>
    <row r="140" spans="1:8" x14ac:dyDescent="0.2">
      <c r="A140">
        <v>2022</v>
      </c>
      <c r="B140" s="3" t="str">
        <f t="shared" si="8"/>
        <v>5081</v>
      </c>
      <c r="C140" s="10" t="s">
        <v>147</v>
      </c>
      <c r="D140" s="11">
        <v>504930</v>
      </c>
      <c r="E140" s="11">
        <v>504930</v>
      </c>
      <c r="F140" s="10">
        <f t="shared" si="9"/>
        <v>1.0181902255843567E-3</v>
      </c>
      <c r="G140">
        <f t="shared" si="10"/>
        <v>68572.298433513133</v>
      </c>
      <c r="H140" s="2">
        <f t="shared" si="11"/>
        <v>573502.29843351315</v>
      </c>
    </row>
    <row r="141" spans="1:8" x14ac:dyDescent="0.2">
      <c r="A141">
        <v>2022</v>
      </c>
      <c r="B141" s="3" t="str">
        <f t="shared" si="8"/>
        <v>5082</v>
      </c>
      <c r="C141" s="10" t="s">
        <v>148</v>
      </c>
      <c r="D141" s="11">
        <v>118744</v>
      </c>
      <c r="E141" s="11">
        <v>118744</v>
      </c>
      <c r="F141" s="10">
        <f t="shared" si="9"/>
        <v>2.3944701274788359E-4</v>
      </c>
      <c r="G141">
        <f t="shared" si="10"/>
        <v>16126.094716473737</v>
      </c>
      <c r="H141" s="2">
        <f t="shared" si="11"/>
        <v>134870.09471647374</v>
      </c>
    </row>
    <row r="142" spans="1:8" x14ac:dyDescent="0.2">
      <c r="A142">
        <v>2022</v>
      </c>
      <c r="B142" s="3" t="str">
        <f t="shared" si="8"/>
        <v>5083</v>
      </c>
      <c r="C142" s="10" t="s">
        <v>149</v>
      </c>
      <c r="D142" s="11">
        <v>340722</v>
      </c>
      <c r="E142" s="11">
        <v>340722</v>
      </c>
      <c r="F142" s="10">
        <f t="shared" si="9"/>
        <v>6.8706515762888558E-4</v>
      </c>
      <c r="G142">
        <f t="shared" si="10"/>
        <v>46271.940005274919</v>
      </c>
      <c r="H142" s="2">
        <f t="shared" si="11"/>
        <v>386993.9400052749</v>
      </c>
    </row>
    <row r="143" spans="1:8" x14ac:dyDescent="0.2">
      <c r="A143">
        <v>2022</v>
      </c>
      <c r="B143" s="3" t="str">
        <f t="shared" si="8"/>
        <v>5087</v>
      </c>
      <c r="C143" s="10" t="s">
        <v>150</v>
      </c>
      <c r="D143" s="11">
        <v>356716</v>
      </c>
      <c r="E143" s="11">
        <v>356716</v>
      </c>
      <c r="F143" s="10">
        <f t="shared" si="9"/>
        <v>7.1931702317063633E-4</v>
      </c>
      <c r="G143">
        <f t="shared" si="10"/>
        <v>48444.01403760734</v>
      </c>
      <c r="H143" s="2">
        <f t="shared" si="11"/>
        <v>405160.01403760735</v>
      </c>
    </row>
    <row r="144" spans="1:8" x14ac:dyDescent="0.2">
      <c r="A144">
        <v>2022</v>
      </c>
      <c r="B144" s="3" t="str">
        <f t="shared" si="8"/>
        <v>5088</v>
      </c>
      <c r="C144" s="10" t="s">
        <v>151</v>
      </c>
      <c r="D144" s="11">
        <v>661413</v>
      </c>
      <c r="E144" s="11">
        <v>661413</v>
      </c>
      <c r="F144" s="10">
        <f t="shared" si="9"/>
        <v>1.3337378481659361E-3</v>
      </c>
      <c r="G144">
        <f t="shared" si="10"/>
        <v>89823.55895630132</v>
      </c>
      <c r="H144" s="2">
        <f t="shared" si="11"/>
        <v>751236.55895630131</v>
      </c>
    </row>
    <row r="145" spans="1:8" x14ac:dyDescent="0.2">
      <c r="A145">
        <v>2022</v>
      </c>
      <c r="B145" s="3" t="str">
        <f t="shared" si="8"/>
        <v>5089</v>
      </c>
      <c r="C145" s="10" t="s">
        <v>152</v>
      </c>
      <c r="D145" s="11">
        <v>300584</v>
      </c>
      <c r="E145" s="11">
        <v>300584</v>
      </c>
      <c r="F145" s="10">
        <f t="shared" si="9"/>
        <v>6.0612696961370542E-4</v>
      </c>
      <c r="G145">
        <f t="shared" si="10"/>
        <v>40820.976674666017</v>
      </c>
      <c r="H145" s="2">
        <f t="shared" si="11"/>
        <v>341404.97667466605</v>
      </c>
    </row>
    <row r="146" spans="1:8" x14ac:dyDescent="0.2">
      <c r="A146">
        <v>2022</v>
      </c>
      <c r="B146" s="3" t="str">
        <f t="shared" si="8"/>
        <v>5090</v>
      </c>
      <c r="C146" s="10" t="s">
        <v>153</v>
      </c>
      <c r="D146" s="11">
        <v>278161</v>
      </c>
      <c r="E146" s="11">
        <v>278161</v>
      </c>
      <c r="F146" s="10">
        <f t="shared" si="9"/>
        <v>5.6091103982486735E-4</v>
      </c>
      <c r="G146">
        <f t="shared" si="10"/>
        <v>37775.808735001781</v>
      </c>
      <c r="H146" s="2">
        <f t="shared" si="11"/>
        <v>315936.80873500177</v>
      </c>
    </row>
    <row r="147" spans="1:8" x14ac:dyDescent="0.2">
      <c r="A147">
        <v>2022</v>
      </c>
      <c r="B147" s="3" t="str">
        <f t="shared" si="8"/>
        <v>5092</v>
      </c>
      <c r="C147" s="10" t="s">
        <v>154</v>
      </c>
      <c r="D147" s="11">
        <v>1296711</v>
      </c>
      <c r="E147" s="11">
        <v>1296711</v>
      </c>
      <c r="F147" s="10">
        <f t="shared" si="9"/>
        <v>2.6148148567280947E-3</v>
      </c>
      <c r="G147">
        <f t="shared" si="10"/>
        <v>176100.55586718803</v>
      </c>
      <c r="H147" s="2">
        <f t="shared" si="11"/>
        <v>1472811.5558671881</v>
      </c>
    </row>
    <row r="148" spans="1:8" x14ac:dyDescent="0.2">
      <c r="A148">
        <v>2022</v>
      </c>
      <c r="B148" s="3" t="str">
        <f t="shared" si="8"/>
        <v>5093</v>
      </c>
      <c r="C148" s="10" t="s">
        <v>155</v>
      </c>
      <c r="D148" s="11">
        <v>296369</v>
      </c>
      <c r="E148" s="11">
        <v>296369</v>
      </c>
      <c r="F148" s="10">
        <f t="shared" si="9"/>
        <v>5.9762743145824217E-4</v>
      </c>
      <c r="G148">
        <f t="shared" si="10"/>
        <v>40248.556264119492</v>
      </c>
      <c r="H148" s="2">
        <f t="shared" si="11"/>
        <v>336617.55626411951</v>
      </c>
    </row>
    <row r="149" spans="1:8" x14ac:dyDescent="0.2">
      <c r="A149">
        <v>2022</v>
      </c>
      <c r="B149" s="3" t="str">
        <f t="shared" si="8"/>
        <v>5095</v>
      </c>
      <c r="C149" s="10" t="s">
        <v>156</v>
      </c>
      <c r="D149" s="11">
        <v>459751</v>
      </c>
      <c r="E149" s="11">
        <v>459751</v>
      </c>
      <c r="F149" s="10">
        <f t="shared" si="9"/>
        <v>9.2708687224493213E-4</v>
      </c>
      <c r="G149">
        <f t="shared" si="10"/>
        <v>62436.739304668168</v>
      </c>
      <c r="H149" s="2">
        <f t="shared" si="11"/>
        <v>522187.73930466815</v>
      </c>
    </row>
    <row r="150" spans="1:8" x14ac:dyDescent="0.2">
      <c r="A150">
        <v>2022</v>
      </c>
      <c r="B150" s="3" t="str">
        <f t="shared" si="8"/>
        <v>5096</v>
      </c>
      <c r="C150" s="10" t="s">
        <v>157</v>
      </c>
      <c r="D150" s="11">
        <v>569469</v>
      </c>
      <c r="E150" s="11">
        <v>569469</v>
      </c>
      <c r="F150" s="10">
        <f t="shared" si="9"/>
        <v>1.1483329760032044E-3</v>
      </c>
      <c r="G150">
        <f t="shared" si="10"/>
        <v>77337.053089803128</v>
      </c>
      <c r="H150" s="2">
        <f t="shared" si="11"/>
        <v>646806.05308980308</v>
      </c>
    </row>
    <row r="151" spans="1:8" x14ac:dyDescent="0.2">
      <c r="A151">
        <v>2022</v>
      </c>
      <c r="B151" s="3" t="str">
        <f t="shared" si="8"/>
        <v>5098</v>
      </c>
      <c r="C151" s="10" t="s">
        <v>158</v>
      </c>
      <c r="D151" s="11">
        <v>287518</v>
      </c>
      <c r="E151" s="11">
        <v>287518</v>
      </c>
      <c r="F151" s="10">
        <f t="shared" si="9"/>
        <v>5.7977940958066083E-4</v>
      </c>
      <c r="G151">
        <f t="shared" si="10"/>
        <v>39046.541304748833</v>
      </c>
      <c r="H151" s="2">
        <f t="shared" si="11"/>
        <v>326564.54130474885</v>
      </c>
    </row>
    <row r="152" spans="1:8" x14ac:dyDescent="0.2">
      <c r="A152">
        <v>2022</v>
      </c>
      <c r="B152" s="3" t="str">
        <f t="shared" si="8"/>
        <v>5099</v>
      </c>
      <c r="C152" s="10" t="s">
        <v>159</v>
      </c>
      <c r="D152" s="11">
        <v>927066</v>
      </c>
      <c r="E152" s="11">
        <v>927066</v>
      </c>
      <c r="F152" s="10">
        <f t="shared" si="9"/>
        <v>1.8694265337206885E-3</v>
      </c>
      <c r="G152">
        <f t="shared" si="10"/>
        <v>125900.7118205757</v>
      </c>
      <c r="H152" s="2">
        <f t="shared" si="11"/>
        <v>1052966.7118205756</v>
      </c>
    </row>
    <row r="153" spans="1:8" x14ac:dyDescent="0.2">
      <c r="A153">
        <v>2022</v>
      </c>
      <c r="B153" s="3" t="str">
        <f t="shared" si="8"/>
        <v>5100</v>
      </c>
      <c r="C153" s="10" t="s">
        <v>160</v>
      </c>
      <c r="D153" s="11">
        <v>978809</v>
      </c>
      <c r="E153" s="11">
        <v>978809</v>
      </c>
      <c r="F153" s="10">
        <f t="shared" si="9"/>
        <v>1.9737661785079095E-3</v>
      </c>
      <c r="G153">
        <f t="shared" si="10"/>
        <v>132927.69860655649</v>
      </c>
      <c r="H153" s="2">
        <f t="shared" si="11"/>
        <v>1111736.6986065565</v>
      </c>
    </row>
    <row r="154" spans="1:8" x14ac:dyDescent="0.2">
      <c r="A154">
        <v>2022</v>
      </c>
      <c r="B154" s="3" t="str">
        <f t="shared" si="8"/>
        <v>5101</v>
      </c>
      <c r="C154" s="10" t="s">
        <v>161</v>
      </c>
      <c r="D154" s="11">
        <v>716212</v>
      </c>
      <c r="E154" s="11">
        <v>716212</v>
      </c>
      <c r="F154" s="10">
        <f t="shared" si="9"/>
        <v>1.4442399101780906E-3</v>
      </c>
      <c r="G154">
        <f t="shared" si="10"/>
        <v>97265.567515622577</v>
      </c>
      <c r="H154" s="2">
        <f t="shared" si="11"/>
        <v>813477.56751562259</v>
      </c>
    </row>
    <row r="155" spans="1:8" x14ac:dyDescent="0.2">
      <c r="A155">
        <v>2022</v>
      </c>
      <c r="B155" s="3" t="str">
        <f t="shared" si="8"/>
        <v>5102</v>
      </c>
      <c r="C155" s="10" t="s">
        <v>162</v>
      </c>
      <c r="D155" s="11">
        <v>1498707</v>
      </c>
      <c r="E155" s="11">
        <v>1498707</v>
      </c>
      <c r="F155" s="10">
        <f t="shared" si="9"/>
        <v>3.02213934290863E-3</v>
      </c>
      <c r="G155">
        <f t="shared" si="10"/>
        <v>203532.73457389176</v>
      </c>
      <c r="H155" s="2">
        <f t="shared" si="11"/>
        <v>1702239.7345738919</v>
      </c>
    </row>
    <row r="156" spans="1:8" x14ac:dyDescent="0.2">
      <c r="A156">
        <v>2022</v>
      </c>
      <c r="B156" s="3" t="str">
        <f t="shared" si="8"/>
        <v>5103</v>
      </c>
      <c r="C156" s="10" t="s">
        <v>163</v>
      </c>
      <c r="D156" s="11">
        <v>949781</v>
      </c>
      <c r="E156" s="11">
        <v>949781</v>
      </c>
      <c r="F156" s="10">
        <f t="shared" si="9"/>
        <v>1.9152312808621709E-3</v>
      </c>
      <c r="G156">
        <f t="shared" si="10"/>
        <v>128985.53498203818</v>
      </c>
      <c r="H156" s="2">
        <f t="shared" si="11"/>
        <v>1078766.5349820382</v>
      </c>
    </row>
    <row r="157" spans="1:8" x14ac:dyDescent="0.2">
      <c r="A157">
        <v>2022</v>
      </c>
      <c r="B157" s="3" t="str">
        <f t="shared" si="8"/>
        <v>5104</v>
      </c>
      <c r="C157" s="10" t="s">
        <v>164</v>
      </c>
      <c r="D157" s="11">
        <v>297696</v>
      </c>
      <c r="E157" s="11">
        <v>297696</v>
      </c>
      <c r="F157" s="10">
        <f t="shared" si="9"/>
        <v>6.0030332401632045E-4</v>
      </c>
      <c r="G157">
        <f t="shared" si="10"/>
        <v>40428.770234414922</v>
      </c>
      <c r="H157" s="2">
        <f t="shared" si="11"/>
        <v>338124.7702344149</v>
      </c>
    </row>
    <row r="158" spans="1:8" x14ac:dyDescent="0.2">
      <c r="A158">
        <v>2022</v>
      </c>
      <c r="B158" s="3" t="str">
        <f t="shared" si="8"/>
        <v>5105</v>
      </c>
      <c r="C158" s="10" t="s">
        <v>165</v>
      </c>
      <c r="D158" s="11">
        <v>247240</v>
      </c>
      <c r="E158" s="11">
        <v>247240</v>
      </c>
      <c r="F158" s="10">
        <f t="shared" si="9"/>
        <v>4.985589118758568E-4</v>
      </c>
      <c r="G158">
        <f t="shared" si="10"/>
        <v>33576.56519656544</v>
      </c>
      <c r="H158" s="2">
        <f t="shared" si="11"/>
        <v>280816.56519656547</v>
      </c>
    </row>
    <row r="159" spans="1:8" x14ac:dyDescent="0.2">
      <c r="A159">
        <v>2022</v>
      </c>
      <c r="B159" s="3" t="str">
        <f t="shared" si="8"/>
        <v>5106</v>
      </c>
      <c r="C159" s="10" t="s">
        <v>166</v>
      </c>
      <c r="D159" s="11">
        <v>732047</v>
      </c>
      <c r="E159" s="11">
        <v>732047</v>
      </c>
      <c r="F159" s="10">
        <f t="shared" si="9"/>
        <v>1.47617115257234E-3</v>
      </c>
      <c r="G159">
        <f t="shared" si="10"/>
        <v>99416.048464852545</v>
      </c>
      <c r="H159" s="2">
        <f t="shared" si="11"/>
        <v>831463.0484648525</v>
      </c>
    </row>
    <row r="160" spans="1:8" x14ac:dyDescent="0.2">
      <c r="A160">
        <v>2022</v>
      </c>
      <c r="B160" s="3" t="str">
        <f t="shared" si="8"/>
        <v>5116</v>
      </c>
      <c r="C160" s="10" t="s">
        <v>167</v>
      </c>
      <c r="D160" s="11">
        <v>889371</v>
      </c>
      <c r="E160" s="11">
        <v>889371</v>
      </c>
      <c r="F160" s="10">
        <f t="shared" si="9"/>
        <v>1.7934146497894459E-3</v>
      </c>
      <c r="G160">
        <f t="shared" si="10"/>
        <v>120781.52145864182</v>
      </c>
      <c r="H160" s="2">
        <f t="shared" si="11"/>
        <v>1010152.5214586419</v>
      </c>
    </row>
    <row r="161" spans="1:8" x14ac:dyDescent="0.2">
      <c r="A161">
        <v>2022</v>
      </c>
      <c r="B161" s="3" t="str">
        <f t="shared" si="8"/>
        <v>5117</v>
      </c>
      <c r="C161" s="10" t="s">
        <v>168</v>
      </c>
      <c r="D161" s="11">
        <v>169527</v>
      </c>
      <c r="E161" s="11">
        <v>169527</v>
      </c>
      <c r="F161" s="10">
        <f t="shared" si="9"/>
        <v>3.4185081966339742E-4</v>
      </c>
      <c r="G161">
        <f t="shared" si="10"/>
        <v>23022.708170515085</v>
      </c>
      <c r="H161" s="2">
        <f t="shared" si="11"/>
        <v>192549.70817051508</v>
      </c>
    </row>
    <row r="162" spans="1:8" x14ac:dyDescent="0.2">
      <c r="A162">
        <v>2022</v>
      </c>
      <c r="B162" s="3" t="str">
        <f t="shared" si="8"/>
        <v>5118</v>
      </c>
      <c r="C162" s="10" t="s">
        <v>169</v>
      </c>
      <c r="D162" s="11">
        <v>1278093</v>
      </c>
      <c r="E162" s="11">
        <v>1278093</v>
      </c>
      <c r="F162" s="10">
        <f t="shared" si="9"/>
        <v>2.5772717010036782E-3</v>
      </c>
      <c r="G162">
        <f t="shared" si="10"/>
        <v>173572.12806088786</v>
      </c>
      <c r="H162" s="2">
        <f t="shared" si="11"/>
        <v>1451665.1280608878</v>
      </c>
    </row>
    <row r="163" spans="1:8" x14ac:dyDescent="0.2">
      <c r="A163">
        <v>2022</v>
      </c>
      <c r="B163" s="3" t="str">
        <f t="shared" si="8"/>
        <v>5119</v>
      </c>
      <c r="C163" s="10" t="s">
        <v>170</v>
      </c>
      <c r="D163" s="11">
        <v>293599</v>
      </c>
      <c r="E163" s="11">
        <v>293599</v>
      </c>
      <c r="F163" s="10">
        <f t="shared" si="9"/>
        <v>5.9204173259925445E-4</v>
      </c>
      <c r="G163">
        <f t="shared" si="10"/>
        <v>39872.374879252617</v>
      </c>
      <c r="H163" s="2">
        <f t="shared" si="11"/>
        <v>333471.37487925263</v>
      </c>
    </row>
    <row r="164" spans="1:8" x14ac:dyDescent="0.2">
      <c r="A164">
        <v>2022</v>
      </c>
      <c r="B164" s="3" t="str">
        <f t="shared" si="8"/>
        <v>5120</v>
      </c>
      <c r="C164" s="10" t="s">
        <v>171</v>
      </c>
      <c r="D164" s="11">
        <v>6555839</v>
      </c>
      <c r="E164" s="11">
        <v>6555839</v>
      </c>
      <c r="F164" s="10">
        <f t="shared" si="9"/>
        <v>1.3219834809388873E-2</v>
      </c>
      <c r="G164">
        <f t="shared" si="10"/>
        <v>890319.34800876223</v>
      </c>
      <c r="H164" s="2">
        <f t="shared" si="11"/>
        <v>7446158.3480087621</v>
      </c>
    </row>
    <row r="165" spans="1:8" x14ac:dyDescent="0.2">
      <c r="A165">
        <v>2022</v>
      </c>
      <c r="B165" s="3" t="str">
        <f t="shared" si="8"/>
        <v>5122</v>
      </c>
      <c r="C165" s="10" t="s">
        <v>172</v>
      </c>
      <c r="D165" s="11">
        <v>258245</v>
      </c>
      <c r="E165" s="11">
        <v>258245</v>
      </c>
      <c r="F165" s="10">
        <f t="shared" si="9"/>
        <v>5.207504699780806E-4</v>
      </c>
      <c r="G165">
        <f t="shared" si="10"/>
        <v>35071.10531947518</v>
      </c>
      <c r="H165" s="2">
        <f t="shared" si="11"/>
        <v>293316.10531947517</v>
      </c>
    </row>
    <row r="166" spans="1:8" x14ac:dyDescent="0.2">
      <c r="A166">
        <v>2022</v>
      </c>
      <c r="B166" s="3" t="str">
        <f t="shared" si="8"/>
        <v>5123</v>
      </c>
      <c r="C166" s="10" t="s">
        <v>173</v>
      </c>
      <c r="D166" s="11">
        <v>255679</v>
      </c>
      <c r="E166" s="11">
        <v>255679</v>
      </c>
      <c r="F166" s="10">
        <f t="shared" si="9"/>
        <v>5.1557613666683053E-4</v>
      </c>
      <c r="G166">
        <f t="shared" si="10"/>
        <v>34722.628267645428</v>
      </c>
      <c r="H166" s="2">
        <f t="shared" si="11"/>
        <v>290401.62826764543</v>
      </c>
    </row>
    <row r="167" spans="1:8" x14ac:dyDescent="0.2">
      <c r="A167">
        <v>2022</v>
      </c>
      <c r="B167" s="3" t="str">
        <f t="shared" si="8"/>
        <v>5125</v>
      </c>
      <c r="C167" s="10" t="s">
        <v>174</v>
      </c>
      <c r="D167" s="11">
        <v>1785522</v>
      </c>
      <c r="E167" s="11">
        <v>1785522</v>
      </c>
      <c r="F167" s="10">
        <f t="shared" si="9"/>
        <v>3.6005011545478223E-3</v>
      </c>
      <c r="G167">
        <f t="shared" si="10"/>
        <v>242483.80457410583</v>
      </c>
      <c r="H167" s="2">
        <f t="shared" si="11"/>
        <v>2028005.8045741059</v>
      </c>
    </row>
    <row r="168" spans="1:8" x14ac:dyDescent="0.2">
      <c r="A168">
        <v>2022</v>
      </c>
      <c r="B168" s="3" t="str">
        <f t="shared" si="8"/>
        <v>5127</v>
      </c>
      <c r="C168" s="10" t="s">
        <v>175</v>
      </c>
      <c r="D168" s="11">
        <v>216214</v>
      </c>
      <c r="E168" s="11">
        <v>216214</v>
      </c>
      <c r="F168" s="10">
        <f t="shared" si="9"/>
        <v>4.3599505165962829E-4</v>
      </c>
      <c r="G168">
        <f t="shared" si="10"/>
        <v>29363.06207494823</v>
      </c>
      <c r="H168" s="2">
        <f t="shared" si="11"/>
        <v>245577.06207494822</v>
      </c>
    </row>
    <row r="169" spans="1:8" x14ac:dyDescent="0.2">
      <c r="A169">
        <v>2022</v>
      </c>
      <c r="B169" s="3" t="str">
        <f t="shared" si="8"/>
        <v>5128</v>
      </c>
      <c r="C169" s="10" t="s">
        <v>176</v>
      </c>
      <c r="D169" s="11">
        <v>349319</v>
      </c>
      <c r="E169" s="11">
        <v>349319</v>
      </c>
      <c r="F169" s="10">
        <f t="shared" si="9"/>
        <v>7.0440098906957775E-4</v>
      </c>
      <c r="G169">
        <f t="shared" si="10"/>
        <v>47439.460353903261</v>
      </c>
      <c r="H169" s="2">
        <f t="shared" si="11"/>
        <v>396758.46035390324</v>
      </c>
    </row>
    <row r="170" spans="1:8" x14ac:dyDescent="0.2">
      <c r="A170">
        <v>2022</v>
      </c>
      <c r="B170" s="3" t="str">
        <f t="shared" si="8"/>
        <v>5129</v>
      </c>
      <c r="C170" s="10" t="s">
        <v>177</v>
      </c>
      <c r="D170" s="11">
        <v>843034</v>
      </c>
      <c r="E170" s="11">
        <v>843034</v>
      </c>
      <c r="F170" s="10">
        <f t="shared" si="9"/>
        <v>1.6999761920172749E-3</v>
      </c>
      <c r="G170">
        <f t="shared" si="10"/>
        <v>114488.69949814492</v>
      </c>
      <c r="H170" s="2">
        <f t="shared" si="11"/>
        <v>957522.69949814491</v>
      </c>
    </row>
    <row r="171" spans="1:8" x14ac:dyDescent="0.2">
      <c r="A171">
        <v>2022</v>
      </c>
      <c r="B171" s="3" t="str">
        <f t="shared" si="8"/>
        <v>5130</v>
      </c>
      <c r="C171" s="10" t="s">
        <v>178</v>
      </c>
      <c r="D171" s="11">
        <v>672393</v>
      </c>
      <c r="E171" s="11">
        <v>672393</v>
      </c>
      <c r="F171" s="10">
        <f t="shared" si="9"/>
        <v>1.3558789938235842E-3</v>
      </c>
      <c r="G171">
        <f t="shared" si="10"/>
        <v>91314.703940358464</v>
      </c>
      <c r="H171" s="2">
        <f t="shared" si="11"/>
        <v>763707.70394035848</v>
      </c>
    </row>
    <row r="172" spans="1:8" x14ac:dyDescent="0.2">
      <c r="A172">
        <v>2022</v>
      </c>
      <c r="B172" s="3" t="str">
        <f t="shared" si="8"/>
        <v>5131</v>
      </c>
      <c r="C172" s="10" t="s">
        <v>179</v>
      </c>
      <c r="D172" s="11">
        <v>866018</v>
      </c>
      <c r="E172" s="11">
        <v>866018</v>
      </c>
      <c r="F172" s="10">
        <f t="shared" si="9"/>
        <v>1.7463233770623917E-3</v>
      </c>
      <c r="G172">
        <f t="shared" si="10"/>
        <v>117610.05435366125</v>
      </c>
      <c r="H172" s="2">
        <f t="shared" si="11"/>
        <v>983628.05435366125</v>
      </c>
    </row>
    <row r="173" spans="1:8" x14ac:dyDescent="0.2">
      <c r="A173">
        <v>2022</v>
      </c>
      <c r="B173" s="3" t="str">
        <f t="shared" si="8"/>
        <v>5132</v>
      </c>
      <c r="C173" s="10" t="s">
        <v>180</v>
      </c>
      <c r="D173" s="11">
        <v>3221205</v>
      </c>
      <c r="E173" s="11">
        <v>3221205</v>
      </c>
      <c r="F173" s="10">
        <f t="shared" si="9"/>
        <v>6.4955527411788916E-3</v>
      </c>
      <c r="G173">
        <f t="shared" si="10"/>
        <v>437457.52990617446</v>
      </c>
      <c r="H173" s="2">
        <f t="shared" si="11"/>
        <v>3658662.5299061746</v>
      </c>
    </row>
    <row r="174" spans="1:8" x14ac:dyDescent="0.2">
      <c r="A174">
        <v>2022</v>
      </c>
      <c r="B174" s="3" t="str">
        <f t="shared" si="8"/>
        <v>5133</v>
      </c>
      <c r="C174" s="10" t="s">
        <v>181</v>
      </c>
      <c r="D174" s="11">
        <v>300345</v>
      </c>
      <c r="E174" s="11">
        <v>300345</v>
      </c>
      <c r="F174" s="10">
        <f t="shared" si="9"/>
        <v>6.0564502664356174E-4</v>
      </c>
      <c r="G174">
        <f t="shared" si="10"/>
        <v>40788.519147235267</v>
      </c>
      <c r="H174" s="2">
        <f t="shared" si="11"/>
        <v>341133.51914723526</v>
      </c>
    </row>
    <row r="175" spans="1:8" x14ac:dyDescent="0.2">
      <c r="A175">
        <v>2022</v>
      </c>
      <c r="B175" s="3" t="str">
        <f t="shared" si="8"/>
        <v>5134</v>
      </c>
      <c r="C175" s="10" t="s">
        <v>182</v>
      </c>
      <c r="D175" s="11">
        <v>326130</v>
      </c>
      <c r="E175" s="11">
        <v>326130</v>
      </c>
      <c r="F175" s="10">
        <f t="shared" si="9"/>
        <v>6.5764042197894021E-4</v>
      </c>
      <c r="G175">
        <f t="shared" si="10"/>
        <v>44290.265359795696</v>
      </c>
      <c r="H175" s="2">
        <f t="shared" si="11"/>
        <v>370420.26535979571</v>
      </c>
    </row>
    <row r="176" spans="1:8" x14ac:dyDescent="0.2">
      <c r="A176">
        <v>2022</v>
      </c>
      <c r="B176" s="3" t="str">
        <f t="shared" si="8"/>
        <v>5135</v>
      </c>
      <c r="C176" s="10" t="s">
        <v>183</v>
      </c>
      <c r="D176" s="11">
        <v>1558997</v>
      </c>
      <c r="E176" s="11">
        <v>1558997</v>
      </c>
      <c r="F176" s="10">
        <f t="shared" si="9"/>
        <v>3.1437139942473917E-3</v>
      </c>
      <c r="G176">
        <f t="shared" si="10"/>
        <v>211720.45143079571</v>
      </c>
      <c r="H176" s="2">
        <f t="shared" si="11"/>
        <v>1770717.4514307957</v>
      </c>
    </row>
    <row r="177" spans="1:8" x14ac:dyDescent="0.2">
      <c r="A177">
        <v>2022</v>
      </c>
      <c r="B177" s="3" t="str">
        <f t="shared" si="8"/>
        <v>5137</v>
      </c>
      <c r="C177" s="10" t="s">
        <v>184</v>
      </c>
      <c r="D177" s="11">
        <v>251377</v>
      </c>
      <c r="E177" s="11">
        <v>251377</v>
      </c>
      <c r="F177" s="10">
        <f t="shared" si="9"/>
        <v>5.0690116320424388E-4</v>
      </c>
      <c r="G177">
        <f t="shared" si="10"/>
        <v>34138.392773891894</v>
      </c>
      <c r="H177" s="2">
        <f t="shared" si="11"/>
        <v>285515.39277389192</v>
      </c>
    </row>
    <row r="178" spans="1:8" x14ac:dyDescent="0.2">
      <c r="A178">
        <v>2022</v>
      </c>
      <c r="B178" s="3" t="str">
        <f t="shared" si="8"/>
        <v>5138</v>
      </c>
      <c r="C178" s="10" t="s">
        <v>185</v>
      </c>
      <c r="D178" s="11">
        <v>263387</v>
      </c>
      <c r="E178" s="11">
        <v>263387</v>
      </c>
      <c r="F178" s="10">
        <f t="shared" si="9"/>
        <v>5.3111930157841083E-4</v>
      </c>
      <c r="G178">
        <f t="shared" si="10"/>
        <v>35769.417478675707</v>
      </c>
      <c r="H178" s="2">
        <f t="shared" si="11"/>
        <v>299156.41747867572</v>
      </c>
    </row>
    <row r="179" spans="1:8" x14ac:dyDescent="0.2">
      <c r="A179">
        <v>2022</v>
      </c>
      <c r="B179" s="3" t="str">
        <f t="shared" si="8"/>
        <v>5140</v>
      </c>
      <c r="C179" s="10" t="s">
        <v>186</v>
      </c>
      <c r="D179" s="11">
        <v>343825</v>
      </c>
      <c r="E179" s="11">
        <v>343825</v>
      </c>
      <c r="F179" s="10">
        <f t="shared" si="9"/>
        <v>6.9332235024962164E-4</v>
      </c>
      <c r="G179">
        <f t="shared" si="10"/>
        <v>46693.34463965828</v>
      </c>
      <c r="H179" s="2">
        <f t="shared" si="11"/>
        <v>390518.34463965829</v>
      </c>
    </row>
    <row r="180" spans="1:8" x14ac:dyDescent="0.2">
      <c r="A180">
        <v>2022</v>
      </c>
      <c r="B180" s="3" t="str">
        <f t="shared" si="8"/>
        <v>5141</v>
      </c>
      <c r="C180" s="10" t="s">
        <v>187</v>
      </c>
      <c r="D180" s="11">
        <v>408892</v>
      </c>
      <c r="E180" s="11">
        <v>408892</v>
      </c>
      <c r="F180" s="10">
        <f t="shared" si="9"/>
        <v>8.2452981149790821E-4</v>
      </c>
      <c r="G180">
        <f t="shared" si="10"/>
        <v>55529.804628514947</v>
      </c>
      <c r="H180" s="2">
        <f t="shared" si="11"/>
        <v>464421.80462851492</v>
      </c>
    </row>
    <row r="181" spans="1:8" x14ac:dyDescent="0.2">
      <c r="A181">
        <v>2022</v>
      </c>
      <c r="B181" s="3" t="str">
        <f t="shared" si="8"/>
        <v>5142</v>
      </c>
      <c r="C181" s="10" t="s">
        <v>188</v>
      </c>
      <c r="D181" s="11">
        <v>108604</v>
      </c>
      <c r="E181" s="11">
        <v>108604</v>
      </c>
      <c r="F181" s="10">
        <f t="shared" si="9"/>
        <v>2.1899972522797909E-4</v>
      </c>
      <c r="G181">
        <f t="shared" si="10"/>
        <v>14749.026397863587</v>
      </c>
      <c r="H181" s="2">
        <f t="shared" si="11"/>
        <v>123353.02639786359</v>
      </c>
    </row>
    <row r="182" spans="1:8" x14ac:dyDescent="0.2">
      <c r="A182">
        <v>2022</v>
      </c>
      <c r="B182" s="3" t="str">
        <f t="shared" si="8"/>
        <v>5143</v>
      </c>
      <c r="C182" s="10" t="s">
        <v>189</v>
      </c>
      <c r="D182" s="11">
        <v>581407</v>
      </c>
      <c r="E182" s="11">
        <v>581407</v>
      </c>
      <c r="F182" s="10">
        <f t="shared" si="9"/>
        <v>1.1724059265369935E-3</v>
      </c>
      <c r="G182">
        <f t="shared" si="10"/>
        <v>78958.299794691484</v>
      </c>
      <c r="H182" s="2">
        <f t="shared" si="11"/>
        <v>660365.2997946915</v>
      </c>
    </row>
    <row r="183" spans="1:8" x14ac:dyDescent="0.2">
      <c r="A183">
        <v>2022</v>
      </c>
      <c r="B183" s="3" t="str">
        <f t="shared" si="8"/>
        <v>5144</v>
      </c>
      <c r="C183" s="10" t="s">
        <v>190</v>
      </c>
      <c r="D183" s="11">
        <v>264135</v>
      </c>
      <c r="E183" s="11">
        <v>264135</v>
      </c>
      <c r="F183" s="10">
        <f t="shared" si="9"/>
        <v>5.3262764192011584E-4</v>
      </c>
      <c r="G183">
        <f t="shared" si="10"/>
        <v>35871.000033145174</v>
      </c>
      <c r="H183" s="2">
        <f t="shared" si="11"/>
        <v>300006.00003314519</v>
      </c>
    </row>
    <row r="184" spans="1:8" x14ac:dyDescent="0.2">
      <c r="A184">
        <v>2022</v>
      </c>
      <c r="B184" s="3" t="str">
        <f t="shared" si="8"/>
        <v>5145</v>
      </c>
      <c r="C184" s="10" t="s">
        <v>191</v>
      </c>
      <c r="D184" s="11">
        <v>288620</v>
      </c>
      <c r="E184" s="11">
        <v>288620</v>
      </c>
      <c r="F184" s="10">
        <f t="shared" si="9"/>
        <v>5.8200159013755781E-4</v>
      </c>
      <c r="G184">
        <f t="shared" si="10"/>
        <v>39196.199025370966</v>
      </c>
      <c r="H184" s="2">
        <f t="shared" si="11"/>
        <v>327816.199025371</v>
      </c>
    </row>
    <row r="185" spans="1:8" x14ac:dyDescent="0.2">
      <c r="A185">
        <v>2022</v>
      </c>
      <c r="B185" s="3" t="str">
        <f t="shared" si="8"/>
        <v>5147</v>
      </c>
      <c r="C185" s="10" t="s">
        <v>192</v>
      </c>
      <c r="D185" s="11">
        <v>6119698</v>
      </c>
      <c r="E185" s="11">
        <v>6119698</v>
      </c>
      <c r="F185" s="10">
        <f t="shared" si="9"/>
        <v>1.2340357449801234E-2</v>
      </c>
      <c r="G185">
        <f t="shared" si="10"/>
        <v>831088.97783647932</v>
      </c>
      <c r="H185" s="2">
        <f t="shared" si="11"/>
        <v>6950786.9778364794</v>
      </c>
    </row>
    <row r="186" spans="1:8" x14ac:dyDescent="0.2">
      <c r="A186">
        <v>2022</v>
      </c>
      <c r="B186" s="3" t="str">
        <f t="shared" si="8"/>
        <v>5148</v>
      </c>
      <c r="C186" s="10" t="s">
        <v>193</v>
      </c>
      <c r="D186" s="11">
        <v>608206</v>
      </c>
      <c r="E186" s="11">
        <v>608206</v>
      </c>
      <c r="F186" s="10">
        <f t="shared" si="9"/>
        <v>1.2264460506243623E-3</v>
      </c>
      <c r="G186">
        <f t="shared" si="10"/>
        <v>82597.752839112931</v>
      </c>
      <c r="H186" s="2">
        <f t="shared" si="11"/>
        <v>690803.75283911289</v>
      </c>
    </row>
    <row r="187" spans="1:8" x14ac:dyDescent="0.2">
      <c r="A187">
        <v>2022</v>
      </c>
      <c r="B187" s="3" t="str">
        <f t="shared" si="8"/>
        <v>5149</v>
      </c>
      <c r="C187" s="10" t="s">
        <v>194</v>
      </c>
      <c r="D187" s="11">
        <v>1283692</v>
      </c>
      <c r="E187" s="11">
        <v>1283692</v>
      </c>
      <c r="F187" s="10">
        <f t="shared" si="9"/>
        <v>2.5885620720908524E-3</v>
      </c>
      <c r="G187">
        <f t="shared" si="10"/>
        <v>174332.50335831373</v>
      </c>
      <c r="H187" s="2">
        <f t="shared" si="11"/>
        <v>1458024.5033583138</v>
      </c>
    </row>
    <row r="188" spans="1:8" x14ac:dyDescent="0.2">
      <c r="A188">
        <v>2022</v>
      </c>
      <c r="B188" s="3" t="str">
        <f t="shared" si="8"/>
        <v>5077</v>
      </c>
      <c r="C188" s="3" t="s">
        <v>195</v>
      </c>
      <c r="D188" s="11">
        <v>464633</v>
      </c>
      <c r="E188" s="11">
        <v>464633</v>
      </c>
      <c r="F188" s="10">
        <f t="shared" si="9"/>
        <v>9.3693141442167515E-4</v>
      </c>
      <c r="G188">
        <f t="shared" si="10"/>
        <v>63099.742019801772</v>
      </c>
      <c r="H188" s="2">
        <f t="shared" si="11"/>
        <v>527732.74201980175</v>
      </c>
    </row>
    <row r="189" spans="1:8" x14ac:dyDescent="0.2">
      <c r="A189">
        <v>2022</v>
      </c>
      <c r="B189" s="3" t="str">
        <f t="shared" si="8"/>
        <v>5151</v>
      </c>
      <c r="C189" s="10" t="s">
        <v>196</v>
      </c>
      <c r="D189" s="11">
        <v>388329</v>
      </c>
      <c r="E189" s="11">
        <v>388329</v>
      </c>
      <c r="F189" s="10">
        <f t="shared" si="9"/>
        <v>7.8306456758550234E-4</v>
      </c>
      <c r="G189">
        <f t="shared" si="10"/>
        <v>52737.235019483342</v>
      </c>
      <c r="H189" s="2">
        <f t="shared" si="11"/>
        <v>441066.23501948337</v>
      </c>
    </row>
    <row r="190" spans="1:8" x14ac:dyDescent="0.2">
      <c r="A190">
        <v>2022</v>
      </c>
      <c r="B190" s="3" t="str">
        <f t="shared" si="8"/>
        <v>5152</v>
      </c>
      <c r="C190" s="10" t="s">
        <v>197</v>
      </c>
      <c r="D190" s="11">
        <v>680467</v>
      </c>
      <c r="E190" s="11">
        <v>680467</v>
      </c>
      <c r="F190" s="10">
        <f t="shared" si="9"/>
        <v>1.3721601969237528E-3</v>
      </c>
      <c r="G190">
        <f t="shared" si="10"/>
        <v>92411.197984190643</v>
      </c>
      <c r="H190" s="2">
        <f t="shared" si="11"/>
        <v>772878.19798419066</v>
      </c>
    </row>
    <row r="191" spans="1:8" x14ac:dyDescent="0.2">
      <c r="A191">
        <v>2022</v>
      </c>
      <c r="B191" s="3" t="str">
        <f t="shared" si="8"/>
        <v>5153</v>
      </c>
      <c r="C191" s="10" t="s">
        <v>198</v>
      </c>
      <c r="D191" s="11">
        <v>149517</v>
      </c>
      <c r="E191" s="11">
        <v>149517</v>
      </c>
      <c r="F191" s="10">
        <f t="shared" si="9"/>
        <v>3.0150069902500597E-4</v>
      </c>
      <c r="G191">
        <f t="shared" si="10"/>
        <v>20305.239032902748</v>
      </c>
      <c r="H191" s="2">
        <f t="shared" si="11"/>
        <v>169822.23903290275</v>
      </c>
    </row>
    <row r="192" spans="1:8" x14ac:dyDescent="0.2">
      <c r="A192">
        <v>2022</v>
      </c>
      <c r="B192" s="3" t="str">
        <f t="shared" si="8"/>
        <v>5154</v>
      </c>
      <c r="C192" s="10" t="s">
        <v>199</v>
      </c>
      <c r="D192" s="11">
        <v>225743</v>
      </c>
      <c r="E192" s="11">
        <v>225743</v>
      </c>
      <c r="F192" s="10">
        <f t="shared" si="9"/>
        <v>4.5521025903410265E-4</v>
      </c>
      <c r="G192">
        <f t="shared" si="10"/>
        <v>30657.153200001103</v>
      </c>
      <c r="H192" s="2">
        <f t="shared" si="11"/>
        <v>256400.15320000111</v>
      </c>
    </row>
    <row r="193" spans="1:8" x14ac:dyDescent="0.2">
      <c r="A193">
        <v>2022</v>
      </c>
      <c r="B193" s="3" t="str">
        <f t="shared" si="8"/>
        <v>5155</v>
      </c>
      <c r="C193" s="10" t="s">
        <v>200</v>
      </c>
      <c r="D193" s="11">
        <v>294915</v>
      </c>
      <c r="E193" s="11">
        <v>294915</v>
      </c>
      <c r="F193" s="10">
        <f t="shared" si="9"/>
        <v>5.9469544368171941E-4</v>
      </c>
      <c r="G193">
        <f t="shared" si="10"/>
        <v>40051.094988452911</v>
      </c>
      <c r="H193" s="2">
        <f t="shared" si="11"/>
        <v>334966.09498845291</v>
      </c>
    </row>
    <row r="194" spans="1:8" x14ac:dyDescent="0.2">
      <c r="A194">
        <v>2022</v>
      </c>
      <c r="B194" s="3" t="str">
        <f t="shared" si="8"/>
        <v>5156</v>
      </c>
      <c r="C194" s="10" t="s">
        <v>201</v>
      </c>
      <c r="D194" s="11">
        <v>836970</v>
      </c>
      <c r="E194" s="11">
        <v>836970</v>
      </c>
      <c r="F194" s="10">
        <f t="shared" si="9"/>
        <v>1.6877481494609928E-3</v>
      </c>
      <c r="G194">
        <f t="shared" si="10"/>
        <v>113665.1746180609</v>
      </c>
      <c r="H194" s="2">
        <f t="shared" si="11"/>
        <v>950635.17461806093</v>
      </c>
    </row>
    <row r="195" spans="1:8" x14ac:dyDescent="0.2">
      <c r="A195">
        <v>2022</v>
      </c>
      <c r="B195" s="3" t="str">
        <f t="shared" ref="B195:B258" si="12">LEFT(C195,4)</f>
        <v>5157</v>
      </c>
      <c r="C195" s="10" t="s">
        <v>202</v>
      </c>
      <c r="D195" s="11">
        <v>155543</v>
      </c>
      <c r="E195" s="11">
        <v>155543</v>
      </c>
      <c r="F195" s="10">
        <f t="shared" ref="F195:F258" si="13">D195/$D$340</f>
        <v>3.1365211466553308E-4</v>
      </c>
      <c r="G195">
        <f t="shared" ref="G195:G258" si="14">F195*$D$341</f>
        <v>21123.603301930831</v>
      </c>
      <c r="H195" s="2">
        <f t="shared" ref="H195:H258" si="15">SUM(G195,D195)</f>
        <v>176666.60330193082</v>
      </c>
    </row>
    <row r="196" spans="1:8" x14ac:dyDescent="0.2">
      <c r="A196">
        <v>2022</v>
      </c>
      <c r="B196" s="3" t="str">
        <f t="shared" si="12"/>
        <v>5158</v>
      </c>
      <c r="C196" s="10" t="s">
        <v>203</v>
      </c>
      <c r="D196" s="11">
        <v>816072</v>
      </c>
      <c r="E196" s="11">
        <v>816072</v>
      </c>
      <c r="F196" s="10">
        <f t="shared" si="13"/>
        <v>1.6456073787912725E-3</v>
      </c>
      <c r="G196">
        <f t="shared" si="14"/>
        <v>110827.11014840461</v>
      </c>
      <c r="H196" s="2">
        <f t="shared" si="15"/>
        <v>926899.11014840461</v>
      </c>
    </row>
    <row r="197" spans="1:8" x14ac:dyDescent="0.2">
      <c r="A197">
        <v>2022</v>
      </c>
      <c r="B197" s="3" t="str">
        <f t="shared" si="12"/>
        <v>5159</v>
      </c>
      <c r="C197" s="10" t="s">
        <v>204</v>
      </c>
      <c r="D197" s="11">
        <v>1323722</v>
      </c>
      <c r="E197" s="11">
        <v>1323722</v>
      </c>
      <c r="F197" s="10">
        <f t="shared" si="13"/>
        <v>2.6692824783454655E-3</v>
      </c>
      <c r="G197">
        <f t="shared" si="14"/>
        <v>179768.79968907943</v>
      </c>
      <c r="H197" s="2">
        <f t="shared" si="15"/>
        <v>1503490.7996890794</v>
      </c>
    </row>
    <row r="198" spans="1:8" x14ac:dyDescent="0.2">
      <c r="A198">
        <v>2022</v>
      </c>
      <c r="B198" s="3" t="str">
        <f t="shared" si="12"/>
        <v>5160</v>
      </c>
      <c r="C198" s="10" t="s">
        <v>205</v>
      </c>
      <c r="D198" s="11">
        <v>332327</v>
      </c>
      <c r="E198" s="11">
        <v>332327</v>
      </c>
      <c r="F198" s="10">
        <f t="shared" si="13"/>
        <v>6.7013665874036509E-4</v>
      </c>
      <c r="G198">
        <f t="shared" si="14"/>
        <v>45131.852378575488</v>
      </c>
      <c r="H198" s="2">
        <f t="shared" si="15"/>
        <v>377458.85237857548</v>
      </c>
    </row>
    <row r="199" spans="1:8" x14ac:dyDescent="0.2">
      <c r="A199">
        <v>2022</v>
      </c>
      <c r="B199" s="3" t="str">
        <f t="shared" si="12"/>
        <v>5161</v>
      </c>
      <c r="C199" s="10" t="s">
        <v>206</v>
      </c>
      <c r="D199" s="11">
        <v>427293</v>
      </c>
      <c r="E199" s="11">
        <v>427293</v>
      </c>
      <c r="F199" s="10">
        <f t="shared" si="13"/>
        <v>8.6163538720340749E-4</v>
      </c>
      <c r="G199">
        <f t="shared" si="14"/>
        <v>58028.762629574652</v>
      </c>
      <c r="H199" s="2">
        <f t="shared" si="15"/>
        <v>485321.76262957463</v>
      </c>
    </row>
    <row r="200" spans="1:8" x14ac:dyDescent="0.2">
      <c r="A200">
        <v>2022</v>
      </c>
      <c r="B200" s="3" t="str">
        <f t="shared" si="12"/>
        <v>5162</v>
      </c>
      <c r="C200" s="10" t="s">
        <v>207</v>
      </c>
      <c r="D200" s="11">
        <v>454742</v>
      </c>
      <c r="E200" s="11">
        <v>454742</v>
      </c>
      <c r="F200" s="10">
        <f t="shared" si="13"/>
        <v>9.1698623484974464E-4</v>
      </c>
      <c r="G200">
        <f t="shared" si="14"/>
        <v>61756.489284163414</v>
      </c>
      <c r="H200" s="2">
        <f t="shared" si="15"/>
        <v>516498.4892841634</v>
      </c>
    </row>
    <row r="201" spans="1:8" x14ac:dyDescent="0.2">
      <c r="A201">
        <v>2022</v>
      </c>
      <c r="B201" s="3" t="str">
        <f t="shared" si="12"/>
        <v>5163</v>
      </c>
      <c r="C201" s="10" t="s">
        <v>208</v>
      </c>
      <c r="D201" s="11">
        <v>317879</v>
      </c>
      <c r="E201" s="11">
        <v>317879</v>
      </c>
      <c r="F201" s="10">
        <f t="shared" si="13"/>
        <v>6.4100229877117566E-4</v>
      </c>
      <c r="G201">
        <f t="shared" si="14"/>
        <v>43169.733732887173</v>
      </c>
      <c r="H201" s="2">
        <f t="shared" si="15"/>
        <v>361048.73373288719</v>
      </c>
    </row>
    <row r="202" spans="1:8" x14ac:dyDescent="0.2">
      <c r="A202">
        <v>2022</v>
      </c>
      <c r="B202" s="3" t="str">
        <f t="shared" si="12"/>
        <v>5164</v>
      </c>
      <c r="C202" s="10" t="s">
        <v>209</v>
      </c>
      <c r="D202" s="11">
        <v>380069</v>
      </c>
      <c r="E202" s="11">
        <v>380069</v>
      </c>
      <c r="F202" s="10">
        <f t="shared" si="13"/>
        <v>7.6640829589769057E-4</v>
      </c>
      <c r="G202">
        <f t="shared" si="14"/>
        <v>51615.481142587894</v>
      </c>
      <c r="H202" s="2">
        <f t="shared" si="15"/>
        <v>431684.4811425879</v>
      </c>
    </row>
    <row r="203" spans="1:8" x14ac:dyDescent="0.2">
      <c r="A203">
        <v>2022</v>
      </c>
      <c r="B203" s="3" t="str">
        <f t="shared" si="12"/>
        <v>5166</v>
      </c>
      <c r="C203" s="10" t="s">
        <v>210</v>
      </c>
      <c r="D203" s="11">
        <v>280773</v>
      </c>
      <c r="E203" s="11">
        <v>280773</v>
      </c>
      <c r="F203" s="10">
        <f t="shared" si="13"/>
        <v>5.6617813203413663E-4</v>
      </c>
      <c r="G203">
        <f t="shared" si="14"/>
        <v>38130.532842320295</v>
      </c>
      <c r="H203" s="2">
        <f t="shared" si="15"/>
        <v>318903.53284232027</v>
      </c>
    </row>
    <row r="204" spans="1:8" x14ac:dyDescent="0.2">
      <c r="A204">
        <v>2022</v>
      </c>
      <c r="B204" s="3" t="str">
        <f t="shared" si="12"/>
        <v>5167</v>
      </c>
      <c r="C204" s="10" t="s">
        <v>211</v>
      </c>
      <c r="D204" s="11">
        <v>619881</v>
      </c>
      <c r="E204" s="11">
        <v>619881</v>
      </c>
      <c r="F204" s="10">
        <f t="shared" si="13"/>
        <v>1.2499886622412148E-3</v>
      </c>
      <c r="G204">
        <f t="shared" si="14"/>
        <v>84183.282683272046</v>
      </c>
      <c r="H204" s="2">
        <f t="shared" si="15"/>
        <v>704064.28268327203</v>
      </c>
    </row>
    <row r="205" spans="1:8" x14ac:dyDescent="0.2">
      <c r="A205">
        <v>2022</v>
      </c>
      <c r="B205" s="3" t="str">
        <f t="shared" si="12"/>
        <v>5168</v>
      </c>
      <c r="C205" s="10" t="s">
        <v>212</v>
      </c>
      <c r="D205" s="11">
        <v>668322</v>
      </c>
      <c r="E205" s="11">
        <v>668322</v>
      </c>
      <c r="F205" s="10">
        <f t="shared" si="13"/>
        <v>1.347669831348877E-3</v>
      </c>
      <c r="G205">
        <f t="shared" si="14"/>
        <v>90761.839529602847</v>
      </c>
      <c r="H205" s="2">
        <f t="shared" si="15"/>
        <v>759083.83952960279</v>
      </c>
    </row>
    <row r="206" spans="1:8" x14ac:dyDescent="0.2">
      <c r="A206">
        <v>2022</v>
      </c>
      <c r="B206" s="3" t="str">
        <f t="shared" si="12"/>
        <v>5171</v>
      </c>
      <c r="C206" s="10" t="s">
        <v>213</v>
      </c>
      <c r="D206" s="11">
        <v>271483</v>
      </c>
      <c r="E206" s="11">
        <v>271483</v>
      </c>
      <c r="F206" s="10">
        <f t="shared" si="13"/>
        <v>5.4744486762980601E-4</v>
      </c>
      <c r="G206">
        <f t="shared" si="14"/>
        <v>36868.899244698172</v>
      </c>
      <c r="H206" s="2">
        <f t="shared" si="15"/>
        <v>308351.89924469817</v>
      </c>
    </row>
    <row r="207" spans="1:8" x14ac:dyDescent="0.2">
      <c r="A207">
        <v>2022</v>
      </c>
      <c r="B207" s="3" t="str">
        <f t="shared" si="12"/>
        <v>5172</v>
      </c>
      <c r="C207" s="10" t="s">
        <v>214</v>
      </c>
      <c r="D207" s="11">
        <v>744752</v>
      </c>
      <c r="E207" s="11">
        <v>744752</v>
      </c>
      <c r="F207" s="10">
        <f t="shared" si="13"/>
        <v>1.5017907569057113E-3</v>
      </c>
      <c r="G207">
        <f t="shared" si="14"/>
        <v>101141.45802973832</v>
      </c>
      <c r="H207" s="2">
        <f t="shared" si="15"/>
        <v>845893.45802973828</v>
      </c>
    </row>
    <row r="208" spans="1:8" x14ac:dyDescent="0.2">
      <c r="A208">
        <v>2022</v>
      </c>
      <c r="B208" s="3" t="str">
        <f t="shared" si="12"/>
        <v>5173</v>
      </c>
      <c r="C208" s="10" t="s">
        <v>215</v>
      </c>
      <c r="D208" s="11">
        <v>381501</v>
      </c>
      <c r="E208" s="11">
        <v>381501</v>
      </c>
      <c r="F208" s="10">
        <f t="shared" si="13"/>
        <v>7.692959207229867E-4</v>
      </c>
      <c r="G208">
        <f t="shared" si="14"/>
        <v>51809.954696064196</v>
      </c>
      <c r="H208" s="2">
        <f t="shared" si="15"/>
        <v>433310.95469606417</v>
      </c>
    </row>
    <row r="209" spans="1:8" x14ac:dyDescent="0.2">
      <c r="A209">
        <v>2022</v>
      </c>
      <c r="B209" s="3" t="str">
        <f t="shared" si="12"/>
        <v>5174</v>
      </c>
      <c r="C209" s="10" t="s">
        <v>216</v>
      </c>
      <c r="D209" s="11">
        <v>660958</v>
      </c>
      <c r="E209" s="11">
        <v>660958</v>
      </c>
      <c r="F209" s="10">
        <f t="shared" si="13"/>
        <v>1.3328203416746584E-3</v>
      </c>
      <c r="G209">
        <f t="shared" si="14"/>
        <v>89761.767429184198</v>
      </c>
      <c r="H209" s="2">
        <f t="shared" si="15"/>
        <v>750719.76742918417</v>
      </c>
    </row>
    <row r="210" spans="1:8" x14ac:dyDescent="0.2">
      <c r="A210">
        <v>2022</v>
      </c>
      <c r="B210" s="3" t="str">
        <f t="shared" si="12"/>
        <v>5175</v>
      </c>
      <c r="C210" s="10" t="s">
        <v>217</v>
      </c>
      <c r="D210" s="11">
        <v>308833</v>
      </c>
      <c r="E210" s="11">
        <v>308833</v>
      </c>
      <c r="F210" s="10">
        <f t="shared" si="13"/>
        <v>6.2276105982590388E-4</v>
      </c>
      <c r="G210">
        <f t="shared" si="14"/>
        <v>41941.236690466329</v>
      </c>
      <c r="H210" s="2">
        <f t="shared" si="15"/>
        <v>350774.23669046635</v>
      </c>
    </row>
    <row r="211" spans="1:8" x14ac:dyDescent="0.2">
      <c r="A211">
        <v>2022</v>
      </c>
      <c r="B211" s="3" t="str">
        <f t="shared" si="12"/>
        <v>5176</v>
      </c>
      <c r="C211" s="10" t="s">
        <v>218</v>
      </c>
      <c r="D211" s="11">
        <v>2553269</v>
      </c>
      <c r="E211" s="11">
        <v>2553269</v>
      </c>
      <c r="F211" s="10">
        <f t="shared" si="13"/>
        <v>5.148661277974264E-3</v>
      </c>
      <c r="G211">
        <f t="shared" si="14"/>
        <v>346748.11132045562</v>
      </c>
      <c r="H211" s="2">
        <f t="shared" si="15"/>
        <v>2900017.1113204556</v>
      </c>
    </row>
    <row r="212" spans="1:8" x14ac:dyDescent="0.2">
      <c r="A212">
        <v>2022</v>
      </c>
      <c r="B212" s="3" t="str">
        <f t="shared" si="12"/>
        <v>5185</v>
      </c>
      <c r="C212" s="10" t="s">
        <v>219</v>
      </c>
      <c r="D212" s="11">
        <v>21840362</v>
      </c>
      <c r="E212" s="11">
        <v>21840362</v>
      </c>
      <c r="F212" s="10">
        <f t="shared" si="13"/>
        <v>4.4041041553530218E-2</v>
      </c>
      <c r="G212">
        <f t="shared" si="14"/>
        <v>2966042.4632324479</v>
      </c>
      <c r="H212" s="2">
        <f t="shared" si="15"/>
        <v>24806404.463232446</v>
      </c>
    </row>
    <row r="213" spans="1:8" x14ac:dyDescent="0.2">
      <c r="A213">
        <v>2022</v>
      </c>
      <c r="B213" s="3" t="str">
        <f t="shared" si="12"/>
        <v>5186</v>
      </c>
      <c r="C213" s="10" t="s">
        <v>220</v>
      </c>
      <c r="D213" s="11">
        <v>404134</v>
      </c>
      <c r="E213" s="11">
        <v>404134</v>
      </c>
      <c r="F213" s="10">
        <f t="shared" si="13"/>
        <v>8.149353150462607E-4</v>
      </c>
      <c r="G213">
        <f t="shared" si="14"/>
        <v>54883.641802090184</v>
      </c>
      <c r="H213" s="2">
        <f t="shared" si="15"/>
        <v>459017.64180209016</v>
      </c>
    </row>
    <row r="214" spans="1:8" x14ac:dyDescent="0.2">
      <c r="A214">
        <v>2022</v>
      </c>
      <c r="B214" s="3" t="str">
        <f t="shared" si="12"/>
        <v>5187</v>
      </c>
      <c r="C214" s="10" t="s">
        <v>221</v>
      </c>
      <c r="D214" s="11">
        <v>527668</v>
      </c>
      <c r="E214" s="11">
        <v>527668</v>
      </c>
      <c r="F214" s="10">
        <f t="shared" si="13"/>
        <v>1.0640413521748487E-3</v>
      </c>
      <c r="G214">
        <f t="shared" si="14"/>
        <v>71660.245122720007</v>
      </c>
      <c r="H214" s="2">
        <f t="shared" si="15"/>
        <v>599328.24512272002</v>
      </c>
    </row>
    <row r="215" spans="1:8" x14ac:dyDescent="0.2">
      <c r="A215">
        <v>2022</v>
      </c>
      <c r="B215" s="3" t="str">
        <f t="shared" si="12"/>
        <v>5188</v>
      </c>
      <c r="C215" s="10" t="s">
        <v>222</v>
      </c>
      <c r="D215" s="11">
        <v>323951</v>
      </c>
      <c r="E215" s="11">
        <v>323951</v>
      </c>
      <c r="F215" s="10">
        <f t="shared" si="13"/>
        <v>6.5324647330972205E-4</v>
      </c>
      <c r="G215">
        <f t="shared" si="14"/>
        <v>43994.345057404025</v>
      </c>
      <c r="H215" s="2">
        <f t="shared" si="15"/>
        <v>367945.34505740402</v>
      </c>
    </row>
    <row r="216" spans="1:8" x14ac:dyDescent="0.2">
      <c r="A216">
        <v>2022</v>
      </c>
      <c r="B216" s="3" t="str">
        <f t="shared" si="12"/>
        <v>5189</v>
      </c>
      <c r="C216" s="10" t="s">
        <v>223</v>
      </c>
      <c r="D216" s="11">
        <v>114346</v>
      </c>
      <c r="E216" s="11">
        <v>114346</v>
      </c>
      <c r="F216" s="10">
        <f t="shared" si="13"/>
        <v>2.305784554981262E-4</v>
      </c>
      <c r="G216">
        <f t="shared" si="14"/>
        <v>15528.821889526258</v>
      </c>
      <c r="H216" s="2">
        <f t="shared" si="15"/>
        <v>129874.82188952625</v>
      </c>
    </row>
    <row r="217" spans="1:8" x14ac:dyDescent="0.2">
      <c r="A217">
        <v>2022</v>
      </c>
      <c r="B217" s="3" t="str">
        <f t="shared" si="12"/>
        <v>5190</v>
      </c>
      <c r="C217" s="10" t="s">
        <v>224</v>
      </c>
      <c r="D217" s="11">
        <v>290330</v>
      </c>
      <c r="E217" s="11">
        <v>290330</v>
      </c>
      <c r="F217" s="10">
        <f t="shared" si="13"/>
        <v>5.8544980134653572E-4</v>
      </c>
      <c r="G217">
        <f t="shared" si="14"/>
        <v>39428.426522888061</v>
      </c>
      <c r="H217" s="2">
        <f t="shared" si="15"/>
        <v>329758.42652288807</v>
      </c>
    </row>
    <row r="218" spans="1:8" x14ac:dyDescent="0.2">
      <c r="A218">
        <v>2022</v>
      </c>
      <c r="B218" s="3" t="str">
        <f t="shared" si="12"/>
        <v>5191</v>
      </c>
      <c r="C218" s="10" t="s">
        <v>225</v>
      </c>
      <c r="D218" s="11">
        <v>1053297</v>
      </c>
      <c r="E218" s="11">
        <v>1053297</v>
      </c>
      <c r="F218" s="10">
        <f t="shared" si="13"/>
        <v>2.1239710653701031E-3</v>
      </c>
      <c r="G218">
        <f t="shared" si="14"/>
        <v>143043.58272062283</v>
      </c>
      <c r="H218" s="2">
        <f t="shared" si="15"/>
        <v>1196340.5827206229</v>
      </c>
    </row>
    <row r="219" spans="1:8" x14ac:dyDescent="0.2">
      <c r="A219">
        <v>2022</v>
      </c>
      <c r="B219" s="3" t="str">
        <f t="shared" si="12"/>
        <v>5192</v>
      </c>
      <c r="C219" s="10" t="s">
        <v>226</v>
      </c>
      <c r="D219" s="11">
        <v>331980</v>
      </c>
      <c r="E219" s="11">
        <v>331980</v>
      </c>
      <c r="F219" s="10">
        <f t="shared" si="13"/>
        <v>6.6943693400965437E-4</v>
      </c>
      <c r="G219">
        <f t="shared" si="14"/>
        <v>45084.727851301555</v>
      </c>
      <c r="H219" s="2">
        <f t="shared" si="15"/>
        <v>377064.72785130155</v>
      </c>
    </row>
    <row r="220" spans="1:8" x14ac:dyDescent="0.2">
      <c r="A220">
        <v>2022</v>
      </c>
      <c r="B220" s="3" t="str">
        <f t="shared" si="12"/>
        <v>5193</v>
      </c>
      <c r="C220" s="10" t="s">
        <v>227</v>
      </c>
      <c r="D220" s="11">
        <v>1703944</v>
      </c>
      <c r="E220" s="11">
        <v>1703944</v>
      </c>
      <c r="F220" s="10">
        <f t="shared" si="13"/>
        <v>3.4359992984039594E-3</v>
      </c>
      <c r="G220">
        <f t="shared" si="14"/>
        <v>231405.05908144519</v>
      </c>
      <c r="H220" s="2">
        <f t="shared" si="15"/>
        <v>1935349.0590814452</v>
      </c>
    </row>
    <row r="221" spans="1:8" x14ac:dyDescent="0.2">
      <c r="A221">
        <v>2022</v>
      </c>
      <c r="B221" s="3" t="str">
        <f t="shared" si="12"/>
        <v>5195</v>
      </c>
      <c r="C221" s="10" t="s">
        <v>228</v>
      </c>
      <c r="D221" s="11">
        <v>959298</v>
      </c>
      <c r="E221" s="11">
        <v>959298</v>
      </c>
      <c r="F221" s="10">
        <f t="shared" si="13"/>
        <v>1.9344222902632489E-3</v>
      </c>
      <c r="G221">
        <f t="shared" si="14"/>
        <v>130277.99644044181</v>
      </c>
      <c r="H221" s="2">
        <f t="shared" si="15"/>
        <v>1089575.9964404418</v>
      </c>
    </row>
    <row r="222" spans="1:8" x14ac:dyDescent="0.2">
      <c r="A222">
        <v>2022</v>
      </c>
      <c r="B222" s="3" t="str">
        <f t="shared" si="12"/>
        <v>5196</v>
      </c>
      <c r="C222" s="10" t="s">
        <v>229</v>
      </c>
      <c r="D222" s="11">
        <v>577746</v>
      </c>
      <c r="E222" s="11">
        <v>577746</v>
      </c>
      <c r="F222" s="10">
        <f t="shared" si="13"/>
        <v>1.1650235281533278E-3</v>
      </c>
      <c r="G222">
        <f t="shared" si="14"/>
        <v>78461.11566111834</v>
      </c>
      <c r="H222" s="2">
        <f t="shared" si="15"/>
        <v>656207.1156611183</v>
      </c>
    </row>
    <row r="223" spans="1:8" x14ac:dyDescent="0.2">
      <c r="A223">
        <v>2022</v>
      </c>
      <c r="B223" s="3" t="str">
        <f t="shared" si="12"/>
        <v>5197</v>
      </c>
      <c r="C223" s="10" t="s">
        <v>230</v>
      </c>
      <c r="D223" s="11">
        <v>299081</v>
      </c>
      <c r="E223" s="11">
        <v>299081</v>
      </c>
      <c r="F223" s="10">
        <f t="shared" si="13"/>
        <v>6.0309617344581426E-4</v>
      </c>
      <c r="G223">
        <f t="shared" si="14"/>
        <v>40616.860926848356</v>
      </c>
      <c r="H223" s="2">
        <f t="shared" si="15"/>
        <v>339697.86092684837</v>
      </c>
    </row>
    <row r="224" spans="1:8" x14ac:dyDescent="0.2">
      <c r="A224">
        <v>2022</v>
      </c>
      <c r="B224" s="3" t="str">
        <f t="shared" si="12"/>
        <v>5198</v>
      </c>
      <c r="C224" s="10" t="s">
        <v>231</v>
      </c>
      <c r="D224" s="11">
        <v>1524445</v>
      </c>
      <c r="E224" s="11">
        <v>1524445</v>
      </c>
      <c r="F224" s="10">
        <f t="shared" si="13"/>
        <v>3.0740399628482063E-3</v>
      </c>
      <c r="G224">
        <f t="shared" si="14"/>
        <v>207028.09792540935</v>
      </c>
      <c r="H224" s="2">
        <f t="shared" si="15"/>
        <v>1731473.0979254094</v>
      </c>
    </row>
    <row r="225" spans="1:8" x14ac:dyDescent="0.2">
      <c r="A225">
        <v>2022</v>
      </c>
      <c r="B225" s="3" t="str">
        <f t="shared" si="12"/>
        <v>5199</v>
      </c>
      <c r="C225" s="10" t="s">
        <v>232</v>
      </c>
      <c r="D225" s="11">
        <v>471636</v>
      </c>
      <c r="E225" s="11">
        <v>471636</v>
      </c>
      <c r="F225" s="10">
        <f t="shared" si="13"/>
        <v>9.5105294839622058E-4</v>
      </c>
      <c r="G225">
        <f t="shared" si="14"/>
        <v>64050.788315189035</v>
      </c>
      <c r="H225" s="2">
        <f t="shared" si="15"/>
        <v>535686.78831518907</v>
      </c>
    </row>
    <row r="226" spans="1:8" x14ac:dyDescent="0.2">
      <c r="A226">
        <v>2022</v>
      </c>
      <c r="B226" s="3" t="str">
        <f t="shared" si="12"/>
        <v>5200</v>
      </c>
      <c r="C226" s="10" t="s">
        <v>233</v>
      </c>
      <c r="D226" s="11">
        <v>1034821</v>
      </c>
      <c r="E226" s="11">
        <v>1034821</v>
      </c>
      <c r="F226" s="10">
        <f t="shared" si="13"/>
        <v>2.086714252330877E-3</v>
      </c>
      <c r="G226">
        <f t="shared" si="14"/>
        <v>140534.43930300538</v>
      </c>
      <c r="H226" s="2">
        <f t="shared" si="15"/>
        <v>1175355.4393030053</v>
      </c>
    </row>
    <row r="227" spans="1:8" x14ac:dyDescent="0.2">
      <c r="A227">
        <v>2022</v>
      </c>
      <c r="B227" s="3" t="str">
        <f t="shared" si="12"/>
        <v>5201</v>
      </c>
      <c r="C227" s="10" t="s">
        <v>234</v>
      </c>
      <c r="D227" s="11">
        <v>226363</v>
      </c>
      <c r="E227" s="11">
        <v>226363</v>
      </c>
      <c r="F227" s="10">
        <f t="shared" si="13"/>
        <v>4.5646048765958004E-4</v>
      </c>
      <c r="G227">
        <f t="shared" si="14"/>
        <v>30741.352643545313</v>
      </c>
      <c r="H227" s="2">
        <f t="shared" si="15"/>
        <v>257104.35264354531</v>
      </c>
    </row>
    <row r="228" spans="1:8" x14ac:dyDescent="0.2">
      <c r="A228">
        <v>2022</v>
      </c>
      <c r="B228" s="3" t="str">
        <f t="shared" si="12"/>
        <v>5202</v>
      </c>
      <c r="C228" s="10" t="s">
        <v>235</v>
      </c>
      <c r="D228" s="11">
        <v>292530</v>
      </c>
      <c r="E228" s="11">
        <v>292530</v>
      </c>
      <c r="F228" s="10">
        <f t="shared" si="13"/>
        <v>5.8988609646919751E-4</v>
      </c>
      <c r="G228">
        <f t="shared" si="14"/>
        <v>39727.198741915905</v>
      </c>
      <c r="H228" s="2">
        <f t="shared" si="15"/>
        <v>332257.19874191593</v>
      </c>
    </row>
    <row r="229" spans="1:8" x14ac:dyDescent="0.2">
      <c r="A229">
        <v>2022</v>
      </c>
      <c r="B229" s="3" t="str">
        <f t="shared" si="12"/>
        <v>5203</v>
      </c>
      <c r="C229" s="10" t="s">
        <v>236</v>
      </c>
      <c r="D229" s="11">
        <v>776612</v>
      </c>
      <c r="E229" s="11">
        <v>776612</v>
      </c>
      <c r="F229" s="10">
        <f t="shared" si="13"/>
        <v>1.5660363762729852E-3</v>
      </c>
      <c r="G229">
        <f t="shared" si="14"/>
        <v>105468.22298347791</v>
      </c>
      <c r="H229" s="2">
        <f t="shared" si="15"/>
        <v>882080.22298347787</v>
      </c>
    </row>
    <row r="230" spans="1:8" x14ac:dyDescent="0.2">
      <c r="A230">
        <v>2022</v>
      </c>
      <c r="B230" s="3" t="str">
        <f t="shared" si="12"/>
        <v>5204</v>
      </c>
      <c r="C230" s="10" t="s">
        <v>237</v>
      </c>
      <c r="D230" s="11">
        <v>1118378</v>
      </c>
      <c r="E230" s="11">
        <v>1118378</v>
      </c>
      <c r="F230" s="10">
        <f t="shared" si="13"/>
        <v>2.2552067575873523E-3</v>
      </c>
      <c r="G230">
        <f t="shared" si="14"/>
        <v>151881.94398723697</v>
      </c>
      <c r="H230" s="2">
        <f t="shared" si="15"/>
        <v>1270259.9439872371</v>
      </c>
    </row>
    <row r="231" spans="1:8" x14ac:dyDescent="0.2">
      <c r="A231">
        <v>2022</v>
      </c>
      <c r="B231" s="3" t="str">
        <f t="shared" si="12"/>
        <v>5205</v>
      </c>
      <c r="C231" s="10" t="s">
        <v>238</v>
      </c>
      <c r="D231" s="11">
        <v>554857</v>
      </c>
      <c r="E231" s="11">
        <v>554857</v>
      </c>
      <c r="F231" s="10">
        <f t="shared" si="13"/>
        <v>1.1188679103975986E-3</v>
      </c>
      <c r="G231">
        <f t="shared" si="14"/>
        <v>75352.662333241838</v>
      </c>
      <c r="H231" s="2">
        <f t="shared" si="15"/>
        <v>630209.6623332419</v>
      </c>
    </row>
    <row r="232" spans="1:8" x14ac:dyDescent="0.2">
      <c r="A232">
        <v>2022</v>
      </c>
      <c r="B232" s="3" t="str">
        <f t="shared" si="12"/>
        <v>5206</v>
      </c>
      <c r="C232" s="10" t="s">
        <v>239</v>
      </c>
      <c r="D232" s="11">
        <v>533165</v>
      </c>
      <c r="E232" s="11">
        <v>533165</v>
      </c>
      <c r="F232" s="10">
        <f t="shared" si="13"/>
        <v>1.0751260404881539E-3</v>
      </c>
      <c r="G232">
        <f t="shared" si="14"/>
        <v>72406.768253627291</v>
      </c>
      <c r="H232" s="2">
        <f t="shared" si="15"/>
        <v>605571.76825362723</v>
      </c>
    </row>
    <row r="233" spans="1:8" x14ac:dyDescent="0.2">
      <c r="A233">
        <v>2022</v>
      </c>
      <c r="B233" s="3" t="str">
        <f t="shared" si="12"/>
        <v>5207</v>
      </c>
      <c r="C233" s="10" t="s">
        <v>240</v>
      </c>
      <c r="D233" s="11">
        <v>1171767</v>
      </c>
      <c r="E233" s="11">
        <v>1171767</v>
      </c>
      <c r="F233" s="10">
        <f t="shared" si="13"/>
        <v>2.362865557725437E-3</v>
      </c>
      <c r="G233">
        <f t="shared" si="14"/>
        <v>159132.4667152722</v>
      </c>
      <c r="H233" s="2">
        <f t="shared" si="15"/>
        <v>1330899.4667152723</v>
      </c>
    </row>
    <row r="234" spans="1:8" x14ac:dyDescent="0.2">
      <c r="A234">
        <v>2022</v>
      </c>
      <c r="B234" s="3" t="str">
        <f t="shared" si="12"/>
        <v>5208</v>
      </c>
      <c r="C234" s="10" t="s">
        <v>241</v>
      </c>
      <c r="D234" s="11">
        <v>360148</v>
      </c>
      <c r="E234" s="11">
        <v>360148</v>
      </c>
      <c r="F234" s="10">
        <f t="shared" si="13"/>
        <v>7.2623764356198866E-4</v>
      </c>
      <c r="G234">
        <f t="shared" si="14"/>
        <v>48910.098699290771</v>
      </c>
      <c r="H234" s="2">
        <f t="shared" si="15"/>
        <v>409058.09869929077</v>
      </c>
    </row>
    <row r="235" spans="1:8" x14ac:dyDescent="0.2">
      <c r="A235">
        <v>2022</v>
      </c>
      <c r="B235" s="3" t="str">
        <f t="shared" si="12"/>
        <v>5210</v>
      </c>
      <c r="C235" s="10" t="s">
        <v>242</v>
      </c>
      <c r="D235" s="11">
        <v>3576933</v>
      </c>
      <c r="E235" s="11">
        <v>3576933</v>
      </c>
      <c r="F235" s="10">
        <f t="shared" si="13"/>
        <v>7.2128774645398965E-3</v>
      </c>
      <c r="G235">
        <f t="shared" si="14"/>
        <v>485767.36805632751</v>
      </c>
      <c r="H235" s="2">
        <f t="shared" si="15"/>
        <v>4062700.3680563276</v>
      </c>
    </row>
    <row r="236" spans="1:8" x14ac:dyDescent="0.2">
      <c r="A236">
        <v>2022</v>
      </c>
      <c r="B236" s="3" t="str">
        <f t="shared" si="12"/>
        <v>5212</v>
      </c>
      <c r="C236" s="10" t="s">
        <v>243</v>
      </c>
      <c r="D236" s="11">
        <v>949459</v>
      </c>
      <c r="E236" s="11">
        <v>949459</v>
      </c>
      <c r="F236" s="10">
        <f t="shared" si="13"/>
        <v>1.9145819685760358E-3</v>
      </c>
      <c r="G236">
        <f t="shared" si="14"/>
        <v>128941.80559361684</v>
      </c>
      <c r="H236" s="2">
        <f t="shared" si="15"/>
        <v>1078400.8055936168</v>
      </c>
    </row>
    <row r="237" spans="1:8" x14ac:dyDescent="0.2">
      <c r="A237">
        <v>2022</v>
      </c>
      <c r="B237" s="3" t="str">
        <f t="shared" si="12"/>
        <v>5213</v>
      </c>
      <c r="C237" s="10" t="s">
        <v>244</v>
      </c>
      <c r="D237" s="11">
        <v>698688</v>
      </c>
      <c r="E237" s="11">
        <v>698688</v>
      </c>
      <c r="F237" s="10">
        <f t="shared" si="13"/>
        <v>1.4089028030283069E-3</v>
      </c>
      <c r="G237">
        <f t="shared" si="14"/>
        <v>94885.710985511701</v>
      </c>
      <c r="H237" s="2">
        <f t="shared" si="15"/>
        <v>793573.71098551166</v>
      </c>
    </row>
    <row r="238" spans="1:8" x14ac:dyDescent="0.2">
      <c r="A238">
        <v>2022</v>
      </c>
      <c r="B238" s="3" t="str">
        <f t="shared" si="12"/>
        <v>5214</v>
      </c>
      <c r="C238" s="10" t="s">
        <v>245</v>
      </c>
      <c r="D238" s="11">
        <v>3638204</v>
      </c>
      <c r="E238" s="11">
        <v>3638204</v>
      </c>
      <c r="F238" s="10">
        <f t="shared" si="13"/>
        <v>7.3364303002038085E-3</v>
      </c>
      <c r="G238">
        <f t="shared" si="14"/>
        <v>494088.31016180705</v>
      </c>
      <c r="H238" s="2">
        <f t="shared" si="15"/>
        <v>4132292.3101618071</v>
      </c>
    </row>
    <row r="239" spans="1:8" x14ac:dyDescent="0.2">
      <c r="A239">
        <v>2022</v>
      </c>
      <c r="B239" s="3" t="str">
        <f t="shared" si="12"/>
        <v>5215</v>
      </c>
      <c r="C239" s="10" t="s">
        <v>246</v>
      </c>
      <c r="D239" s="11">
        <v>854921</v>
      </c>
      <c r="E239" s="11">
        <v>854921</v>
      </c>
      <c r="F239" s="10">
        <f t="shared" si="13"/>
        <v>1.7239463011641295E-3</v>
      </c>
      <c r="G239">
        <f t="shared" si="14"/>
        <v>116103.02011977401</v>
      </c>
      <c r="H239" s="2">
        <f t="shared" si="15"/>
        <v>971024.02011977404</v>
      </c>
    </row>
    <row r="240" spans="1:8" x14ac:dyDescent="0.2">
      <c r="A240">
        <v>2022</v>
      </c>
      <c r="B240" s="3" t="str">
        <f t="shared" si="12"/>
        <v>5150</v>
      </c>
      <c r="C240" s="10" t="s">
        <v>247</v>
      </c>
      <c r="D240" s="11">
        <v>989944</v>
      </c>
      <c r="E240" s="11">
        <v>989944</v>
      </c>
      <c r="F240" s="10">
        <f t="shared" si="13"/>
        <v>1.9962198813219269E-3</v>
      </c>
      <c r="G240">
        <f t="shared" si="14"/>
        <v>134439.89345149969</v>
      </c>
      <c r="H240" s="2">
        <f t="shared" si="15"/>
        <v>1124383.8934514998</v>
      </c>
    </row>
    <row r="241" spans="1:8" x14ac:dyDescent="0.2">
      <c r="A241">
        <v>2022</v>
      </c>
      <c r="B241" s="3" t="str">
        <f t="shared" si="12"/>
        <v>5217</v>
      </c>
      <c r="C241" s="10" t="s">
        <v>248</v>
      </c>
      <c r="D241" s="11">
        <v>133554</v>
      </c>
      <c r="E241" s="11">
        <v>133554</v>
      </c>
      <c r="F241" s="10">
        <f t="shared" si="13"/>
        <v>2.6931134491452912E-4</v>
      </c>
      <c r="G241">
        <f t="shared" si="14"/>
        <v>18137.374972747537</v>
      </c>
      <c r="H241" s="2">
        <f t="shared" si="15"/>
        <v>151691.37497274752</v>
      </c>
    </row>
    <row r="242" spans="1:8" x14ac:dyDescent="0.2">
      <c r="A242">
        <v>2022</v>
      </c>
      <c r="B242" s="3" t="str">
        <f t="shared" si="12"/>
        <v>5218</v>
      </c>
      <c r="C242" s="10" t="s">
        <v>249</v>
      </c>
      <c r="D242" s="11">
        <v>310793</v>
      </c>
      <c r="E242" s="11">
        <v>310793</v>
      </c>
      <c r="F242" s="10">
        <f t="shared" si="13"/>
        <v>6.2671339548063889E-4</v>
      </c>
      <c r="G242">
        <f t="shared" si="14"/>
        <v>42207.415576509316</v>
      </c>
      <c r="H242" s="2">
        <f t="shared" si="15"/>
        <v>353000.41557650932</v>
      </c>
    </row>
    <row r="243" spans="1:8" x14ac:dyDescent="0.2">
      <c r="A243">
        <v>2022</v>
      </c>
      <c r="B243" s="3" t="str">
        <f t="shared" si="12"/>
        <v>5219</v>
      </c>
      <c r="C243" s="10" t="s">
        <v>250</v>
      </c>
      <c r="D243" s="11">
        <v>203755</v>
      </c>
      <c r="E243" s="11">
        <v>203755</v>
      </c>
      <c r="F243" s="10">
        <f t="shared" si="13"/>
        <v>4.1087150578088174E-4</v>
      </c>
      <c r="G243">
        <f t="shared" si="14"/>
        <v>27671.060676371912</v>
      </c>
      <c r="H243" s="2">
        <f t="shared" si="15"/>
        <v>231426.06067637191</v>
      </c>
    </row>
    <row r="244" spans="1:8" x14ac:dyDescent="0.2">
      <c r="A244">
        <v>2022</v>
      </c>
      <c r="B244" s="3" t="str">
        <f t="shared" si="12"/>
        <v>5220</v>
      </c>
      <c r="C244" s="10" t="s">
        <v>251</v>
      </c>
      <c r="D244" s="11">
        <v>423084</v>
      </c>
      <c r="E244" s="11">
        <v>423084</v>
      </c>
      <c r="F244" s="10">
        <f t="shared" si="13"/>
        <v>8.5314794803464239E-4</v>
      </c>
      <c r="G244">
        <f t="shared" si="14"/>
        <v>57457.157052352748</v>
      </c>
      <c r="H244" s="2">
        <f t="shared" si="15"/>
        <v>480541.15705235273</v>
      </c>
    </row>
    <row r="245" spans="1:8" x14ac:dyDescent="0.2">
      <c r="A245">
        <v>2022</v>
      </c>
      <c r="B245" s="3" t="str">
        <f t="shared" si="12"/>
        <v>5222</v>
      </c>
      <c r="C245" s="10" t="s">
        <v>252</v>
      </c>
      <c r="D245" s="11">
        <v>391647</v>
      </c>
      <c r="E245" s="11">
        <v>391647</v>
      </c>
      <c r="F245" s="10">
        <f t="shared" si="13"/>
        <v>7.8975530722958937E-4</v>
      </c>
      <c r="G245">
        <f t="shared" si="14"/>
        <v>53187.83784799897</v>
      </c>
      <c r="H245" s="2">
        <f t="shared" si="15"/>
        <v>444834.83784799895</v>
      </c>
    </row>
    <row r="246" spans="1:8" x14ac:dyDescent="0.2">
      <c r="A246">
        <v>2022</v>
      </c>
      <c r="B246" s="3" t="str">
        <f t="shared" si="12"/>
        <v>5223</v>
      </c>
      <c r="C246" s="10" t="s">
        <v>253</v>
      </c>
      <c r="D246" s="11">
        <v>445257</v>
      </c>
      <c r="E246" s="11">
        <v>445257</v>
      </c>
      <c r="F246" s="10">
        <f t="shared" si="13"/>
        <v>8.9785975337772347E-4</v>
      </c>
      <c r="G246">
        <f t="shared" si="14"/>
        <v>60468.373603491091</v>
      </c>
      <c r="H246" s="2">
        <f t="shared" si="15"/>
        <v>505725.37360349111</v>
      </c>
    </row>
    <row r="247" spans="1:8" x14ac:dyDescent="0.2">
      <c r="A247">
        <v>2022</v>
      </c>
      <c r="B247" s="3" t="str">
        <f t="shared" si="12"/>
        <v>5226</v>
      </c>
      <c r="C247" s="10" t="s">
        <v>254</v>
      </c>
      <c r="D247" s="11">
        <v>260812</v>
      </c>
      <c r="E247" s="11">
        <v>260812</v>
      </c>
      <c r="F247" s="10">
        <f t="shared" si="13"/>
        <v>5.2592681978711354E-4</v>
      </c>
      <c r="G247">
        <f t="shared" si="14"/>
        <v>35419.718176859024</v>
      </c>
      <c r="H247" s="2">
        <f t="shared" si="15"/>
        <v>296231.71817685902</v>
      </c>
    </row>
    <row r="248" spans="1:8" x14ac:dyDescent="0.2">
      <c r="A248">
        <v>2022</v>
      </c>
      <c r="B248" s="3" t="str">
        <f t="shared" si="12"/>
        <v>5227</v>
      </c>
      <c r="C248" s="10" t="s">
        <v>255</v>
      </c>
      <c r="D248" s="11">
        <v>101025</v>
      </c>
      <c r="E248" s="11">
        <v>101025</v>
      </c>
      <c r="F248" s="10">
        <f t="shared" si="13"/>
        <v>2.0371668853040944E-4</v>
      </c>
      <c r="G248">
        <f t="shared" si="14"/>
        <v>13719.756103312666</v>
      </c>
      <c r="H248" s="2">
        <f t="shared" si="15"/>
        <v>114744.75610331267</v>
      </c>
    </row>
    <row r="249" spans="1:8" x14ac:dyDescent="0.2">
      <c r="A249">
        <v>2022</v>
      </c>
      <c r="B249" s="3" t="str">
        <f t="shared" si="12"/>
        <v>5228</v>
      </c>
      <c r="C249" s="10" t="s">
        <v>256</v>
      </c>
      <c r="D249" s="11">
        <v>186274</v>
      </c>
      <c r="E249" s="11">
        <v>186274</v>
      </c>
      <c r="F249" s="10">
        <f t="shared" si="13"/>
        <v>3.7562110803576829E-4</v>
      </c>
      <c r="G249">
        <f t="shared" si="14"/>
        <v>25297.043785087491</v>
      </c>
      <c r="H249" s="2">
        <f t="shared" si="15"/>
        <v>211571.0437850875</v>
      </c>
    </row>
    <row r="250" spans="1:8" x14ac:dyDescent="0.2">
      <c r="A250">
        <v>2022</v>
      </c>
      <c r="B250" s="3" t="str">
        <f t="shared" si="12"/>
        <v>5229</v>
      </c>
      <c r="C250" s="10" t="s">
        <v>257</v>
      </c>
      <c r="D250" s="11">
        <v>363105</v>
      </c>
      <c r="E250" s="11">
        <v>363105</v>
      </c>
      <c r="F250" s="10">
        <f t="shared" si="13"/>
        <v>7.3220042750640258E-4</v>
      </c>
      <c r="G250">
        <f t="shared" si="14"/>
        <v>49311.675722775013</v>
      </c>
      <c r="H250" s="2">
        <f t="shared" si="15"/>
        <v>412416.67572277499</v>
      </c>
    </row>
    <row r="251" spans="1:8" x14ac:dyDescent="0.2">
      <c r="A251">
        <v>2022</v>
      </c>
      <c r="B251" s="3" t="str">
        <f t="shared" si="12"/>
        <v>5230</v>
      </c>
      <c r="C251" s="10" t="s">
        <v>258</v>
      </c>
      <c r="D251" s="11">
        <v>716800</v>
      </c>
      <c r="E251" s="11">
        <v>716800</v>
      </c>
      <c r="F251" s="10">
        <f t="shared" si="13"/>
        <v>1.4454256108745111E-3</v>
      </c>
      <c r="G251">
        <f t="shared" si="14"/>
        <v>97345.421181435479</v>
      </c>
      <c r="H251" s="2">
        <f t="shared" si="15"/>
        <v>814145.42118143546</v>
      </c>
    </row>
    <row r="252" spans="1:8" x14ac:dyDescent="0.2">
      <c r="A252">
        <v>2022</v>
      </c>
      <c r="B252" s="3" t="str">
        <f t="shared" si="12"/>
        <v>5231</v>
      </c>
      <c r="C252" s="10" t="s">
        <v>259</v>
      </c>
      <c r="D252" s="11">
        <v>1634703</v>
      </c>
      <c r="E252" s="11">
        <v>1634703</v>
      </c>
      <c r="F252" s="10">
        <f t="shared" si="13"/>
        <v>3.2963749754093136E-3</v>
      </c>
      <c r="G252">
        <f t="shared" si="14"/>
        <v>222001.74670976022</v>
      </c>
      <c r="H252" s="2">
        <f t="shared" si="15"/>
        <v>1856704.7467097603</v>
      </c>
    </row>
    <row r="253" spans="1:8" x14ac:dyDescent="0.2">
      <c r="A253">
        <v>2022</v>
      </c>
      <c r="B253" s="3" t="str">
        <f t="shared" si="12"/>
        <v>5233</v>
      </c>
      <c r="C253" s="10" t="s">
        <v>260</v>
      </c>
      <c r="D253" s="11">
        <v>6055556</v>
      </c>
      <c r="E253" s="11">
        <v>6055556</v>
      </c>
      <c r="F253" s="10">
        <f t="shared" si="13"/>
        <v>1.2211015249002248E-2</v>
      </c>
      <c r="G253">
        <f t="shared" si="14"/>
        <v>822378.13798516837</v>
      </c>
      <c r="H253" s="2">
        <f t="shared" si="15"/>
        <v>6877934.137985168</v>
      </c>
    </row>
    <row r="254" spans="1:8" x14ac:dyDescent="0.2">
      <c r="A254">
        <v>2022</v>
      </c>
      <c r="B254" s="3" t="str">
        <f t="shared" si="12"/>
        <v>5235</v>
      </c>
      <c r="C254" s="10" t="s">
        <v>261</v>
      </c>
      <c r="D254" s="11">
        <v>234251</v>
      </c>
      <c r="E254" s="11">
        <v>234251</v>
      </c>
      <c r="F254" s="10">
        <f t="shared" si="13"/>
        <v>4.7236662217210534E-4</v>
      </c>
      <c r="G254">
        <f t="shared" si="14"/>
        <v>31812.586854314231</v>
      </c>
      <c r="H254" s="2">
        <f t="shared" si="15"/>
        <v>266063.58685431426</v>
      </c>
    </row>
    <row r="255" spans="1:8" x14ac:dyDescent="0.2">
      <c r="A255">
        <v>2022</v>
      </c>
      <c r="B255" s="3" t="str">
        <f t="shared" si="12"/>
        <v>5236</v>
      </c>
      <c r="C255" s="10" t="s">
        <v>262</v>
      </c>
      <c r="D255" s="11">
        <v>557404</v>
      </c>
      <c r="E255" s="11">
        <v>557404</v>
      </c>
      <c r="F255" s="10">
        <f t="shared" si="13"/>
        <v>1.124003930250971E-3</v>
      </c>
      <c r="G255">
        <f t="shared" si="14"/>
        <v>75698.559079543615</v>
      </c>
      <c r="H255" s="2">
        <f t="shared" si="15"/>
        <v>633102.55907954357</v>
      </c>
    </row>
    <row r="256" spans="1:8" x14ac:dyDescent="0.2">
      <c r="A256">
        <v>2022</v>
      </c>
      <c r="B256" s="3" t="str">
        <f t="shared" si="12"/>
        <v>5237</v>
      </c>
      <c r="C256" s="10" t="s">
        <v>263</v>
      </c>
      <c r="D256" s="11">
        <v>252262</v>
      </c>
      <c r="E256" s="11">
        <v>252262</v>
      </c>
      <c r="F256" s="10">
        <f t="shared" si="13"/>
        <v>5.0868576374222369E-4</v>
      </c>
      <c r="G256">
        <f t="shared" si="14"/>
        <v>34258.580689273549</v>
      </c>
      <c r="H256" s="2">
        <f t="shared" si="15"/>
        <v>286520.58068927354</v>
      </c>
    </row>
    <row r="257" spans="1:8" x14ac:dyDescent="0.2">
      <c r="A257">
        <v>2022</v>
      </c>
      <c r="B257" s="3" t="str">
        <f t="shared" si="12"/>
        <v>5238</v>
      </c>
      <c r="C257" s="10" t="s">
        <v>264</v>
      </c>
      <c r="D257" s="11">
        <v>212923</v>
      </c>
      <c r="E257" s="11">
        <v>212923</v>
      </c>
      <c r="F257" s="10">
        <f t="shared" si="13"/>
        <v>4.2935875745568294E-4</v>
      </c>
      <c r="G257">
        <f t="shared" si="14"/>
        <v>28916.125996393395</v>
      </c>
      <c r="H257" s="2">
        <f t="shared" si="15"/>
        <v>241839.12599639338</v>
      </c>
    </row>
    <row r="258" spans="1:8" x14ac:dyDescent="0.2">
      <c r="A258">
        <v>2022</v>
      </c>
      <c r="B258" s="3" t="str">
        <f t="shared" si="12"/>
        <v>5239</v>
      </c>
      <c r="C258" s="10" t="s">
        <v>265</v>
      </c>
      <c r="D258" s="11">
        <v>182342</v>
      </c>
      <c r="E258" s="11">
        <v>182342</v>
      </c>
      <c r="F258" s="10">
        <f t="shared" si="13"/>
        <v>3.6769223875290197E-4</v>
      </c>
      <c r="G258">
        <f t="shared" si="14"/>
        <v>24763.056346352274</v>
      </c>
      <c r="H258" s="2">
        <f t="shared" si="15"/>
        <v>207105.05634635227</v>
      </c>
    </row>
    <row r="259" spans="1:8" x14ac:dyDescent="0.2">
      <c r="A259">
        <v>2022</v>
      </c>
      <c r="B259" s="3" t="str">
        <f t="shared" ref="B259:B322" si="16">LEFT(C259,4)</f>
        <v>5240</v>
      </c>
      <c r="C259" s="10" t="s">
        <v>266</v>
      </c>
      <c r="D259" s="11">
        <v>474872</v>
      </c>
      <c r="E259" s="11">
        <v>474872</v>
      </c>
      <c r="F259" s="10">
        <f t="shared" ref="F259:F322" si="17">D259/$D$340</f>
        <v>9.5757833522209937E-4</v>
      </c>
      <c r="G259">
        <f t="shared" ref="G259:G322" si="18">F259*$D$341</f>
        <v>64490.255088268175</v>
      </c>
      <c r="H259" s="2">
        <f t="shared" ref="H259:H322" si="19">SUM(G259,D259)</f>
        <v>539362.2550882682</v>
      </c>
    </row>
    <row r="260" spans="1:8" x14ac:dyDescent="0.2">
      <c r="A260">
        <v>2022</v>
      </c>
      <c r="B260" s="3" t="str">
        <f t="shared" si="16"/>
        <v>5241</v>
      </c>
      <c r="C260" s="10" t="s">
        <v>267</v>
      </c>
      <c r="D260" s="11">
        <v>284173</v>
      </c>
      <c r="E260" s="11">
        <v>284173</v>
      </c>
      <c r="F260" s="10">
        <f t="shared" si="17"/>
        <v>5.7303422449643201E-4</v>
      </c>
      <c r="G260">
        <f t="shared" si="18"/>
        <v>38592.271726272411</v>
      </c>
      <c r="H260" s="2">
        <f t="shared" si="19"/>
        <v>322765.27172627242</v>
      </c>
    </row>
    <row r="261" spans="1:8" x14ac:dyDescent="0.2">
      <c r="A261">
        <v>2022</v>
      </c>
      <c r="B261" s="3" t="str">
        <f t="shared" si="16"/>
        <v>5250</v>
      </c>
      <c r="C261" s="10" t="s">
        <v>268</v>
      </c>
      <c r="D261" s="11">
        <v>646959</v>
      </c>
      <c r="E261" s="11">
        <v>646959</v>
      </c>
      <c r="F261" s="10">
        <f t="shared" si="17"/>
        <v>1.3045913892100486E-3</v>
      </c>
      <c r="G261">
        <f t="shared" si="18"/>
        <v>87860.625477288384</v>
      </c>
      <c r="H261" s="2">
        <f t="shared" si="19"/>
        <v>734819.62547728838</v>
      </c>
    </row>
    <row r="262" spans="1:8" x14ac:dyDescent="0.2">
      <c r="A262">
        <v>2022</v>
      </c>
      <c r="B262" s="3" t="str">
        <f t="shared" si="16"/>
        <v>5251</v>
      </c>
      <c r="C262" s="10" t="s">
        <v>269</v>
      </c>
      <c r="D262" s="11">
        <v>215590</v>
      </c>
      <c r="E262" s="11">
        <v>215590</v>
      </c>
      <c r="F262" s="10">
        <f t="shared" si="17"/>
        <v>4.3473675704301879E-4</v>
      </c>
      <c r="G262">
        <f t="shared" si="18"/>
        <v>29278.319409187607</v>
      </c>
      <c r="H262" s="2">
        <f t="shared" si="19"/>
        <v>244868.31940918759</v>
      </c>
    </row>
    <row r="263" spans="1:8" x14ac:dyDescent="0.2">
      <c r="A263">
        <v>2022</v>
      </c>
      <c r="B263" s="3" t="str">
        <f t="shared" si="16"/>
        <v>5267</v>
      </c>
      <c r="C263" s="10" t="s">
        <v>270</v>
      </c>
      <c r="D263" s="11">
        <v>265874</v>
      </c>
      <c r="E263" s="11">
        <v>265874</v>
      </c>
      <c r="F263" s="10">
        <f t="shared" si="17"/>
        <v>5.3613433156480162E-4</v>
      </c>
      <c r="G263">
        <f t="shared" si="18"/>
        <v>36107.165891731274</v>
      </c>
      <c r="H263" s="2">
        <f t="shared" si="19"/>
        <v>301981.16589173127</v>
      </c>
    </row>
    <row r="264" spans="1:8" x14ac:dyDescent="0.2">
      <c r="A264">
        <v>2022</v>
      </c>
      <c r="B264" s="3" t="str">
        <f t="shared" si="16"/>
        <v>5268</v>
      </c>
      <c r="C264" s="10" t="s">
        <v>271</v>
      </c>
      <c r="D264" s="11">
        <v>220001</v>
      </c>
      <c r="E264" s="11">
        <v>220001</v>
      </c>
      <c r="F264" s="10">
        <f t="shared" si="17"/>
        <v>4.4363152876395552E-4</v>
      </c>
      <c r="G264">
        <f t="shared" si="18"/>
        <v>29877.35770833843</v>
      </c>
      <c r="H264" s="2">
        <f t="shared" si="19"/>
        <v>249878.35770833842</v>
      </c>
    </row>
    <row r="265" spans="1:8" x14ac:dyDescent="0.2">
      <c r="A265">
        <v>2022</v>
      </c>
      <c r="B265" s="3" t="str">
        <f t="shared" si="16"/>
        <v>5270</v>
      </c>
      <c r="C265" s="10" t="s">
        <v>272</v>
      </c>
      <c r="D265" s="11">
        <v>359336</v>
      </c>
      <c r="E265" s="11">
        <v>359336</v>
      </c>
      <c r="F265" s="10">
        <f t="shared" si="17"/>
        <v>7.2460024736216986E-4</v>
      </c>
      <c r="G265">
        <f t="shared" si="18"/>
        <v>48799.824589358679</v>
      </c>
      <c r="H265" s="2">
        <f t="shared" si="19"/>
        <v>408135.8245893587</v>
      </c>
    </row>
    <row r="266" spans="1:8" x14ac:dyDescent="0.2">
      <c r="A266">
        <v>2022</v>
      </c>
      <c r="B266" s="3" t="str">
        <f t="shared" si="16"/>
        <v>5271</v>
      </c>
      <c r="C266" s="10" t="s">
        <v>273</v>
      </c>
      <c r="D266" s="11">
        <v>124646</v>
      </c>
      <c r="E266" s="11">
        <v>124646</v>
      </c>
      <c r="F266" s="10">
        <f t="shared" si="17"/>
        <v>2.5134838266331519E-4</v>
      </c>
      <c r="G266">
        <f t="shared" si="18"/>
        <v>16927.61909679298</v>
      </c>
      <c r="H266" s="2">
        <f t="shared" si="19"/>
        <v>141573.61909679297</v>
      </c>
    </row>
    <row r="267" spans="1:8" x14ac:dyDescent="0.2">
      <c r="A267">
        <v>2022</v>
      </c>
      <c r="B267" s="3" t="str">
        <f t="shared" si="16"/>
        <v>5272</v>
      </c>
      <c r="C267" s="10" t="s">
        <v>274</v>
      </c>
      <c r="D267" s="11">
        <v>3828473</v>
      </c>
      <c r="E267" s="11">
        <v>3828473</v>
      </c>
      <c r="F267" s="10">
        <f t="shared" si="17"/>
        <v>7.7201073168827739E-3</v>
      </c>
      <c r="G267">
        <f t="shared" si="18"/>
        <v>519927.89713553828</v>
      </c>
      <c r="H267" s="2">
        <f t="shared" si="19"/>
        <v>4348400.897135538</v>
      </c>
    </row>
    <row r="268" spans="1:8" x14ac:dyDescent="0.2">
      <c r="A268">
        <v>2022</v>
      </c>
      <c r="B268" s="3" t="str">
        <f t="shared" si="16"/>
        <v>5274</v>
      </c>
      <c r="C268" s="10" t="s">
        <v>275</v>
      </c>
      <c r="D268" s="11">
        <v>814602</v>
      </c>
      <c r="E268" s="11">
        <v>814602</v>
      </c>
      <c r="F268" s="10">
        <f t="shared" si="17"/>
        <v>1.6426431270502211E-3</v>
      </c>
      <c r="G268">
        <f t="shared" si="18"/>
        <v>110627.47598387235</v>
      </c>
      <c r="H268" s="2">
        <f t="shared" si="19"/>
        <v>925229.47598387231</v>
      </c>
    </row>
    <row r="269" spans="1:8" x14ac:dyDescent="0.2">
      <c r="A269">
        <v>2022</v>
      </c>
      <c r="B269" s="3" t="str">
        <f t="shared" si="16"/>
        <v>5275</v>
      </c>
      <c r="C269" s="10" t="s">
        <v>276</v>
      </c>
      <c r="D269" s="11">
        <v>1812854</v>
      </c>
      <c r="E269" s="11">
        <v>1812854</v>
      </c>
      <c r="F269" s="10">
        <f t="shared" si="17"/>
        <v>3.6556160719535451E-3</v>
      </c>
      <c r="G269">
        <f t="shared" si="18"/>
        <v>246195.64197886444</v>
      </c>
      <c r="H269" s="2">
        <f t="shared" si="19"/>
        <v>2059049.6419788646</v>
      </c>
    </row>
    <row r="270" spans="1:8" x14ac:dyDescent="0.2">
      <c r="A270">
        <v>2022</v>
      </c>
      <c r="B270" s="3" t="str">
        <f t="shared" si="16"/>
        <v>5276</v>
      </c>
      <c r="C270" s="10" t="s">
        <v>277</v>
      </c>
      <c r="D270" s="11">
        <v>904096</v>
      </c>
      <c r="E270" s="11">
        <v>904096</v>
      </c>
      <c r="F270" s="10">
        <f t="shared" si="17"/>
        <v>1.823107579644534E-3</v>
      </c>
      <c r="G270">
        <f t="shared" si="18"/>
        <v>122781.25824281681</v>
      </c>
      <c r="H270" s="2">
        <f t="shared" si="19"/>
        <v>1026877.2582428168</v>
      </c>
    </row>
    <row r="271" spans="1:8" x14ac:dyDescent="0.2">
      <c r="A271">
        <v>2022</v>
      </c>
      <c r="B271" s="3" t="str">
        <f t="shared" si="16"/>
        <v>5278</v>
      </c>
      <c r="C271" s="10" t="s">
        <v>278</v>
      </c>
      <c r="D271" s="11">
        <v>308165</v>
      </c>
      <c r="E271" s="11">
        <v>308165</v>
      </c>
      <c r="F271" s="10">
        <f t="shared" si="17"/>
        <v>6.2141403930684113E-4</v>
      </c>
      <c r="G271">
        <f t="shared" si="18"/>
        <v>41850.518580325144</v>
      </c>
      <c r="H271" s="2">
        <f t="shared" si="19"/>
        <v>350015.51858032512</v>
      </c>
    </row>
    <row r="272" spans="1:8" x14ac:dyDescent="0.2">
      <c r="A272">
        <v>2022</v>
      </c>
      <c r="B272" s="3" t="str">
        <f t="shared" si="16"/>
        <v>5280</v>
      </c>
      <c r="C272" s="10" t="s">
        <v>279</v>
      </c>
      <c r="D272" s="11">
        <v>5080682</v>
      </c>
      <c r="E272" s="11">
        <v>5080682</v>
      </c>
      <c r="F272" s="10">
        <f t="shared" si="17"/>
        <v>1.0245183989270554E-2</v>
      </c>
      <c r="G272">
        <f t="shared" si="18"/>
        <v>689984.8342340095</v>
      </c>
      <c r="H272" s="2">
        <f t="shared" si="19"/>
        <v>5770666.8342340095</v>
      </c>
    </row>
    <row r="273" spans="1:8" x14ac:dyDescent="0.2">
      <c r="A273">
        <v>2022</v>
      </c>
      <c r="B273" s="3" t="str">
        <f t="shared" si="16"/>
        <v>5281</v>
      </c>
      <c r="C273" s="10" t="s">
        <v>280</v>
      </c>
      <c r="D273" s="11">
        <v>247689</v>
      </c>
      <c r="E273" s="11">
        <v>247689</v>
      </c>
      <c r="F273" s="10">
        <f t="shared" si="17"/>
        <v>4.994643193804364E-4</v>
      </c>
      <c r="G273">
        <f t="shared" si="18"/>
        <v>33637.541890357941</v>
      </c>
      <c r="H273" s="2">
        <f t="shared" si="19"/>
        <v>281326.54189035797</v>
      </c>
    </row>
    <row r="274" spans="1:8" x14ac:dyDescent="0.2">
      <c r="A274">
        <v>2022</v>
      </c>
      <c r="B274" s="3" t="str">
        <f t="shared" si="16"/>
        <v>5283</v>
      </c>
      <c r="C274" s="10" t="s">
        <v>281</v>
      </c>
      <c r="D274" s="11">
        <v>475623</v>
      </c>
      <c r="E274" s="11">
        <v>475623</v>
      </c>
      <c r="F274" s="10">
        <f t="shared" si="17"/>
        <v>9.5909272505715346E-4</v>
      </c>
      <c r="G274">
        <f t="shared" si="18"/>
        <v>64592.245059399953</v>
      </c>
      <c r="H274" s="2">
        <f t="shared" si="19"/>
        <v>540215.24505939998</v>
      </c>
    </row>
    <row r="275" spans="1:8" x14ac:dyDescent="0.2">
      <c r="A275">
        <v>2022</v>
      </c>
      <c r="B275" s="3" t="str">
        <f t="shared" si="16"/>
        <v>5284</v>
      </c>
      <c r="C275" s="10" t="s">
        <v>282</v>
      </c>
      <c r="D275" s="11">
        <v>765976</v>
      </c>
      <c r="E275" s="11">
        <v>765976</v>
      </c>
      <c r="F275" s="10">
        <f t="shared" si="17"/>
        <v>1.5445889058526988E-3</v>
      </c>
      <c r="G275">
        <f t="shared" si="18"/>
        <v>104023.7951100324</v>
      </c>
      <c r="H275" s="2">
        <f t="shared" si="19"/>
        <v>869999.79511003243</v>
      </c>
    </row>
    <row r="276" spans="1:8" x14ac:dyDescent="0.2">
      <c r="A276">
        <v>2022</v>
      </c>
      <c r="B276" s="3" t="str">
        <f t="shared" si="16"/>
        <v>5285</v>
      </c>
      <c r="C276" s="10" t="s">
        <v>283</v>
      </c>
      <c r="D276" s="11">
        <v>379269</v>
      </c>
      <c r="E276" s="11">
        <v>379269</v>
      </c>
      <c r="F276" s="10">
        <f t="shared" si="17"/>
        <v>7.6479509767126807E-4</v>
      </c>
      <c r="G276">
        <f t="shared" si="18"/>
        <v>51506.836699305037</v>
      </c>
      <c r="H276" s="2">
        <f t="shared" si="19"/>
        <v>430775.83669930504</v>
      </c>
    </row>
    <row r="277" spans="1:8" x14ac:dyDescent="0.2">
      <c r="A277">
        <v>2022</v>
      </c>
      <c r="B277" s="3" t="str">
        <f t="shared" si="16"/>
        <v>5286</v>
      </c>
      <c r="C277" s="10" t="s">
        <v>284</v>
      </c>
      <c r="D277" s="11">
        <v>332202</v>
      </c>
      <c r="E277" s="11">
        <v>332202</v>
      </c>
      <c r="F277" s="10">
        <f t="shared" si="17"/>
        <v>6.698845965174866E-4</v>
      </c>
      <c r="G277">
        <f t="shared" si="18"/>
        <v>45114.876684312541</v>
      </c>
      <c r="H277" s="2">
        <f t="shared" si="19"/>
        <v>377316.87668431253</v>
      </c>
    </row>
    <row r="278" spans="1:8" x14ac:dyDescent="0.2">
      <c r="A278">
        <v>2022</v>
      </c>
      <c r="B278" s="3" t="str">
        <f t="shared" si="16"/>
        <v>5287</v>
      </c>
      <c r="C278" s="10" t="s">
        <v>285</v>
      </c>
      <c r="D278" s="11">
        <v>582299</v>
      </c>
      <c r="E278" s="11">
        <v>582299</v>
      </c>
      <c r="F278" s="10">
        <f t="shared" si="17"/>
        <v>1.1742046425594545E-3</v>
      </c>
      <c r="G278">
        <f t="shared" si="18"/>
        <v>79079.438348951866</v>
      </c>
      <c r="H278" s="2">
        <f t="shared" si="19"/>
        <v>661378.43834895187</v>
      </c>
    </row>
    <row r="279" spans="1:8" x14ac:dyDescent="0.2">
      <c r="A279">
        <v>2022</v>
      </c>
      <c r="B279" s="3" t="str">
        <f t="shared" si="16"/>
        <v>5288</v>
      </c>
      <c r="C279" s="10" t="s">
        <v>286</v>
      </c>
      <c r="D279" s="11">
        <v>343583</v>
      </c>
      <c r="E279" s="11">
        <v>343583</v>
      </c>
      <c r="F279" s="10">
        <f t="shared" si="17"/>
        <v>6.9283435778612888E-4</v>
      </c>
      <c r="G279">
        <f t="shared" si="18"/>
        <v>46660.47969556522</v>
      </c>
      <c r="H279" s="2">
        <f t="shared" si="19"/>
        <v>390243.47969556524</v>
      </c>
    </row>
    <row r="280" spans="1:8" x14ac:dyDescent="0.2">
      <c r="A280">
        <v>2022</v>
      </c>
      <c r="B280" s="3" t="str">
        <f t="shared" si="16"/>
        <v>5289</v>
      </c>
      <c r="C280" s="10" t="s">
        <v>287</v>
      </c>
      <c r="D280" s="11">
        <v>439619</v>
      </c>
      <c r="E280" s="11">
        <v>439619</v>
      </c>
      <c r="F280" s="10">
        <f t="shared" si="17"/>
        <v>8.8649073887701131E-4</v>
      </c>
      <c r="G280">
        <f t="shared" si="18"/>
        <v>59702.701889455195</v>
      </c>
      <c r="H280" s="2">
        <f t="shared" si="19"/>
        <v>499321.7018894552</v>
      </c>
    </row>
    <row r="281" spans="1:8" x14ac:dyDescent="0.2">
      <c r="A281">
        <v>2022</v>
      </c>
      <c r="B281" s="3" t="str">
        <f t="shared" si="16"/>
        <v>5291</v>
      </c>
      <c r="C281" s="10" t="s">
        <v>288</v>
      </c>
      <c r="D281" s="11">
        <v>559142</v>
      </c>
      <c r="E281" s="11">
        <v>559142</v>
      </c>
      <c r="F281" s="10">
        <f t="shared" si="17"/>
        <v>1.1275086033978737E-3</v>
      </c>
      <c r="G281">
        <f t="shared" si="18"/>
        <v>75934.589132575609</v>
      </c>
      <c r="H281" s="2">
        <f t="shared" si="19"/>
        <v>635076.58913257555</v>
      </c>
    </row>
    <row r="282" spans="1:8" x14ac:dyDescent="0.2">
      <c r="A282">
        <v>2022</v>
      </c>
      <c r="B282" s="3" t="str">
        <f t="shared" si="16"/>
        <v>5292</v>
      </c>
      <c r="C282" s="10" t="s">
        <v>289</v>
      </c>
      <c r="D282" s="11">
        <v>1604824</v>
      </c>
      <c r="E282" s="11">
        <v>1604824</v>
      </c>
      <c r="F282" s="10">
        <f t="shared" si="17"/>
        <v>3.2361240381502182E-3</v>
      </c>
      <c r="G282">
        <f t="shared" si="18"/>
        <v>217944.01255869979</v>
      </c>
      <c r="H282" s="2">
        <f t="shared" si="19"/>
        <v>1822768.0125586998</v>
      </c>
    </row>
    <row r="283" spans="1:8" x14ac:dyDescent="0.2">
      <c r="A283">
        <v>2022</v>
      </c>
      <c r="B283" s="3" t="str">
        <f t="shared" si="16"/>
        <v>5293</v>
      </c>
      <c r="C283" s="10" t="s">
        <v>290</v>
      </c>
      <c r="D283" s="11">
        <v>360759</v>
      </c>
      <c r="E283" s="11">
        <v>360759</v>
      </c>
      <c r="F283" s="10">
        <f t="shared" si="17"/>
        <v>7.2746972370741876E-4</v>
      </c>
      <c r="G283">
        <f t="shared" si="18"/>
        <v>48993.07589284805</v>
      </c>
      <c r="H283" s="2">
        <f t="shared" si="19"/>
        <v>409752.07589284808</v>
      </c>
    </row>
    <row r="284" spans="1:8" x14ac:dyDescent="0.2">
      <c r="A284">
        <v>2022</v>
      </c>
      <c r="B284" s="3" t="str">
        <f t="shared" si="16"/>
        <v>5294</v>
      </c>
      <c r="C284" s="10" t="s">
        <v>291</v>
      </c>
      <c r="D284" s="11">
        <v>868052</v>
      </c>
      <c r="E284" s="11">
        <v>868052</v>
      </c>
      <c r="F284" s="10">
        <f t="shared" si="17"/>
        <v>1.7504249335530708E-3</v>
      </c>
      <c r="G284">
        <f t="shared" si="18"/>
        <v>117886.28285070791</v>
      </c>
      <c r="H284" s="2">
        <f t="shared" si="19"/>
        <v>985938.28285070788</v>
      </c>
    </row>
    <row r="285" spans="1:8" x14ac:dyDescent="0.2">
      <c r="A285">
        <v>2022</v>
      </c>
      <c r="B285" s="3" t="str">
        <f t="shared" si="16"/>
        <v>5295</v>
      </c>
      <c r="C285" s="10" t="s">
        <v>292</v>
      </c>
      <c r="D285" s="11">
        <v>284926</v>
      </c>
      <c r="E285" s="11">
        <v>284926</v>
      </c>
      <c r="F285" s="10">
        <f t="shared" si="17"/>
        <v>5.7455264732705208E-4</v>
      </c>
      <c r="G285">
        <f t="shared" si="18"/>
        <v>38694.533308512393</v>
      </c>
      <c r="H285" s="2">
        <f t="shared" si="19"/>
        <v>323620.53330851241</v>
      </c>
    </row>
    <row r="286" spans="1:8" x14ac:dyDescent="0.2">
      <c r="A286">
        <v>2022</v>
      </c>
      <c r="B286" s="3" t="str">
        <f t="shared" si="16"/>
        <v>5296</v>
      </c>
      <c r="C286" s="10" t="s">
        <v>293</v>
      </c>
      <c r="D286" s="11">
        <v>1185188</v>
      </c>
      <c r="E286" s="11">
        <v>1185188</v>
      </c>
      <c r="F286" s="10">
        <f t="shared" si="17"/>
        <v>2.3899289744714566E-3</v>
      </c>
      <c r="G286">
        <f t="shared" si="18"/>
        <v>160955.11305689614</v>
      </c>
      <c r="H286" s="2">
        <f t="shared" si="19"/>
        <v>1346143.1130568963</v>
      </c>
    </row>
    <row r="287" spans="1:8" x14ac:dyDescent="0.2">
      <c r="A287">
        <v>2022</v>
      </c>
      <c r="B287" s="3" t="str">
        <f t="shared" si="16"/>
        <v>5297</v>
      </c>
      <c r="C287" s="10" t="s">
        <v>294</v>
      </c>
      <c r="D287" s="11">
        <v>714182</v>
      </c>
      <c r="E287" s="11">
        <v>714182</v>
      </c>
      <c r="F287" s="10">
        <f t="shared" si="17"/>
        <v>1.4401464196785437E-3</v>
      </c>
      <c r="G287">
        <f t="shared" si="18"/>
        <v>96989.882240792344</v>
      </c>
      <c r="H287" s="2">
        <f t="shared" si="19"/>
        <v>811171.88224079239</v>
      </c>
    </row>
    <row r="288" spans="1:8" x14ac:dyDescent="0.2">
      <c r="A288">
        <v>2022</v>
      </c>
      <c r="B288" s="3" t="str">
        <f t="shared" si="16"/>
        <v>5298</v>
      </c>
      <c r="C288" s="10" t="s">
        <v>295</v>
      </c>
      <c r="D288" s="11">
        <v>85968</v>
      </c>
      <c r="E288" s="11">
        <v>85968</v>
      </c>
      <c r="F288" s="10">
        <f t="shared" si="17"/>
        <v>1.7335428141135599E-4</v>
      </c>
      <c r="G288">
        <f t="shared" si="18"/>
        <v>11674.931875175287</v>
      </c>
      <c r="H288" s="2">
        <f t="shared" si="19"/>
        <v>97642.931875175287</v>
      </c>
    </row>
    <row r="289" spans="1:8" x14ac:dyDescent="0.2">
      <c r="A289">
        <v>2022</v>
      </c>
      <c r="B289" s="3" t="str">
        <f t="shared" si="16"/>
        <v>5299</v>
      </c>
      <c r="C289" s="10" t="s">
        <v>296</v>
      </c>
      <c r="D289" s="11">
        <v>232056</v>
      </c>
      <c r="E289" s="11">
        <v>232056</v>
      </c>
      <c r="F289" s="10">
        <f t="shared" si="17"/>
        <v>4.6794040953835876E-4</v>
      </c>
      <c r="G289">
        <f t="shared" si="18"/>
        <v>31514.493663056906</v>
      </c>
      <c r="H289" s="2">
        <f t="shared" si="19"/>
        <v>263570.49366305693</v>
      </c>
    </row>
    <row r="290" spans="1:8" x14ac:dyDescent="0.2">
      <c r="A290">
        <v>2022</v>
      </c>
      <c r="B290" s="3" t="str">
        <f t="shared" si="16"/>
        <v>5300</v>
      </c>
      <c r="C290" s="10" t="s">
        <v>297</v>
      </c>
      <c r="D290" s="11">
        <v>634025</v>
      </c>
      <c r="E290" s="11">
        <v>634025</v>
      </c>
      <c r="F290" s="10">
        <f t="shared" si="17"/>
        <v>1.2785100068843638E-3</v>
      </c>
      <c r="G290">
        <f t="shared" si="18"/>
        <v>86104.11644051288</v>
      </c>
      <c r="H290" s="2">
        <f t="shared" si="19"/>
        <v>720129.11644051294</v>
      </c>
    </row>
    <row r="291" spans="1:8" x14ac:dyDescent="0.2">
      <c r="A291">
        <v>2022</v>
      </c>
      <c r="B291" s="3" t="str">
        <f t="shared" si="16"/>
        <v>5302</v>
      </c>
      <c r="C291" s="10" t="s">
        <v>298</v>
      </c>
      <c r="D291" s="11">
        <v>2697961</v>
      </c>
      <c r="E291" s="11">
        <v>2697961</v>
      </c>
      <c r="F291" s="10">
        <f t="shared" si="17"/>
        <v>5.4404323751961591E-3</v>
      </c>
      <c r="G291">
        <f t="shared" si="18"/>
        <v>366398.08855480864</v>
      </c>
      <c r="H291" s="2">
        <f t="shared" si="19"/>
        <v>3064359.0885548089</v>
      </c>
    </row>
    <row r="292" spans="1:8" x14ac:dyDescent="0.2">
      <c r="A292">
        <v>2022</v>
      </c>
      <c r="B292" s="3" t="str">
        <f t="shared" si="16"/>
        <v>5216</v>
      </c>
      <c r="C292" s="10" t="s">
        <v>299</v>
      </c>
      <c r="D292" s="11">
        <v>977582</v>
      </c>
      <c r="E292" s="11">
        <v>977582</v>
      </c>
      <c r="F292" s="10">
        <f t="shared" si="17"/>
        <v>1.9712919357281339E-3</v>
      </c>
      <c r="G292">
        <f t="shared" si="18"/>
        <v>132761.0651916714</v>
      </c>
      <c r="H292" s="2">
        <f t="shared" si="19"/>
        <v>1110343.0651916715</v>
      </c>
    </row>
    <row r="293" spans="1:8" x14ac:dyDescent="0.2">
      <c r="A293">
        <v>2022</v>
      </c>
      <c r="B293" s="3" t="str">
        <f t="shared" si="16"/>
        <v>5304</v>
      </c>
      <c r="C293" s="10" t="s">
        <v>300</v>
      </c>
      <c r="D293" s="11">
        <v>1426631</v>
      </c>
      <c r="E293" s="11">
        <v>1426631</v>
      </c>
      <c r="F293" s="10">
        <f t="shared" si="17"/>
        <v>2.8767982486990998E-3</v>
      </c>
      <c r="G293">
        <f t="shared" si="18"/>
        <v>193744.41345632321</v>
      </c>
      <c r="H293" s="2">
        <f t="shared" si="19"/>
        <v>1620375.4134563231</v>
      </c>
    </row>
    <row r="294" spans="1:8" x14ac:dyDescent="0.2">
      <c r="A294">
        <v>2022</v>
      </c>
      <c r="B294" s="3" t="str">
        <f t="shared" si="16"/>
        <v>5305</v>
      </c>
      <c r="C294" s="10" t="s">
        <v>301</v>
      </c>
      <c r="D294" s="11">
        <v>307012</v>
      </c>
      <c r="E294" s="11">
        <v>307012</v>
      </c>
      <c r="F294" s="10">
        <f t="shared" si="17"/>
        <v>6.1908901736300976E-4</v>
      </c>
      <c r="G294">
        <f t="shared" si="18"/>
        <v>41693.934776443733</v>
      </c>
      <c r="H294" s="2">
        <f t="shared" si="19"/>
        <v>348705.93477644376</v>
      </c>
    </row>
    <row r="295" spans="1:8" x14ac:dyDescent="0.2">
      <c r="A295">
        <v>2022</v>
      </c>
      <c r="B295" s="3" t="str">
        <f t="shared" si="16"/>
        <v>5306</v>
      </c>
      <c r="C295" s="10" t="s">
        <v>302</v>
      </c>
      <c r="D295" s="11">
        <v>1073404</v>
      </c>
      <c r="E295" s="11">
        <v>1073404</v>
      </c>
      <c r="F295" s="10">
        <f t="shared" si="17"/>
        <v>2.1645167862934483E-3</v>
      </c>
      <c r="G295">
        <f t="shared" si="18"/>
        <v>145774.22499698322</v>
      </c>
      <c r="H295" s="2">
        <f t="shared" si="19"/>
        <v>1219178.2249969833</v>
      </c>
    </row>
    <row r="296" spans="1:8" x14ac:dyDescent="0.2">
      <c r="A296">
        <v>2022</v>
      </c>
      <c r="B296" s="3" t="str">
        <f t="shared" si="16"/>
        <v>5307</v>
      </c>
      <c r="C296" s="10" t="s">
        <v>303</v>
      </c>
      <c r="D296" s="11">
        <v>183553</v>
      </c>
      <c r="E296" s="11">
        <v>183553</v>
      </c>
      <c r="F296" s="10">
        <f t="shared" si="17"/>
        <v>3.7013421756814893E-4</v>
      </c>
      <c r="G296">
        <f t="shared" si="18"/>
        <v>24927.516872371689</v>
      </c>
      <c r="H296" s="2">
        <f t="shared" si="19"/>
        <v>208480.51687237169</v>
      </c>
    </row>
    <row r="297" spans="1:8" x14ac:dyDescent="0.2">
      <c r="A297">
        <v>2022</v>
      </c>
      <c r="B297" s="3" t="str">
        <f t="shared" si="16"/>
        <v>5308</v>
      </c>
      <c r="C297" s="10" t="s">
        <v>304</v>
      </c>
      <c r="D297" s="11">
        <v>10375009</v>
      </c>
      <c r="E297" s="11">
        <v>10375009</v>
      </c>
      <c r="F297" s="10">
        <f t="shared" si="17"/>
        <v>2.0921182647396137E-2</v>
      </c>
      <c r="G297">
        <f t="shared" si="18"/>
        <v>1408983.846074475</v>
      </c>
      <c r="H297" s="2">
        <f t="shared" si="19"/>
        <v>11783992.846074475</v>
      </c>
    </row>
    <row r="298" spans="1:8" x14ac:dyDescent="0.2">
      <c r="A298">
        <v>2022</v>
      </c>
      <c r="B298" s="3" t="str">
        <f t="shared" si="16"/>
        <v>5309</v>
      </c>
      <c r="C298" s="10" t="s">
        <v>305</v>
      </c>
      <c r="D298" s="11">
        <v>739628</v>
      </c>
      <c r="E298" s="11">
        <v>739628</v>
      </c>
      <c r="F298" s="10">
        <f t="shared" si="17"/>
        <v>1.4914582222654757E-3</v>
      </c>
      <c r="G298">
        <f t="shared" si="18"/>
        <v>100445.59037051167</v>
      </c>
      <c r="H298" s="2">
        <f t="shared" si="19"/>
        <v>840073.59037051164</v>
      </c>
    </row>
    <row r="299" spans="1:8" x14ac:dyDescent="0.2">
      <c r="A299">
        <v>2022</v>
      </c>
      <c r="B299" s="3" t="str">
        <f t="shared" si="16"/>
        <v>5310</v>
      </c>
      <c r="C299" s="10" t="s">
        <v>306</v>
      </c>
      <c r="D299" s="11">
        <v>109764</v>
      </c>
      <c r="E299" s="11">
        <v>109764</v>
      </c>
      <c r="F299" s="10">
        <f t="shared" si="17"/>
        <v>2.2133886265629163E-4</v>
      </c>
      <c r="G299">
        <f t="shared" si="18"/>
        <v>14906.560840623722</v>
      </c>
      <c r="H299" s="2">
        <f t="shared" si="19"/>
        <v>124670.56084062372</v>
      </c>
    </row>
    <row r="300" spans="1:8" x14ac:dyDescent="0.2">
      <c r="A300">
        <v>2022</v>
      </c>
      <c r="B300" s="3" t="str">
        <f t="shared" si="16"/>
        <v>5312</v>
      </c>
      <c r="C300" s="10" t="s">
        <v>307</v>
      </c>
      <c r="D300" s="11">
        <v>3904972</v>
      </c>
      <c r="E300" s="11">
        <v>3904972</v>
      </c>
      <c r="F300" s="10">
        <f t="shared" si="17"/>
        <v>7.8743673807866368E-3</v>
      </c>
      <c r="G300">
        <f t="shared" si="18"/>
        <v>530316.88621890685</v>
      </c>
      <c r="H300" s="2">
        <f t="shared" si="19"/>
        <v>4435288.8862189073</v>
      </c>
    </row>
    <row r="301" spans="1:8" x14ac:dyDescent="0.2">
      <c r="A301">
        <v>2022</v>
      </c>
      <c r="B301" s="3" t="str">
        <f t="shared" si="16"/>
        <v>5313</v>
      </c>
      <c r="C301" s="10" t="s">
        <v>308</v>
      </c>
      <c r="D301" s="11">
        <v>338429</v>
      </c>
      <c r="E301" s="11">
        <v>338429</v>
      </c>
      <c r="F301" s="10">
        <f t="shared" si="17"/>
        <v>6.8244132821240224E-4</v>
      </c>
      <c r="G301">
        <f t="shared" si="18"/>
        <v>45960.537869715437</v>
      </c>
      <c r="H301" s="2">
        <f t="shared" si="19"/>
        <v>384389.53786971542</v>
      </c>
    </row>
    <row r="302" spans="1:8" x14ac:dyDescent="0.2">
      <c r="A302">
        <v>2022</v>
      </c>
      <c r="B302" s="3" t="str">
        <f t="shared" si="16"/>
        <v>5314</v>
      </c>
      <c r="C302" s="10" t="s">
        <v>309</v>
      </c>
      <c r="D302" s="11">
        <v>16196515</v>
      </c>
      <c r="E302" s="11">
        <v>16196515</v>
      </c>
      <c r="F302" s="10">
        <f t="shared" si="17"/>
        <v>3.2660236590280667E-2</v>
      </c>
      <c r="G302">
        <f t="shared" si="18"/>
        <v>2199576.694121704</v>
      </c>
      <c r="H302" s="2">
        <f t="shared" si="19"/>
        <v>18396091.694121704</v>
      </c>
    </row>
    <row r="303" spans="1:8" x14ac:dyDescent="0.2">
      <c r="A303">
        <v>2022</v>
      </c>
      <c r="B303" s="3" t="str">
        <f t="shared" si="16"/>
        <v>5316</v>
      </c>
      <c r="C303" s="10" t="s">
        <v>310</v>
      </c>
      <c r="D303" s="11">
        <v>446716</v>
      </c>
      <c r="E303" s="11">
        <v>446716</v>
      </c>
      <c r="F303" s="10">
        <f t="shared" si="17"/>
        <v>9.008018236431615E-4</v>
      </c>
      <c r="G303">
        <f t="shared" si="18"/>
        <v>60666.513906928201</v>
      </c>
      <c r="H303" s="2">
        <f t="shared" si="19"/>
        <v>507382.51390692819</v>
      </c>
    </row>
    <row r="304" spans="1:8" x14ac:dyDescent="0.2">
      <c r="A304">
        <v>2022</v>
      </c>
      <c r="B304" s="3" t="str">
        <f t="shared" si="16"/>
        <v>5317</v>
      </c>
      <c r="C304" s="10" t="s">
        <v>311</v>
      </c>
      <c r="D304" s="11">
        <v>491743</v>
      </c>
      <c r="E304" s="11">
        <v>491743</v>
      </c>
      <c r="F304" s="10">
        <f t="shared" si="17"/>
        <v>9.915986693195657E-4</v>
      </c>
      <c r="G304">
        <f t="shared" si="18"/>
        <v>66781.430591549419</v>
      </c>
      <c r="H304" s="2">
        <f t="shared" si="19"/>
        <v>558524.43059154938</v>
      </c>
    </row>
    <row r="305" spans="1:8" x14ac:dyDescent="0.2">
      <c r="A305">
        <v>2022</v>
      </c>
      <c r="B305" s="3" t="str">
        <f t="shared" si="16"/>
        <v>5318</v>
      </c>
      <c r="C305" s="10" t="s">
        <v>312</v>
      </c>
      <c r="D305" s="11">
        <v>546860</v>
      </c>
      <c r="E305" s="11">
        <v>546860</v>
      </c>
      <c r="F305" s="10">
        <f t="shared" si="17"/>
        <v>1.1027419776267232E-3</v>
      </c>
      <c r="G305">
        <f t="shared" si="18"/>
        <v>74266.625317075624</v>
      </c>
      <c r="H305" s="2">
        <f t="shared" si="19"/>
        <v>621126.62531707564</v>
      </c>
    </row>
    <row r="306" spans="1:8" x14ac:dyDescent="0.2">
      <c r="A306">
        <v>2022</v>
      </c>
      <c r="B306" s="3" t="str">
        <f t="shared" si="16"/>
        <v>5319</v>
      </c>
      <c r="C306" s="10" t="s">
        <v>313</v>
      </c>
      <c r="D306" s="11">
        <v>808786</v>
      </c>
      <c r="E306" s="11">
        <v>808786</v>
      </c>
      <c r="F306" s="10">
        <f t="shared" si="17"/>
        <v>1.6309151759441301E-3</v>
      </c>
      <c r="G306">
        <f t="shared" si="18"/>
        <v>109837.63088120603</v>
      </c>
      <c r="H306" s="2">
        <f t="shared" si="19"/>
        <v>918623.63088120602</v>
      </c>
    </row>
    <row r="307" spans="1:8" x14ac:dyDescent="0.2">
      <c r="A307">
        <v>2022</v>
      </c>
      <c r="B307" s="3" t="str">
        <f t="shared" si="16"/>
        <v>5320</v>
      </c>
      <c r="C307" s="10" t="s">
        <v>314</v>
      </c>
      <c r="D307" s="11">
        <v>203147</v>
      </c>
      <c r="E307" s="11">
        <v>203147</v>
      </c>
      <c r="F307" s="10">
        <f t="shared" si="17"/>
        <v>4.0964547512880065E-4</v>
      </c>
      <c r="G307">
        <f t="shared" si="18"/>
        <v>27588.490899476943</v>
      </c>
      <c r="H307" s="2">
        <f t="shared" si="19"/>
        <v>230735.49089947695</v>
      </c>
    </row>
    <row r="308" spans="1:8" x14ac:dyDescent="0.2">
      <c r="A308">
        <v>2022</v>
      </c>
      <c r="B308" s="3" t="str">
        <f t="shared" si="16"/>
        <v>5321</v>
      </c>
      <c r="C308" s="10" t="s">
        <v>315</v>
      </c>
      <c r="D308" s="11">
        <v>416357</v>
      </c>
      <c r="E308" s="11">
        <v>416357</v>
      </c>
      <c r="F308" s="10">
        <f t="shared" si="17"/>
        <v>8.3958296744821265E-4</v>
      </c>
      <c r="G308">
        <f t="shared" si="18"/>
        <v>56543.593089898059</v>
      </c>
      <c r="H308" s="2">
        <f t="shared" si="19"/>
        <v>472900.59308989806</v>
      </c>
    </row>
    <row r="309" spans="1:8" x14ac:dyDescent="0.2">
      <c r="A309">
        <v>2022</v>
      </c>
      <c r="B309" s="3" t="str">
        <f t="shared" si="16"/>
        <v>5322</v>
      </c>
      <c r="C309" s="10" t="s">
        <v>316</v>
      </c>
      <c r="D309" s="11">
        <v>464100</v>
      </c>
      <c r="E309" s="11">
        <v>464100</v>
      </c>
      <c r="F309" s="10">
        <f t="shared" si="17"/>
        <v>9.3585662110332122E-4</v>
      </c>
      <c r="G309">
        <f t="shared" si="18"/>
        <v>63027.357659464578</v>
      </c>
      <c r="H309" s="2">
        <f t="shared" si="19"/>
        <v>527127.35765946459</v>
      </c>
    </row>
    <row r="310" spans="1:8" x14ac:dyDescent="0.2">
      <c r="A310">
        <v>2022</v>
      </c>
      <c r="B310" s="3" t="str">
        <f t="shared" si="16"/>
        <v>5324</v>
      </c>
      <c r="C310" s="10" t="s">
        <v>317</v>
      </c>
      <c r="D310" s="11">
        <v>27335630</v>
      </c>
      <c r="E310" s="11">
        <v>27335630</v>
      </c>
      <c r="F310" s="10">
        <f t="shared" si="17"/>
        <v>5.5122237292675243E-2</v>
      </c>
      <c r="G310">
        <f t="shared" si="18"/>
        <v>3712330.3789200378</v>
      </c>
      <c r="H310" s="2">
        <f t="shared" si="19"/>
        <v>31047960.378920037</v>
      </c>
    </row>
    <row r="311" spans="1:8" x14ac:dyDescent="0.2">
      <c r="A311">
        <v>2022</v>
      </c>
      <c r="B311" s="3" t="str">
        <f t="shared" si="16"/>
        <v>5329</v>
      </c>
      <c r="C311" s="10" t="s">
        <v>318</v>
      </c>
      <c r="D311" s="11">
        <v>254956</v>
      </c>
      <c r="E311" s="11">
        <v>254956</v>
      </c>
      <c r="F311" s="10">
        <f t="shared" si="17"/>
        <v>5.1411820876970122E-4</v>
      </c>
      <c r="G311">
        <f t="shared" si="18"/>
        <v>34624.440852028543</v>
      </c>
      <c r="H311" s="2">
        <f t="shared" si="19"/>
        <v>289580.44085202855</v>
      </c>
    </row>
    <row r="312" spans="1:8" x14ac:dyDescent="0.2">
      <c r="A312">
        <v>2022</v>
      </c>
      <c r="B312" s="3" t="str">
        <f t="shared" si="16"/>
        <v>5330</v>
      </c>
      <c r="C312" s="10" t="s">
        <v>319</v>
      </c>
      <c r="D312" s="11">
        <v>908318</v>
      </c>
      <c r="E312" s="11">
        <v>908318</v>
      </c>
      <c r="F312" s="10">
        <f t="shared" si="17"/>
        <v>1.8316212332844786E-3</v>
      </c>
      <c r="G312">
        <f t="shared" si="18"/>
        <v>123354.62929224207</v>
      </c>
      <c r="H312" s="2">
        <f t="shared" si="19"/>
        <v>1031672.6292922421</v>
      </c>
    </row>
    <row r="313" spans="1:8" x14ac:dyDescent="0.2">
      <c r="A313">
        <v>2022</v>
      </c>
      <c r="B313" s="3" t="str">
        <f t="shared" si="16"/>
        <v>5331</v>
      </c>
      <c r="C313" s="10" t="s">
        <v>320</v>
      </c>
      <c r="D313" s="11">
        <v>1211843</v>
      </c>
      <c r="E313" s="11">
        <v>1211843</v>
      </c>
      <c r="F313" s="10">
        <f t="shared" si="17"/>
        <v>2.4436787228780694E-3</v>
      </c>
      <c r="G313">
        <f t="shared" si="18"/>
        <v>164575.01010152666</v>
      </c>
      <c r="H313" s="2">
        <f t="shared" si="19"/>
        <v>1376418.0101015267</v>
      </c>
    </row>
    <row r="314" spans="1:8" x14ac:dyDescent="0.2">
      <c r="A314">
        <v>2022</v>
      </c>
      <c r="B314" s="3" t="str">
        <f t="shared" si="16"/>
        <v>5332</v>
      </c>
      <c r="C314" s="10" t="s">
        <v>321</v>
      </c>
      <c r="D314" s="11">
        <v>1271320</v>
      </c>
      <c r="E314" s="11">
        <v>1271320</v>
      </c>
      <c r="F314" s="10">
        <f t="shared" si="17"/>
        <v>2.5636139615192294E-3</v>
      </c>
      <c r="G314">
        <f t="shared" si="18"/>
        <v>172652.31704294443</v>
      </c>
      <c r="H314" s="2">
        <f t="shared" si="19"/>
        <v>1443972.3170429445</v>
      </c>
    </row>
    <row r="315" spans="1:8" x14ac:dyDescent="0.2">
      <c r="A315">
        <v>2022</v>
      </c>
      <c r="B315" s="3" t="str">
        <f t="shared" si="16"/>
        <v>5333</v>
      </c>
      <c r="C315" s="10" t="s">
        <v>322</v>
      </c>
      <c r="D315" s="11">
        <v>420378</v>
      </c>
      <c r="E315" s="11">
        <v>420378</v>
      </c>
      <c r="F315" s="10">
        <f t="shared" si="17"/>
        <v>8.4769130503376845E-4</v>
      </c>
      <c r="G315">
        <f t="shared" si="18"/>
        <v>57089.667222948498</v>
      </c>
      <c r="H315" s="2">
        <f t="shared" si="19"/>
        <v>477467.66722294851</v>
      </c>
    </row>
    <row r="316" spans="1:8" x14ac:dyDescent="0.2">
      <c r="A316">
        <v>2022</v>
      </c>
      <c r="B316" s="3" t="str">
        <f t="shared" si="16"/>
        <v>5337</v>
      </c>
      <c r="C316" s="10" t="s">
        <v>323</v>
      </c>
      <c r="D316" s="11">
        <v>1649581</v>
      </c>
      <c r="E316" s="11">
        <v>1649581</v>
      </c>
      <c r="F316" s="10">
        <f t="shared" si="17"/>
        <v>3.3263764294252053E-3</v>
      </c>
      <c r="G316">
        <f t="shared" si="18"/>
        <v>224022.26174371308</v>
      </c>
      <c r="H316" s="2">
        <f t="shared" si="19"/>
        <v>1873603.2617437132</v>
      </c>
    </row>
    <row r="317" spans="1:8" x14ac:dyDescent="0.2">
      <c r="A317">
        <v>2022</v>
      </c>
      <c r="B317" s="3" t="str">
        <f t="shared" si="16"/>
        <v>5366</v>
      </c>
      <c r="C317" s="10" t="s">
        <v>324</v>
      </c>
      <c r="D317" s="11">
        <v>833797</v>
      </c>
      <c r="E317" s="11">
        <v>833797</v>
      </c>
      <c r="F317" s="10">
        <f t="shared" si="17"/>
        <v>1.6813498019954448E-3</v>
      </c>
      <c r="G317">
        <f t="shared" si="18"/>
        <v>113234.26359489029</v>
      </c>
      <c r="H317" s="2">
        <f t="shared" si="19"/>
        <v>947031.26359489025</v>
      </c>
    </row>
    <row r="318" spans="1:8" x14ac:dyDescent="0.2">
      <c r="A318">
        <v>2022</v>
      </c>
      <c r="B318" s="3" t="str">
        <f t="shared" si="16"/>
        <v>5367</v>
      </c>
      <c r="C318" s="10" t="s">
        <v>325</v>
      </c>
      <c r="D318" s="11">
        <v>345051</v>
      </c>
      <c r="E318" s="11">
        <v>345051</v>
      </c>
      <c r="F318" s="10">
        <f t="shared" si="17"/>
        <v>6.9579457653161402E-4</v>
      </c>
      <c r="G318">
        <f t="shared" si="18"/>
        <v>46859.842248989247</v>
      </c>
      <c r="H318" s="2">
        <f t="shared" si="19"/>
        <v>391910.84224898927</v>
      </c>
    </row>
    <row r="319" spans="1:8" x14ac:dyDescent="0.2">
      <c r="A319">
        <v>2022</v>
      </c>
      <c r="B319" s="3" t="str">
        <f t="shared" si="16"/>
        <v>5368</v>
      </c>
      <c r="C319" s="10" t="s">
        <v>326</v>
      </c>
      <c r="D319" s="11">
        <v>449378</v>
      </c>
      <c r="E319" s="11">
        <v>449378</v>
      </c>
      <c r="F319" s="10">
        <f t="shared" si="17"/>
        <v>9.0616974074158219E-4</v>
      </c>
      <c r="G319">
        <f t="shared" si="18"/>
        <v>61028.028291951894</v>
      </c>
      <c r="H319" s="2">
        <f t="shared" si="19"/>
        <v>510406.02829195186</v>
      </c>
    </row>
    <row r="320" spans="1:8" x14ac:dyDescent="0.2">
      <c r="A320">
        <v>2022</v>
      </c>
      <c r="B320" s="3" t="str">
        <f t="shared" si="16"/>
        <v>5405</v>
      </c>
      <c r="C320" s="10" t="s">
        <v>327</v>
      </c>
      <c r="D320" s="11">
        <v>215677</v>
      </c>
      <c r="E320" s="11">
        <v>215677</v>
      </c>
      <c r="F320" s="10">
        <f t="shared" si="17"/>
        <v>4.3491219235014224E-4</v>
      </c>
      <c r="G320">
        <f t="shared" si="18"/>
        <v>29290.134492394616</v>
      </c>
      <c r="H320" s="2">
        <f t="shared" si="19"/>
        <v>244967.13449239463</v>
      </c>
    </row>
    <row r="321" spans="1:8" x14ac:dyDescent="0.2">
      <c r="A321">
        <v>2022</v>
      </c>
      <c r="B321" s="3" t="str">
        <f t="shared" si="16"/>
        <v>5409</v>
      </c>
      <c r="C321" s="10" t="s">
        <v>328</v>
      </c>
      <c r="D321" s="11">
        <v>235972</v>
      </c>
      <c r="E321" s="11">
        <v>235972</v>
      </c>
      <c r="F321" s="10">
        <f t="shared" si="17"/>
        <v>4.7583701485669666E-4</v>
      </c>
      <c r="G321">
        <f t="shared" si="18"/>
        <v>32046.308212926469</v>
      </c>
      <c r="H321" s="2">
        <f t="shared" si="19"/>
        <v>268018.30821292649</v>
      </c>
    </row>
    <row r="322" spans="1:8" x14ac:dyDescent="0.2">
      <c r="A322">
        <v>2022</v>
      </c>
      <c r="B322" s="3" t="str">
        <f t="shared" si="16"/>
        <v>5410</v>
      </c>
      <c r="C322" s="10" t="s">
        <v>329</v>
      </c>
      <c r="D322" s="11">
        <v>230472</v>
      </c>
      <c r="E322" s="11">
        <v>230472</v>
      </c>
      <c r="F322" s="10">
        <f t="shared" si="17"/>
        <v>4.6474627705004234E-4</v>
      </c>
      <c r="G322">
        <f t="shared" si="18"/>
        <v>31299.377665356864</v>
      </c>
      <c r="H322" s="2">
        <f t="shared" si="19"/>
        <v>261771.37766535685</v>
      </c>
    </row>
    <row r="323" spans="1:8" x14ac:dyDescent="0.2">
      <c r="A323">
        <v>2022</v>
      </c>
      <c r="B323" s="3" t="str">
        <f t="shared" ref="B323:B338" si="20">LEFT(C323,4)</f>
        <v>5430</v>
      </c>
      <c r="C323" s="10" t="s">
        <v>330</v>
      </c>
      <c r="D323" s="11">
        <v>25367680</v>
      </c>
      <c r="E323" s="11">
        <v>25367680</v>
      </c>
      <c r="F323" s="10">
        <f t="shared" ref="F323:F338" si="21">D323/$D$340</f>
        <v>5.1153870480565175E-2</v>
      </c>
      <c r="G323">
        <f t="shared" ref="G323:G338" si="22">F323*$D$341</f>
        <v>3445071.8387219268</v>
      </c>
      <c r="H323" s="2">
        <f t="shared" ref="H323:H338" si="23">SUM(G323,D323)</f>
        <v>28812751.838721927</v>
      </c>
    </row>
    <row r="324" spans="1:8" x14ac:dyDescent="0.2">
      <c r="A324">
        <v>2022</v>
      </c>
      <c r="B324" s="3" t="str">
        <f t="shared" si="20"/>
        <v>5436</v>
      </c>
      <c r="C324" s="10" t="s">
        <v>331</v>
      </c>
      <c r="D324" s="11">
        <v>662775</v>
      </c>
      <c r="E324" s="11">
        <v>662775</v>
      </c>
      <c r="F324" s="10">
        <f t="shared" si="21"/>
        <v>1.3364843181464204E-3</v>
      </c>
      <c r="G324">
        <f t="shared" si="22"/>
        <v>90008.526120990384</v>
      </c>
      <c r="H324" s="2">
        <f t="shared" si="23"/>
        <v>752783.5261209904</v>
      </c>
    </row>
    <row r="325" spans="1:8" x14ac:dyDescent="0.2">
      <c r="A325">
        <v>2022</v>
      </c>
      <c r="B325" s="3" t="str">
        <f t="shared" si="20"/>
        <v>5590</v>
      </c>
      <c r="C325" s="10" t="s">
        <v>332</v>
      </c>
      <c r="D325" s="11">
        <v>159119</v>
      </c>
      <c r="E325" s="11">
        <v>159119</v>
      </c>
      <c r="F325" s="10">
        <f t="shared" si="21"/>
        <v>3.208631107376414E-4</v>
      </c>
      <c r="G325">
        <f t="shared" si="22"/>
        <v>21609.243963405181</v>
      </c>
      <c r="H325" s="2">
        <f t="shared" si="23"/>
        <v>180728.24396340517</v>
      </c>
    </row>
    <row r="326" spans="1:8" x14ac:dyDescent="0.2">
      <c r="A326">
        <v>2022</v>
      </c>
      <c r="B326" s="3" t="str">
        <f t="shared" si="20"/>
        <v>5696</v>
      </c>
      <c r="C326" s="10" t="s">
        <v>333</v>
      </c>
      <c r="D326" s="11">
        <v>257382</v>
      </c>
      <c r="E326" s="11">
        <v>257382</v>
      </c>
      <c r="F326" s="10">
        <f t="shared" si="21"/>
        <v>5.190102323913273E-4</v>
      </c>
      <c r="G326">
        <f t="shared" si="22"/>
        <v>34953.905126283797</v>
      </c>
      <c r="H326" s="2">
        <f t="shared" si="23"/>
        <v>292335.90512628382</v>
      </c>
    </row>
    <row r="327" spans="1:8" x14ac:dyDescent="0.2">
      <c r="A327">
        <v>2022</v>
      </c>
      <c r="B327" s="3" t="str">
        <f t="shared" si="20"/>
        <v>9291</v>
      </c>
      <c r="C327" s="10" t="s">
        <v>334</v>
      </c>
      <c r="D327" s="11">
        <v>362213</v>
      </c>
      <c r="E327" s="11">
        <v>362213</v>
      </c>
      <c r="F327" s="10">
        <f t="shared" si="21"/>
        <v>7.3040171148394152E-4</v>
      </c>
      <c r="G327">
        <f t="shared" si="22"/>
        <v>49190.537168514631</v>
      </c>
      <c r="H327" s="2">
        <f t="shared" si="23"/>
        <v>411403.53716851462</v>
      </c>
    </row>
    <row r="328" spans="1:8" x14ac:dyDescent="0.2">
      <c r="A328">
        <v>2022</v>
      </c>
      <c r="B328" s="3" t="str">
        <f t="shared" si="20"/>
        <v>9302</v>
      </c>
      <c r="C328" s="10" t="s">
        <v>335</v>
      </c>
      <c r="D328" s="11">
        <v>185194</v>
      </c>
      <c r="E328" s="11">
        <v>185194</v>
      </c>
      <c r="F328" s="10">
        <f t="shared" si="21"/>
        <v>3.7344329043009799E-4</v>
      </c>
      <c r="G328">
        <f t="shared" si="22"/>
        <v>25150.37378665564</v>
      </c>
      <c r="H328" s="2">
        <f t="shared" si="23"/>
        <v>210344.37378665563</v>
      </c>
    </row>
    <row r="329" spans="1:8" x14ac:dyDescent="0.2">
      <c r="A329">
        <v>2022</v>
      </c>
      <c r="B329" s="3" t="str">
        <f t="shared" si="20"/>
        <v>9332</v>
      </c>
      <c r="C329" s="10" t="s">
        <v>336</v>
      </c>
      <c r="D329" s="11">
        <v>332544</v>
      </c>
      <c r="E329" s="11">
        <v>332544</v>
      </c>
      <c r="F329" s="10">
        <f t="shared" si="21"/>
        <v>6.7057423875928215E-4</v>
      </c>
      <c r="G329">
        <f t="shared" si="22"/>
        <v>45161.322183815959</v>
      </c>
      <c r="H329" s="2">
        <f t="shared" si="23"/>
        <v>377705.32218381594</v>
      </c>
    </row>
    <row r="330" spans="1:8" x14ac:dyDescent="0.2">
      <c r="A330">
        <v>2022</v>
      </c>
      <c r="B330" s="3" t="str">
        <f t="shared" si="20"/>
        <v>9333</v>
      </c>
      <c r="C330" s="10" t="s">
        <v>337</v>
      </c>
      <c r="D330" s="11">
        <v>380833</v>
      </c>
      <c r="E330" s="11">
        <v>380833</v>
      </c>
      <c r="F330" s="10">
        <f t="shared" si="21"/>
        <v>7.6794890020392395E-4</v>
      </c>
      <c r="G330">
        <f t="shared" si="22"/>
        <v>51719.236585923012</v>
      </c>
      <c r="H330" s="2">
        <f t="shared" si="23"/>
        <v>432552.236585923</v>
      </c>
    </row>
    <row r="331" spans="1:8" x14ac:dyDescent="0.2">
      <c r="A331">
        <v>2022</v>
      </c>
      <c r="B331" s="3" t="str">
        <f t="shared" si="20"/>
        <v>9335</v>
      </c>
      <c r="C331" s="10" t="s">
        <v>338</v>
      </c>
      <c r="D331" s="11">
        <v>467705</v>
      </c>
      <c r="E331" s="11">
        <v>467705</v>
      </c>
      <c r="F331" s="10">
        <f t="shared" si="21"/>
        <v>9.4312609561113736E-4</v>
      </c>
      <c r="G331">
        <f t="shared" si="22"/>
        <v>63516.93668200793</v>
      </c>
      <c r="H331" s="2">
        <f t="shared" si="23"/>
        <v>531221.93668200797</v>
      </c>
    </row>
    <row r="332" spans="1:8" x14ac:dyDescent="0.2">
      <c r="A332">
        <v>2022</v>
      </c>
      <c r="B332" s="3" t="str">
        <f t="shared" si="20"/>
        <v>9389</v>
      </c>
      <c r="C332" s="10" t="s">
        <v>339</v>
      </c>
      <c r="D332" s="11">
        <v>248599</v>
      </c>
      <c r="E332" s="11">
        <v>248599</v>
      </c>
      <c r="F332" s="10">
        <f t="shared" si="21"/>
        <v>5.0129933236299192E-4</v>
      </c>
      <c r="G332">
        <f t="shared" si="22"/>
        <v>33761.124944592186</v>
      </c>
      <c r="H332" s="2">
        <f t="shared" si="23"/>
        <v>282360.12494459219</v>
      </c>
    </row>
    <row r="333" spans="1:8" x14ac:dyDescent="0.2">
      <c r="A333">
        <v>2022</v>
      </c>
      <c r="B333" s="3" t="str">
        <f t="shared" si="20"/>
        <v>9410</v>
      </c>
      <c r="C333" s="10" t="s">
        <v>340</v>
      </c>
      <c r="D333" s="11">
        <v>348447</v>
      </c>
      <c r="E333" s="11">
        <v>348447</v>
      </c>
      <c r="F333" s="10">
        <f t="shared" si="21"/>
        <v>7.0264260300277733E-4</v>
      </c>
      <c r="G333">
        <f t="shared" si="22"/>
        <v>47321.037910724954</v>
      </c>
      <c r="H333" s="2">
        <f t="shared" si="23"/>
        <v>395768.03791072493</v>
      </c>
    </row>
    <row r="334" spans="1:8" x14ac:dyDescent="0.2">
      <c r="A334">
        <v>2022</v>
      </c>
      <c r="B334" s="3" t="str">
        <f t="shared" si="20"/>
        <v>9444</v>
      </c>
      <c r="C334" s="10" t="s">
        <v>341</v>
      </c>
      <c r="D334" s="11">
        <v>554735</v>
      </c>
      <c r="E334" s="11">
        <v>554735</v>
      </c>
      <c r="F334" s="10">
        <f t="shared" si="21"/>
        <v>1.1186218976680692E-3</v>
      </c>
      <c r="G334">
        <f t="shared" si="22"/>
        <v>75336.09405564121</v>
      </c>
      <c r="H334" s="2">
        <f t="shared" si="23"/>
        <v>630071.09405564121</v>
      </c>
    </row>
    <row r="335" spans="1:8" x14ac:dyDescent="0.2">
      <c r="A335">
        <v>2022</v>
      </c>
      <c r="B335" s="3" t="str">
        <f t="shared" si="20"/>
        <v>9445</v>
      </c>
      <c r="C335" s="10" t="s">
        <v>342</v>
      </c>
      <c r="D335" s="11">
        <v>533875</v>
      </c>
      <c r="E335" s="11">
        <v>533875</v>
      </c>
      <c r="F335" s="10">
        <f t="shared" si="21"/>
        <v>1.0765577539141038E-3</v>
      </c>
      <c r="G335">
        <f t="shared" si="22"/>
        <v>72503.190197040822</v>
      </c>
      <c r="H335" s="2">
        <f t="shared" si="23"/>
        <v>606378.19019704079</v>
      </c>
    </row>
    <row r="336" spans="1:8" x14ac:dyDescent="0.2">
      <c r="A336">
        <v>2022</v>
      </c>
      <c r="B336" s="3" t="str">
        <f t="shared" si="20"/>
        <v>9446</v>
      </c>
      <c r="C336" s="10" t="s">
        <v>343</v>
      </c>
      <c r="D336" s="11">
        <v>964336</v>
      </c>
      <c r="E336" s="11">
        <v>964336</v>
      </c>
      <c r="F336" s="10">
        <f t="shared" si="21"/>
        <v>1.9445814060941443E-3</v>
      </c>
      <c r="G336">
        <f t="shared" si="22"/>
        <v>130962.18482201558</v>
      </c>
      <c r="H336" s="2">
        <f t="shared" si="23"/>
        <v>1095298.1848220155</v>
      </c>
    </row>
    <row r="337" spans="1:8" x14ac:dyDescent="0.2">
      <c r="A337">
        <v>2022</v>
      </c>
      <c r="B337" s="3" t="str">
        <f t="shared" si="20"/>
        <v>9461</v>
      </c>
      <c r="C337" s="10" t="s">
        <v>344</v>
      </c>
      <c r="D337" s="11">
        <v>750398</v>
      </c>
      <c r="E337" s="11">
        <v>750398</v>
      </c>
      <c r="F337" s="10">
        <f t="shared" si="21"/>
        <v>1.5131759033886879E-3</v>
      </c>
      <c r="G337">
        <f t="shared" si="22"/>
        <v>101908.21618820706</v>
      </c>
      <c r="H337" s="2">
        <f t="shared" si="23"/>
        <v>852306.21618820704</v>
      </c>
    </row>
    <row r="338" spans="1:8" x14ac:dyDescent="0.2">
      <c r="A338">
        <v>2022</v>
      </c>
      <c r="B338" s="3" t="str">
        <f t="shared" si="20"/>
        <v>5303</v>
      </c>
      <c r="C338" s="3" t="s">
        <v>345</v>
      </c>
      <c r="D338" s="11">
        <v>1633129</v>
      </c>
      <c r="E338" s="11">
        <v>1633129</v>
      </c>
      <c r="F338" s="10">
        <f t="shared" si="21"/>
        <v>3.2932010078988274E-3</v>
      </c>
      <c r="G338">
        <f t="shared" si="22"/>
        <v>221787.9887676012</v>
      </c>
      <c r="H338" s="2">
        <f t="shared" si="23"/>
        <v>1854916.9887676011</v>
      </c>
    </row>
    <row r="340" spans="1:8" x14ac:dyDescent="0.2">
      <c r="C340" s="2" t="s">
        <v>346</v>
      </c>
      <c r="D340" s="2">
        <f>SUM(D2:D338)</f>
        <v>495909298</v>
      </c>
    </row>
    <row r="341" spans="1:8" x14ac:dyDescent="0.2">
      <c r="C341" s="2" t="s">
        <v>347</v>
      </c>
      <c r="D341" s="2">
        <v>67347237</v>
      </c>
    </row>
    <row r="342" spans="1:8" x14ac:dyDescent="0.2">
      <c r="C342"/>
      <c r="D342" s="2"/>
    </row>
    <row r="343" spans="1:8" x14ac:dyDescent="0.2">
      <c r="C343" t="s">
        <v>348</v>
      </c>
      <c r="D343" s="2">
        <v>495909298</v>
      </c>
    </row>
    <row r="344" spans="1:8" x14ac:dyDescent="0.2">
      <c r="C344" t="s">
        <v>347</v>
      </c>
      <c r="D344" s="2">
        <v>67347237</v>
      </c>
    </row>
    <row r="345" spans="1:8" x14ac:dyDescent="0.2">
      <c r="C345"/>
    </row>
    <row r="346" spans="1:8" x14ac:dyDescent="0.2">
      <c r="C346" s="6" t="s">
        <v>349</v>
      </c>
      <c r="D346" s="9">
        <f>D340-D343</f>
        <v>0</v>
      </c>
    </row>
    <row r="347" spans="1:8" x14ac:dyDescent="0.2">
      <c r="D347" s="9">
        <f>D341-D344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52DD-DFFF-794F-B3C2-FAD4E65CC1A0}">
  <sheetPr>
    <tabColor rgb="FFFFFF00"/>
  </sheetPr>
  <dimension ref="A1:H342"/>
  <sheetViews>
    <sheetView workbookViewId="0">
      <selection activeCell="G2" sqref="G2:H333"/>
    </sheetView>
  </sheetViews>
  <sheetFormatPr baseColWidth="10" defaultRowHeight="16" x14ac:dyDescent="0.2"/>
  <cols>
    <col min="2" max="2" width="11.83203125" style="3" bestFit="1" customWidth="1"/>
    <col min="3" max="3" width="45.5" style="3" bestFit="1" customWidth="1"/>
    <col min="4" max="4" width="18.83203125" style="3" bestFit="1" customWidth="1"/>
    <col min="5" max="5" width="21.1640625" style="3" bestFit="1" customWidth="1"/>
    <col min="6" max="6" width="12.1640625" style="3" bestFit="1" customWidth="1"/>
    <col min="7" max="7" width="17.1640625" bestFit="1" customWidth="1"/>
    <col min="8" max="8" width="16.83203125" bestFit="1" customWidth="1"/>
  </cols>
  <sheetData>
    <row r="1" spans="1:8" x14ac:dyDescent="0.2">
      <c r="A1" t="s">
        <v>1</v>
      </c>
      <c r="B1" s="3" t="s">
        <v>5</v>
      </c>
      <c r="C1" s="3" t="s">
        <v>4</v>
      </c>
      <c r="D1" s="3" t="s">
        <v>350</v>
      </c>
      <c r="E1" s="3" t="s">
        <v>372</v>
      </c>
      <c r="G1" s="3" t="s">
        <v>368</v>
      </c>
      <c r="H1" s="3" t="s">
        <v>351</v>
      </c>
    </row>
    <row r="2" spans="1:8" x14ac:dyDescent="0.2">
      <c r="A2">
        <v>2021</v>
      </c>
      <c r="B2" s="3" t="str">
        <f>LEFT(C2,4)</f>
        <v>4931</v>
      </c>
      <c r="C2" s="10" t="s">
        <v>10</v>
      </c>
      <c r="D2" s="11">
        <v>3701</v>
      </c>
      <c r="E2" s="11">
        <v>3701</v>
      </c>
      <c r="F2" s="10">
        <f>D2/$D$335</f>
        <v>7.5831228125464434E-6</v>
      </c>
      <c r="G2">
        <f>F2*$D$336</f>
        <v>552.53383969169784</v>
      </c>
      <c r="H2" s="2">
        <f>SUM(G2,D2)</f>
        <v>4253.5338396916977</v>
      </c>
    </row>
    <row r="3" spans="1:8" x14ac:dyDescent="0.2">
      <c r="A3">
        <v>2021</v>
      </c>
      <c r="B3" s="3" t="str">
        <f t="shared" ref="B3:B66" si="0">LEFT(C3,4)</f>
        <v>5045</v>
      </c>
      <c r="C3" s="10" t="s">
        <v>11</v>
      </c>
      <c r="D3" s="11">
        <v>3217</v>
      </c>
      <c r="E3" s="11">
        <v>3217</v>
      </c>
      <c r="F3" s="10">
        <f t="shared" ref="F3:F66" si="1">D3/$D$335</f>
        <v>6.5914363923161059E-6</v>
      </c>
      <c r="G3">
        <f t="shared" ref="G3:G66" si="2">F3*$D$336</f>
        <v>480.27596927538281</v>
      </c>
      <c r="H3" s="2">
        <f t="shared" ref="H3:H66" si="3">SUM(G3,D3)</f>
        <v>3697.275969275383</v>
      </c>
    </row>
    <row r="4" spans="1:8" x14ac:dyDescent="0.2">
      <c r="A4">
        <v>2021</v>
      </c>
      <c r="B4" s="3" t="str">
        <f t="shared" si="0"/>
        <v>5047</v>
      </c>
      <c r="C4" s="10" t="s">
        <v>13</v>
      </c>
      <c r="D4" s="11">
        <v>5650</v>
      </c>
      <c r="E4" s="11">
        <v>5650</v>
      </c>
      <c r="F4" s="10">
        <f t="shared" si="1"/>
        <v>1.1576504698969848E-5</v>
      </c>
      <c r="G4">
        <f t="shared" si="2"/>
        <v>843.50613192599099</v>
      </c>
      <c r="H4" s="2">
        <f t="shared" si="3"/>
        <v>6493.5061319259912</v>
      </c>
    </row>
    <row r="5" spans="1:8" x14ac:dyDescent="0.2">
      <c r="A5">
        <v>2021</v>
      </c>
      <c r="B5" s="3" t="str">
        <f t="shared" si="0"/>
        <v>5048</v>
      </c>
      <c r="C5" s="10" t="s">
        <v>14</v>
      </c>
      <c r="D5" s="11">
        <v>66995</v>
      </c>
      <c r="E5" s="11">
        <v>66995</v>
      </c>
      <c r="F5" s="10">
        <f t="shared" si="1"/>
        <v>1.3726866058539556E-4</v>
      </c>
      <c r="G5">
        <f t="shared" si="2"/>
        <v>10001.892620952525</v>
      </c>
      <c r="H5" s="2">
        <f t="shared" si="3"/>
        <v>76996.892620952523</v>
      </c>
    </row>
    <row r="6" spans="1:8" x14ac:dyDescent="0.2">
      <c r="A6">
        <v>2021</v>
      </c>
      <c r="B6" s="3" t="str">
        <f t="shared" si="0"/>
        <v>5049</v>
      </c>
      <c r="C6" s="10" t="s">
        <v>15</v>
      </c>
      <c r="D6" s="11">
        <v>103870</v>
      </c>
      <c r="E6" s="11">
        <v>103870</v>
      </c>
      <c r="F6" s="10">
        <f t="shared" si="1"/>
        <v>2.1282328196141559E-4</v>
      </c>
      <c r="G6">
        <f t="shared" si="2"/>
        <v>15507.076446575697</v>
      </c>
      <c r="H6" s="2">
        <f t="shared" si="3"/>
        <v>119377.07644657569</v>
      </c>
    </row>
    <row r="7" spans="1:8" x14ac:dyDescent="0.2">
      <c r="A7">
        <v>2021</v>
      </c>
      <c r="B7" s="3" t="str">
        <f t="shared" si="0"/>
        <v>5050</v>
      </c>
      <c r="C7" s="10" t="s">
        <v>16</v>
      </c>
      <c r="D7" s="11">
        <v>19969</v>
      </c>
      <c r="E7" s="11">
        <v>19969</v>
      </c>
      <c r="F7" s="10">
        <f t="shared" si="1"/>
        <v>4.091526059004051E-5</v>
      </c>
      <c r="G7">
        <f t="shared" si="2"/>
        <v>2981.234327155772</v>
      </c>
      <c r="H7" s="2">
        <f t="shared" si="3"/>
        <v>22950.234327155773</v>
      </c>
    </row>
    <row r="8" spans="1:8" x14ac:dyDescent="0.2">
      <c r="A8">
        <v>2021</v>
      </c>
      <c r="B8" s="3" t="str">
        <f t="shared" si="0"/>
        <v>5107</v>
      </c>
      <c r="C8" s="10" t="s">
        <v>17</v>
      </c>
      <c r="D8" s="11">
        <v>22863</v>
      </c>
      <c r="E8" s="11">
        <v>22863</v>
      </c>
      <c r="F8" s="10">
        <f t="shared" si="1"/>
        <v>4.6844889722574804E-5</v>
      </c>
      <c r="G8">
        <f t="shared" si="2"/>
        <v>3413.2886184467138</v>
      </c>
      <c r="H8" s="2">
        <f t="shared" si="3"/>
        <v>26276.288618446713</v>
      </c>
    </row>
    <row r="9" spans="1:8" x14ac:dyDescent="0.2">
      <c r="A9">
        <v>2021</v>
      </c>
      <c r="B9" s="3" t="str">
        <f t="shared" si="0"/>
        <v>5108</v>
      </c>
      <c r="C9" s="10" t="s">
        <v>18</v>
      </c>
      <c r="D9" s="11">
        <v>23022</v>
      </c>
      <c r="E9" s="11">
        <v>23022</v>
      </c>
      <c r="F9" s="10">
        <f t="shared" si="1"/>
        <v>4.7170671005253779E-5</v>
      </c>
      <c r="G9">
        <f t="shared" si="2"/>
        <v>3437.0262246371972</v>
      </c>
      <c r="H9" s="2">
        <f t="shared" si="3"/>
        <v>26459.026224637197</v>
      </c>
    </row>
    <row r="10" spans="1:8" x14ac:dyDescent="0.2">
      <c r="A10">
        <v>2021</v>
      </c>
      <c r="B10" s="3" t="str">
        <f t="shared" si="0"/>
        <v>5109</v>
      </c>
      <c r="C10" s="10" t="s">
        <v>19</v>
      </c>
      <c r="D10" s="11">
        <v>47740</v>
      </c>
      <c r="E10" s="11">
        <v>47740</v>
      </c>
      <c r="F10" s="10">
        <f t="shared" si="1"/>
        <v>9.7816342359083276E-5</v>
      </c>
      <c r="G10">
        <f t="shared" si="2"/>
        <v>7127.2535819728864</v>
      </c>
      <c r="H10" s="2">
        <f t="shared" si="3"/>
        <v>54867.253581972887</v>
      </c>
    </row>
    <row r="11" spans="1:8" x14ac:dyDescent="0.2">
      <c r="A11">
        <v>2021</v>
      </c>
      <c r="B11" s="3" t="str">
        <f t="shared" si="0"/>
        <v>5110</v>
      </c>
      <c r="C11" s="10" t="s">
        <v>20</v>
      </c>
      <c r="D11" s="11">
        <v>24151</v>
      </c>
      <c r="E11" s="11">
        <v>24151</v>
      </c>
      <c r="F11" s="10">
        <f t="shared" si="1"/>
        <v>4.948392300616297E-5</v>
      </c>
      <c r="G11">
        <f t="shared" si="2"/>
        <v>3605.5781579017003</v>
      </c>
      <c r="H11" s="2">
        <f t="shared" si="3"/>
        <v>27756.578157901698</v>
      </c>
    </row>
    <row r="12" spans="1:8" x14ac:dyDescent="0.2">
      <c r="A12">
        <v>2021</v>
      </c>
      <c r="B12" s="3" t="str">
        <f t="shared" si="0"/>
        <v>5111</v>
      </c>
      <c r="C12" s="10" t="s">
        <v>21</v>
      </c>
      <c r="D12" s="11">
        <v>74199</v>
      </c>
      <c r="E12" s="11">
        <v>74199</v>
      </c>
      <c r="F12" s="10">
        <f t="shared" si="1"/>
        <v>1.5202921631130332E-4</v>
      </c>
      <c r="G12">
        <f t="shared" si="2"/>
        <v>11077.400262438337</v>
      </c>
      <c r="H12" s="2">
        <f t="shared" si="3"/>
        <v>85276.400262438343</v>
      </c>
    </row>
    <row r="13" spans="1:8" x14ac:dyDescent="0.2">
      <c r="A13">
        <v>2021</v>
      </c>
      <c r="B13" s="3" t="str">
        <f t="shared" si="0"/>
        <v>5112</v>
      </c>
      <c r="C13" s="10" t="s">
        <v>22</v>
      </c>
      <c r="D13" s="10">
        <v>217</v>
      </c>
      <c r="E13" s="10">
        <v>217</v>
      </c>
      <c r="F13" s="10">
        <f t="shared" si="1"/>
        <v>4.446197379958331E-7</v>
      </c>
      <c r="G13">
        <f t="shared" si="2"/>
        <v>32.396607190785851</v>
      </c>
      <c r="H13" s="2">
        <f t="shared" si="3"/>
        <v>249.39660719078586</v>
      </c>
    </row>
    <row r="14" spans="1:8" x14ac:dyDescent="0.2">
      <c r="A14">
        <v>2021</v>
      </c>
      <c r="B14" s="3" t="str">
        <f t="shared" si="0"/>
        <v>5113</v>
      </c>
      <c r="C14" s="10" t="s">
        <v>23</v>
      </c>
      <c r="D14" s="11">
        <v>18873</v>
      </c>
      <c r="E14" s="11">
        <v>18873</v>
      </c>
      <c r="F14" s="10">
        <f t="shared" si="1"/>
        <v>3.8669623572328835E-5</v>
      </c>
      <c r="G14">
        <f t="shared" si="2"/>
        <v>2817.6090668741995</v>
      </c>
      <c r="H14" s="2">
        <f t="shared" si="3"/>
        <v>21690.6090668742</v>
      </c>
    </row>
    <row r="15" spans="1:8" x14ac:dyDescent="0.2">
      <c r="A15">
        <v>2021</v>
      </c>
      <c r="B15" s="3" t="str">
        <f t="shared" si="0"/>
        <v>5177</v>
      </c>
      <c r="C15" s="10" t="s">
        <v>24</v>
      </c>
      <c r="D15" s="11">
        <v>31823</v>
      </c>
      <c r="E15" s="11">
        <v>31823</v>
      </c>
      <c r="F15" s="10">
        <f t="shared" si="1"/>
        <v>6.5203382130144685E-5</v>
      </c>
      <c r="G15">
        <f t="shared" si="2"/>
        <v>4750.9549798727103</v>
      </c>
      <c r="H15" s="2">
        <f t="shared" si="3"/>
        <v>36573.954979872709</v>
      </c>
    </row>
    <row r="16" spans="1:8" x14ac:dyDescent="0.2">
      <c r="A16">
        <v>2021</v>
      </c>
      <c r="B16" s="3" t="str">
        <f t="shared" si="0"/>
        <v>5178</v>
      </c>
      <c r="C16" s="10" t="s">
        <v>25</v>
      </c>
      <c r="D16" s="11">
        <v>24651</v>
      </c>
      <c r="E16" s="11">
        <v>24651</v>
      </c>
      <c r="F16" s="10">
        <f t="shared" si="1"/>
        <v>5.0508392448549683E-5</v>
      </c>
      <c r="G16">
        <f t="shared" si="2"/>
        <v>3680.2247182491333</v>
      </c>
      <c r="H16" s="2">
        <f t="shared" si="3"/>
        <v>28331.224718249134</v>
      </c>
    </row>
    <row r="17" spans="1:8" x14ac:dyDescent="0.2">
      <c r="A17">
        <v>2021</v>
      </c>
      <c r="B17" s="3" t="str">
        <f t="shared" si="0"/>
        <v>5179</v>
      </c>
      <c r="C17" s="10" t="s">
        <v>26</v>
      </c>
      <c r="D17" s="11">
        <v>17491</v>
      </c>
      <c r="E17" s="11">
        <v>17491</v>
      </c>
      <c r="F17" s="10">
        <f t="shared" si="1"/>
        <v>3.5837990033571965E-5</v>
      </c>
      <c r="G17">
        <f t="shared" si="2"/>
        <v>2611.285974073895</v>
      </c>
      <c r="H17" s="2">
        <f t="shared" si="3"/>
        <v>20102.285974073893</v>
      </c>
    </row>
    <row r="18" spans="1:8" x14ac:dyDescent="0.2">
      <c r="A18">
        <v>2021</v>
      </c>
      <c r="B18" s="3" t="str">
        <f t="shared" si="0"/>
        <v>5180</v>
      </c>
      <c r="C18" s="10" t="s">
        <v>27</v>
      </c>
      <c r="D18" s="11">
        <v>3285</v>
      </c>
      <c r="E18" s="11">
        <v>3285</v>
      </c>
      <c r="F18" s="10">
        <f t="shared" si="1"/>
        <v>6.7307642364806991E-6</v>
      </c>
      <c r="G18">
        <f t="shared" si="2"/>
        <v>490.42790148263367</v>
      </c>
      <c r="H18" s="2">
        <f t="shared" si="3"/>
        <v>3775.4279014826338</v>
      </c>
    </row>
    <row r="19" spans="1:8" x14ac:dyDescent="0.2">
      <c r="A19">
        <v>2021</v>
      </c>
      <c r="B19" s="3" t="str">
        <f t="shared" si="0"/>
        <v>5404</v>
      </c>
      <c r="C19" s="10" t="s">
        <v>28</v>
      </c>
      <c r="D19" s="11">
        <v>12183</v>
      </c>
      <c r="E19" s="11">
        <v>12183</v>
      </c>
      <c r="F19" s="10">
        <f t="shared" si="1"/>
        <v>2.4962222433194628E-5</v>
      </c>
      <c r="G19">
        <f t="shared" si="2"/>
        <v>1818.8380894255481</v>
      </c>
      <c r="H19" s="2">
        <f t="shared" si="3"/>
        <v>14001.838089425548</v>
      </c>
    </row>
    <row r="20" spans="1:8" x14ac:dyDescent="0.2">
      <c r="A20">
        <v>2021</v>
      </c>
      <c r="B20" s="3" t="str">
        <f t="shared" si="0"/>
        <v>5406</v>
      </c>
      <c r="C20" s="10" t="s">
        <v>29</v>
      </c>
      <c r="D20" s="11">
        <v>34467</v>
      </c>
      <c r="E20" s="11">
        <v>34467</v>
      </c>
      <c r="F20" s="10">
        <f t="shared" si="1"/>
        <v>7.0620776541485613E-5</v>
      </c>
      <c r="G20">
        <f t="shared" si="2"/>
        <v>5145.685990989934</v>
      </c>
      <c r="H20" s="2">
        <f t="shared" si="3"/>
        <v>39612.685990989936</v>
      </c>
    </row>
    <row r="21" spans="1:8" x14ac:dyDescent="0.2">
      <c r="A21">
        <v>2021</v>
      </c>
      <c r="B21" s="3" t="str">
        <f t="shared" si="0"/>
        <v>5596</v>
      </c>
      <c r="C21" s="10" t="s">
        <v>30</v>
      </c>
      <c r="D21" s="11">
        <v>67185</v>
      </c>
      <c r="E21" s="11">
        <v>67185</v>
      </c>
      <c r="F21" s="10">
        <f t="shared" si="1"/>
        <v>1.3765795897350251E-4</v>
      </c>
      <c r="G21">
        <f t="shared" si="2"/>
        <v>10030.258313884549</v>
      </c>
      <c r="H21" s="2">
        <f t="shared" si="3"/>
        <v>77215.258313884551</v>
      </c>
    </row>
    <row r="22" spans="1:8" x14ac:dyDescent="0.2">
      <c r="A22">
        <v>2021</v>
      </c>
      <c r="B22" s="3" t="str">
        <f t="shared" si="0"/>
        <v>5600</v>
      </c>
      <c r="C22" s="10" t="s">
        <v>31</v>
      </c>
      <c r="D22" s="11">
        <v>60718</v>
      </c>
      <c r="E22" s="11">
        <v>60718</v>
      </c>
      <c r="F22" s="10">
        <f t="shared" si="1"/>
        <v>1.2440747120567278E-4</v>
      </c>
      <c r="G22">
        <f t="shared" si="2"/>
        <v>9064.7797023508519</v>
      </c>
      <c r="H22" s="2">
        <f t="shared" si="3"/>
        <v>69782.779702350846</v>
      </c>
    </row>
    <row r="23" spans="1:8" x14ac:dyDescent="0.2">
      <c r="A23">
        <v>2021</v>
      </c>
      <c r="B23" s="3" t="str">
        <f t="shared" si="0"/>
        <v>5604</v>
      </c>
      <c r="C23" s="10" t="s">
        <v>32</v>
      </c>
      <c r="D23" s="11">
        <v>47805</v>
      </c>
      <c r="E23" s="11">
        <v>47805</v>
      </c>
      <c r="F23" s="10">
        <f t="shared" si="1"/>
        <v>9.7949523386593553E-5</v>
      </c>
      <c r="G23">
        <f t="shared" si="2"/>
        <v>7136.9576348180526</v>
      </c>
      <c r="H23" s="2">
        <f t="shared" si="3"/>
        <v>54941.957634818056</v>
      </c>
    </row>
    <row r="24" spans="1:8" x14ac:dyDescent="0.2">
      <c r="A24">
        <v>2021</v>
      </c>
      <c r="B24" s="3" t="str">
        <f t="shared" si="0"/>
        <v>5608</v>
      </c>
      <c r="C24" s="10" t="s">
        <v>33</v>
      </c>
      <c r="D24" s="11">
        <v>1368</v>
      </c>
      <c r="E24" s="11">
        <v>1368</v>
      </c>
      <c r="F24" s="10">
        <f t="shared" si="1"/>
        <v>2.8029483943700444E-6</v>
      </c>
      <c r="G24">
        <f t="shared" si="2"/>
        <v>204.2329891105762</v>
      </c>
      <c r="H24" s="2">
        <f t="shared" si="3"/>
        <v>1572.2329891105762</v>
      </c>
    </row>
    <row r="25" spans="1:8" x14ac:dyDescent="0.2">
      <c r="A25">
        <v>2021</v>
      </c>
      <c r="B25" s="3" t="str">
        <f t="shared" si="0"/>
        <v>5609</v>
      </c>
      <c r="C25" s="10" t="s">
        <v>34</v>
      </c>
      <c r="D25" s="11">
        <v>40798</v>
      </c>
      <c r="E25" s="11">
        <v>40798</v>
      </c>
      <c r="F25" s="10">
        <f t="shared" si="1"/>
        <v>8.3592608620986164E-5</v>
      </c>
      <c r="G25">
        <f t="shared" si="2"/>
        <v>6090.8607381091288</v>
      </c>
      <c r="H25" s="2">
        <f t="shared" si="3"/>
        <v>46888.860738109128</v>
      </c>
    </row>
    <row r="26" spans="1:8" x14ac:dyDescent="0.2">
      <c r="A26">
        <v>2021</v>
      </c>
      <c r="B26" s="3" t="str">
        <f t="shared" si="0"/>
        <v>5612</v>
      </c>
      <c r="C26" s="10" t="s">
        <v>35</v>
      </c>
      <c r="D26" s="11">
        <v>81891</v>
      </c>
      <c r="E26" s="11">
        <v>81891</v>
      </c>
      <c r="F26" s="10">
        <f t="shared" si="1"/>
        <v>1.677896542129805E-4</v>
      </c>
      <c r="G26">
        <f t="shared" si="2"/>
        <v>12225.762946823244</v>
      </c>
      <c r="H26" s="2">
        <f t="shared" si="3"/>
        <v>94116.762946823248</v>
      </c>
    </row>
    <row r="27" spans="1:8" x14ac:dyDescent="0.2">
      <c r="A27">
        <v>2021</v>
      </c>
      <c r="B27" s="3" t="str">
        <f t="shared" si="0"/>
        <v>5624</v>
      </c>
      <c r="C27" s="10" t="s">
        <v>36</v>
      </c>
      <c r="D27" s="11">
        <v>13279</v>
      </c>
      <c r="E27" s="11">
        <v>13279</v>
      </c>
      <c r="F27" s="10">
        <f t="shared" si="1"/>
        <v>2.7207859450906302E-5</v>
      </c>
      <c r="G27">
        <f t="shared" si="2"/>
        <v>1982.4633497071211</v>
      </c>
      <c r="H27" s="2">
        <f t="shared" si="3"/>
        <v>15261.463349707121</v>
      </c>
    </row>
    <row r="28" spans="1:8" x14ac:dyDescent="0.2">
      <c r="A28">
        <v>2021</v>
      </c>
      <c r="B28" s="3" t="str">
        <f t="shared" si="0"/>
        <v>5626</v>
      </c>
      <c r="C28" s="10" t="s">
        <v>37</v>
      </c>
      <c r="D28" s="11">
        <v>13464</v>
      </c>
      <c r="E28" s="11">
        <v>13464</v>
      </c>
      <c r="F28" s="10">
        <f t="shared" si="1"/>
        <v>2.7586913144589385E-5</v>
      </c>
      <c r="G28">
        <f t="shared" si="2"/>
        <v>2010.0825770356712</v>
      </c>
      <c r="H28" s="2">
        <f t="shared" si="3"/>
        <v>15474.082577035671</v>
      </c>
    </row>
    <row r="29" spans="1:8" x14ac:dyDescent="0.2">
      <c r="A29">
        <v>2021</v>
      </c>
      <c r="B29" s="3" t="str">
        <f t="shared" si="0"/>
        <v>5634</v>
      </c>
      <c r="C29" s="10" t="s">
        <v>38</v>
      </c>
      <c r="D29" s="11">
        <v>117283</v>
      </c>
      <c r="E29" s="11">
        <v>117283</v>
      </c>
      <c r="F29" s="10">
        <f t="shared" si="1"/>
        <v>2.4030569922288154E-4</v>
      </c>
      <c r="G29">
        <f t="shared" si="2"/>
        <v>17509.545074455931</v>
      </c>
      <c r="H29" s="2">
        <f t="shared" si="3"/>
        <v>134792.54507445593</v>
      </c>
    </row>
    <row r="30" spans="1:8" x14ac:dyDescent="0.2">
      <c r="A30">
        <v>2021</v>
      </c>
      <c r="B30" s="3" t="str">
        <f t="shared" si="0"/>
        <v>5638</v>
      </c>
      <c r="C30" s="10" t="s">
        <v>39</v>
      </c>
      <c r="D30" s="11">
        <v>22344</v>
      </c>
      <c r="E30" s="11">
        <v>22344</v>
      </c>
      <c r="F30" s="10">
        <f t="shared" si="1"/>
        <v>4.5781490441377398E-5</v>
      </c>
      <c r="G30">
        <f t="shared" si="2"/>
        <v>3335.8054888060788</v>
      </c>
      <c r="H30" s="2">
        <f t="shared" si="3"/>
        <v>25679.80548880608</v>
      </c>
    </row>
    <row r="31" spans="1:8" x14ac:dyDescent="0.2">
      <c r="A31">
        <v>2021</v>
      </c>
      <c r="B31" s="3" t="str">
        <f t="shared" si="0"/>
        <v>5655</v>
      </c>
      <c r="C31" s="10" t="s">
        <v>40</v>
      </c>
      <c r="D31" s="11">
        <v>2248</v>
      </c>
      <c r="E31" s="11">
        <v>2248</v>
      </c>
      <c r="F31" s="10">
        <f t="shared" si="1"/>
        <v>4.6060146129706579E-6</v>
      </c>
      <c r="G31">
        <f t="shared" si="2"/>
        <v>335.61093532205797</v>
      </c>
      <c r="H31" s="2">
        <f t="shared" si="3"/>
        <v>2583.6109353220581</v>
      </c>
    </row>
    <row r="32" spans="1:8" x14ac:dyDescent="0.2">
      <c r="A32">
        <v>2021</v>
      </c>
      <c r="B32" s="3" t="str">
        <f t="shared" si="0"/>
        <v>4930</v>
      </c>
      <c r="C32" s="17" t="s">
        <v>353</v>
      </c>
      <c r="D32" s="11">
        <v>8437</v>
      </c>
      <c r="E32" s="11">
        <v>8437</v>
      </c>
      <c r="F32" s="10">
        <f t="shared" si="1"/>
        <v>1.7286897370833383E-5</v>
      </c>
      <c r="G32">
        <f t="shared" si="2"/>
        <v>1259.5860593025816</v>
      </c>
      <c r="H32" s="2">
        <f t="shared" si="3"/>
        <v>9696.5860593025809</v>
      </c>
    </row>
    <row r="33" spans="1:8" x14ac:dyDescent="0.2">
      <c r="A33">
        <v>2021</v>
      </c>
      <c r="B33" s="3" t="str">
        <f t="shared" si="0"/>
        <v>5671</v>
      </c>
      <c r="C33" s="10" t="s">
        <v>42</v>
      </c>
      <c r="D33" s="11">
        <v>24522</v>
      </c>
      <c r="E33" s="11">
        <v>24522</v>
      </c>
      <c r="F33" s="10">
        <f t="shared" si="1"/>
        <v>5.0244079332413911E-5</v>
      </c>
      <c r="G33">
        <f t="shared" si="2"/>
        <v>3660.9659056794953</v>
      </c>
      <c r="H33" s="2">
        <f t="shared" si="3"/>
        <v>28182.965905679495</v>
      </c>
    </row>
    <row r="34" spans="1:8" x14ac:dyDescent="0.2">
      <c r="A34">
        <v>2021</v>
      </c>
      <c r="B34" s="3" t="str">
        <f t="shared" si="0"/>
        <v>5682</v>
      </c>
      <c r="C34" s="10" t="s">
        <v>43</v>
      </c>
      <c r="D34" s="11">
        <v>157257</v>
      </c>
      <c r="E34" s="11">
        <v>157257</v>
      </c>
      <c r="F34" s="10">
        <f t="shared" si="1"/>
        <v>3.2220998220281442E-4</v>
      </c>
      <c r="G34">
        <f t="shared" si="2"/>
        <v>23477.388281112489</v>
      </c>
      <c r="H34" s="2">
        <f t="shared" si="3"/>
        <v>180734.38828111248</v>
      </c>
    </row>
    <row r="35" spans="1:8" x14ac:dyDescent="0.2">
      <c r="A35">
        <v>2021</v>
      </c>
      <c r="B35" s="3" t="str">
        <f t="shared" si="0"/>
        <v>5688</v>
      </c>
      <c r="C35" s="10" t="s">
        <v>44</v>
      </c>
      <c r="D35" s="11">
        <v>7476</v>
      </c>
      <c r="E35" s="11">
        <v>7476</v>
      </c>
      <c r="F35" s="10">
        <f t="shared" si="1"/>
        <v>1.5317867102566119E-5</v>
      </c>
      <c r="G35">
        <f t="shared" si="2"/>
        <v>1116.1153703148157</v>
      </c>
      <c r="H35" s="2">
        <f t="shared" si="3"/>
        <v>8592.1153703148157</v>
      </c>
    </row>
    <row r="36" spans="1:8" x14ac:dyDescent="0.2">
      <c r="A36">
        <v>2021</v>
      </c>
      <c r="B36" s="3" t="str">
        <f t="shared" si="0"/>
        <v>9034</v>
      </c>
      <c r="C36" s="10" t="s">
        <v>45</v>
      </c>
      <c r="D36" s="11">
        <v>92874</v>
      </c>
      <c r="E36" s="11">
        <v>92874</v>
      </c>
      <c r="F36" s="10">
        <f t="shared" si="1"/>
        <v>1.9029314998444702E-4</v>
      </c>
      <c r="G36">
        <f t="shared" si="2"/>
        <v>13865.449291414954</v>
      </c>
      <c r="H36" s="2">
        <f t="shared" si="3"/>
        <v>106739.44929141496</v>
      </c>
    </row>
    <row r="37" spans="1:8" x14ac:dyDescent="0.2">
      <c r="A37">
        <v>2021</v>
      </c>
      <c r="B37" s="3" t="str">
        <f t="shared" si="0"/>
        <v>9042</v>
      </c>
      <c r="C37" s="10" t="s">
        <v>46</v>
      </c>
      <c r="D37" s="11">
        <v>6244</v>
      </c>
      <c r="E37" s="11">
        <v>6244</v>
      </c>
      <c r="F37" s="10">
        <f t="shared" si="1"/>
        <v>1.2793574396525262E-5</v>
      </c>
      <c r="G37">
        <f t="shared" si="2"/>
        <v>932.18624561874117</v>
      </c>
      <c r="H37" s="2">
        <f t="shared" si="3"/>
        <v>7176.1862456187409</v>
      </c>
    </row>
    <row r="38" spans="1:8" x14ac:dyDescent="0.2">
      <c r="A38">
        <v>2021</v>
      </c>
      <c r="B38" s="3" t="str">
        <f t="shared" si="0"/>
        <v>9047</v>
      </c>
      <c r="C38" s="10" t="s">
        <v>47</v>
      </c>
      <c r="D38" s="11">
        <v>16296</v>
      </c>
      <c r="E38" s="11">
        <v>16296</v>
      </c>
      <c r="F38" s="10">
        <f t="shared" si="1"/>
        <v>3.3389508066267722E-5</v>
      </c>
      <c r="G38">
        <f t="shared" si="2"/>
        <v>2432.8806948435308</v>
      </c>
      <c r="H38" s="2">
        <f t="shared" si="3"/>
        <v>18728.88069484353</v>
      </c>
    </row>
    <row r="39" spans="1:8" x14ac:dyDescent="0.2">
      <c r="A39">
        <v>2021</v>
      </c>
      <c r="B39" s="3" t="str">
        <f t="shared" si="0"/>
        <v>9055</v>
      </c>
      <c r="C39" s="10" t="s">
        <v>49</v>
      </c>
      <c r="D39" s="11">
        <v>78581</v>
      </c>
      <c r="E39" s="11">
        <v>78581</v>
      </c>
      <c r="F39" s="10">
        <f t="shared" si="1"/>
        <v>1.6100766650438045E-4</v>
      </c>
      <c r="G39">
        <f t="shared" si="2"/>
        <v>11731.602717323238</v>
      </c>
      <c r="H39" s="2">
        <f t="shared" si="3"/>
        <v>90312.602717323243</v>
      </c>
    </row>
    <row r="40" spans="1:8" x14ac:dyDescent="0.2">
      <c r="A40">
        <v>2021</v>
      </c>
      <c r="B40" s="3" t="str">
        <f t="shared" si="0"/>
        <v>9056</v>
      </c>
      <c r="C40" s="10" t="s">
        <v>50</v>
      </c>
      <c r="D40" s="11">
        <v>27704</v>
      </c>
      <c r="E40" s="11">
        <v>27704</v>
      </c>
      <c r="F40" s="10">
        <f t="shared" si="1"/>
        <v>5.6763802863762951E-5</v>
      </c>
      <c r="G40">
        <f t="shared" si="2"/>
        <v>4136.0166157305584</v>
      </c>
      <c r="H40" s="2">
        <f t="shared" si="3"/>
        <v>31840.016615730558</v>
      </c>
    </row>
    <row r="41" spans="1:8" x14ac:dyDescent="0.2">
      <c r="A41">
        <v>2021</v>
      </c>
      <c r="B41" s="3" t="str">
        <f t="shared" si="0"/>
        <v>9273</v>
      </c>
      <c r="C41" s="10" t="s">
        <v>51</v>
      </c>
      <c r="D41" s="11">
        <v>2866</v>
      </c>
      <c r="E41" s="11">
        <v>2866</v>
      </c>
      <c r="F41" s="10">
        <f t="shared" si="1"/>
        <v>5.8722588437606343E-6</v>
      </c>
      <c r="G41">
        <f t="shared" si="2"/>
        <v>427.874083911485</v>
      </c>
      <c r="H41" s="2">
        <f t="shared" si="3"/>
        <v>3293.8740839114848</v>
      </c>
    </row>
    <row r="42" spans="1:8" x14ac:dyDescent="0.2">
      <c r="A42">
        <v>2021</v>
      </c>
      <c r="B42" s="3" t="str">
        <f t="shared" si="0"/>
        <v>9274</v>
      </c>
      <c r="C42" s="10" t="s">
        <v>52</v>
      </c>
      <c r="D42" s="11">
        <v>36147</v>
      </c>
      <c r="E42" s="11">
        <v>36147</v>
      </c>
      <c r="F42" s="10">
        <f t="shared" si="1"/>
        <v>7.4062993867904977E-5</v>
      </c>
      <c r="G42">
        <f t="shared" si="2"/>
        <v>5396.4984337573096</v>
      </c>
      <c r="H42" s="2">
        <f t="shared" si="3"/>
        <v>41543.498433757311</v>
      </c>
    </row>
    <row r="43" spans="1:8" x14ac:dyDescent="0.2">
      <c r="A43">
        <v>2021</v>
      </c>
      <c r="B43" s="3" t="str">
        <f t="shared" si="0"/>
        <v>9303</v>
      </c>
      <c r="C43" s="10" t="s">
        <v>53</v>
      </c>
      <c r="D43" s="11">
        <v>11160</v>
      </c>
      <c r="E43" s="11">
        <v>11160</v>
      </c>
      <c r="F43" s="10">
        <f t="shared" si="1"/>
        <v>2.2866157954071417E-5</v>
      </c>
      <c r="G43">
        <f t="shared" si="2"/>
        <v>1666.1112269547009</v>
      </c>
      <c r="H43" s="2">
        <f t="shared" si="3"/>
        <v>12826.111226954701</v>
      </c>
    </row>
    <row r="44" spans="1:8" x14ac:dyDescent="0.2">
      <c r="A44">
        <v>2021</v>
      </c>
      <c r="B44" s="3" t="str">
        <f t="shared" si="0"/>
        <v>9305</v>
      </c>
      <c r="C44" s="10" t="s">
        <v>55</v>
      </c>
      <c r="D44" s="11">
        <v>23162</v>
      </c>
      <c r="E44" s="11">
        <v>23162</v>
      </c>
      <c r="F44" s="10">
        <f t="shared" si="1"/>
        <v>4.7457522449122054E-5</v>
      </c>
      <c r="G44">
        <f t="shared" si="2"/>
        <v>3457.927261534478</v>
      </c>
      <c r="H44" s="2">
        <f t="shared" si="3"/>
        <v>26619.927261534478</v>
      </c>
    </row>
    <row r="45" spans="1:8" x14ac:dyDescent="0.2">
      <c r="A45">
        <v>2021</v>
      </c>
      <c r="B45" s="3" t="str">
        <f t="shared" si="0"/>
        <v>9507</v>
      </c>
      <c r="C45" s="10" t="s">
        <v>58</v>
      </c>
      <c r="D45" s="11">
        <v>85542</v>
      </c>
      <c r="E45" s="11">
        <v>85542</v>
      </c>
      <c r="F45" s="10">
        <f t="shared" si="1"/>
        <v>1.7527033008128828E-4</v>
      </c>
      <c r="G45">
        <f t="shared" si="2"/>
        <v>12770.832130480199</v>
      </c>
      <c r="H45" s="2">
        <f t="shared" si="3"/>
        <v>98312.832130480194</v>
      </c>
    </row>
    <row r="46" spans="1:8" x14ac:dyDescent="0.2">
      <c r="A46">
        <v>2021</v>
      </c>
      <c r="B46" s="3" t="str">
        <f t="shared" si="0"/>
        <v>4828</v>
      </c>
      <c r="C46" s="10" t="s">
        <v>59</v>
      </c>
      <c r="D46" s="11">
        <v>4192926</v>
      </c>
      <c r="E46" s="11">
        <v>4192926</v>
      </c>
      <c r="F46" s="10">
        <f t="shared" si="1"/>
        <v>8.5910491223774952E-3</v>
      </c>
      <c r="G46">
        <f t="shared" si="2"/>
        <v>625975.00738264027</v>
      </c>
      <c r="H46" s="2">
        <f t="shared" si="3"/>
        <v>4818901.0073826406</v>
      </c>
    </row>
    <row r="47" spans="1:8" x14ac:dyDescent="0.2">
      <c r="A47">
        <v>2021</v>
      </c>
      <c r="B47" s="3" t="str">
        <f t="shared" si="0"/>
        <v>4829</v>
      </c>
      <c r="C47" s="10" t="s">
        <v>60</v>
      </c>
      <c r="D47" s="11">
        <v>1982353</v>
      </c>
      <c r="E47" s="11">
        <v>1982353</v>
      </c>
      <c r="F47" s="10">
        <f t="shared" si="1"/>
        <v>4.0617201450472524E-3</v>
      </c>
      <c r="G47">
        <f t="shared" si="2"/>
        <v>295951.66568882903</v>
      </c>
      <c r="H47" s="2">
        <f t="shared" si="3"/>
        <v>2278304.665688829</v>
      </c>
    </row>
    <row r="48" spans="1:8" x14ac:dyDescent="0.2">
      <c r="A48">
        <v>2021</v>
      </c>
      <c r="B48" s="3" t="str">
        <f t="shared" si="0"/>
        <v>4871</v>
      </c>
      <c r="C48" s="10" t="s">
        <v>61</v>
      </c>
      <c r="D48" s="11">
        <v>510604</v>
      </c>
      <c r="E48" s="11">
        <v>510604</v>
      </c>
      <c r="F48" s="10">
        <f t="shared" si="1"/>
        <v>1.0461963903208495E-3</v>
      </c>
      <c r="G48">
        <f t="shared" si="2"/>
        <v>76229.664599281183</v>
      </c>
      <c r="H48" s="2">
        <f t="shared" si="3"/>
        <v>586833.66459928115</v>
      </c>
    </row>
    <row r="49" spans="1:8" x14ac:dyDescent="0.2">
      <c r="A49">
        <v>2021</v>
      </c>
      <c r="B49" s="3" t="str">
        <f t="shared" si="0"/>
        <v>4882</v>
      </c>
      <c r="C49" s="10" t="s">
        <v>62</v>
      </c>
      <c r="D49" s="11">
        <v>2883682</v>
      </c>
      <c r="E49" s="11">
        <v>2883682</v>
      </c>
      <c r="F49" s="10">
        <f t="shared" si="1"/>
        <v>5.9084881811211978E-3</v>
      </c>
      <c r="G49">
        <f t="shared" si="2"/>
        <v>430513.8848716116</v>
      </c>
      <c r="H49" s="2">
        <f t="shared" si="3"/>
        <v>3314195.8848716114</v>
      </c>
    </row>
    <row r="50" spans="1:8" x14ac:dyDescent="0.2">
      <c r="A50">
        <v>2021</v>
      </c>
      <c r="B50" s="3" t="str">
        <f t="shared" si="0"/>
        <v>4912</v>
      </c>
      <c r="C50" s="10" t="s">
        <v>63</v>
      </c>
      <c r="D50" s="11">
        <v>521436</v>
      </c>
      <c r="E50" s="11">
        <v>521436</v>
      </c>
      <c r="F50" s="10">
        <f t="shared" si="1"/>
        <v>1.0683904963207152E-3</v>
      </c>
      <c r="G50">
        <f t="shared" si="2"/>
        <v>77846.807682647966</v>
      </c>
      <c r="H50" s="2">
        <f t="shared" si="3"/>
        <v>599282.80768264795</v>
      </c>
    </row>
    <row r="51" spans="1:8" x14ac:dyDescent="0.2">
      <c r="A51">
        <v>2021</v>
      </c>
      <c r="B51" s="3" t="str">
        <f t="shared" si="0"/>
        <v>4977</v>
      </c>
      <c r="C51" s="10" t="s">
        <v>64</v>
      </c>
      <c r="D51" s="11">
        <v>218376</v>
      </c>
      <c r="E51" s="11">
        <v>218376</v>
      </c>
      <c r="F51" s="10">
        <f t="shared" si="1"/>
        <v>4.4743907790128134E-4</v>
      </c>
      <c r="G51">
        <f t="shared" si="2"/>
        <v>32602.034524861985</v>
      </c>
      <c r="H51" s="2">
        <f t="shared" si="3"/>
        <v>250978.03452486199</v>
      </c>
    </row>
    <row r="52" spans="1:8" x14ac:dyDescent="0.2">
      <c r="A52">
        <v>2021</v>
      </c>
      <c r="B52" s="3" t="str">
        <f t="shared" si="0"/>
        <v>4978</v>
      </c>
      <c r="C52" s="10" t="s">
        <v>65</v>
      </c>
      <c r="D52" s="11">
        <v>33315370</v>
      </c>
      <c r="E52" s="11">
        <v>33315370</v>
      </c>
      <c r="F52" s="10">
        <f t="shared" si="1"/>
        <v>6.8261157053614005E-2</v>
      </c>
      <c r="G52">
        <f t="shared" si="2"/>
        <v>4973755.5544041069</v>
      </c>
      <c r="H52" s="2">
        <f t="shared" si="3"/>
        <v>38289125.55440411</v>
      </c>
    </row>
    <row r="53" spans="1:8" x14ac:dyDescent="0.2">
      <c r="A53">
        <v>2021</v>
      </c>
      <c r="B53" s="3" t="str">
        <f t="shared" si="0"/>
        <v>4979</v>
      </c>
      <c r="C53" s="10" t="s">
        <v>66</v>
      </c>
      <c r="D53" s="11">
        <v>110096</v>
      </c>
      <c r="E53" s="11">
        <v>110096</v>
      </c>
      <c r="F53" s="10">
        <f t="shared" si="1"/>
        <v>2.2557997545801493E-4</v>
      </c>
      <c r="G53">
        <f t="shared" si="2"/>
        <v>16436.575416021929</v>
      </c>
      <c r="H53" s="2">
        <f t="shared" si="3"/>
        <v>126532.57541602192</v>
      </c>
    </row>
    <row r="54" spans="1:8" x14ac:dyDescent="0.2">
      <c r="A54">
        <v>2021</v>
      </c>
      <c r="B54" s="3" t="str">
        <f t="shared" si="0"/>
        <v>4980</v>
      </c>
      <c r="C54" s="10" t="s">
        <v>67</v>
      </c>
      <c r="D54" s="11">
        <v>2583635</v>
      </c>
      <c r="E54" s="11">
        <v>2583635</v>
      </c>
      <c r="F54" s="10">
        <f t="shared" si="1"/>
        <v>5.293710215561586E-3</v>
      </c>
      <c r="G54">
        <f t="shared" si="2"/>
        <v>385718.9318864792</v>
      </c>
      <c r="H54" s="2">
        <f t="shared" si="3"/>
        <v>2969353.9318864793</v>
      </c>
    </row>
    <row r="55" spans="1:8" x14ac:dyDescent="0.2">
      <c r="A55">
        <v>2021</v>
      </c>
      <c r="B55" s="3" t="str">
        <f t="shared" si="0"/>
        <v>4981</v>
      </c>
      <c r="C55" s="10" t="s">
        <v>68</v>
      </c>
      <c r="D55" s="11">
        <v>5390604</v>
      </c>
      <c r="E55" s="11">
        <v>5390604</v>
      </c>
      <c r="F55" s="10">
        <f t="shared" si="1"/>
        <v>1.1045018148015161E-2</v>
      </c>
      <c r="G55">
        <f t="shared" si="2"/>
        <v>804780.09359022568</v>
      </c>
      <c r="H55" s="2">
        <f t="shared" si="3"/>
        <v>6195384.093590226</v>
      </c>
    </row>
    <row r="56" spans="1:8" x14ac:dyDescent="0.2">
      <c r="A56">
        <v>2021</v>
      </c>
      <c r="B56" s="3" t="str">
        <f t="shared" si="0"/>
        <v>4982</v>
      </c>
      <c r="C56" s="10" t="s">
        <v>69</v>
      </c>
      <c r="D56" s="11">
        <v>51045464</v>
      </c>
      <c r="E56" s="11">
        <v>51045464</v>
      </c>
      <c r="F56" s="10">
        <f t="shared" si="1"/>
        <v>0.10458903608090199</v>
      </c>
      <c r="G56">
        <f t="shared" si="2"/>
        <v>7620736.61787742</v>
      </c>
      <c r="H56" s="2">
        <f t="shared" si="3"/>
        <v>58666200.617877424</v>
      </c>
    </row>
    <row r="57" spans="1:8" x14ac:dyDescent="0.2">
      <c r="A57">
        <v>2021</v>
      </c>
      <c r="B57" s="3" t="str">
        <f t="shared" si="0"/>
        <v>4983</v>
      </c>
      <c r="C57" s="10" t="s">
        <v>70</v>
      </c>
      <c r="D57" s="11">
        <v>6679425</v>
      </c>
      <c r="E57" s="11">
        <v>6679425</v>
      </c>
      <c r="F57" s="10">
        <f t="shared" si="1"/>
        <v>1.3685733610427729E-2</v>
      </c>
      <c r="G57">
        <f t="shared" si="2"/>
        <v>997192.20269730303</v>
      </c>
      <c r="H57" s="2">
        <f t="shared" si="3"/>
        <v>7676617.2026973031</v>
      </c>
    </row>
    <row r="58" spans="1:8" x14ac:dyDescent="0.2">
      <c r="A58">
        <v>2021</v>
      </c>
      <c r="B58" s="3" t="str">
        <f t="shared" si="0"/>
        <v>4984</v>
      </c>
      <c r="C58" s="10" t="s">
        <v>71</v>
      </c>
      <c r="D58" s="11">
        <v>2408288</v>
      </c>
      <c r="E58" s="11">
        <v>2408288</v>
      </c>
      <c r="F58" s="10">
        <f t="shared" si="1"/>
        <v>4.9344349289332208E-3</v>
      </c>
      <c r="G58">
        <f t="shared" si="2"/>
        <v>359540.83105199662</v>
      </c>
      <c r="H58" s="2">
        <f t="shared" si="3"/>
        <v>2767828.8310519964</v>
      </c>
    </row>
    <row r="59" spans="1:8" x14ac:dyDescent="0.2">
      <c r="A59">
        <v>2021</v>
      </c>
      <c r="B59" s="3" t="str">
        <f t="shared" si="0"/>
        <v>4985</v>
      </c>
      <c r="C59" s="10" t="s">
        <v>72</v>
      </c>
      <c r="D59" s="11">
        <v>4876374</v>
      </c>
      <c r="E59" s="11">
        <v>4876374</v>
      </c>
      <c r="F59" s="10">
        <f t="shared" si="1"/>
        <v>9.9913923052981218E-3</v>
      </c>
      <c r="G59">
        <f t="shared" si="2"/>
        <v>728009.09213530482</v>
      </c>
      <c r="H59" s="2">
        <f t="shared" si="3"/>
        <v>5604383.0921353046</v>
      </c>
    </row>
    <row r="60" spans="1:8" x14ac:dyDescent="0.2">
      <c r="A60">
        <v>2021</v>
      </c>
      <c r="B60" s="3" t="str">
        <f t="shared" si="0"/>
        <v>4986</v>
      </c>
      <c r="C60" s="10" t="s">
        <v>73</v>
      </c>
      <c r="D60" s="11">
        <v>5592545</v>
      </c>
      <c r="E60" s="11">
        <v>5592545</v>
      </c>
      <c r="F60" s="10">
        <f t="shared" si="1"/>
        <v>1.1458782915345191E-2</v>
      </c>
      <c r="G60">
        <f t="shared" si="2"/>
        <v>834928.49567646743</v>
      </c>
      <c r="H60" s="2">
        <f t="shared" si="3"/>
        <v>6427473.4956764672</v>
      </c>
    </row>
    <row r="61" spans="1:8" x14ac:dyDescent="0.2">
      <c r="A61">
        <v>2021</v>
      </c>
      <c r="B61" s="3" t="str">
        <f t="shared" si="0"/>
        <v>4987</v>
      </c>
      <c r="C61" s="10" t="s">
        <v>74</v>
      </c>
      <c r="D61" s="11">
        <v>696995</v>
      </c>
      <c r="E61" s="11">
        <v>696995</v>
      </c>
      <c r="F61" s="10">
        <f t="shared" si="1"/>
        <v>1.4281001579926529E-3</v>
      </c>
      <c r="G61">
        <f t="shared" si="2"/>
        <v>104056.55865871788</v>
      </c>
      <c r="H61" s="2">
        <f t="shared" si="3"/>
        <v>801051.5586587179</v>
      </c>
    </row>
    <row r="62" spans="1:8" x14ac:dyDescent="0.2">
      <c r="A62">
        <v>2021</v>
      </c>
      <c r="B62" s="3" t="str">
        <f t="shared" si="0"/>
        <v>4988</v>
      </c>
      <c r="C62" s="10" t="s">
        <v>75</v>
      </c>
      <c r="D62" s="11">
        <v>2555920</v>
      </c>
      <c r="E62" s="11">
        <v>2555920</v>
      </c>
      <c r="F62" s="10">
        <f t="shared" si="1"/>
        <v>5.2369238743700912E-3</v>
      </c>
      <c r="G62">
        <f t="shared" si="2"/>
        <v>381581.27304642106</v>
      </c>
      <c r="H62" s="2">
        <f t="shared" si="3"/>
        <v>2937501.2730464209</v>
      </c>
    </row>
    <row r="63" spans="1:8" x14ac:dyDescent="0.2">
      <c r="A63">
        <v>2021</v>
      </c>
      <c r="B63" s="3" t="str">
        <f t="shared" si="0"/>
        <v>4990</v>
      </c>
      <c r="C63" s="10" t="s">
        <v>76</v>
      </c>
      <c r="D63" s="11">
        <v>160178</v>
      </c>
      <c r="E63" s="11">
        <v>160178</v>
      </c>
      <c r="F63" s="10">
        <f t="shared" si="1"/>
        <v>3.2819493268523755E-4</v>
      </c>
      <c r="G63">
        <f t="shared" si="2"/>
        <v>23913.473486662191</v>
      </c>
      <c r="H63" s="2">
        <f t="shared" si="3"/>
        <v>184091.4734866622</v>
      </c>
    </row>
    <row r="64" spans="1:8" x14ac:dyDescent="0.2">
      <c r="A64">
        <v>2021</v>
      </c>
      <c r="B64" s="3" t="str">
        <f t="shared" si="0"/>
        <v>4991</v>
      </c>
      <c r="C64" s="10" t="s">
        <v>77</v>
      </c>
      <c r="D64" s="11">
        <v>1101088</v>
      </c>
      <c r="E64" s="11">
        <v>1101088</v>
      </c>
      <c r="F64" s="10">
        <f t="shared" si="1"/>
        <v>2.2560620187574002E-3</v>
      </c>
      <c r="G64">
        <f t="shared" si="2"/>
        <v>164384.86367966823</v>
      </c>
      <c r="H64" s="2">
        <f t="shared" si="3"/>
        <v>1265472.8636796682</v>
      </c>
    </row>
    <row r="65" spans="1:8" x14ac:dyDescent="0.2">
      <c r="A65">
        <v>2021</v>
      </c>
      <c r="B65" s="3" t="str">
        <f t="shared" si="0"/>
        <v>4992</v>
      </c>
      <c r="C65" s="10" t="s">
        <v>78</v>
      </c>
      <c r="D65" s="11">
        <v>288095</v>
      </c>
      <c r="E65" s="11">
        <v>288095</v>
      </c>
      <c r="F65" s="10">
        <f t="shared" si="1"/>
        <v>5.9028904800879965E-4</v>
      </c>
      <c r="G65">
        <f t="shared" si="2"/>
        <v>43010.601606587319</v>
      </c>
      <c r="H65" s="2">
        <f t="shared" si="3"/>
        <v>331105.6016065873</v>
      </c>
    </row>
    <row r="66" spans="1:8" x14ac:dyDescent="0.2">
      <c r="A66">
        <v>2021</v>
      </c>
      <c r="B66" s="3" t="str">
        <f t="shared" si="0"/>
        <v>4993</v>
      </c>
      <c r="C66" s="10" t="s">
        <v>79</v>
      </c>
      <c r="D66" s="11">
        <v>836222</v>
      </c>
      <c r="E66" s="11">
        <v>836222</v>
      </c>
      <c r="F66" s="10">
        <f t="shared" si="1"/>
        <v>1.7133677721030026E-3</v>
      </c>
      <c r="G66">
        <f t="shared" si="2"/>
        <v>124842.19197370195</v>
      </c>
      <c r="H66" s="2">
        <f t="shared" si="3"/>
        <v>961064.19197370193</v>
      </c>
    </row>
    <row r="67" spans="1:8" x14ac:dyDescent="0.2">
      <c r="A67">
        <v>2021</v>
      </c>
      <c r="B67" s="3" t="str">
        <f t="shared" ref="B67:B130" si="4">LEFT(C67,4)</f>
        <v>4994</v>
      </c>
      <c r="C67" s="10" t="s">
        <v>80</v>
      </c>
      <c r="D67" s="11">
        <v>197504</v>
      </c>
      <c r="E67" s="11">
        <v>197504</v>
      </c>
      <c r="F67" s="10">
        <f t="shared" ref="F67:F130" si="5">D67/$D$335</f>
        <v>4.046736254982904E-4</v>
      </c>
      <c r="G67">
        <f t="shared" ref="G67:G130" si="6">F67*$D$336</f>
        <v>29485.988509718747</v>
      </c>
      <c r="H67" s="2">
        <f t="shared" ref="H67:H130" si="7">SUM(G67,D67)</f>
        <v>226989.98850971874</v>
      </c>
    </row>
    <row r="68" spans="1:8" x14ac:dyDescent="0.2">
      <c r="A68">
        <v>2021</v>
      </c>
      <c r="B68" s="3" t="str">
        <f t="shared" si="4"/>
        <v>4995</v>
      </c>
      <c r="C68" s="10" t="s">
        <v>81</v>
      </c>
      <c r="D68" s="11">
        <v>862081</v>
      </c>
      <c r="E68" s="11">
        <v>862081</v>
      </c>
      <c r="F68" s="10">
        <f t="shared" si="5"/>
        <v>1.7663512827243585E-3</v>
      </c>
      <c r="G68">
        <f t="shared" si="6"/>
        <v>128702.76278175048</v>
      </c>
      <c r="H68" s="2">
        <f t="shared" si="7"/>
        <v>990783.76278175053</v>
      </c>
    </row>
    <row r="69" spans="1:8" x14ac:dyDescent="0.2">
      <c r="A69">
        <v>2021</v>
      </c>
      <c r="B69" s="3" t="str">
        <f t="shared" si="4"/>
        <v>4996</v>
      </c>
      <c r="C69" s="10" t="s">
        <v>82</v>
      </c>
      <c r="D69" s="11">
        <v>261574</v>
      </c>
      <c r="E69" s="11">
        <v>261574</v>
      </c>
      <c r="F69" s="10">
        <f t="shared" si="5"/>
        <v>5.3594913984572373E-4</v>
      </c>
      <c r="G69">
        <f t="shared" si="6"/>
        <v>39051.198752638789</v>
      </c>
      <c r="H69" s="2">
        <f t="shared" si="7"/>
        <v>300625.19875263877</v>
      </c>
    </row>
    <row r="70" spans="1:8" x14ac:dyDescent="0.2">
      <c r="A70">
        <v>2021</v>
      </c>
      <c r="B70" s="3" t="str">
        <f t="shared" si="4"/>
        <v>4997</v>
      </c>
      <c r="C70" s="10" t="s">
        <v>83</v>
      </c>
      <c r="D70" s="11">
        <v>3793574</v>
      </c>
      <c r="E70" s="11">
        <v>3793574</v>
      </c>
      <c r="F70" s="10">
        <f t="shared" si="5"/>
        <v>7.7728012808654587E-3</v>
      </c>
      <c r="G70">
        <f t="shared" si="6"/>
        <v>566354.50104690425</v>
      </c>
      <c r="H70" s="2">
        <f t="shared" si="7"/>
        <v>4359928.5010469044</v>
      </c>
    </row>
    <row r="71" spans="1:8" x14ac:dyDescent="0.2">
      <c r="A71">
        <v>2021</v>
      </c>
      <c r="B71" s="3" t="str">
        <f t="shared" si="4"/>
        <v>4998</v>
      </c>
      <c r="C71" s="10" t="s">
        <v>84</v>
      </c>
      <c r="D71" s="11">
        <v>463150</v>
      </c>
      <c r="E71" s="11">
        <v>463150</v>
      </c>
      <c r="F71" s="10">
        <f t="shared" si="5"/>
        <v>9.4896604448281151E-4</v>
      </c>
      <c r="G71">
        <f t="shared" si="6"/>
        <v>69145.108849827026</v>
      </c>
      <c r="H71" s="2">
        <f t="shared" si="7"/>
        <v>532295.10884982697</v>
      </c>
    </row>
    <row r="72" spans="1:8" x14ac:dyDescent="0.2">
      <c r="A72">
        <v>2021</v>
      </c>
      <c r="B72" s="3" t="str">
        <f t="shared" si="4"/>
        <v>4999</v>
      </c>
      <c r="C72" s="10" t="s">
        <v>352</v>
      </c>
      <c r="D72" s="11">
        <v>7084430</v>
      </c>
      <c r="E72" s="11">
        <v>7084430</v>
      </c>
      <c r="F72" s="10">
        <f t="shared" si="5"/>
        <v>1.4515564103455392E-2</v>
      </c>
      <c r="G72">
        <f t="shared" si="6"/>
        <v>1057656.6630443272</v>
      </c>
      <c r="H72" s="2">
        <f t="shared" si="7"/>
        <v>8142086.6630443269</v>
      </c>
    </row>
    <row r="73" spans="1:8" x14ac:dyDescent="0.2">
      <c r="A73">
        <v>2021</v>
      </c>
      <c r="B73" s="3" t="str">
        <f t="shared" si="4"/>
        <v>5000</v>
      </c>
      <c r="C73" s="10" t="s">
        <v>86</v>
      </c>
      <c r="D73" s="11">
        <v>4345118</v>
      </c>
      <c r="E73" s="11">
        <v>4345118</v>
      </c>
      <c r="F73" s="10">
        <f t="shared" si="5"/>
        <v>8.9028812291289325E-3</v>
      </c>
      <c r="G73">
        <f t="shared" si="6"/>
        <v>648696.22600743326</v>
      </c>
      <c r="H73" s="2">
        <f t="shared" si="7"/>
        <v>4993814.2260074336</v>
      </c>
    </row>
    <row r="74" spans="1:8" x14ac:dyDescent="0.2">
      <c r="A74">
        <v>2021</v>
      </c>
      <c r="B74" s="3" t="str">
        <f t="shared" si="4"/>
        <v>5001</v>
      </c>
      <c r="C74" s="10" t="s">
        <v>87</v>
      </c>
      <c r="D74" s="11">
        <v>270026</v>
      </c>
      <c r="E74" s="11">
        <v>270026</v>
      </c>
      <c r="F74" s="10">
        <f t="shared" si="5"/>
        <v>5.5326677129982865E-4</v>
      </c>
      <c r="G74">
        <f t="shared" si="6"/>
        <v>40313.024208751791</v>
      </c>
      <c r="H74" s="2">
        <f t="shared" si="7"/>
        <v>310339.0242087518</v>
      </c>
    </row>
    <row r="75" spans="1:8" x14ac:dyDescent="0.2">
      <c r="A75">
        <v>2021</v>
      </c>
      <c r="B75" s="3" t="str">
        <f t="shared" si="4"/>
        <v>5002</v>
      </c>
      <c r="C75" s="10" t="s">
        <v>88</v>
      </c>
      <c r="D75" s="11">
        <v>108349</v>
      </c>
      <c r="E75" s="11">
        <v>108349</v>
      </c>
      <c r="F75" s="10">
        <f t="shared" si="5"/>
        <v>2.2200047922631575E-4</v>
      </c>
      <c r="G75">
        <f t="shared" si="6"/>
        <v>16175.760334167999</v>
      </c>
      <c r="H75" s="2">
        <f t="shared" si="7"/>
        <v>124524.76033416799</v>
      </c>
    </row>
    <row r="76" spans="1:8" x14ac:dyDescent="0.2">
      <c r="A76">
        <v>2021</v>
      </c>
      <c r="B76" s="3" t="str">
        <f t="shared" si="4"/>
        <v>5004</v>
      </c>
      <c r="C76" s="10" t="s">
        <v>89</v>
      </c>
      <c r="D76" s="11">
        <v>1308556</v>
      </c>
      <c r="E76" s="11">
        <v>1308556</v>
      </c>
      <c r="F76" s="10">
        <f t="shared" si="5"/>
        <v>2.681151271303573E-3</v>
      </c>
      <c r="G76">
        <f t="shared" si="6"/>
        <v>195358.40884399062</v>
      </c>
      <c r="H76" s="2">
        <f t="shared" si="7"/>
        <v>1503914.4088439906</v>
      </c>
    </row>
    <row r="77" spans="1:8" x14ac:dyDescent="0.2">
      <c r="A77">
        <v>2021</v>
      </c>
      <c r="B77" s="3" t="str">
        <f t="shared" si="4"/>
        <v>5005</v>
      </c>
      <c r="C77" s="10" t="s">
        <v>90</v>
      </c>
      <c r="D77" s="11">
        <v>641408</v>
      </c>
      <c r="E77" s="11">
        <v>641408</v>
      </c>
      <c r="F77" s="10">
        <f t="shared" si="5"/>
        <v>1.3142057922047527E-3</v>
      </c>
      <c r="G77">
        <f t="shared" si="6"/>
        <v>95757.801958652402</v>
      </c>
      <c r="H77" s="2">
        <f t="shared" si="7"/>
        <v>737165.80195865245</v>
      </c>
    </row>
    <row r="78" spans="1:8" x14ac:dyDescent="0.2">
      <c r="A78">
        <v>2021</v>
      </c>
      <c r="B78" s="3" t="str">
        <f t="shared" si="4"/>
        <v>5006</v>
      </c>
      <c r="C78" s="10" t="s">
        <v>91</v>
      </c>
      <c r="D78" s="11">
        <v>274114</v>
      </c>
      <c r="E78" s="11">
        <v>274114</v>
      </c>
      <c r="F78" s="10">
        <f t="shared" si="5"/>
        <v>5.6164283346078249E-4</v>
      </c>
      <c r="G78">
        <f t="shared" si="6"/>
        <v>40923.334486152409</v>
      </c>
      <c r="H78" s="2">
        <f t="shared" si="7"/>
        <v>315037.33448615239</v>
      </c>
    </row>
    <row r="79" spans="1:8" x14ac:dyDescent="0.2">
      <c r="A79">
        <v>2021</v>
      </c>
      <c r="B79" s="3" t="str">
        <f t="shared" si="4"/>
        <v>5007</v>
      </c>
      <c r="C79" s="10" t="s">
        <v>143</v>
      </c>
      <c r="D79" s="11">
        <v>154343</v>
      </c>
      <c r="E79" s="11">
        <v>154343</v>
      </c>
      <c r="F79" s="10">
        <f t="shared" si="5"/>
        <v>3.1623937429258462E-4</v>
      </c>
      <c r="G79">
        <f t="shared" si="6"/>
        <v>23042.348127407648</v>
      </c>
      <c r="H79" s="2">
        <f t="shared" si="7"/>
        <v>177385.34812740766</v>
      </c>
    </row>
    <row r="80" spans="1:8" x14ac:dyDescent="0.2">
      <c r="A80">
        <v>2021</v>
      </c>
      <c r="B80" s="3" t="str">
        <f t="shared" si="4"/>
        <v>5008</v>
      </c>
      <c r="C80" s="10" t="s">
        <v>92</v>
      </c>
      <c r="D80" s="11">
        <v>703381</v>
      </c>
      <c r="E80" s="11">
        <v>703381</v>
      </c>
      <c r="F80" s="10">
        <f t="shared" si="5"/>
        <v>1.4411846817108159E-3</v>
      </c>
      <c r="G80">
        <f t="shared" si="6"/>
        <v>105009.94452747529</v>
      </c>
      <c r="H80" s="2">
        <f t="shared" si="7"/>
        <v>808390.94452747528</v>
      </c>
    </row>
    <row r="81" spans="1:8" x14ac:dyDescent="0.2">
      <c r="A81">
        <v>2021</v>
      </c>
      <c r="B81" s="3" t="str">
        <f t="shared" si="4"/>
        <v>5010</v>
      </c>
      <c r="C81" s="10" t="s">
        <v>93</v>
      </c>
      <c r="D81" s="11">
        <v>1692803</v>
      </c>
      <c r="E81" s="11">
        <v>1692803</v>
      </c>
      <c r="F81" s="10">
        <f t="shared" si="5"/>
        <v>3.4684498909611072E-3</v>
      </c>
      <c r="G81">
        <f t="shared" si="6"/>
        <v>252723.84259163067</v>
      </c>
      <c r="H81" s="2">
        <f t="shared" si="7"/>
        <v>1945526.8425916308</v>
      </c>
    </row>
    <row r="82" spans="1:8" x14ac:dyDescent="0.2">
      <c r="A82">
        <v>2021</v>
      </c>
      <c r="B82" s="3" t="str">
        <f t="shared" si="4"/>
        <v>5011</v>
      </c>
      <c r="C82" s="10" t="s">
        <v>94</v>
      </c>
      <c r="D82" s="11">
        <v>587086</v>
      </c>
      <c r="E82" s="11">
        <v>587086</v>
      </c>
      <c r="F82" s="10">
        <f t="shared" si="5"/>
        <v>1.2029033341060906E-3</v>
      </c>
      <c r="G82">
        <f t="shared" si="6"/>
        <v>87647.901056265895</v>
      </c>
      <c r="H82" s="2">
        <f t="shared" si="7"/>
        <v>674733.90105626592</v>
      </c>
    </row>
    <row r="83" spans="1:8" x14ac:dyDescent="0.2">
      <c r="A83">
        <v>2021</v>
      </c>
      <c r="B83" s="3" t="str">
        <f t="shared" si="4"/>
        <v>5012</v>
      </c>
      <c r="C83" s="10" t="s">
        <v>95</v>
      </c>
      <c r="D83" s="11">
        <v>386506</v>
      </c>
      <c r="E83" s="11">
        <v>386506</v>
      </c>
      <c r="F83" s="10">
        <f t="shared" si="5"/>
        <v>7.9192717259823713E-4</v>
      </c>
      <c r="G83">
        <f t="shared" si="6"/>
        <v>57702.686907289746</v>
      </c>
      <c r="H83" s="2">
        <f t="shared" si="7"/>
        <v>444208.68690728972</v>
      </c>
    </row>
    <row r="84" spans="1:8" x14ac:dyDescent="0.2">
      <c r="A84">
        <v>2021</v>
      </c>
      <c r="B84" s="3" t="str">
        <f t="shared" si="4"/>
        <v>5657</v>
      </c>
      <c r="C84" s="17" t="s">
        <v>354</v>
      </c>
      <c r="D84" s="11">
        <v>1789</v>
      </c>
      <c r="E84" s="11">
        <v>1789</v>
      </c>
      <c r="F84" s="10">
        <f t="shared" si="5"/>
        <v>3.6655516648596564E-6</v>
      </c>
      <c r="G84">
        <f t="shared" si="6"/>
        <v>267.08539292311468</v>
      </c>
      <c r="H84" s="2">
        <f t="shared" si="7"/>
        <v>2056.0853929231148</v>
      </c>
    </row>
    <row r="85" spans="1:8" x14ac:dyDescent="0.2">
      <c r="A85">
        <v>2021</v>
      </c>
      <c r="B85" s="3" t="str">
        <f t="shared" si="4"/>
        <v>5014</v>
      </c>
      <c r="C85" s="10" t="s">
        <v>97</v>
      </c>
      <c r="D85" s="11">
        <v>1530355</v>
      </c>
      <c r="E85" s="11">
        <v>1530355</v>
      </c>
      <c r="F85" s="10">
        <f t="shared" si="5"/>
        <v>3.135603867007434E-3</v>
      </c>
      <c r="G85">
        <f t="shared" si="6"/>
        <v>228471.47372099114</v>
      </c>
      <c r="H85" s="2">
        <f t="shared" si="7"/>
        <v>1758826.4737209911</v>
      </c>
    </row>
    <row r="86" spans="1:8" x14ac:dyDescent="0.2">
      <c r="A86">
        <v>2021</v>
      </c>
      <c r="B86" s="3" t="str">
        <f t="shared" si="4"/>
        <v>5015</v>
      </c>
      <c r="C86" s="10" t="s">
        <v>98</v>
      </c>
      <c r="D86" s="11">
        <v>428165</v>
      </c>
      <c r="E86" s="11">
        <v>428165</v>
      </c>
      <c r="F86" s="10">
        <f t="shared" si="5"/>
        <v>8.7728391759901323E-4</v>
      </c>
      <c r="G86">
        <f t="shared" si="6"/>
        <v>63922.089022317152</v>
      </c>
      <c r="H86" s="2">
        <f t="shared" si="7"/>
        <v>492087.08902231714</v>
      </c>
    </row>
    <row r="87" spans="1:8" x14ac:dyDescent="0.2">
      <c r="A87">
        <v>2021</v>
      </c>
      <c r="B87" s="3" t="str">
        <f t="shared" si="4"/>
        <v>5016</v>
      </c>
      <c r="C87" s="10" t="s">
        <v>99</v>
      </c>
      <c r="D87" s="11">
        <v>586407</v>
      </c>
      <c r="E87" s="11">
        <v>586407</v>
      </c>
      <c r="F87" s="10">
        <f t="shared" si="5"/>
        <v>1.2015121046033295E-3</v>
      </c>
      <c r="G87">
        <f t="shared" si="6"/>
        <v>87546.531027314093</v>
      </c>
      <c r="H87" s="2">
        <f t="shared" si="7"/>
        <v>673953.53102731414</v>
      </c>
    </row>
    <row r="88" spans="1:8" x14ac:dyDescent="0.2">
      <c r="A88">
        <v>2021</v>
      </c>
      <c r="B88" s="3" t="str">
        <f t="shared" si="4"/>
        <v>5017</v>
      </c>
      <c r="C88" s="10" t="s">
        <v>100</v>
      </c>
      <c r="D88" s="11">
        <v>3789590</v>
      </c>
      <c r="E88" s="11">
        <v>3789590</v>
      </c>
      <c r="F88" s="10">
        <f t="shared" si="5"/>
        <v>7.7646383083485211E-3</v>
      </c>
      <c r="G88">
        <f t="shared" si="6"/>
        <v>565759.7172540559</v>
      </c>
      <c r="H88" s="2">
        <f t="shared" si="7"/>
        <v>4355349.7172540557</v>
      </c>
    </row>
    <row r="89" spans="1:8" x14ac:dyDescent="0.2">
      <c r="A89">
        <v>2021</v>
      </c>
      <c r="B89" s="3" t="str">
        <f t="shared" si="4"/>
        <v>5018</v>
      </c>
      <c r="C89" s="10" t="s">
        <v>101</v>
      </c>
      <c r="D89" s="11">
        <v>255474</v>
      </c>
      <c r="E89" s="11">
        <v>255474</v>
      </c>
      <c r="F89" s="10">
        <f t="shared" si="5"/>
        <v>5.2345061264860585E-4</v>
      </c>
      <c r="G89">
        <f t="shared" si="6"/>
        <v>38140.510716400109</v>
      </c>
      <c r="H89" s="2">
        <f t="shared" si="7"/>
        <v>293614.51071640011</v>
      </c>
    </row>
    <row r="90" spans="1:8" x14ac:dyDescent="0.2">
      <c r="A90">
        <v>2021</v>
      </c>
      <c r="B90" s="3" t="str">
        <f t="shared" si="4"/>
        <v>5019</v>
      </c>
      <c r="C90" s="10" t="s">
        <v>102</v>
      </c>
      <c r="D90" s="11">
        <v>2678494</v>
      </c>
      <c r="E90" s="11">
        <v>2678494</v>
      </c>
      <c r="F90" s="10">
        <f t="shared" si="5"/>
        <v>5.4880705092323085E-3</v>
      </c>
      <c r="G90">
        <f t="shared" si="6"/>
        <v>399880.72802247352</v>
      </c>
      <c r="H90" s="2">
        <f t="shared" si="7"/>
        <v>3078374.7280224734</v>
      </c>
    </row>
    <row r="91" spans="1:8" x14ac:dyDescent="0.2">
      <c r="A91">
        <v>2021</v>
      </c>
      <c r="B91" s="3" t="str">
        <f t="shared" si="4"/>
        <v>5020</v>
      </c>
      <c r="C91" s="10" t="s">
        <v>103</v>
      </c>
      <c r="D91" s="11">
        <v>7635691</v>
      </c>
      <c r="E91" s="11">
        <v>7635691</v>
      </c>
      <c r="F91" s="10">
        <f t="shared" si="5"/>
        <v>1.5645064202014475E-2</v>
      </c>
      <c r="G91">
        <f t="shared" si="6"/>
        <v>1139956.1380516996</v>
      </c>
      <c r="H91" s="2">
        <f t="shared" si="7"/>
        <v>8775647.1380516998</v>
      </c>
    </row>
    <row r="92" spans="1:8" x14ac:dyDescent="0.2">
      <c r="A92">
        <v>2021</v>
      </c>
      <c r="B92" s="3" t="str">
        <f t="shared" si="4"/>
        <v>5021</v>
      </c>
      <c r="C92" s="10" t="s">
        <v>104</v>
      </c>
      <c r="D92" s="11">
        <v>275004</v>
      </c>
      <c r="E92" s="11">
        <v>275004</v>
      </c>
      <c r="F92" s="10">
        <f t="shared" si="5"/>
        <v>5.6346638906823085E-4</v>
      </c>
      <c r="G92">
        <f t="shared" si="6"/>
        <v>41056.205363570836</v>
      </c>
      <c r="H92" s="2">
        <f t="shared" si="7"/>
        <v>316060.20536357083</v>
      </c>
    </row>
    <row r="93" spans="1:8" x14ac:dyDescent="0.2">
      <c r="A93">
        <v>2021</v>
      </c>
      <c r="B93" s="3" t="str">
        <f t="shared" si="4"/>
        <v>5022</v>
      </c>
      <c r="C93" s="10" t="s">
        <v>105</v>
      </c>
      <c r="D93" s="11">
        <v>4757528</v>
      </c>
      <c r="E93" s="11">
        <v>4757528</v>
      </c>
      <c r="F93" s="10">
        <f t="shared" si="5"/>
        <v>9.7478841145983396E-3</v>
      </c>
      <c r="G93">
        <f t="shared" si="6"/>
        <v>710266.20191320276</v>
      </c>
      <c r="H93" s="2">
        <f t="shared" si="7"/>
        <v>5467794.2019132031</v>
      </c>
    </row>
    <row r="94" spans="1:8" x14ac:dyDescent="0.2">
      <c r="A94">
        <v>2021</v>
      </c>
      <c r="B94" s="3" t="str">
        <f t="shared" si="4"/>
        <v>5024</v>
      </c>
      <c r="C94" s="10" t="s">
        <v>106</v>
      </c>
      <c r="D94" s="11">
        <v>694693</v>
      </c>
      <c r="E94" s="11">
        <v>694693</v>
      </c>
      <c r="F94" s="10">
        <f t="shared" si="5"/>
        <v>1.4233835006799045E-3</v>
      </c>
      <c r="G94">
        <f t="shared" si="6"/>
        <v>103712.88589487832</v>
      </c>
      <c r="H94" s="2">
        <f t="shared" si="7"/>
        <v>798405.8858948783</v>
      </c>
    </row>
    <row r="95" spans="1:8" x14ac:dyDescent="0.2">
      <c r="A95">
        <v>2021</v>
      </c>
      <c r="B95" s="3" t="str">
        <f t="shared" si="4"/>
        <v>5025</v>
      </c>
      <c r="C95" s="10" t="s">
        <v>107</v>
      </c>
      <c r="D95" s="11">
        <v>1942652</v>
      </c>
      <c r="E95" s="11">
        <v>1942652</v>
      </c>
      <c r="F95" s="10">
        <f t="shared" si="5"/>
        <v>3.9803752223828625E-3</v>
      </c>
      <c r="G95">
        <f t="shared" si="6"/>
        <v>290024.57950412214</v>
      </c>
      <c r="H95" s="2">
        <f t="shared" si="7"/>
        <v>2232676.579504122</v>
      </c>
    </row>
    <row r="96" spans="1:8" x14ac:dyDescent="0.2">
      <c r="A96">
        <v>2021</v>
      </c>
      <c r="B96" s="3" t="str">
        <f t="shared" si="4"/>
        <v>5026</v>
      </c>
      <c r="C96" s="10" t="s">
        <v>108</v>
      </c>
      <c r="D96" s="11">
        <v>407049</v>
      </c>
      <c r="E96" s="11">
        <v>407049</v>
      </c>
      <c r="F96" s="10">
        <f t="shared" si="5"/>
        <v>8.340185241081376E-4</v>
      </c>
      <c r="G96">
        <f t="shared" si="6"/>
        <v>60769.615485724367</v>
      </c>
      <c r="H96" s="2">
        <f t="shared" si="7"/>
        <v>467818.61548572435</v>
      </c>
    </row>
    <row r="97" spans="1:8" x14ac:dyDescent="0.2">
      <c r="A97">
        <v>2021</v>
      </c>
      <c r="B97" s="3" t="str">
        <f t="shared" si="4"/>
        <v>5027</v>
      </c>
      <c r="C97" s="10" t="s">
        <v>109</v>
      </c>
      <c r="D97" s="11">
        <v>6070902</v>
      </c>
      <c r="E97" s="11">
        <v>6070902</v>
      </c>
      <c r="F97" s="10">
        <f t="shared" si="5"/>
        <v>1.2438907173448751E-2</v>
      </c>
      <c r="G97">
        <f t="shared" si="6"/>
        <v>906343.90501270129</v>
      </c>
      <c r="H97" s="2">
        <f t="shared" si="7"/>
        <v>6977245.9050127016</v>
      </c>
    </row>
    <row r="98" spans="1:8" x14ac:dyDescent="0.2">
      <c r="A98">
        <v>2021</v>
      </c>
      <c r="B98" s="3" t="str">
        <f t="shared" si="4"/>
        <v>5028</v>
      </c>
      <c r="C98" s="10" t="s">
        <v>110</v>
      </c>
      <c r="D98" s="11">
        <v>1450227</v>
      </c>
      <c r="E98" s="11">
        <v>1450227</v>
      </c>
      <c r="F98" s="10">
        <f t="shared" si="5"/>
        <v>2.9714264920483089E-3</v>
      </c>
      <c r="G98">
        <f t="shared" si="6"/>
        <v>216508.91454595292</v>
      </c>
      <c r="H98" s="2">
        <f t="shared" si="7"/>
        <v>1666735.9145459528</v>
      </c>
    </row>
    <row r="99" spans="1:8" x14ac:dyDescent="0.2">
      <c r="A99">
        <v>2021</v>
      </c>
      <c r="B99" s="3" t="str">
        <f t="shared" si="4"/>
        <v>5029</v>
      </c>
      <c r="C99" s="10" t="s">
        <v>111</v>
      </c>
      <c r="D99" s="11">
        <v>504729</v>
      </c>
      <c r="E99" s="11">
        <v>504729</v>
      </c>
      <c r="F99" s="10">
        <f t="shared" si="5"/>
        <v>1.0341588743728058E-3</v>
      </c>
      <c r="G99">
        <f t="shared" si="6"/>
        <v>75352.567515198854</v>
      </c>
      <c r="H99" s="2">
        <f t="shared" si="7"/>
        <v>580081.56751519884</v>
      </c>
    </row>
    <row r="100" spans="1:8" x14ac:dyDescent="0.2">
      <c r="A100">
        <v>2021</v>
      </c>
      <c r="B100" s="3" t="str">
        <f t="shared" si="4"/>
        <v>5031</v>
      </c>
      <c r="C100" s="10" t="s">
        <v>112</v>
      </c>
      <c r="D100" s="11">
        <v>9468666</v>
      </c>
      <c r="E100" s="11">
        <v>9468666</v>
      </c>
      <c r="F100" s="10">
        <f t="shared" si="5"/>
        <v>1.9400717954332042E-2</v>
      </c>
      <c r="G100">
        <f t="shared" si="6"/>
        <v>1413606.6959573708</v>
      </c>
      <c r="H100" s="2">
        <f t="shared" si="7"/>
        <v>10882272.69595737</v>
      </c>
    </row>
    <row r="101" spans="1:8" x14ac:dyDescent="0.2">
      <c r="A101">
        <v>2021</v>
      </c>
      <c r="B101" s="3" t="str">
        <f t="shared" si="4"/>
        <v>5032</v>
      </c>
      <c r="C101" s="10" t="s">
        <v>113</v>
      </c>
      <c r="D101" s="11">
        <v>840263</v>
      </c>
      <c r="E101" s="11">
        <v>840263</v>
      </c>
      <c r="F101" s="10">
        <f t="shared" si="5"/>
        <v>1.7216475341363718E-3</v>
      </c>
      <c r="G101">
        <f t="shared" si="6"/>
        <v>125445.48547442989</v>
      </c>
      <c r="H101" s="2">
        <f t="shared" si="7"/>
        <v>965708.48547442991</v>
      </c>
    </row>
    <row r="102" spans="1:8" x14ac:dyDescent="0.2">
      <c r="A102">
        <v>2021</v>
      </c>
      <c r="B102" s="3" t="str">
        <f t="shared" si="4"/>
        <v>5033</v>
      </c>
      <c r="C102" s="10" t="s">
        <v>114</v>
      </c>
      <c r="D102" s="11">
        <v>578725</v>
      </c>
      <c r="E102" s="11">
        <v>578725</v>
      </c>
      <c r="F102" s="10">
        <f t="shared" si="5"/>
        <v>1.1857721560905E-3</v>
      </c>
      <c r="G102">
        <f t="shared" si="6"/>
        <v>86399.661274136131</v>
      </c>
      <c r="H102" s="2">
        <f t="shared" si="7"/>
        <v>665124.66127413616</v>
      </c>
    </row>
    <row r="103" spans="1:8" x14ac:dyDescent="0.2">
      <c r="A103">
        <v>2021</v>
      </c>
      <c r="B103" s="3" t="str">
        <f t="shared" si="4"/>
        <v>5034</v>
      </c>
      <c r="C103" s="10" t="s">
        <v>115</v>
      </c>
      <c r="D103" s="11">
        <v>266378</v>
      </c>
      <c r="E103" s="11">
        <v>266378</v>
      </c>
      <c r="F103" s="10">
        <f t="shared" si="5"/>
        <v>5.4579224224817521E-4</v>
      </c>
      <c r="G103">
        <f t="shared" si="6"/>
        <v>39768.402904456925</v>
      </c>
      <c r="H103" s="2">
        <f t="shared" si="7"/>
        <v>306146.40290445695</v>
      </c>
    </row>
    <row r="104" spans="1:8" x14ac:dyDescent="0.2">
      <c r="A104">
        <v>2021</v>
      </c>
      <c r="B104" s="3" t="str">
        <f t="shared" si="4"/>
        <v>5035</v>
      </c>
      <c r="C104" s="10" t="s">
        <v>116</v>
      </c>
      <c r="D104" s="11">
        <v>1536527</v>
      </c>
      <c r="E104" s="11">
        <v>1536527</v>
      </c>
      <c r="F104" s="10">
        <f t="shared" si="5"/>
        <v>3.1482499178042554E-3</v>
      </c>
      <c r="G104">
        <f t="shared" si="6"/>
        <v>229392.91086191984</v>
      </c>
      <c r="H104" s="2">
        <f t="shared" si="7"/>
        <v>1765919.9108619199</v>
      </c>
    </row>
    <row r="105" spans="1:8" x14ac:dyDescent="0.2">
      <c r="A105">
        <v>2021</v>
      </c>
      <c r="B105" s="3" t="str">
        <f t="shared" si="4"/>
        <v>5036</v>
      </c>
      <c r="C105" s="10" t="s">
        <v>117</v>
      </c>
      <c r="D105" s="11">
        <v>840788</v>
      </c>
      <c r="E105" s="11">
        <v>840788</v>
      </c>
      <c r="F105" s="10">
        <f t="shared" si="5"/>
        <v>1.7227232270508779E-3</v>
      </c>
      <c r="G105">
        <f t="shared" si="6"/>
        <v>125523.8643627947</v>
      </c>
      <c r="H105" s="2">
        <f t="shared" si="7"/>
        <v>966311.86436279467</v>
      </c>
    </row>
    <row r="106" spans="1:8" x14ac:dyDescent="0.2">
      <c r="A106">
        <v>2021</v>
      </c>
      <c r="B106" s="3" t="str">
        <f t="shared" si="4"/>
        <v>5037</v>
      </c>
      <c r="C106" s="10" t="s">
        <v>118</v>
      </c>
      <c r="D106" s="11">
        <v>2976881</v>
      </c>
      <c r="E106" s="11">
        <v>2976881</v>
      </c>
      <c r="F106" s="10">
        <f t="shared" si="5"/>
        <v>6.099447236243196E-3</v>
      </c>
      <c r="G106">
        <f t="shared" si="6"/>
        <v>444427.85442725237</v>
      </c>
      <c r="H106" s="2">
        <f t="shared" si="7"/>
        <v>3421308.8544272524</v>
      </c>
    </row>
    <row r="107" spans="1:8" x14ac:dyDescent="0.2">
      <c r="A107">
        <v>2021</v>
      </c>
      <c r="B107" s="3" t="str">
        <f t="shared" si="4"/>
        <v>5038</v>
      </c>
      <c r="C107" s="10" t="s">
        <v>119</v>
      </c>
      <c r="D107" s="11">
        <v>383685</v>
      </c>
      <c r="E107" s="11">
        <v>383685</v>
      </c>
      <c r="F107" s="10">
        <f t="shared" si="5"/>
        <v>7.861471160042913E-4</v>
      </c>
      <c r="G107">
        <f t="shared" si="6"/>
        <v>57281.53101380953</v>
      </c>
      <c r="H107" s="2">
        <f t="shared" si="7"/>
        <v>440966.53101380955</v>
      </c>
    </row>
    <row r="108" spans="1:8" x14ac:dyDescent="0.2">
      <c r="A108">
        <v>2021</v>
      </c>
      <c r="B108" s="3" t="str">
        <f t="shared" si="4"/>
        <v>5039</v>
      </c>
      <c r="C108" s="10" t="s">
        <v>120</v>
      </c>
      <c r="D108" s="11">
        <v>465291</v>
      </c>
      <c r="E108" s="11">
        <v>465291</v>
      </c>
      <c r="F108" s="10">
        <f t="shared" si="5"/>
        <v>9.5335282263511137E-4</v>
      </c>
      <c r="G108">
        <f t="shared" si="6"/>
        <v>69464.745421234737</v>
      </c>
      <c r="H108" s="2">
        <f t="shared" si="7"/>
        <v>534755.74542123475</v>
      </c>
    </row>
    <row r="109" spans="1:8" x14ac:dyDescent="0.2">
      <c r="A109">
        <v>2021</v>
      </c>
      <c r="B109" s="3" t="str">
        <f t="shared" si="4"/>
        <v>5040</v>
      </c>
      <c r="C109" s="10" t="s">
        <v>121</v>
      </c>
      <c r="D109" s="11">
        <v>1556567</v>
      </c>
      <c r="E109" s="11">
        <v>1556567</v>
      </c>
      <c r="F109" s="10">
        <f t="shared" si="5"/>
        <v>3.1893106530551151E-3</v>
      </c>
      <c r="G109">
        <f t="shared" si="6"/>
        <v>232384.74500064497</v>
      </c>
      <c r="H109" s="2">
        <f t="shared" si="7"/>
        <v>1788951.7450006451</v>
      </c>
    </row>
    <row r="110" spans="1:8" x14ac:dyDescent="0.2">
      <c r="A110">
        <v>2021</v>
      </c>
      <c r="B110" s="3" t="str">
        <f t="shared" si="4"/>
        <v>5041</v>
      </c>
      <c r="C110" s="10" t="s">
        <v>122</v>
      </c>
      <c r="D110" s="11">
        <v>7501749</v>
      </c>
      <c r="E110" s="11">
        <v>7501749</v>
      </c>
      <c r="F110" s="10">
        <f t="shared" si="5"/>
        <v>1.5370625229910152E-2</v>
      </c>
      <c r="G110">
        <f t="shared" si="6"/>
        <v>1119959.5188795878</v>
      </c>
      <c r="H110" s="2">
        <f t="shared" si="7"/>
        <v>8621708.5188795887</v>
      </c>
    </row>
    <row r="111" spans="1:8" x14ac:dyDescent="0.2">
      <c r="A111">
        <v>2021</v>
      </c>
      <c r="B111" s="3" t="str">
        <f t="shared" si="4"/>
        <v>5042</v>
      </c>
      <c r="C111" s="10" t="s">
        <v>123</v>
      </c>
      <c r="D111" s="11">
        <v>2462467</v>
      </c>
      <c r="E111" s="11">
        <v>2462467</v>
      </c>
      <c r="F111" s="10">
        <f t="shared" si="5"/>
        <v>5.0454443887713602E-3</v>
      </c>
      <c r="G111">
        <f t="shared" si="6"/>
        <v>367629.38303812378</v>
      </c>
      <c r="H111" s="2">
        <f t="shared" si="7"/>
        <v>2830096.3830381236</v>
      </c>
    </row>
    <row r="112" spans="1:8" x14ac:dyDescent="0.2">
      <c r="A112">
        <v>2021</v>
      </c>
      <c r="B112" s="3" t="str">
        <f t="shared" si="4"/>
        <v>5043</v>
      </c>
      <c r="C112" s="10" t="s">
        <v>124</v>
      </c>
      <c r="D112" s="11">
        <v>3255808</v>
      </c>
      <c r="E112" s="11">
        <v>3255808</v>
      </c>
      <c r="F112" s="10">
        <f t="shared" si="5"/>
        <v>6.6709516125563932E-3</v>
      </c>
      <c r="G112">
        <f t="shared" si="6"/>
        <v>486069.73670330917</v>
      </c>
      <c r="H112" s="2">
        <f t="shared" si="7"/>
        <v>3741877.7367033092</v>
      </c>
    </row>
    <row r="113" spans="1:8" x14ac:dyDescent="0.2">
      <c r="A113">
        <v>2021</v>
      </c>
      <c r="B113" s="3" t="str">
        <f t="shared" si="4"/>
        <v>5056</v>
      </c>
      <c r="C113" s="10" t="s">
        <v>125</v>
      </c>
      <c r="D113" s="11">
        <v>349966</v>
      </c>
      <c r="E113" s="11">
        <v>349966</v>
      </c>
      <c r="F113" s="10">
        <f t="shared" si="5"/>
        <v>7.1705894574861627E-4</v>
      </c>
      <c r="G113">
        <f t="shared" si="6"/>
        <v>52247.516277099356</v>
      </c>
      <c r="H113" s="2">
        <f t="shared" si="7"/>
        <v>402213.51627709938</v>
      </c>
    </row>
    <row r="114" spans="1:8" x14ac:dyDescent="0.2">
      <c r="A114">
        <v>2021</v>
      </c>
      <c r="B114" s="3" t="str">
        <f t="shared" si="4"/>
        <v>5057</v>
      </c>
      <c r="C114" s="10" t="s">
        <v>126</v>
      </c>
      <c r="D114" s="11">
        <v>649989</v>
      </c>
      <c r="E114" s="11">
        <v>649989</v>
      </c>
      <c r="F114" s="10">
        <f t="shared" si="5"/>
        <v>1.3317877367749933E-3</v>
      </c>
      <c r="G114">
        <f t="shared" si="6"/>
        <v>97038.886227335039</v>
      </c>
      <c r="H114" s="2">
        <f t="shared" si="7"/>
        <v>747027.88622733508</v>
      </c>
    </row>
    <row r="115" spans="1:8" x14ac:dyDescent="0.2">
      <c r="A115">
        <v>2021</v>
      </c>
      <c r="B115" s="3" t="str">
        <f t="shared" si="4"/>
        <v>5058</v>
      </c>
      <c r="C115" s="10" t="s">
        <v>127</v>
      </c>
      <c r="D115" s="11">
        <v>1332116</v>
      </c>
      <c r="E115" s="11">
        <v>1332116</v>
      </c>
      <c r="F115" s="10">
        <f t="shared" si="5"/>
        <v>2.729424271428835E-3</v>
      </c>
      <c r="G115">
        <f t="shared" si="6"/>
        <v>198875.75476756165</v>
      </c>
      <c r="H115" s="2">
        <f t="shared" si="7"/>
        <v>1530991.7547675616</v>
      </c>
    </row>
    <row r="116" spans="1:8" x14ac:dyDescent="0.2">
      <c r="A116">
        <v>2021</v>
      </c>
      <c r="B116" s="3" t="str">
        <f t="shared" si="4"/>
        <v>5059</v>
      </c>
      <c r="C116" s="10" t="s">
        <v>128</v>
      </c>
      <c r="D116" s="11">
        <v>401032</v>
      </c>
      <c r="E116" s="11">
        <v>401032</v>
      </c>
      <c r="F116" s="10">
        <f t="shared" si="5"/>
        <v>8.2169005883845595E-4</v>
      </c>
      <c r="G116">
        <f t="shared" si="6"/>
        <v>59871.318778503366</v>
      </c>
      <c r="H116" s="2">
        <f t="shared" si="7"/>
        <v>460903.31877850334</v>
      </c>
    </row>
    <row r="117" spans="1:8" x14ac:dyDescent="0.2">
      <c r="A117">
        <v>2021</v>
      </c>
      <c r="B117" s="3" t="str">
        <f t="shared" si="4"/>
        <v>5060</v>
      </c>
      <c r="C117" s="10" t="s">
        <v>129</v>
      </c>
      <c r="D117" s="11">
        <v>175191</v>
      </c>
      <c r="E117" s="11">
        <v>175191</v>
      </c>
      <c r="F117" s="10">
        <f t="shared" si="5"/>
        <v>3.58955652162341E-4</v>
      </c>
      <c r="G117">
        <f t="shared" si="6"/>
        <v>26154.811107654212</v>
      </c>
      <c r="H117" s="2">
        <f t="shared" si="7"/>
        <v>201345.81110765421</v>
      </c>
    </row>
    <row r="118" spans="1:8" x14ac:dyDescent="0.2">
      <c r="A118">
        <v>2021</v>
      </c>
      <c r="B118" s="3" t="str">
        <f t="shared" si="4"/>
        <v>5061</v>
      </c>
      <c r="C118" s="10" t="s">
        <v>130</v>
      </c>
      <c r="D118" s="11">
        <v>369534</v>
      </c>
      <c r="E118" s="11">
        <v>369534</v>
      </c>
      <c r="F118" s="10">
        <f t="shared" si="5"/>
        <v>7.5715258184586259E-4</v>
      </c>
      <c r="G118">
        <f t="shared" si="6"/>
        <v>55168.884062856487</v>
      </c>
      <c r="H118" s="2">
        <f t="shared" si="7"/>
        <v>424702.88406285649</v>
      </c>
    </row>
    <row r="119" spans="1:8" x14ac:dyDescent="0.2">
      <c r="A119">
        <v>2021</v>
      </c>
      <c r="B119" s="3" t="str">
        <f t="shared" si="4"/>
        <v>5062</v>
      </c>
      <c r="C119" s="10" t="s">
        <v>131</v>
      </c>
      <c r="D119" s="11">
        <v>631755</v>
      </c>
      <c r="E119" s="11">
        <v>631755</v>
      </c>
      <c r="F119" s="10">
        <f t="shared" si="5"/>
        <v>1.2944273851500348E-3</v>
      </c>
      <c r="G119">
        <f t="shared" si="6"/>
        <v>94316.675464584856</v>
      </c>
      <c r="H119" s="2">
        <f t="shared" si="7"/>
        <v>726071.67546458484</v>
      </c>
    </row>
    <row r="120" spans="1:8" x14ac:dyDescent="0.2">
      <c r="A120">
        <v>2021</v>
      </c>
      <c r="B120" s="3" t="str">
        <f t="shared" si="4"/>
        <v>5063</v>
      </c>
      <c r="C120" s="10" t="s">
        <v>132</v>
      </c>
      <c r="D120" s="11">
        <v>557665</v>
      </c>
      <c r="E120" s="11">
        <v>557665</v>
      </c>
      <c r="F120" s="10">
        <f t="shared" si="5"/>
        <v>1.1426215031771717E-3</v>
      </c>
      <c r="G120">
        <f t="shared" si="6"/>
        <v>83255.548152302261</v>
      </c>
      <c r="H120" s="2">
        <f t="shared" si="7"/>
        <v>640920.54815230228</v>
      </c>
    </row>
    <row r="121" spans="1:8" x14ac:dyDescent="0.2">
      <c r="A121">
        <v>2021</v>
      </c>
      <c r="B121" s="3" t="str">
        <f t="shared" si="4"/>
        <v>5064</v>
      </c>
      <c r="C121" s="10" t="s">
        <v>133</v>
      </c>
      <c r="D121" s="11">
        <v>351864</v>
      </c>
      <c r="E121" s="11">
        <v>351864</v>
      </c>
      <c r="F121" s="10">
        <f t="shared" si="5"/>
        <v>7.2094783175191625E-4</v>
      </c>
      <c r="G121">
        <f t="shared" si="6"/>
        <v>52530.874620178212</v>
      </c>
      <c r="H121" s="2">
        <f t="shared" si="7"/>
        <v>404394.87462017819</v>
      </c>
    </row>
    <row r="122" spans="1:8" x14ac:dyDescent="0.2">
      <c r="A122">
        <v>2021</v>
      </c>
      <c r="B122" s="3" t="str">
        <f t="shared" si="4"/>
        <v>5065</v>
      </c>
      <c r="C122" s="10" t="s">
        <v>134</v>
      </c>
      <c r="D122" s="11">
        <v>422238</v>
      </c>
      <c r="E122" s="11">
        <v>422238</v>
      </c>
      <c r="F122" s="10">
        <f t="shared" si="5"/>
        <v>8.651398568289612E-4</v>
      </c>
      <c r="G122">
        <f t="shared" si="6"/>
        <v>63037.228695958685</v>
      </c>
      <c r="H122" s="2">
        <f t="shared" si="7"/>
        <v>485275.22869595868</v>
      </c>
    </row>
    <row r="123" spans="1:8" x14ac:dyDescent="0.2">
      <c r="A123">
        <v>2021</v>
      </c>
      <c r="B123" s="3" t="str">
        <f t="shared" si="4"/>
        <v>5066</v>
      </c>
      <c r="C123" s="10" t="s">
        <v>135</v>
      </c>
      <c r="D123" s="11">
        <v>495273</v>
      </c>
      <c r="E123" s="11">
        <v>495273</v>
      </c>
      <c r="F123" s="10">
        <f t="shared" si="5"/>
        <v>1.0147841082783881E-3</v>
      </c>
      <c r="G123">
        <f t="shared" si="6"/>
        <v>73940.851765908199</v>
      </c>
      <c r="H123" s="2">
        <f t="shared" si="7"/>
        <v>569213.85176590818</v>
      </c>
    </row>
    <row r="124" spans="1:8" x14ac:dyDescent="0.2">
      <c r="A124">
        <v>2021</v>
      </c>
      <c r="B124" s="3" t="str">
        <f t="shared" si="4"/>
        <v>5067</v>
      </c>
      <c r="C124" s="10" t="s">
        <v>136</v>
      </c>
      <c r="D124" s="11">
        <v>766042</v>
      </c>
      <c r="E124" s="11">
        <v>766042</v>
      </c>
      <c r="F124" s="10">
        <f t="shared" si="5"/>
        <v>1.5695732411696035E-3</v>
      </c>
      <c r="G124">
        <f t="shared" si="6"/>
        <v>114364.80076333627</v>
      </c>
      <c r="H124" s="2">
        <f t="shared" si="7"/>
        <v>880406.80076333624</v>
      </c>
    </row>
    <row r="125" spans="1:8" x14ac:dyDescent="0.2">
      <c r="A125">
        <v>2021</v>
      </c>
      <c r="B125" s="3" t="str">
        <f t="shared" si="4"/>
        <v>5068</v>
      </c>
      <c r="C125" s="10" t="s">
        <v>137</v>
      </c>
      <c r="D125" s="11">
        <v>733490</v>
      </c>
      <c r="E125" s="11">
        <v>733490</v>
      </c>
      <c r="F125" s="10">
        <f t="shared" si="5"/>
        <v>1.5028761825924592E-3</v>
      </c>
      <c r="G125">
        <f t="shared" si="6"/>
        <v>109505.01109847701</v>
      </c>
      <c r="H125" s="2">
        <f t="shared" si="7"/>
        <v>842995.01109847706</v>
      </c>
    </row>
    <row r="126" spans="1:8" x14ac:dyDescent="0.2">
      <c r="A126">
        <v>2021</v>
      </c>
      <c r="B126" s="3" t="str">
        <f t="shared" si="4"/>
        <v>5069</v>
      </c>
      <c r="C126" s="10" t="s">
        <v>138</v>
      </c>
      <c r="D126" s="11">
        <v>674977</v>
      </c>
      <c r="E126" s="11">
        <v>674977</v>
      </c>
      <c r="F126" s="10">
        <f t="shared" si="5"/>
        <v>1.3829866216277117E-3</v>
      </c>
      <c r="G126">
        <f t="shared" si="6"/>
        <v>100769.42272725834</v>
      </c>
      <c r="H126" s="2">
        <f t="shared" si="7"/>
        <v>775746.42272725829</v>
      </c>
    </row>
    <row r="127" spans="1:8" x14ac:dyDescent="0.2">
      <c r="A127">
        <v>2021</v>
      </c>
      <c r="B127" s="3" t="str">
        <f t="shared" si="4"/>
        <v>5070</v>
      </c>
      <c r="C127" s="10" t="s">
        <v>139</v>
      </c>
      <c r="D127" s="11">
        <v>1652586</v>
      </c>
      <c r="E127" s="11">
        <v>1652586</v>
      </c>
      <c r="F127" s="10">
        <f t="shared" si="5"/>
        <v>3.3860477158321745E-3</v>
      </c>
      <c r="G127">
        <f t="shared" si="6"/>
        <v>246719.72115664528</v>
      </c>
      <c r="H127" s="2">
        <f t="shared" si="7"/>
        <v>1899305.7211566453</v>
      </c>
    </row>
    <row r="128" spans="1:8" x14ac:dyDescent="0.2">
      <c r="A128">
        <v>2021</v>
      </c>
      <c r="B128" s="3" t="str">
        <f t="shared" si="4"/>
        <v>5072</v>
      </c>
      <c r="C128" s="10" t="s">
        <v>140</v>
      </c>
      <c r="D128" s="11">
        <v>230609</v>
      </c>
      <c r="E128" s="11">
        <v>230609</v>
      </c>
      <c r="F128" s="10">
        <f t="shared" si="5"/>
        <v>4.7250374727871464E-4</v>
      </c>
      <c r="G128">
        <f t="shared" si="6"/>
        <v>34428.337270322278</v>
      </c>
      <c r="H128" s="2">
        <f t="shared" si="7"/>
        <v>265037.33727032226</v>
      </c>
    </row>
    <row r="129" spans="1:8" x14ac:dyDescent="0.2">
      <c r="A129">
        <v>2021</v>
      </c>
      <c r="B129" s="3" t="str">
        <f t="shared" si="4"/>
        <v>5073</v>
      </c>
      <c r="C129" s="10" t="s">
        <v>141</v>
      </c>
      <c r="D129" s="11">
        <v>422830</v>
      </c>
      <c r="E129" s="11">
        <v>422830</v>
      </c>
      <c r="F129" s="10">
        <f t="shared" si="5"/>
        <v>8.6635282864874709E-4</v>
      </c>
      <c r="G129">
        <f t="shared" si="6"/>
        <v>63125.610223410047</v>
      </c>
      <c r="H129" s="2">
        <f t="shared" si="7"/>
        <v>485955.61022341007</v>
      </c>
    </row>
    <row r="130" spans="1:8" x14ac:dyDescent="0.2">
      <c r="A130">
        <v>2021</v>
      </c>
      <c r="B130" s="3" t="str">
        <f t="shared" si="4"/>
        <v>5076</v>
      </c>
      <c r="C130" s="10" t="s">
        <v>142</v>
      </c>
      <c r="D130" s="11">
        <v>169661</v>
      </c>
      <c r="E130" s="11">
        <v>169661</v>
      </c>
      <c r="F130" s="10">
        <f t="shared" si="5"/>
        <v>3.4762502012954398E-4</v>
      </c>
      <c r="G130">
        <f t="shared" si="6"/>
        <v>25329.220150211604</v>
      </c>
      <c r="H130" s="2">
        <f t="shared" si="7"/>
        <v>194990.22015021159</v>
      </c>
    </row>
    <row r="131" spans="1:8" x14ac:dyDescent="0.2">
      <c r="A131">
        <v>2021</v>
      </c>
      <c r="B131" s="3" t="str">
        <f t="shared" ref="B131:B194" si="8">LEFT(C131,4)</f>
        <v>5077</v>
      </c>
      <c r="C131" s="10" t="s">
        <v>195</v>
      </c>
      <c r="D131" s="11">
        <v>465615</v>
      </c>
      <c r="E131" s="11">
        <v>465615</v>
      </c>
      <c r="F131" s="10">
        <f t="shared" ref="F131:F194" si="9">D131/$D$335</f>
        <v>9.5401667883377795E-4</v>
      </c>
      <c r="G131">
        <f t="shared" ref="G131:G194" si="10">F131*$D$336</f>
        <v>69513.116392339871</v>
      </c>
      <c r="H131" s="2">
        <f t="shared" ref="H131:H194" si="11">SUM(G131,D131)</f>
        <v>535128.11639233981</v>
      </c>
    </row>
    <row r="132" spans="1:8" x14ac:dyDescent="0.2">
      <c r="A132">
        <v>2021</v>
      </c>
      <c r="B132" s="3" t="str">
        <f t="shared" si="8"/>
        <v>5078</v>
      </c>
      <c r="C132" s="10" t="s">
        <v>144</v>
      </c>
      <c r="D132" s="11">
        <v>397532</v>
      </c>
      <c r="E132" s="11">
        <v>397532</v>
      </c>
      <c r="F132" s="10">
        <f t="shared" si="9"/>
        <v>8.1451877274174892E-4</v>
      </c>
      <c r="G132">
        <f t="shared" si="10"/>
        <v>59348.792856071334</v>
      </c>
      <c r="H132" s="2">
        <f t="shared" si="11"/>
        <v>456880.79285607132</v>
      </c>
    </row>
    <row r="133" spans="1:8" x14ac:dyDescent="0.2">
      <c r="A133">
        <v>2021</v>
      </c>
      <c r="B133" s="3" t="str">
        <f t="shared" si="8"/>
        <v>5079</v>
      </c>
      <c r="C133" s="10" t="s">
        <v>145</v>
      </c>
      <c r="D133" s="11">
        <v>466175</v>
      </c>
      <c r="E133" s="11">
        <v>466175</v>
      </c>
      <c r="F133" s="10">
        <f t="shared" si="9"/>
        <v>9.5516408460925113E-4</v>
      </c>
      <c r="G133">
        <f t="shared" si="10"/>
        <v>69596.720539928996</v>
      </c>
      <c r="H133" s="2">
        <f t="shared" si="11"/>
        <v>535771.720539929</v>
      </c>
    </row>
    <row r="134" spans="1:8" x14ac:dyDescent="0.2">
      <c r="A134">
        <v>2021</v>
      </c>
      <c r="B134" s="3" t="str">
        <f t="shared" si="8"/>
        <v>5080</v>
      </c>
      <c r="C134" s="10" t="s">
        <v>146</v>
      </c>
      <c r="D134" s="11">
        <v>557778</v>
      </c>
      <c r="E134" s="11">
        <v>557778</v>
      </c>
      <c r="F134" s="10">
        <f t="shared" si="9"/>
        <v>1.1428530332711511E-3</v>
      </c>
      <c r="G134">
        <f t="shared" si="10"/>
        <v>83272.418274940777</v>
      </c>
      <c r="H134" s="2">
        <f t="shared" si="11"/>
        <v>641050.41827494081</v>
      </c>
    </row>
    <row r="135" spans="1:8" x14ac:dyDescent="0.2">
      <c r="A135">
        <v>2021</v>
      </c>
      <c r="B135" s="3" t="str">
        <f t="shared" si="8"/>
        <v>5081</v>
      </c>
      <c r="C135" s="10" t="s">
        <v>147</v>
      </c>
      <c r="D135" s="11">
        <v>478503</v>
      </c>
      <c r="E135" s="11">
        <v>478503</v>
      </c>
      <c r="F135" s="10">
        <f t="shared" si="9"/>
        <v>9.8042340318073794E-4</v>
      </c>
      <c r="G135">
        <f t="shared" si="10"/>
        <v>71437.206131855302</v>
      </c>
      <c r="H135" s="2">
        <f t="shared" si="11"/>
        <v>549940.20613185526</v>
      </c>
    </row>
    <row r="136" spans="1:8" x14ac:dyDescent="0.2">
      <c r="A136">
        <v>2021</v>
      </c>
      <c r="B136" s="3" t="str">
        <f t="shared" si="8"/>
        <v>5013</v>
      </c>
      <c r="C136" s="17" t="s">
        <v>355</v>
      </c>
      <c r="D136" s="11">
        <v>7482992</v>
      </c>
      <c r="E136" s="11">
        <v>7482992</v>
      </c>
      <c r="F136" s="10">
        <f t="shared" si="9"/>
        <v>1.5332193283248457E-2</v>
      </c>
      <c r="G136">
        <f t="shared" si="10"/>
        <v>1117159.2278147142</v>
      </c>
      <c r="H136" s="2">
        <f t="shared" si="11"/>
        <v>8600151.2278147135</v>
      </c>
    </row>
    <row r="137" spans="1:8" x14ac:dyDescent="0.2">
      <c r="A137">
        <v>2021</v>
      </c>
      <c r="B137" s="3" t="str">
        <f t="shared" si="8"/>
        <v>5083</v>
      </c>
      <c r="C137" s="10" t="s">
        <v>149</v>
      </c>
      <c r="D137" s="11">
        <v>351244</v>
      </c>
      <c r="E137" s="11">
        <v>351244</v>
      </c>
      <c r="F137" s="10">
        <f t="shared" si="9"/>
        <v>7.1967748964335673E-4</v>
      </c>
      <c r="G137">
        <f t="shared" si="10"/>
        <v>52438.312885347397</v>
      </c>
      <c r="H137" s="2">
        <f t="shared" si="11"/>
        <v>403682.3128853474</v>
      </c>
    </row>
    <row r="138" spans="1:8" x14ac:dyDescent="0.2">
      <c r="A138">
        <v>2021</v>
      </c>
      <c r="B138" s="3" t="str">
        <f t="shared" si="8"/>
        <v>5087</v>
      </c>
      <c r="C138" s="10" t="s">
        <v>150</v>
      </c>
      <c r="D138" s="11">
        <v>358500</v>
      </c>
      <c r="E138" s="11">
        <v>358500</v>
      </c>
      <c r="F138" s="10">
        <f t="shared" si="9"/>
        <v>7.3454459019127265E-4</v>
      </c>
      <c r="G138">
        <f t="shared" si="10"/>
        <v>53521.58376910934</v>
      </c>
      <c r="H138" s="2">
        <f t="shared" si="11"/>
        <v>412021.58376910933</v>
      </c>
    </row>
    <row r="139" spans="1:8" x14ac:dyDescent="0.2">
      <c r="A139">
        <v>2021</v>
      </c>
      <c r="B139" s="3" t="str">
        <f t="shared" si="8"/>
        <v>5088</v>
      </c>
      <c r="C139" s="10" t="s">
        <v>151</v>
      </c>
      <c r="D139" s="11">
        <v>682053</v>
      </c>
      <c r="E139" s="11">
        <v>682053</v>
      </c>
      <c r="F139" s="10">
        <f t="shared" si="9"/>
        <v>1.3974849131763683E-3</v>
      </c>
      <c r="G139">
        <f t="shared" si="10"/>
        <v>101825.8208492952</v>
      </c>
      <c r="H139" s="2">
        <f t="shared" si="11"/>
        <v>783878.82084929524</v>
      </c>
    </row>
    <row r="140" spans="1:8" x14ac:dyDescent="0.2">
      <c r="A140">
        <v>2021</v>
      </c>
      <c r="B140" s="3" t="str">
        <f t="shared" si="8"/>
        <v>5089</v>
      </c>
      <c r="C140" s="10" t="s">
        <v>152</v>
      </c>
      <c r="D140" s="11">
        <v>323435</v>
      </c>
      <c r="E140" s="11">
        <v>323435</v>
      </c>
      <c r="F140" s="10">
        <f t="shared" si="9"/>
        <v>6.6269854819669255E-4</v>
      </c>
      <c r="G140">
        <f t="shared" si="10"/>
        <v>48286.620491943875</v>
      </c>
      <c r="H140" s="2">
        <f t="shared" si="11"/>
        <v>371721.6204919439</v>
      </c>
    </row>
    <row r="141" spans="1:8" x14ac:dyDescent="0.2">
      <c r="A141">
        <v>2021</v>
      </c>
      <c r="B141" s="3" t="str">
        <f t="shared" si="8"/>
        <v>5090</v>
      </c>
      <c r="C141" s="10" t="s">
        <v>153</v>
      </c>
      <c r="D141" s="11">
        <v>269666</v>
      </c>
      <c r="E141" s="11">
        <v>269666</v>
      </c>
      <c r="F141" s="10">
        <f t="shared" si="9"/>
        <v>5.5252915330131029E-4</v>
      </c>
      <c r="G141">
        <f t="shared" si="10"/>
        <v>40259.278685301644</v>
      </c>
      <c r="H141" s="2">
        <f t="shared" si="11"/>
        <v>309925.27868530166</v>
      </c>
    </row>
    <row r="142" spans="1:8" x14ac:dyDescent="0.2">
      <c r="A142">
        <v>2021</v>
      </c>
      <c r="B142" s="3" t="str">
        <f t="shared" si="8"/>
        <v>5092</v>
      </c>
      <c r="C142" s="10" t="s">
        <v>154</v>
      </c>
      <c r="D142" s="11">
        <v>1334491</v>
      </c>
      <c r="E142" s="11">
        <v>1334491</v>
      </c>
      <c r="F142" s="10">
        <f t="shared" si="9"/>
        <v>2.7342905012801718E-3</v>
      </c>
      <c r="G142">
        <f t="shared" si="10"/>
        <v>199230.32592921195</v>
      </c>
      <c r="H142" s="2">
        <f t="shared" si="11"/>
        <v>1533721.3259292119</v>
      </c>
    </row>
    <row r="143" spans="1:8" x14ac:dyDescent="0.2">
      <c r="A143">
        <v>2021</v>
      </c>
      <c r="B143" s="3" t="str">
        <f t="shared" si="8"/>
        <v>5093</v>
      </c>
      <c r="C143" s="10" t="s">
        <v>155</v>
      </c>
      <c r="D143" s="11">
        <v>302917</v>
      </c>
      <c r="E143" s="11">
        <v>302917</v>
      </c>
      <c r="F143" s="10">
        <f t="shared" si="9"/>
        <v>6.2065842015891141E-4</v>
      </c>
      <c r="G143">
        <f t="shared" si="10"/>
        <v>45223.42424152662</v>
      </c>
      <c r="H143" s="2">
        <f t="shared" si="11"/>
        <v>348140.42424152663</v>
      </c>
    </row>
    <row r="144" spans="1:8" x14ac:dyDescent="0.2">
      <c r="A144">
        <v>2021</v>
      </c>
      <c r="B144" s="3" t="str">
        <f t="shared" si="8"/>
        <v>5095</v>
      </c>
      <c r="C144" s="10" t="s">
        <v>156</v>
      </c>
      <c r="D144" s="11">
        <v>482251</v>
      </c>
      <c r="E144" s="11">
        <v>482251</v>
      </c>
      <c r="F144" s="10">
        <f t="shared" si="9"/>
        <v>9.8810282612086858E-4</v>
      </c>
      <c r="G144">
        <f t="shared" si="10"/>
        <v>71996.756748219646</v>
      </c>
      <c r="H144" s="2">
        <f t="shared" si="11"/>
        <v>554247.7567482196</v>
      </c>
    </row>
    <row r="145" spans="1:8" x14ac:dyDescent="0.2">
      <c r="A145">
        <v>2021</v>
      </c>
      <c r="B145" s="3" t="str">
        <f t="shared" si="8"/>
        <v>5096</v>
      </c>
      <c r="C145" s="10" t="s">
        <v>157</v>
      </c>
      <c r="D145" s="11">
        <v>582866</v>
      </c>
      <c r="E145" s="11">
        <v>582866</v>
      </c>
      <c r="F145" s="10">
        <f t="shared" si="9"/>
        <v>1.1942568120123468E-3</v>
      </c>
      <c r="G145">
        <f t="shared" si="10"/>
        <v>87017.884086933569</v>
      </c>
      <c r="H145" s="2">
        <f t="shared" si="11"/>
        <v>669883.88408693357</v>
      </c>
    </row>
    <row r="146" spans="1:8" x14ac:dyDescent="0.2">
      <c r="A146">
        <v>2021</v>
      </c>
      <c r="B146" s="3" t="str">
        <f t="shared" si="8"/>
        <v>5098</v>
      </c>
      <c r="C146" s="10" t="s">
        <v>158</v>
      </c>
      <c r="D146" s="11">
        <v>289806</v>
      </c>
      <c r="E146" s="11">
        <v>289806</v>
      </c>
      <c r="F146" s="10">
        <f t="shared" si="9"/>
        <v>5.9379478244064702E-4</v>
      </c>
      <c r="G146">
        <f t="shared" si="10"/>
        <v>43266.042136096235</v>
      </c>
      <c r="H146" s="2">
        <f t="shared" si="11"/>
        <v>333072.04213609622</v>
      </c>
    </row>
    <row r="147" spans="1:8" x14ac:dyDescent="0.2">
      <c r="A147">
        <v>2021</v>
      </c>
      <c r="B147" s="3" t="str">
        <f t="shared" si="8"/>
        <v>5099</v>
      </c>
      <c r="C147" s="10" t="s">
        <v>159</v>
      </c>
      <c r="D147" s="11">
        <v>960766</v>
      </c>
      <c r="E147" s="11">
        <v>960766</v>
      </c>
      <c r="F147" s="10">
        <f t="shared" si="9"/>
        <v>1.968550816568224E-3</v>
      </c>
      <c r="G147">
        <f t="shared" si="10"/>
        <v>143435.7543975233</v>
      </c>
      <c r="H147" s="2">
        <f t="shared" si="11"/>
        <v>1104201.7543975234</v>
      </c>
    </row>
    <row r="148" spans="1:8" x14ac:dyDescent="0.2">
      <c r="A148">
        <v>2021</v>
      </c>
      <c r="B148" s="3" t="str">
        <f t="shared" si="8"/>
        <v>5100</v>
      </c>
      <c r="C148" s="10" t="s">
        <v>160</v>
      </c>
      <c r="D148" s="11">
        <v>1105023</v>
      </c>
      <c r="E148" s="11">
        <v>1105023</v>
      </c>
      <c r="F148" s="10">
        <f t="shared" si="9"/>
        <v>2.2641245932689836E-3</v>
      </c>
      <c r="G148">
        <f t="shared" si="10"/>
        <v>164972.33210960252</v>
      </c>
      <c r="H148" s="2">
        <f t="shared" si="11"/>
        <v>1269995.3321096026</v>
      </c>
    </row>
    <row r="149" spans="1:8" x14ac:dyDescent="0.2">
      <c r="A149">
        <v>2021</v>
      </c>
      <c r="B149" s="3" t="str">
        <f t="shared" si="8"/>
        <v>5101</v>
      </c>
      <c r="C149" s="10" t="s">
        <v>161</v>
      </c>
      <c r="D149" s="11">
        <v>716374</v>
      </c>
      <c r="E149" s="11">
        <v>716374</v>
      </c>
      <c r="F149" s="10">
        <f t="shared" si="9"/>
        <v>1.4678065446406771E-3</v>
      </c>
      <c r="G149">
        <f t="shared" si="10"/>
        <v>106949.71004466369</v>
      </c>
      <c r="H149" s="2">
        <f t="shared" si="11"/>
        <v>823323.71004466363</v>
      </c>
    </row>
    <row r="150" spans="1:8" x14ac:dyDescent="0.2">
      <c r="A150">
        <v>2021</v>
      </c>
      <c r="B150" s="3" t="str">
        <f t="shared" si="8"/>
        <v>5102</v>
      </c>
      <c r="C150" s="10" t="s">
        <v>162</v>
      </c>
      <c r="D150" s="11">
        <v>1546809</v>
      </c>
      <c r="E150" s="11">
        <v>1546809</v>
      </c>
      <c r="F150" s="10">
        <f t="shared" si="9"/>
        <v>3.169317107417496E-3</v>
      </c>
      <c r="G150">
        <f t="shared" si="10"/>
        <v>230927.94272890445</v>
      </c>
      <c r="H150" s="2">
        <f t="shared" si="11"/>
        <v>1777736.9427289045</v>
      </c>
    </row>
    <row r="151" spans="1:8" x14ac:dyDescent="0.2">
      <c r="A151">
        <v>2021</v>
      </c>
      <c r="B151" s="3" t="str">
        <f t="shared" si="8"/>
        <v>5103</v>
      </c>
      <c r="C151" s="10" t="s">
        <v>163</v>
      </c>
      <c r="D151" s="11">
        <v>934908</v>
      </c>
      <c r="E151" s="11">
        <v>934908</v>
      </c>
      <c r="F151" s="10">
        <f t="shared" si="9"/>
        <v>1.9155693548857527E-3</v>
      </c>
      <c r="G151">
        <f t="shared" si="10"/>
        <v>139575.33288259548</v>
      </c>
      <c r="H151" s="2">
        <f t="shared" si="11"/>
        <v>1074483.3328825955</v>
      </c>
    </row>
    <row r="152" spans="1:8" x14ac:dyDescent="0.2">
      <c r="A152">
        <v>2021</v>
      </c>
      <c r="B152" s="3" t="str">
        <f t="shared" si="8"/>
        <v>5104</v>
      </c>
      <c r="C152" s="10" t="s">
        <v>164</v>
      </c>
      <c r="D152" s="11">
        <v>306657</v>
      </c>
      <c r="E152" s="11">
        <v>306657</v>
      </c>
      <c r="F152" s="10">
        <f t="shared" si="9"/>
        <v>6.2832145158796401E-4</v>
      </c>
      <c r="G152">
        <f t="shared" si="10"/>
        <v>45781.780512925419</v>
      </c>
      <c r="H152" s="2">
        <f t="shared" si="11"/>
        <v>352438.78051292541</v>
      </c>
    </row>
    <row r="153" spans="1:8" x14ac:dyDescent="0.2">
      <c r="A153">
        <v>2021</v>
      </c>
      <c r="B153" s="3" t="str">
        <f t="shared" si="8"/>
        <v>5105</v>
      </c>
      <c r="C153" s="10" t="s">
        <v>165</v>
      </c>
      <c r="D153" s="11">
        <v>261285</v>
      </c>
      <c r="E153" s="11">
        <v>261285</v>
      </c>
      <c r="F153" s="10">
        <f t="shared" si="9"/>
        <v>5.3535699650802417E-4</v>
      </c>
      <c r="G153">
        <f t="shared" si="10"/>
        <v>39008.053040757972</v>
      </c>
      <c r="H153" s="2">
        <f t="shared" si="11"/>
        <v>300293.05304075795</v>
      </c>
    </row>
    <row r="154" spans="1:8" x14ac:dyDescent="0.2">
      <c r="A154">
        <v>2021</v>
      </c>
      <c r="B154" s="3" t="str">
        <f t="shared" si="8"/>
        <v>5106</v>
      </c>
      <c r="C154" s="10" t="s">
        <v>166</v>
      </c>
      <c r="D154" s="11">
        <v>738943</v>
      </c>
      <c r="E154" s="11">
        <v>738943</v>
      </c>
      <c r="F154" s="10">
        <f t="shared" si="9"/>
        <v>1.5140490463311286E-3</v>
      </c>
      <c r="G154">
        <f t="shared" si="10"/>
        <v>110319.10648562612</v>
      </c>
      <c r="H154" s="2">
        <f t="shared" si="11"/>
        <v>849262.10648562608</v>
      </c>
    </row>
    <row r="155" spans="1:8" x14ac:dyDescent="0.2">
      <c r="A155">
        <v>2021</v>
      </c>
      <c r="B155" s="3" t="str">
        <f t="shared" si="8"/>
        <v>5116</v>
      </c>
      <c r="C155" s="10" t="s">
        <v>167</v>
      </c>
      <c r="D155" s="11">
        <v>945734</v>
      </c>
      <c r="E155" s="11">
        <v>945734</v>
      </c>
      <c r="F155" s="10">
        <f t="shared" si="9"/>
        <v>1.9377511672523098E-3</v>
      </c>
      <c r="G155">
        <f t="shared" si="10"/>
        <v>141191.58020723809</v>
      </c>
      <c r="H155" s="2">
        <f t="shared" si="11"/>
        <v>1086925.580207238</v>
      </c>
    </row>
    <row r="156" spans="1:8" x14ac:dyDescent="0.2">
      <c r="A156">
        <v>2021</v>
      </c>
      <c r="B156" s="3" t="str">
        <f t="shared" si="8"/>
        <v>5117</v>
      </c>
      <c r="C156" s="10" t="s">
        <v>168</v>
      </c>
      <c r="D156" s="11">
        <v>181713</v>
      </c>
      <c r="E156" s="11">
        <v>181713</v>
      </c>
      <c r="F156" s="10">
        <f t="shared" si="9"/>
        <v>3.7231883156883328E-4</v>
      </c>
      <c r="G156">
        <f t="shared" si="10"/>
        <v>27128.500840826124</v>
      </c>
      <c r="H156" s="2">
        <f t="shared" si="11"/>
        <v>208841.50084082613</v>
      </c>
    </row>
    <row r="157" spans="1:8" x14ac:dyDescent="0.2">
      <c r="A157">
        <v>2021</v>
      </c>
      <c r="B157" s="3" t="str">
        <f t="shared" si="8"/>
        <v>5118</v>
      </c>
      <c r="C157" s="10" t="s">
        <v>169</v>
      </c>
      <c r="D157" s="11">
        <v>1367103</v>
      </c>
      <c r="E157" s="11">
        <v>1367103</v>
      </c>
      <c r="F157" s="10">
        <f t="shared" si="9"/>
        <v>2.8011104961904029E-3</v>
      </c>
      <c r="G157">
        <f t="shared" si="10"/>
        <v>204099.07318131294</v>
      </c>
      <c r="H157" s="2">
        <f t="shared" si="11"/>
        <v>1571202.073181313</v>
      </c>
    </row>
    <row r="158" spans="1:8" x14ac:dyDescent="0.2">
      <c r="A158">
        <v>2021</v>
      </c>
      <c r="B158" s="3" t="str">
        <f t="shared" si="8"/>
        <v>5119</v>
      </c>
      <c r="C158" s="10" t="s">
        <v>170</v>
      </c>
      <c r="D158" s="11">
        <v>300556</v>
      </c>
      <c r="E158" s="11">
        <v>300556</v>
      </c>
      <c r="F158" s="10">
        <f t="shared" si="9"/>
        <v>6.1582087545196135E-4</v>
      </c>
      <c r="G158">
        <f t="shared" si="10"/>
        <v>44870.943183566043</v>
      </c>
      <c r="H158" s="2">
        <f t="shared" si="11"/>
        <v>345426.94318356604</v>
      </c>
    </row>
    <row r="159" spans="1:8" x14ac:dyDescent="0.2">
      <c r="A159">
        <v>2021</v>
      </c>
      <c r="B159" s="3" t="str">
        <f t="shared" si="8"/>
        <v>5120</v>
      </c>
      <c r="C159" s="10" t="s">
        <v>171</v>
      </c>
      <c r="D159" s="11">
        <v>6508326</v>
      </c>
      <c r="E159" s="11">
        <v>6508326</v>
      </c>
      <c r="F159" s="10">
        <f t="shared" si="9"/>
        <v>1.3335162216181883E-2</v>
      </c>
      <c r="G159">
        <f t="shared" si="10"/>
        <v>971648.29903953231</v>
      </c>
      <c r="H159" s="2">
        <f t="shared" si="11"/>
        <v>7479974.2990395324</v>
      </c>
    </row>
    <row r="160" spans="1:8" x14ac:dyDescent="0.2">
      <c r="A160">
        <v>2021</v>
      </c>
      <c r="B160" s="3" t="str">
        <f t="shared" si="8"/>
        <v>5122</v>
      </c>
      <c r="C160" s="10" t="s">
        <v>172</v>
      </c>
      <c r="D160" s="11">
        <v>258637</v>
      </c>
      <c r="E160" s="11">
        <v>258637</v>
      </c>
      <c r="F160" s="10">
        <f t="shared" si="9"/>
        <v>5.299314063411442E-4</v>
      </c>
      <c r="G160">
        <f t="shared" si="10"/>
        <v>38612.724857157969</v>
      </c>
      <c r="H160" s="2">
        <f t="shared" si="11"/>
        <v>297249.72485715797</v>
      </c>
    </row>
    <row r="161" spans="1:8" x14ac:dyDescent="0.2">
      <c r="A161">
        <v>2021</v>
      </c>
      <c r="B161" s="3" t="str">
        <f t="shared" si="8"/>
        <v>5123</v>
      </c>
      <c r="C161" s="10" t="s">
        <v>173</v>
      </c>
      <c r="D161" s="11">
        <v>254418</v>
      </c>
      <c r="E161" s="11">
        <v>254418</v>
      </c>
      <c r="F161" s="10">
        <f t="shared" si="9"/>
        <v>5.2128693318628512E-4</v>
      </c>
      <c r="G161">
        <f t="shared" si="10"/>
        <v>37982.857180946332</v>
      </c>
      <c r="H161" s="2">
        <f t="shared" si="11"/>
        <v>292400.85718094633</v>
      </c>
    </row>
    <row r="162" spans="1:8" x14ac:dyDescent="0.2">
      <c r="A162">
        <v>2021</v>
      </c>
      <c r="B162" s="3" t="str">
        <f t="shared" si="8"/>
        <v>5125</v>
      </c>
      <c r="C162" s="10" t="s">
        <v>174</v>
      </c>
      <c r="D162" s="11">
        <v>1776270</v>
      </c>
      <c r="E162" s="11">
        <v>1776270</v>
      </c>
      <c r="F162" s="10">
        <f t="shared" si="9"/>
        <v>3.6394686728564904E-3</v>
      </c>
      <c r="G162">
        <f t="shared" si="10"/>
        <v>265184.89149666904</v>
      </c>
      <c r="H162" s="2">
        <f t="shared" si="11"/>
        <v>2041454.891496669</v>
      </c>
    </row>
    <row r="163" spans="1:8" x14ac:dyDescent="0.2">
      <c r="A163">
        <v>2021</v>
      </c>
      <c r="B163" s="3" t="str">
        <f t="shared" si="8"/>
        <v>5127</v>
      </c>
      <c r="C163" s="10" t="s">
        <v>175</v>
      </c>
      <c r="D163" s="11">
        <v>219185</v>
      </c>
      <c r="E163" s="11">
        <v>219185</v>
      </c>
      <c r="F163" s="10">
        <f t="shared" si="9"/>
        <v>4.4909666945906301E-4</v>
      </c>
      <c r="G163">
        <f t="shared" si="10"/>
        <v>32722.812659504129</v>
      </c>
      <c r="H163" s="2">
        <f t="shared" si="11"/>
        <v>251907.81265950412</v>
      </c>
    </row>
    <row r="164" spans="1:8" x14ac:dyDescent="0.2">
      <c r="A164">
        <v>2021</v>
      </c>
      <c r="B164" s="3" t="str">
        <f t="shared" si="8"/>
        <v>5128</v>
      </c>
      <c r="C164" s="10" t="s">
        <v>176</v>
      </c>
      <c r="D164" s="11">
        <v>360155</v>
      </c>
      <c r="E164" s="11">
        <v>360155</v>
      </c>
      <c r="F164" s="10">
        <f t="shared" si="9"/>
        <v>7.3793558404557265E-4</v>
      </c>
      <c r="G164">
        <f t="shared" si="10"/>
        <v>53768.663883859343</v>
      </c>
      <c r="H164" s="2">
        <f t="shared" si="11"/>
        <v>413923.66388385935</v>
      </c>
    </row>
    <row r="165" spans="1:8" x14ac:dyDescent="0.2">
      <c r="A165">
        <v>2021</v>
      </c>
      <c r="B165" s="3" t="str">
        <f t="shared" si="8"/>
        <v>5129</v>
      </c>
      <c r="C165" s="10" t="s">
        <v>177</v>
      </c>
      <c r="D165" s="11">
        <v>834901</v>
      </c>
      <c r="E165" s="11">
        <v>834901</v>
      </c>
      <c r="F165" s="10">
        <f t="shared" si="9"/>
        <v>1.7106611238362167E-3</v>
      </c>
      <c r="G165">
        <f t="shared" si="10"/>
        <v>124644.97576126402</v>
      </c>
      <c r="H165" s="2">
        <f t="shared" si="11"/>
        <v>959545.97576126398</v>
      </c>
    </row>
    <row r="166" spans="1:8" x14ac:dyDescent="0.2">
      <c r="A166">
        <v>2021</v>
      </c>
      <c r="B166" s="3" t="str">
        <f t="shared" si="8"/>
        <v>5130</v>
      </c>
      <c r="C166" s="10" t="s">
        <v>178</v>
      </c>
      <c r="D166" s="11">
        <v>676882</v>
      </c>
      <c r="E166" s="11">
        <v>676882</v>
      </c>
      <c r="F166" s="10">
        <f t="shared" si="9"/>
        <v>1.386889850203205E-3</v>
      </c>
      <c r="G166">
        <f t="shared" si="10"/>
        <v>101053.82612218206</v>
      </c>
      <c r="H166" s="2">
        <f t="shared" si="11"/>
        <v>777935.82612218207</v>
      </c>
    </row>
    <row r="167" spans="1:8" x14ac:dyDescent="0.2">
      <c r="A167">
        <v>2021</v>
      </c>
      <c r="B167" s="3" t="str">
        <f t="shared" si="8"/>
        <v>5131</v>
      </c>
      <c r="C167" s="10" t="s">
        <v>179</v>
      </c>
      <c r="D167" s="11">
        <v>897365</v>
      </c>
      <c r="E167" s="11">
        <v>897365</v>
      </c>
      <c r="F167" s="10">
        <f t="shared" si="9"/>
        <v>1.8386460423347041E-3</v>
      </c>
      <c r="G167">
        <f t="shared" si="10"/>
        <v>133970.42125234814</v>
      </c>
      <c r="H167" s="2">
        <f t="shared" si="11"/>
        <v>1031335.4212523481</v>
      </c>
    </row>
    <row r="168" spans="1:8" x14ac:dyDescent="0.2">
      <c r="A168">
        <v>2021</v>
      </c>
      <c r="B168" s="3" t="str">
        <f t="shared" si="8"/>
        <v>5132</v>
      </c>
      <c r="C168" s="10" t="s">
        <v>180</v>
      </c>
      <c r="D168" s="11">
        <v>3410077</v>
      </c>
      <c r="E168" s="11">
        <v>3410077</v>
      </c>
      <c r="F168" s="10">
        <f t="shared" si="9"/>
        <v>6.9870393653715043E-3</v>
      </c>
      <c r="G168">
        <f t="shared" si="10"/>
        <v>509101.03713978536</v>
      </c>
      <c r="H168" s="2">
        <f t="shared" si="11"/>
        <v>3919178.0371397855</v>
      </c>
    </row>
    <row r="169" spans="1:8" x14ac:dyDescent="0.2">
      <c r="A169">
        <v>2021</v>
      </c>
      <c r="B169" s="3" t="str">
        <f t="shared" si="8"/>
        <v>5133</v>
      </c>
      <c r="C169" s="10" t="s">
        <v>181</v>
      </c>
      <c r="D169" s="11">
        <v>334231</v>
      </c>
      <c r="E169" s="11">
        <v>334231</v>
      </c>
      <c r="F169" s="10">
        <f t="shared" si="9"/>
        <v>6.8481889239670646E-4</v>
      </c>
      <c r="G169">
        <f t="shared" si="10"/>
        <v>49898.389022965646</v>
      </c>
      <c r="H169" s="2">
        <f t="shared" si="11"/>
        <v>384129.38902296562</v>
      </c>
    </row>
    <row r="170" spans="1:8" x14ac:dyDescent="0.2">
      <c r="A170">
        <v>2021</v>
      </c>
      <c r="B170" s="3" t="str">
        <f t="shared" si="8"/>
        <v>5134</v>
      </c>
      <c r="C170" s="10" t="s">
        <v>182</v>
      </c>
      <c r="D170" s="11">
        <v>340771</v>
      </c>
      <c r="E170" s="11">
        <v>340771</v>
      </c>
      <c r="F170" s="10">
        <f t="shared" si="9"/>
        <v>6.9821895270312463E-4</v>
      </c>
      <c r="G170">
        <f t="shared" si="10"/>
        <v>50874.766032310064</v>
      </c>
      <c r="H170" s="2">
        <f t="shared" si="11"/>
        <v>391645.76603231009</v>
      </c>
    </row>
    <row r="171" spans="1:8" x14ac:dyDescent="0.2">
      <c r="A171">
        <v>2021</v>
      </c>
      <c r="B171" s="3" t="str">
        <f t="shared" si="8"/>
        <v>5135</v>
      </c>
      <c r="C171" s="10" t="s">
        <v>183</v>
      </c>
      <c r="D171" s="11">
        <v>1612879</v>
      </c>
      <c r="E171" s="11">
        <v>1612879</v>
      </c>
      <c r="F171" s="10">
        <f t="shared" si="9"/>
        <v>3.3046904995344762E-3</v>
      </c>
      <c r="G171">
        <f t="shared" si="10"/>
        <v>240791.73921321426</v>
      </c>
      <c r="H171" s="2">
        <f t="shared" si="11"/>
        <v>1853670.7392132143</v>
      </c>
    </row>
    <row r="172" spans="1:8" x14ac:dyDescent="0.2">
      <c r="A172">
        <v>2021</v>
      </c>
      <c r="B172" s="3" t="str">
        <f t="shared" si="8"/>
        <v>5137</v>
      </c>
      <c r="C172" s="10" t="s">
        <v>184</v>
      </c>
      <c r="D172" s="11">
        <v>246277</v>
      </c>
      <c r="E172" s="11">
        <v>246277</v>
      </c>
      <c r="F172" s="10">
        <f t="shared" si="9"/>
        <v>5.0460652172534468E-4</v>
      </c>
      <c r="G172">
        <f t="shared" si="10"/>
        <v>36767.461885369434</v>
      </c>
      <c r="H172" s="2">
        <f t="shared" si="11"/>
        <v>283044.46188536944</v>
      </c>
    </row>
    <row r="173" spans="1:8" x14ac:dyDescent="0.2">
      <c r="A173">
        <v>2021</v>
      </c>
      <c r="B173" s="3" t="str">
        <f t="shared" si="8"/>
        <v>5138</v>
      </c>
      <c r="C173" s="10" t="s">
        <v>185</v>
      </c>
      <c r="D173" s="11">
        <v>258189</v>
      </c>
      <c r="E173" s="11">
        <v>258189</v>
      </c>
      <c r="F173" s="10">
        <f t="shared" si="9"/>
        <v>5.2901348172076565E-4</v>
      </c>
      <c r="G173">
        <f t="shared" si="10"/>
        <v>38545.841539086665</v>
      </c>
      <c r="H173" s="2">
        <f t="shared" si="11"/>
        <v>296734.84153908666</v>
      </c>
    </row>
    <row r="174" spans="1:8" x14ac:dyDescent="0.2">
      <c r="A174">
        <v>2021</v>
      </c>
      <c r="B174" s="3" t="str">
        <f t="shared" si="8"/>
        <v>5140</v>
      </c>
      <c r="C174" s="10" t="s">
        <v>186</v>
      </c>
      <c r="D174" s="11">
        <v>351088</v>
      </c>
      <c r="E174" s="11">
        <v>351088</v>
      </c>
      <c r="F174" s="10">
        <f t="shared" si="9"/>
        <v>7.1935785517733206E-4</v>
      </c>
      <c r="G174">
        <f t="shared" si="10"/>
        <v>52415.023158518998</v>
      </c>
      <c r="H174" s="2">
        <f t="shared" si="11"/>
        <v>403503.023158519</v>
      </c>
    </row>
    <row r="175" spans="1:8" x14ac:dyDescent="0.2">
      <c r="A175">
        <v>2021</v>
      </c>
      <c r="B175" s="3" t="str">
        <f t="shared" si="8"/>
        <v>5141</v>
      </c>
      <c r="C175" s="10" t="s">
        <v>187</v>
      </c>
      <c r="D175" s="11">
        <v>410185</v>
      </c>
      <c r="E175" s="11">
        <v>410185</v>
      </c>
      <c r="F175" s="10">
        <f t="shared" si="9"/>
        <v>8.4044399645078708E-4</v>
      </c>
      <c r="G175">
        <f t="shared" si="10"/>
        <v>61237.79871222347</v>
      </c>
      <c r="H175" s="2">
        <f t="shared" si="11"/>
        <v>471422.79871222348</v>
      </c>
    </row>
    <row r="176" spans="1:8" x14ac:dyDescent="0.2">
      <c r="A176">
        <v>2021</v>
      </c>
      <c r="B176" s="3" t="str">
        <f t="shared" si="8"/>
        <v>5142</v>
      </c>
      <c r="C176" s="10" t="s">
        <v>188</v>
      </c>
      <c r="D176" s="11">
        <v>101570</v>
      </c>
      <c r="E176" s="11">
        <v>101570</v>
      </c>
      <c r="F176" s="10">
        <f t="shared" si="9"/>
        <v>2.0811072252643672E-4</v>
      </c>
      <c r="G176">
        <f t="shared" si="10"/>
        <v>15163.702268977506</v>
      </c>
      <c r="H176" s="2">
        <f t="shared" si="11"/>
        <v>116733.7022689775</v>
      </c>
    </row>
    <row r="177" spans="1:8" x14ac:dyDescent="0.2">
      <c r="A177">
        <v>2021</v>
      </c>
      <c r="B177" s="3" t="str">
        <f t="shared" si="8"/>
        <v>5143</v>
      </c>
      <c r="C177" s="10" t="s">
        <v>189</v>
      </c>
      <c r="D177" s="11">
        <v>625913</v>
      </c>
      <c r="E177" s="11">
        <v>625913</v>
      </c>
      <c r="F177" s="10">
        <f t="shared" si="9"/>
        <v>1.2824574841851883E-3</v>
      </c>
      <c r="G177">
        <f t="shared" si="10"/>
        <v>93444.505053485453</v>
      </c>
      <c r="H177" s="2">
        <f t="shared" si="11"/>
        <v>719357.50505348551</v>
      </c>
    </row>
    <row r="178" spans="1:8" x14ac:dyDescent="0.2">
      <c r="A178">
        <v>2021</v>
      </c>
      <c r="B178" s="3" t="str">
        <f t="shared" si="8"/>
        <v>5144</v>
      </c>
      <c r="C178" s="10" t="s">
        <v>190</v>
      </c>
      <c r="D178" s="11">
        <v>288665</v>
      </c>
      <c r="E178" s="11">
        <v>288665</v>
      </c>
      <c r="F178" s="10">
        <f t="shared" si="9"/>
        <v>5.9145694317312052E-4</v>
      </c>
      <c r="G178">
        <f t="shared" si="10"/>
        <v>43095.698685383395</v>
      </c>
      <c r="H178" s="2">
        <f t="shared" si="11"/>
        <v>331760.69868538342</v>
      </c>
    </row>
    <row r="179" spans="1:8" x14ac:dyDescent="0.2">
      <c r="A179">
        <v>2021</v>
      </c>
      <c r="B179" s="3" t="str">
        <f t="shared" si="8"/>
        <v>5145</v>
      </c>
      <c r="C179" s="10" t="s">
        <v>191</v>
      </c>
      <c r="D179" s="11">
        <v>295268</v>
      </c>
      <c r="E179" s="11">
        <v>295268</v>
      </c>
      <c r="F179" s="10">
        <f t="shared" si="9"/>
        <v>6.0498608662927944E-4</v>
      </c>
      <c r="G179">
        <f t="shared" si="10"/>
        <v>44081.481161331591</v>
      </c>
      <c r="H179" s="2">
        <f t="shared" si="11"/>
        <v>339349.48116133158</v>
      </c>
    </row>
    <row r="180" spans="1:8" x14ac:dyDescent="0.2">
      <c r="A180">
        <v>2021</v>
      </c>
      <c r="B180" s="3" t="str">
        <f t="shared" si="8"/>
        <v>5147</v>
      </c>
      <c r="C180" s="10" t="s">
        <v>192</v>
      </c>
      <c r="D180" s="11">
        <v>6353804</v>
      </c>
      <c r="E180" s="11">
        <v>6353804</v>
      </c>
      <c r="F180" s="10">
        <f t="shared" si="9"/>
        <v>1.3018556081828923E-2</v>
      </c>
      <c r="G180">
        <f t="shared" si="10"/>
        <v>948579.22744352021</v>
      </c>
      <c r="H180" s="2">
        <f t="shared" si="11"/>
        <v>7302383.22744352</v>
      </c>
    </row>
    <row r="181" spans="1:8" x14ac:dyDescent="0.2">
      <c r="A181">
        <v>2021</v>
      </c>
      <c r="B181" s="3" t="str">
        <f t="shared" si="8"/>
        <v>5148</v>
      </c>
      <c r="C181" s="10" t="s">
        <v>193</v>
      </c>
      <c r="D181" s="11">
        <v>625166</v>
      </c>
      <c r="E181" s="11">
        <v>625166</v>
      </c>
      <c r="F181" s="10">
        <f t="shared" si="9"/>
        <v>1.2809269268382625E-3</v>
      </c>
      <c r="G181">
        <f t="shared" si="10"/>
        <v>93332.98309232638</v>
      </c>
      <c r="H181" s="2">
        <f t="shared" si="11"/>
        <v>718498.98309232644</v>
      </c>
    </row>
    <row r="182" spans="1:8" x14ac:dyDescent="0.2">
      <c r="A182">
        <v>2021</v>
      </c>
      <c r="B182" s="3" t="str">
        <f t="shared" si="8"/>
        <v>5149</v>
      </c>
      <c r="C182" s="10" t="s">
        <v>194</v>
      </c>
      <c r="D182" s="11">
        <v>1275428</v>
      </c>
      <c r="E182" s="11">
        <v>1275428</v>
      </c>
      <c r="F182" s="10">
        <f t="shared" si="9"/>
        <v>2.6132740239287991E-3</v>
      </c>
      <c r="G182">
        <f t="shared" si="10"/>
        <v>190412.62634161112</v>
      </c>
      <c r="H182" s="2">
        <f t="shared" si="11"/>
        <v>1465840.6263416111</v>
      </c>
    </row>
    <row r="183" spans="1:8" x14ac:dyDescent="0.2">
      <c r="A183">
        <v>2021</v>
      </c>
      <c r="B183" s="3" t="str">
        <f t="shared" si="8"/>
        <v>5150</v>
      </c>
      <c r="C183" s="10" t="s">
        <v>247</v>
      </c>
      <c r="D183" s="11">
        <v>1041474</v>
      </c>
      <c r="E183" s="11">
        <v>1041474</v>
      </c>
      <c r="F183" s="10">
        <f t="shared" si="9"/>
        <v>2.1339165760805175E-3</v>
      </c>
      <c r="G183">
        <f t="shared" si="10"/>
        <v>155484.90358256453</v>
      </c>
      <c r="H183" s="2">
        <f t="shared" si="11"/>
        <v>1196958.9035825646</v>
      </c>
    </row>
    <row r="184" spans="1:8" x14ac:dyDescent="0.2">
      <c r="A184">
        <v>2021</v>
      </c>
      <c r="B184" s="3" t="str">
        <f t="shared" si="8"/>
        <v>5151</v>
      </c>
      <c r="C184" s="10" t="s">
        <v>196</v>
      </c>
      <c r="D184" s="11">
        <v>391094</v>
      </c>
      <c r="E184" s="11">
        <v>391094</v>
      </c>
      <c r="F184" s="10">
        <f t="shared" si="9"/>
        <v>8.0132770420157759E-4</v>
      </c>
      <c r="G184">
        <f t="shared" si="10"/>
        <v>58387.643745037785</v>
      </c>
      <c r="H184" s="2">
        <f t="shared" si="11"/>
        <v>449481.64374503779</v>
      </c>
    </row>
    <row r="185" spans="1:8" x14ac:dyDescent="0.2">
      <c r="A185">
        <v>2021</v>
      </c>
      <c r="B185" s="3" t="str">
        <f t="shared" si="8"/>
        <v>5152</v>
      </c>
      <c r="C185" s="10" t="s">
        <v>197</v>
      </c>
      <c r="D185" s="11">
        <v>591780</v>
      </c>
      <c r="E185" s="11">
        <v>591780</v>
      </c>
      <c r="F185" s="10">
        <f t="shared" si="9"/>
        <v>1.212521053231217E-3</v>
      </c>
      <c r="G185">
        <f t="shared" si="10"/>
        <v>88348.682964807595</v>
      </c>
      <c r="H185" s="2">
        <f t="shared" si="11"/>
        <v>680128.68296480761</v>
      </c>
    </row>
    <row r="186" spans="1:8" x14ac:dyDescent="0.2">
      <c r="A186">
        <v>2021</v>
      </c>
      <c r="B186" s="3" t="str">
        <f t="shared" si="8"/>
        <v>5153</v>
      </c>
      <c r="C186" s="10" t="s">
        <v>198</v>
      </c>
      <c r="D186" s="11">
        <v>141959</v>
      </c>
      <c r="E186" s="11">
        <v>141959</v>
      </c>
      <c r="F186" s="10">
        <f t="shared" si="9"/>
        <v>2.9086531514355054E-4</v>
      </c>
      <c r="G186">
        <f t="shared" si="10"/>
        <v>21193.502120722434</v>
      </c>
      <c r="H186" s="2">
        <f t="shared" si="11"/>
        <v>163152.50212072243</v>
      </c>
    </row>
    <row r="187" spans="1:8" x14ac:dyDescent="0.2">
      <c r="A187">
        <v>2021</v>
      </c>
      <c r="B187" s="3" t="str">
        <f t="shared" si="8"/>
        <v>5154</v>
      </c>
      <c r="C187" s="10" t="s">
        <v>199</v>
      </c>
      <c r="D187" s="11">
        <v>229541</v>
      </c>
      <c r="E187" s="11">
        <v>229541</v>
      </c>
      <c r="F187" s="10">
        <f t="shared" si="9"/>
        <v>4.7031548054977663E-4</v>
      </c>
      <c r="G187">
        <f t="shared" si="10"/>
        <v>34268.892217420158</v>
      </c>
      <c r="H187" s="2">
        <f t="shared" si="11"/>
        <v>263809.89221742016</v>
      </c>
    </row>
    <row r="188" spans="1:8" x14ac:dyDescent="0.2">
      <c r="A188">
        <v>2021</v>
      </c>
      <c r="B188" s="3" t="str">
        <f t="shared" si="8"/>
        <v>5082</v>
      </c>
      <c r="C188" s="17" t="s">
        <v>356</v>
      </c>
      <c r="D188" s="11">
        <v>115838</v>
      </c>
      <c r="E188" s="11">
        <v>115838</v>
      </c>
      <c r="F188" s="10">
        <f t="shared" si="9"/>
        <v>2.3734498253438394E-4</v>
      </c>
      <c r="G188">
        <f t="shared" si="10"/>
        <v>17293.816515051847</v>
      </c>
      <c r="H188" s="2">
        <f t="shared" si="11"/>
        <v>133131.81651505185</v>
      </c>
    </row>
    <row r="189" spans="1:8" x14ac:dyDescent="0.2">
      <c r="A189">
        <v>2021</v>
      </c>
      <c r="B189" s="3" t="str">
        <f t="shared" si="8"/>
        <v>5156</v>
      </c>
      <c r="C189" s="10" t="s">
        <v>201</v>
      </c>
      <c r="D189" s="11">
        <v>820842</v>
      </c>
      <c r="E189" s="11">
        <v>820842</v>
      </c>
      <c r="F189" s="10">
        <f t="shared" si="9"/>
        <v>1.6818550920551872E-3</v>
      </c>
      <c r="G189">
        <f t="shared" si="10"/>
        <v>122546.06377741491</v>
      </c>
      <c r="H189" s="2">
        <f t="shared" si="11"/>
        <v>943388.06377741485</v>
      </c>
    </row>
    <row r="190" spans="1:8" x14ac:dyDescent="0.2">
      <c r="A190">
        <v>2021</v>
      </c>
      <c r="B190" s="3" t="str">
        <f t="shared" si="8"/>
        <v>5157</v>
      </c>
      <c r="C190" s="10" t="s">
        <v>202</v>
      </c>
      <c r="D190" s="11">
        <v>165339</v>
      </c>
      <c r="E190" s="11">
        <v>165339</v>
      </c>
      <c r="F190" s="10">
        <f t="shared" si="9"/>
        <v>3.3876950626955324E-4</v>
      </c>
      <c r="G190">
        <f t="shared" si="10"/>
        <v>24683.975282568394</v>
      </c>
      <c r="H190" s="2">
        <f t="shared" si="11"/>
        <v>190022.9752825684</v>
      </c>
    </row>
    <row r="191" spans="1:8" x14ac:dyDescent="0.2">
      <c r="A191">
        <v>2021</v>
      </c>
      <c r="B191" s="3" t="str">
        <f t="shared" si="8"/>
        <v>5158</v>
      </c>
      <c r="C191" s="10" t="s">
        <v>203</v>
      </c>
      <c r="D191" s="11">
        <v>826896</v>
      </c>
      <c r="E191" s="11">
        <v>826896</v>
      </c>
      <c r="F191" s="10">
        <f t="shared" si="9"/>
        <v>1.6942593680636055E-3</v>
      </c>
      <c r="G191">
        <f t="shared" si="10"/>
        <v>123449.88433010163</v>
      </c>
      <c r="H191" s="2">
        <f t="shared" si="11"/>
        <v>950345.88433010166</v>
      </c>
    </row>
    <row r="192" spans="1:8" x14ac:dyDescent="0.2">
      <c r="A192">
        <v>2021</v>
      </c>
      <c r="B192" s="3" t="str">
        <f t="shared" si="8"/>
        <v>5159</v>
      </c>
      <c r="C192" s="10" t="s">
        <v>204</v>
      </c>
      <c r="D192" s="11">
        <v>1348231</v>
      </c>
      <c r="E192" s="11">
        <v>1348231</v>
      </c>
      <c r="F192" s="10">
        <f t="shared" si="9"/>
        <v>2.7624429215569587E-3</v>
      </c>
      <c r="G192">
        <f t="shared" si="10"/>
        <v>201281.61340755943</v>
      </c>
      <c r="H192" s="2">
        <f t="shared" si="11"/>
        <v>1549512.6134075595</v>
      </c>
    </row>
    <row r="193" spans="1:8" x14ac:dyDescent="0.2">
      <c r="A193">
        <v>2021</v>
      </c>
      <c r="B193" s="3" t="str">
        <f t="shared" si="8"/>
        <v>5160</v>
      </c>
      <c r="C193" s="10" t="s">
        <v>205</v>
      </c>
      <c r="D193" s="11">
        <v>318935</v>
      </c>
      <c r="E193" s="11">
        <v>318935</v>
      </c>
      <c r="F193" s="10">
        <f t="shared" si="9"/>
        <v>6.5347832321521206E-4</v>
      </c>
      <c r="G193">
        <f t="shared" si="10"/>
        <v>47614.801448816972</v>
      </c>
      <c r="H193" s="2">
        <f t="shared" si="11"/>
        <v>366549.80144881696</v>
      </c>
    </row>
    <row r="194" spans="1:8" x14ac:dyDescent="0.2">
      <c r="A194">
        <v>2021</v>
      </c>
      <c r="B194" s="3" t="str">
        <f t="shared" si="8"/>
        <v>5161</v>
      </c>
      <c r="C194" s="10" t="s">
        <v>206</v>
      </c>
      <c r="D194" s="11">
        <v>442239</v>
      </c>
      <c r="E194" s="11">
        <v>442239</v>
      </c>
      <c r="F194" s="10">
        <f t="shared" si="9"/>
        <v>9.0612068346331443E-4</v>
      </c>
      <c r="G194">
        <f t="shared" si="10"/>
        <v>66023.240402976691</v>
      </c>
      <c r="H194" s="2">
        <f t="shared" si="11"/>
        <v>508262.24040297669</v>
      </c>
    </row>
    <row r="195" spans="1:8" x14ac:dyDescent="0.2">
      <c r="A195">
        <v>2021</v>
      </c>
      <c r="B195" s="3" t="str">
        <f t="shared" ref="B195:B258" si="12">LEFT(C195,4)</f>
        <v>5162</v>
      </c>
      <c r="C195" s="10" t="s">
        <v>207</v>
      </c>
      <c r="D195" s="11">
        <v>478332</v>
      </c>
      <c r="E195" s="11">
        <v>478332</v>
      </c>
      <c r="F195" s="10">
        <f t="shared" ref="F195:F258" si="13">D195/$D$335</f>
        <v>9.8007303463144174E-4</v>
      </c>
      <c r="G195">
        <f t="shared" ref="G195:G258" si="14">F195*$D$336</f>
        <v>71411.677008216488</v>
      </c>
      <c r="H195" s="2">
        <f t="shared" ref="H195:H258" si="15">SUM(G195,D195)</f>
        <v>549743.6770082165</v>
      </c>
    </row>
    <row r="196" spans="1:8" x14ac:dyDescent="0.2">
      <c r="A196">
        <v>2021</v>
      </c>
      <c r="B196" s="3" t="str">
        <f t="shared" si="12"/>
        <v>5163</v>
      </c>
      <c r="C196" s="10" t="s">
        <v>208</v>
      </c>
      <c r="D196" s="11">
        <v>328150</v>
      </c>
      <c r="E196" s="11">
        <v>328150</v>
      </c>
      <c r="F196" s="10">
        <f t="shared" si="13"/>
        <v>6.7235929503839918E-4</v>
      </c>
      <c r="G196">
        <f t="shared" si="14"/>
        <v>48990.537556020165</v>
      </c>
      <c r="H196" s="2">
        <f t="shared" si="15"/>
        <v>377140.53755602019</v>
      </c>
    </row>
    <row r="197" spans="1:8" x14ac:dyDescent="0.2">
      <c r="A197">
        <v>2021</v>
      </c>
      <c r="B197" s="3" t="str">
        <f t="shared" si="12"/>
        <v>5164</v>
      </c>
      <c r="C197" s="10" t="s">
        <v>209</v>
      </c>
      <c r="D197" s="11">
        <v>370357</v>
      </c>
      <c r="E197" s="11">
        <v>370357</v>
      </c>
      <c r="F197" s="10">
        <f t="shared" si="13"/>
        <v>7.5883885854803113E-4</v>
      </c>
      <c r="G197">
        <f t="shared" si="14"/>
        <v>55291.75230118836</v>
      </c>
      <c r="H197" s="2">
        <f t="shared" si="15"/>
        <v>425648.75230118836</v>
      </c>
    </row>
    <row r="198" spans="1:8" x14ac:dyDescent="0.2">
      <c r="A198">
        <v>2021</v>
      </c>
      <c r="B198" s="3" t="str">
        <f t="shared" si="12"/>
        <v>5166</v>
      </c>
      <c r="C198" s="10" t="s">
        <v>210</v>
      </c>
      <c r="D198" s="11">
        <v>248623</v>
      </c>
      <c r="E198" s="11">
        <v>248623</v>
      </c>
      <c r="F198" s="10">
        <f t="shared" si="13"/>
        <v>5.094133323490231E-4</v>
      </c>
      <c r="G198">
        <f t="shared" si="14"/>
        <v>37117.703546519588</v>
      </c>
      <c r="H198" s="2">
        <f t="shared" si="15"/>
        <v>285740.70354651957</v>
      </c>
    </row>
    <row r="199" spans="1:8" x14ac:dyDescent="0.2">
      <c r="A199">
        <v>2021</v>
      </c>
      <c r="B199" s="3" t="str">
        <f t="shared" si="12"/>
        <v>5167</v>
      </c>
      <c r="C199" s="10" t="s">
        <v>211</v>
      </c>
      <c r="D199" s="11">
        <v>630457</v>
      </c>
      <c r="E199" s="11">
        <v>630457</v>
      </c>
      <c r="F199" s="10">
        <f t="shared" si="13"/>
        <v>1.2917678624775988E-3</v>
      </c>
      <c r="G199">
        <f t="shared" si="14"/>
        <v>94122.892993922913</v>
      </c>
      <c r="H199" s="2">
        <f t="shared" si="15"/>
        <v>724579.89299392293</v>
      </c>
    </row>
    <row r="200" spans="1:8" x14ac:dyDescent="0.2">
      <c r="A200">
        <v>2021</v>
      </c>
      <c r="B200" s="3" t="str">
        <f t="shared" si="12"/>
        <v>5168</v>
      </c>
      <c r="C200" s="10" t="s">
        <v>212</v>
      </c>
      <c r="D200" s="11">
        <v>685661</v>
      </c>
      <c r="E200" s="11">
        <v>685661</v>
      </c>
      <c r="F200" s="10">
        <f t="shared" si="13"/>
        <v>1.4048774846726309E-3</v>
      </c>
      <c r="G200">
        <f t="shared" si="14"/>
        <v>102364.47042876229</v>
      </c>
      <c r="H200" s="2">
        <f t="shared" si="15"/>
        <v>788025.47042876226</v>
      </c>
    </row>
    <row r="201" spans="1:8" x14ac:dyDescent="0.2">
      <c r="A201">
        <v>2021</v>
      </c>
      <c r="B201" s="3" t="str">
        <f t="shared" si="12"/>
        <v>5171</v>
      </c>
      <c r="C201" s="10" t="s">
        <v>213</v>
      </c>
      <c r="D201" s="11">
        <v>284894</v>
      </c>
      <c r="E201" s="11">
        <v>284894</v>
      </c>
      <c r="F201" s="10">
        <f t="shared" si="13"/>
        <v>5.8373039463863999E-4</v>
      </c>
      <c r="G201">
        <f t="shared" si="14"/>
        <v>42532.714327243055</v>
      </c>
      <c r="H201" s="2">
        <f t="shared" si="15"/>
        <v>327426.71432724304</v>
      </c>
    </row>
    <row r="202" spans="1:8" x14ac:dyDescent="0.2">
      <c r="A202">
        <v>2021</v>
      </c>
      <c r="B202" s="3" t="str">
        <f t="shared" si="12"/>
        <v>5172</v>
      </c>
      <c r="C202" s="10" t="s">
        <v>214</v>
      </c>
      <c r="D202" s="11">
        <v>764287</v>
      </c>
      <c r="E202" s="11">
        <v>764287</v>
      </c>
      <c r="F202" s="10">
        <f t="shared" si="13"/>
        <v>1.5659773534268263E-3</v>
      </c>
      <c r="G202">
        <f t="shared" si="14"/>
        <v>114102.79133651679</v>
      </c>
      <c r="H202" s="2">
        <f t="shared" si="15"/>
        <v>878389.79133651685</v>
      </c>
    </row>
    <row r="203" spans="1:8" x14ac:dyDescent="0.2">
      <c r="A203">
        <v>2021</v>
      </c>
      <c r="B203" s="3" t="str">
        <f t="shared" si="12"/>
        <v>5173</v>
      </c>
      <c r="C203" s="10" t="s">
        <v>215</v>
      </c>
      <c r="D203" s="11">
        <v>390129</v>
      </c>
      <c r="E203" s="11">
        <v>390129</v>
      </c>
      <c r="F203" s="10">
        <f t="shared" si="13"/>
        <v>7.9935047817777125E-4</v>
      </c>
      <c r="G203">
        <f t="shared" si="14"/>
        <v>58243.575883567239</v>
      </c>
      <c r="H203" s="2">
        <f t="shared" si="15"/>
        <v>448372.57588356722</v>
      </c>
    </row>
    <row r="204" spans="1:8" x14ac:dyDescent="0.2">
      <c r="A204">
        <v>2021</v>
      </c>
      <c r="B204" s="3" t="str">
        <f t="shared" si="12"/>
        <v>5174</v>
      </c>
      <c r="C204" s="10" t="s">
        <v>216</v>
      </c>
      <c r="D204" s="11">
        <v>677708</v>
      </c>
      <c r="E204" s="11">
        <v>677708</v>
      </c>
      <c r="F204" s="10">
        <f t="shared" si="13"/>
        <v>1.3885822737220279E-3</v>
      </c>
      <c r="G204">
        <f t="shared" si="14"/>
        <v>101177.14223987602</v>
      </c>
      <c r="H204" s="2">
        <f t="shared" si="15"/>
        <v>778885.14223987598</v>
      </c>
    </row>
    <row r="205" spans="1:8" x14ac:dyDescent="0.2">
      <c r="A205">
        <v>2021</v>
      </c>
      <c r="B205" s="3" t="str">
        <f t="shared" si="12"/>
        <v>5175</v>
      </c>
      <c r="C205" s="10" t="s">
        <v>217</v>
      </c>
      <c r="D205" s="11">
        <v>321034</v>
      </c>
      <c r="E205" s="11">
        <v>321034</v>
      </c>
      <c r="F205" s="10">
        <f t="shared" si="13"/>
        <v>6.5777904593435153E-4</v>
      </c>
      <c r="G205">
        <f t="shared" si="14"/>
        <v>47928.167709155503</v>
      </c>
      <c r="H205" s="2">
        <f t="shared" si="15"/>
        <v>368962.16770915547</v>
      </c>
    </row>
    <row r="206" spans="1:8" x14ac:dyDescent="0.2">
      <c r="A206">
        <v>2021</v>
      </c>
      <c r="B206" s="3" t="str">
        <f t="shared" si="12"/>
        <v>5176</v>
      </c>
      <c r="C206" s="10" t="s">
        <v>218</v>
      </c>
      <c r="D206" s="11">
        <v>2598179</v>
      </c>
      <c r="E206" s="11">
        <v>2598179</v>
      </c>
      <c r="F206" s="10">
        <f t="shared" si="13"/>
        <v>5.3235099827017313E-3</v>
      </c>
      <c r="G206">
        <f t="shared" si="14"/>
        <v>387890.25103386538</v>
      </c>
      <c r="H206" s="2">
        <f t="shared" si="15"/>
        <v>2986069.2510338654</v>
      </c>
    </row>
    <row r="207" spans="1:8" x14ac:dyDescent="0.2">
      <c r="A207">
        <v>2021</v>
      </c>
      <c r="B207" s="3" t="str">
        <f t="shared" si="12"/>
        <v>5185</v>
      </c>
      <c r="C207" s="10" t="s">
        <v>219</v>
      </c>
      <c r="D207" s="11">
        <v>22341062</v>
      </c>
      <c r="E207" s="11">
        <v>22341062</v>
      </c>
      <c r="F207" s="10">
        <f t="shared" si="13"/>
        <v>4.5775470658933927E-2</v>
      </c>
      <c r="G207">
        <f t="shared" si="14"/>
        <v>3335366.8656174764</v>
      </c>
      <c r="H207" s="2">
        <f t="shared" si="15"/>
        <v>25676428.865617476</v>
      </c>
    </row>
    <row r="208" spans="1:8" x14ac:dyDescent="0.2">
      <c r="A208">
        <v>2021</v>
      </c>
      <c r="B208" s="3" t="str">
        <f t="shared" si="12"/>
        <v>5186</v>
      </c>
      <c r="C208" s="10" t="s">
        <v>220</v>
      </c>
      <c r="D208" s="11">
        <v>426817</v>
      </c>
      <c r="E208" s="11">
        <v>426817</v>
      </c>
      <c r="F208" s="10">
        <f t="shared" si="13"/>
        <v>8.7452194798233864E-4</v>
      </c>
      <c r="G208">
        <f t="shared" si="14"/>
        <v>63720.84189562047</v>
      </c>
      <c r="H208" s="2">
        <f t="shared" si="15"/>
        <v>490537.84189562046</v>
      </c>
    </row>
    <row r="209" spans="1:8" x14ac:dyDescent="0.2">
      <c r="A209">
        <v>2021</v>
      </c>
      <c r="B209" s="3" t="str">
        <f t="shared" si="12"/>
        <v>5187</v>
      </c>
      <c r="C209" s="10" t="s">
        <v>221</v>
      </c>
      <c r="D209" s="11">
        <v>553940</v>
      </c>
      <c r="E209" s="11">
        <v>553940</v>
      </c>
      <c r="F209" s="10">
        <f t="shared" si="13"/>
        <v>1.1349892058313907E-3</v>
      </c>
      <c r="G209">
        <f t="shared" si="14"/>
        <v>82699.431277713884</v>
      </c>
      <c r="H209" s="2">
        <f t="shared" si="15"/>
        <v>636639.43127771385</v>
      </c>
    </row>
    <row r="210" spans="1:8" x14ac:dyDescent="0.2">
      <c r="A210">
        <v>2021</v>
      </c>
      <c r="B210" s="3" t="str">
        <f t="shared" si="12"/>
        <v>5188</v>
      </c>
      <c r="C210" s="10" t="s">
        <v>222</v>
      </c>
      <c r="D210" s="11">
        <v>319681</v>
      </c>
      <c r="E210" s="11">
        <v>319681</v>
      </c>
      <c r="F210" s="10">
        <f t="shared" si="13"/>
        <v>6.5500683162325309E-4</v>
      </c>
      <c r="G210">
        <f t="shared" si="14"/>
        <v>47726.174116855349</v>
      </c>
      <c r="H210" s="2">
        <f t="shared" si="15"/>
        <v>367407.17411685537</v>
      </c>
    </row>
    <row r="211" spans="1:8" x14ac:dyDescent="0.2">
      <c r="A211">
        <v>2021</v>
      </c>
      <c r="B211" s="3" t="str">
        <f t="shared" si="12"/>
        <v>5189</v>
      </c>
      <c r="C211" s="10" t="s">
        <v>223</v>
      </c>
      <c r="D211" s="11">
        <v>107499</v>
      </c>
      <c r="E211" s="11">
        <v>107499</v>
      </c>
      <c r="F211" s="10">
        <f t="shared" si="13"/>
        <v>2.2025888117425835E-4</v>
      </c>
      <c r="G211">
        <f t="shared" si="14"/>
        <v>16048.861181577364</v>
      </c>
      <c r="H211" s="2">
        <f t="shared" si="15"/>
        <v>123547.86118157736</v>
      </c>
    </row>
    <row r="212" spans="1:8" x14ac:dyDescent="0.2">
      <c r="A212">
        <v>2021</v>
      </c>
      <c r="B212" s="3" t="str">
        <f t="shared" si="12"/>
        <v>5190</v>
      </c>
      <c r="C212" s="10" t="s">
        <v>224</v>
      </c>
      <c r="D212" s="11">
        <v>296872</v>
      </c>
      <c r="E212" s="11">
        <v>296872</v>
      </c>
      <c r="F212" s="10">
        <f t="shared" si="13"/>
        <v>6.0827258460045602E-4</v>
      </c>
      <c r="G212">
        <f t="shared" si="14"/>
        <v>44320.947326926158</v>
      </c>
      <c r="H212" s="2">
        <f t="shared" si="15"/>
        <v>341192.94732692617</v>
      </c>
    </row>
    <row r="213" spans="1:8" x14ac:dyDescent="0.2">
      <c r="A213">
        <v>2021</v>
      </c>
      <c r="B213" s="3" t="str">
        <f t="shared" si="12"/>
        <v>5191</v>
      </c>
      <c r="C213" s="10" t="s">
        <v>225</v>
      </c>
      <c r="D213" s="11">
        <v>1088125</v>
      </c>
      <c r="E213" s="11">
        <v>1088125</v>
      </c>
      <c r="F213" s="10">
        <f t="shared" si="13"/>
        <v>2.2295016239940826E-3</v>
      </c>
      <c r="G213">
        <f t="shared" si="14"/>
        <v>162449.5769561007</v>
      </c>
      <c r="H213" s="2">
        <f t="shared" si="15"/>
        <v>1250574.5769561008</v>
      </c>
    </row>
    <row r="214" spans="1:8" x14ac:dyDescent="0.2">
      <c r="A214">
        <v>2021</v>
      </c>
      <c r="B214" s="3" t="str">
        <f t="shared" si="12"/>
        <v>5192</v>
      </c>
      <c r="C214" s="10" t="s">
        <v>226</v>
      </c>
      <c r="D214" s="11">
        <v>365576</v>
      </c>
      <c r="E214" s="11">
        <v>365576</v>
      </c>
      <c r="F214" s="10">
        <f t="shared" si="13"/>
        <v>7.4904288173992944E-4</v>
      </c>
      <c r="G214">
        <f t="shared" si="14"/>
        <v>54577.981891146213</v>
      </c>
      <c r="H214" s="2">
        <f t="shared" si="15"/>
        <v>420153.98189114622</v>
      </c>
    </row>
    <row r="215" spans="1:8" x14ac:dyDescent="0.2">
      <c r="A215">
        <v>2021</v>
      </c>
      <c r="B215" s="3" t="str">
        <f t="shared" si="12"/>
        <v>5193</v>
      </c>
      <c r="C215" s="10" t="s">
        <v>227</v>
      </c>
      <c r="D215" s="11">
        <v>1675086</v>
      </c>
      <c r="E215" s="11">
        <v>1675086</v>
      </c>
      <c r="F215" s="10">
        <f t="shared" si="13"/>
        <v>3.4321488407395764E-3</v>
      </c>
      <c r="G215">
        <f t="shared" si="14"/>
        <v>250078.81637227975</v>
      </c>
      <c r="H215" s="2">
        <f t="shared" si="15"/>
        <v>1925164.8163722798</v>
      </c>
    </row>
    <row r="216" spans="1:8" x14ac:dyDescent="0.2">
      <c r="A216">
        <v>2021</v>
      </c>
      <c r="B216" s="3" t="str">
        <f t="shared" si="12"/>
        <v>5195</v>
      </c>
      <c r="C216" s="10" t="s">
        <v>228</v>
      </c>
      <c r="D216" s="11">
        <v>898190</v>
      </c>
      <c r="E216" s="11">
        <v>898190</v>
      </c>
      <c r="F216" s="10">
        <f t="shared" si="13"/>
        <v>1.8403364169146421E-3</v>
      </c>
      <c r="G216">
        <f t="shared" si="14"/>
        <v>134093.58807692138</v>
      </c>
      <c r="H216" s="2">
        <f t="shared" si="15"/>
        <v>1032283.5880769214</v>
      </c>
    </row>
    <row r="217" spans="1:8" x14ac:dyDescent="0.2">
      <c r="A217">
        <v>2021</v>
      </c>
      <c r="B217" s="3" t="str">
        <f t="shared" si="12"/>
        <v>5196</v>
      </c>
      <c r="C217" s="10" t="s">
        <v>229</v>
      </c>
      <c r="D217" s="11">
        <v>597520</v>
      </c>
      <c r="E217" s="11">
        <v>597520</v>
      </c>
      <c r="F217" s="10">
        <f t="shared" si="13"/>
        <v>1.2242819624298166E-3</v>
      </c>
      <c r="G217">
        <f t="shared" si="14"/>
        <v>89205.625477596142</v>
      </c>
      <c r="H217" s="2">
        <f t="shared" si="15"/>
        <v>686725.62547759619</v>
      </c>
    </row>
    <row r="218" spans="1:8" x14ac:dyDescent="0.2">
      <c r="A218">
        <v>2021</v>
      </c>
      <c r="B218" s="3" t="str">
        <f t="shared" si="12"/>
        <v>5197</v>
      </c>
      <c r="C218" s="10" t="s">
        <v>230</v>
      </c>
      <c r="D218" s="11">
        <v>307537</v>
      </c>
      <c r="E218" s="11">
        <v>307537</v>
      </c>
      <c r="F218" s="10">
        <f t="shared" si="13"/>
        <v>6.3012451780656458E-4</v>
      </c>
      <c r="G218">
        <f t="shared" si="14"/>
        <v>45913.158459136896</v>
      </c>
      <c r="H218" s="2">
        <f t="shared" si="15"/>
        <v>353450.1584591369</v>
      </c>
    </row>
    <row r="219" spans="1:8" x14ac:dyDescent="0.2">
      <c r="A219">
        <v>2021</v>
      </c>
      <c r="B219" s="3" t="str">
        <f t="shared" si="12"/>
        <v>5198</v>
      </c>
      <c r="C219" s="10" t="s">
        <v>231</v>
      </c>
      <c r="D219" s="11">
        <v>1458926</v>
      </c>
      <c r="E219" s="11">
        <v>1458926</v>
      </c>
      <c r="F219" s="10">
        <f t="shared" si="13"/>
        <v>2.9892502114069529E-3</v>
      </c>
      <c r="G219">
        <f t="shared" si="14"/>
        <v>217807.61540287756</v>
      </c>
      <c r="H219" s="2">
        <f t="shared" si="15"/>
        <v>1676733.6154028776</v>
      </c>
    </row>
    <row r="220" spans="1:8" x14ac:dyDescent="0.2">
      <c r="A220">
        <v>2021</v>
      </c>
      <c r="B220" s="3" t="str">
        <f t="shared" si="12"/>
        <v>5199</v>
      </c>
      <c r="C220" s="10" t="s">
        <v>232</v>
      </c>
      <c r="D220" s="11">
        <v>465997</v>
      </c>
      <c r="E220" s="11">
        <v>465997</v>
      </c>
      <c r="F220" s="10">
        <f t="shared" si="13"/>
        <v>9.5479937348776143E-4</v>
      </c>
      <c r="G220">
        <f t="shared" si="14"/>
        <v>69570.146364445318</v>
      </c>
      <c r="H220" s="2">
        <f t="shared" si="15"/>
        <v>535567.14636444533</v>
      </c>
    </row>
    <row r="221" spans="1:8" x14ac:dyDescent="0.2">
      <c r="A221">
        <v>2021</v>
      </c>
      <c r="B221" s="3" t="str">
        <f t="shared" si="12"/>
        <v>5200</v>
      </c>
      <c r="C221" s="10" t="s">
        <v>233</v>
      </c>
      <c r="D221" s="11">
        <v>1034894</v>
      </c>
      <c r="E221" s="11">
        <v>1034894</v>
      </c>
      <c r="F221" s="10">
        <f t="shared" si="13"/>
        <v>2.1204345582187083E-3</v>
      </c>
      <c r="G221">
        <f t="shared" si="14"/>
        <v>154502.55484839229</v>
      </c>
      <c r="H221" s="2">
        <f t="shared" si="15"/>
        <v>1189396.5548483923</v>
      </c>
    </row>
    <row r="222" spans="1:8" x14ac:dyDescent="0.2">
      <c r="A222">
        <v>2021</v>
      </c>
      <c r="B222" s="3" t="str">
        <f t="shared" si="12"/>
        <v>5201</v>
      </c>
      <c r="C222" s="10" t="s">
        <v>234</v>
      </c>
      <c r="D222" s="11">
        <v>240930</v>
      </c>
      <c r="E222" s="11">
        <v>240930</v>
      </c>
      <c r="F222" s="10">
        <f t="shared" si="13"/>
        <v>4.9365084550846109E-4</v>
      </c>
      <c r="G222">
        <f t="shared" si="14"/>
        <v>35969.191569013979</v>
      </c>
      <c r="H222" s="2">
        <f t="shared" si="15"/>
        <v>276899.19156901399</v>
      </c>
    </row>
    <row r="223" spans="1:8" x14ac:dyDescent="0.2">
      <c r="A223">
        <v>2021</v>
      </c>
      <c r="B223" s="3" t="str">
        <f t="shared" si="12"/>
        <v>5202</v>
      </c>
      <c r="C223" s="10" t="s">
        <v>235</v>
      </c>
      <c r="D223" s="11">
        <v>283902</v>
      </c>
      <c r="E223" s="11">
        <v>283902</v>
      </c>
      <c r="F223" s="10">
        <f t="shared" si="13"/>
        <v>5.8169784726494478E-4</v>
      </c>
      <c r="G223">
        <f t="shared" si="14"/>
        <v>42384.615551513751</v>
      </c>
      <c r="H223" s="2">
        <f t="shared" si="15"/>
        <v>326286.61555151374</v>
      </c>
    </row>
    <row r="224" spans="1:8" x14ac:dyDescent="0.2">
      <c r="A224">
        <v>2021</v>
      </c>
      <c r="B224" s="3" t="str">
        <f t="shared" si="12"/>
        <v>5203</v>
      </c>
      <c r="C224" s="10" t="s">
        <v>236</v>
      </c>
      <c r="D224" s="11">
        <v>805490</v>
      </c>
      <c r="E224" s="11">
        <v>805490</v>
      </c>
      <c r="F224" s="10">
        <f t="shared" si="13"/>
        <v>1.6503997822961457E-3</v>
      </c>
      <c r="G224">
        <f t="shared" si="14"/>
        <v>120254.11578850735</v>
      </c>
      <c r="H224" s="2">
        <f t="shared" si="15"/>
        <v>925744.11578850739</v>
      </c>
    </row>
    <row r="225" spans="1:8" x14ac:dyDescent="0.2">
      <c r="A225">
        <v>2021</v>
      </c>
      <c r="B225" s="3" t="str">
        <f t="shared" si="12"/>
        <v>5204</v>
      </c>
      <c r="C225" s="10" t="s">
        <v>237</v>
      </c>
      <c r="D225" s="11">
        <v>1145891</v>
      </c>
      <c r="E225" s="11">
        <v>1145891</v>
      </c>
      <c r="F225" s="10">
        <f t="shared" si="13"/>
        <v>2.3478606276119041E-3</v>
      </c>
      <c r="G225">
        <f t="shared" si="14"/>
        <v>171073.64336616031</v>
      </c>
      <c r="H225" s="2">
        <f t="shared" si="15"/>
        <v>1316964.6433661603</v>
      </c>
    </row>
    <row r="226" spans="1:8" x14ac:dyDescent="0.2">
      <c r="A226">
        <v>2021</v>
      </c>
      <c r="B226" s="3" t="str">
        <f t="shared" si="12"/>
        <v>5205</v>
      </c>
      <c r="C226" s="10" t="s">
        <v>238</v>
      </c>
      <c r="D226" s="11">
        <v>493989</v>
      </c>
      <c r="E226" s="11">
        <v>493989</v>
      </c>
      <c r="F226" s="10">
        <f t="shared" si="13"/>
        <v>1.012153270750339E-3</v>
      </c>
      <c r="G226">
        <f t="shared" si="14"/>
        <v>73749.159398935983</v>
      </c>
      <c r="H226" s="2">
        <f t="shared" si="15"/>
        <v>567738.15939893597</v>
      </c>
    </row>
    <row r="227" spans="1:8" x14ac:dyDescent="0.2">
      <c r="A227">
        <v>2021</v>
      </c>
      <c r="B227" s="3" t="str">
        <f t="shared" si="12"/>
        <v>5206</v>
      </c>
      <c r="C227" s="10" t="s">
        <v>239</v>
      </c>
      <c r="D227" s="11">
        <v>535774</v>
      </c>
      <c r="E227" s="11">
        <v>535774</v>
      </c>
      <c r="F227" s="10">
        <f t="shared" si="13"/>
        <v>1.0977681820505967E-3</v>
      </c>
      <c r="G227">
        <f t="shared" si="14"/>
        <v>79987.372447170957</v>
      </c>
      <c r="H227" s="2">
        <f t="shared" si="15"/>
        <v>615761.37244717102</v>
      </c>
    </row>
    <row r="228" spans="1:8" x14ac:dyDescent="0.2">
      <c r="A228">
        <v>2021</v>
      </c>
      <c r="B228" s="3" t="str">
        <f t="shared" si="12"/>
        <v>5207</v>
      </c>
      <c r="C228" s="10" t="s">
        <v>240</v>
      </c>
      <c r="D228" s="11">
        <v>1165177</v>
      </c>
      <c r="E228" s="11">
        <v>1165177</v>
      </c>
      <c r="F228" s="10">
        <f t="shared" si="13"/>
        <v>2.3873764629436444E-3</v>
      </c>
      <c r="G228">
        <f t="shared" si="14"/>
        <v>173952.91049188148</v>
      </c>
      <c r="H228" s="2">
        <f t="shared" si="15"/>
        <v>1339129.9104918814</v>
      </c>
    </row>
    <row r="229" spans="1:8" x14ac:dyDescent="0.2">
      <c r="A229">
        <v>2021</v>
      </c>
      <c r="B229" s="3" t="str">
        <f t="shared" si="12"/>
        <v>5208</v>
      </c>
      <c r="C229" s="10" t="s">
        <v>241</v>
      </c>
      <c r="D229" s="11">
        <v>295040</v>
      </c>
      <c r="E229" s="11">
        <v>295040</v>
      </c>
      <c r="F229" s="10">
        <f t="shared" si="13"/>
        <v>6.045189285635511E-4</v>
      </c>
      <c r="G229">
        <f t="shared" si="14"/>
        <v>44047.442329813159</v>
      </c>
      <c r="H229" s="2">
        <f t="shared" si="15"/>
        <v>339087.44232981314</v>
      </c>
    </row>
    <row r="230" spans="1:8" x14ac:dyDescent="0.2">
      <c r="A230">
        <v>2021</v>
      </c>
      <c r="B230" s="3" t="str">
        <f t="shared" si="12"/>
        <v>5210</v>
      </c>
      <c r="C230" s="10" t="s">
        <v>242</v>
      </c>
      <c r="D230" s="11">
        <v>3739395</v>
      </c>
      <c r="E230" s="11">
        <v>3739395</v>
      </c>
      <c r="F230" s="10">
        <f t="shared" si="13"/>
        <v>7.6617918210273193E-3</v>
      </c>
      <c r="G230">
        <f t="shared" si="14"/>
        <v>558265.9490607772</v>
      </c>
      <c r="H230" s="2">
        <f t="shared" si="15"/>
        <v>4297660.9490607772</v>
      </c>
    </row>
    <row r="231" spans="1:8" x14ac:dyDescent="0.2">
      <c r="A231">
        <v>2021</v>
      </c>
      <c r="B231" s="3" t="str">
        <f t="shared" si="12"/>
        <v>5212</v>
      </c>
      <c r="C231" s="10" t="s">
        <v>243</v>
      </c>
      <c r="D231" s="11">
        <v>894061</v>
      </c>
      <c r="E231" s="11">
        <v>894061</v>
      </c>
      <c r="F231" s="10">
        <f t="shared" si="13"/>
        <v>1.8318763482594125E-3</v>
      </c>
      <c r="G231">
        <f t="shared" si="14"/>
        <v>133477.15678157227</v>
      </c>
      <c r="H231" s="2">
        <f t="shared" si="15"/>
        <v>1027538.1567815723</v>
      </c>
    </row>
    <row r="232" spans="1:8" x14ac:dyDescent="0.2">
      <c r="A232">
        <v>2021</v>
      </c>
      <c r="B232" s="3" t="str">
        <f t="shared" si="12"/>
        <v>5213</v>
      </c>
      <c r="C232" s="10" t="s">
        <v>244</v>
      </c>
      <c r="D232" s="11">
        <v>717464</v>
      </c>
      <c r="E232" s="11">
        <v>717464</v>
      </c>
      <c r="F232" s="10">
        <f t="shared" si="13"/>
        <v>1.4700398880250801E-3</v>
      </c>
      <c r="G232">
        <f t="shared" si="14"/>
        <v>107112.4395462211</v>
      </c>
      <c r="H232" s="2">
        <f t="shared" si="15"/>
        <v>824576.43954622105</v>
      </c>
    </row>
    <row r="233" spans="1:8" x14ac:dyDescent="0.2">
      <c r="A233">
        <v>2021</v>
      </c>
      <c r="B233" s="3" t="str">
        <f t="shared" si="12"/>
        <v>5214</v>
      </c>
      <c r="C233" s="10" t="s">
        <v>245</v>
      </c>
      <c r="D233" s="11">
        <v>3526204</v>
      </c>
      <c r="E233" s="11">
        <v>3526204</v>
      </c>
      <c r="F233" s="10">
        <f t="shared" si="13"/>
        <v>7.2249764912435885E-3</v>
      </c>
      <c r="G233">
        <f t="shared" si="14"/>
        <v>526437.99936671811</v>
      </c>
      <c r="H233" s="2">
        <f t="shared" si="15"/>
        <v>4052641.9993667183</v>
      </c>
    </row>
    <row r="234" spans="1:8" x14ac:dyDescent="0.2">
      <c r="A234">
        <v>2021</v>
      </c>
      <c r="B234" s="3" t="str">
        <f t="shared" si="12"/>
        <v>5215</v>
      </c>
      <c r="C234" s="10" t="s">
        <v>246</v>
      </c>
      <c r="D234" s="11">
        <v>845219</v>
      </c>
      <c r="E234" s="11">
        <v>845219</v>
      </c>
      <c r="F234" s="10">
        <f t="shared" si="13"/>
        <v>1.7318020752493089E-3</v>
      </c>
      <c r="G234">
        <f t="shared" si="14"/>
        <v>126185.38218059365</v>
      </c>
      <c r="H234" s="2">
        <f t="shared" si="15"/>
        <v>971404.38218059368</v>
      </c>
    </row>
    <row r="235" spans="1:8" x14ac:dyDescent="0.2">
      <c r="A235">
        <v>2021</v>
      </c>
      <c r="B235" s="3" t="str">
        <f t="shared" si="12"/>
        <v>5216</v>
      </c>
      <c r="C235" s="10" t="s">
        <v>299</v>
      </c>
      <c r="D235" s="11">
        <v>989660</v>
      </c>
      <c r="E235" s="11">
        <v>989660</v>
      </c>
      <c r="F235" s="10">
        <f t="shared" si="13"/>
        <v>2.0277528567048671E-3</v>
      </c>
      <c r="G235">
        <f t="shared" si="14"/>
        <v>147749.42982688075</v>
      </c>
      <c r="H235" s="2">
        <f t="shared" si="15"/>
        <v>1137409.4298268808</v>
      </c>
    </row>
    <row r="236" spans="1:8" x14ac:dyDescent="0.2">
      <c r="A236">
        <v>2021</v>
      </c>
      <c r="B236" s="3" t="str">
        <f t="shared" si="12"/>
        <v>5217</v>
      </c>
      <c r="C236" s="10" t="s">
        <v>248</v>
      </c>
      <c r="D236" s="11">
        <v>128355</v>
      </c>
      <c r="E236" s="11">
        <v>128355</v>
      </c>
      <c r="F236" s="10">
        <f t="shared" si="13"/>
        <v>2.6299155055509291E-4</v>
      </c>
      <c r="G236">
        <f t="shared" si="14"/>
        <v>19162.518506789482</v>
      </c>
      <c r="H236" s="2">
        <f t="shared" si="15"/>
        <v>147517.51850678949</v>
      </c>
    </row>
    <row r="237" spans="1:8" x14ac:dyDescent="0.2">
      <c r="A237">
        <v>2021</v>
      </c>
      <c r="B237" s="3" t="str">
        <f t="shared" si="12"/>
        <v>5218</v>
      </c>
      <c r="C237" s="10" t="s">
        <v>249</v>
      </c>
      <c r="D237" s="11">
        <v>322906</v>
      </c>
      <c r="E237" s="11">
        <v>322906</v>
      </c>
      <c r="F237" s="10">
        <f t="shared" si="13"/>
        <v>6.6161465952664742E-4</v>
      </c>
      <c r="G237">
        <f t="shared" si="14"/>
        <v>48207.644431096291</v>
      </c>
      <c r="H237" s="2">
        <f t="shared" si="15"/>
        <v>371113.64443109627</v>
      </c>
    </row>
    <row r="238" spans="1:8" x14ac:dyDescent="0.2">
      <c r="A238">
        <v>2021</v>
      </c>
      <c r="B238" s="3" t="str">
        <f t="shared" si="12"/>
        <v>5219</v>
      </c>
      <c r="C238" s="10" t="s">
        <v>250</v>
      </c>
      <c r="D238" s="11">
        <v>217999</v>
      </c>
      <c r="E238" s="11">
        <v>217999</v>
      </c>
      <c r="F238" s="10">
        <f t="shared" si="13"/>
        <v>4.4666662794172175E-4</v>
      </c>
      <c r="G238">
        <f t="shared" si="14"/>
        <v>32545.751018360021</v>
      </c>
      <c r="H238" s="2">
        <f t="shared" si="15"/>
        <v>250544.75101836002</v>
      </c>
    </row>
    <row r="239" spans="1:8" x14ac:dyDescent="0.2">
      <c r="A239">
        <v>2021</v>
      </c>
      <c r="B239" s="3" t="str">
        <f t="shared" si="12"/>
        <v>5220</v>
      </c>
      <c r="C239" s="10" t="s">
        <v>251</v>
      </c>
      <c r="D239" s="11">
        <v>462841</v>
      </c>
      <c r="E239" s="11">
        <v>462841</v>
      </c>
      <c r="F239" s="10">
        <f t="shared" si="13"/>
        <v>9.4833292236741647E-4</v>
      </c>
      <c r="G239">
        <f t="shared" si="14"/>
        <v>69098.977275532307</v>
      </c>
      <c r="H239" s="2">
        <f t="shared" si="15"/>
        <v>531939.97727553232</v>
      </c>
    </row>
    <row r="240" spans="1:8" x14ac:dyDescent="0.2">
      <c r="A240">
        <v>2021</v>
      </c>
      <c r="B240" s="3" t="str">
        <f t="shared" si="12"/>
        <v>5155</v>
      </c>
      <c r="C240" s="17" t="s">
        <v>357</v>
      </c>
      <c r="D240" s="11">
        <v>308215</v>
      </c>
      <c r="E240" s="11">
        <v>308215</v>
      </c>
      <c r="F240" s="10">
        <f t="shared" si="13"/>
        <v>6.3151369837044101E-4</v>
      </c>
      <c r="G240">
        <f t="shared" si="14"/>
        <v>46014.379194968016</v>
      </c>
      <c r="H240" s="2">
        <f t="shared" si="15"/>
        <v>354229.37919496803</v>
      </c>
    </row>
    <row r="241" spans="1:8" x14ac:dyDescent="0.2">
      <c r="A241">
        <v>2021</v>
      </c>
      <c r="B241" s="3" t="str">
        <f t="shared" si="12"/>
        <v>5223</v>
      </c>
      <c r="C241" s="10" t="s">
        <v>253</v>
      </c>
      <c r="D241" s="11">
        <v>456272</v>
      </c>
      <c r="E241" s="11">
        <v>456272</v>
      </c>
      <c r="F241" s="10">
        <f t="shared" si="13"/>
        <v>9.348734428333399E-4</v>
      </c>
      <c r="G241">
        <f t="shared" si="14"/>
        <v>68118.270765687746</v>
      </c>
      <c r="H241" s="2">
        <f t="shared" si="15"/>
        <v>524390.2707656878</v>
      </c>
    </row>
    <row r="242" spans="1:8" x14ac:dyDescent="0.2">
      <c r="A242">
        <v>2021</v>
      </c>
      <c r="B242" s="3" t="str">
        <f t="shared" si="12"/>
        <v>5226</v>
      </c>
      <c r="C242" s="10" t="s">
        <v>254</v>
      </c>
      <c r="D242" s="11">
        <v>267137</v>
      </c>
      <c r="E242" s="11">
        <v>267137</v>
      </c>
      <c r="F242" s="10">
        <f t="shared" si="13"/>
        <v>5.4734738686171823E-4</v>
      </c>
      <c r="G242">
        <f t="shared" si="14"/>
        <v>39881.716383064326</v>
      </c>
      <c r="H242" s="2">
        <f t="shared" si="15"/>
        <v>307018.71638306434</v>
      </c>
    </row>
    <row r="243" spans="1:8" x14ac:dyDescent="0.2">
      <c r="A243">
        <v>2021</v>
      </c>
      <c r="B243" s="3" t="str">
        <f t="shared" si="12"/>
        <v>5227</v>
      </c>
      <c r="C243" s="10" t="s">
        <v>255</v>
      </c>
      <c r="D243" s="11">
        <v>92319</v>
      </c>
      <c r="E243" s="11">
        <v>92319</v>
      </c>
      <c r="F243" s="10">
        <f t="shared" si="13"/>
        <v>1.8915598890339777E-4</v>
      </c>
      <c r="G243">
        <f t="shared" si="14"/>
        <v>13782.591609429302</v>
      </c>
      <c r="H243" s="2">
        <f t="shared" si="15"/>
        <v>106101.59160942931</v>
      </c>
    </row>
    <row r="244" spans="1:8" x14ac:dyDescent="0.2">
      <c r="A244">
        <v>2021</v>
      </c>
      <c r="B244" s="3" t="str">
        <f t="shared" si="12"/>
        <v>5228</v>
      </c>
      <c r="C244" s="10" t="s">
        <v>256</v>
      </c>
      <c r="D244" s="11">
        <v>165013</v>
      </c>
      <c r="E244" s="11">
        <v>165013</v>
      </c>
      <c r="F244" s="10">
        <f t="shared" si="13"/>
        <v>3.3810155219311707E-4</v>
      </c>
      <c r="G244">
        <f t="shared" si="14"/>
        <v>24635.305725221868</v>
      </c>
      <c r="H244" s="2">
        <f t="shared" si="15"/>
        <v>189648.30572522187</v>
      </c>
    </row>
    <row r="245" spans="1:8" x14ac:dyDescent="0.2">
      <c r="A245">
        <v>2021</v>
      </c>
      <c r="B245" s="3" t="str">
        <f t="shared" si="12"/>
        <v>5229</v>
      </c>
      <c r="C245" s="10" t="s">
        <v>257</v>
      </c>
      <c r="D245" s="11">
        <v>356536</v>
      </c>
      <c r="E245" s="11">
        <v>356536</v>
      </c>
      <c r="F245" s="10">
        <f t="shared" si="13"/>
        <v>7.3052047422157761E-4</v>
      </c>
      <c r="G245">
        <f t="shared" si="14"/>
        <v>53228.372080064619</v>
      </c>
      <c r="H245" s="2">
        <f t="shared" si="15"/>
        <v>409764.37208006461</v>
      </c>
    </row>
    <row r="246" spans="1:8" x14ac:dyDescent="0.2">
      <c r="A246">
        <v>2021</v>
      </c>
      <c r="B246" s="3" t="str">
        <f t="shared" si="12"/>
        <v>5230</v>
      </c>
      <c r="C246" s="10" t="s">
        <v>258</v>
      </c>
      <c r="D246" s="11">
        <v>746895</v>
      </c>
      <c r="E246" s="11">
        <v>746895</v>
      </c>
      <c r="F246" s="10">
        <f t="shared" si="13"/>
        <v>1.5303422083428467E-3</v>
      </c>
      <c r="G246">
        <f t="shared" si="14"/>
        <v>111506.28538139169</v>
      </c>
      <c r="H246" s="2">
        <f t="shared" si="15"/>
        <v>858401.28538139164</v>
      </c>
    </row>
    <row r="247" spans="1:8" x14ac:dyDescent="0.2">
      <c r="A247">
        <v>2021</v>
      </c>
      <c r="B247" s="3" t="str">
        <f t="shared" si="12"/>
        <v>5231</v>
      </c>
      <c r="C247" s="10" t="s">
        <v>259</v>
      </c>
      <c r="D247" s="11">
        <v>1394856</v>
      </c>
      <c r="E247" s="11">
        <v>1394856</v>
      </c>
      <c r="F247" s="10">
        <f t="shared" si="13"/>
        <v>2.8579746970595196E-3</v>
      </c>
      <c r="G247">
        <f t="shared" si="14"/>
        <v>208242.40515995753</v>
      </c>
      <c r="H247" s="2">
        <f t="shared" si="15"/>
        <v>1603098.4051599575</v>
      </c>
    </row>
    <row r="248" spans="1:8" x14ac:dyDescent="0.2">
      <c r="A248">
        <v>2021</v>
      </c>
      <c r="B248" s="3" t="str">
        <f t="shared" si="12"/>
        <v>5233</v>
      </c>
      <c r="C248" s="10" t="s">
        <v>260</v>
      </c>
      <c r="D248" s="11">
        <v>6142665</v>
      </c>
      <c r="E248" s="11">
        <v>6142665</v>
      </c>
      <c r="F248" s="10">
        <f t="shared" si="13"/>
        <v>1.2585945174636747E-2</v>
      </c>
      <c r="G248">
        <f t="shared" si="14"/>
        <v>917057.62723312702</v>
      </c>
      <c r="H248" s="2">
        <f t="shared" si="15"/>
        <v>7059722.6272331271</v>
      </c>
    </row>
    <row r="249" spans="1:8" x14ac:dyDescent="0.2">
      <c r="A249">
        <v>2021</v>
      </c>
      <c r="B249" s="3" t="str">
        <f t="shared" si="12"/>
        <v>5235</v>
      </c>
      <c r="C249" s="10" t="s">
        <v>261</v>
      </c>
      <c r="D249" s="11">
        <v>253390</v>
      </c>
      <c r="E249" s="11">
        <v>253390</v>
      </c>
      <c r="F249" s="10">
        <f t="shared" si="13"/>
        <v>5.1918062401273802E-4</v>
      </c>
      <c r="G249">
        <f t="shared" si="14"/>
        <v>37829.383852872008</v>
      </c>
      <c r="H249" s="2">
        <f t="shared" si="15"/>
        <v>291219.38385287201</v>
      </c>
    </row>
    <row r="250" spans="1:8" x14ac:dyDescent="0.2">
      <c r="A250">
        <v>2021</v>
      </c>
      <c r="B250" s="3" t="str">
        <f t="shared" si="12"/>
        <v>5236</v>
      </c>
      <c r="C250" s="10" t="s">
        <v>262</v>
      </c>
      <c r="D250" s="11">
        <v>559337</v>
      </c>
      <c r="E250" s="11">
        <v>559337</v>
      </c>
      <c r="F250" s="10">
        <f t="shared" si="13"/>
        <v>1.1460473289925128E-3</v>
      </c>
      <c r="G250">
        <f t="shared" si="14"/>
        <v>83505.16625010407</v>
      </c>
      <c r="H250" s="2">
        <f t="shared" si="15"/>
        <v>642842.16625010408</v>
      </c>
    </row>
    <row r="251" spans="1:8" x14ac:dyDescent="0.2">
      <c r="A251">
        <v>2021</v>
      </c>
      <c r="B251" s="3" t="str">
        <f t="shared" si="12"/>
        <v>5237</v>
      </c>
      <c r="C251" s="10" t="s">
        <v>263</v>
      </c>
      <c r="D251" s="11">
        <v>265780</v>
      </c>
      <c r="E251" s="11">
        <v>265780</v>
      </c>
      <c r="F251" s="10">
        <f t="shared" si="13"/>
        <v>5.4456697679508071E-4</v>
      </c>
      <c r="G251">
        <f t="shared" si="14"/>
        <v>39679.125618281396</v>
      </c>
      <c r="H251" s="2">
        <f t="shared" si="15"/>
        <v>305459.12561828142</v>
      </c>
    </row>
    <row r="252" spans="1:8" x14ac:dyDescent="0.2">
      <c r="A252">
        <v>2021</v>
      </c>
      <c r="B252" s="3" t="str">
        <f t="shared" si="12"/>
        <v>5238</v>
      </c>
      <c r="C252" s="10" t="s">
        <v>264</v>
      </c>
      <c r="D252" s="11">
        <v>237804</v>
      </c>
      <c r="E252" s="11">
        <v>237804</v>
      </c>
      <c r="F252" s="10">
        <f t="shared" si="13"/>
        <v>4.872458625546594E-4</v>
      </c>
      <c r="G252">
        <f t="shared" si="14"/>
        <v>35502.501273721835</v>
      </c>
      <c r="H252" s="2">
        <f t="shared" si="15"/>
        <v>273306.50127372181</v>
      </c>
    </row>
    <row r="253" spans="1:8" x14ac:dyDescent="0.2">
      <c r="A253">
        <v>2021</v>
      </c>
      <c r="B253" s="3" t="str">
        <f t="shared" si="12"/>
        <v>5239</v>
      </c>
      <c r="C253" s="10" t="s">
        <v>265</v>
      </c>
      <c r="D253" s="11">
        <v>190101</v>
      </c>
      <c r="E253" s="11">
        <v>190101</v>
      </c>
      <c r="F253" s="10">
        <f t="shared" si="13"/>
        <v>3.8950533093431273E-4</v>
      </c>
      <c r="G253">
        <f t="shared" si="14"/>
        <v>28380.771537214656</v>
      </c>
      <c r="H253" s="2">
        <f t="shared" si="15"/>
        <v>218481.77153721466</v>
      </c>
    </row>
    <row r="254" spans="1:8" x14ac:dyDescent="0.2">
      <c r="A254">
        <v>2021</v>
      </c>
      <c r="B254" s="3" t="str">
        <f t="shared" si="12"/>
        <v>5240</v>
      </c>
      <c r="C254" s="10" t="s">
        <v>266</v>
      </c>
      <c r="D254" s="11">
        <v>479368</v>
      </c>
      <c r="E254" s="11">
        <v>479368</v>
      </c>
      <c r="F254" s="10">
        <f t="shared" si="13"/>
        <v>9.8219573531606688E-4</v>
      </c>
      <c r="G254">
        <f t="shared" si="14"/>
        <v>71566.344681256363</v>
      </c>
      <c r="H254" s="2">
        <f t="shared" si="15"/>
        <v>550934.34468125633</v>
      </c>
    </row>
    <row r="255" spans="1:8" x14ac:dyDescent="0.2">
      <c r="A255">
        <v>2021</v>
      </c>
      <c r="B255" s="3" t="str">
        <f t="shared" si="12"/>
        <v>5241</v>
      </c>
      <c r="C255" s="10" t="s">
        <v>267</v>
      </c>
      <c r="D255" s="11">
        <v>262602</v>
      </c>
      <c r="E255" s="11">
        <v>262602</v>
      </c>
      <c r="F255" s="10">
        <f t="shared" si="13"/>
        <v>5.3805544901927083E-4</v>
      </c>
      <c r="G255">
        <f t="shared" si="14"/>
        <v>39204.672080713113</v>
      </c>
      <c r="H255" s="2">
        <f t="shared" si="15"/>
        <v>301806.67208071309</v>
      </c>
    </row>
    <row r="256" spans="1:8" x14ac:dyDescent="0.2">
      <c r="A256">
        <v>2021</v>
      </c>
      <c r="B256" s="3" t="str">
        <f t="shared" si="12"/>
        <v>5250</v>
      </c>
      <c r="C256" s="10" t="s">
        <v>268</v>
      </c>
      <c r="D256" s="11">
        <v>641919</v>
      </c>
      <c r="E256" s="11">
        <v>641919</v>
      </c>
      <c r="F256" s="10">
        <f t="shared" si="13"/>
        <v>1.3152527999748718E-3</v>
      </c>
      <c r="G256">
        <f t="shared" si="14"/>
        <v>95834.09074332747</v>
      </c>
      <c r="H256" s="2">
        <f t="shared" si="15"/>
        <v>737753.09074332751</v>
      </c>
    </row>
    <row r="257" spans="1:8" x14ac:dyDescent="0.2">
      <c r="A257">
        <v>2021</v>
      </c>
      <c r="B257" s="3" t="str">
        <f t="shared" si="12"/>
        <v>5251</v>
      </c>
      <c r="C257" s="10" t="s">
        <v>269</v>
      </c>
      <c r="D257" s="11">
        <v>215439</v>
      </c>
      <c r="E257" s="11">
        <v>215439</v>
      </c>
      <c r="F257" s="10">
        <f t="shared" si="13"/>
        <v>4.414213443967018E-4</v>
      </c>
      <c r="G257">
        <f t="shared" si="14"/>
        <v>32163.560629381165</v>
      </c>
      <c r="H257" s="2">
        <f t="shared" si="15"/>
        <v>247602.56062938116</v>
      </c>
    </row>
    <row r="258" spans="1:8" x14ac:dyDescent="0.2">
      <c r="A258">
        <v>2021</v>
      </c>
      <c r="B258" s="3" t="str">
        <f t="shared" si="12"/>
        <v>5267</v>
      </c>
      <c r="C258" s="10" t="s">
        <v>270</v>
      </c>
      <c r="D258" s="11">
        <v>279110</v>
      </c>
      <c r="E258" s="11">
        <v>279110</v>
      </c>
      <c r="F258" s="10">
        <f t="shared" si="13"/>
        <v>5.7187933212911053E-4</v>
      </c>
      <c r="G258">
        <f t="shared" si="14"/>
        <v>41669.202917143957</v>
      </c>
      <c r="H258" s="2">
        <f t="shared" si="15"/>
        <v>320779.20291714394</v>
      </c>
    </row>
    <row r="259" spans="1:8" x14ac:dyDescent="0.2">
      <c r="A259">
        <v>2021</v>
      </c>
      <c r="B259" s="3" t="str">
        <f t="shared" ref="B259:B322" si="16">LEFT(C259,4)</f>
        <v>5268</v>
      </c>
      <c r="C259" s="10" t="s">
        <v>271</v>
      </c>
      <c r="D259" s="11">
        <v>254172</v>
      </c>
      <c r="E259" s="11">
        <v>254172</v>
      </c>
      <c r="F259" s="10">
        <f t="shared" ref="F259:F322" si="17">D259/$D$335</f>
        <v>5.2078289422063083E-4</v>
      </c>
      <c r="G259">
        <f t="shared" ref="G259:G322" si="18">F259*$D$336</f>
        <v>37946.131073255397</v>
      </c>
      <c r="H259" s="2">
        <f t="shared" ref="H259:H322" si="19">SUM(G259,D259)</f>
        <v>292118.13107325538</v>
      </c>
    </row>
    <row r="260" spans="1:8" x14ac:dyDescent="0.2">
      <c r="A260">
        <v>2021</v>
      </c>
      <c r="B260" s="3" t="str">
        <f t="shared" si="16"/>
        <v>5270</v>
      </c>
      <c r="C260" s="10" t="s">
        <v>272</v>
      </c>
      <c r="D260" s="11">
        <v>359159</v>
      </c>
      <c r="E260" s="11">
        <v>359159</v>
      </c>
      <c r="F260" s="10">
        <f t="shared" si="17"/>
        <v>7.3589484091633837E-4</v>
      </c>
      <c r="G260">
        <f t="shared" si="18"/>
        <v>53619.967935647255</v>
      </c>
      <c r="H260" s="2">
        <f t="shared" si="19"/>
        <v>412778.96793564723</v>
      </c>
    </row>
    <row r="261" spans="1:8" x14ac:dyDescent="0.2">
      <c r="A261">
        <v>2021</v>
      </c>
      <c r="B261" s="3" t="str">
        <f t="shared" si="16"/>
        <v>5271</v>
      </c>
      <c r="C261" s="10" t="s">
        <v>273</v>
      </c>
      <c r="D261" s="11">
        <v>155750</v>
      </c>
      <c r="E261" s="11">
        <v>155750</v>
      </c>
      <c r="F261" s="10">
        <f t="shared" si="17"/>
        <v>3.1912223130346084E-4</v>
      </c>
      <c r="G261">
        <f t="shared" si="18"/>
        <v>23252.403548225324</v>
      </c>
      <c r="H261" s="2">
        <f t="shared" si="19"/>
        <v>179002.40354822532</v>
      </c>
    </row>
    <row r="262" spans="1:8" x14ac:dyDescent="0.2">
      <c r="A262">
        <v>2021</v>
      </c>
      <c r="B262" s="3" t="str">
        <f t="shared" si="16"/>
        <v>5272</v>
      </c>
      <c r="C262" s="10" t="s">
        <v>274</v>
      </c>
      <c r="D262" s="11">
        <v>3729155</v>
      </c>
      <c r="E262" s="11">
        <v>3729155</v>
      </c>
      <c r="F262" s="10">
        <f t="shared" si="17"/>
        <v>7.6408106868472393E-3</v>
      </c>
      <c r="G262">
        <f t="shared" si="18"/>
        <v>556737.18750486174</v>
      </c>
      <c r="H262" s="2">
        <f t="shared" si="19"/>
        <v>4285892.1875048615</v>
      </c>
    </row>
    <row r="263" spans="1:8" x14ac:dyDescent="0.2">
      <c r="A263">
        <v>2021</v>
      </c>
      <c r="B263" s="3" t="str">
        <f t="shared" si="16"/>
        <v>5274</v>
      </c>
      <c r="C263" s="10" t="s">
        <v>275</v>
      </c>
      <c r="D263" s="11">
        <v>806142</v>
      </c>
      <c r="E263" s="11">
        <v>806142</v>
      </c>
      <c r="F263" s="10">
        <f t="shared" si="17"/>
        <v>1.6517356904490179E-3</v>
      </c>
      <c r="G263">
        <f t="shared" si="18"/>
        <v>120351.4549032004</v>
      </c>
      <c r="H263" s="2">
        <f t="shared" si="19"/>
        <v>926493.45490320039</v>
      </c>
    </row>
    <row r="264" spans="1:8" x14ac:dyDescent="0.2">
      <c r="A264">
        <v>2021</v>
      </c>
      <c r="B264" s="3" t="str">
        <f t="shared" si="16"/>
        <v>5275</v>
      </c>
      <c r="C264" s="10" t="s">
        <v>276</v>
      </c>
      <c r="D264" s="11">
        <v>1828556</v>
      </c>
      <c r="E264" s="11">
        <v>1828556</v>
      </c>
      <c r="F264" s="10">
        <f t="shared" si="17"/>
        <v>3.7465994913857539E-3</v>
      </c>
      <c r="G264">
        <f t="shared" si="18"/>
        <v>272990.8316053208</v>
      </c>
      <c r="H264" s="2">
        <f t="shared" si="19"/>
        <v>2101546.8316053208</v>
      </c>
    </row>
    <row r="265" spans="1:8" x14ac:dyDescent="0.2">
      <c r="A265">
        <v>2021</v>
      </c>
      <c r="B265" s="3" t="str">
        <f t="shared" si="16"/>
        <v>5276</v>
      </c>
      <c r="C265" s="10" t="s">
        <v>277</v>
      </c>
      <c r="D265" s="11">
        <v>899516</v>
      </c>
      <c r="E265" s="11">
        <v>899516</v>
      </c>
      <c r="F265" s="10">
        <f t="shared" si="17"/>
        <v>1.8430533098758516E-3</v>
      </c>
      <c r="G265">
        <f t="shared" si="18"/>
        <v>134291.55075496278</v>
      </c>
      <c r="H265" s="2">
        <f t="shared" si="19"/>
        <v>1033807.5507549627</v>
      </c>
    </row>
    <row r="266" spans="1:8" x14ac:dyDescent="0.2">
      <c r="A266">
        <v>2021</v>
      </c>
      <c r="B266" s="3" t="str">
        <f t="shared" si="16"/>
        <v>5278</v>
      </c>
      <c r="C266" s="10" t="s">
        <v>278</v>
      </c>
      <c r="D266" s="11">
        <v>321369</v>
      </c>
      <c r="E266" s="11">
        <v>321369</v>
      </c>
      <c r="F266" s="10">
        <f t="shared" si="17"/>
        <v>6.5846544046075067E-4</v>
      </c>
      <c r="G266">
        <f t="shared" si="18"/>
        <v>47978.180904588284</v>
      </c>
      <c r="H266" s="2">
        <f t="shared" si="19"/>
        <v>369347.18090458831</v>
      </c>
    </row>
    <row r="267" spans="1:8" x14ac:dyDescent="0.2">
      <c r="A267">
        <v>2021</v>
      </c>
      <c r="B267" s="3" t="str">
        <f t="shared" si="16"/>
        <v>5280</v>
      </c>
      <c r="C267" s="10" t="s">
        <v>279</v>
      </c>
      <c r="D267" s="11">
        <v>5074284</v>
      </c>
      <c r="E267" s="11">
        <v>5074284</v>
      </c>
      <c r="F267" s="10">
        <f t="shared" si="17"/>
        <v>1.0396897799983632E-2</v>
      </c>
      <c r="G267">
        <f t="shared" si="18"/>
        <v>757555.69365202577</v>
      </c>
      <c r="H267" s="2">
        <f t="shared" si="19"/>
        <v>5831839.6936520254</v>
      </c>
    </row>
    <row r="268" spans="1:8" x14ac:dyDescent="0.2">
      <c r="A268">
        <v>2021</v>
      </c>
      <c r="B268" s="3" t="str">
        <f t="shared" si="16"/>
        <v>5281</v>
      </c>
      <c r="C268" s="10" t="s">
        <v>280</v>
      </c>
      <c r="D268" s="11">
        <v>240158</v>
      </c>
      <c r="E268" s="11">
        <v>240158</v>
      </c>
      <c r="F268" s="10">
        <f t="shared" si="17"/>
        <v>4.9206906468941608E-4</v>
      </c>
      <c r="G268">
        <f t="shared" si="18"/>
        <v>35853.937279837548</v>
      </c>
      <c r="H268" s="2">
        <f t="shared" si="19"/>
        <v>276011.93727983756</v>
      </c>
    </row>
    <row r="269" spans="1:8" x14ac:dyDescent="0.2">
      <c r="A269">
        <v>2021</v>
      </c>
      <c r="B269" s="3" t="str">
        <f t="shared" si="16"/>
        <v>5283</v>
      </c>
      <c r="C269" s="10" t="s">
        <v>281</v>
      </c>
      <c r="D269" s="11">
        <v>526984</v>
      </c>
      <c r="E269" s="11">
        <v>526984</v>
      </c>
      <c r="F269" s="10">
        <f t="shared" si="17"/>
        <v>1.0797580092534382E-3</v>
      </c>
      <c r="G269">
        <f t="shared" si="18"/>
        <v>78675.08591626308</v>
      </c>
      <c r="H269" s="2">
        <f t="shared" si="19"/>
        <v>605659.08591626305</v>
      </c>
    </row>
    <row r="270" spans="1:8" x14ac:dyDescent="0.2">
      <c r="A270">
        <v>2021</v>
      </c>
      <c r="B270" s="3" t="str">
        <f t="shared" si="16"/>
        <v>5284</v>
      </c>
      <c r="C270" s="10" t="s">
        <v>282</v>
      </c>
      <c r="D270" s="11">
        <v>742263</v>
      </c>
      <c r="E270" s="11">
        <v>742263</v>
      </c>
      <c r="F270" s="10">
        <f t="shared" si="17"/>
        <v>1.5208515234285762E-3</v>
      </c>
      <c r="G270">
        <f t="shared" si="18"/>
        <v>110814.75964633307</v>
      </c>
      <c r="H270" s="2">
        <f t="shared" si="19"/>
        <v>853077.75964633306</v>
      </c>
    </row>
    <row r="271" spans="1:8" x14ac:dyDescent="0.2">
      <c r="A271">
        <v>2021</v>
      </c>
      <c r="B271" s="3" t="str">
        <f t="shared" si="16"/>
        <v>5285</v>
      </c>
      <c r="C271" s="10" t="s">
        <v>283</v>
      </c>
      <c r="D271" s="11">
        <v>379932</v>
      </c>
      <c r="E271" s="11">
        <v>379932</v>
      </c>
      <c r="F271" s="10">
        <f t="shared" si="17"/>
        <v>7.7845744836973671E-4</v>
      </c>
      <c r="G271">
        <f t="shared" si="18"/>
        <v>56721.2339318417</v>
      </c>
      <c r="H271" s="2">
        <f t="shared" si="19"/>
        <v>436653.23393184168</v>
      </c>
    </row>
    <row r="272" spans="1:8" x14ac:dyDescent="0.2">
      <c r="A272">
        <v>2021</v>
      </c>
      <c r="B272" s="3" t="str">
        <f t="shared" si="16"/>
        <v>5286</v>
      </c>
      <c r="C272" s="10" t="s">
        <v>284</v>
      </c>
      <c r="D272" s="11">
        <v>344509</v>
      </c>
      <c r="E272" s="11">
        <v>344509</v>
      </c>
      <c r="F272" s="10">
        <f t="shared" si="17"/>
        <v>7.0587788625440769E-4</v>
      </c>
      <c r="G272">
        <f t="shared" si="18"/>
        <v>51432.823717467472</v>
      </c>
      <c r="H272" s="2">
        <f t="shared" si="19"/>
        <v>395941.82371746749</v>
      </c>
    </row>
    <row r="273" spans="1:8" x14ac:dyDescent="0.2">
      <c r="A273">
        <v>2021</v>
      </c>
      <c r="B273" s="3" t="str">
        <f t="shared" si="16"/>
        <v>5287</v>
      </c>
      <c r="C273" s="10" t="s">
        <v>285</v>
      </c>
      <c r="D273" s="11">
        <v>573193</v>
      </c>
      <c r="E273" s="11">
        <v>573193</v>
      </c>
      <c r="F273" s="10">
        <f t="shared" si="17"/>
        <v>1.1744374261799335E-3</v>
      </c>
      <c r="G273">
        <f t="shared" si="18"/>
        <v>85573.771730452136</v>
      </c>
      <c r="H273" s="2">
        <f t="shared" si="19"/>
        <v>658766.77173045208</v>
      </c>
    </row>
    <row r="274" spans="1:8" x14ac:dyDescent="0.2">
      <c r="A274">
        <v>2021</v>
      </c>
      <c r="B274" s="3" t="str">
        <f t="shared" si="16"/>
        <v>5288</v>
      </c>
      <c r="C274" s="10" t="s">
        <v>286</v>
      </c>
      <c r="D274" s="11">
        <v>347641</v>
      </c>
      <c r="E274" s="11">
        <v>347641</v>
      </c>
      <c r="F274" s="10">
        <f t="shared" si="17"/>
        <v>7.1229516284151799E-4</v>
      </c>
      <c r="G274">
        <f t="shared" si="18"/>
        <v>51900.409771483792</v>
      </c>
      <c r="H274" s="2">
        <f t="shared" si="19"/>
        <v>399541.4097714838</v>
      </c>
    </row>
    <row r="275" spans="1:8" x14ac:dyDescent="0.2">
      <c r="A275">
        <v>2021</v>
      </c>
      <c r="B275" s="3" t="str">
        <f t="shared" si="16"/>
        <v>5289</v>
      </c>
      <c r="C275" s="10" t="s">
        <v>287</v>
      </c>
      <c r="D275" s="11">
        <v>394668</v>
      </c>
      <c r="E275" s="11">
        <v>394668</v>
      </c>
      <c r="F275" s="10">
        <f t="shared" si="17"/>
        <v>8.0865061177575782E-4</v>
      </c>
      <c r="G275">
        <f t="shared" si="18"/>
        <v>58921.217358401234</v>
      </c>
      <c r="H275" s="2">
        <f t="shared" si="19"/>
        <v>453589.21735840122</v>
      </c>
    </row>
    <row r="276" spans="1:8" x14ac:dyDescent="0.2">
      <c r="A276">
        <v>2021</v>
      </c>
      <c r="B276" s="3" t="str">
        <f t="shared" si="16"/>
        <v>5291</v>
      </c>
      <c r="C276" s="10" t="s">
        <v>288</v>
      </c>
      <c r="D276" s="11">
        <v>586632</v>
      </c>
      <c r="E276" s="11">
        <v>586632</v>
      </c>
      <c r="F276" s="10">
        <f t="shared" si="17"/>
        <v>1.2019731158524035E-3</v>
      </c>
      <c r="G276">
        <f t="shared" si="18"/>
        <v>87580.121979470423</v>
      </c>
      <c r="H276" s="2">
        <f t="shared" si="19"/>
        <v>674212.12197947036</v>
      </c>
    </row>
    <row r="277" spans="1:8" x14ac:dyDescent="0.2">
      <c r="A277">
        <v>2021</v>
      </c>
      <c r="B277" s="3" t="str">
        <f t="shared" si="16"/>
        <v>5292</v>
      </c>
      <c r="C277" s="10" t="s">
        <v>289</v>
      </c>
      <c r="D277" s="11">
        <v>1587913</v>
      </c>
      <c r="E277" s="11">
        <v>1587913</v>
      </c>
      <c r="F277" s="10">
        <f t="shared" si="17"/>
        <v>3.2535366913372227E-3</v>
      </c>
      <c r="G277">
        <f t="shared" si="18"/>
        <v>237064.48716194622</v>
      </c>
      <c r="H277" s="2">
        <f t="shared" si="19"/>
        <v>1824977.4871619463</v>
      </c>
    </row>
    <row r="278" spans="1:8" x14ac:dyDescent="0.2">
      <c r="A278">
        <v>2021</v>
      </c>
      <c r="B278" s="3" t="str">
        <f t="shared" si="16"/>
        <v>5293</v>
      </c>
      <c r="C278" s="10" t="s">
        <v>290</v>
      </c>
      <c r="D278" s="11">
        <v>378701</v>
      </c>
      <c r="E278" s="11">
        <v>378701</v>
      </c>
      <c r="F278" s="10">
        <f t="shared" si="17"/>
        <v>7.759352046025806E-4</v>
      </c>
      <c r="G278">
        <f t="shared" si="18"/>
        <v>56537.454100266317</v>
      </c>
      <c r="H278" s="2">
        <f t="shared" si="19"/>
        <v>435238.45410026633</v>
      </c>
    </row>
    <row r="279" spans="1:8" x14ac:dyDescent="0.2">
      <c r="A279">
        <v>2021</v>
      </c>
      <c r="B279" s="3" t="str">
        <f t="shared" si="16"/>
        <v>5294</v>
      </c>
      <c r="C279" s="10" t="s">
        <v>291</v>
      </c>
      <c r="D279" s="11">
        <v>912493</v>
      </c>
      <c r="E279" s="11">
        <v>912493</v>
      </c>
      <c r="F279" s="10">
        <f t="shared" si="17"/>
        <v>1.8696423897835563E-3</v>
      </c>
      <c r="G279">
        <f t="shared" si="18"/>
        <v>136228.92758222006</v>
      </c>
      <c r="H279" s="2">
        <f t="shared" si="19"/>
        <v>1048721.9275822202</v>
      </c>
    </row>
    <row r="280" spans="1:8" x14ac:dyDescent="0.2">
      <c r="A280">
        <v>2021</v>
      </c>
      <c r="B280" s="3" t="str">
        <f t="shared" si="16"/>
        <v>5295</v>
      </c>
      <c r="C280" s="10" t="s">
        <v>292</v>
      </c>
      <c r="D280" s="11">
        <v>281114</v>
      </c>
      <c r="E280" s="11">
        <v>281114</v>
      </c>
      <c r="F280" s="10">
        <f t="shared" si="17"/>
        <v>5.7598540565419643E-4</v>
      </c>
      <c r="G280">
        <f t="shared" si="18"/>
        <v>41968.386331016467</v>
      </c>
      <c r="H280" s="2">
        <f t="shared" si="19"/>
        <v>323082.38633101649</v>
      </c>
    </row>
    <row r="281" spans="1:8" x14ac:dyDescent="0.2">
      <c r="A281">
        <v>2021</v>
      </c>
      <c r="B281" s="3" t="str">
        <f t="shared" si="16"/>
        <v>5296</v>
      </c>
      <c r="C281" s="10" t="s">
        <v>293</v>
      </c>
      <c r="D281" s="11">
        <v>1198611</v>
      </c>
      <c r="E281" s="11">
        <v>1198611</v>
      </c>
      <c r="F281" s="10">
        <f t="shared" si="17"/>
        <v>2.4558806856171591E-3</v>
      </c>
      <c r="G281">
        <f t="shared" si="18"/>
        <v>178944.37668919362</v>
      </c>
      <c r="H281" s="2">
        <f t="shared" si="19"/>
        <v>1377555.3766891935</v>
      </c>
    </row>
    <row r="282" spans="1:8" x14ac:dyDescent="0.2">
      <c r="A282">
        <v>2021</v>
      </c>
      <c r="B282" s="3" t="str">
        <f t="shared" si="16"/>
        <v>5297</v>
      </c>
      <c r="C282" s="10" t="s">
        <v>294</v>
      </c>
      <c r="D282" s="11">
        <v>698105</v>
      </c>
      <c r="E282" s="11">
        <v>698105</v>
      </c>
      <c r="F282" s="10">
        <f t="shared" si="17"/>
        <v>1.4303744801547513E-3</v>
      </c>
      <c r="G282">
        <f t="shared" si="18"/>
        <v>104222.27402268919</v>
      </c>
      <c r="H282" s="2">
        <f t="shared" si="19"/>
        <v>802327.27402268921</v>
      </c>
    </row>
    <row r="283" spans="1:8" x14ac:dyDescent="0.2">
      <c r="A283">
        <v>2021</v>
      </c>
      <c r="B283" s="3" t="str">
        <f t="shared" si="16"/>
        <v>5298</v>
      </c>
      <c r="C283" s="10" t="s">
        <v>295</v>
      </c>
      <c r="D283" s="11">
        <v>63692</v>
      </c>
      <c r="E283" s="11">
        <v>63692</v>
      </c>
      <c r="F283" s="10">
        <f t="shared" si="17"/>
        <v>1.3050101544898895E-4</v>
      </c>
      <c r="G283">
        <f t="shared" si="18"/>
        <v>9508.7774432973838</v>
      </c>
      <c r="H283" s="2">
        <f t="shared" si="19"/>
        <v>73200.777443297382</v>
      </c>
    </row>
    <row r="284" spans="1:8" x14ac:dyDescent="0.2">
      <c r="A284">
        <v>2021</v>
      </c>
      <c r="B284" s="3" t="str">
        <f t="shared" si="16"/>
        <v>5299</v>
      </c>
      <c r="C284" s="10" t="s">
        <v>296</v>
      </c>
      <c r="D284" s="11">
        <v>221028</v>
      </c>
      <c r="E284" s="11">
        <v>221028</v>
      </c>
      <c r="F284" s="10">
        <f t="shared" si="17"/>
        <v>4.5287286382370045E-4</v>
      </c>
      <c r="G284">
        <f t="shared" si="18"/>
        <v>32997.959880944763</v>
      </c>
      <c r="H284" s="2">
        <f t="shared" si="19"/>
        <v>254025.95988094475</v>
      </c>
    </row>
    <row r="285" spans="1:8" x14ac:dyDescent="0.2">
      <c r="A285">
        <v>2021</v>
      </c>
      <c r="B285" s="3" t="str">
        <f t="shared" si="16"/>
        <v>5300</v>
      </c>
      <c r="C285" s="10" t="s">
        <v>297</v>
      </c>
      <c r="D285" s="11">
        <v>630212</v>
      </c>
      <c r="E285" s="11">
        <v>630212</v>
      </c>
      <c r="F285" s="10">
        <f t="shared" si="17"/>
        <v>1.2912658724508292E-3</v>
      </c>
      <c r="G285">
        <f t="shared" si="18"/>
        <v>94086.316179352667</v>
      </c>
      <c r="H285" s="2">
        <f t="shared" si="19"/>
        <v>724298.3161793527</v>
      </c>
    </row>
    <row r="286" spans="1:8" x14ac:dyDescent="0.2">
      <c r="A286">
        <v>2021</v>
      </c>
      <c r="B286" s="3" t="str">
        <f t="shared" si="16"/>
        <v>5302</v>
      </c>
      <c r="C286" s="10" t="s">
        <v>298</v>
      </c>
      <c r="D286" s="11">
        <v>3328551</v>
      </c>
      <c r="E286" s="11">
        <v>3328551</v>
      </c>
      <c r="F286" s="10">
        <f t="shared" si="17"/>
        <v>6.8199975738514667E-3</v>
      </c>
      <c r="G286">
        <f t="shared" si="18"/>
        <v>496929.76618201582</v>
      </c>
      <c r="H286" s="2">
        <f t="shared" si="19"/>
        <v>3825480.7661820156</v>
      </c>
    </row>
    <row r="287" spans="1:8" x14ac:dyDescent="0.2">
      <c r="A287">
        <v>2021</v>
      </c>
      <c r="B287" s="3" t="str">
        <f t="shared" si="16"/>
        <v>5303</v>
      </c>
      <c r="C287" s="10" t="s">
        <v>345</v>
      </c>
      <c r="D287" s="11">
        <v>1655803</v>
      </c>
      <c r="E287" s="11">
        <v>1655803</v>
      </c>
      <c r="F287" s="10">
        <f t="shared" si="17"/>
        <v>3.3926391522244906E-3</v>
      </c>
      <c r="G287">
        <f t="shared" si="18"/>
        <v>247199.99712592066</v>
      </c>
      <c r="H287" s="2">
        <f t="shared" si="19"/>
        <v>1903002.9971259206</v>
      </c>
    </row>
    <row r="288" spans="1:8" x14ac:dyDescent="0.2">
      <c r="A288">
        <v>2021</v>
      </c>
      <c r="B288" s="3" t="str">
        <f t="shared" si="16"/>
        <v>5304</v>
      </c>
      <c r="C288" s="10" t="s">
        <v>300</v>
      </c>
      <c r="D288" s="11">
        <v>1406118</v>
      </c>
      <c r="E288" s="11">
        <v>1406118</v>
      </c>
      <c r="F288" s="10">
        <f t="shared" si="17"/>
        <v>2.8810498467798378E-3</v>
      </c>
      <c r="G288">
        <f t="shared" si="18"/>
        <v>209923.7442852231</v>
      </c>
      <c r="H288" s="2">
        <f t="shared" si="19"/>
        <v>1616041.7442852231</v>
      </c>
    </row>
    <row r="289" spans="1:8" x14ac:dyDescent="0.2">
      <c r="A289">
        <v>2021</v>
      </c>
      <c r="B289" s="3" t="str">
        <f t="shared" si="16"/>
        <v>5305</v>
      </c>
      <c r="C289" s="10" t="s">
        <v>301</v>
      </c>
      <c r="D289" s="11">
        <v>310313</v>
      </c>
      <c r="E289" s="11">
        <v>310313</v>
      </c>
      <c r="F289" s="10">
        <f t="shared" si="17"/>
        <v>6.358123721506956E-4</v>
      </c>
      <c r="G289">
        <f t="shared" si="18"/>
        <v>46327.596162185844</v>
      </c>
      <c r="H289" s="2">
        <f t="shared" si="19"/>
        <v>356640.59616218583</v>
      </c>
    </row>
    <row r="290" spans="1:8" x14ac:dyDescent="0.2">
      <c r="A290">
        <v>2021</v>
      </c>
      <c r="B290" s="3" t="str">
        <f t="shared" si="16"/>
        <v>5306</v>
      </c>
      <c r="C290" s="10" t="s">
        <v>302</v>
      </c>
      <c r="D290" s="11">
        <v>1115486</v>
      </c>
      <c r="E290" s="11">
        <v>1115486</v>
      </c>
      <c r="F290" s="10">
        <f t="shared" si="17"/>
        <v>2.2855626408203682E-3</v>
      </c>
      <c r="G290">
        <f t="shared" si="18"/>
        <v>166534.38603143292</v>
      </c>
      <c r="H290" s="2">
        <f t="shared" si="19"/>
        <v>1282020.386031433</v>
      </c>
    </row>
    <row r="291" spans="1:8" x14ac:dyDescent="0.2">
      <c r="A291">
        <v>2021</v>
      </c>
      <c r="B291" s="3" t="str">
        <f t="shared" si="16"/>
        <v>5307</v>
      </c>
      <c r="C291" s="10" t="s">
        <v>303</v>
      </c>
      <c r="D291" s="11">
        <v>188926</v>
      </c>
      <c r="E291" s="11">
        <v>188926</v>
      </c>
      <c r="F291" s="10">
        <f t="shared" si="17"/>
        <v>3.8709782774470398E-4</v>
      </c>
      <c r="G291">
        <f t="shared" si="18"/>
        <v>28205.352120398191</v>
      </c>
      <c r="H291" s="2">
        <f t="shared" si="19"/>
        <v>217131.35212039819</v>
      </c>
    </row>
    <row r="292" spans="1:8" x14ac:dyDescent="0.2">
      <c r="A292">
        <v>2021</v>
      </c>
      <c r="B292" s="3" t="str">
        <f t="shared" si="16"/>
        <v>5222</v>
      </c>
      <c r="C292" s="17" t="s">
        <v>358</v>
      </c>
      <c r="D292" s="11">
        <v>390770</v>
      </c>
      <c r="E292" s="11">
        <v>390770</v>
      </c>
      <c r="F292" s="10">
        <f t="shared" si="17"/>
        <v>8.0066384800291102E-4</v>
      </c>
      <c r="G292">
        <f t="shared" si="18"/>
        <v>58339.272773932651</v>
      </c>
      <c r="H292" s="2">
        <f t="shared" si="19"/>
        <v>449109.27277393267</v>
      </c>
    </row>
    <row r="293" spans="1:8" x14ac:dyDescent="0.2">
      <c r="A293">
        <v>2021</v>
      </c>
      <c r="B293" s="3" t="str">
        <f t="shared" si="16"/>
        <v>5309</v>
      </c>
      <c r="C293" s="10" t="s">
        <v>305</v>
      </c>
      <c r="D293" s="11">
        <v>751823</v>
      </c>
      <c r="E293" s="11">
        <v>751823</v>
      </c>
      <c r="F293" s="10">
        <f t="shared" si="17"/>
        <v>1.5404393791670103E-3</v>
      </c>
      <c r="G293">
        <f t="shared" si="18"/>
        <v>112242.00188017599</v>
      </c>
      <c r="H293" s="2">
        <f t="shared" si="19"/>
        <v>864065.00188017602</v>
      </c>
    </row>
    <row r="294" spans="1:8" x14ac:dyDescent="0.2">
      <c r="A294">
        <v>2021</v>
      </c>
      <c r="B294" s="3" t="str">
        <f t="shared" si="16"/>
        <v>5310</v>
      </c>
      <c r="C294" s="10" t="s">
        <v>306</v>
      </c>
      <c r="D294" s="11">
        <v>109396</v>
      </c>
      <c r="E294" s="11">
        <v>109396</v>
      </c>
      <c r="F294" s="10">
        <f t="shared" si="17"/>
        <v>2.2414571823867354E-4</v>
      </c>
      <c r="G294">
        <f t="shared" si="18"/>
        <v>16332.070231535523</v>
      </c>
      <c r="H294" s="2">
        <f t="shared" si="19"/>
        <v>125728.07023153553</v>
      </c>
    </row>
    <row r="295" spans="1:8" x14ac:dyDescent="0.2">
      <c r="A295">
        <v>2021</v>
      </c>
      <c r="B295" s="3" t="str">
        <f t="shared" si="16"/>
        <v>5312</v>
      </c>
      <c r="C295" s="10" t="s">
        <v>307</v>
      </c>
      <c r="D295" s="11">
        <v>3971583</v>
      </c>
      <c r="E295" s="11">
        <v>3971583</v>
      </c>
      <c r="F295" s="10">
        <f t="shared" si="17"/>
        <v>8.1375308428050918E-3</v>
      </c>
      <c r="G295">
        <f t="shared" si="18"/>
        <v>592930.02016867674</v>
      </c>
      <c r="H295" s="2">
        <f t="shared" si="19"/>
        <v>4564513.020168677</v>
      </c>
    </row>
    <row r="296" spans="1:8" x14ac:dyDescent="0.2">
      <c r="A296">
        <v>2021</v>
      </c>
      <c r="B296" s="3" t="str">
        <f t="shared" si="16"/>
        <v>5313</v>
      </c>
      <c r="C296" s="10" t="s">
        <v>308</v>
      </c>
      <c r="D296" s="11">
        <v>350052</v>
      </c>
      <c r="E296" s="11">
        <v>350052</v>
      </c>
      <c r="F296" s="10">
        <f t="shared" si="17"/>
        <v>7.1723515449270681E-4</v>
      </c>
      <c r="G296">
        <f t="shared" si="18"/>
        <v>52260.355485479115</v>
      </c>
      <c r="H296" s="2">
        <f t="shared" si="19"/>
        <v>402312.35548547911</v>
      </c>
    </row>
    <row r="297" spans="1:8" x14ac:dyDescent="0.2">
      <c r="A297">
        <v>2021</v>
      </c>
      <c r="B297" s="3" t="str">
        <f t="shared" si="16"/>
        <v>5314</v>
      </c>
      <c r="C297" s="10" t="s">
        <v>309</v>
      </c>
      <c r="D297" s="11">
        <v>15787891</v>
      </c>
      <c r="E297" s="11">
        <v>15787891</v>
      </c>
      <c r="F297" s="10">
        <f t="shared" si="17"/>
        <v>3.2348423778464384E-2</v>
      </c>
      <c r="G297">
        <f t="shared" si="18"/>
        <v>2357023.5165803833</v>
      </c>
      <c r="H297" s="2">
        <f t="shared" si="19"/>
        <v>18144914.516580384</v>
      </c>
    </row>
    <row r="298" spans="1:8" x14ac:dyDescent="0.2">
      <c r="A298">
        <v>2021</v>
      </c>
      <c r="B298" s="3" t="str">
        <f t="shared" si="16"/>
        <v>5316</v>
      </c>
      <c r="C298" s="10" t="s">
        <v>310</v>
      </c>
      <c r="D298" s="11">
        <v>368197</v>
      </c>
      <c r="E298" s="11">
        <v>368197</v>
      </c>
      <c r="F298" s="10">
        <f t="shared" si="17"/>
        <v>7.5441315055692056E-4</v>
      </c>
      <c r="G298">
        <f t="shared" si="18"/>
        <v>54969.279160487451</v>
      </c>
      <c r="H298" s="2">
        <f t="shared" si="19"/>
        <v>423166.27916048747</v>
      </c>
    </row>
    <row r="299" spans="1:8" x14ac:dyDescent="0.2">
      <c r="A299">
        <v>2021</v>
      </c>
      <c r="B299" s="3" t="str">
        <f t="shared" si="16"/>
        <v>5317</v>
      </c>
      <c r="C299" s="10" t="s">
        <v>311</v>
      </c>
      <c r="D299" s="11">
        <v>510568</v>
      </c>
      <c r="E299" s="11">
        <v>510568</v>
      </c>
      <c r="F299" s="10">
        <f t="shared" si="17"/>
        <v>1.0461226285209976E-3</v>
      </c>
      <c r="G299">
        <f t="shared" si="18"/>
        <v>76224.290046936163</v>
      </c>
      <c r="H299" s="2">
        <f t="shared" si="19"/>
        <v>586792.29004693613</v>
      </c>
    </row>
    <row r="300" spans="1:8" x14ac:dyDescent="0.2">
      <c r="A300">
        <v>2021</v>
      </c>
      <c r="B300" s="3" t="str">
        <f t="shared" si="16"/>
        <v>5318</v>
      </c>
      <c r="C300" s="10" t="s">
        <v>312</v>
      </c>
      <c r="D300" s="11">
        <v>566899</v>
      </c>
      <c r="E300" s="11">
        <v>566899</v>
      </c>
      <c r="F300" s="10">
        <f t="shared" si="17"/>
        <v>1.1615414048391694E-3</v>
      </c>
      <c r="G300">
        <f t="shared" si="18"/>
        <v>84634.120828798637</v>
      </c>
      <c r="H300" s="2">
        <f t="shared" si="19"/>
        <v>651533.12082879862</v>
      </c>
    </row>
    <row r="301" spans="1:8" x14ac:dyDescent="0.2">
      <c r="A301">
        <v>2021</v>
      </c>
      <c r="B301" s="3" t="str">
        <f t="shared" si="16"/>
        <v>5319</v>
      </c>
      <c r="C301" s="10" t="s">
        <v>313</v>
      </c>
      <c r="D301" s="11">
        <v>809599</v>
      </c>
      <c r="E301" s="11">
        <v>809599</v>
      </c>
      <c r="F301" s="10">
        <f t="shared" si="17"/>
        <v>1.6588188721736797E-3</v>
      </c>
      <c r="G301">
        <f t="shared" si="18"/>
        <v>120867.56122144255</v>
      </c>
      <c r="H301" s="2">
        <f t="shared" si="19"/>
        <v>930466.56122144253</v>
      </c>
    </row>
    <row r="302" spans="1:8" x14ac:dyDescent="0.2">
      <c r="A302">
        <v>2021</v>
      </c>
      <c r="B302" s="3" t="str">
        <f t="shared" si="16"/>
        <v>5320</v>
      </c>
      <c r="C302" s="10" t="s">
        <v>314</v>
      </c>
      <c r="D302" s="11">
        <v>213062</v>
      </c>
      <c r="E302" s="11">
        <v>213062</v>
      </c>
      <c r="F302" s="10">
        <f t="shared" si="17"/>
        <v>4.3655101666759534E-4</v>
      </c>
      <c r="G302">
        <f t="shared" si="18"/>
        <v>31808.690881489467</v>
      </c>
      <c r="H302" s="2">
        <f t="shared" si="19"/>
        <v>244870.69088148946</v>
      </c>
    </row>
    <row r="303" spans="1:8" x14ac:dyDescent="0.2">
      <c r="A303">
        <v>2021</v>
      </c>
      <c r="B303" s="3" t="str">
        <f t="shared" si="16"/>
        <v>5321</v>
      </c>
      <c r="C303" s="10" t="s">
        <v>315</v>
      </c>
      <c r="D303" s="11">
        <v>426728</v>
      </c>
      <c r="E303" s="11">
        <v>426728</v>
      </c>
      <c r="F303" s="10">
        <f t="shared" si="17"/>
        <v>8.743395924215939E-4</v>
      </c>
      <c r="G303">
        <f t="shared" si="18"/>
        <v>63707.554807878638</v>
      </c>
      <c r="H303" s="2">
        <f t="shared" si="19"/>
        <v>490435.55480787862</v>
      </c>
    </row>
    <row r="304" spans="1:8" x14ac:dyDescent="0.2">
      <c r="A304">
        <v>2021</v>
      </c>
      <c r="B304" s="3" t="str">
        <f t="shared" si="16"/>
        <v>5322</v>
      </c>
      <c r="C304" s="10" t="s">
        <v>316</v>
      </c>
      <c r="D304" s="11">
        <v>496691</v>
      </c>
      <c r="E304" s="11">
        <v>496691</v>
      </c>
      <c r="F304" s="10">
        <f t="shared" si="17"/>
        <v>1.0176895036169969E-3</v>
      </c>
      <c r="G304">
        <f t="shared" si="18"/>
        <v>74152.549411053507</v>
      </c>
      <c r="H304" s="2">
        <f t="shared" si="19"/>
        <v>570843.54941105354</v>
      </c>
    </row>
    <row r="305" spans="1:8" x14ac:dyDescent="0.2">
      <c r="A305">
        <v>2021</v>
      </c>
      <c r="B305" s="3" t="str">
        <f t="shared" si="16"/>
        <v>5324</v>
      </c>
      <c r="C305" s="10" t="s">
        <v>317</v>
      </c>
      <c r="D305" s="11">
        <v>24369652</v>
      </c>
      <c r="E305" s="11">
        <v>24369652</v>
      </c>
      <c r="F305" s="10">
        <f t="shared" si="17"/>
        <v>4.9931927591196454E-2</v>
      </c>
      <c r="G305">
        <f t="shared" si="18"/>
        <v>3638221.3973278743</v>
      </c>
      <c r="H305" s="2">
        <f t="shared" si="19"/>
        <v>28007873.397327874</v>
      </c>
    </row>
    <row r="306" spans="1:8" x14ac:dyDescent="0.2">
      <c r="A306">
        <v>2021</v>
      </c>
      <c r="B306" s="3" t="str">
        <f t="shared" si="16"/>
        <v>5329</v>
      </c>
      <c r="C306" s="10" t="s">
        <v>318</v>
      </c>
      <c r="D306" s="11">
        <v>235105</v>
      </c>
      <c r="E306" s="11">
        <v>235105</v>
      </c>
      <c r="F306" s="10">
        <f t="shared" si="17"/>
        <v>4.8171577650465595E-4</v>
      </c>
      <c r="G306">
        <f t="shared" si="18"/>
        <v>35099.55914096639</v>
      </c>
      <c r="H306" s="2">
        <f t="shared" si="19"/>
        <v>270204.55914096639</v>
      </c>
    </row>
    <row r="307" spans="1:8" x14ac:dyDescent="0.2">
      <c r="A307">
        <v>2021</v>
      </c>
      <c r="B307" s="3" t="str">
        <f t="shared" si="16"/>
        <v>5330</v>
      </c>
      <c r="C307" s="10" t="s">
        <v>319</v>
      </c>
      <c r="D307" s="11">
        <v>918694</v>
      </c>
      <c r="E307" s="11">
        <v>918694</v>
      </c>
      <c r="F307" s="10">
        <f t="shared" si="17"/>
        <v>1.8823478598080363E-3</v>
      </c>
      <c r="G307">
        <f t="shared" si="18"/>
        <v>137154.6942236489</v>
      </c>
      <c r="H307" s="2">
        <f t="shared" si="19"/>
        <v>1055848.6942236489</v>
      </c>
    </row>
    <row r="308" spans="1:8" x14ac:dyDescent="0.2">
      <c r="A308">
        <v>2021</v>
      </c>
      <c r="B308" s="3" t="str">
        <f t="shared" si="16"/>
        <v>5331</v>
      </c>
      <c r="C308" s="10" t="s">
        <v>320</v>
      </c>
      <c r="D308" s="11">
        <v>1140522</v>
      </c>
      <c r="E308" s="11">
        <v>1140522</v>
      </c>
      <c r="F308" s="10">
        <f t="shared" si="17"/>
        <v>2.3368598747395557E-3</v>
      </c>
      <c r="G308">
        <f t="shared" si="18"/>
        <v>170272.08860114959</v>
      </c>
      <c r="H308" s="2">
        <f t="shared" si="19"/>
        <v>1310794.0886011496</v>
      </c>
    </row>
    <row r="309" spans="1:8" x14ac:dyDescent="0.2">
      <c r="A309">
        <v>2021</v>
      </c>
      <c r="B309" s="3" t="str">
        <f t="shared" si="16"/>
        <v>5332</v>
      </c>
      <c r="C309" s="10" t="s">
        <v>321</v>
      </c>
      <c r="D309" s="11">
        <v>1306174</v>
      </c>
      <c r="E309" s="11">
        <v>1306174</v>
      </c>
      <c r="F309" s="10">
        <f t="shared" si="17"/>
        <v>2.6762706988800429E-3</v>
      </c>
      <c r="G309">
        <f t="shared" si="18"/>
        <v>195002.79263049547</v>
      </c>
      <c r="H309" s="2">
        <f t="shared" si="19"/>
        <v>1501176.7926304955</v>
      </c>
    </row>
    <row r="310" spans="1:8" x14ac:dyDescent="0.2">
      <c r="A310">
        <v>2021</v>
      </c>
      <c r="B310" s="3" t="str">
        <f t="shared" si="16"/>
        <v>5333</v>
      </c>
      <c r="C310" s="10" t="s">
        <v>322</v>
      </c>
      <c r="D310" s="11">
        <v>428614</v>
      </c>
      <c r="E310" s="11">
        <v>428614</v>
      </c>
      <c r="F310" s="10">
        <f t="shared" si="17"/>
        <v>8.7820389115827655E-4</v>
      </c>
      <c r="G310">
        <f t="shared" si="18"/>
        <v>63989.121633509152</v>
      </c>
      <c r="H310" s="2">
        <f t="shared" si="19"/>
        <v>492603.12163350917</v>
      </c>
    </row>
    <row r="311" spans="1:8" x14ac:dyDescent="0.2">
      <c r="A311">
        <v>2021</v>
      </c>
      <c r="B311" s="3" t="str">
        <f t="shared" si="16"/>
        <v>5337</v>
      </c>
      <c r="C311" s="10" t="s">
        <v>323</v>
      </c>
      <c r="D311" s="11">
        <v>1839985</v>
      </c>
      <c r="E311" s="11">
        <v>1839985</v>
      </c>
      <c r="F311" s="10">
        <f t="shared" si="17"/>
        <v>3.7700168138998292E-3</v>
      </c>
      <c r="G311">
        <f t="shared" si="18"/>
        <v>274697.1026817424</v>
      </c>
      <c r="H311" s="2">
        <f t="shared" si="19"/>
        <v>2114682.1026817425</v>
      </c>
    </row>
    <row r="312" spans="1:8" x14ac:dyDescent="0.2">
      <c r="A312">
        <v>2021</v>
      </c>
      <c r="B312" s="3" t="str">
        <f t="shared" si="16"/>
        <v>5366</v>
      </c>
      <c r="C312" s="10" t="s">
        <v>324</v>
      </c>
      <c r="D312" s="11">
        <v>857271</v>
      </c>
      <c r="E312" s="11">
        <v>857271</v>
      </c>
      <c r="F312" s="10">
        <f t="shared" si="17"/>
        <v>1.7564958866885983E-3</v>
      </c>
      <c r="G312">
        <f t="shared" si="18"/>
        <v>127984.66287120817</v>
      </c>
      <c r="H312" s="2">
        <f t="shared" si="19"/>
        <v>985255.66287120816</v>
      </c>
    </row>
    <row r="313" spans="1:8" x14ac:dyDescent="0.2">
      <c r="A313">
        <v>2021</v>
      </c>
      <c r="B313" s="3" t="str">
        <f t="shared" si="16"/>
        <v>5367</v>
      </c>
      <c r="C313" s="10" t="s">
        <v>325</v>
      </c>
      <c r="D313" s="11">
        <v>329408</v>
      </c>
      <c r="E313" s="11">
        <v>329408</v>
      </c>
      <c r="F313" s="10">
        <f t="shared" si="17"/>
        <v>6.7493686015544416E-4</v>
      </c>
      <c r="G313">
        <f t="shared" si="18"/>
        <v>49178.348301854305</v>
      </c>
      <c r="H313" s="2">
        <f t="shared" si="19"/>
        <v>378586.34830185433</v>
      </c>
    </row>
    <row r="314" spans="1:8" x14ac:dyDescent="0.2">
      <c r="A314">
        <v>2021</v>
      </c>
      <c r="B314" s="3" t="str">
        <f t="shared" si="16"/>
        <v>5368</v>
      </c>
      <c r="C314" s="10" t="s">
        <v>326</v>
      </c>
      <c r="D314" s="11">
        <v>453955</v>
      </c>
      <c r="E314" s="11">
        <v>453955</v>
      </c>
      <c r="F314" s="10">
        <f t="shared" si="17"/>
        <v>9.3012605143731988E-4</v>
      </c>
      <c r="G314">
        <f t="shared" si="18"/>
        <v>67772.358605037734</v>
      </c>
      <c r="H314" s="2">
        <f t="shared" si="19"/>
        <v>521727.35860503773</v>
      </c>
    </row>
    <row r="315" spans="1:8" x14ac:dyDescent="0.2">
      <c r="A315">
        <v>2021</v>
      </c>
      <c r="B315" s="3" t="str">
        <f t="shared" si="16"/>
        <v>5405</v>
      </c>
      <c r="C315" s="10" t="s">
        <v>327</v>
      </c>
      <c r="D315" s="11">
        <v>207375</v>
      </c>
      <c r="E315" s="11">
        <v>207375</v>
      </c>
      <c r="F315" s="10">
        <f t="shared" si="17"/>
        <v>4.2489870122988888E-4</v>
      </c>
      <c r="G315">
        <f t="shared" si="18"/>
        <v>30959.660904097767</v>
      </c>
      <c r="H315" s="2">
        <f t="shared" si="19"/>
        <v>238334.66090409778</v>
      </c>
    </row>
    <row r="316" spans="1:8" x14ac:dyDescent="0.2">
      <c r="A316">
        <v>2021</v>
      </c>
      <c r="B316" s="3" t="str">
        <f t="shared" si="16"/>
        <v>5409</v>
      </c>
      <c r="C316" s="10" t="s">
        <v>328</v>
      </c>
      <c r="D316" s="11">
        <v>230212</v>
      </c>
      <c r="E316" s="11">
        <v>230212</v>
      </c>
      <c r="F316" s="10">
        <f t="shared" si="17"/>
        <v>4.7169031854145957E-4</v>
      </c>
      <c r="G316">
        <f t="shared" si="18"/>
        <v>34369.067901406415</v>
      </c>
      <c r="H316" s="2">
        <f t="shared" si="19"/>
        <v>264581.06790140644</v>
      </c>
    </row>
    <row r="317" spans="1:8" x14ac:dyDescent="0.2">
      <c r="A317">
        <v>2021</v>
      </c>
      <c r="B317" s="3" t="str">
        <f t="shared" si="16"/>
        <v>5410</v>
      </c>
      <c r="C317" s="10" t="s">
        <v>329</v>
      </c>
      <c r="D317" s="11">
        <v>223525</v>
      </c>
      <c r="E317" s="11">
        <v>223525</v>
      </c>
      <c r="F317" s="10">
        <f t="shared" si="17"/>
        <v>4.579890642189797E-4</v>
      </c>
      <c r="G317">
        <f t="shared" si="18"/>
        <v>33370.744803319845</v>
      </c>
      <c r="H317" s="2">
        <f t="shared" si="19"/>
        <v>256895.74480331986</v>
      </c>
    </row>
    <row r="318" spans="1:8" x14ac:dyDescent="0.2">
      <c r="A318">
        <v>2021</v>
      </c>
      <c r="B318" s="3" t="str">
        <f t="shared" si="16"/>
        <v>5430</v>
      </c>
      <c r="C318" s="10" t="s">
        <v>330</v>
      </c>
      <c r="D318" s="11">
        <v>25273479</v>
      </c>
      <c r="E318" s="11">
        <v>25273479</v>
      </c>
      <c r="F318" s="10">
        <f t="shared" si="17"/>
        <v>5.1783813876604558E-2</v>
      </c>
      <c r="G318">
        <f t="shared" si="18"/>
        <v>3773156.5507261525</v>
      </c>
      <c r="H318" s="2">
        <f t="shared" si="19"/>
        <v>29046635.550726153</v>
      </c>
    </row>
    <row r="319" spans="1:8" x14ac:dyDescent="0.2">
      <c r="A319">
        <v>2021</v>
      </c>
      <c r="B319" s="3" t="str">
        <f t="shared" si="16"/>
        <v>5436</v>
      </c>
      <c r="C319" s="10" t="s">
        <v>331</v>
      </c>
      <c r="D319" s="11">
        <v>705575</v>
      </c>
      <c r="E319" s="11">
        <v>705575</v>
      </c>
      <c r="F319" s="10">
        <f t="shared" si="17"/>
        <v>1.4456800536240088E-3</v>
      </c>
      <c r="G319">
        <f t="shared" si="18"/>
        <v>105337.49363427983</v>
      </c>
      <c r="H319" s="2">
        <f t="shared" si="19"/>
        <v>810912.49363427982</v>
      </c>
    </row>
    <row r="320" spans="1:8" x14ac:dyDescent="0.2">
      <c r="A320">
        <v>2021</v>
      </c>
      <c r="B320" s="3" t="str">
        <f t="shared" si="16"/>
        <v>5590</v>
      </c>
      <c r="C320" s="10" t="s">
        <v>332</v>
      </c>
      <c r="D320" s="11">
        <v>140842</v>
      </c>
      <c r="E320" s="11">
        <v>140842</v>
      </c>
      <c r="F320" s="10">
        <f t="shared" si="17"/>
        <v>2.8857665040925865E-4</v>
      </c>
      <c r="G320">
        <f t="shared" si="18"/>
        <v>21026.741704906271</v>
      </c>
      <c r="H320" s="2">
        <f t="shared" si="19"/>
        <v>161868.74170490628</v>
      </c>
    </row>
    <row r="321" spans="1:8" x14ac:dyDescent="0.2">
      <c r="A321">
        <v>2021</v>
      </c>
      <c r="B321" s="3" t="str">
        <f t="shared" si="16"/>
        <v>5696</v>
      </c>
      <c r="C321" s="10" t="s">
        <v>333</v>
      </c>
      <c r="D321" s="11">
        <v>247170</v>
      </c>
      <c r="E321" s="11">
        <v>247170</v>
      </c>
      <c r="F321" s="10">
        <f t="shared" si="17"/>
        <v>5.0643622414944735E-4</v>
      </c>
      <c r="G321">
        <f t="shared" si="18"/>
        <v>36900.780642149948</v>
      </c>
      <c r="H321" s="2">
        <f t="shared" si="19"/>
        <v>284070.78064214997</v>
      </c>
    </row>
    <row r="322" spans="1:8" x14ac:dyDescent="0.2">
      <c r="A322">
        <v>2021</v>
      </c>
      <c r="B322" s="3" t="str">
        <f t="shared" si="16"/>
        <v>9291</v>
      </c>
      <c r="C322" s="10" t="s">
        <v>334</v>
      </c>
      <c r="D322" s="11">
        <v>371583</v>
      </c>
      <c r="E322" s="11">
        <v>371583</v>
      </c>
      <c r="F322" s="10">
        <f t="shared" si="17"/>
        <v>7.6135085762076341E-4</v>
      </c>
      <c r="G322">
        <f t="shared" si="18"/>
        <v>55474.785667160271</v>
      </c>
      <c r="H322" s="2">
        <f t="shared" si="19"/>
        <v>427057.78566716029</v>
      </c>
    </row>
    <row r="323" spans="1:8" x14ac:dyDescent="0.2">
      <c r="A323">
        <v>2021</v>
      </c>
      <c r="B323" s="3" t="str">
        <f t="shared" ref="B323:B332" si="20">LEFT(C323,4)</f>
        <v>9302</v>
      </c>
      <c r="C323" s="10" t="s">
        <v>335</v>
      </c>
      <c r="D323" s="11">
        <v>162930</v>
      </c>
      <c r="E323" s="11">
        <v>162930</v>
      </c>
      <c r="F323" s="10">
        <f t="shared" ref="F323:F333" si="21">D323/$D$335</f>
        <v>3.3383361249613401E-4</v>
      </c>
      <c r="G323">
        <f t="shared" ref="G323:G333" si="22">F323*$D$336</f>
        <v>24324.328154814459</v>
      </c>
      <c r="H323" s="2">
        <f t="shared" ref="H323:H333" si="23">SUM(G323,D323)</f>
        <v>187254.32815481446</v>
      </c>
    </row>
    <row r="324" spans="1:8" x14ac:dyDescent="0.2">
      <c r="A324">
        <v>2021</v>
      </c>
      <c r="B324" s="3" t="str">
        <f t="shared" si="20"/>
        <v>9332</v>
      </c>
      <c r="C324" s="10" t="s">
        <v>336</v>
      </c>
      <c r="D324" s="11">
        <v>315344</v>
      </c>
      <c r="E324" s="11">
        <v>315344</v>
      </c>
      <c r="F324" s="10">
        <f t="shared" si="21"/>
        <v>6.4612058367999076E-4</v>
      </c>
      <c r="G324">
        <f t="shared" si="22"/>
        <v>47078.689852401716</v>
      </c>
      <c r="H324" s="2">
        <f t="shared" si="23"/>
        <v>362422.68985240173</v>
      </c>
    </row>
    <row r="325" spans="1:8" x14ac:dyDescent="0.2">
      <c r="A325">
        <v>2021</v>
      </c>
      <c r="B325" s="3" t="str">
        <f t="shared" si="20"/>
        <v>9333</v>
      </c>
      <c r="C325" s="10" t="s">
        <v>337</v>
      </c>
      <c r="D325" s="11">
        <v>357036</v>
      </c>
      <c r="E325" s="11">
        <v>357036</v>
      </c>
      <c r="F325" s="10">
        <f t="shared" si="21"/>
        <v>7.3154494366396434E-4</v>
      </c>
      <c r="G325">
        <f t="shared" si="22"/>
        <v>53303.018640412054</v>
      </c>
      <c r="H325" s="2">
        <f t="shared" si="23"/>
        <v>410339.01864041208</v>
      </c>
    </row>
    <row r="326" spans="1:8" x14ac:dyDescent="0.2">
      <c r="A326">
        <v>2021</v>
      </c>
      <c r="B326" s="3" t="str">
        <f t="shared" si="20"/>
        <v>9335</v>
      </c>
      <c r="C326" s="10" t="s">
        <v>338</v>
      </c>
      <c r="D326" s="11">
        <v>461961</v>
      </c>
      <c r="E326" s="11">
        <v>461961</v>
      </c>
      <c r="F326" s="10">
        <f t="shared" si="21"/>
        <v>9.4652985614881589E-4</v>
      </c>
      <c r="G326">
        <f t="shared" si="22"/>
        <v>68967.59932932083</v>
      </c>
      <c r="H326" s="2">
        <f t="shared" si="23"/>
        <v>530928.59932932083</v>
      </c>
    </row>
    <row r="327" spans="1:8" x14ac:dyDescent="0.2">
      <c r="A327">
        <v>2021</v>
      </c>
      <c r="B327" s="3" t="str">
        <f t="shared" si="20"/>
        <v>9389</v>
      </c>
      <c r="C327" s="10" t="s">
        <v>339</v>
      </c>
      <c r="D327" s="11">
        <v>256776</v>
      </c>
      <c r="E327" s="11">
        <v>256776</v>
      </c>
      <c r="F327" s="10">
        <f t="shared" si="21"/>
        <v>5.2611833107658087E-4</v>
      </c>
      <c r="G327">
        <f t="shared" si="22"/>
        <v>38334.890359544828</v>
      </c>
      <c r="H327" s="2">
        <f t="shared" si="23"/>
        <v>295110.89035954484</v>
      </c>
    </row>
    <row r="328" spans="1:8" x14ac:dyDescent="0.2">
      <c r="A328">
        <v>2021</v>
      </c>
      <c r="B328" s="3" t="str">
        <f t="shared" si="20"/>
        <v>9410</v>
      </c>
      <c r="C328" s="10" t="s">
        <v>340</v>
      </c>
      <c r="D328" s="11">
        <v>370091</v>
      </c>
      <c r="E328" s="11">
        <v>370091</v>
      </c>
      <c r="F328" s="10">
        <f t="shared" si="21"/>
        <v>7.5829384080468136E-4</v>
      </c>
      <c r="G328">
        <f t="shared" si="22"/>
        <v>55252.040331083525</v>
      </c>
      <c r="H328" s="2">
        <f t="shared" si="23"/>
        <v>425343.04033108352</v>
      </c>
    </row>
    <row r="329" spans="1:8" x14ac:dyDescent="0.2">
      <c r="A329">
        <v>2021</v>
      </c>
      <c r="B329" s="3" t="str">
        <f t="shared" si="20"/>
        <v>9444</v>
      </c>
      <c r="C329" s="10" t="s">
        <v>341</v>
      </c>
      <c r="D329" s="11">
        <v>552283</v>
      </c>
      <c r="E329" s="11">
        <v>552283</v>
      </c>
      <c r="F329" s="10">
        <f t="shared" si="21"/>
        <v>1.1315941140993212E-3</v>
      </c>
      <c r="G329">
        <f t="shared" si="22"/>
        <v>82452.05257672249</v>
      </c>
      <c r="H329" s="2">
        <f t="shared" si="23"/>
        <v>634735.05257672246</v>
      </c>
    </row>
    <row r="330" spans="1:8" x14ac:dyDescent="0.2">
      <c r="A330">
        <v>2021</v>
      </c>
      <c r="B330" s="3" t="str">
        <f t="shared" si="20"/>
        <v>9445</v>
      </c>
      <c r="C330" s="10" t="s">
        <v>342</v>
      </c>
      <c r="D330" s="11">
        <v>534773</v>
      </c>
      <c r="E330" s="11">
        <v>534773</v>
      </c>
      <c r="F330" s="10">
        <f t="shared" si="21"/>
        <v>1.0957171942269385E-3</v>
      </c>
      <c r="G330">
        <f t="shared" si="22"/>
        <v>79837.930033355398</v>
      </c>
      <c r="H330" s="2">
        <f t="shared" si="23"/>
        <v>614610.93003335537</v>
      </c>
    </row>
    <row r="331" spans="1:8" x14ac:dyDescent="0.2">
      <c r="A331">
        <v>2021</v>
      </c>
      <c r="B331" s="3" t="str">
        <f t="shared" si="20"/>
        <v>9446</v>
      </c>
      <c r="C331" s="10" t="s">
        <v>343</v>
      </c>
      <c r="D331" s="11">
        <v>1000795</v>
      </c>
      <c r="E331" s="11">
        <v>1000795</v>
      </c>
      <c r="F331" s="10">
        <f t="shared" si="21"/>
        <v>2.0505677911868193E-3</v>
      </c>
      <c r="G331">
        <f t="shared" si="22"/>
        <v>149411.80872581809</v>
      </c>
      <c r="H331" s="2">
        <f t="shared" si="23"/>
        <v>1150206.8087258181</v>
      </c>
    </row>
    <row r="332" spans="1:8" x14ac:dyDescent="0.2">
      <c r="A332">
        <v>2021</v>
      </c>
      <c r="B332" s="3" t="str">
        <f t="shared" si="20"/>
        <v>9461</v>
      </c>
      <c r="C332" s="10" t="s">
        <v>344</v>
      </c>
      <c r="D332" s="11">
        <v>723689</v>
      </c>
      <c r="E332" s="11">
        <v>723689</v>
      </c>
      <c r="F332" s="10">
        <f t="shared" si="21"/>
        <v>1.4827945325827947E-3</v>
      </c>
      <c r="G332">
        <f t="shared" si="22"/>
        <v>108041.78922254663</v>
      </c>
      <c r="H332" s="2">
        <f t="shared" si="23"/>
        <v>831730.78922254662</v>
      </c>
    </row>
    <row r="333" spans="1:8" x14ac:dyDescent="0.2">
      <c r="A333">
        <v>2021</v>
      </c>
      <c r="C333" s="10" t="s">
        <v>304</v>
      </c>
      <c r="D333" s="11">
        <v>10768118</v>
      </c>
      <c r="E333" s="11">
        <v>10768118</v>
      </c>
      <c r="F333" s="10">
        <f t="shared" si="21"/>
        <v>2.2063215686028637E-2</v>
      </c>
      <c r="G333">
        <f t="shared" si="22"/>
        <v>1607605.9402305554</v>
      </c>
      <c r="H333" s="2">
        <f t="shared" si="23"/>
        <v>12375723.940230556</v>
      </c>
    </row>
    <row r="335" spans="1:8" x14ac:dyDescent="0.2">
      <c r="C335" s="13" t="s">
        <v>346</v>
      </c>
      <c r="D335" s="13">
        <f>SUM(D2:D333)</f>
        <v>488057505</v>
      </c>
    </row>
    <row r="336" spans="1:8" x14ac:dyDescent="0.2">
      <c r="C336" s="13" t="s">
        <v>347</v>
      </c>
      <c r="D336" s="13">
        <v>72863628</v>
      </c>
    </row>
    <row r="337" spans="3:4" x14ac:dyDescent="0.2">
      <c r="D337" s="13"/>
    </row>
    <row r="338" spans="3:4" x14ac:dyDescent="0.2">
      <c r="C338" s="3" t="s">
        <v>348</v>
      </c>
      <c r="D338" s="13">
        <v>488057505</v>
      </c>
    </row>
    <row r="339" spans="3:4" x14ac:dyDescent="0.2">
      <c r="C339" s="3" t="s">
        <v>347</v>
      </c>
      <c r="D339" s="13">
        <v>72863628</v>
      </c>
    </row>
    <row r="341" spans="3:4" x14ac:dyDescent="0.2">
      <c r="C341" s="15" t="s">
        <v>349</v>
      </c>
      <c r="D341" s="16">
        <f>D335-D338</f>
        <v>0</v>
      </c>
    </row>
    <row r="342" spans="3:4" x14ac:dyDescent="0.2">
      <c r="D342" s="16">
        <f>D336-D339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5728-29C1-0A48-A332-5DCEEADCF3A2}">
  <sheetPr>
    <tabColor rgb="FFFFFF00"/>
  </sheetPr>
  <dimension ref="A1:H347"/>
  <sheetViews>
    <sheetView workbookViewId="0">
      <selection activeCell="G2" sqref="G2:H338"/>
    </sheetView>
  </sheetViews>
  <sheetFormatPr baseColWidth="10" defaultRowHeight="16" x14ac:dyDescent="0.2"/>
  <cols>
    <col min="2" max="2" width="11.83203125" bestFit="1" customWidth="1"/>
    <col min="3" max="3" width="41.5" bestFit="1" customWidth="1"/>
    <col min="4" max="4" width="18.83203125" bestFit="1" customWidth="1"/>
    <col min="5" max="5" width="16.83203125" bestFit="1" customWidth="1"/>
    <col min="6" max="6" width="12.1640625" bestFit="1" customWidth="1"/>
    <col min="7" max="7" width="17.1640625" bestFit="1" customWidth="1"/>
    <col min="8" max="8" width="16.83203125" bestFit="1" customWidth="1"/>
  </cols>
  <sheetData>
    <row r="1" spans="1:8" x14ac:dyDescent="0.2">
      <c r="A1" t="s">
        <v>1</v>
      </c>
      <c r="B1" s="3" t="s">
        <v>5</v>
      </c>
      <c r="C1" s="3" t="s">
        <v>4</v>
      </c>
      <c r="D1" s="3" t="s">
        <v>350</v>
      </c>
      <c r="E1" s="3" t="s">
        <v>372</v>
      </c>
      <c r="G1" t="s">
        <v>368</v>
      </c>
      <c r="H1" t="s">
        <v>351</v>
      </c>
    </row>
    <row r="2" spans="1:8" x14ac:dyDescent="0.2">
      <c r="A2">
        <v>2020</v>
      </c>
      <c r="B2" s="3" t="str">
        <f>LEFT(C2,4)</f>
        <v>4931</v>
      </c>
      <c r="C2" s="10" t="s">
        <v>10</v>
      </c>
      <c r="D2" s="11">
        <v>4923</v>
      </c>
      <c r="E2" s="11">
        <v>4923</v>
      </c>
      <c r="F2" s="10">
        <f>D2/$D$340</f>
        <v>1.0006073481319102E-5</v>
      </c>
      <c r="G2">
        <f>F2*$D$341</f>
        <v>744.77519326254298</v>
      </c>
      <c r="H2" s="2">
        <f>SUM(G2,D2)</f>
        <v>5667.7751932625433</v>
      </c>
    </row>
    <row r="3" spans="1:8" x14ac:dyDescent="0.2">
      <c r="A3">
        <v>2020</v>
      </c>
      <c r="B3" s="3" t="str">
        <f t="shared" ref="B3:B66" si="0">LEFT(C3,4)</f>
        <v>5045</v>
      </c>
      <c r="C3" s="10" t="s">
        <v>11</v>
      </c>
      <c r="D3" s="11">
        <v>5507</v>
      </c>
      <c r="E3" s="11">
        <v>5507</v>
      </c>
      <c r="F3" s="10">
        <f t="shared" ref="F3:F66" si="1">D3/$D$340</f>
        <v>1.1193062494743915E-5</v>
      </c>
      <c r="G3">
        <f t="shared" ref="G3:G66" si="2">F3*$D$341</f>
        <v>833.12553103734001</v>
      </c>
      <c r="H3" s="2">
        <f t="shared" ref="H3:H66" si="3">SUM(G3,D3)</f>
        <v>6340.1255310373399</v>
      </c>
    </row>
    <row r="4" spans="1:8" x14ac:dyDescent="0.2">
      <c r="A4">
        <v>2020</v>
      </c>
      <c r="B4" s="3" t="str">
        <f t="shared" si="0"/>
        <v>5046</v>
      </c>
      <c r="C4" s="10" t="s">
        <v>12</v>
      </c>
      <c r="D4" s="10">
        <v>142</v>
      </c>
      <c r="E4" s="10">
        <v>142</v>
      </c>
      <c r="F4" s="10">
        <f t="shared" si="1"/>
        <v>2.8861719162041693E-7</v>
      </c>
      <c r="G4">
        <f t="shared" si="2"/>
        <v>21.48244514387185</v>
      </c>
      <c r="H4" s="2">
        <f t="shared" si="3"/>
        <v>163.48244514387184</v>
      </c>
    </row>
    <row r="5" spans="1:8" x14ac:dyDescent="0.2">
      <c r="A5">
        <v>2020</v>
      </c>
      <c r="B5" s="3" t="str">
        <f t="shared" si="0"/>
        <v>5047</v>
      </c>
      <c r="C5" s="10" t="s">
        <v>13</v>
      </c>
      <c r="D5" s="11">
        <v>10534</v>
      </c>
      <c r="E5" s="11">
        <v>10534</v>
      </c>
      <c r="F5" s="10">
        <f t="shared" si="1"/>
        <v>2.1410517581193464E-5</v>
      </c>
      <c r="G5">
        <f t="shared" si="2"/>
        <v>1593.6343460953949</v>
      </c>
      <c r="H5" s="2">
        <f t="shared" si="3"/>
        <v>12127.634346095394</v>
      </c>
    </row>
    <row r="6" spans="1:8" x14ac:dyDescent="0.2">
      <c r="A6">
        <v>2020</v>
      </c>
      <c r="B6" s="3" t="str">
        <f t="shared" si="0"/>
        <v>5048</v>
      </c>
      <c r="C6" s="10" t="s">
        <v>14</v>
      </c>
      <c r="D6" s="11">
        <v>68518</v>
      </c>
      <c r="E6" s="11">
        <v>68518</v>
      </c>
      <c r="F6" s="10">
        <f t="shared" si="1"/>
        <v>1.3926389250315299E-4</v>
      </c>
      <c r="G6">
        <f t="shared" si="2"/>
        <v>10365.733636393037</v>
      </c>
      <c r="H6" s="2">
        <f t="shared" si="3"/>
        <v>78883.733636393037</v>
      </c>
    </row>
    <row r="7" spans="1:8" x14ac:dyDescent="0.2">
      <c r="A7">
        <v>2020</v>
      </c>
      <c r="B7" s="3" t="str">
        <f t="shared" si="0"/>
        <v>5049</v>
      </c>
      <c r="C7" s="10" t="s">
        <v>15</v>
      </c>
      <c r="D7" s="11">
        <v>157689</v>
      </c>
      <c r="E7" s="11">
        <v>157689</v>
      </c>
      <c r="F7" s="10">
        <f t="shared" si="1"/>
        <v>3.2050532626360506E-4</v>
      </c>
      <c r="G7">
        <f t="shared" si="2"/>
        <v>23855.952762619774</v>
      </c>
      <c r="H7" s="2">
        <f t="shared" si="3"/>
        <v>181544.95276261977</v>
      </c>
    </row>
    <row r="8" spans="1:8" x14ac:dyDescent="0.2">
      <c r="A8">
        <v>2020</v>
      </c>
      <c r="B8" s="3" t="str">
        <f t="shared" si="0"/>
        <v>5050</v>
      </c>
      <c r="C8" s="10" t="s">
        <v>16</v>
      </c>
      <c r="D8" s="11">
        <v>13988</v>
      </c>
      <c r="E8" s="11">
        <v>13988</v>
      </c>
      <c r="F8" s="10">
        <f t="shared" si="1"/>
        <v>2.8430825890045013E-5</v>
      </c>
      <c r="G8">
        <f t="shared" si="2"/>
        <v>2116.1721314963338</v>
      </c>
      <c r="H8" s="2">
        <f t="shared" si="3"/>
        <v>16104.172131496334</v>
      </c>
    </row>
    <row r="9" spans="1:8" x14ac:dyDescent="0.2">
      <c r="A9">
        <v>2020</v>
      </c>
      <c r="B9" s="3" t="str">
        <f t="shared" si="0"/>
        <v>5107</v>
      </c>
      <c r="C9" s="10" t="s">
        <v>17</v>
      </c>
      <c r="D9" s="11">
        <v>22648</v>
      </c>
      <c r="E9" s="11">
        <v>22648</v>
      </c>
      <c r="F9" s="10">
        <f t="shared" si="1"/>
        <v>4.6032409548022553E-5</v>
      </c>
      <c r="G9">
        <f t="shared" si="2"/>
        <v>3426.2987156226031</v>
      </c>
      <c r="H9" s="2">
        <f t="shared" si="3"/>
        <v>26074.298715622605</v>
      </c>
    </row>
    <row r="10" spans="1:8" x14ac:dyDescent="0.2">
      <c r="A10">
        <v>2020</v>
      </c>
      <c r="B10" s="3" t="str">
        <f t="shared" si="0"/>
        <v>5108</v>
      </c>
      <c r="C10" s="10" t="s">
        <v>18</v>
      </c>
      <c r="D10" s="11">
        <v>21644</v>
      </c>
      <c r="E10" s="11">
        <v>21644</v>
      </c>
      <c r="F10" s="10">
        <f t="shared" si="1"/>
        <v>4.3991764052340168E-5</v>
      </c>
      <c r="G10">
        <f t="shared" si="2"/>
        <v>3274.4087513659319</v>
      </c>
      <c r="H10" s="2">
        <f t="shared" si="3"/>
        <v>24918.408751365932</v>
      </c>
    </row>
    <row r="11" spans="1:8" x14ac:dyDescent="0.2">
      <c r="A11">
        <v>2020</v>
      </c>
      <c r="B11" s="3" t="str">
        <f t="shared" si="0"/>
        <v>5109</v>
      </c>
      <c r="C11" s="10" t="s">
        <v>19</v>
      </c>
      <c r="D11" s="11">
        <v>42479</v>
      </c>
      <c r="E11" s="11">
        <v>42479</v>
      </c>
      <c r="F11" s="10">
        <f t="shared" si="1"/>
        <v>8.6339223118617536E-5</v>
      </c>
      <c r="G11">
        <f t="shared" si="2"/>
        <v>6426.4280793417765</v>
      </c>
      <c r="H11" s="2">
        <f t="shared" si="3"/>
        <v>48905.428079341778</v>
      </c>
    </row>
    <row r="12" spans="1:8" x14ac:dyDescent="0.2">
      <c r="A12">
        <v>2020</v>
      </c>
      <c r="B12" s="3" t="str">
        <f t="shared" si="0"/>
        <v>5110</v>
      </c>
      <c r="C12" s="10" t="s">
        <v>20</v>
      </c>
      <c r="D12" s="11">
        <v>15539</v>
      </c>
      <c r="E12" s="11">
        <v>15539</v>
      </c>
      <c r="F12" s="10">
        <f t="shared" si="1"/>
        <v>3.1583257328096188E-5</v>
      </c>
      <c r="G12">
        <f t="shared" si="2"/>
        <v>2350.8148950043992</v>
      </c>
      <c r="H12" s="2">
        <f t="shared" si="3"/>
        <v>17889.814895004398</v>
      </c>
    </row>
    <row r="13" spans="1:8" x14ac:dyDescent="0.2">
      <c r="A13">
        <v>2020</v>
      </c>
      <c r="B13" s="3" t="str">
        <f t="shared" si="0"/>
        <v>5111</v>
      </c>
      <c r="C13" s="10" t="s">
        <v>21</v>
      </c>
      <c r="D13" s="11">
        <v>33455</v>
      </c>
      <c r="E13" s="11">
        <v>33455</v>
      </c>
      <c r="F13" s="10">
        <f t="shared" si="1"/>
        <v>6.7997803842683436E-5</v>
      </c>
      <c r="G13">
        <f t="shared" si="2"/>
        <v>5061.2338189312159</v>
      </c>
      <c r="H13" s="2">
        <f t="shared" si="3"/>
        <v>38516.233818931214</v>
      </c>
    </row>
    <row r="14" spans="1:8" x14ac:dyDescent="0.2">
      <c r="A14">
        <v>2020</v>
      </c>
      <c r="B14" s="3" t="str">
        <f t="shared" si="0"/>
        <v>5112</v>
      </c>
      <c r="C14" s="10" t="s">
        <v>22</v>
      </c>
      <c r="D14" s="11">
        <v>5318</v>
      </c>
      <c r="E14" s="11">
        <v>5318</v>
      </c>
      <c r="F14" s="10">
        <f t="shared" si="1"/>
        <v>1.0808917077728008E-5</v>
      </c>
      <c r="G14">
        <f t="shared" si="2"/>
        <v>804.53269912049643</v>
      </c>
      <c r="H14" s="2">
        <f t="shared" si="3"/>
        <v>6122.5326991204965</v>
      </c>
    </row>
    <row r="15" spans="1:8" x14ac:dyDescent="0.2">
      <c r="A15">
        <v>2020</v>
      </c>
      <c r="B15" s="3" t="str">
        <f t="shared" si="0"/>
        <v>5113</v>
      </c>
      <c r="C15" s="10" t="s">
        <v>23</v>
      </c>
      <c r="D15" s="11">
        <v>12882</v>
      </c>
      <c r="E15" s="11">
        <v>12882</v>
      </c>
      <c r="F15" s="10">
        <f t="shared" si="1"/>
        <v>2.6182863820100076E-5</v>
      </c>
      <c r="G15">
        <f t="shared" si="2"/>
        <v>1948.8511150940647</v>
      </c>
      <c r="H15" s="2">
        <f t="shared" si="3"/>
        <v>14830.851115094065</v>
      </c>
    </row>
    <row r="16" spans="1:8" x14ac:dyDescent="0.2">
      <c r="A16">
        <v>2020</v>
      </c>
      <c r="B16" s="3" t="str">
        <f t="shared" si="0"/>
        <v>5177</v>
      </c>
      <c r="C16" s="10" t="s">
        <v>24</v>
      </c>
      <c r="D16" s="11">
        <v>32074</v>
      </c>
      <c r="E16" s="11">
        <v>32074</v>
      </c>
      <c r="F16" s="10">
        <f t="shared" si="1"/>
        <v>6.5190900028403183E-5</v>
      </c>
      <c r="G16">
        <f t="shared" si="2"/>
        <v>4852.3094756658147</v>
      </c>
      <c r="H16" s="2">
        <f t="shared" si="3"/>
        <v>36926.309475665817</v>
      </c>
    </row>
    <row r="17" spans="1:8" x14ac:dyDescent="0.2">
      <c r="A17">
        <v>2020</v>
      </c>
      <c r="B17" s="3" t="str">
        <f t="shared" si="0"/>
        <v>5178</v>
      </c>
      <c r="C17" s="10" t="s">
        <v>25</v>
      </c>
      <c r="D17" s="11">
        <v>36626</v>
      </c>
      <c r="E17" s="11">
        <v>36626</v>
      </c>
      <c r="F17" s="10">
        <f t="shared" si="1"/>
        <v>7.4442910283728091E-5</v>
      </c>
      <c r="G17">
        <f t="shared" si="2"/>
        <v>5540.9579988693677</v>
      </c>
      <c r="H17" s="2">
        <f t="shared" si="3"/>
        <v>42166.957998869366</v>
      </c>
    </row>
    <row r="18" spans="1:8" x14ac:dyDescent="0.2">
      <c r="A18">
        <v>2020</v>
      </c>
      <c r="B18" s="3" t="str">
        <f t="shared" si="0"/>
        <v>5179</v>
      </c>
      <c r="C18" s="10" t="s">
        <v>26</v>
      </c>
      <c r="D18" s="11">
        <v>23173</v>
      </c>
      <c r="E18" s="11">
        <v>23173</v>
      </c>
      <c r="F18" s="10">
        <f t="shared" si="1"/>
        <v>4.7099480150844517E-5</v>
      </c>
      <c r="G18">
        <f t="shared" si="2"/>
        <v>3505.7232487249462</v>
      </c>
      <c r="H18" s="2">
        <f t="shared" si="3"/>
        <v>26678.723248724946</v>
      </c>
    </row>
    <row r="19" spans="1:8" x14ac:dyDescent="0.2">
      <c r="A19">
        <v>2020</v>
      </c>
      <c r="B19" s="3" t="str">
        <f t="shared" si="0"/>
        <v>5180</v>
      </c>
      <c r="C19" s="10" t="s">
        <v>27</v>
      </c>
      <c r="D19" s="11">
        <v>3329</v>
      </c>
      <c r="E19" s="11">
        <v>3329</v>
      </c>
      <c r="F19" s="10">
        <f t="shared" si="1"/>
        <v>6.7662438796082249E-6</v>
      </c>
      <c r="G19">
        <f t="shared" si="2"/>
        <v>503.62718228133372</v>
      </c>
      <c r="H19" s="2">
        <f t="shared" si="3"/>
        <v>3832.6271822813337</v>
      </c>
    </row>
    <row r="20" spans="1:8" x14ac:dyDescent="0.2">
      <c r="A20">
        <v>2020</v>
      </c>
      <c r="B20" s="3" t="str">
        <f t="shared" si="0"/>
        <v>5404</v>
      </c>
      <c r="C20" s="10" t="s">
        <v>28</v>
      </c>
      <c r="D20" s="11">
        <v>6714</v>
      </c>
      <c r="E20" s="11">
        <v>6714</v>
      </c>
      <c r="F20" s="10">
        <f t="shared" si="1"/>
        <v>1.3646308623517458E-5</v>
      </c>
      <c r="G20">
        <f t="shared" si="2"/>
        <v>1015.7263147602506</v>
      </c>
      <c r="H20" s="2">
        <f t="shared" si="3"/>
        <v>7729.7263147602507</v>
      </c>
    </row>
    <row r="21" spans="1:8" x14ac:dyDescent="0.2">
      <c r="A21">
        <v>2020</v>
      </c>
      <c r="B21" s="3" t="str">
        <f t="shared" si="0"/>
        <v>5406</v>
      </c>
      <c r="C21" s="10" t="s">
        <v>29</v>
      </c>
      <c r="D21" s="11">
        <v>30335</v>
      </c>
      <c r="E21" s="11">
        <v>30335</v>
      </c>
      <c r="F21" s="10">
        <f t="shared" si="1"/>
        <v>6.1656355688770044E-5</v>
      </c>
      <c r="G21">
        <f t="shared" si="2"/>
        <v>4589.2251650658627</v>
      </c>
      <c r="H21" s="2">
        <f t="shared" si="3"/>
        <v>34924.225165065865</v>
      </c>
    </row>
    <row r="22" spans="1:8" x14ac:dyDescent="0.2">
      <c r="A22">
        <v>2020</v>
      </c>
      <c r="B22" s="3" t="str">
        <f t="shared" si="0"/>
        <v>5596</v>
      </c>
      <c r="C22" s="10" t="s">
        <v>30</v>
      </c>
      <c r="D22" s="11">
        <v>85198</v>
      </c>
      <c r="E22" s="11">
        <v>85198</v>
      </c>
      <c r="F22" s="10">
        <f t="shared" si="1"/>
        <v>1.7316624994138225E-4</v>
      </c>
      <c r="G22">
        <f t="shared" si="2"/>
        <v>12889.164516673196</v>
      </c>
      <c r="H22" s="2">
        <f t="shared" si="3"/>
        <v>98087.164516673191</v>
      </c>
    </row>
    <row r="23" spans="1:8" x14ac:dyDescent="0.2">
      <c r="A23">
        <v>2020</v>
      </c>
      <c r="B23" s="3" t="str">
        <f t="shared" si="0"/>
        <v>5600</v>
      </c>
      <c r="C23" s="10" t="s">
        <v>31</v>
      </c>
      <c r="D23" s="11">
        <v>67133</v>
      </c>
      <c r="E23" s="11">
        <v>67133</v>
      </c>
      <c r="F23" s="10">
        <f t="shared" si="1"/>
        <v>1.3644885862713695E-4</v>
      </c>
      <c r="G23">
        <f t="shared" si="2"/>
        <v>10156.204153827808</v>
      </c>
      <c r="H23" s="2">
        <f t="shared" si="3"/>
        <v>77289.204153827814</v>
      </c>
    </row>
    <row r="24" spans="1:8" x14ac:dyDescent="0.2">
      <c r="A24">
        <v>2020</v>
      </c>
      <c r="B24" s="3" t="str">
        <f t="shared" si="0"/>
        <v>5604</v>
      </c>
      <c r="C24" s="10" t="s">
        <v>32</v>
      </c>
      <c r="D24" s="11">
        <v>51019</v>
      </c>
      <c r="E24" s="11">
        <v>51019</v>
      </c>
      <c r="F24" s="10">
        <f t="shared" si="1"/>
        <v>1.0369690492452148E-4</v>
      </c>
      <c r="G24">
        <f t="shared" si="2"/>
        <v>7718.4004844732244</v>
      </c>
      <c r="H24" s="2">
        <f t="shared" si="3"/>
        <v>58737.400484473226</v>
      </c>
    </row>
    <row r="25" spans="1:8" x14ac:dyDescent="0.2">
      <c r="A25">
        <v>2020</v>
      </c>
      <c r="B25" s="3" t="str">
        <f t="shared" si="0"/>
        <v>5608</v>
      </c>
      <c r="C25" s="10" t="s">
        <v>33</v>
      </c>
      <c r="D25" s="11">
        <v>29130</v>
      </c>
      <c r="E25" s="11">
        <v>29130</v>
      </c>
      <c r="F25" s="10">
        <f t="shared" si="1"/>
        <v>5.92071745908644E-5</v>
      </c>
      <c r="G25">
        <f t="shared" si="2"/>
        <v>4406.9269509928663</v>
      </c>
      <c r="H25" s="2">
        <f t="shared" si="3"/>
        <v>33536.926950992864</v>
      </c>
    </row>
    <row r="26" spans="1:8" x14ac:dyDescent="0.2">
      <c r="A26">
        <v>2020</v>
      </c>
      <c r="B26" s="3" t="str">
        <f t="shared" si="0"/>
        <v>5609</v>
      </c>
      <c r="C26" s="10" t="s">
        <v>34</v>
      </c>
      <c r="D26" s="11">
        <v>71823</v>
      </c>
      <c r="E26" s="11">
        <v>71823</v>
      </c>
      <c r="F26" s="10">
        <f t="shared" si="1"/>
        <v>1.459813560123465E-4</v>
      </c>
      <c r="G26">
        <f t="shared" si="2"/>
        <v>10865.729982875406</v>
      </c>
      <c r="H26" s="2">
        <f t="shared" si="3"/>
        <v>82688.729982875404</v>
      </c>
    </row>
    <row r="27" spans="1:8" x14ac:dyDescent="0.2">
      <c r="A27">
        <v>2020</v>
      </c>
      <c r="B27" s="3" t="str">
        <f t="shared" si="0"/>
        <v>5612</v>
      </c>
      <c r="C27" s="10" t="s">
        <v>35</v>
      </c>
      <c r="D27" s="11">
        <v>98227</v>
      </c>
      <c r="E27" s="11">
        <v>98227</v>
      </c>
      <c r="F27" s="10">
        <f t="shared" si="1"/>
        <v>1.9964789353027249E-4</v>
      </c>
      <c r="G27">
        <f t="shared" si="2"/>
        <v>14860.254501035917</v>
      </c>
      <c r="H27" s="2">
        <f t="shared" si="3"/>
        <v>113087.25450103592</v>
      </c>
    </row>
    <row r="28" spans="1:8" x14ac:dyDescent="0.2">
      <c r="A28">
        <v>2020</v>
      </c>
      <c r="B28" s="3" t="str">
        <f t="shared" si="0"/>
        <v>5624</v>
      </c>
      <c r="C28" s="10" t="s">
        <v>36</v>
      </c>
      <c r="D28" s="11">
        <v>30939</v>
      </c>
      <c r="E28" s="11">
        <v>30939</v>
      </c>
      <c r="F28" s="10">
        <f t="shared" si="1"/>
        <v>6.2883995010873798E-5</v>
      </c>
      <c r="G28">
        <f t="shared" si="2"/>
        <v>4680.6011993397969</v>
      </c>
      <c r="H28" s="2">
        <f t="shared" si="3"/>
        <v>35619.601199339799</v>
      </c>
    </row>
    <row r="29" spans="1:8" x14ac:dyDescent="0.2">
      <c r="A29">
        <v>2020</v>
      </c>
      <c r="B29" s="3" t="str">
        <f t="shared" si="0"/>
        <v>5626</v>
      </c>
      <c r="C29" s="10" t="s">
        <v>37</v>
      </c>
      <c r="D29" s="11">
        <v>29592</v>
      </c>
      <c r="E29" s="11">
        <v>29592</v>
      </c>
      <c r="F29" s="10">
        <f t="shared" si="1"/>
        <v>6.0146196721347724E-5</v>
      </c>
      <c r="G29">
        <f t="shared" si="2"/>
        <v>4476.8205401229279</v>
      </c>
      <c r="H29" s="2">
        <f t="shared" si="3"/>
        <v>34068.820540122928</v>
      </c>
    </row>
    <row r="30" spans="1:8" x14ac:dyDescent="0.2">
      <c r="A30">
        <v>2020</v>
      </c>
      <c r="B30" s="3" t="str">
        <f t="shared" si="0"/>
        <v>5634</v>
      </c>
      <c r="C30" s="10" t="s">
        <v>38</v>
      </c>
      <c r="D30" s="11">
        <v>110824</v>
      </c>
      <c r="E30" s="11">
        <v>110824</v>
      </c>
      <c r="F30" s="10">
        <f t="shared" si="1"/>
        <v>2.2525149045169777E-4</v>
      </c>
      <c r="G30">
        <f t="shared" si="2"/>
        <v>16765.989441017278</v>
      </c>
      <c r="H30" s="2">
        <f t="shared" si="3"/>
        <v>127589.98944101727</v>
      </c>
    </row>
    <row r="31" spans="1:8" x14ac:dyDescent="0.2">
      <c r="A31">
        <v>2020</v>
      </c>
      <c r="B31" s="3" t="str">
        <f t="shared" si="0"/>
        <v>5638</v>
      </c>
      <c r="C31" s="10" t="s">
        <v>39</v>
      </c>
      <c r="D31" s="11">
        <v>31662</v>
      </c>
      <c r="E31" s="11">
        <v>31662</v>
      </c>
      <c r="F31" s="10">
        <f t="shared" si="1"/>
        <v>6.4353503669617188E-5</v>
      </c>
      <c r="G31">
        <f t="shared" si="2"/>
        <v>4789.980127783595</v>
      </c>
      <c r="H31" s="2">
        <f t="shared" si="3"/>
        <v>36451.980127783594</v>
      </c>
    </row>
    <row r="32" spans="1:8" x14ac:dyDescent="0.2">
      <c r="A32">
        <v>2020</v>
      </c>
      <c r="B32" s="3" t="str">
        <f t="shared" si="0"/>
        <v>5655</v>
      </c>
      <c r="C32" s="10" t="s">
        <v>40</v>
      </c>
      <c r="D32" s="10"/>
      <c r="E32" s="10"/>
      <c r="F32" s="10">
        <f t="shared" si="1"/>
        <v>0</v>
      </c>
      <c r="G32">
        <f t="shared" si="2"/>
        <v>0</v>
      </c>
      <c r="H32" s="2">
        <f t="shared" si="3"/>
        <v>0</v>
      </c>
    </row>
    <row r="33" spans="1:8" x14ac:dyDescent="0.2">
      <c r="A33">
        <v>2020</v>
      </c>
      <c r="B33" s="3" t="str">
        <f t="shared" si="0"/>
        <v>5657</v>
      </c>
      <c r="C33" s="10" t="s">
        <v>41</v>
      </c>
      <c r="D33" s="11">
        <v>1316</v>
      </c>
      <c r="E33" s="11">
        <v>1316</v>
      </c>
      <c r="F33" s="10">
        <f t="shared" si="1"/>
        <v>2.6747903110737231E-6</v>
      </c>
      <c r="G33">
        <f t="shared" si="2"/>
        <v>199.09082964320672</v>
      </c>
      <c r="H33" s="2">
        <f t="shared" si="3"/>
        <v>1515.0908296432067</v>
      </c>
    </row>
    <row r="34" spans="1:8" x14ac:dyDescent="0.2">
      <c r="A34">
        <v>2020</v>
      </c>
      <c r="B34" s="3" t="str">
        <f t="shared" si="0"/>
        <v>4930</v>
      </c>
      <c r="C34" s="17" t="s">
        <v>353</v>
      </c>
      <c r="D34" s="11">
        <v>8590</v>
      </c>
      <c r="E34" s="11">
        <v>8590</v>
      </c>
      <c r="F34" s="10">
        <f t="shared" si="1"/>
        <v>1.7459307577601277E-5</v>
      </c>
      <c r="G34">
        <f t="shared" si="2"/>
        <v>1299.53664637929</v>
      </c>
      <c r="H34" s="2">
        <f t="shared" si="3"/>
        <v>9889.5366463792907</v>
      </c>
    </row>
    <row r="35" spans="1:8" x14ac:dyDescent="0.2">
      <c r="A35">
        <v>2020</v>
      </c>
      <c r="B35" s="3" t="str">
        <f t="shared" si="0"/>
        <v>5682</v>
      </c>
      <c r="C35" s="10" t="s">
        <v>43</v>
      </c>
      <c r="D35" s="11">
        <v>134352</v>
      </c>
      <c r="E35" s="11">
        <v>134352</v>
      </c>
      <c r="F35" s="10">
        <f t="shared" si="1"/>
        <v>2.7307251358159334E-4</v>
      </c>
      <c r="G35">
        <f t="shared" si="2"/>
        <v>20325.418802601907</v>
      </c>
      <c r="H35" s="2">
        <f t="shared" si="3"/>
        <v>154677.4188026019</v>
      </c>
    </row>
    <row r="36" spans="1:8" x14ac:dyDescent="0.2">
      <c r="A36">
        <v>2020</v>
      </c>
      <c r="B36" s="3" t="str">
        <f t="shared" si="0"/>
        <v>5688</v>
      </c>
      <c r="C36" s="10" t="s">
        <v>44</v>
      </c>
      <c r="D36" s="11">
        <v>4914</v>
      </c>
      <c r="E36" s="11">
        <v>4914</v>
      </c>
      <c r="F36" s="10">
        <f t="shared" si="1"/>
        <v>9.9877808424135817E-6</v>
      </c>
      <c r="G36">
        <f t="shared" si="2"/>
        <v>743.41362983793135</v>
      </c>
      <c r="H36" s="2">
        <f t="shared" si="3"/>
        <v>5657.4136298379317</v>
      </c>
    </row>
    <row r="37" spans="1:8" x14ac:dyDescent="0.2">
      <c r="A37">
        <v>2020</v>
      </c>
      <c r="B37" s="3" t="str">
        <f t="shared" si="0"/>
        <v>9034</v>
      </c>
      <c r="C37" s="10" t="s">
        <v>45</v>
      </c>
      <c r="D37" s="11">
        <v>74640</v>
      </c>
      <c r="E37" s="11">
        <v>74640</v>
      </c>
      <c r="F37" s="10">
        <f t="shared" si="1"/>
        <v>1.5170695198977408E-4</v>
      </c>
      <c r="G37">
        <f t="shared" si="2"/>
        <v>11291.899334778836</v>
      </c>
      <c r="H37" s="2">
        <f t="shared" si="3"/>
        <v>85931.899334778835</v>
      </c>
    </row>
    <row r="38" spans="1:8" x14ac:dyDescent="0.2">
      <c r="A38">
        <v>2020</v>
      </c>
      <c r="B38" s="3" t="str">
        <f t="shared" si="0"/>
        <v>9042</v>
      </c>
      <c r="C38" s="10" t="s">
        <v>46</v>
      </c>
      <c r="D38" s="11">
        <v>11788</v>
      </c>
      <c r="E38" s="11">
        <v>11788</v>
      </c>
      <c r="F38" s="10">
        <f t="shared" si="1"/>
        <v>2.3959291935362497E-5</v>
      </c>
      <c r="G38">
        <f t="shared" si="2"/>
        <v>1783.3455165912771</v>
      </c>
      <c r="H38" s="2">
        <f t="shared" si="3"/>
        <v>13571.345516591276</v>
      </c>
    </row>
    <row r="39" spans="1:8" x14ac:dyDescent="0.2">
      <c r="A39">
        <v>2020</v>
      </c>
      <c r="B39" s="3" t="str">
        <f t="shared" si="0"/>
        <v>9047</v>
      </c>
      <c r="C39" s="10" t="s">
        <v>47</v>
      </c>
      <c r="D39" s="11">
        <v>20067</v>
      </c>
      <c r="E39" s="11">
        <v>20067</v>
      </c>
      <c r="F39" s="10">
        <f t="shared" si="1"/>
        <v>4.0786487213006382E-5</v>
      </c>
      <c r="G39">
        <f t="shared" si="2"/>
        <v>3035.8325824089889</v>
      </c>
      <c r="H39" s="2">
        <f t="shared" si="3"/>
        <v>23102.832582408988</v>
      </c>
    </row>
    <row r="40" spans="1:8" x14ac:dyDescent="0.2">
      <c r="A40">
        <v>2020</v>
      </c>
      <c r="B40" s="3" t="str">
        <f t="shared" si="0"/>
        <v>9053</v>
      </c>
      <c r="C40" s="10" t="s">
        <v>48</v>
      </c>
      <c r="D40" s="10"/>
      <c r="E40" s="10"/>
      <c r="F40" s="10">
        <f t="shared" si="1"/>
        <v>0</v>
      </c>
      <c r="G40">
        <f t="shared" si="2"/>
        <v>0</v>
      </c>
      <c r="H40" s="2">
        <f t="shared" si="3"/>
        <v>0</v>
      </c>
    </row>
    <row r="41" spans="1:8" x14ac:dyDescent="0.2">
      <c r="A41">
        <v>2020</v>
      </c>
      <c r="B41" s="3" t="str">
        <f t="shared" si="0"/>
        <v>9055</v>
      </c>
      <c r="C41" s="10" t="s">
        <v>49</v>
      </c>
      <c r="D41" s="11">
        <v>67277</v>
      </c>
      <c r="E41" s="11">
        <v>67277</v>
      </c>
      <c r="F41" s="10">
        <f t="shared" si="1"/>
        <v>1.3674154084962527E-4</v>
      </c>
      <c r="G41">
        <f t="shared" si="2"/>
        <v>10177.989168621594</v>
      </c>
      <c r="H41" s="2">
        <f t="shared" si="3"/>
        <v>77454.9891686216</v>
      </c>
    </row>
    <row r="42" spans="1:8" x14ac:dyDescent="0.2">
      <c r="A42">
        <v>2020</v>
      </c>
      <c r="B42" s="3" t="str">
        <f t="shared" si="0"/>
        <v>9056</v>
      </c>
      <c r="C42" s="10" t="s">
        <v>50</v>
      </c>
      <c r="D42" s="11">
        <v>7254</v>
      </c>
      <c r="E42" s="11">
        <v>7254</v>
      </c>
      <c r="F42" s="10">
        <f t="shared" si="1"/>
        <v>1.4743866957848621E-5</v>
      </c>
      <c r="G42">
        <f t="shared" si="2"/>
        <v>1097.4201202369463</v>
      </c>
      <c r="H42" s="2">
        <f t="shared" si="3"/>
        <v>8351.4201202369459</v>
      </c>
    </row>
    <row r="43" spans="1:8" x14ac:dyDescent="0.2">
      <c r="A43">
        <v>2020</v>
      </c>
      <c r="B43" s="3" t="str">
        <f t="shared" si="0"/>
        <v>9273</v>
      </c>
      <c r="C43" s="10" t="s">
        <v>51</v>
      </c>
      <c r="D43" s="11">
        <v>2208</v>
      </c>
      <c r="E43" s="11">
        <v>2208</v>
      </c>
      <c r="F43" s="10">
        <f t="shared" si="1"/>
        <v>4.4877940781540884E-6</v>
      </c>
      <c r="G43">
        <f t="shared" si="2"/>
        <v>334.03689350471154</v>
      </c>
      <c r="H43" s="2">
        <f t="shared" si="3"/>
        <v>2542.0368935047118</v>
      </c>
    </row>
    <row r="44" spans="1:8" x14ac:dyDescent="0.2">
      <c r="A44">
        <v>2020</v>
      </c>
      <c r="B44" s="3" t="str">
        <f t="shared" si="0"/>
        <v>9274</v>
      </c>
      <c r="C44" s="10" t="s">
        <v>52</v>
      </c>
      <c r="D44" s="11">
        <v>38459</v>
      </c>
      <c r="E44" s="11">
        <v>38459</v>
      </c>
      <c r="F44" s="10">
        <f t="shared" si="1"/>
        <v>7.8168511074152211E-5</v>
      </c>
      <c r="G44">
        <f t="shared" si="2"/>
        <v>5818.2630830152639</v>
      </c>
      <c r="H44" s="2">
        <f t="shared" si="3"/>
        <v>44277.263083015263</v>
      </c>
    </row>
    <row r="45" spans="1:8" x14ac:dyDescent="0.2">
      <c r="A45">
        <v>2020</v>
      </c>
      <c r="B45" s="3" t="str">
        <f t="shared" si="0"/>
        <v>9303</v>
      </c>
      <c r="C45" s="10" t="s">
        <v>53</v>
      </c>
      <c r="D45" s="11">
        <v>3683</v>
      </c>
      <c r="E45" s="11">
        <v>3683</v>
      </c>
      <c r="F45" s="10">
        <f t="shared" si="1"/>
        <v>7.4857543432253206E-6</v>
      </c>
      <c r="G45">
        <f t="shared" si="2"/>
        <v>557.18201031605645</v>
      </c>
      <c r="H45" s="2">
        <f t="shared" si="3"/>
        <v>4240.1820103160562</v>
      </c>
    </row>
    <row r="46" spans="1:8" x14ac:dyDescent="0.2">
      <c r="A46">
        <v>2020</v>
      </c>
      <c r="B46" s="3" t="str">
        <f t="shared" si="0"/>
        <v>9304</v>
      </c>
      <c r="C46" s="10" t="s">
        <v>54</v>
      </c>
      <c r="D46" s="10"/>
      <c r="E46" s="10"/>
      <c r="F46" s="10">
        <f t="shared" si="1"/>
        <v>0</v>
      </c>
      <c r="G46">
        <f t="shared" si="2"/>
        <v>0</v>
      </c>
      <c r="H46" s="2">
        <f t="shared" si="3"/>
        <v>0</v>
      </c>
    </row>
    <row r="47" spans="1:8" x14ac:dyDescent="0.2">
      <c r="A47">
        <v>2020</v>
      </c>
      <c r="B47" s="3" t="str">
        <f t="shared" si="0"/>
        <v>9305</v>
      </c>
      <c r="C47" s="10" t="s">
        <v>55</v>
      </c>
      <c r="D47" s="11">
        <v>26980</v>
      </c>
      <c r="E47" s="11">
        <v>26980</v>
      </c>
      <c r="F47" s="10">
        <f t="shared" si="1"/>
        <v>5.4837266407879213E-5</v>
      </c>
      <c r="G47">
        <f t="shared" si="2"/>
        <v>4081.6645773356513</v>
      </c>
      <c r="H47" s="2">
        <f t="shared" si="3"/>
        <v>31061.66457733565</v>
      </c>
    </row>
    <row r="48" spans="1:8" x14ac:dyDescent="0.2">
      <c r="A48">
        <v>2020</v>
      </c>
      <c r="B48" s="3" t="str">
        <f t="shared" si="0"/>
        <v>9395</v>
      </c>
      <c r="C48" s="10" t="s">
        <v>56</v>
      </c>
      <c r="D48" s="10"/>
      <c r="E48" s="10"/>
      <c r="F48" s="10">
        <f t="shared" si="1"/>
        <v>0</v>
      </c>
      <c r="G48">
        <f t="shared" si="2"/>
        <v>0</v>
      </c>
      <c r="H48" s="2">
        <f t="shared" si="3"/>
        <v>0</v>
      </c>
    </row>
    <row r="49" spans="1:8" x14ac:dyDescent="0.2">
      <c r="A49">
        <v>2020</v>
      </c>
      <c r="B49" s="3" t="str">
        <f t="shared" si="0"/>
        <v>9487</v>
      </c>
      <c r="C49" s="10" t="s">
        <v>57</v>
      </c>
      <c r="D49" s="11">
        <v>11436</v>
      </c>
      <c r="E49" s="11">
        <v>11436</v>
      </c>
      <c r="F49" s="10">
        <f t="shared" si="1"/>
        <v>2.3243846502613293E-5</v>
      </c>
      <c r="G49">
        <f t="shared" si="2"/>
        <v>1730.0932582064679</v>
      </c>
      <c r="H49" s="2">
        <f t="shared" si="3"/>
        <v>13166.093258206467</v>
      </c>
    </row>
    <row r="50" spans="1:8" x14ac:dyDescent="0.2">
      <c r="A50">
        <v>2020</v>
      </c>
      <c r="B50" s="3" t="str">
        <f t="shared" si="0"/>
        <v>9507</v>
      </c>
      <c r="C50" s="10" t="s">
        <v>58</v>
      </c>
      <c r="D50" s="11">
        <v>64967</v>
      </c>
      <c r="E50" s="11">
        <v>64967</v>
      </c>
      <c r="F50" s="10">
        <f t="shared" si="1"/>
        <v>1.3204643019720864E-4</v>
      </c>
      <c r="G50">
        <f t="shared" si="2"/>
        <v>9828.5212229712852</v>
      </c>
      <c r="H50" s="2">
        <f t="shared" si="3"/>
        <v>74795.521222971292</v>
      </c>
    </row>
    <row r="51" spans="1:8" x14ac:dyDescent="0.2">
      <c r="A51">
        <v>2020</v>
      </c>
      <c r="B51" s="3" t="str">
        <f t="shared" si="0"/>
        <v>4828</v>
      </c>
      <c r="C51" s="10" t="s">
        <v>59</v>
      </c>
      <c r="D51" s="11">
        <v>4228066</v>
      </c>
      <c r="E51" s="11">
        <v>4228066</v>
      </c>
      <c r="F51" s="10">
        <f t="shared" si="1"/>
        <v>8.593609400744856E-3</v>
      </c>
      <c r="G51">
        <f t="shared" si="2"/>
        <v>639642.22471598361</v>
      </c>
      <c r="H51" s="2">
        <f t="shared" si="3"/>
        <v>4867708.2247159835</v>
      </c>
    </row>
    <row r="52" spans="1:8" x14ac:dyDescent="0.2">
      <c r="A52">
        <v>2020</v>
      </c>
      <c r="B52" s="3" t="str">
        <f t="shared" si="0"/>
        <v>4829</v>
      </c>
      <c r="C52" s="10" t="s">
        <v>60</v>
      </c>
      <c r="D52" s="11">
        <v>1915578</v>
      </c>
      <c r="E52" s="11">
        <v>1915578</v>
      </c>
      <c r="F52" s="10">
        <f t="shared" si="1"/>
        <v>3.8934418499285564E-3</v>
      </c>
      <c r="G52">
        <f t="shared" si="2"/>
        <v>289797.88242118136</v>
      </c>
      <c r="H52" s="2">
        <f t="shared" si="3"/>
        <v>2205375.8824211815</v>
      </c>
    </row>
    <row r="53" spans="1:8" x14ac:dyDescent="0.2">
      <c r="A53">
        <v>2020</v>
      </c>
      <c r="B53" s="3" t="str">
        <f t="shared" si="0"/>
        <v>4871</v>
      </c>
      <c r="C53" s="10" t="s">
        <v>61</v>
      </c>
      <c r="D53" s="11">
        <v>501651</v>
      </c>
      <c r="E53" s="11">
        <v>501651</v>
      </c>
      <c r="F53" s="10">
        <f t="shared" si="1"/>
        <v>1.0196133999547448E-3</v>
      </c>
      <c r="G53">
        <f t="shared" si="2"/>
        <v>75892.183724425748</v>
      </c>
      <c r="H53" s="2">
        <f t="shared" si="3"/>
        <v>577543.18372442573</v>
      </c>
    </row>
    <row r="54" spans="1:8" x14ac:dyDescent="0.2">
      <c r="A54">
        <v>2020</v>
      </c>
      <c r="B54" s="3" t="str">
        <f t="shared" si="0"/>
        <v>4882</v>
      </c>
      <c r="C54" s="10" t="s">
        <v>62</v>
      </c>
      <c r="D54" s="11">
        <v>2810002</v>
      </c>
      <c r="E54" s="11">
        <v>2810002</v>
      </c>
      <c r="F54" s="10">
        <f t="shared" si="1"/>
        <v>5.7113724344208085E-3</v>
      </c>
      <c r="G54">
        <f t="shared" si="2"/>
        <v>425110.6606983816</v>
      </c>
      <c r="H54" s="2">
        <f t="shared" si="3"/>
        <v>3235112.6606983817</v>
      </c>
    </row>
    <row r="55" spans="1:8" x14ac:dyDescent="0.2">
      <c r="A55">
        <v>2020</v>
      </c>
      <c r="B55" s="3" t="str">
        <f t="shared" si="0"/>
        <v>4912</v>
      </c>
      <c r="C55" s="10" t="s">
        <v>63</v>
      </c>
      <c r="D55" s="11">
        <v>525084</v>
      </c>
      <c r="E55" s="11">
        <v>525084</v>
      </c>
      <c r="F55" s="10">
        <f t="shared" si="1"/>
        <v>1.0672413341184155E-3</v>
      </c>
      <c r="G55">
        <f t="shared" si="2"/>
        <v>79437.24102763948</v>
      </c>
      <c r="H55" s="2">
        <f t="shared" si="3"/>
        <v>604521.24102763948</v>
      </c>
    </row>
    <row r="56" spans="1:8" x14ac:dyDescent="0.2">
      <c r="A56">
        <v>2020</v>
      </c>
      <c r="B56" s="3" t="str">
        <f t="shared" si="0"/>
        <v>4977</v>
      </c>
      <c r="C56" s="10" t="s">
        <v>64</v>
      </c>
      <c r="D56" s="11">
        <v>225733</v>
      </c>
      <c r="E56" s="11">
        <v>225733</v>
      </c>
      <c r="F56" s="10">
        <f t="shared" si="1"/>
        <v>4.5880580645106739E-4</v>
      </c>
      <c r="G56">
        <f t="shared" si="2"/>
        <v>34149.977391983266</v>
      </c>
      <c r="H56" s="2">
        <f t="shared" si="3"/>
        <v>259882.97739198327</v>
      </c>
    </row>
    <row r="57" spans="1:8" x14ac:dyDescent="0.2">
      <c r="A57">
        <v>2020</v>
      </c>
      <c r="B57" s="3" t="str">
        <f t="shared" si="0"/>
        <v>4978</v>
      </c>
      <c r="C57" s="10" t="s">
        <v>65</v>
      </c>
      <c r="D57" s="11">
        <v>32673010</v>
      </c>
      <c r="E57" s="11">
        <v>32673010</v>
      </c>
      <c r="F57" s="10">
        <f t="shared" si="1"/>
        <v>6.6408397098491542E-2</v>
      </c>
      <c r="G57">
        <f t="shared" si="2"/>
        <v>4942930.5986632146</v>
      </c>
      <c r="H57" s="2">
        <f t="shared" si="3"/>
        <v>37615940.598663211</v>
      </c>
    </row>
    <row r="58" spans="1:8" x14ac:dyDescent="0.2">
      <c r="A58">
        <v>2020</v>
      </c>
      <c r="B58" s="3" t="str">
        <f t="shared" si="0"/>
        <v>4979</v>
      </c>
      <c r="C58" s="10" t="s">
        <v>66</v>
      </c>
      <c r="D58" s="11">
        <v>120180</v>
      </c>
      <c r="E58" s="11">
        <v>120180</v>
      </c>
      <c r="F58" s="10">
        <f t="shared" si="1"/>
        <v>2.4426770485170212E-4</v>
      </c>
      <c r="G58">
        <f t="shared" si="2"/>
        <v>18181.410263313512</v>
      </c>
      <c r="H58" s="2">
        <f t="shared" si="3"/>
        <v>138361.4102633135</v>
      </c>
    </row>
    <row r="59" spans="1:8" x14ac:dyDescent="0.2">
      <c r="A59">
        <v>2020</v>
      </c>
      <c r="B59" s="3" t="str">
        <f t="shared" si="0"/>
        <v>4980</v>
      </c>
      <c r="C59" s="10" t="s">
        <v>67</v>
      </c>
      <c r="D59" s="11">
        <v>2563397</v>
      </c>
      <c r="E59" s="11">
        <v>2563397</v>
      </c>
      <c r="F59" s="10">
        <f t="shared" si="1"/>
        <v>5.2101439658324075E-3</v>
      </c>
      <c r="G59">
        <f t="shared" si="2"/>
        <v>387803.06643989903</v>
      </c>
      <c r="H59" s="2">
        <f t="shared" si="3"/>
        <v>2951200.0664398992</v>
      </c>
    </row>
    <row r="60" spans="1:8" x14ac:dyDescent="0.2">
      <c r="A60">
        <v>2020</v>
      </c>
      <c r="B60" s="3" t="str">
        <f t="shared" si="0"/>
        <v>4981</v>
      </c>
      <c r="C60" s="10" t="s">
        <v>68</v>
      </c>
      <c r="D60" s="11">
        <v>5466743</v>
      </c>
      <c r="E60" s="11">
        <v>5466743</v>
      </c>
      <c r="F60" s="10">
        <f t="shared" si="1"/>
        <v>1.1111239520919526E-2</v>
      </c>
      <c r="G60">
        <f t="shared" si="2"/>
        <v>827035.25783905224</v>
      </c>
      <c r="H60" s="2">
        <f t="shared" si="3"/>
        <v>6293778.257839052</v>
      </c>
    </row>
    <row r="61" spans="1:8" x14ac:dyDescent="0.2">
      <c r="A61">
        <v>2020</v>
      </c>
      <c r="B61" s="3" t="str">
        <f t="shared" si="0"/>
        <v>4982</v>
      </c>
      <c r="C61" s="10" t="s">
        <v>69</v>
      </c>
      <c r="D61" s="11">
        <v>53292998</v>
      </c>
      <c r="E61" s="11">
        <v>53292998</v>
      </c>
      <c r="F61" s="10">
        <f t="shared" si="1"/>
        <v>0.10831884095628518</v>
      </c>
      <c r="G61">
        <f t="shared" si="2"/>
        <v>8062421.8738554372</v>
      </c>
      <c r="H61" s="2">
        <f t="shared" si="3"/>
        <v>61355419.873855434</v>
      </c>
    </row>
    <row r="62" spans="1:8" x14ac:dyDescent="0.2">
      <c r="A62">
        <v>2020</v>
      </c>
      <c r="B62" s="3" t="str">
        <f t="shared" si="0"/>
        <v>4983</v>
      </c>
      <c r="C62" s="10" t="s">
        <v>70</v>
      </c>
      <c r="D62" s="11">
        <v>6692117</v>
      </c>
      <c r="E62" s="11">
        <v>6692117</v>
      </c>
      <c r="F62" s="10">
        <f t="shared" si="1"/>
        <v>1.3601831088276405E-2</v>
      </c>
      <c r="G62">
        <f t="shared" si="2"/>
        <v>1012415.7489357201</v>
      </c>
      <c r="H62" s="2">
        <f t="shared" si="3"/>
        <v>7704532.74893572</v>
      </c>
    </row>
    <row r="63" spans="1:8" x14ac:dyDescent="0.2">
      <c r="A63">
        <v>2020</v>
      </c>
      <c r="B63" s="3" t="str">
        <f t="shared" si="0"/>
        <v>4984</v>
      </c>
      <c r="C63" s="10" t="s">
        <v>71</v>
      </c>
      <c r="D63" s="11">
        <v>2293823</v>
      </c>
      <c r="E63" s="11">
        <v>2293823</v>
      </c>
      <c r="F63" s="10">
        <f t="shared" si="1"/>
        <v>4.6622306502416876E-3</v>
      </c>
      <c r="G63">
        <f t="shared" si="2"/>
        <v>347020.61103698279</v>
      </c>
      <c r="H63" s="2">
        <f t="shared" si="3"/>
        <v>2640843.6110369829</v>
      </c>
    </row>
    <row r="64" spans="1:8" x14ac:dyDescent="0.2">
      <c r="A64">
        <v>2020</v>
      </c>
      <c r="B64" s="3" t="str">
        <f t="shared" si="0"/>
        <v>4985</v>
      </c>
      <c r="C64" s="10" t="s">
        <v>72</v>
      </c>
      <c r="D64" s="11">
        <v>4632329</v>
      </c>
      <c r="E64" s="11">
        <v>4632329</v>
      </c>
      <c r="F64" s="10">
        <f t="shared" si="1"/>
        <v>9.4152801876184102E-3</v>
      </c>
      <c r="G64">
        <f t="shared" si="2"/>
        <v>700801.08190751227</v>
      </c>
      <c r="H64" s="2">
        <f t="shared" si="3"/>
        <v>5333130.0819075126</v>
      </c>
    </row>
    <row r="65" spans="1:8" x14ac:dyDescent="0.2">
      <c r="A65">
        <v>2020</v>
      </c>
      <c r="B65" s="3" t="str">
        <f t="shared" si="0"/>
        <v>4986</v>
      </c>
      <c r="C65" s="10" t="s">
        <v>73</v>
      </c>
      <c r="D65" s="11">
        <v>5178339</v>
      </c>
      <c r="E65" s="11">
        <v>5178339</v>
      </c>
      <c r="F65" s="10">
        <f t="shared" si="1"/>
        <v>1.0525053939707592E-2</v>
      </c>
      <c r="G65">
        <f t="shared" si="2"/>
        <v>783404.10918219865</v>
      </c>
      <c r="H65" s="2">
        <f t="shared" si="3"/>
        <v>5961743.1091821985</v>
      </c>
    </row>
    <row r="66" spans="1:8" x14ac:dyDescent="0.2">
      <c r="A66">
        <v>2020</v>
      </c>
      <c r="B66" s="3" t="str">
        <f t="shared" si="0"/>
        <v>4987</v>
      </c>
      <c r="C66" s="10" t="s">
        <v>74</v>
      </c>
      <c r="D66" s="11">
        <v>692004</v>
      </c>
      <c r="E66" s="11">
        <v>692004</v>
      </c>
      <c r="F66" s="10">
        <f t="shared" si="1"/>
        <v>1.4065088103527815E-3</v>
      </c>
      <c r="G66">
        <f t="shared" si="2"/>
        <v>104689.70400943587</v>
      </c>
      <c r="H66" s="2">
        <f t="shared" si="3"/>
        <v>796693.70400943584</v>
      </c>
    </row>
    <row r="67" spans="1:8" x14ac:dyDescent="0.2">
      <c r="A67">
        <v>2020</v>
      </c>
      <c r="B67" s="3" t="str">
        <f t="shared" ref="B67:B130" si="4">LEFT(C67,4)</f>
        <v>4988</v>
      </c>
      <c r="C67" s="10" t="s">
        <v>75</v>
      </c>
      <c r="D67" s="11">
        <v>2567941</v>
      </c>
      <c r="E67" s="11">
        <v>2567941</v>
      </c>
      <c r="F67" s="10">
        <f t="shared" ref="F67:F130" si="5">D67/$D$340</f>
        <v>5.2193797159642607E-3</v>
      </c>
      <c r="G67">
        <f t="shared" ref="G67:G130" si="6">F67*$D$341</f>
        <v>388490.50468450296</v>
      </c>
      <c r="H67" s="2">
        <f t="shared" ref="H67:H130" si="7">SUM(G67,D67)</f>
        <v>2956431.5046845032</v>
      </c>
    </row>
    <row r="68" spans="1:8" x14ac:dyDescent="0.2">
      <c r="A68">
        <v>2020</v>
      </c>
      <c r="B68" s="3" t="str">
        <f t="shared" si="4"/>
        <v>4990</v>
      </c>
      <c r="C68" s="10" t="s">
        <v>76</v>
      </c>
      <c r="D68" s="11">
        <v>162177</v>
      </c>
      <c r="E68" s="11">
        <v>162177</v>
      </c>
      <c r="F68" s="10">
        <f t="shared" si="5"/>
        <v>3.2962725553115741E-4</v>
      </c>
      <c r="G68">
        <f t="shared" si="6"/>
        <v>24534.919057026091</v>
      </c>
      <c r="H68" s="2">
        <f t="shared" si="7"/>
        <v>186711.9190570261</v>
      </c>
    </row>
    <row r="69" spans="1:8" x14ac:dyDescent="0.2">
      <c r="A69">
        <v>2020</v>
      </c>
      <c r="B69" s="3" t="str">
        <f t="shared" si="4"/>
        <v>4991</v>
      </c>
      <c r="C69" s="10" t="s">
        <v>77</v>
      </c>
      <c r="D69" s="11">
        <v>1126555</v>
      </c>
      <c r="E69" s="11">
        <v>1126555</v>
      </c>
      <c r="F69" s="10">
        <f t="shared" si="5"/>
        <v>2.2897404246897098E-3</v>
      </c>
      <c r="G69">
        <f t="shared" si="6"/>
        <v>170430.67597925742</v>
      </c>
      <c r="H69" s="2">
        <f t="shared" si="7"/>
        <v>1296985.6759792573</v>
      </c>
    </row>
    <row r="70" spans="1:8" x14ac:dyDescent="0.2">
      <c r="A70">
        <v>2020</v>
      </c>
      <c r="B70" s="3" t="str">
        <f t="shared" si="4"/>
        <v>4992</v>
      </c>
      <c r="C70" s="10" t="s">
        <v>78</v>
      </c>
      <c r="D70" s="11">
        <v>276444</v>
      </c>
      <c r="E70" s="11">
        <v>276444</v>
      </c>
      <c r="F70" s="10">
        <f t="shared" si="5"/>
        <v>5.6187669662193331E-4</v>
      </c>
      <c r="G70">
        <f t="shared" si="6"/>
        <v>41821.782150369785</v>
      </c>
      <c r="H70" s="2">
        <f t="shared" si="7"/>
        <v>318265.78215036978</v>
      </c>
    </row>
    <row r="71" spans="1:8" x14ac:dyDescent="0.2">
      <c r="A71">
        <v>2020</v>
      </c>
      <c r="B71" s="3" t="str">
        <f t="shared" si="4"/>
        <v>4993</v>
      </c>
      <c r="C71" s="10" t="s">
        <v>79</v>
      </c>
      <c r="D71" s="11">
        <v>870239</v>
      </c>
      <c r="E71" s="11">
        <v>870239</v>
      </c>
      <c r="F71" s="10">
        <f t="shared" si="5"/>
        <v>1.7687741987222536E-3</v>
      </c>
      <c r="G71">
        <f t="shared" si="6"/>
        <v>131653.95478561899</v>
      </c>
      <c r="H71" s="2">
        <f t="shared" si="7"/>
        <v>1001892.9547856189</v>
      </c>
    </row>
    <row r="72" spans="1:8" x14ac:dyDescent="0.2">
      <c r="A72">
        <v>2020</v>
      </c>
      <c r="B72" s="3" t="str">
        <f t="shared" si="4"/>
        <v>4994</v>
      </c>
      <c r="C72" s="10" t="s">
        <v>80</v>
      </c>
      <c r="D72" s="11">
        <v>204167</v>
      </c>
      <c r="E72" s="11">
        <v>204167</v>
      </c>
      <c r="F72" s="10">
        <f t="shared" si="5"/>
        <v>4.1497257860257508E-4</v>
      </c>
      <c r="G72">
        <f t="shared" si="6"/>
        <v>30887.368856963971</v>
      </c>
      <c r="H72" s="2">
        <f t="shared" si="7"/>
        <v>235054.36885696396</v>
      </c>
    </row>
    <row r="73" spans="1:8" x14ac:dyDescent="0.2">
      <c r="A73">
        <v>2020</v>
      </c>
      <c r="B73" s="3" t="str">
        <f t="shared" si="4"/>
        <v>4995</v>
      </c>
      <c r="C73" s="10" t="s">
        <v>81</v>
      </c>
      <c r="D73" s="11">
        <v>840544</v>
      </c>
      <c r="E73" s="11">
        <v>840544</v>
      </c>
      <c r="F73" s="10">
        <f t="shared" si="5"/>
        <v>1.7084186529112092E-3</v>
      </c>
      <c r="G73">
        <f t="shared" si="6"/>
        <v>127161.55190852549</v>
      </c>
      <c r="H73" s="2">
        <f t="shared" si="7"/>
        <v>967705.55190852552</v>
      </c>
    </row>
    <row r="74" spans="1:8" x14ac:dyDescent="0.2">
      <c r="A74">
        <v>2020</v>
      </c>
      <c r="B74" s="3" t="str">
        <f t="shared" si="4"/>
        <v>4996</v>
      </c>
      <c r="C74" s="10" t="s">
        <v>82</v>
      </c>
      <c r="D74" s="11">
        <v>267922</v>
      </c>
      <c r="E74" s="11">
        <v>267922</v>
      </c>
      <c r="F74" s="10">
        <f t="shared" si="5"/>
        <v>5.4455560009384046E-4</v>
      </c>
      <c r="G74">
        <f t="shared" si="6"/>
        <v>40532.532872087562</v>
      </c>
      <c r="H74" s="2">
        <f t="shared" si="7"/>
        <v>308454.53287208756</v>
      </c>
    </row>
    <row r="75" spans="1:8" x14ac:dyDescent="0.2">
      <c r="A75">
        <v>2020</v>
      </c>
      <c r="B75" s="3" t="str">
        <f t="shared" si="4"/>
        <v>4997</v>
      </c>
      <c r="C75" s="10" t="s">
        <v>83</v>
      </c>
      <c r="D75" s="11">
        <v>3901254</v>
      </c>
      <c r="E75" s="11">
        <v>3901254</v>
      </c>
      <c r="F75" s="10">
        <f t="shared" si="5"/>
        <v>7.9293589667459013E-3</v>
      </c>
      <c r="G75">
        <f t="shared" si="6"/>
        <v>590200.52850218746</v>
      </c>
      <c r="H75" s="2">
        <f t="shared" si="7"/>
        <v>4491454.5285021877</v>
      </c>
    </row>
    <row r="76" spans="1:8" x14ac:dyDescent="0.2">
      <c r="A76">
        <v>2020</v>
      </c>
      <c r="B76" s="3" t="str">
        <f t="shared" si="4"/>
        <v>4998</v>
      </c>
      <c r="C76" s="10" t="s">
        <v>84</v>
      </c>
      <c r="D76" s="11">
        <v>471554</v>
      </c>
      <c r="E76" s="11">
        <v>471554</v>
      </c>
      <c r="F76" s="10">
        <f t="shared" si="5"/>
        <v>9.5844078293925408E-4</v>
      </c>
      <c r="G76">
        <f t="shared" si="6"/>
        <v>71338.964347699613</v>
      </c>
      <c r="H76" s="2">
        <f t="shared" si="7"/>
        <v>542892.96434769966</v>
      </c>
    </row>
    <row r="77" spans="1:8" x14ac:dyDescent="0.2">
      <c r="A77">
        <v>2020</v>
      </c>
      <c r="B77" s="3" t="str">
        <f t="shared" si="4"/>
        <v>4999</v>
      </c>
      <c r="C77" s="10" t="s">
        <v>352</v>
      </c>
      <c r="D77" s="11">
        <v>7341180</v>
      </c>
      <c r="E77" s="11">
        <v>7341180</v>
      </c>
      <c r="F77" s="10">
        <f t="shared" si="5"/>
        <v>1.4921061653380085E-2</v>
      </c>
      <c r="G77">
        <f t="shared" si="6"/>
        <v>1110609.1312766841</v>
      </c>
      <c r="H77" s="2">
        <f t="shared" si="7"/>
        <v>8451789.1312766839</v>
      </c>
    </row>
    <row r="78" spans="1:8" x14ac:dyDescent="0.2">
      <c r="A78">
        <v>2020</v>
      </c>
      <c r="B78" s="3" t="str">
        <f t="shared" si="4"/>
        <v>5000</v>
      </c>
      <c r="C78" s="10" t="s">
        <v>86</v>
      </c>
      <c r="D78" s="11">
        <v>4132138</v>
      </c>
      <c r="E78" s="11">
        <v>4132138</v>
      </c>
      <c r="F78" s="10">
        <f t="shared" si="5"/>
        <v>8.3986342601972269E-3</v>
      </c>
      <c r="G78">
        <f t="shared" si="6"/>
        <v>625129.77402752347</v>
      </c>
      <c r="H78" s="2">
        <f t="shared" si="7"/>
        <v>4757267.7740275236</v>
      </c>
    </row>
    <row r="79" spans="1:8" x14ac:dyDescent="0.2">
      <c r="A79">
        <v>2020</v>
      </c>
      <c r="B79" s="3" t="str">
        <f t="shared" si="4"/>
        <v>5001</v>
      </c>
      <c r="C79" s="10" t="s">
        <v>87</v>
      </c>
      <c r="D79" s="11">
        <v>271606</v>
      </c>
      <c r="E79" s="11">
        <v>271606</v>
      </c>
      <c r="F79" s="10">
        <f t="shared" si="5"/>
        <v>5.5204338695249966E-4</v>
      </c>
      <c r="G79">
        <f t="shared" si="6"/>
        <v>41089.866167228574</v>
      </c>
      <c r="H79" s="2">
        <f t="shared" si="7"/>
        <v>312695.86616722855</v>
      </c>
    </row>
    <row r="80" spans="1:8" x14ac:dyDescent="0.2">
      <c r="A80">
        <v>2020</v>
      </c>
      <c r="B80" s="3" t="str">
        <f t="shared" si="4"/>
        <v>5002</v>
      </c>
      <c r="C80" s="10" t="s">
        <v>88</v>
      </c>
      <c r="D80" s="11">
        <v>103877</v>
      </c>
      <c r="E80" s="11">
        <v>103877</v>
      </c>
      <c r="F80" s="10">
        <f t="shared" si="5"/>
        <v>2.1113160573207077E-4</v>
      </c>
      <c r="G80">
        <f t="shared" si="6"/>
        <v>15715.013762042085</v>
      </c>
      <c r="H80" s="2">
        <f t="shared" si="7"/>
        <v>119592.01376204209</v>
      </c>
    </row>
    <row r="81" spans="1:8" x14ac:dyDescent="0.2">
      <c r="A81">
        <v>2020</v>
      </c>
      <c r="B81" s="3" t="str">
        <f t="shared" si="4"/>
        <v>5004</v>
      </c>
      <c r="C81" s="10" t="s">
        <v>89</v>
      </c>
      <c r="D81" s="11">
        <v>1320526</v>
      </c>
      <c r="E81" s="11">
        <v>1320526</v>
      </c>
      <c r="F81" s="10">
        <f t="shared" si="5"/>
        <v>2.6839894759277654E-3</v>
      </c>
      <c r="G81">
        <f t="shared" si="6"/>
        <v>199775.54476096141</v>
      </c>
      <c r="H81" s="2">
        <f t="shared" si="7"/>
        <v>1520301.5447609613</v>
      </c>
    </row>
    <row r="82" spans="1:8" x14ac:dyDescent="0.2">
      <c r="A82">
        <v>2020</v>
      </c>
      <c r="B82" s="3" t="str">
        <f t="shared" si="4"/>
        <v>5005</v>
      </c>
      <c r="C82" s="10" t="s">
        <v>90</v>
      </c>
      <c r="D82" s="11">
        <v>652275</v>
      </c>
      <c r="E82" s="11">
        <v>652275</v>
      </c>
      <c r="F82" s="10">
        <f t="shared" si="5"/>
        <v>1.3257590046775172E-3</v>
      </c>
      <c r="G82">
        <f t="shared" si="6"/>
        <v>98679.30919872543</v>
      </c>
      <c r="H82" s="2">
        <f t="shared" si="7"/>
        <v>750954.30919872539</v>
      </c>
    </row>
    <row r="83" spans="1:8" x14ac:dyDescent="0.2">
      <c r="A83">
        <v>2020</v>
      </c>
      <c r="B83" s="3" t="str">
        <f t="shared" si="4"/>
        <v>5006</v>
      </c>
      <c r="C83" s="10" t="s">
        <v>91</v>
      </c>
      <c r="D83" s="11">
        <v>256126</v>
      </c>
      <c r="E83" s="11">
        <v>256126</v>
      </c>
      <c r="F83" s="10">
        <f t="shared" si="5"/>
        <v>5.205800480350064E-4</v>
      </c>
      <c r="G83">
        <f t="shared" si="6"/>
        <v>38747.977076896634</v>
      </c>
      <c r="H83" s="2">
        <f t="shared" si="7"/>
        <v>294873.97707689664</v>
      </c>
    </row>
    <row r="84" spans="1:8" x14ac:dyDescent="0.2">
      <c r="A84">
        <v>2020</v>
      </c>
      <c r="B84" s="3" t="str">
        <f t="shared" si="4"/>
        <v>5007</v>
      </c>
      <c r="C84" s="10" t="s">
        <v>143</v>
      </c>
      <c r="D84" s="11">
        <v>156494</v>
      </c>
      <c r="E84" s="11">
        <v>156494</v>
      </c>
      <c r="F84" s="10">
        <f t="shared" si="5"/>
        <v>3.1807647032003892E-4</v>
      </c>
      <c r="G84">
        <f t="shared" si="6"/>
        <v>23675.167396796347</v>
      </c>
      <c r="H84" s="2">
        <f t="shared" si="7"/>
        <v>180169.16739679634</v>
      </c>
    </row>
    <row r="85" spans="1:8" x14ac:dyDescent="0.2">
      <c r="A85">
        <v>2020</v>
      </c>
      <c r="B85" s="3" t="str">
        <f t="shared" si="4"/>
        <v>5008</v>
      </c>
      <c r="C85" s="10" t="s">
        <v>92</v>
      </c>
      <c r="D85" s="11">
        <v>731038</v>
      </c>
      <c r="E85" s="11">
        <v>731038</v>
      </c>
      <c r="F85" s="10">
        <f t="shared" si="5"/>
        <v>1.4858460178014531E-3</v>
      </c>
      <c r="G85">
        <f t="shared" si="6"/>
        <v>110594.95586680133</v>
      </c>
      <c r="H85" s="2">
        <f t="shared" si="7"/>
        <v>841632.95586680132</v>
      </c>
    </row>
    <row r="86" spans="1:8" x14ac:dyDescent="0.2">
      <c r="A86">
        <v>2020</v>
      </c>
      <c r="B86" s="3" t="str">
        <f t="shared" si="4"/>
        <v>5010</v>
      </c>
      <c r="C86" s="10" t="s">
        <v>93</v>
      </c>
      <c r="D86" s="11">
        <v>1876557</v>
      </c>
      <c r="E86" s="11">
        <v>1876557</v>
      </c>
      <c r="F86" s="10">
        <f t="shared" si="5"/>
        <v>3.814131065180526E-3</v>
      </c>
      <c r="G86">
        <f t="shared" si="6"/>
        <v>283894.59726654034</v>
      </c>
      <c r="H86" s="2">
        <f t="shared" si="7"/>
        <v>2160451.5972665404</v>
      </c>
    </row>
    <row r="87" spans="1:8" x14ac:dyDescent="0.2">
      <c r="A87">
        <v>2020</v>
      </c>
      <c r="B87" s="3" t="str">
        <f t="shared" si="4"/>
        <v>5011</v>
      </c>
      <c r="C87" s="10" t="s">
        <v>94</v>
      </c>
      <c r="D87" s="11">
        <v>595267</v>
      </c>
      <c r="E87" s="11">
        <v>595267</v>
      </c>
      <c r="F87" s="10">
        <f t="shared" si="5"/>
        <v>1.2098893648190895E-3</v>
      </c>
      <c r="G87">
        <f t="shared" si="6"/>
        <v>90054.863897585659</v>
      </c>
      <c r="H87" s="2">
        <f t="shared" si="7"/>
        <v>685321.86389758566</v>
      </c>
    </row>
    <row r="88" spans="1:8" x14ac:dyDescent="0.2">
      <c r="A88">
        <v>2020</v>
      </c>
      <c r="B88" s="3" t="str">
        <f t="shared" si="4"/>
        <v>5012</v>
      </c>
      <c r="C88" s="10" t="s">
        <v>95</v>
      </c>
      <c r="D88" s="11">
        <v>377694</v>
      </c>
      <c r="E88" s="11">
        <v>377694</v>
      </c>
      <c r="F88" s="10">
        <f t="shared" si="5"/>
        <v>7.6766888430902639E-4</v>
      </c>
      <c r="G88">
        <f t="shared" si="6"/>
        <v>57139.370677250241</v>
      </c>
      <c r="H88" s="2">
        <f t="shared" si="7"/>
        <v>434833.37067725026</v>
      </c>
    </row>
    <row r="89" spans="1:8" x14ac:dyDescent="0.2">
      <c r="A89">
        <v>2020</v>
      </c>
      <c r="B89" s="3" t="str">
        <f t="shared" si="4"/>
        <v>5671</v>
      </c>
      <c r="C89" s="10" t="s">
        <v>42</v>
      </c>
      <c r="D89" s="11">
        <v>23557</v>
      </c>
      <c r="E89" s="11">
        <v>23557</v>
      </c>
      <c r="F89" s="10">
        <f t="shared" si="5"/>
        <v>4.7879966077480011E-5</v>
      </c>
      <c r="G89">
        <f t="shared" si="6"/>
        <v>3563.8166215083743</v>
      </c>
      <c r="H89" s="2">
        <f t="shared" si="7"/>
        <v>27120.816621508373</v>
      </c>
    </row>
    <row r="90" spans="1:8" x14ac:dyDescent="0.2">
      <c r="A90">
        <v>2020</v>
      </c>
      <c r="B90" s="3" t="str">
        <f t="shared" si="4"/>
        <v>5014</v>
      </c>
      <c r="C90" s="10" t="s">
        <v>97</v>
      </c>
      <c r="D90" s="11">
        <v>1684928</v>
      </c>
      <c r="E90" s="11">
        <v>1684928</v>
      </c>
      <c r="F90" s="10">
        <f t="shared" si="5"/>
        <v>3.4246421650887733E-3</v>
      </c>
      <c r="G90">
        <f t="shared" si="6"/>
        <v>254904.03754488524</v>
      </c>
      <c r="H90" s="2">
        <f t="shared" si="7"/>
        <v>1939832.0375448852</v>
      </c>
    </row>
    <row r="91" spans="1:8" x14ac:dyDescent="0.2">
      <c r="A91">
        <v>2020</v>
      </c>
      <c r="B91" s="3" t="str">
        <f t="shared" si="4"/>
        <v>5015</v>
      </c>
      <c r="C91" s="10" t="s">
        <v>98</v>
      </c>
      <c r="D91" s="11">
        <v>426909</v>
      </c>
      <c r="E91" s="11">
        <v>426909</v>
      </c>
      <c r="F91" s="10">
        <f t="shared" si="5"/>
        <v>8.676991313907082E-4</v>
      </c>
      <c r="G91">
        <f t="shared" si="6"/>
        <v>64584.853337501321</v>
      </c>
      <c r="H91" s="2">
        <f t="shared" si="7"/>
        <v>491493.85333750129</v>
      </c>
    </row>
    <row r="92" spans="1:8" x14ac:dyDescent="0.2">
      <c r="A92">
        <v>2020</v>
      </c>
      <c r="B92" s="3" t="str">
        <f t="shared" si="4"/>
        <v>5016</v>
      </c>
      <c r="C92" s="10" t="s">
        <v>99</v>
      </c>
      <c r="D92" s="11">
        <v>578462</v>
      </c>
      <c r="E92" s="11">
        <v>578462</v>
      </c>
      <c r="F92" s="10">
        <f t="shared" si="5"/>
        <v>1.175732942951617E-3</v>
      </c>
      <c r="G92">
        <f t="shared" si="6"/>
        <v>87512.522414185907</v>
      </c>
      <c r="H92" s="2">
        <f t="shared" si="7"/>
        <v>665974.52241418592</v>
      </c>
    </row>
    <row r="93" spans="1:8" x14ac:dyDescent="0.2">
      <c r="A93">
        <v>2020</v>
      </c>
      <c r="B93" s="3" t="str">
        <f t="shared" si="4"/>
        <v>5017</v>
      </c>
      <c r="C93" s="10" t="s">
        <v>100</v>
      </c>
      <c r="D93" s="11">
        <v>3775591</v>
      </c>
      <c r="E93" s="11">
        <v>3775591</v>
      </c>
      <c r="F93" s="10">
        <f t="shared" si="5"/>
        <v>7.6739469797698695E-3</v>
      </c>
      <c r="G93">
        <f t="shared" si="6"/>
        <v>571189.62354363559</v>
      </c>
      <c r="H93" s="2">
        <f t="shared" si="7"/>
        <v>4346780.6235436359</v>
      </c>
    </row>
    <row r="94" spans="1:8" x14ac:dyDescent="0.2">
      <c r="A94">
        <v>2020</v>
      </c>
      <c r="B94" s="3" t="str">
        <f t="shared" si="4"/>
        <v>5018</v>
      </c>
      <c r="C94" s="10" t="s">
        <v>101</v>
      </c>
      <c r="D94" s="11">
        <v>273572</v>
      </c>
      <c r="E94" s="11">
        <v>273572</v>
      </c>
      <c r="F94" s="10">
        <f t="shared" si="5"/>
        <v>5.5603931229563871E-4</v>
      </c>
      <c r="G94">
        <f t="shared" si="6"/>
        <v>41387.292133093732</v>
      </c>
      <c r="H94" s="2">
        <f t="shared" si="7"/>
        <v>314959.29213309375</v>
      </c>
    </row>
    <row r="95" spans="1:8" x14ac:dyDescent="0.2">
      <c r="A95">
        <v>2020</v>
      </c>
      <c r="B95" s="3" t="str">
        <f t="shared" si="4"/>
        <v>5019</v>
      </c>
      <c r="C95" s="10" t="s">
        <v>102</v>
      </c>
      <c r="D95" s="11">
        <v>2762146</v>
      </c>
      <c r="E95" s="11">
        <v>2762146</v>
      </c>
      <c r="F95" s="10">
        <f t="shared" si="5"/>
        <v>5.61410437581386E-3</v>
      </c>
      <c r="G95">
        <f t="shared" si="6"/>
        <v>417870.77411524684</v>
      </c>
      <c r="H95" s="2">
        <f t="shared" si="7"/>
        <v>3180016.7741152467</v>
      </c>
    </row>
    <row r="96" spans="1:8" x14ac:dyDescent="0.2">
      <c r="A96">
        <v>2020</v>
      </c>
      <c r="B96" s="3" t="str">
        <f t="shared" si="4"/>
        <v>5020</v>
      </c>
      <c r="C96" s="10" t="s">
        <v>103</v>
      </c>
      <c r="D96" s="11">
        <v>7907556</v>
      </c>
      <c r="E96" s="11">
        <v>7907556</v>
      </c>
      <c r="F96" s="10">
        <f t="shared" si="5"/>
        <v>1.6072229614797026E-2</v>
      </c>
      <c r="G96">
        <f t="shared" si="6"/>
        <v>1196293.2252964417</v>
      </c>
      <c r="H96" s="2">
        <f t="shared" si="7"/>
        <v>9103849.2252964415</v>
      </c>
    </row>
    <row r="97" spans="1:8" x14ac:dyDescent="0.2">
      <c r="A97">
        <v>2020</v>
      </c>
      <c r="B97" s="3" t="str">
        <f t="shared" si="4"/>
        <v>5021</v>
      </c>
      <c r="C97" s="10" t="s">
        <v>104</v>
      </c>
      <c r="D97" s="11">
        <v>267159</v>
      </c>
      <c r="E97" s="11">
        <v>267159</v>
      </c>
      <c r="F97" s="10">
        <f t="shared" si="5"/>
        <v>5.4300479081773913E-4</v>
      </c>
      <c r="G97">
        <f t="shared" si="6"/>
        <v>40417.102550645483</v>
      </c>
      <c r="H97" s="2">
        <f t="shared" si="7"/>
        <v>307576.10255064548</v>
      </c>
    </row>
    <row r="98" spans="1:8" x14ac:dyDescent="0.2">
      <c r="A98">
        <v>2020</v>
      </c>
      <c r="B98" s="3" t="str">
        <f t="shared" si="4"/>
        <v>5022</v>
      </c>
      <c r="C98" s="10" t="s">
        <v>105</v>
      </c>
      <c r="D98" s="11">
        <v>4941168</v>
      </c>
      <c r="E98" s="11">
        <v>4941168</v>
      </c>
      <c r="F98" s="10">
        <f t="shared" si="5"/>
        <v>1.0043000221723044E-2</v>
      </c>
      <c r="G98">
        <f t="shared" si="6"/>
        <v>747523.735962359</v>
      </c>
      <c r="H98" s="2">
        <f t="shared" si="7"/>
        <v>5688691.7359623592</v>
      </c>
    </row>
    <row r="99" spans="1:8" x14ac:dyDescent="0.2">
      <c r="A99">
        <v>2020</v>
      </c>
      <c r="B99" s="3" t="str">
        <f t="shared" si="4"/>
        <v>5024</v>
      </c>
      <c r="C99" s="10" t="s">
        <v>106</v>
      </c>
      <c r="D99" s="11">
        <v>668358</v>
      </c>
      <c r="E99" s="11">
        <v>668358</v>
      </c>
      <c r="F99" s="10">
        <f t="shared" si="5"/>
        <v>1.3584479504016804E-3</v>
      </c>
      <c r="G99">
        <f t="shared" si="6"/>
        <v>101112.42303850634</v>
      </c>
      <c r="H99" s="2">
        <f t="shared" si="7"/>
        <v>769470.4230385063</v>
      </c>
    </row>
    <row r="100" spans="1:8" x14ac:dyDescent="0.2">
      <c r="A100">
        <v>2020</v>
      </c>
      <c r="B100" s="3" t="str">
        <f t="shared" si="4"/>
        <v>5025</v>
      </c>
      <c r="C100" s="10" t="s">
        <v>107</v>
      </c>
      <c r="D100" s="11">
        <v>1864244</v>
      </c>
      <c r="E100" s="11">
        <v>1864244</v>
      </c>
      <c r="F100" s="10">
        <f t="shared" si="5"/>
        <v>3.7891047026423416E-3</v>
      </c>
      <c r="G100">
        <f t="shared" si="6"/>
        <v>282031.82721684669</v>
      </c>
      <c r="H100" s="2">
        <f t="shared" si="7"/>
        <v>2146275.8272168469</v>
      </c>
    </row>
    <row r="101" spans="1:8" x14ac:dyDescent="0.2">
      <c r="A101">
        <v>2020</v>
      </c>
      <c r="B101" s="3" t="str">
        <f t="shared" si="4"/>
        <v>5026</v>
      </c>
      <c r="C101" s="10" t="s">
        <v>108</v>
      </c>
      <c r="D101" s="11">
        <v>408455</v>
      </c>
      <c r="E101" s="11">
        <v>408455</v>
      </c>
      <c r="F101" s="10">
        <f t="shared" si="5"/>
        <v>8.3019109157265764E-4</v>
      </c>
      <c r="G101">
        <f t="shared" si="6"/>
        <v>61793.043177747713</v>
      </c>
      <c r="H101" s="2">
        <f t="shared" si="7"/>
        <v>470248.04317774769</v>
      </c>
    </row>
    <row r="102" spans="1:8" x14ac:dyDescent="0.2">
      <c r="A102">
        <v>2020</v>
      </c>
      <c r="B102" s="3" t="str">
        <f t="shared" si="4"/>
        <v>5027</v>
      </c>
      <c r="C102" s="10" t="s">
        <v>109</v>
      </c>
      <c r="D102" s="11">
        <v>6181190</v>
      </c>
      <c r="E102" s="11">
        <v>6181190</v>
      </c>
      <c r="F102" s="10">
        <f t="shared" si="5"/>
        <v>1.2563364075156371E-2</v>
      </c>
      <c r="G102">
        <f t="shared" si="6"/>
        <v>935120.24717499455</v>
      </c>
      <c r="H102" s="2">
        <f t="shared" si="7"/>
        <v>7116310.247174995</v>
      </c>
    </row>
    <row r="103" spans="1:8" x14ac:dyDescent="0.2">
      <c r="A103">
        <v>2020</v>
      </c>
      <c r="B103" s="3" t="str">
        <f t="shared" si="4"/>
        <v>5028</v>
      </c>
      <c r="C103" s="10" t="s">
        <v>110</v>
      </c>
      <c r="D103" s="11">
        <v>1398579</v>
      </c>
      <c r="E103" s="11">
        <v>1398579</v>
      </c>
      <c r="F103" s="10">
        <f t="shared" si="5"/>
        <v>2.8426334030935991E-3</v>
      </c>
      <c r="G103">
        <f t="shared" si="6"/>
        <v>211583.77920331794</v>
      </c>
      <c r="H103" s="2">
        <f t="shared" si="7"/>
        <v>1610162.7792033181</v>
      </c>
    </row>
    <row r="104" spans="1:8" x14ac:dyDescent="0.2">
      <c r="A104">
        <v>2020</v>
      </c>
      <c r="B104" s="3" t="str">
        <f t="shared" si="4"/>
        <v>5029</v>
      </c>
      <c r="C104" s="10" t="s">
        <v>111</v>
      </c>
      <c r="D104" s="11">
        <v>545588</v>
      </c>
      <c r="E104" s="11">
        <v>545588</v>
      </c>
      <c r="F104" s="10">
        <f t="shared" si="5"/>
        <v>1.1089160305760566E-3</v>
      </c>
      <c r="G104">
        <f t="shared" si="6"/>
        <v>82539.185078554612</v>
      </c>
      <c r="H104" s="2">
        <f t="shared" si="7"/>
        <v>628127.18507855455</v>
      </c>
    </row>
    <row r="105" spans="1:8" x14ac:dyDescent="0.2">
      <c r="A105">
        <v>2020</v>
      </c>
      <c r="B105" s="3" t="str">
        <f t="shared" si="4"/>
        <v>5031</v>
      </c>
      <c r="C105" s="10" t="s">
        <v>112</v>
      </c>
      <c r="D105" s="11">
        <v>9613989</v>
      </c>
      <c r="E105" s="11">
        <v>9613989</v>
      </c>
      <c r="F105" s="10">
        <f t="shared" si="5"/>
        <v>1.9540581024292819E-2</v>
      </c>
      <c r="G105">
        <f t="shared" si="6"/>
        <v>1454450.6430020237</v>
      </c>
      <c r="H105" s="2">
        <f t="shared" si="7"/>
        <v>11068439.643002024</v>
      </c>
    </row>
    <row r="106" spans="1:8" x14ac:dyDescent="0.2">
      <c r="A106">
        <v>2020</v>
      </c>
      <c r="B106" s="3" t="str">
        <f t="shared" si="4"/>
        <v>5032</v>
      </c>
      <c r="C106" s="10" t="s">
        <v>359</v>
      </c>
      <c r="D106" s="11">
        <v>809978</v>
      </c>
      <c r="E106" s="11">
        <v>809978</v>
      </c>
      <c r="F106" s="10">
        <f t="shared" si="5"/>
        <v>1.6462927861571974E-3</v>
      </c>
      <c r="G106">
        <f t="shared" si="6"/>
        <v>122537.37994889458</v>
      </c>
      <c r="H106" s="2">
        <f t="shared" si="7"/>
        <v>932515.37994889461</v>
      </c>
    </row>
    <row r="107" spans="1:8" x14ac:dyDescent="0.2">
      <c r="A107">
        <v>2020</v>
      </c>
      <c r="B107" s="3" t="str">
        <f t="shared" si="4"/>
        <v>5033</v>
      </c>
      <c r="C107" s="10" t="s">
        <v>114</v>
      </c>
      <c r="D107" s="11">
        <v>613380</v>
      </c>
      <c r="E107" s="11">
        <v>613380</v>
      </c>
      <c r="F107" s="10">
        <f t="shared" si="5"/>
        <v>1.2467043168741642E-3</v>
      </c>
      <c r="G107">
        <f t="shared" si="6"/>
        <v>92795.085932028975</v>
      </c>
      <c r="H107" s="2">
        <f t="shared" si="7"/>
        <v>706175.08593202895</v>
      </c>
    </row>
    <row r="108" spans="1:8" x14ac:dyDescent="0.2">
      <c r="A108">
        <v>2020</v>
      </c>
      <c r="B108" s="3" t="str">
        <f t="shared" si="4"/>
        <v>5034</v>
      </c>
      <c r="C108" s="10" t="s">
        <v>115</v>
      </c>
      <c r="D108" s="11">
        <v>266622</v>
      </c>
      <c r="E108" s="11">
        <v>266622</v>
      </c>
      <c r="F108" s="10">
        <f t="shared" si="5"/>
        <v>5.4191333002970982E-4</v>
      </c>
      <c r="G108">
        <f t="shared" si="6"/>
        <v>40335.86259964366</v>
      </c>
      <c r="H108" s="2">
        <f t="shared" si="7"/>
        <v>306957.86259964365</v>
      </c>
    </row>
    <row r="109" spans="1:8" x14ac:dyDescent="0.2">
      <c r="A109">
        <v>2020</v>
      </c>
      <c r="B109" s="3" t="str">
        <f t="shared" si="4"/>
        <v>5035</v>
      </c>
      <c r="C109" s="10" t="s">
        <v>116</v>
      </c>
      <c r="D109" s="11">
        <v>1449925</v>
      </c>
      <c r="E109" s="11">
        <v>1449925</v>
      </c>
      <c r="F109" s="10">
        <f t="shared" si="5"/>
        <v>2.9469949405650209E-3</v>
      </c>
      <c r="G109">
        <f t="shared" si="6"/>
        <v>219351.64982555204</v>
      </c>
      <c r="H109" s="2">
        <f t="shared" si="7"/>
        <v>1669276.649825552</v>
      </c>
    </row>
    <row r="110" spans="1:8" x14ac:dyDescent="0.2">
      <c r="A110">
        <v>2020</v>
      </c>
      <c r="B110" s="3" t="str">
        <f t="shared" si="4"/>
        <v>5036</v>
      </c>
      <c r="C110" s="10" t="s">
        <v>117</v>
      </c>
      <c r="D110" s="11">
        <v>841586</v>
      </c>
      <c r="E110" s="11">
        <v>841586</v>
      </c>
      <c r="F110" s="10">
        <f t="shared" si="5"/>
        <v>1.7105365339933815E-3</v>
      </c>
      <c r="G110">
        <f t="shared" si="6"/>
        <v>127319.19069613052</v>
      </c>
      <c r="H110" s="2">
        <f t="shared" si="7"/>
        <v>968905.19069613051</v>
      </c>
    </row>
    <row r="111" spans="1:8" x14ac:dyDescent="0.2">
      <c r="A111">
        <v>2020</v>
      </c>
      <c r="B111" s="3" t="str">
        <f t="shared" si="4"/>
        <v>5037</v>
      </c>
      <c r="C111" s="10" t="s">
        <v>118</v>
      </c>
      <c r="D111" s="11">
        <v>3059453</v>
      </c>
      <c r="E111" s="11">
        <v>3059453</v>
      </c>
      <c r="F111" s="10">
        <f t="shared" si="5"/>
        <v>6.2183854419342209E-3</v>
      </c>
      <c r="G111">
        <f t="shared" si="6"/>
        <v>462848.81156869128</v>
      </c>
      <c r="H111" s="2">
        <f t="shared" si="7"/>
        <v>3522301.8115686914</v>
      </c>
    </row>
    <row r="112" spans="1:8" x14ac:dyDescent="0.2">
      <c r="A112">
        <v>2020</v>
      </c>
      <c r="B112" s="3" t="str">
        <f t="shared" si="4"/>
        <v>5038</v>
      </c>
      <c r="C112" s="10" t="s">
        <v>119</v>
      </c>
      <c r="D112" s="11">
        <v>358644</v>
      </c>
      <c r="E112" s="11">
        <v>358644</v>
      </c>
      <c r="F112" s="10">
        <f t="shared" si="5"/>
        <v>7.2894946529234372E-4</v>
      </c>
      <c r="G112">
        <f t="shared" si="6"/>
        <v>54257.394761822361</v>
      </c>
      <c r="H112" s="2">
        <f t="shared" si="7"/>
        <v>412901.39476182236</v>
      </c>
    </row>
    <row r="113" spans="1:8" x14ac:dyDescent="0.2">
      <c r="A113">
        <v>2020</v>
      </c>
      <c r="B113" s="3" t="str">
        <f t="shared" si="4"/>
        <v>5039</v>
      </c>
      <c r="C113" s="10" t="s">
        <v>120</v>
      </c>
      <c r="D113" s="11">
        <v>463970</v>
      </c>
      <c r="E113" s="11">
        <v>463970</v>
      </c>
      <c r="F113" s="10">
        <f t="shared" si="5"/>
        <v>9.4302618588820307E-4</v>
      </c>
      <c r="G113">
        <f t="shared" si="6"/>
        <v>70191.620235226917</v>
      </c>
      <c r="H113" s="2">
        <f t="shared" si="7"/>
        <v>534161.62023522693</v>
      </c>
    </row>
    <row r="114" spans="1:8" x14ac:dyDescent="0.2">
      <c r="A114">
        <v>2020</v>
      </c>
      <c r="B114" s="3" t="str">
        <f t="shared" si="4"/>
        <v>5040</v>
      </c>
      <c r="C114" s="10" t="s">
        <v>121</v>
      </c>
      <c r="D114" s="11">
        <v>1459665</v>
      </c>
      <c r="E114" s="11">
        <v>1459665</v>
      </c>
      <c r="F114" s="10">
        <f t="shared" si="5"/>
        <v>2.9667916408916608E-3</v>
      </c>
      <c r="G114">
        <f t="shared" si="6"/>
        <v>220825.1640206317</v>
      </c>
      <c r="H114" s="2">
        <f t="shared" si="7"/>
        <v>1680490.1640206317</v>
      </c>
    </row>
    <row r="115" spans="1:8" x14ac:dyDescent="0.2">
      <c r="A115">
        <v>2020</v>
      </c>
      <c r="B115" s="3" t="str">
        <f t="shared" si="4"/>
        <v>5041</v>
      </c>
      <c r="C115" s="10" t="s">
        <v>122</v>
      </c>
      <c r="D115" s="11">
        <v>7458817</v>
      </c>
      <c r="E115" s="11">
        <v>7458817</v>
      </c>
      <c r="F115" s="10">
        <f t="shared" si="5"/>
        <v>1.5160160671483262E-2</v>
      </c>
      <c r="G115">
        <f t="shared" si="6"/>
        <v>1128405.8242301324</v>
      </c>
      <c r="H115" s="2">
        <f t="shared" si="7"/>
        <v>8587222.8242301326</v>
      </c>
    </row>
    <row r="116" spans="1:8" x14ac:dyDescent="0.2">
      <c r="A116">
        <v>2020</v>
      </c>
      <c r="B116" s="3" t="str">
        <f t="shared" si="4"/>
        <v>5042</v>
      </c>
      <c r="C116" s="10" t="s">
        <v>123</v>
      </c>
      <c r="D116" s="11">
        <v>2345628</v>
      </c>
      <c r="E116" s="11">
        <v>2345628</v>
      </c>
      <c r="F116" s="10">
        <f t="shared" si="5"/>
        <v>4.7675251122972911E-3</v>
      </c>
      <c r="G116">
        <f t="shared" si="6"/>
        <v>354857.92139387212</v>
      </c>
      <c r="H116" s="2">
        <f t="shared" si="7"/>
        <v>2700485.9213938722</v>
      </c>
    </row>
    <row r="117" spans="1:8" x14ac:dyDescent="0.2">
      <c r="A117">
        <v>2020</v>
      </c>
      <c r="B117" s="3" t="str">
        <f t="shared" si="4"/>
        <v>5043</v>
      </c>
      <c r="C117" s="10" t="s">
        <v>124</v>
      </c>
      <c r="D117" s="11">
        <v>3300215</v>
      </c>
      <c r="E117" s="11">
        <v>3300215</v>
      </c>
      <c r="F117" s="10">
        <f t="shared" si="5"/>
        <v>6.7077379228420719E-3</v>
      </c>
      <c r="G117">
        <f t="shared" si="6"/>
        <v>499272.44859495095</v>
      </c>
      <c r="H117" s="2">
        <f t="shared" si="7"/>
        <v>3799487.4485949511</v>
      </c>
    </row>
    <row r="118" spans="1:8" x14ac:dyDescent="0.2">
      <c r="A118">
        <v>2020</v>
      </c>
      <c r="B118" s="3" t="str">
        <f t="shared" si="4"/>
        <v>5056</v>
      </c>
      <c r="C118" s="10" t="s">
        <v>125</v>
      </c>
      <c r="D118" s="11">
        <v>353065</v>
      </c>
      <c r="E118" s="11">
        <v>353065</v>
      </c>
      <c r="F118" s="10">
        <f t="shared" si="5"/>
        <v>7.176100616863556E-4</v>
      </c>
      <c r="G118">
        <f t="shared" si="6"/>
        <v>53413.37672338813</v>
      </c>
      <c r="H118" s="2">
        <f t="shared" si="7"/>
        <v>406478.37672338815</v>
      </c>
    </row>
    <row r="119" spans="1:8" x14ac:dyDescent="0.2">
      <c r="A119">
        <v>2020</v>
      </c>
      <c r="B119" s="3" t="str">
        <f t="shared" si="4"/>
        <v>5057</v>
      </c>
      <c r="C119" s="10" t="s">
        <v>126</v>
      </c>
      <c r="D119" s="11">
        <v>618530</v>
      </c>
      <c r="E119" s="11">
        <v>618530</v>
      </c>
      <c r="F119" s="10">
        <f t="shared" si="5"/>
        <v>1.2571717713589893E-3</v>
      </c>
      <c r="G119">
        <f t="shared" si="6"/>
        <v>93574.202780556734</v>
      </c>
      <c r="H119" s="2">
        <f t="shared" si="7"/>
        <v>712104.20278055675</v>
      </c>
    </row>
    <row r="120" spans="1:8" x14ac:dyDescent="0.2">
      <c r="A120">
        <v>2020</v>
      </c>
      <c r="B120" s="3" t="str">
        <f t="shared" si="4"/>
        <v>5058</v>
      </c>
      <c r="C120" s="10" t="s">
        <v>127</v>
      </c>
      <c r="D120" s="11">
        <v>1368489</v>
      </c>
      <c r="E120" s="11">
        <v>1368489</v>
      </c>
      <c r="F120" s="10">
        <f t="shared" si="5"/>
        <v>2.7814750136861458E-3</v>
      </c>
      <c r="G120">
        <f t="shared" si="6"/>
        <v>207031.61882036648</v>
      </c>
      <c r="H120" s="2">
        <f t="shared" si="7"/>
        <v>1575520.6188203664</v>
      </c>
    </row>
    <row r="121" spans="1:8" x14ac:dyDescent="0.2">
      <c r="A121">
        <v>2020</v>
      </c>
      <c r="B121" s="3" t="str">
        <f t="shared" si="4"/>
        <v>5059</v>
      </c>
      <c r="C121" s="10" t="s">
        <v>128</v>
      </c>
      <c r="D121" s="11">
        <v>368818</v>
      </c>
      <c r="E121" s="11">
        <v>368818</v>
      </c>
      <c r="F121" s="10">
        <f t="shared" si="5"/>
        <v>7.4962827731731637E-4</v>
      </c>
      <c r="G121">
        <f t="shared" si="6"/>
        <v>55796.56657093329</v>
      </c>
      <c r="H121" s="2">
        <f t="shared" si="7"/>
        <v>424614.56657093327</v>
      </c>
    </row>
    <row r="122" spans="1:8" x14ac:dyDescent="0.2">
      <c r="A122">
        <v>2020</v>
      </c>
      <c r="B122" s="3" t="str">
        <f t="shared" si="4"/>
        <v>5060</v>
      </c>
      <c r="C122" s="10" t="s">
        <v>129</v>
      </c>
      <c r="D122" s="11">
        <v>181830</v>
      </c>
      <c r="E122" s="11">
        <v>181830</v>
      </c>
      <c r="F122" s="10">
        <f t="shared" si="5"/>
        <v>3.6957228135450993E-4</v>
      </c>
      <c r="G122">
        <f t="shared" si="6"/>
        <v>27508.119721902945</v>
      </c>
      <c r="H122" s="2">
        <f t="shared" si="7"/>
        <v>209338.11972190294</v>
      </c>
    </row>
    <row r="123" spans="1:8" x14ac:dyDescent="0.2">
      <c r="A123">
        <v>2020</v>
      </c>
      <c r="B123" s="3" t="str">
        <f t="shared" si="4"/>
        <v>5061</v>
      </c>
      <c r="C123" s="10" t="s">
        <v>130</v>
      </c>
      <c r="D123" s="11">
        <v>345620</v>
      </c>
      <c r="E123" s="11">
        <v>345620</v>
      </c>
      <c r="F123" s="10">
        <f t="shared" si="5"/>
        <v>7.0247798428062322E-4</v>
      </c>
      <c r="G123">
        <f t="shared" si="6"/>
        <v>52287.061201584431</v>
      </c>
      <c r="H123" s="2">
        <f t="shared" si="7"/>
        <v>397907.06120158441</v>
      </c>
    </row>
    <row r="124" spans="1:8" x14ac:dyDescent="0.2">
      <c r="A124">
        <v>2020</v>
      </c>
      <c r="B124" s="3" t="str">
        <f t="shared" si="4"/>
        <v>5062</v>
      </c>
      <c r="C124" s="10" t="s">
        <v>131</v>
      </c>
      <c r="D124" s="11">
        <v>653961</v>
      </c>
      <c r="E124" s="11">
        <v>653961</v>
      </c>
      <c r="F124" s="10">
        <f t="shared" si="5"/>
        <v>1.3291858256991511E-3</v>
      </c>
      <c r="G124">
        <f t="shared" si="6"/>
        <v>98934.375413602655</v>
      </c>
      <c r="H124" s="2">
        <f t="shared" si="7"/>
        <v>752895.37541360268</v>
      </c>
    </row>
    <row r="125" spans="1:8" x14ac:dyDescent="0.2">
      <c r="A125">
        <v>2020</v>
      </c>
      <c r="B125" s="3" t="str">
        <f t="shared" si="4"/>
        <v>5063</v>
      </c>
      <c r="C125" s="10" t="s">
        <v>132</v>
      </c>
      <c r="D125" s="11">
        <v>556593</v>
      </c>
      <c r="E125" s="11">
        <v>556593</v>
      </c>
      <c r="F125" s="10">
        <f t="shared" si="5"/>
        <v>1.1312838629266389E-3</v>
      </c>
      <c r="G125">
        <f t="shared" si="6"/>
        <v>84204.074577204679</v>
      </c>
      <c r="H125" s="2">
        <f t="shared" si="7"/>
        <v>640797.07457720465</v>
      </c>
    </row>
    <row r="126" spans="1:8" x14ac:dyDescent="0.2">
      <c r="A126">
        <v>2020</v>
      </c>
      <c r="B126" s="3" t="str">
        <f t="shared" si="4"/>
        <v>5064</v>
      </c>
      <c r="C126" s="10" t="s">
        <v>133</v>
      </c>
      <c r="D126" s="11">
        <v>342099</v>
      </c>
      <c r="E126" s="11">
        <v>342099</v>
      </c>
      <c r="F126" s="10">
        <f t="shared" si="5"/>
        <v>6.953214974376972E-4</v>
      </c>
      <c r="G126">
        <f t="shared" si="6"/>
        <v>51754.387332911378</v>
      </c>
      <c r="H126" s="2">
        <f t="shared" si="7"/>
        <v>393853.38733291137</v>
      </c>
    </row>
    <row r="127" spans="1:8" x14ac:dyDescent="0.2">
      <c r="A127">
        <v>2020</v>
      </c>
      <c r="B127" s="3" t="str">
        <f t="shared" si="4"/>
        <v>5065</v>
      </c>
      <c r="C127" s="10" t="s">
        <v>134</v>
      </c>
      <c r="D127" s="11">
        <v>413063</v>
      </c>
      <c r="E127" s="11">
        <v>413063</v>
      </c>
      <c r="F127" s="10">
        <f t="shared" si="5"/>
        <v>8.3955692269228356E-4</v>
      </c>
      <c r="G127">
        <f t="shared" si="6"/>
        <v>62490.163651148854</v>
      </c>
      <c r="H127" s="2">
        <f t="shared" si="7"/>
        <v>475553.16365114885</v>
      </c>
    </row>
    <row r="128" spans="1:8" x14ac:dyDescent="0.2">
      <c r="A128">
        <v>2020</v>
      </c>
      <c r="B128" s="3" t="str">
        <f t="shared" si="4"/>
        <v>5066</v>
      </c>
      <c r="C128" s="10" t="s">
        <v>135</v>
      </c>
      <c r="D128" s="11">
        <v>502721</v>
      </c>
      <c r="E128" s="11">
        <v>502721</v>
      </c>
      <c r="F128" s="10">
        <f t="shared" si="5"/>
        <v>1.0217881914690676E-3</v>
      </c>
      <c r="G128">
        <f t="shared" si="6"/>
        <v>76054.058487129572</v>
      </c>
      <c r="H128" s="2">
        <f t="shared" si="7"/>
        <v>578775.05848712963</v>
      </c>
    </row>
    <row r="129" spans="1:8" x14ac:dyDescent="0.2">
      <c r="A129">
        <v>2020</v>
      </c>
      <c r="B129" s="3" t="str">
        <f t="shared" si="4"/>
        <v>5067</v>
      </c>
      <c r="C129" s="10" t="s">
        <v>136</v>
      </c>
      <c r="D129" s="11">
        <v>752012</v>
      </c>
      <c r="E129" s="11">
        <v>752012</v>
      </c>
      <c r="F129" s="10">
        <f t="shared" si="5"/>
        <v>1.528475996513049E-3</v>
      </c>
      <c r="G129">
        <f t="shared" si="6"/>
        <v>113768.00378544617</v>
      </c>
      <c r="H129" s="2">
        <f t="shared" si="7"/>
        <v>865780.00378544617</v>
      </c>
    </row>
    <row r="130" spans="1:8" x14ac:dyDescent="0.2">
      <c r="A130">
        <v>2020</v>
      </c>
      <c r="B130" s="3" t="str">
        <f t="shared" si="4"/>
        <v>5068</v>
      </c>
      <c r="C130" s="10" t="s">
        <v>137</v>
      </c>
      <c r="D130" s="11">
        <v>682206</v>
      </c>
      <c r="E130" s="11">
        <v>682206</v>
      </c>
      <c r="F130" s="10">
        <f t="shared" si="5"/>
        <v>1.3865942241309728E-3</v>
      </c>
      <c r="G130">
        <f t="shared" si="6"/>
        <v>103207.41529450873</v>
      </c>
      <c r="H130" s="2">
        <f t="shared" si="7"/>
        <v>785413.41529450868</v>
      </c>
    </row>
    <row r="131" spans="1:8" x14ac:dyDescent="0.2">
      <c r="A131">
        <v>2020</v>
      </c>
      <c r="B131" s="3" t="str">
        <f t="shared" ref="B131:B194" si="8">LEFT(C131,4)</f>
        <v>5069</v>
      </c>
      <c r="C131" s="10" t="s">
        <v>138</v>
      </c>
      <c r="D131" s="11">
        <v>676732</v>
      </c>
      <c r="E131" s="11">
        <v>676732</v>
      </c>
      <c r="F131" s="10">
        <f t="shared" ref="F131:F194" si="9">D131/$D$340</f>
        <v>1.3754682346455492E-3</v>
      </c>
      <c r="G131">
        <f t="shared" ref="G131:G194" si="10">F131*$D$341</f>
        <v>102379.28216269496</v>
      </c>
      <c r="H131" s="2">
        <f t="shared" ref="H131:H194" si="11">SUM(G131,D131)</f>
        <v>779111.28216269496</v>
      </c>
    </row>
    <row r="132" spans="1:8" x14ac:dyDescent="0.2">
      <c r="A132">
        <v>2020</v>
      </c>
      <c r="B132" s="3" t="str">
        <f t="shared" si="8"/>
        <v>5070</v>
      </c>
      <c r="C132" s="10" t="s">
        <v>139</v>
      </c>
      <c r="D132" s="11">
        <v>1686386</v>
      </c>
      <c r="E132" s="11">
        <v>1686386</v>
      </c>
      <c r="F132" s="10">
        <f t="shared" si="9"/>
        <v>3.4276055725914675E-3</v>
      </c>
      <c r="G132">
        <f t="shared" si="10"/>
        <v>255124.61081967232</v>
      </c>
      <c r="H132" s="2">
        <f t="shared" si="11"/>
        <v>1941510.6108196722</v>
      </c>
    </row>
    <row r="133" spans="1:8" x14ac:dyDescent="0.2">
      <c r="A133">
        <v>2020</v>
      </c>
      <c r="B133" s="3" t="str">
        <f t="shared" si="8"/>
        <v>5072</v>
      </c>
      <c r="C133" s="10" t="s">
        <v>140</v>
      </c>
      <c r="D133" s="11">
        <v>229954</v>
      </c>
      <c r="E133" s="11">
        <v>229954</v>
      </c>
      <c r="F133" s="10">
        <f t="shared" si="9"/>
        <v>4.6738505409775602E-4</v>
      </c>
      <c r="G133">
        <f t="shared" si="10"/>
        <v>34788.550638126108</v>
      </c>
      <c r="H133" s="2">
        <f t="shared" si="11"/>
        <v>264742.55063812609</v>
      </c>
    </row>
    <row r="134" spans="1:8" x14ac:dyDescent="0.2">
      <c r="A134">
        <v>2020</v>
      </c>
      <c r="B134" s="3" t="str">
        <f t="shared" si="8"/>
        <v>5073</v>
      </c>
      <c r="C134" s="10" t="s">
        <v>141</v>
      </c>
      <c r="D134" s="11">
        <v>420301</v>
      </c>
      <c r="E134" s="11">
        <v>420301</v>
      </c>
      <c r="F134" s="10">
        <f t="shared" si="9"/>
        <v>8.5426826940318903E-4</v>
      </c>
      <c r="G134">
        <f t="shared" si="10"/>
        <v>63585.16321418649</v>
      </c>
      <c r="H134" s="2">
        <f t="shared" si="11"/>
        <v>483886.1632141865</v>
      </c>
    </row>
    <row r="135" spans="1:8" x14ac:dyDescent="0.2">
      <c r="A135">
        <v>2020</v>
      </c>
      <c r="B135" s="3" t="str">
        <f t="shared" si="8"/>
        <v>5076</v>
      </c>
      <c r="C135" s="10" t="s">
        <v>142</v>
      </c>
      <c r="D135" s="11">
        <v>178690</v>
      </c>
      <c r="E135" s="11">
        <v>178690</v>
      </c>
      <c r="F135" s="10">
        <f t="shared" si="9"/>
        <v>3.6319018289191759E-4</v>
      </c>
      <c r="G135">
        <f t="shared" si="10"/>
        <v>27033.085371538455</v>
      </c>
      <c r="H135" s="2">
        <f t="shared" si="11"/>
        <v>205723.08537153844</v>
      </c>
    </row>
    <row r="136" spans="1:8" x14ac:dyDescent="0.2">
      <c r="A136">
        <v>2020</v>
      </c>
      <c r="B136" s="3" t="str">
        <f t="shared" si="8"/>
        <v>5077</v>
      </c>
      <c r="C136" s="10" t="s">
        <v>195</v>
      </c>
      <c r="D136" s="11">
        <v>476915</v>
      </c>
      <c r="E136" s="11">
        <v>476915</v>
      </c>
      <c r="F136" s="10">
        <f t="shared" si="9"/>
        <v>9.693370981806418E-4</v>
      </c>
      <c r="G136">
        <f t="shared" si="10"/>
        <v>72150.002294293256</v>
      </c>
      <c r="H136" s="2">
        <f t="shared" si="11"/>
        <v>549065.00229429326</v>
      </c>
    </row>
    <row r="137" spans="1:8" x14ac:dyDescent="0.2">
      <c r="A137">
        <v>2020</v>
      </c>
      <c r="B137" s="3" t="str">
        <f t="shared" si="8"/>
        <v>5078</v>
      </c>
      <c r="C137" s="10" t="s">
        <v>144</v>
      </c>
      <c r="D137" s="11">
        <v>417404</v>
      </c>
      <c r="E137" s="11">
        <v>417404</v>
      </c>
      <c r="F137" s="10">
        <f t="shared" si="9"/>
        <v>8.4838007219104582E-4</v>
      </c>
      <c r="G137">
        <f t="shared" si="10"/>
        <v>63146.89107628652</v>
      </c>
      <c r="H137" s="2">
        <f t="shared" si="11"/>
        <v>480550.8910762865</v>
      </c>
    </row>
    <row r="138" spans="1:8" x14ac:dyDescent="0.2">
      <c r="A138">
        <v>2020</v>
      </c>
      <c r="B138" s="3" t="str">
        <f t="shared" si="8"/>
        <v>5079</v>
      </c>
      <c r="C138" s="10" t="s">
        <v>145</v>
      </c>
      <c r="D138" s="11">
        <v>449882</v>
      </c>
      <c r="E138" s="11">
        <v>449882</v>
      </c>
      <c r="F138" s="10">
        <f t="shared" si="9"/>
        <v>9.1439210845476338E-4</v>
      </c>
      <c r="G138">
        <f t="shared" si="10"/>
        <v>68060.319621234899</v>
      </c>
      <c r="H138" s="2">
        <f t="shared" si="11"/>
        <v>517942.3196212349</v>
      </c>
    </row>
    <row r="139" spans="1:8" x14ac:dyDescent="0.2">
      <c r="A139">
        <v>2020</v>
      </c>
      <c r="B139" s="3" t="str">
        <f t="shared" si="8"/>
        <v>5080</v>
      </c>
      <c r="C139" s="10" t="s">
        <v>146</v>
      </c>
      <c r="D139" s="11">
        <v>549527</v>
      </c>
      <c r="E139" s="11">
        <v>549527</v>
      </c>
      <c r="F139" s="10">
        <f t="shared" si="9"/>
        <v>1.1169221088703721E-3</v>
      </c>
      <c r="G139">
        <f t="shared" si="10"/>
        <v>83135.096004059611</v>
      </c>
      <c r="H139" s="2">
        <f t="shared" si="11"/>
        <v>632662.09600405965</v>
      </c>
    </row>
    <row r="140" spans="1:8" x14ac:dyDescent="0.2">
      <c r="A140">
        <v>2020</v>
      </c>
      <c r="B140" s="3" t="str">
        <f t="shared" si="8"/>
        <v>5081</v>
      </c>
      <c r="C140" s="10" t="s">
        <v>147</v>
      </c>
      <c r="D140" s="11">
        <v>470000</v>
      </c>
      <c r="E140" s="11">
        <v>470000</v>
      </c>
      <c r="F140" s="10">
        <f t="shared" si="9"/>
        <v>9.5528225395490106E-4</v>
      </c>
      <c r="G140">
        <f t="shared" si="10"/>
        <v>71103.867729716687</v>
      </c>
      <c r="H140" s="2">
        <f t="shared" si="11"/>
        <v>541103.8677297167</v>
      </c>
    </row>
    <row r="141" spans="1:8" x14ac:dyDescent="0.2">
      <c r="A141">
        <v>2020</v>
      </c>
      <c r="B141" s="3" t="str">
        <f t="shared" si="8"/>
        <v>5082</v>
      </c>
      <c r="C141" s="10" t="s">
        <v>148</v>
      </c>
      <c r="D141" s="11">
        <v>120396</v>
      </c>
      <c r="E141" s="11">
        <v>120396</v>
      </c>
      <c r="F141" s="10">
        <f t="shared" si="9"/>
        <v>2.4470672818543461E-4</v>
      </c>
      <c r="G141">
        <f t="shared" si="10"/>
        <v>18214.087785504191</v>
      </c>
      <c r="H141" s="2">
        <f t="shared" si="11"/>
        <v>138610.08778550418</v>
      </c>
    </row>
    <row r="142" spans="1:8" x14ac:dyDescent="0.2">
      <c r="A142">
        <v>2020</v>
      </c>
      <c r="B142" s="3" t="str">
        <f t="shared" si="8"/>
        <v>5013</v>
      </c>
      <c r="C142" s="10" t="s">
        <v>355</v>
      </c>
      <c r="D142" s="11">
        <v>7273752</v>
      </c>
      <c r="E142" s="11">
        <v>7273752</v>
      </c>
      <c r="F142" s="10">
        <f t="shared" si="9"/>
        <v>1.4784013202699935E-2</v>
      </c>
      <c r="G142">
        <f t="shared" si="10"/>
        <v>1100408.2980994941</v>
      </c>
      <c r="H142" s="2">
        <f t="shared" si="11"/>
        <v>8374160.2980994936</v>
      </c>
    </row>
    <row r="143" spans="1:8" x14ac:dyDescent="0.2">
      <c r="A143">
        <v>2020</v>
      </c>
      <c r="B143" s="3" t="str">
        <f t="shared" si="8"/>
        <v>5087</v>
      </c>
      <c r="C143" s="10" t="s">
        <v>360</v>
      </c>
      <c r="D143" s="11">
        <v>368175</v>
      </c>
      <c r="E143" s="11">
        <v>368175</v>
      </c>
      <c r="F143" s="10">
        <f t="shared" si="9"/>
        <v>7.4832136989328867E-4</v>
      </c>
      <c r="G143">
        <f t="shared" si="10"/>
        <v>55699.290428486041</v>
      </c>
      <c r="H143" s="2">
        <f t="shared" si="11"/>
        <v>423874.29042848607</v>
      </c>
    </row>
    <row r="144" spans="1:8" x14ac:dyDescent="0.2">
      <c r="A144">
        <v>2020</v>
      </c>
      <c r="B144" s="3" t="str">
        <f t="shared" si="8"/>
        <v>5088</v>
      </c>
      <c r="C144" s="10" t="s">
        <v>151</v>
      </c>
      <c r="D144" s="11">
        <v>687758</v>
      </c>
      <c r="E144" s="11">
        <v>687758</v>
      </c>
      <c r="F144" s="10">
        <f t="shared" si="9"/>
        <v>1.3978787498202443E-3</v>
      </c>
      <c r="G144">
        <f t="shared" si="10"/>
        <v>104047.34864266911</v>
      </c>
      <c r="H144" s="2">
        <f t="shared" si="11"/>
        <v>791805.34864266915</v>
      </c>
    </row>
    <row r="145" spans="1:8" x14ac:dyDescent="0.2">
      <c r="A145">
        <v>2020</v>
      </c>
      <c r="B145" s="3" t="str">
        <f t="shared" si="8"/>
        <v>5089</v>
      </c>
      <c r="C145" s="10" t="s">
        <v>152</v>
      </c>
      <c r="D145" s="11">
        <v>347125</v>
      </c>
      <c r="E145" s="11">
        <v>347125</v>
      </c>
      <c r="F145" s="10">
        <f t="shared" si="9"/>
        <v>7.0553692000871286E-4</v>
      </c>
      <c r="G145">
        <f t="shared" si="10"/>
        <v>52514.744863144479</v>
      </c>
      <c r="H145" s="2">
        <f t="shared" si="11"/>
        <v>399639.74486314447</v>
      </c>
    </row>
    <row r="146" spans="1:8" x14ac:dyDescent="0.2">
      <c r="A146">
        <v>2020</v>
      </c>
      <c r="B146" s="3" t="str">
        <f t="shared" si="8"/>
        <v>5090</v>
      </c>
      <c r="C146" s="10" t="s">
        <v>153</v>
      </c>
      <c r="D146" s="11">
        <v>274002</v>
      </c>
      <c r="E146" s="11">
        <v>274002</v>
      </c>
      <c r="F146" s="10">
        <f t="shared" si="9"/>
        <v>5.5691329393223578E-4</v>
      </c>
      <c r="G146">
        <f t="shared" si="10"/>
        <v>41452.344607825173</v>
      </c>
      <c r="H146" s="2">
        <f t="shared" si="11"/>
        <v>315454.34460782516</v>
      </c>
    </row>
    <row r="147" spans="1:8" x14ac:dyDescent="0.2">
      <c r="A147">
        <v>2020</v>
      </c>
      <c r="B147" s="3" t="str">
        <f t="shared" si="8"/>
        <v>5092</v>
      </c>
      <c r="C147" s="10" t="s">
        <v>154</v>
      </c>
      <c r="D147" s="11">
        <v>1363396</v>
      </c>
      <c r="E147" s="11">
        <v>1363396</v>
      </c>
      <c r="F147" s="10">
        <f t="shared" si="9"/>
        <v>2.771123412581056E-3</v>
      </c>
      <c r="G147">
        <f t="shared" si="10"/>
        <v>206261.1252068613</v>
      </c>
      <c r="H147" s="2">
        <f t="shared" si="11"/>
        <v>1569657.1252068612</v>
      </c>
    </row>
    <row r="148" spans="1:8" x14ac:dyDescent="0.2">
      <c r="A148">
        <v>2020</v>
      </c>
      <c r="B148" s="3" t="str">
        <f t="shared" si="8"/>
        <v>5093</v>
      </c>
      <c r="C148" s="10" t="s">
        <v>155</v>
      </c>
      <c r="D148" s="11">
        <v>314613</v>
      </c>
      <c r="E148" s="11">
        <v>314613</v>
      </c>
      <c r="F148" s="10">
        <f t="shared" si="9"/>
        <v>6.39455778220241E-4</v>
      </c>
      <c r="G148">
        <f t="shared" si="10"/>
        <v>47596.172634147559</v>
      </c>
      <c r="H148" s="2">
        <f t="shared" si="11"/>
        <v>362209.17263414757</v>
      </c>
    </row>
    <row r="149" spans="1:8" x14ac:dyDescent="0.2">
      <c r="A149">
        <v>2020</v>
      </c>
      <c r="B149" s="3" t="str">
        <f t="shared" si="8"/>
        <v>5095</v>
      </c>
      <c r="C149" s="10" t="s">
        <v>156</v>
      </c>
      <c r="D149" s="11">
        <v>472774</v>
      </c>
      <c r="E149" s="11">
        <v>472774</v>
      </c>
      <c r="F149" s="10">
        <f t="shared" si="9"/>
        <v>9.609204517686689E-4</v>
      </c>
      <c r="G149">
        <f t="shared" si="10"/>
        <v>71523.531834146968</v>
      </c>
      <c r="H149" s="2">
        <f t="shared" si="11"/>
        <v>544297.53183414694</v>
      </c>
    </row>
    <row r="150" spans="1:8" x14ac:dyDescent="0.2">
      <c r="A150">
        <v>2020</v>
      </c>
      <c r="B150" s="3" t="str">
        <f t="shared" si="8"/>
        <v>5096</v>
      </c>
      <c r="C150" s="10" t="s">
        <v>157</v>
      </c>
      <c r="D150" s="11">
        <v>567842</v>
      </c>
      <c r="E150" s="11">
        <v>567842</v>
      </c>
      <c r="F150" s="10">
        <f t="shared" si="9"/>
        <v>1.1541476290431042E-3</v>
      </c>
      <c r="G150">
        <f t="shared" si="10"/>
        <v>85905.877573144215</v>
      </c>
      <c r="H150" s="2">
        <f t="shared" si="11"/>
        <v>653747.87757314416</v>
      </c>
    </row>
    <row r="151" spans="1:8" x14ac:dyDescent="0.2">
      <c r="A151">
        <v>2020</v>
      </c>
      <c r="B151" s="3" t="str">
        <f t="shared" si="8"/>
        <v>5098</v>
      </c>
      <c r="C151" s="10" t="s">
        <v>158</v>
      </c>
      <c r="D151" s="11">
        <v>297510</v>
      </c>
      <c r="E151" s="11">
        <v>297510</v>
      </c>
      <c r="F151" s="10">
        <f t="shared" si="9"/>
        <v>6.0469366675345237E-4</v>
      </c>
      <c r="G151">
        <f t="shared" si="10"/>
        <v>45008.748272910663</v>
      </c>
      <c r="H151" s="2">
        <f t="shared" si="11"/>
        <v>342518.74827291066</v>
      </c>
    </row>
    <row r="152" spans="1:8" x14ac:dyDescent="0.2">
      <c r="A152">
        <v>2020</v>
      </c>
      <c r="B152" s="3" t="str">
        <f t="shared" si="8"/>
        <v>5099</v>
      </c>
      <c r="C152" s="10" t="s">
        <v>159</v>
      </c>
      <c r="D152" s="11">
        <v>968160</v>
      </c>
      <c r="E152" s="11">
        <v>968160</v>
      </c>
      <c r="F152" s="10">
        <f t="shared" si="9"/>
        <v>1.9678001425297385E-3</v>
      </c>
      <c r="G152">
        <f t="shared" si="10"/>
        <v>146467.9161302181</v>
      </c>
      <c r="H152" s="2">
        <f t="shared" si="11"/>
        <v>1114627.9161302182</v>
      </c>
    </row>
    <row r="153" spans="1:8" x14ac:dyDescent="0.2">
      <c r="A153">
        <v>2020</v>
      </c>
      <c r="B153" s="3" t="str">
        <f t="shared" si="8"/>
        <v>5100</v>
      </c>
      <c r="C153" s="10" t="s">
        <v>160</v>
      </c>
      <c r="D153" s="11">
        <v>1117367</v>
      </c>
      <c r="E153" s="11">
        <v>1117367</v>
      </c>
      <c r="F153" s="10">
        <f t="shared" si="9"/>
        <v>2.2710656728826082E-3</v>
      </c>
      <c r="G153">
        <f t="shared" si="10"/>
        <v>169040.6710075539</v>
      </c>
      <c r="H153" s="2">
        <f t="shared" si="11"/>
        <v>1286407.6710075538</v>
      </c>
    </row>
    <row r="154" spans="1:8" x14ac:dyDescent="0.2">
      <c r="A154">
        <v>2020</v>
      </c>
      <c r="B154" s="3" t="str">
        <f t="shared" si="8"/>
        <v>5101</v>
      </c>
      <c r="C154" s="10" t="s">
        <v>161</v>
      </c>
      <c r="D154" s="11">
        <v>740059</v>
      </c>
      <c r="E154" s="11">
        <v>740059</v>
      </c>
      <c r="F154" s="10">
        <f t="shared" si="9"/>
        <v>1.5041813395310854E-3</v>
      </c>
      <c r="G154">
        <f t="shared" si="10"/>
        <v>111959.69627273703</v>
      </c>
      <c r="H154" s="2">
        <f t="shared" si="11"/>
        <v>852018.696272737</v>
      </c>
    </row>
    <row r="155" spans="1:8" x14ac:dyDescent="0.2">
      <c r="A155">
        <v>2020</v>
      </c>
      <c r="B155" s="3" t="str">
        <f t="shared" si="8"/>
        <v>5102</v>
      </c>
      <c r="C155" s="10" t="s">
        <v>162</v>
      </c>
      <c r="D155" s="11">
        <v>1545690</v>
      </c>
      <c r="E155" s="11">
        <v>1545690</v>
      </c>
      <c r="F155" s="10">
        <f t="shared" si="9"/>
        <v>3.1416387810969172E-3</v>
      </c>
      <c r="G155">
        <f t="shared" si="10"/>
        <v>233839.44108754423</v>
      </c>
      <c r="H155" s="2">
        <f t="shared" si="11"/>
        <v>1779529.4410875442</v>
      </c>
    </row>
    <row r="156" spans="1:8" x14ac:dyDescent="0.2">
      <c r="A156">
        <v>2020</v>
      </c>
      <c r="B156" s="3" t="str">
        <f t="shared" si="8"/>
        <v>5103</v>
      </c>
      <c r="C156" s="10" t="s">
        <v>163</v>
      </c>
      <c r="D156" s="11">
        <v>921835</v>
      </c>
      <c r="E156" s="11">
        <v>921835</v>
      </c>
      <c r="F156" s="10">
        <f t="shared" si="9"/>
        <v>1.8736438650521622E-3</v>
      </c>
      <c r="G156">
        <f t="shared" si="10"/>
        <v>139459.64661409229</v>
      </c>
      <c r="H156" s="2">
        <f t="shared" si="11"/>
        <v>1061294.6466140924</v>
      </c>
    </row>
    <row r="157" spans="1:8" x14ac:dyDescent="0.2">
      <c r="A157">
        <v>2020</v>
      </c>
      <c r="B157" s="3" t="str">
        <f t="shared" si="8"/>
        <v>5104</v>
      </c>
      <c r="C157" s="10" t="s">
        <v>164</v>
      </c>
      <c r="D157" s="11">
        <v>300857</v>
      </c>
      <c r="E157" s="11">
        <v>300857</v>
      </c>
      <c r="F157" s="10">
        <f t="shared" si="9"/>
        <v>6.1149649591087161E-4</v>
      </c>
      <c r="G157">
        <f t="shared" si="10"/>
        <v>45515.098582041217</v>
      </c>
      <c r="H157" s="2">
        <f t="shared" si="11"/>
        <v>346372.09858204122</v>
      </c>
    </row>
    <row r="158" spans="1:8" x14ac:dyDescent="0.2">
      <c r="A158">
        <v>2020</v>
      </c>
      <c r="B158" s="3" t="str">
        <f t="shared" si="8"/>
        <v>5105</v>
      </c>
      <c r="C158" s="10" t="s">
        <v>165</v>
      </c>
      <c r="D158" s="11">
        <v>239615</v>
      </c>
      <c r="E158" s="11">
        <v>239615</v>
      </c>
      <c r="F158" s="10">
        <f t="shared" si="9"/>
        <v>4.8702118570511407E-4</v>
      </c>
      <c r="G158">
        <f t="shared" si="10"/>
        <v>36250.113332034176</v>
      </c>
      <c r="H158" s="2">
        <f t="shared" si="11"/>
        <v>275865.11333203421</v>
      </c>
    </row>
    <row r="159" spans="1:8" x14ac:dyDescent="0.2">
      <c r="A159">
        <v>2020</v>
      </c>
      <c r="B159" s="3" t="str">
        <f t="shared" si="8"/>
        <v>5106</v>
      </c>
      <c r="C159" s="10" t="s">
        <v>166</v>
      </c>
      <c r="D159" s="11">
        <v>765511</v>
      </c>
      <c r="E159" s="11">
        <v>765511</v>
      </c>
      <c r="F159" s="10">
        <f t="shared" si="9"/>
        <v>1.5559129223558941E-3</v>
      </c>
      <c r="G159">
        <f t="shared" si="10"/>
        <v>115810.19763753861</v>
      </c>
      <c r="H159" s="2">
        <f t="shared" si="11"/>
        <v>881321.19763753866</v>
      </c>
    </row>
    <row r="160" spans="1:8" x14ac:dyDescent="0.2">
      <c r="A160">
        <v>2020</v>
      </c>
      <c r="B160" s="3" t="str">
        <f t="shared" si="8"/>
        <v>5116</v>
      </c>
      <c r="C160" s="10" t="s">
        <v>167</v>
      </c>
      <c r="D160" s="11">
        <v>877855</v>
      </c>
      <c r="E160" s="11">
        <v>877855</v>
      </c>
      <c r="F160" s="10">
        <f t="shared" si="9"/>
        <v>1.7842538362671909E-3</v>
      </c>
      <c r="G160">
        <f t="shared" si="10"/>
        <v>132806.1400124903</v>
      </c>
      <c r="H160" s="2">
        <f t="shared" si="11"/>
        <v>1010661.1400124903</v>
      </c>
    </row>
    <row r="161" spans="1:8" x14ac:dyDescent="0.2">
      <c r="A161">
        <v>2020</v>
      </c>
      <c r="B161" s="3" t="str">
        <f t="shared" si="8"/>
        <v>5117</v>
      </c>
      <c r="C161" s="10" t="s">
        <v>168</v>
      </c>
      <c r="D161" s="11">
        <v>179567</v>
      </c>
      <c r="E161" s="11">
        <v>179567</v>
      </c>
      <c r="F161" s="10">
        <f t="shared" si="9"/>
        <v>3.6497269892748878E-4</v>
      </c>
      <c r="G161">
        <f t="shared" si="10"/>
        <v>27165.762163025607</v>
      </c>
      <c r="H161" s="2">
        <f t="shared" si="11"/>
        <v>206732.76216302562</v>
      </c>
    </row>
    <row r="162" spans="1:8" x14ac:dyDescent="0.2">
      <c r="A162">
        <v>2020</v>
      </c>
      <c r="B162" s="3" t="str">
        <f t="shared" si="8"/>
        <v>5118</v>
      </c>
      <c r="C162" s="10" t="s">
        <v>169</v>
      </c>
      <c r="D162" s="11">
        <v>1356978</v>
      </c>
      <c r="E162" s="11">
        <v>1356978</v>
      </c>
      <c r="F162" s="10">
        <f t="shared" si="9"/>
        <v>2.7580787285259867E-3</v>
      </c>
      <c r="G162">
        <f t="shared" si="10"/>
        <v>205290.17920028826</v>
      </c>
      <c r="H162" s="2">
        <f t="shared" si="11"/>
        <v>1562268.1792002884</v>
      </c>
    </row>
    <row r="163" spans="1:8" x14ac:dyDescent="0.2">
      <c r="A163">
        <v>2020</v>
      </c>
      <c r="B163" s="3" t="str">
        <f t="shared" si="8"/>
        <v>5119</v>
      </c>
      <c r="C163" s="10" t="s">
        <v>170</v>
      </c>
      <c r="D163" s="11">
        <v>293165</v>
      </c>
      <c r="E163" s="11">
        <v>293165</v>
      </c>
      <c r="F163" s="10">
        <f t="shared" si="9"/>
        <v>5.9586238719295441E-4</v>
      </c>
      <c r="G163">
        <f t="shared" si="10"/>
        <v>44351.415708473171</v>
      </c>
      <c r="H163" s="2">
        <f t="shared" si="11"/>
        <v>337516.41570847319</v>
      </c>
    </row>
    <row r="164" spans="1:8" x14ac:dyDescent="0.2">
      <c r="A164">
        <v>2020</v>
      </c>
      <c r="B164" s="3" t="str">
        <f t="shared" si="8"/>
        <v>5120</v>
      </c>
      <c r="C164" s="10" t="s">
        <v>171</v>
      </c>
      <c r="D164" s="11">
        <v>6640817</v>
      </c>
      <c r="E164" s="11">
        <v>6640817</v>
      </c>
      <c r="F164" s="10">
        <f t="shared" si="9"/>
        <v>1.3497563046514945E-2</v>
      </c>
      <c r="G164">
        <f t="shared" si="10"/>
        <v>1004654.837415434</v>
      </c>
      <c r="H164" s="2">
        <f t="shared" si="11"/>
        <v>7645471.8374154344</v>
      </c>
    </row>
    <row r="165" spans="1:8" x14ac:dyDescent="0.2">
      <c r="A165">
        <v>2020</v>
      </c>
      <c r="B165" s="3" t="str">
        <f t="shared" si="8"/>
        <v>5122</v>
      </c>
      <c r="C165" s="10" t="s">
        <v>172</v>
      </c>
      <c r="D165" s="11">
        <v>256651</v>
      </c>
      <c r="E165" s="11">
        <v>256651</v>
      </c>
      <c r="F165" s="10">
        <f t="shared" si="9"/>
        <v>5.2164711863782827E-4</v>
      </c>
      <c r="G165">
        <f t="shared" si="10"/>
        <v>38827.401609998968</v>
      </c>
      <c r="H165" s="2">
        <f t="shared" si="11"/>
        <v>295478.40160999895</v>
      </c>
    </row>
    <row r="166" spans="1:8" x14ac:dyDescent="0.2">
      <c r="A166">
        <v>2020</v>
      </c>
      <c r="B166" s="3" t="str">
        <f t="shared" si="8"/>
        <v>5123</v>
      </c>
      <c r="C166" s="10" t="s">
        <v>173</v>
      </c>
      <c r="D166" s="11">
        <v>257283</v>
      </c>
      <c r="E166" s="11">
        <v>257283</v>
      </c>
      <c r="F166" s="10">
        <f t="shared" si="9"/>
        <v>5.2293166839208259E-4</v>
      </c>
      <c r="G166">
        <f t="shared" si="10"/>
        <v>38923.013619371697</v>
      </c>
      <c r="H166" s="2">
        <f t="shared" si="11"/>
        <v>296206.01361937169</v>
      </c>
    </row>
    <row r="167" spans="1:8" x14ac:dyDescent="0.2">
      <c r="A167">
        <v>2020</v>
      </c>
      <c r="B167" s="3" t="str">
        <f t="shared" si="8"/>
        <v>5125</v>
      </c>
      <c r="C167" s="10" t="s">
        <v>174</v>
      </c>
      <c r="D167" s="11">
        <v>1787227</v>
      </c>
      <c r="E167" s="11">
        <v>1787227</v>
      </c>
      <c r="F167" s="10">
        <f t="shared" si="9"/>
        <v>3.6325664614660766E-3</v>
      </c>
      <c r="G167">
        <f t="shared" si="10"/>
        <v>270380.32385314547</v>
      </c>
      <c r="H167" s="2">
        <f t="shared" si="11"/>
        <v>2057607.3238531454</v>
      </c>
    </row>
    <row r="168" spans="1:8" x14ac:dyDescent="0.2">
      <c r="A168">
        <v>2020</v>
      </c>
      <c r="B168" s="3" t="str">
        <f t="shared" si="8"/>
        <v>5127</v>
      </c>
      <c r="C168" s="10" t="s">
        <v>175</v>
      </c>
      <c r="D168" s="11">
        <v>208099</v>
      </c>
      <c r="E168" s="11">
        <v>208099</v>
      </c>
      <c r="F168" s="10">
        <f t="shared" si="9"/>
        <v>4.2296442928885312E-4</v>
      </c>
      <c r="G168">
        <f t="shared" si="10"/>
        <v>31482.220788694282</v>
      </c>
      <c r="H168" s="2">
        <f t="shared" si="11"/>
        <v>239581.22078869428</v>
      </c>
    </row>
    <row r="169" spans="1:8" x14ac:dyDescent="0.2">
      <c r="A169">
        <v>2020</v>
      </c>
      <c r="B169" s="3" t="str">
        <f t="shared" si="8"/>
        <v>5128</v>
      </c>
      <c r="C169" s="10" t="s">
        <v>176</v>
      </c>
      <c r="D169" s="11">
        <v>352642</v>
      </c>
      <c r="E169" s="11">
        <v>352642</v>
      </c>
      <c r="F169" s="10">
        <f t="shared" si="9"/>
        <v>7.1675030765779621E-4</v>
      </c>
      <c r="G169">
        <f t="shared" si="10"/>
        <v>53349.38324243138</v>
      </c>
      <c r="H169" s="2">
        <f t="shared" si="11"/>
        <v>405991.38324243139</v>
      </c>
    </row>
    <row r="170" spans="1:8" x14ac:dyDescent="0.2">
      <c r="A170">
        <v>2020</v>
      </c>
      <c r="B170" s="3" t="str">
        <f t="shared" si="8"/>
        <v>5129</v>
      </c>
      <c r="C170" s="10" t="s">
        <v>177</v>
      </c>
      <c r="D170" s="11">
        <v>836842</v>
      </c>
      <c r="E170" s="11">
        <v>836842</v>
      </c>
      <c r="F170" s="10">
        <f t="shared" si="9"/>
        <v>1.7008942807747388E-3</v>
      </c>
      <c r="G170">
        <f t="shared" si="10"/>
        <v>126601.49548653525</v>
      </c>
      <c r="H170" s="2">
        <f t="shared" si="11"/>
        <v>963443.49548653525</v>
      </c>
    </row>
    <row r="171" spans="1:8" x14ac:dyDescent="0.2">
      <c r="A171">
        <v>2020</v>
      </c>
      <c r="B171" s="3" t="str">
        <f t="shared" si="8"/>
        <v>5130</v>
      </c>
      <c r="C171" s="10" t="s">
        <v>178</v>
      </c>
      <c r="D171" s="11">
        <v>673996</v>
      </c>
      <c r="E171" s="11">
        <v>673996</v>
      </c>
      <c r="F171" s="10">
        <f t="shared" si="9"/>
        <v>1.3699072724182712E-3</v>
      </c>
      <c r="G171">
        <f t="shared" si="10"/>
        <v>101965.36688161302</v>
      </c>
      <c r="H171" s="2">
        <f t="shared" si="11"/>
        <v>775961.36688161304</v>
      </c>
    </row>
    <row r="172" spans="1:8" x14ac:dyDescent="0.2">
      <c r="A172">
        <v>2020</v>
      </c>
      <c r="B172" s="3" t="str">
        <f t="shared" si="8"/>
        <v>5131</v>
      </c>
      <c r="C172" s="10" t="s">
        <v>179</v>
      </c>
      <c r="D172" s="11">
        <v>916673</v>
      </c>
      <c r="E172" s="11">
        <v>916673</v>
      </c>
      <c r="F172" s="10">
        <f t="shared" si="9"/>
        <v>1.8631520203821299E-3</v>
      </c>
      <c r="G172">
        <f t="shared" si="10"/>
        <v>138678.71434766508</v>
      </c>
      <c r="H172" s="2">
        <f t="shared" si="11"/>
        <v>1055351.7143476652</v>
      </c>
    </row>
    <row r="173" spans="1:8" x14ac:dyDescent="0.2">
      <c r="A173">
        <v>2020</v>
      </c>
      <c r="B173" s="3" t="str">
        <f t="shared" si="8"/>
        <v>5132</v>
      </c>
      <c r="C173" s="10" t="s">
        <v>180</v>
      </c>
      <c r="D173" s="11">
        <v>3470609</v>
      </c>
      <c r="E173" s="11">
        <v>3470609</v>
      </c>
      <c r="F173" s="10">
        <f t="shared" si="9"/>
        <v>7.0540663576939685E-3</v>
      </c>
      <c r="G173">
        <f t="shared" si="10"/>
        <v>525050.47505864745</v>
      </c>
      <c r="H173" s="2">
        <f t="shared" si="11"/>
        <v>3995659.4750586473</v>
      </c>
    </row>
    <row r="174" spans="1:8" x14ac:dyDescent="0.2">
      <c r="A174">
        <v>2020</v>
      </c>
      <c r="B174" s="3" t="str">
        <f t="shared" si="8"/>
        <v>5133</v>
      </c>
      <c r="C174" s="10" t="s">
        <v>361</v>
      </c>
      <c r="D174" s="11">
        <v>300645</v>
      </c>
      <c r="E174" s="11">
        <v>300645</v>
      </c>
      <c r="F174" s="10">
        <f t="shared" si="9"/>
        <v>6.1106560263887494E-4</v>
      </c>
      <c r="G174">
        <f t="shared" si="10"/>
        <v>45483.026199150365</v>
      </c>
      <c r="H174" s="2">
        <f t="shared" si="11"/>
        <v>346128.02619915036</v>
      </c>
    </row>
    <row r="175" spans="1:8" x14ac:dyDescent="0.2">
      <c r="A175">
        <v>2020</v>
      </c>
      <c r="B175" s="3" t="str">
        <f t="shared" si="8"/>
        <v>5134</v>
      </c>
      <c r="C175" s="10" t="s">
        <v>182</v>
      </c>
      <c r="D175" s="11">
        <v>309596</v>
      </c>
      <c r="E175" s="11">
        <v>309596</v>
      </c>
      <c r="F175" s="10">
        <f t="shared" si="9"/>
        <v>6.2925864828813091E-4</v>
      </c>
      <c r="G175">
        <f t="shared" si="10"/>
        <v>46837.176667339074</v>
      </c>
      <c r="H175" s="2">
        <f t="shared" si="11"/>
        <v>356433.17666733905</v>
      </c>
    </row>
    <row r="176" spans="1:8" x14ac:dyDescent="0.2">
      <c r="A176">
        <v>2020</v>
      </c>
      <c r="B176" s="3" t="str">
        <f t="shared" si="8"/>
        <v>5135</v>
      </c>
      <c r="C176" s="10" t="s">
        <v>183</v>
      </c>
      <c r="D176" s="11">
        <v>1647199</v>
      </c>
      <c r="E176" s="11">
        <v>1647199</v>
      </c>
      <c r="F176" s="10">
        <f t="shared" si="9"/>
        <v>3.3479573902814022E-3</v>
      </c>
      <c r="G176">
        <f t="shared" si="10"/>
        <v>249196.21238408849</v>
      </c>
      <c r="H176" s="2">
        <f t="shared" si="11"/>
        <v>1896395.2123840884</v>
      </c>
    </row>
    <row r="177" spans="1:8" x14ac:dyDescent="0.2">
      <c r="A177">
        <v>2020</v>
      </c>
      <c r="B177" s="3" t="str">
        <f t="shared" si="8"/>
        <v>5137</v>
      </c>
      <c r="C177" s="10" t="s">
        <v>184</v>
      </c>
      <c r="D177" s="11">
        <v>251537</v>
      </c>
      <c r="E177" s="11">
        <v>251537</v>
      </c>
      <c r="F177" s="10">
        <f t="shared" si="9"/>
        <v>5.1125283470862537E-4</v>
      </c>
      <c r="G177">
        <f t="shared" si="10"/>
        <v>38053.731015169666</v>
      </c>
      <c r="H177" s="2">
        <f t="shared" si="11"/>
        <v>289590.73101516964</v>
      </c>
    </row>
    <row r="178" spans="1:8" x14ac:dyDescent="0.2">
      <c r="A178">
        <v>2020</v>
      </c>
      <c r="B178" s="3" t="str">
        <f t="shared" si="8"/>
        <v>5138</v>
      </c>
      <c r="C178" s="10" t="s">
        <v>185</v>
      </c>
      <c r="D178" s="11">
        <v>260640</v>
      </c>
      <c r="E178" s="11">
        <v>260640</v>
      </c>
      <c r="F178" s="10">
        <f t="shared" si="9"/>
        <v>5.2975482270384126E-4</v>
      </c>
      <c r="G178">
        <f t="shared" si="10"/>
        <v>39430.876776751822</v>
      </c>
      <c r="H178" s="2">
        <f t="shared" si="11"/>
        <v>300070.87677675183</v>
      </c>
    </row>
    <row r="179" spans="1:8" x14ac:dyDescent="0.2">
      <c r="A179">
        <v>2020</v>
      </c>
      <c r="B179" s="3" t="str">
        <f t="shared" si="8"/>
        <v>5140</v>
      </c>
      <c r="C179" s="10" t="s">
        <v>186</v>
      </c>
      <c r="D179" s="11">
        <v>326218</v>
      </c>
      <c r="E179" s="11">
        <v>326218</v>
      </c>
      <c r="F179" s="10">
        <f t="shared" si="9"/>
        <v>6.6304311983119129E-4</v>
      </c>
      <c r="G179">
        <f t="shared" si="10"/>
        <v>49351.83302777174</v>
      </c>
      <c r="H179" s="2">
        <f t="shared" si="11"/>
        <v>375569.83302777173</v>
      </c>
    </row>
    <row r="180" spans="1:8" x14ac:dyDescent="0.2">
      <c r="A180">
        <v>2020</v>
      </c>
      <c r="B180" s="3" t="str">
        <f t="shared" si="8"/>
        <v>5141</v>
      </c>
      <c r="C180" s="10" t="s">
        <v>187</v>
      </c>
      <c r="D180" s="11">
        <v>412710</v>
      </c>
      <c r="E180" s="11">
        <v>412710</v>
      </c>
      <c r="F180" s="10">
        <f t="shared" si="9"/>
        <v>8.3883944474410046E-4</v>
      </c>
      <c r="G180">
        <f t="shared" si="10"/>
        <v>62436.760107939088</v>
      </c>
      <c r="H180" s="2">
        <f t="shared" si="11"/>
        <v>475146.76010793907</v>
      </c>
    </row>
    <row r="181" spans="1:8" x14ac:dyDescent="0.2">
      <c r="A181">
        <v>2020</v>
      </c>
      <c r="B181" s="3" t="str">
        <f t="shared" si="8"/>
        <v>5142</v>
      </c>
      <c r="C181" s="10" t="s">
        <v>188</v>
      </c>
      <c r="D181" s="11">
        <v>103293</v>
      </c>
      <c r="E181" s="11">
        <v>103293</v>
      </c>
      <c r="F181" s="10">
        <f t="shared" si="9"/>
        <v>2.0994461671864595E-4</v>
      </c>
      <c r="G181">
        <f t="shared" si="10"/>
        <v>15626.663424267288</v>
      </c>
      <c r="H181" s="2">
        <f t="shared" si="11"/>
        <v>118919.66342426729</v>
      </c>
    </row>
    <row r="182" spans="1:8" x14ac:dyDescent="0.2">
      <c r="A182">
        <v>2020</v>
      </c>
      <c r="B182" s="3" t="str">
        <f t="shared" si="8"/>
        <v>5143</v>
      </c>
      <c r="C182" s="10" t="s">
        <v>189</v>
      </c>
      <c r="D182" s="11">
        <v>661303</v>
      </c>
      <c r="E182" s="11">
        <v>661303</v>
      </c>
      <c r="F182" s="10">
        <f t="shared" si="9"/>
        <v>1.3441085540151871E-3</v>
      </c>
      <c r="G182">
        <f t="shared" si="10"/>
        <v>100045.10859843582</v>
      </c>
      <c r="H182" s="2">
        <f t="shared" si="11"/>
        <v>761348.10859843576</v>
      </c>
    </row>
    <row r="183" spans="1:8" x14ac:dyDescent="0.2">
      <c r="A183">
        <v>2020</v>
      </c>
      <c r="B183" s="3" t="str">
        <f t="shared" si="8"/>
        <v>5144</v>
      </c>
      <c r="C183" s="10" t="s">
        <v>190</v>
      </c>
      <c r="D183" s="11">
        <v>272348</v>
      </c>
      <c r="E183" s="11">
        <v>272348</v>
      </c>
      <c r="F183" s="10">
        <f t="shared" si="9"/>
        <v>5.5355151340448808E-4</v>
      </c>
      <c r="G183">
        <f t="shared" si="10"/>
        <v>41202.11950734655</v>
      </c>
      <c r="H183" s="2">
        <f t="shared" si="11"/>
        <v>313550.11950734654</v>
      </c>
    </row>
    <row r="184" spans="1:8" x14ac:dyDescent="0.2">
      <c r="A184">
        <v>2020</v>
      </c>
      <c r="B184" s="3" t="str">
        <f t="shared" si="8"/>
        <v>5145</v>
      </c>
      <c r="C184" s="10" t="s">
        <v>191</v>
      </c>
      <c r="D184" s="11">
        <v>282822</v>
      </c>
      <c r="E184" s="11">
        <v>282822</v>
      </c>
      <c r="F184" s="10">
        <f t="shared" si="9"/>
        <v>5.7484008005964475E-4</v>
      </c>
      <c r="G184">
        <f t="shared" si="10"/>
        <v>42786.676763944539</v>
      </c>
      <c r="H184" s="2">
        <f t="shared" si="11"/>
        <v>325608.67676394456</v>
      </c>
    </row>
    <row r="185" spans="1:8" x14ac:dyDescent="0.2">
      <c r="A185">
        <v>2020</v>
      </c>
      <c r="B185" s="3" t="str">
        <f t="shared" si="8"/>
        <v>5147</v>
      </c>
      <c r="C185" s="10" t="s">
        <v>192</v>
      </c>
      <c r="D185" s="11">
        <v>6347531</v>
      </c>
      <c r="E185" s="11">
        <v>6347531</v>
      </c>
      <c r="F185" s="10">
        <f t="shared" si="9"/>
        <v>1.2901454724954483E-2</v>
      </c>
      <c r="G185">
        <f t="shared" si="10"/>
        <v>960285.116243141</v>
      </c>
      <c r="H185" s="2">
        <f t="shared" si="11"/>
        <v>7307816.1162431408</v>
      </c>
    </row>
    <row r="186" spans="1:8" x14ac:dyDescent="0.2">
      <c r="A186">
        <v>2020</v>
      </c>
      <c r="B186" s="3" t="str">
        <f t="shared" si="8"/>
        <v>5148</v>
      </c>
      <c r="C186" s="10" t="s">
        <v>193</v>
      </c>
      <c r="D186" s="11">
        <v>622428</v>
      </c>
      <c r="E186" s="11">
        <v>622428</v>
      </c>
      <c r="F186" s="10">
        <f t="shared" si="9"/>
        <v>1.265094516520513E-3</v>
      </c>
      <c r="G186">
        <f t="shared" si="10"/>
        <v>94163.911028238494</v>
      </c>
      <c r="H186" s="2">
        <f t="shared" si="11"/>
        <v>716591.91102823848</v>
      </c>
    </row>
    <row r="187" spans="1:8" x14ac:dyDescent="0.2">
      <c r="A187">
        <v>2020</v>
      </c>
      <c r="B187" s="3" t="str">
        <f t="shared" si="8"/>
        <v>5149</v>
      </c>
      <c r="C187" s="10" t="s">
        <v>194</v>
      </c>
      <c r="D187" s="11">
        <v>1291447</v>
      </c>
      <c r="E187" s="11">
        <v>1291447</v>
      </c>
      <c r="F187" s="10">
        <f t="shared" si="9"/>
        <v>2.6248859596240321E-3</v>
      </c>
      <c r="G187">
        <f t="shared" si="10"/>
        <v>195376.33333604131</v>
      </c>
      <c r="H187" s="2">
        <f t="shared" si="11"/>
        <v>1486823.3333360413</v>
      </c>
    </row>
    <row r="188" spans="1:8" x14ac:dyDescent="0.2">
      <c r="A188">
        <v>2020</v>
      </c>
      <c r="B188" s="3" t="str">
        <f t="shared" si="8"/>
        <v>5150</v>
      </c>
      <c r="C188" s="10" t="s">
        <v>247</v>
      </c>
      <c r="D188" s="11">
        <v>1077531</v>
      </c>
      <c r="E188" s="11">
        <v>1077531</v>
      </c>
      <c r="F188" s="10">
        <f t="shared" si="9"/>
        <v>2.1900983880559118E-3</v>
      </c>
      <c r="G188">
        <f t="shared" si="10"/>
        <v>163014.08872057308</v>
      </c>
      <c r="H188" s="2">
        <f t="shared" si="11"/>
        <v>1240545.0887205731</v>
      </c>
    </row>
    <row r="189" spans="1:8" x14ac:dyDescent="0.2">
      <c r="A189">
        <v>2020</v>
      </c>
      <c r="B189" s="3" t="str">
        <f t="shared" si="8"/>
        <v>5151</v>
      </c>
      <c r="C189" s="10" t="s">
        <v>196</v>
      </c>
      <c r="D189" s="11">
        <v>376257</v>
      </c>
      <c r="E189" s="11">
        <v>376257</v>
      </c>
      <c r="F189" s="10">
        <f t="shared" si="9"/>
        <v>7.6474815963044514E-4</v>
      </c>
      <c r="G189">
        <f t="shared" si="10"/>
        <v>56921.974383787259</v>
      </c>
      <c r="H189" s="2">
        <f t="shared" si="11"/>
        <v>433178.97438378725</v>
      </c>
    </row>
    <row r="190" spans="1:8" x14ac:dyDescent="0.2">
      <c r="A190">
        <v>2020</v>
      </c>
      <c r="B190" s="3" t="str">
        <f t="shared" si="8"/>
        <v>5152</v>
      </c>
      <c r="C190" s="10" t="s">
        <v>197</v>
      </c>
      <c r="D190" s="11">
        <v>674901</v>
      </c>
      <c r="E190" s="11">
        <v>674901</v>
      </c>
      <c r="F190" s="10">
        <f t="shared" si="9"/>
        <v>1.371746698885993E-3</v>
      </c>
      <c r="G190">
        <f t="shared" si="10"/>
        <v>102102.27964819898</v>
      </c>
      <c r="H190" s="2">
        <f t="shared" si="11"/>
        <v>777003.27964819898</v>
      </c>
    </row>
    <row r="191" spans="1:8" x14ac:dyDescent="0.2">
      <c r="A191">
        <v>2020</v>
      </c>
      <c r="B191" s="3" t="str">
        <f t="shared" si="8"/>
        <v>5153</v>
      </c>
      <c r="C191" s="10" t="s">
        <v>198</v>
      </c>
      <c r="D191" s="11">
        <v>146116</v>
      </c>
      <c r="E191" s="11">
        <v>146116</v>
      </c>
      <c r="F191" s="10">
        <f t="shared" si="9"/>
        <v>2.9698302514654111E-4</v>
      </c>
      <c r="G191">
        <f t="shared" si="10"/>
        <v>22105.13348339422</v>
      </c>
      <c r="H191" s="2">
        <f t="shared" si="11"/>
        <v>168221.13348339422</v>
      </c>
    </row>
    <row r="192" spans="1:8" x14ac:dyDescent="0.2">
      <c r="A192">
        <v>2020</v>
      </c>
      <c r="B192" s="3" t="str">
        <f t="shared" si="8"/>
        <v>5154</v>
      </c>
      <c r="C192" s="10" t="s">
        <v>199</v>
      </c>
      <c r="D192" s="11">
        <v>234556</v>
      </c>
      <c r="E192" s="11">
        <v>234556</v>
      </c>
      <c r="F192" s="10">
        <f t="shared" si="9"/>
        <v>4.7673869012477822E-4</v>
      </c>
      <c r="G192">
        <f t="shared" si="10"/>
        <v>35484.763402577504</v>
      </c>
      <c r="H192" s="2">
        <f t="shared" si="11"/>
        <v>270040.76340257749</v>
      </c>
    </row>
    <row r="193" spans="1:8" x14ac:dyDescent="0.2">
      <c r="A193">
        <v>2020</v>
      </c>
      <c r="B193" s="3" t="str">
        <f t="shared" si="8"/>
        <v>5155</v>
      </c>
      <c r="C193" s="10" t="s">
        <v>200</v>
      </c>
      <c r="D193" s="11">
        <v>286194</v>
      </c>
      <c r="E193" s="11">
        <v>286194</v>
      </c>
      <c r="F193" s="10">
        <f t="shared" si="9"/>
        <v>5.8169372210291261E-4</v>
      </c>
      <c r="G193">
        <f t="shared" si="10"/>
        <v>43296.809193699009</v>
      </c>
      <c r="H193" s="2">
        <f t="shared" si="11"/>
        <v>329490.80919369904</v>
      </c>
    </row>
    <row r="194" spans="1:8" x14ac:dyDescent="0.2">
      <c r="A194">
        <v>2020</v>
      </c>
      <c r="B194" s="3" t="str">
        <f t="shared" si="8"/>
        <v>5156</v>
      </c>
      <c r="C194" s="10" t="s">
        <v>201</v>
      </c>
      <c r="D194" s="11">
        <v>769631</v>
      </c>
      <c r="E194" s="11">
        <v>769631</v>
      </c>
      <c r="F194" s="10">
        <f t="shared" si="9"/>
        <v>1.5642868859437541E-3</v>
      </c>
      <c r="G194">
        <f t="shared" si="10"/>
        <v>116433.4911163608</v>
      </c>
      <c r="H194" s="2">
        <f t="shared" si="11"/>
        <v>886064.49111636076</v>
      </c>
    </row>
    <row r="195" spans="1:8" x14ac:dyDescent="0.2">
      <c r="A195">
        <v>2020</v>
      </c>
      <c r="B195" s="3" t="str">
        <f t="shared" ref="B195:B258" si="12">LEFT(C195,4)</f>
        <v>5157</v>
      </c>
      <c r="C195" s="10" t="s">
        <v>202</v>
      </c>
      <c r="D195" s="11">
        <v>164566</v>
      </c>
      <c r="E195" s="11">
        <v>164566</v>
      </c>
      <c r="F195" s="10">
        <f t="shared" ref="F195:F258" si="13">D195/$D$340</f>
        <v>3.3448293490285586E-4</v>
      </c>
      <c r="G195">
        <f t="shared" ref="G195:G258" si="14">F195*$D$341</f>
        <v>24896.33850384799</v>
      </c>
      <c r="H195" s="2">
        <f t="shared" ref="H195:H258" si="15">SUM(G195,D195)</f>
        <v>189462.338503848</v>
      </c>
    </row>
    <row r="196" spans="1:8" x14ac:dyDescent="0.2">
      <c r="A196">
        <v>2020</v>
      </c>
      <c r="B196" s="3" t="str">
        <f t="shared" si="12"/>
        <v>5083</v>
      </c>
      <c r="C196" s="10" t="s">
        <v>149</v>
      </c>
      <c r="D196" s="11">
        <v>339735</v>
      </c>
      <c r="E196" s="11">
        <v>339735</v>
      </c>
      <c r="F196" s="10">
        <f t="shared" si="13"/>
        <v>6.9051663095184748E-4</v>
      </c>
      <c r="G196">
        <f t="shared" si="14"/>
        <v>51396.750006713402</v>
      </c>
      <c r="H196" s="2">
        <f t="shared" si="15"/>
        <v>391131.75000671338</v>
      </c>
    </row>
    <row r="197" spans="1:8" x14ac:dyDescent="0.2">
      <c r="A197">
        <v>2020</v>
      </c>
      <c r="B197" s="3" t="str">
        <f t="shared" si="12"/>
        <v>5159</v>
      </c>
      <c r="C197" s="10" t="s">
        <v>204</v>
      </c>
      <c r="D197" s="11">
        <v>1436203</v>
      </c>
      <c r="E197" s="11">
        <v>1436203</v>
      </c>
      <c r="F197" s="10">
        <f t="shared" si="13"/>
        <v>2.9191047637804057E-3</v>
      </c>
      <c r="G197">
        <f t="shared" si="14"/>
        <v>217275.71945749421</v>
      </c>
      <c r="H197" s="2">
        <f t="shared" si="15"/>
        <v>1653478.7194574941</v>
      </c>
    </row>
    <row r="198" spans="1:8" x14ac:dyDescent="0.2">
      <c r="A198">
        <v>2020</v>
      </c>
      <c r="B198" s="3" t="str">
        <f t="shared" si="12"/>
        <v>5160</v>
      </c>
      <c r="C198" s="10" t="s">
        <v>205</v>
      </c>
      <c r="D198" s="11">
        <v>307954</v>
      </c>
      <c r="E198" s="11">
        <v>307954</v>
      </c>
      <c r="F198" s="10">
        <f t="shared" si="13"/>
        <v>6.2592125794559065E-4</v>
      </c>
      <c r="G198">
        <f t="shared" si="14"/>
        <v>46588.766984759939</v>
      </c>
      <c r="H198" s="2">
        <f t="shared" si="15"/>
        <v>354542.76698475995</v>
      </c>
    </row>
    <row r="199" spans="1:8" x14ac:dyDescent="0.2">
      <c r="A199">
        <v>2020</v>
      </c>
      <c r="B199" s="3" t="str">
        <f t="shared" si="12"/>
        <v>5161</v>
      </c>
      <c r="C199" s="10" t="s">
        <v>206</v>
      </c>
      <c r="D199" s="11">
        <v>446975</v>
      </c>
      <c r="E199" s="11">
        <v>446975</v>
      </c>
      <c r="F199" s="10">
        <f t="shared" si="13"/>
        <v>9.0848358608828063E-4</v>
      </c>
      <c r="G199">
        <f t="shared" si="14"/>
        <v>67620.534635085351</v>
      </c>
      <c r="H199" s="2">
        <f t="shared" si="15"/>
        <v>514595.53463508538</v>
      </c>
    </row>
    <row r="200" spans="1:8" x14ac:dyDescent="0.2">
      <c r="A200">
        <v>2020</v>
      </c>
      <c r="B200" s="3" t="str">
        <f t="shared" si="12"/>
        <v>5162</v>
      </c>
      <c r="C200" s="10" t="s">
        <v>207</v>
      </c>
      <c r="D200" s="11">
        <v>449012</v>
      </c>
      <c r="E200" s="11">
        <v>449012</v>
      </c>
      <c r="F200" s="10">
        <f t="shared" si="13"/>
        <v>9.1262382002722982E-4</v>
      </c>
      <c r="G200">
        <f t="shared" si="14"/>
        <v>67928.701823522439</v>
      </c>
      <c r="H200" s="2">
        <f t="shared" si="15"/>
        <v>516940.70182352245</v>
      </c>
    </row>
    <row r="201" spans="1:8" x14ac:dyDescent="0.2">
      <c r="A201">
        <v>2020</v>
      </c>
      <c r="B201" s="3" t="str">
        <f t="shared" si="12"/>
        <v>5163</v>
      </c>
      <c r="C201" s="10" t="s">
        <v>208</v>
      </c>
      <c r="D201" s="11">
        <v>314074</v>
      </c>
      <c r="E201" s="11">
        <v>314074</v>
      </c>
      <c r="F201" s="10">
        <f t="shared" si="13"/>
        <v>6.3836025240134378E-4</v>
      </c>
      <c r="G201">
        <f t="shared" si="14"/>
        <v>47514.630113495819</v>
      </c>
      <c r="H201" s="2">
        <f t="shared" si="15"/>
        <v>361588.6301134958</v>
      </c>
    </row>
    <row r="202" spans="1:8" x14ac:dyDescent="0.2">
      <c r="A202">
        <v>2020</v>
      </c>
      <c r="B202" s="3" t="str">
        <f t="shared" si="12"/>
        <v>5164</v>
      </c>
      <c r="C202" s="10" t="s">
        <v>209</v>
      </c>
      <c r="D202" s="11">
        <v>378574</v>
      </c>
      <c r="E202" s="11">
        <v>378574</v>
      </c>
      <c r="F202" s="10">
        <f t="shared" si="13"/>
        <v>7.6945749789089938E-4</v>
      </c>
      <c r="G202">
        <f t="shared" si="14"/>
        <v>57272.501323212266</v>
      </c>
      <c r="H202" s="2">
        <f t="shared" si="15"/>
        <v>435846.50132321229</v>
      </c>
    </row>
    <row r="203" spans="1:8" x14ac:dyDescent="0.2">
      <c r="A203">
        <v>2020</v>
      </c>
      <c r="B203" s="3" t="str">
        <f t="shared" si="12"/>
        <v>5166</v>
      </c>
      <c r="C203" s="10" t="s">
        <v>210</v>
      </c>
      <c r="D203" s="11">
        <v>264567</v>
      </c>
      <c r="E203" s="11">
        <v>264567</v>
      </c>
      <c r="F203" s="10">
        <f t="shared" si="13"/>
        <v>5.3773651081294959E-4</v>
      </c>
      <c r="G203">
        <f t="shared" si="14"/>
        <v>40024.972284357347</v>
      </c>
      <c r="H203" s="2">
        <f t="shared" si="15"/>
        <v>304591.97228435735</v>
      </c>
    </row>
    <row r="204" spans="1:8" x14ac:dyDescent="0.2">
      <c r="A204">
        <v>2020</v>
      </c>
      <c r="B204" s="3" t="str">
        <f t="shared" si="12"/>
        <v>5167</v>
      </c>
      <c r="C204" s="10" t="s">
        <v>211</v>
      </c>
      <c r="D204" s="11">
        <v>633937</v>
      </c>
      <c r="E204" s="11">
        <v>633937</v>
      </c>
      <c r="F204" s="10">
        <f t="shared" si="13"/>
        <v>1.2884867366498045E-3</v>
      </c>
      <c r="G204">
        <f t="shared" si="14"/>
        <v>95905.048078666819</v>
      </c>
      <c r="H204" s="2">
        <f t="shared" si="15"/>
        <v>729842.04807866679</v>
      </c>
    </row>
    <row r="205" spans="1:8" x14ac:dyDescent="0.2">
      <c r="A205">
        <v>2020</v>
      </c>
      <c r="B205" s="3" t="str">
        <f t="shared" si="12"/>
        <v>5168</v>
      </c>
      <c r="C205" s="10" t="s">
        <v>212</v>
      </c>
      <c r="D205" s="11">
        <v>673880</v>
      </c>
      <c r="E205" s="11">
        <v>673880</v>
      </c>
      <c r="F205" s="10">
        <f t="shared" si="13"/>
        <v>1.3696715006279335E-3</v>
      </c>
      <c r="G205">
        <f t="shared" si="14"/>
        <v>101947.81784191803</v>
      </c>
      <c r="H205" s="2">
        <f t="shared" si="15"/>
        <v>775827.81784191797</v>
      </c>
    </row>
    <row r="206" spans="1:8" x14ac:dyDescent="0.2">
      <c r="A206">
        <v>2020</v>
      </c>
      <c r="B206" s="3" t="str">
        <f t="shared" si="12"/>
        <v>5171</v>
      </c>
      <c r="C206" s="10" t="s">
        <v>213</v>
      </c>
      <c r="D206" s="11">
        <v>290349</v>
      </c>
      <c r="E206" s="11">
        <v>290349</v>
      </c>
      <c r="F206" s="10">
        <f t="shared" si="13"/>
        <v>5.9013882373096075E-4</v>
      </c>
      <c r="G206">
        <f t="shared" si="14"/>
        <v>43925.397641394702</v>
      </c>
      <c r="H206" s="2">
        <f t="shared" si="15"/>
        <v>334274.39764139469</v>
      </c>
    </row>
    <row r="207" spans="1:8" x14ac:dyDescent="0.2">
      <c r="A207">
        <v>2020</v>
      </c>
      <c r="B207" s="3" t="str">
        <f t="shared" si="12"/>
        <v>5172</v>
      </c>
      <c r="C207" s="10" t="s">
        <v>214</v>
      </c>
      <c r="D207" s="11">
        <v>780787</v>
      </c>
      <c r="E207" s="11">
        <v>780787</v>
      </c>
      <c r="F207" s="10">
        <f t="shared" si="13"/>
        <v>1.5869616281248625E-3</v>
      </c>
      <c r="G207">
        <f t="shared" si="14"/>
        <v>118121.22462357937</v>
      </c>
      <c r="H207" s="2">
        <f t="shared" si="15"/>
        <v>898908.22462357942</v>
      </c>
    </row>
    <row r="208" spans="1:8" x14ac:dyDescent="0.2">
      <c r="A208">
        <v>2020</v>
      </c>
      <c r="B208" s="3" t="str">
        <f t="shared" si="12"/>
        <v>5173</v>
      </c>
      <c r="C208" s="10" t="s">
        <v>215</v>
      </c>
      <c r="D208" s="11">
        <v>437077</v>
      </c>
      <c r="E208" s="11">
        <v>437077</v>
      </c>
      <c r="F208" s="10">
        <f t="shared" si="13"/>
        <v>8.8836574832307723E-4</v>
      </c>
      <c r="G208">
        <f t="shared" si="14"/>
        <v>66123.117437662513</v>
      </c>
      <c r="H208" s="2">
        <f t="shared" si="15"/>
        <v>503200.1174376625</v>
      </c>
    </row>
    <row r="209" spans="1:8" x14ac:dyDescent="0.2">
      <c r="A209">
        <v>2020</v>
      </c>
      <c r="B209" s="3" t="str">
        <f t="shared" si="12"/>
        <v>5174</v>
      </c>
      <c r="C209" s="10" t="s">
        <v>216</v>
      </c>
      <c r="D209" s="11">
        <v>666460</v>
      </c>
      <c r="E209" s="11">
        <v>666460</v>
      </c>
      <c r="F209" s="10">
        <f t="shared" si="13"/>
        <v>1.3545902361080497E-3</v>
      </c>
      <c r="G209">
        <f t="shared" si="14"/>
        <v>100825.28444073825</v>
      </c>
      <c r="H209" s="2">
        <f t="shared" si="15"/>
        <v>767285.28444073827</v>
      </c>
    </row>
    <row r="210" spans="1:8" x14ac:dyDescent="0.2">
      <c r="A210">
        <v>2020</v>
      </c>
      <c r="B210" s="3" t="str">
        <f t="shared" si="12"/>
        <v>5175</v>
      </c>
      <c r="C210" s="10" t="s">
        <v>217</v>
      </c>
      <c r="D210" s="11">
        <v>321737</v>
      </c>
      <c r="E210" s="11">
        <v>321737</v>
      </c>
      <c r="F210" s="10">
        <f t="shared" si="13"/>
        <v>6.5393541817167656E-4</v>
      </c>
      <c r="G210">
        <f t="shared" si="14"/>
        <v>48673.925727140115</v>
      </c>
      <c r="H210" s="2">
        <f t="shared" si="15"/>
        <v>370410.9257271401</v>
      </c>
    </row>
    <row r="211" spans="1:8" x14ac:dyDescent="0.2">
      <c r="A211">
        <v>2020</v>
      </c>
      <c r="B211" s="3" t="str">
        <f t="shared" si="12"/>
        <v>5176</v>
      </c>
      <c r="C211" s="10" t="s">
        <v>218</v>
      </c>
      <c r="D211" s="11">
        <v>2567588</v>
      </c>
      <c r="E211" s="11">
        <v>2567588</v>
      </c>
      <c r="F211" s="10">
        <f t="shared" si="13"/>
        <v>5.218662238016078E-3</v>
      </c>
      <c r="G211">
        <f t="shared" si="14"/>
        <v>388437.10114129324</v>
      </c>
      <c r="H211" s="2">
        <f t="shared" si="15"/>
        <v>2956025.1011412931</v>
      </c>
    </row>
    <row r="212" spans="1:8" x14ac:dyDescent="0.2">
      <c r="A212">
        <v>2020</v>
      </c>
      <c r="B212" s="3" t="str">
        <f t="shared" si="12"/>
        <v>5185</v>
      </c>
      <c r="C212" s="10" t="s">
        <v>219</v>
      </c>
      <c r="D212" s="11">
        <v>23087976</v>
      </c>
      <c r="E212" s="11">
        <v>23087976</v>
      </c>
      <c r="F212" s="10">
        <f t="shared" si="13"/>
        <v>4.6926667558588639E-2</v>
      </c>
      <c r="G212">
        <f t="shared" si="14"/>
        <v>3492860.4077678155</v>
      </c>
      <c r="H212" s="2">
        <f t="shared" si="15"/>
        <v>26580836.407767817</v>
      </c>
    </row>
    <row r="213" spans="1:8" x14ac:dyDescent="0.2">
      <c r="A213">
        <v>2020</v>
      </c>
      <c r="B213" s="3" t="str">
        <f t="shared" si="12"/>
        <v>5186</v>
      </c>
      <c r="C213" s="10" t="s">
        <v>220</v>
      </c>
      <c r="D213" s="11">
        <v>429128</v>
      </c>
      <c r="E213" s="11">
        <v>429128</v>
      </c>
      <c r="F213" s="10">
        <f t="shared" si="13"/>
        <v>8.7220928313863568E-4</v>
      </c>
      <c r="G213">
        <f t="shared" si="14"/>
        <v>64920.554364080555</v>
      </c>
      <c r="H213" s="2">
        <f t="shared" si="15"/>
        <v>494048.55436408054</v>
      </c>
    </row>
    <row r="214" spans="1:8" x14ac:dyDescent="0.2">
      <c r="A214">
        <v>2020</v>
      </c>
      <c r="B214" s="3" t="str">
        <f t="shared" si="12"/>
        <v>5187</v>
      </c>
      <c r="C214" s="10" t="s">
        <v>221</v>
      </c>
      <c r="D214" s="11">
        <v>547078</v>
      </c>
      <c r="E214" s="11">
        <v>547078</v>
      </c>
      <c r="F214" s="10">
        <f t="shared" si="13"/>
        <v>1.1119444785726369E-3</v>
      </c>
      <c r="G214">
        <f t="shared" si="14"/>
        <v>82764.599467740307</v>
      </c>
      <c r="H214" s="2">
        <f t="shared" si="15"/>
        <v>629842.59946774028</v>
      </c>
    </row>
    <row r="215" spans="1:8" x14ac:dyDescent="0.2">
      <c r="A215">
        <v>2020</v>
      </c>
      <c r="B215" s="3" t="str">
        <f t="shared" si="12"/>
        <v>5188</v>
      </c>
      <c r="C215" s="10" t="s">
        <v>222</v>
      </c>
      <c r="D215" s="11">
        <v>310583</v>
      </c>
      <c r="E215" s="11">
        <v>310583</v>
      </c>
      <c r="F215" s="10">
        <f t="shared" si="13"/>
        <v>6.3126474102143625E-4</v>
      </c>
      <c r="G215">
        <f t="shared" si="14"/>
        <v>46986.494789571479</v>
      </c>
      <c r="H215" s="2">
        <f t="shared" si="15"/>
        <v>357569.4947895715</v>
      </c>
    </row>
    <row r="216" spans="1:8" x14ac:dyDescent="0.2">
      <c r="A216">
        <v>2020</v>
      </c>
      <c r="B216" s="3" t="str">
        <f t="shared" si="12"/>
        <v>5189</v>
      </c>
      <c r="C216" s="10" t="s">
        <v>223</v>
      </c>
      <c r="D216" s="11">
        <v>104234</v>
      </c>
      <c r="E216" s="11">
        <v>104234</v>
      </c>
      <c r="F216" s="10">
        <f t="shared" si="13"/>
        <v>2.1185721374198968E-4</v>
      </c>
      <c r="G216">
        <f t="shared" si="14"/>
        <v>15769.022444551678</v>
      </c>
      <c r="H216" s="2">
        <f t="shared" si="15"/>
        <v>120003.02244455168</v>
      </c>
    </row>
    <row r="217" spans="1:8" x14ac:dyDescent="0.2">
      <c r="A217">
        <v>2020</v>
      </c>
      <c r="B217" s="3" t="str">
        <f t="shared" si="12"/>
        <v>5190</v>
      </c>
      <c r="C217" s="10" t="s">
        <v>224</v>
      </c>
      <c r="D217" s="11">
        <v>326603</v>
      </c>
      <c r="E217" s="11">
        <v>326603</v>
      </c>
      <c r="F217" s="10">
        <f t="shared" si="13"/>
        <v>6.6382563827326079E-4</v>
      </c>
      <c r="G217">
        <f t="shared" si="14"/>
        <v>49410.077685380129</v>
      </c>
      <c r="H217" s="2">
        <f t="shared" si="15"/>
        <v>376013.07768538012</v>
      </c>
    </row>
    <row r="218" spans="1:8" x14ac:dyDescent="0.2">
      <c r="A218">
        <v>2020</v>
      </c>
      <c r="B218" s="3" t="str">
        <f t="shared" si="12"/>
        <v>5191</v>
      </c>
      <c r="C218" s="10" t="s">
        <v>225</v>
      </c>
      <c r="D218" s="11">
        <v>1072505</v>
      </c>
      <c r="E218" s="11">
        <v>1072505</v>
      </c>
      <c r="F218" s="10">
        <f t="shared" si="13"/>
        <v>2.1798829654848962E-3</v>
      </c>
      <c r="G218">
        <f t="shared" si="14"/>
        <v>162253.73119033998</v>
      </c>
      <c r="H218" s="2">
        <f t="shared" si="15"/>
        <v>1234758.7311903399</v>
      </c>
    </row>
    <row r="219" spans="1:8" x14ac:dyDescent="0.2">
      <c r="A219">
        <v>2020</v>
      </c>
      <c r="B219" s="3" t="str">
        <f t="shared" si="12"/>
        <v>5192</v>
      </c>
      <c r="C219" s="10" t="s">
        <v>226</v>
      </c>
      <c r="D219" s="11">
        <v>359967</v>
      </c>
      <c r="E219" s="11">
        <v>359967</v>
      </c>
      <c r="F219" s="10">
        <f t="shared" si="13"/>
        <v>7.3163848321145507E-4</v>
      </c>
      <c r="G219">
        <f t="shared" si="14"/>
        <v>54457.54458524027</v>
      </c>
      <c r="H219" s="2">
        <f t="shared" si="15"/>
        <v>414424.54458524025</v>
      </c>
    </row>
    <row r="220" spans="1:8" x14ac:dyDescent="0.2">
      <c r="A220">
        <v>2020</v>
      </c>
      <c r="B220" s="3" t="str">
        <f t="shared" si="12"/>
        <v>5193</v>
      </c>
      <c r="C220" s="10" t="s">
        <v>227</v>
      </c>
      <c r="D220" s="11">
        <v>1780514</v>
      </c>
      <c r="E220" s="11">
        <v>1780514</v>
      </c>
      <c r="F220" s="10">
        <f t="shared" si="13"/>
        <v>3.618922185357993E-3</v>
      </c>
      <c r="G220">
        <f t="shared" si="14"/>
        <v>269364.74882321013</v>
      </c>
      <c r="H220" s="2">
        <f t="shared" si="15"/>
        <v>2049878.7488232101</v>
      </c>
    </row>
    <row r="221" spans="1:8" x14ac:dyDescent="0.2">
      <c r="A221">
        <v>2020</v>
      </c>
      <c r="B221" s="3" t="str">
        <f t="shared" si="12"/>
        <v>5195</v>
      </c>
      <c r="C221" s="10" t="s">
        <v>228</v>
      </c>
      <c r="D221" s="11">
        <v>772310</v>
      </c>
      <c r="E221" s="11">
        <v>772310</v>
      </c>
      <c r="F221" s="10">
        <f t="shared" si="13"/>
        <v>1.5697319947912971E-3</v>
      </c>
      <c r="G221">
        <f t="shared" si="14"/>
        <v>116838.78316242019</v>
      </c>
      <c r="H221" s="2">
        <f t="shared" si="15"/>
        <v>889148.78316242015</v>
      </c>
    </row>
    <row r="222" spans="1:8" x14ac:dyDescent="0.2">
      <c r="A222">
        <v>2020</v>
      </c>
      <c r="B222" s="3" t="str">
        <f t="shared" si="12"/>
        <v>5196</v>
      </c>
      <c r="C222" s="10" t="s">
        <v>229</v>
      </c>
      <c r="D222" s="11">
        <v>592698</v>
      </c>
      <c r="E222" s="11">
        <v>592698</v>
      </c>
      <c r="F222" s="10">
        <f t="shared" si="13"/>
        <v>1.2046678326692807E-3</v>
      </c>
      <c r="G222">
        <f t="shared" si="14"/>
        <v>89666.213182271531</v>
      </c>
      <c r="H222" s="2">
        <f t="shared" si="15"/>
        <v>682364.21318227157</v>
      </c>
    </row>
    <row r="223" spans="1:8" x14ac:dyDescent="0.2">
      <c r="A223">
        <v>2020</v>
      </c>
      <c r="B223" s="3" t="str">
        <f t="shared" si="12"/>
        <v>5197</v>
      </c>
      <c r="C223" s="10" t="s">
        <v>230</v>
      </c>
      <c r="D223" s="11">
        <v>308201</v>
      </c>
      <c r="E223" s="11">
        <v>308201</v>
      </c>
      <c r="F223" s="10">
        <f t="shared" si="13"/>
        <v>6.2642328925777548E-4</v>
      </c>
      <c r="G223">
        <f t="shared" si="14"/>
        <v>46626.134336524279</v>
      </c>
      <c r="H223" s="2">
        <f t="shared" si="15"/>
        <v>354827.13433652429</v>
      </c>
    </row>
    <row r="224" spans="1:8" x14ac:dyDescent="0.2">
      <c r="A224">
        <v>2020</v>
      </c>
      <c r="B224" s="3" t="str">
        <f t="shared" si="12"/>
        <v>5198</v>
      </c>
      <c r="C224" s="10" t="s">
        <v>231</v>
      </c>
      <c r="D224" s="11">
        <v>1529227</v>
      </c>
      <c r="E224" s="11">
        <v>1529227</v>
      </c>
      <c r="F224" s="10">
        <f t="shared" si="13"/>
        <v>3.1081774795078542E-3</v>
      </c>
      <c r="G224">
        <f t="shared" si="14"/>
        <v>231348.83901427969</v>
      </c>
      <c r="H224" s="2">
        <f t="shared" si="15"/>
        <v>1760575.8390142797</v>
      </c>
    </row>
    <row r="225" spans="1:8" x14ac:dyDescent="0.2">
      <c r="A225">
        <v>2020</v>
      </c>
      <c r="B225" s="3" t="str">
        <f t="shared" si="12"/>
        <v>5199</v>
      </c>
      <c r="C225" s="10" t="s">
        <v>232</v>
      </c>
      <c r="D225" s="11">
        <v>453970</v>
      </c>
      <c r="E225" s="11">
        <v>453970</v>
      </c>
      <c r="F225" s="10">
        <f t="shared" si="13"/>
        <v>9.2270103154873709E-4</v>
      </c>
      <c r="G225">
        <f t="shared" si="14"/>
        <v>68678.771985658474</v>
      </c>
      <c r="H225" s="2">
        <f t="shared" si="15"/>
        <v>522648.77198565844</v>
      </c>
    </row>
    <row r="226" spans="1:8" x14ac:dyDescent="0.2">
      <c r="A226">
        <v>2020</v>
      </c>
      <c r="B226" s="3" t="str">
        <f t="shared" si="12"/>
        <v>5200</v>
      </c>
      <c r="C226" s="10" t="s">
        <v>233</v>
      </c>
      <c r="D226" s="11">
        <v>1096321</v>
      </c>
      <c r="E226" s="11">
        <v>1096321</v>
      </c>
      <c r="F226" s="10">
        <f t="shared" si="13"/>
        <v>2.2282893530597681E-3</v>
      </c>
      <c r="G226">
        <f t="shared" si="14"/>
        <v>165856.73058151218</v>
      </c>
      <c r="H226" s="2">
        <f t="shared" si="15"/>
        <v>1262177.7305815122</v>
      </c>
    </row>
    <row r="227" spans="1:8" x14ac:dyDescent="0.2">
      <c r="A227">
        <v>2020</v>
      </c>
      <c r="B227" s="3" t="str">
        <f t="shared" si="12"/>
        <v>5201</v>
      </c>
      <c r="C227" s="10" t="s">
        <v>234</v>
      </c>
      <c r="D227" s="11">
        <v>239196</v>
      </c>
      <c r="E227" s="11">
        <v>239196</v>
      </c>
      <c r="F227" s="10">
        <f t="shared" si="13"/>
        <v>4.8616956173829043E-4</v>
      </c>
      <c r="G227">
        <f t="shared" si="14"/>
        <v>36186.724990377261</v>
      </c>
      <c r="H227" s="2">
        <f t="shared" si="15"/>
        <v>275382.72499037726</v>
      </c>
    </row>
    <row r="228" spans="1:8" x14ac:dyDescent="0.2">
      <c r="A228">
        <v>2020</v>
      </c>
      <c r="B228" s="3" t="str">
        <f t="shared" si="12"/>
        <v>5202</v>
      </c>
      <c r="C228" s="10" t="s">
        <v>235</v>
      </c>
      <c r="D228" s="11">
        <v>285399</v>
      </c>
      <c r="E228" s="11">
        <v>285399</v>
      </c>
      <c r="F228" s="10">
        <f t="shared" si="13"/>
        <v>5.800778723329251E-4</v>
      </c>
      <c r="G228">
        <f t="shared" si="14"/>
        <v>43176.537757858321</v>
      </c>
      <c r="H228" s="2">
        <f t="shared" si="15"/>
        <v>328575.53775785834</v>
      </c>
    </row>
    <row r="229" spans="1:8" x14ac:dyDescent="0.2">
      <c r="A229">
        <v>2020</v>
      </c>
      <c r="B229" s="3" t="str">
        <f t="shared" si="12"/>
        <v>5203</v>
      </c>
      <c r="C229" s="10" t="s">
        <v>236</v>
      </c>
      <c r="D229" s="11">
        <v>799143</v>
      </c>
      <c r="E229" s="11">
        <v>799143</v>
      </c>
      <c r="F229" s="10">
        <f t="shared" si="13"/>
        <v>1.6242704814303861E-3</v>
      </c>
      <c r="G229">
        <f t="shared" si="14"/>
        <v>120898.20887048719</v>
      </c>
      <c r="H229" s="2">
        <f t="shared" si="15"/>
        <v>920041.20887048717</v>
      </c>
    </row>
    <row r="230" spans="1:8" x14ac:dyDescent="0.2">
      <c r="A230">
        <v>2020</v>
      </c>
      <c r="B230" s="3" t="str">
        <f t="shared" si="12"/>
        <v>5204</v>
      </c>
      <c r="C230" s="10" t="s">
        <v>237</v>
      </c>
      <c r="D230" s="11">
        <v>1171279</v>
      </c>
      <c r="E230" s="11">
        <v>1171279</v>
      </c>
      <c r="F230" s="10">
        <f t="shared" si="13"/>
        <v>2.3806426449575376E-3</v>
      </c>
      <c r="G230">
        <f t="shared" si="14"/>
        <v>177196.73849062729</v>
      </c>
      <c r="H230" s="2">
        <f t="shared" si="15"/>
        <v>1348475.7384906274</v>
      </c>
    </row>
    <row r="231" spans="1:8" x14ac:dyDescent="0.2">
      <c r="A231">
        <v>2020</v>
      </c>
      <c r="B231" s="3" t="str">
        <f t="shared" si="12"/>
        <v>5205</v>
      </c>
      <c r="C231" s="10" t="s">
        <v>238</v>
      </c>
      <c r="D231" s="11">
        <v>508692</v>
      </c>
      <c r="E231" s="11">
        <v>508692</v>
      </c>
      <c r="F231" s="10">
        <f t="shared" si="13"/>
        <v>1.0339243411251629E-3</v>
      </c>
      <c r="G231">
        <f t="shared" si="14"/>
        <v>76957.380176946899</v>
      </c>
      <c r="H231" s="2">
        <f t="shared" si="15"/>
        <v>585649.38017694687</v>
      </c>
    </row>
    <row r="232" spans="1:8" x14ac:dyDescent="0.2">
      <c r="A232">
        <v>2020</v>
      </c>
      <c r="B232" s="3" t="str">
        <f t="shared" si="12"/>
        <v>5206</v>
      </c>
      <c r="C232" s="10" t="s">
        <v>239</v>
      </c>
      <c r="D232" s="11">
        <v>563888</v>
      </c>
      <c r="E232" s="11">
        <v>563888</v>
      </c>
      <c r="F232" s="10">
        <f t="shared" si="13"/>
        <v>1.1461110630172793E-3</v>
      </c>
      <c r="G232">
        <f t="shared" si="14"/>
        <v>85307.697375264863</v>
      </c>
      <c r="H232" s="2">
        <f t="shared" si="15"/>
        <v>649195.69737526483</v>
      </c>
    </row>
    <row r="233" spans="1:8" x14ac:dyDescent="0.2">
      <c r="A233">
        <v>2020</v>
      </c>
      <c r="B233" s="3" t="str">
        <f t="shared" si="12"/>
        <v>5207</v>
      </c>
      <c r="C233" s="10" t="s">
        <v>240</v>
      </c>
      <c r="D233" s="11">
        <v>1186270</v>
      </c>
      <c r="E233" s="11">
        <v>1186270</v>
      </c>
      <c r="F233" s="10">
        <f t="shared" si="13"/>
        <v>2.4111120838278309E-3</v>
      </c>
      <c r="G233">
        <f t="shared" si="14"/>
        <v>179464.64930155536</v>
      </c>
      <c r="H233" s="2">
        <f t="shared" si="15"/>
        <v>1365734.6493015555</v>
      </c>
    </row>
    <row r="234" spans="1:8" x14ac:dyDescent="0.2">
      <c r="A234">
        <v>2020</v>
      </c>
      <c r="B234" s="3" t="str">
        <f t="shared" si="12"/>
        <v>5208</v>
      </c>
      <c r="C234" s="10" t="s">
        <v>241</v>
      </c>
      <c r="D234" s="11">
        <v>389776</v>
      </c>
      <c r="E234" s="11">
        <v>389776</v>
      </c>
      <c r="F234" s="10">
        <f t="shared" si="13"/>
        <v>7.9222573578196912E-4</v>
      </c>
      <c r="G234">
        <f t="shared" si="14"/>
        <v>58967.193932378825</v>
      </c>
      <c r="H234" s="2">
        <f t="shared" si="15"/>
        <v>448743.19393237884</v>
      </c>
    </row>
    <row r="235" spans="1:8" x14ac:dyDescent="0.2">
      <c r="A235">
        <v>2020</v>
      </c>
      <c r="B235" s="3" t="str">
        <f t="shared" si="12"/>
        <v>5210</v>
      </c>
      <c r="C235" s="10" t="s">
        <v>242</v>
      </c>
      <c r="D235" s="11">
        <v>3691530</v>
      </c>
      <c r="E235" s="11">
        <v>3691530</v>
      </c>
      <c r="F235" s="10">
        <f t="shared" si="13"/>
        <v>7.5030916998768847E-3</v>
      </c>
      <c r="G235">
        <f t="shared" si="14"/>
        <v>558472.46987293835</v>
      </c>
      <c r="H235" s="2">
        <f t="shared" si="15"/>
        <v>4250002.4698729385</v>
      </c>
    </row>
    <row r="236" spans="1:8" x14ac:dyDescent="0.2">
      <c r="A236">
        <v>2020</v>
      </c>
      <c r="B236" s="3" t="str">
        <f t="shared" si="12"/>
        <v>5212</v>
      </c>
      <c r="C236" s="10" t="s">
        <v>243</v>
      </c>
      <c r="D236" s="11">
        <v>886526</v>
      </c>
      <c r="E236" s="11">
        <v>886526</v>
      </c>
      <c r="F236" s="10">
        <f t="shared" si="13"/>
        <v>1.8018777775949417E-3</v>
      </c>
      <c r="G236">
        <f t="shared" si="14"/>
        <v>134117.93072969108</v>
      </c>
      <c r="H236" s="2">
        <f t="shared" si="15"/>
        <v>1020643.9307296911</v>
      </c>
    </row>
    <row r="237" spans="1:8" x14ac:dyDescent="0.2">
      <c r="A237">
        <v>2020</v>
      </c>
      <c r="B237" s="3" t="str">
        <f t="shared" si="12"/>
        <v>5213</v>
      </c>
      <c r="C237" s="10" t="s">
        <v>244</v>
      </c>
      <c r="D237" s="11">
        <v>729212</v>
      </c>
      <c r="E237" s="11">
        <v>729212</v>
      </c>
      <c r="F237" s="10">
        <f t="shared" si="13"/>
        <v>1.4821346446190666E-3</v>
      </c>
      <c r="G237">
        <f t="shared" si="14"/>
        <v>110318.70977643013</v>
      </c>
      <c r="H237" s="2">
        <f t="shared" si="15"/>
        <v>839530.70977643016</v>
      </c>
    </row>
    <row r="238" spans="1:8" x14ac:dyDescent="0.2">
      <c r="A238">
        <v>2020</v>
      </c>
      <c r="B238" s="3" t="str">
        <f t="shared" si="12"/>
        <v>5214</v>
      </c>
      <c r="C238" s="10" t="s">
        <v>245</v>
      </c>
      <c r="D238" s="11">
        <v>3566237</v>
      </c>
      <c r="E238" s="11">
        <v>3566237</v>
      </c>
      <c r="F238" s="10">
        <f t="shared" si="13"/>
        <v>7.2484317436114134E-3</v>
      </c>
      <c r="G238">
        <f t="shared" si="14"/>
        <v>539517.54029962048</v>
      </c>
      <c r="H238" s="2">
        <f t="shared" si="15"/>
        <v>4105754.5402996205</v>
      </c>
    </row>
    <row r="239" spans="1:8" x14ac:dyDescent="0.2">
      <c r="A239">
        <v>2020</v>
      </c>
      <c r="B239" s="3" t="str">
        <f t="shared" si="12"/>
        <v>5215</v>
      </c>
      <c r="C239" s="10" t="s">
        <v>246</v>
      </c>
      <c r="D239" s="11">
        <v>881443</v>
      </c>
      <c r="E239" s="11">
        <v>881443</v>
      </c>
      <c r="F239" s="10">
        <f t="shared" si="13"/>
        <v>1.7915465016441912E-3</v>
      </c>
      <c r="G239">
        <f t="shared" si="14"/>
        <v>133348.94996443545</v>
      </c>
      <c r="H239" s="2">
        <f t="shared" si="15"/>
        <v>1014791.9499644354</v>
      </c>
    </row>
    <row r="240" spans="1:8" x14ac:dyDescent="0.2">
      <c r="A240">
        <v>2020</v>
      </c>
      <c r="B240" s="3" t="str">
        <f t="shared" si="12"/>
        <v>5216</v>
      </c>
      <c r="C240" s="10" t="s">
        <v>299</v>
      </c>
      <c r="D240" s="11">
        <v>944989</v>
      </c>
      <c r="E240" s="11">
        <v>944989</v>
      </c>
      <c r="F240" s="10">
        <f t="shared" si="13"/>
        <v>1.9207047274097616E-3</v>
      </c>
      <c r="G240">
        <f t="shared" si="14"/>
        <v>142962.49545114307</v>
      </c>
      <c r="H240" s="2">
        <f t="shared" si="15"/>
        <v>1087951.495451143</v>
      </c>
    </row>
    <row r="241" spans="1:8" x14ac:dyDescent="0.2">
      <c r="A241">
        <v>2020</v>
      </c>
      <c r="B241" s="3" t="str">
        <f t="shared" si="12"/>
        <v>5217</v>
      </c>
      <c r="C241" s="10" t="s">
        <v>248</v>
      </c>
      <c r="D241" s="11">
        <v>138398</v>
      </c>
      <c r="E241" s="11">
        <v>138398</v>
      </c>
      <c r="F241" s="10">
        <f t="shared" si="13"/>
        <v>2.8129607102734129E-4</v>
      </c>
      <c r="G241">
        <f t="shared" si="14"/>
        <v>20937.517204377298</v>
      </c>
      <c r="H241" s="2">
        <f t="shared" si="15"/>
        <v>159335.51720437731</v>
      </c>
    </row>
    <row r="242" spans="1:8" x14ac:dyDescent="0.2">
      <c r="A242">
        <v>2020</v>
      </c>
      <c r="B242" s="3" t="str">
        <f t="shared" si="12"/>
        <v>5218</v>
      </c>
      <c r="C242" s="10" t="s">
        <v>249</v>
      </c>
      <c r="D242" s="11">
        <v>327922</v>
      </c>
      <c r="E242" s="11">
        <v>327922</v>
      </c>
      <c r="F242" s="10">
        <f t="shared" si="13"/>
        <v>6.6650652613063632E-4</v>
      </c>
      <c r="G242">
        <f t="shared" si="14"/>
        <v>49609.622369498204</v>
      </c>
      <c r="H242" s="2">
        <f t="shared" si="15"/>
        <v>377531.62236949819</v>
      </c>
    </row>
    <row r="243" spans="1:8" x14ac:dyDescent="0.2">
      <c r="A243">
        <v>2020</v>
      </c>
      <c r="B243" s="3" t="str">
        <f t="shared" si="12"/>
        <v>5219</v>
      </c>
      <c r="C243" s="10" t="s">
        <v>250</v>
      </c>
      <c r="D243" s="11">
        <v>229043</v>
      </c>
      <c r="E243" s="11">
        <v>229043</v>
      </c>
      <c r="F243" s="10">
        <f t="shared" si="13"/>
        <v>4.6553343253743064E-4</v>
      </c>
      <c r="G243">
        <f t="shared" si="14"/>
        <v>34650.730162590422</v>
      </c>
      <c r="H243" s="2">
        <f t="shared" si="15"/>
        <v>263693.73016259039</v>
      </c>
    </row>
    <row r="244" spans="1:8" x14ac:dyDescent="0.2">
      <c r="A244">
        <v>2020</v>
      </c>
      <c r="B244" s="3" t="str">
        <f t="shared" si="12"/>
        <v>5220</v>
      </c>
      <c r="C244" s="10" t="s">
        <v>251</v>
      </c>
      <c r="D244" s="11">
        <v>479492</v>
      </c>
      <c r="E244" s="11">
        <v>479492</v>
      </c>
      <c r="F244" s="10">
        <f t="shared" si="13"/>
        <v>9.7457489045392216E-4</v>
      </c>
      <c r="G244">
        <f t="shared" si="14"/>
        <v>72539.863288207052</v>
      </c>
      <c r="H244" s="2">
        <f t="shared" si="15"/>
        <v>552031.8632882071</v>
      </c>
    </row>
    <row r="245" spans="1:8" x14ac:dyDescent="0.2">
      <c r="A245">
        <v>2020</v>
      </c>
      <c r="B245" s="3" t="str">
        <f t="shared" si="12"/>
        <v>5222</v>
      </c>
      <c r="C245" s="10" t="s">
        <v>252</v>
      </c>
      <c r="D245" s="11">
        <v>410064</v>
      </c>
      <c r="E245" s="11">
        <v>410064</v>
      </c>
      <c r="F245" s="10">
        <f t="shared" si="13"/>
        <v>8.3346140890587777E-4</v>
      </c>
      <c r="G245">
        <f t="shared" si="14"/>
        <v>62036.460461103285</v>
      </c>
      <c r="H245" s="2">
        <f t="shared" si="15"/>
        <v>472100.4604611033</v>
      </c>
    </row>
    <row r="246" spans="1:8" x14ac:dyDescent="0.2">
      <c r="A246">
        <v>2020</v>
      </c>
      <c r="B246" s="3" t="str">
        <f t="shared" si="12"/>
        <v>5223</v>
      </c>
      <c r="C246" s="10" t="s">
        <v>253</v>
      </c>
      <c r="D246" s="11">
        <v>426034</v>
      </c>
      <c r="E246" s="11">
        <v>426034</v>
      </c>
      <c r="F246" s="10">
        <f t="shared" si="13"/>
        <v>8.6592068038600497E-4</v>
      </c>
      <c r="G246">
        <f t="shared" si="14"/>
        <v>64452.479115664086</v>
      </c>
      <c r="H246" s="2">
        <f t="shared" si="15"/>
        <v>490486.47911566409</v>
      </c>
    </row>
    <row r="247" spans="1:8" x14ac:dyDescent="0.2">
      <c r="A247">
        <v>2020</v>
      </c>
      <c r="B247" s="3" t="str">
        <f t="shared" si="12"/>
        <v>5226</v>
      </c>
      <c r="C247" s="10" t="s">
        <v>254</v>
      </c>
      <c r="D247" s="11">
        <v>257039</v>
      </c>
      <c r="E247" s="11">
        <v>257039</v>
      </c>
      <c r="F247" s="10">
        <f t="shared" si="13"/>
        <v>5.2243573462619963E-4</v>
      </c>
      <c r="G247">
        <f t="shared" si="14"/>
        <v>38886.100122082229</v>
      </c>
      <c r="H247" s="2">
        <f t="shared" si="15"/>
        <v>295925.10012208222</v>
      </c>
    </row>
    <row r="248" spans="1:8" x14ac:dyDescent="0.2">
      <c r="A248">
        <v>2020</v>
      </c>
      <c r="B248" s="3" t="str">
        <f t="shared" si="12"/>
        <v>5227</v>
      </c>
      <c r="C248" s="10" t="s">
        <v>255</v>
      </c>
      <c r="D248" s="11">
        <v>84254</v>
      </c>
      <c r="E248" s="11">
        <v>84254</v>
      </c>
      <c r="F248" s="10">
        <f t="shared" si="13"/>
        <v>1.7124755537173666E-4</v>
      </c>
      <c r="G248">
        <f t="shared" si="14"/>
        <v>12746.351641913934</v>
      </c>
      <c r="H248" s="2">
        <f t="shared" si="15"/>
        <v>97000.351641913934</v>
      </c>
    </row>
    <row r="249" spans="1:8" x14ac:dyDescent="0.2">
      <c r="A249">
        <v>2020</v>
      </c>
      <c r="B249" s="3" t="str">
        <f t="shared" si="12"/>
        <v>5228</v>
      </c>
      <c r="C249" s="10" t="s">
        <v>256</v>
      </c>
      <c r="D249" s="11">
        <v>175828</v>
      </c>
      <c r="E249" s="11">
        <v>175828</v>
      </c>
      <c r="F249" s="10">
        <f t="shared" si="13"/>
        <v>3.5737312371996241E-4</v>
      </c>
      <c r="G249">
        <f t="shared" si="14"/>
        <v>26600.108202511965</v>
      </c>
      <c r="H249" s="2">
        <f t="shared" si="15"/>
        <v>202428.10820251197</v>
      </c>
    </row>
    <row r="250" spans="1:8" x14ac:dyDescent="0.2">
      <c r="A250">
        <v>2020</v>
      </c>
      <c r="B250" s="3" t="str">
        <f t="shared" si="12"/>
        <v>5158</v>
      </c>
      <c r="C250" s="10" t="s">
        <v>203</v>
      </c>
      <c r="D250" s="11">
        <v>823639</v>
      </c>
      <c r="E250" s="11">
        <v>823639</v>
      </c>
      <c r="F250" s="10">
        <f t="shared" si="13"/>
        <v>1.6740589795003419E-3</v>
      </c>
      <c r="G250">
        <f t="shared" si="14"/>
        <v>124604.08194263003</v>
      </c>
      <c r="H250" s="2">
        <f t="shared" si="15"/>
        <v>948243.08194263</v>
      </c>
    </row>
    <row r="251" spans="1:8" x14ac:dyDescent="0.2">
      <c r="A251">
        <v>2020</v>
      </c>
      <c r="B251" s="3" t="str">
        <f t="shared" si="12"/>
        <v>5230</v>
      </c>
      <c r="C251" s="10" t="s">
        <v>258</v>
      </c>
      <c r="D251" s="11">
        <v>729131</v>
      </c>
      <c r="E251" s="11">
        <v>729131</v>
      </c>
      <c r="F251" s="10">
        <f t="shared" si="13"/>
        <v>1.4819700108689169E-3</v>
      </c>
      <c r="G251">
        <f t="shared" si="14"/>
        <v>110306.45570560862</v>
      </c>
      <c r="H251" s="2">
        <f t="shared" si="15"/>
        <v>839437.45570560859</v>
      </c>
    </row>
    <row r="252" spans="1:8" x14ac:dyDescent="0.2">
      <c r="A252">
        <v>2020</v>
      </c>
      <c r="B252" s="3" t="str">
        <f t="shared" si="12"/>
        <v>5231</v>
      </c>
      <c r="C252" s="10" t="s">
        <v>259</v>
      </c>
      <c r="D252" s="11">
        <v>1623063</v>
      </c>
      <c r="E252" s="11">
        <v>1623063</v>
      </c>
      <c r="F252" s="10">
        <f t="shared" si="13"/>
        <v>3.298900597767667E-3</v>
      </c>
      <c r="G252">
        <f t="shared" si="14"/>
        <v>245544.8018489301</v>
      </c>
      <c r="H252" s="2">
        <f t="shared" si="15"/>
        <v>1868607.8018489301</v>
      </c>
    </row>
    <row r="253" spans="1:8" x14ac:dyDescent="0.2">
      <c r="A253">
        <v>2020</v>
      </c>
      <c r="B253" s="3" t="str">
        <f t="shared" si="12"/>
        <v>5233</v>
      </c>
      <c r="C253" s="10" t="s">
        <v>260</v>
      </c>
      <c r="D253" s="11">
        <v>6057467</v>
      </c>
      <c r="E253" s="11">
        <v>6057467</v>
      </c>
      <c r="F253" s="10">
        <f t="shared" si="13"/>
        <v>1.2311895168122197E-2</v>
      </c>
      <c r="G253">
        <f t="shared" si="14"/>
        <v>916402.83477685892</v>
      </c>
      <c r="H253" s="2">
        <f t="shared" si="15"/>
        <v>6973869.8347768588</v>
      </c>
    </row>
    <row r="254" spans="1:8" x14ac:dyDescent="0.2">
      <c r="A254">
        <v>2020</v>
      </c>
      <c r="B254" s="3" t="str">
        <f t="shared" si="12"/>
        <v>5235</v>
      </c>
      <c r="C254" s="10" t="s">
        <v>261</v>
      </c>
      <c r="D254" s="11">
        <v>244024</v>
      </c>
      <c r="E254" s="11">
        <v>244024</v>
      </c>
      <c r="F254" s="10">
        <f t="shared" si="13"/>
        <v>4.959825462533846E-4</v>
      </c>
      <c r="G254">
        <f t="shared" si="14"/>
        <v>36917.1281252689</v>
      </c>
      <c r="H254" s="2">
        <f t="shared" si="15"/>
        <v>280941.12812526891</v>
      </c>
    </row>
    <row r="255" spans="1:8" x14ac:dyDescent="0.2">
      <c r="A255">
        <v>2020</v>
      </c>
      <c r="B255" s="3" t="str">
        <f t="shared" si="12"/>
        <v>5236</v>
      </c>
      <c r="C255" s="10" t="s">
        <v>262</v>
      </c>
      <c r="D255" s="11">
        <v>558749</v>
      </c>
      <c r="E255" s="11">
        <v>558749</v>
      </c>
      <c r="F255" s="10">
        <f t="shared" si="13"/>
        <v>1.1356659662022277E-3</v>
      </c>
      <c r="G255">
        <f t="shared" si="14"/>
        <v>84530.244659811637</v>
      </c>
      <c r="H255" s="2">
        <f t="shared" si="15"/>
        <v>643279.24465981161</v>
      </c>
    </row>
    <row r="256" spans="1:8" x14ac:dyDescent="0.2">
      <c r="A256">
        <v>2020</v>
      </c>
      <c r="B256" s="3" t="str">
        <f t="shared" si="12"/>
        <v>5237</v>
      </c>
      <c r="C256" s="10" t="s">
        <v>263</v>
      </c>
      <c r="D256" s="11">
        <v>248332</v>
      </c>
      <c r="E256" s="11">
        <v>248332</v>
      </c>
      <c r="F256" s="10">
        <f t="shared" si="13"/>
        <v>5.0473862274282662E-4</v>
      </c>
      <c r="G256">
        <f t="shared" si="14"/>
        <v>37568.863151182988</v>
      </c>
      <c r="H256" s="2">
        <f t="shared" si="15"/>
        <v>285900.863151183</v>
      </c>
    </row>
    <row r="257" spans="1:8" x14ac:dyDescent="0.2">
      <c r="A257">
        <v>2020</v>
      </c>
      <c r="B257" s="3" t="str">
        <f t="shared" si="12"/>
        <v>5238</v>
      </c>
      <c r="C257" s="10" t="s">
        <v>264</v>
      </c>
      <c r="D257" s="11">
        <v>246673</v>
      </c>
      <c r="E257" s="11">
        <v>246673</v>
      </c>
      <c r="F257" s="10">
        <f t="shared" si="13"/>
        <v>5.0136667963790915E-4</v>
      </c>
      <c r="G257">
        <f t="shared" si="14"/>
        <v>37317.881626579583</v>
      </c>
      <c r="H257" s="2">
        <f t="shared" si="15"/>
        <v>283990.88162657956</v>
      </c>
    </row>
    <row r="258" spans="1:8" x14ac:dyDescent="0.2">
      <c r="A258">
        <v>2020</v>
      </c>
      <c r="B258" s="3" t="str">
        <f t="shared" si="12"/>
        <v>5239</v>
      </c>
      <c r="C258" s="10" t="s">
        <v>265</v>
      </c>
      <c r="D258" s="11">
        <v>181657</v>
      </c>
      <c r="E258" s="11">
        <v>181657</v>
      </c>
      <c r="F258" s="10">
        <f t="shared" si="13"/>
        <v>3.6922065618443716E-4</v>
      </c>
      <c r="G258">
        <f t="shared" si="14"/>
        <v>27481.947447185412</v>
      </c>
      <c r="H258" s="2">
        <f t="shared" si="15"/>
        <v>209138.9474471854</v>
      </c>
    </row>
    <row r="259" spans="1:8" x14ac:dyDescent="0.2">
      <c r="A259">
        <v>2020</v>
      </c>
      <c r="B259" s="3" t="str">
        <f t="shared" ref="B259:B322" si="16">LEFT(C259,4)</f>
        <v>5240</v>
      </c>
      <c r="C259" s="10" t="s">
        <v>266</v>
      </c>
      <c r="D259" s="11">
        <v>457609</v>
      </c>
      <c r="E259" s="11">
        <v>457609</v>
      </c>
      <c r="F259" s="10">
        <f t="shared" ref="F259:F322" si="17">D259/$D$340</f>
        <v>9.3009735521286873E-4</v>
      </c>
      <c r="G259">
        <f t="shared" ref="G259:G322" si="18">F259*$D$341</f>
        <v>69229.297463676427</v>
      </c>
      <c r="H259" s="2">
        <f t="shared" ref="H259:H322" si="19">SUM(G259,D259)</f>
        <v>526838.29746367643</v>
      </c>
    </row>
    <row r="260" spans="1:8" x14ac:dyDescent="0.2">
      <c r="A260">
        <v>2020</v>
      </c>
      <c r="B260" s="3" t="str">
        <f t="shared" si="16"/>
        <v>5241</v>
      </c>
      <c r="C260" s="10" t="s">
        <v>362</v>
      </c>
      <c r="D260" s="11">
        <v>265110</v>
      </c>
      <c r="E260" s="11">
        <v>265110</v>
      </c>
      <c r="F260" s="10">
        <f t="shared" si="17"/>
        <v>5.3884016669358261E-4</v>
      </c>
      <c r="G260">
        <f t="shared" si="18"/>
        <v>40107.119944308914</v>
      </c>
      <c r="H260" s="2">
        <f t="shared" si="19"/>
        <v>305217.11994430888</v>
      </c>
    </row>
    <row r="261" spans="1:8" x14ac:dyDescent="0.2">
      <c r="A261">
        <v>2020</v>
      </c>
      <c r="B261" s="3" t="str">
        <f t="shared" si="16"/>
        <v>5250</v>
      </c>
      <c r="C261" s="10" t="s">
        <v>268</v>
      </c>
      <c r="D261" s="11">
        <v>641504</v>
      </c>
      <c r="E261" s="11">
        <v>641504</v>
      </c>
      <c r="F261" s="10">
        <f t="shared" si="17"/>
        <v>1.3038667809384785E-3</v>
      </c>
      <c r="G261">
        <f t="shared" si="18"/>
        <v>97049.820349115267</v>
      </c>
      <c r="H261" s="2">
        <f t="shared" si="19"/>
        <v>738553.8203491153</v>
      </c>
    </row>
    <row r="262" spans="1:8" x14ac:dyDescent="0.2">
      <c r="A262">
        <v>2020</v>
      </c>
      <c r="B262" s="3" t="str">
        <f t="shared" si="16"/>
        <v>5251</v>
      </c>
      <c r="C262" s="10" t="s">
        <v>269</v>
      </c>
      <c r="D262" s="11">
        <v>220596</v>
      </c>
      <c r="E262" s="11">
        <v>220596</v>
      </c>
      <c r="F262" s="10">
        <f t="shared" si="17"/>
        <v>4.4836477466688373E-4</v>
      </c>
      <c r="G262">
        <f t="shared" si="18"/>
        <v>33372.827246179964</v>
      </c>
      <c r="H262" s="2">
        <f t="shared" si="19"/>
        <v>253968.82724617998</v>
      </c>
    </row>
    <row r="263" spans="1:8" x14ac:dyDescent="0.2">
      <c r="A263">
        <v>2020</v>
      </c>
      <c r="B263" s="3" t="str">
        <f t="shared" si="16"/>
        <v>5267</v>
      </c>
      <c r="C263" s="10" t="s">
        <v>270</v>
      </c>
      <c r="D263" s="11">
        <v>254864</v>
      </c>
      <c r="E263" s="11">
        <v>254864</v>
      </c>
      <c r="F263" s="10">
        <f t="shared" si="17"/>
        <v>5.1801501355736577E-4</v>
      </c>
      <c r="G263">
        <f t="shared" si="18"/>
        <v>38557.055627801092</v>
      </c>
      <c r="H263" s="2">
        <f t="shared" si="19"/>
        <v>293421.05562780111</v>
      </c>
    </row>
    <row r="264" spans="1:8" x14ac:dyDescent="0.2">
      <c r="A264">
        <v>2020</v>
      </c>
      <c r="B264" s="3" t="str">
        <f t="shared" si="16"/>
        <v>5268</v>
      </c>
      <c r="C264" s="10" t="s">
        <v>271</v>
      </c>
      <c r="D264" s="11">
        <v>250475</v>
      </c>
      <c r="E264" s="11">
        <v>250475</v>
      </c>
      <c r="F264" s="10">
        <f t="shared" si="17"/>
        <v>5.0909430331777408E-4</v>
      </c>
      <c r="G264">
        <f t="shared" si="18"/>
        <v>37893.066531065502</v>
      </c>
      <c r="H264" s="2">
        <f t="shared" si="19"/>
        <v>288368.0665310655</v>
      </c>
    </row>
    <row r="265" spans="1:8" x14ac:dyDescent="0.2">
      <c r="A265">
        <v>2020</v>
      </c>
      <c r="B265" s="3" t="str">
        <f t="shared" si="16"/>
        <v>5270</v>
      </c>
      <c r="C265" s="10" t="s">
        <v>272</v>
      </c>
      <c r="D265" s="11">
        <v>349886</v>
      </c>
      <c r="E265" s="11">
        <v>349886</v>
      </c>
      <c r="F265" s="10">
        <f t="shared" si="17"/>
        <v>7.1114869512183942E-4</v>
      </c>
      <c r="G265">
        <f t="shared" si="18"/>
        <v>52932.442264850324</v>
      </c>
      <c r="H265" s="2">
        <f t="shared" si="19"/>
        <v>402818.44226485031</v>
      </c>
    </row>
    <row r="266" spans="1:8" x14ac:dyDescent="0.2">
      <c r="A266">
        <v>2020</v>
      </c>
      <c r="B266" s="3" t="str">
        <f t="shared" si="16"/>
        <v>5271</v>
      </c>
      <c r="C266" s="10" t="s">
        <v>273</v>
      </c>
      <c r="D266" s="11">
        <v>156200</v>
      </c>
      <c r="E266" s="11">
        <v>156200</v>
      </c>
      <c r="F266" s="10">
        <f t="shared" si="17"/>
        <v>3.1747891078245862E-4</v>
      </c>
      <c r="G266">
        <f t="shared" si="18"/>
        <v>23630.689658259034</v>
      </c>
      <c r="H266" s="2">
        <f t="shared" si="19"/>
        <v>179830.68965825904</v>
      </c>
    </row>
    <row r="267" spans="1:8" x14ac:dyDescent="0.2">
      <c r="A267">
        <v>2020</v>
      </c>
      <c r="B267" s="3" t="str">
        <f t="shared" si="16"/>
        <v>5272</v>
      </c>
      <c r="C267" s="10" t="s">
        <v>274</v>
      </c>
      <c r="D267" s="11">
        <v>3623727</v>
      </c>
      <c r="E267" s="11">
        <v>3623727</v>
      </c>
      <c r="F267" s="10">
        <f t="shared" si="17"/>
        <v>7.3652810559090036E-3</v>
      </c>
      <c r="G267">
        <f t="shared" si="18"/>
        <v>548214.9048863895</v>
      </c>
      <c r="H267" s="2">
        <f t="shared" si="19"/>
        <v>4171941.9048863896</v>
      </c>
    </row>
    <row r="268" spans="1:8" x14ac:dyDescent="0.2">
      <c r="A268">
        <v>2020</v>
      </c>
      <c r="B268" s="3" t="str">
        <f t="shared" si="16"/>
        <v>5274</v>
      </c>
      <c r="C268" s="10" t="s">
        <v>275</v>
      </c>
      <c r="D268" s="11">
        <v>807943</v>
      </c>
      <c r="E268" s="11">
        <v>807943</v>
      </c>
      <c r="F268" s="10">
        <f t="shared" si="17"/>
        <v>1.6421566172491163E-3</v>
      </c>
      <c r="G268">
        <f t="shared" si="18"/>
        <v>122229.51533010742</v>
      </c>
      <c r="H268" s="2">
        <f t="shared" si="19"/>
        <v>930172.51533010742</v>
      </c>
    </row>
    <row r="269" spans="1:8" x14ac:dyDescent="0.2">
      <c r="A269">
        <v>2020</v>
      </c>
      <c r="B269" s="3" t="str">
        <f t="shared" si="16"/>
        <v>5275</v>
      </c>
      <c r="C269" s="10" t="s">
        <v>276</v>
      </c>
      <c r="D269" s="11">
        <v>1853575</v>
      </c>
      <c r="E269" s="11">
        <v>1853575</v>
      </c>
      <c r="F269" s="10">
        <f t="shared" si="17"/>
        <v>3.7674197954775655E-3</v>
      </c>
      <c r="G269">
        <f t="shared" si="18"/>
        <v>280417.76941938215</v>
      </c>
      <c r="H269" s="2">
        <f t="shared" si="19"/>
        <v>2133992.7694193823</v>
      </c>
    </row>
    <row r="270" spans="1:8" x14ac:dyDescent="0.2">
      <c r="A270">
        <v>2020</v>
      </c>
      <c r="B270" s="3" t="str">
        <f t="shared" si="16"/>
        <v>5276</v>
      </c>
      <c r="C270" s="10" t="s">
        <v>277</v>
      </c>
      <c r="D270" s="11">
        <v>942464</v>
      </c>
      <c r="E270" s="11">
        <v>942464</v>
      </c>
      <c r="F270" s="10">
        <f t="shared" si="17"/>
        <v>1.9155726259390466E-3</v>
      </c>
      <c r="G270">
        <f t="shared" si="18"/>
        <v>142580.50126812703</v>
      </c>
      <c r="H270" s="2">
        <f t="shared" si="19"/>
        <v>1085044.501268127</v>
      </c>
    </row>
    <row r="271" spans="1:8" x14ac:dyDescent="0.2">
      <c r="A271">
        <v>2020</v>
      </c>
      <c r="B271" s="3" t="str">
        <f t="shared" si="16"/>
        <v>5278</v>
      </c>
      <c r="C271" s="10" t="s">
        <v>278</v>
      </c>
      <c r="D271" s="11">
        <v>284578</v>
      </c>
      <c r="E271" s="11">
        <v>284578</v>
      </c>
      <c r="F271" s="10">
        <f t="shared" si="17"/>
        <v>5.7840917716165492E-4</v>
      </c>
      <c r="G271">
        <f t="shared" si="18"/>
        <v>43052.332916568754</v>
      </c>
      <c r="H271" s="2">
        <f t="shared" si="19"/>
        <v>327630.33291656873</v>
      </c>
    </row>
    <row r="272" spans="1:8" x14ac:dyDescent="0.2">
      <c r="A272">
        <v>2020</v>
      </c>
      <c r="B272" s="3" t="str">
        <f t="shared" si="16"/>
        <v>5280</v>
      </c>
      <c r="C272" s="10" t="s">
        <v>279</v>
      </c>
      <c r="D272" s="11">
        <v>5130966</v>
      </c>
      <c r="E272" s="11">
        <v>5130966</v>
      </c>
      <c r="F272" s="10">
        <f t="shared" si="17"/>
        <v>1.0428767586055239E-2</v>
      </c>
      <c r="G272">
        <f t="shared" si="18"/>
        <v>776237.293169518</v>
      </c>
      <c r="H272" s="2">
        <f t="shared" si="19"/>
        <v>5907203.293169518</v>
      </c>
    </row>
    <row r="273" spans="1:8" x14ac:dyDescent="0.2">
      <c r="A273">
        <v>2020</v>
      </c>
      <c r="B273" s="3" t="str">
        <f t="shared" si="16"/>
        <v>5281</v>
      </c>
      <c r="C273" s="10" t="s">
        <v>280</v>
      </c>
      <c r="D273" s="11">
        <v>236757</v>
      </c>
      <c r="E273" s="11">
        <v>236757</v>
      </c>
      <c r="F273" s="10">
        <f t="shared" si="17"/>
        <v>4.8121225659489471E-4</v>
      </c>
      <c r="G273">
        <f t="shared" si="18"/>
        <v>35817.741302307521</v>
      </c>
      <c r="H273" s="2">
        <f t="shared" si="19"/>
        <v>272574.74130230752</v>
      </c>
    </row>
    <row r="274" spans="1:8" x14ac:dyDescent="0.2">
      <c r="A274">
        <v>2020</v>
      </c>
      <c r="B274" s="3" t="str">
        <f t="shared" si="16"/>
        <v>5283</v>
      </c>
      <c r="C274" s="10" t="s">
        <v>281</v>
      </c>
      <c r="D274" s="11">
        <v>513558</v>
      </c>
      <c r="E274" s="11">
        <v>513558</v>
      </c>
      <c r="F274" s="10">
        <f t="shared" si="17"/>
        <v>1.043814561226747E-3</v>
      </c>
      <c r="G274">
        <f t="shared" si="18"/>
        <v>77693.532135186906</v>
      </c>
      <c r="H274" s="2">
        <f t="shared" si="19"/>
        <v>591251.53213518695</v>
      </c>
    </row>
    <row r="275" spans="1:8" x14ac:dyDescent="0.2">
      <c r="A275">
        <v>2020</v>
      </c>
      <c r="B275" s="3" t="str">
        <f t="shared" si="16"/>
        <v>5284</v>
      </c>
      <c r="C275" s="10" t="s">
        <v>282</v>
      </c>
      <c r="D275" s="11">
        <v>652503</v>
      </c>
      <c r="E275" s="11">
        <v>652503</v>
      </c>
      <c r="F275" s="10">
        <f t="shared" si="17"/>
        <v>1.326222418196457E-3</v>
      </c>
      <c r="G275">
        <f t="shared" si="18"/>
        <v>98713.80213881559</v>
      </c>
      <c r="H275" s="2">
        <f t="shared" si="19"/>
        <v>751216.80213881563</v>
      </c>
    </row>
    <row r="276" spans="1:8" x14ac:dyDescent="0.2">
      <c r="A276">
        <v>2020</v>
      </c>
      <c r="B276" s="3" t="str">
        <f t="shared" si="16"/>
        <v>5285</v>
      </c>
      <c r="C276" s="10" t="s">
        <v>283</v>
      </c>
      <c r="D276" s="11">
        <v>385543</v>
      </c>
      <c r="E276" s="11">
        <v>385543</v>
      </c>
      <c r="F276" s="10">
        <f t="shared" si="17"/>
        <v>7.8362209795007328E-4</v>
      </c>
      <c r="G276">
        <f t="shared" si="18"/>
        <v>58326.805268336509</v>
      </c>
      <c r="H276" s="2">
        <f t="shared" si="19"/>
        <v>443869.80526833649</v>
      </c>
    </row>
    <row r="277" spans="1:8" x14ac:dyDescent="0.2">
      <c r="A277">
        <v>2020</v>
      </c>
      <c r="B277" s="3" t="str">
        <f t="shared" si="16"/>
        <v>5286</v>
      </c>
      <c r="C277" s="10" t="s">
        <v>284</v>
      </c>
      <c r="D277" s="11">
        <v>350557</v>
      </c>
      <c r="E277" s="11">
        <v>350557</v>
      </c>
      <c r="F277" s="10">
        <f t="shared" si="17"/>
        <v>7.1251251297801759E-4</v>
      </c>
      <c r="G277">
        <f t="shared" si="18"/>
        <v>53033.954382396369</v>
      </c>
      <c r="H277" s="2">
        <f t="shared" si="19"/>
        <v>403590.95438239636</v>
      </c>
    </row>
    <row r="278" spans="1:8" x14ac:dyDescent="0.2">
      <c r="A278">
        <v>2020</v>
      </c>
      <c r="B278" s="3" t="str">
        <f t="shared" si="16"/>
        <v>5287</v>
      </c>
      <c r="C278" s="10" t="s">
        <v>285</v>
      </c>
      <c r="D278" s="11">
        <v>598359</v>
      </c>
      <c r="E278" s="11">
        <v>598359</v>
      </c>
      <c r="F278" s="10">
        <f t="shared" si="17"/>
        <v>1.2161739025408525E-3</v>
      </c>
      <c r="G278">
        <f t="shared" si="18"/>
        <v>90522.636576352219</v>
      </c>
      <c r="H278" s="2">
        <f t="shared" si="19"/>
        <v>688881.63657635218</v>
      </c>
    </row>
    <row r="279" spans="1:8" x14ac:dyDescent="0.2">
      <c r="A279">
        <v>2020</v>
      </c>
      <c r="B279" s="3" t="str">
        <f t="shared" si="16"/>
        <v>5288</v>
      </c>
      <c r="C279" s="10" t="s">
        <v>286</v>
      </c>
      <c r="D279" s="11">
        <v>336189</v>
      </c>
      <c r="E279" s="11">
        <v>336189</v>
      </c>
      <c r="F279" s="10">
        <f t="shared" si="17"/>
        <v>6.8330933122307284E-4</v>
      </c>
      <c r="G279">
        <f t="shared" si="18"/>
        <v>50860.294017416432</v>
      </c>
      <c r="H279" s="2">
        <f t="shared" si="19"/>
        <v>387049.29401741643</v>
      </c>
    </row>
    <row r="280" spans="1:8" x14ac:dyDescent="0.2">
      <c r="A280">
        <v>2020</v>
      </c>
      <c r="B280" s="3" t="str">
        <f t="shared" si="16"/>
        <v>5289</v>
      </c>
      <c r="C280" s="10" t="s">
        <v>287</v>
      </c>
      <c r="D280" s="11">
        <v>505674</v>
      </c>
      <c r="E280" s="11">
        <v>505674</v>
      </c>
      <c r="F280" s="10">
        <f t="shared" si="17"/>
        <v>1.027790209545512E-3</v>
      </c>
      <c r="G280">
        <f t="shared" si="18"/>
        <v>76500.802575227135</v>
      </c>
      <c r="H280" s="2">
        <f t="shared" si="19"/>
        <v>582174.80257522711</v>
      </c>
    </row>
    <row r="281" spans="1:8" x14ac:dyDescent="0.2">
      <c r="A281">
        <v>2020</v>
      </c>
      <c r="B281" s="3" t="str">
        <f t="shared" si="16"/>
        <v>5291</v>
      </c>
      <c r="C281" s="10" t="s">
        <v>288</v>
      </c>
      <c r="D281" s="11">
        <v>593332</v>
      </c>
      <c r="E281" s="11">
        <v>593332</v>
      </c>
      <c r="F281" s="10">
        <f t="shared" si="17"/>
        <v>1.205956447454403E-3</v>
      </c>
      <c r="G281">
        <f t="shared" si="18"/>
        <v>89762.127761294178</v>
      </c>
      <c r="H281" s="2">
        <f t="shared" si="19"/>
        <v>683094.12776129413</v>
      </c>
    </row>
    <row r="282" spans="1:8" x14ac:dyDescent="0.2">
      <c r="A282">
        <v>2020</v>
      </c>
      <c r="B282" s="3" t="str">
        <f t="shared" si="16"/>
        <v>5292</v>
      </c>
      <c r="C282" s="10" t="s">
        <v>289</v>
      </c>
      <c r="D282" s="11">
        <v>1580915</v>
      </c>
      <c r="E282" s="11">
        <v>1580915</v>
      </c>
      <c r="F282" s="10">
        <f t="shared" si="17"/>
        <v>3.2132341372576858E-3</v>
      </c>
      <c r="G282">
        <f t="shared" si="18"/>
        <v>239168.44904664904</v>
      </c>
      <c r="H282" s="2">
        <f t="shared" si="19"/>
        <v>1820083.449046649</v>
      </c>
    </row>
    <row r="283" spans="1:8" x14ac:dyDescent="0.2">
      <c r="A283">
        <v>2020</v>
      </c>
      <c r="B283" s="3" t="str">
        <f t="shared" si="16"/>
        <v>5293</v>
      </c>
      <c r="C283" s="10" t="s">
        <v>290</v>
      </c>
      <c r="D283" s="11">
        <v>391355</v>
      </c>
      <c r="E283" s="11">
        <v>391355</v>
      </c>
      <c r="F283" s="10">
        <f t="shared" si="17"/>
        <v>7.9543507765217087E-4</v>
      </c>
      <c r="G283">
        <f t="shared" si="18"/>
        <v>59206.07267098569</v>
      </c>
      <c r="H283" s="2">
        <f t="shared" si="19"/>
        <v>450561.07267098571</v>
      </c>
    </row>
    <row r="284" spans="1:8" x14ac:dyDescent="0.2">
      <c r="A284">
        <v>2020</v>
      </c>
      <c r="B284" s="3" t="str">
        <f t="shared" si="16"/>
        <v>5294</v>
      </c>
      <c r="C284" s="10" t="s">
        <v>291</v>
      </c>
      <c r="D284" s="11">
        <v>870213</v>
      </c>
      <c r="E284" s="11">
        <v>870213</v>
      </c>
      <c r="F284" s="10">
        <f t="shared" si="17"/>
        <v>1.7687213533209708E-3</v>
      </c>
      <c r="G284">
        <f t="shared" si="18"/>
        <v>131650.02138017007</v>
      </c>
      <c r="H284" s="2">
        <f t="shared" si="19"/>
        <v>1001863.02138017</v>
      </c>
    </row>
    <row r="285" spans="1:8" x14ac:dyDescent="0.2">
      <c r="A285">
        <v>2020</v>
      </c>
      <c r="B285" s="3" t="str">
        <f t="shared" si="16"/>
        <v>5295</v>
      </c>
      <c r="C285" s="10" t="s">
        <v>292</v>
      </c>
      <c r="D285" s="11">
        <v>271426</v>
      </c>
      <c r="E285" s="11">
        <v>271426</v>
      </c>
      <c r="F285" s="10">
        <f t="shared" si="17"/>
        <v>5.5167753417438928E-4</v>
      </c>
      <c r="G285">
        <f t="shared" si="18"/>
        <v>41062.634898736338</v>
      </c>
      <c r="H285" s="2">
        <f t="shared" si="19"/>
        <v>312488.63489873632</v>
      </c>
    </row>
    <row r="286" spans="1:8" x14ac:dyDescent="0.2">
      <c r="A286">
        <v>2020</v>
      </c>
      <c r="B286" s="3" t="str">
        <f t="shared" si="16"/>
        <v>5296</v>
      </c>
      <c r="C286" s="10" t="s">
        <v>293</v>
      </c>
      <c r="D286" s="11">
        <v>1247870</v>
      </c>
      <c r="E286" s="11">
        <v>1247870</v>
      </c>
      <c r="F286" s="10">
        <f t="shared" si="17"/>
        <v>2.5363150345589411E-3</v>
      </c>
      <c r="G286">
        <f t="shared" si="18"/>
        <v>188783.79451889693</v>
      </c>
      <c r="H286" s="2">
        <f t="shared" si="19"/>
        <v>1436653.7945188968</v>
      </c>
    </row>
    <row r="287" spans="1:8" x14ac:dyDescent="0.2">
      <c r="A287">
        <v>2020</v>
      </c>
      <c r="B287" s="3" t="str">
        <f t="shared" si="16"/>
        <v>5297</v>
      </c>
      <c r="C287" s="10" t="s">
        <v>294</v>
      </c>
      <c r="D287" s="11">
        <v>686931</v>
      </c>
      <c r="E287" s="11">
        <v>686931</v>
      </c>
      <c r="F287" s="10">
        <f t="shared" si="17"/>
        <v>1.3961978595563706E-3</v>
      </c>
      <c r="G287">
        <f t="shared" si="18"/>
        <v>103922.23609242981</v>
      </c>
      <c r="H287" s="2">
        <f t="shared" si="19"/>
        <v>790853.23609242984</v>
      </c>
    </row>
    <row r="288" spans="1:8" x14ac:dyDescent="0.2">
      <c r="A288">
        <v>2020</v>
      </c>
      <c r="B288" s="3" t="str">
        <f t="shared" si="16"/>
        <v>5298</v>
      </c>
      <c r="C288" s="10" t="s">
        <v>295</v>
      </c>
      <c r="D288" s="11">
        <v>86133</v>
      </c>
      <c r="E288" s="11">
        <v>86133</v>
      </c>
      <c r="F288" s="10">
        <f t="shared" si="17"/>
        <v>1.7506665187212232E-4</v>
      </c>
      <c r="G288">
        <f t="shared" si="18"/>
        <v>13030.615828007843</v>
      </c>
      <c r="H288" s="2">
        <f t="shared" si="19"/>
        <v>99163.615828007838</v>
      </c>
    </row>
    <row r="289" spans="1:8" x14ac:dyDescent="0.2">
      <c r="A289">
        <v>2020</v>
      </c>
      <c r="B289" s="3" t="str">
        <f t="shared" si="16"/>
        <v>5299</v>
      </c>
      <c r="C289" s="10" t="s">
        <v>296</v>
      </c>
      <c r="D289" s="11">
        <v>202228</v>
      </c>
      <c r="E289" s="11">
        <v>202228</v>
      </c>
      <c r="F289" s="10">
        <f t="shared" si="17"/>
        <v>4.1103153117615261E-4</v>
      </c>
      <c r="G289">
        <f t="shared" si="18"/>
        <v>30594.027581372648</v>
      </c>
      <c r="H289" s="2">
        <f t="shared" si="19"/>
        <v>232822.02758137265</v>
      </c>
    </row>
    <row r="290" spans="1:8" x14ac:dyDescent="0.2">
      <c r="A290">
        <v>2020</v>
      </c>
      <c r="B290" s="3" t="str">
        <f t="shared" si="16"/>
        <v>5300</v>
      </c>
      <c r="C290" s="10" t="s">
        <v>297</v>
      </c>
      <c r="D290" s="11">
        <v>638036</v>
      </c>
      <c r="E290" s="11">
        <v>638036</v>
      </c>
      <c r="F290" s="10">
        <f t="shared" si="17"/>
        <v>1.2968180174135516E-3</v>
      </c>
      <c r="G290">
        <f t="shared" si="18"/>
        <v>96525.164576164927</v>
      </c>
      <c r="H290" s="2">
        <f t="shared" si="19"/>
        <v>734561.16457616491</v>
      </c>
    </row>
    <row r="291" spans="1:8" x14ac:dyDescent="0.2">
      <c r="A291">
        <v>2020</v>
      </c>
      <c r="B291" s="3" t="str">
        <f t="shared" si="16"/>
        <v>5302</v>
      </c>
      <c r="C291" s="10" t="s">
        <v>298</v>
      </c>
      <c r="D291" s="11">
        <v>3252682</v>
      </c>
      <c r="E291" s="11">
        <v>3252682</v>
      </c>
      <c r="F291" s="10">
        <f t="shared" si="17"/>
        <v>6.611126366720288E-3</v>
      </c>
      <c r="G291">
        <f t="shared" si="18"/>
        <v>492081.42701027729</v>
      </c>
      <c r="H291" s="2">
        <f t="shared" si="19"/>
        <v>3744763.4270102773</v>
      </c>
    </row>
    <row r="292" spans="1:8" x14ac:dyDescent="0.2">
      <c r="A292">
        <v>2020</v>
      </c>
      <c r="B292" s="3" t="str">
        <f t="shared" si="16"/>
        <v>5303</v>
      </c>
      <c r="C292" s="10" t="s">
        <v>345</v>
      </c>
      <c r="D292" s="11">
        <v>1731879</v>
      </c>
      <c r="E292" s="11">
        <v>1731879</v>
      </c>
      <c r="F292" s="10">
        <f t="shared" si="17"/>
        <v>3.5200707972280003E-3</v>
      </c>
      <c r="G292">
        <f t="shared" si="18"/>
        <v>262007.01136143407</v>
      </c>
      <c r="H292" s="2">
        <f t="shared" si="19"/>
        <v>1993886.0113614341</v>
      </c>
    </row>
    <row r="293" spans="1:8" x14ac:dyDescent="0.2">
      <c r="A293">
        <v>2020</v>
      </c>
      <c r="B293" s="3" t="str">
        <f t="shared" si="16"/>
        <v>5304</v>
      </c>
      <c r="C293" s="10" t="s">
        <v>300</v>
      </c>
      <c r="D293" s="11">
        <v>1421617</v>
      </c>
      <c r="E293" s="11">
        <v>1421617</v>
      </c>
      <c r="F293" s="10">
        <f t="shared" si="17"/>
        <v>2.8894584936608606E-3</v>
      </c>
      <c r="G293">
        <f t="shared" si="18"/>
        <v>215069.07900067369</v>
      </c>
      <c r="H293" s="2">
        <f t="shared" si="19"/>
        <v>1636686.0790006737</v>
      </c>
    </row>
    <row r="294" spans="1:8" x14ac:dyDescent="0.2">
      <c r="A294">
        <v>2020</v>
      </c>
      <c r="B294" s="3" t="str">
        <f t="shared" si="16"/>
        <v>5305</v>
      </c>
      <c r="C294" s="10" t="s">
        <v>301</v>
      </c>
      <c r="D294" s="11">
        <v>296763</v>
      </c>
      <c r="E294" s="11">
        <v>296763</v>
      </c>
      <c r="F294" s="10">
        <f t="shared" si="17"/>
        <v>6.0317537772429429E-4</v>
      </c>
      <c r="G294">
        <f t="shared" si="18"/>
        <v>44895.738508667899</v>
      </c>
      <c r="H294" s="2">
        <f t="shared" si="19"/>
        <v>341658.73850866791</v>
      </c>
    </row>
    <row r="295" spans="1:8" x14ac:dyDescent="0.2">
      <c r="A295">
        <v>2020</v>
      </c>
      <c r="B295" s="3" t="str">
        <f t="shared" si="16"/>
        <v>5306</v>
      </c>
      <c r="C295" s="10" t="s">
        <v>302</v>
      </c>
      <c r="D295" s="11">
        <v>1168260</v>
      </c>
      <c r="E295" s="11">
        <v>1168260</v>
      </c>
      <c r="F295" s="10">
        <f t="shared" si="17"/>
        <v>2.3745064808624525E-3</v>
      </c>
      <c r="G295">
        <f t="shared" si="18"/>
        <v>176740.00960408256</v>
      </c>
      <c r="H295" s="2">
        <f t="shared" si="19"/>
        <v>1345000.0096040824</v>
      </c>
    </row>
    <row r="296" spans="1:8" x14ac:dyDescent="0.2">
      <c r="A296">
        <v>2020</v>
      </c>
      <c r="B296" s="3" t="str">
        <f t="shared" si="16"/>
        <v>5307</v>
      </c>
      <c r="C296" s="10" t="s">
        <v>303</v>
      </c>
      <c r="D296" s="11">
        <v>186317</v>
      </c>
      <c r="E296" s="11">
        <v>186317</v>
      </c>
      <c r="F296" s="10">
        <f t="shared" si="17"/>
        <v>3.7869217810662832E-4</v>
      </c>
      <c r="G296">
        <f t="shared" si="18"/>
        <v>28186.934731484307</v>
      </c>
      <c r="H296" s="2">
        <f t="shared" si="19"/>
        <v>214503.9347314843</v>
      </c>
    </row>
    <row r="297" spans="1:8" x14ac:dyDescent="0.2">
      <c r="A297">
        <v>2020</v>
      </c>
      <c r="B297" s="3" t="str">
        <f t="shared" si="16"/>
        <v>5308</v>
      </c>
      <c r="C297" s="10" t="s">
        <v>304</v>
      </c>
      <c r="D297" s="11">
        <v>11105138</v>
      </c>
      <c r="E297" s="11">
        <v>11105138</v>
      </c>
      <c r="F297" s="10">
        <f t="shared" si="17"/>
        <v>2.2571364381106854E-2</v>
      </c>
      <c r="G297">
        <f t="shared" si="18"/>
        <v>1680038.8584515967</v>
      </c>
      <c r="H297" s="2">
        <f t="shared" si="19"/>
        <v>12785176.858451597</v>
      </c>
    </row>
    <row r="298" spans="1:8" x14ac:dyDescent="0.2">
      <c r="A298">
        <v>2020</v>
      </c>
      <c r="B298" s="3" t="str">
        <f t="shared" si="16"/>
        <v>5309</v>
      </c>
      <c r="C298" s="10" t="s">
        <v>305</v>
      </c>
      <c r="D298" s="11">
        <v>761732</v>
      </c>
      <c r="E298" s="11">
        <v>761732</v>
      </c>
      <c r="F298" s="10">
        <f t="shared" si="17"/>
        <v>1.54823204653101E-3</v>
      </c>
      <c r="G298">
        <f t="shared" si="18"/>
        <v>115238.4922840267</v>
      </c>
      <c r="H298" s="2">
        <f t="shared" si="19"/>
        <v>876970.4922840267</v>
      </c>
    </row>
    <row r="299" spans="1:8" x14ac:dyDescent="0.2">
      <c r="A299">
        <v>2020</v>
      </c>
      <c r="B299" s="3" t="str">
        <f t="shared" si="16"/>
        <v>5310</v>
      </c>
      <c r="C299" s="10" t="s">
        <v>306</v>
      </c>
      <c r="D299" s="11">
        <v>113858</v>
      </c>
      <c r="E299" s="11">
        <v>113858</v>
      </c>
      <c r="F299" s="10">
        <f t="shared" si="17"/>
        <v>2.3141814227829174E-4</v>
      </c>
      <c r="G299">
        <f t="shared" si="18"/>
        <v>17224.987599936343</v>
      </c>
      <c r="H299" s="2">
        <f t="shared" si="19"/>
        <v>131082.98759993634</v>
      </c>
    </row>
    <row r="300" spans="1:8" x14ac:dyDescent="0.2">
      <c r="A300">
        <v>2020</v>
      </c>
      <c r="B300" s="3" t="str">
        <f t="shared" si="16"/>
        <v>5312</v>
      </c>
      <c r="C300" s="10" t="s">
        <v>307</v>
      </c>
      <c r="D300" s="11">
        <v>4063644</v>
      </c>
      <c r="E300" s="11">
        <v>4063644</v>
      </c>
      <c r="F300" s="10">
        <f t="shared" si="17"/>
        <v>8.25941914806449E-3</v>
      </c>
      <c r="G300">
        <f t="shared" si="18"/>
        <v>614767.67122692941</v>
      </c>
      <c r="H300" s="2">
        <f t="shared" si="19"/>
        <v>4678411.6712269299</v>
      </c>
    </row>
    <row r="301" spans="1:8" x14ac:dyDescent="0.2">
      <c r="A301">
        <v>2020</v>
      </c>
      <c r="B301" s="3" t="str">
        <f t="shared" si="16"/>
        <v>5313</v>
      </c>
      <c r="C301" s="10" t="s">
        <v>308</v>
      </c>
      <c r="D301" s="11">
        <v>363419</v>
      </c>
      <c r="E301" s="11">
        <v>363419</v>
      </c>
      <c r="F301" s="10">
        <f t="shared" si="17"/>
        <v>7.3865472648943864E-4</v>
      </c>
      <c r="G301">
        <f t="shared" si="18"/>
        <v>54979.779800991288</v>
      </c>
      <c r="H301" s="2">
        <f t="shared" si="19"/>
        <v>418398.77980099129</v>
      </c>
    </row>
    <row r="302" spans="1:8" x14ac:dyDescent="0.2">
      <c r="A302">
        <v>2020</v>
      </c>
      <c r="B302" s="3" t="str">
        <f t="shared" si="16"/>
        <v>5314</v>
      </c>
      <c r="C302" s="10" t="s">
        <v>309</v>
      </c>
      <c r="D302" s="11">
        <v>16132414</v>
      </c>
      <c r="E302" s="11">
        <v>16132414</v>
      </c>
      <c r="F302" s="10">
        <f t="shared" si="17"/>
        <v>3.2789380441816174E-2</v>
      </c>
      <c r="G302">
        <f t="shared" si="18"/>
        <v>2440589.4281213395</v>
      </c>
      <c r="H302" s="2">
        <f t="shared" si="19"/>
        <v>18573003.42812134</v>
      </c>
    </row>
    <row r="303" spans="1:8" x14ac:dyDescent="0.2">
      <c r="A303">
        <v>2020</v>
      </c>
      <c r="B303" s="3" t="str">
        <f t="shared" si="16"/>
        <v>5316</v>
      </c>
      <c r="C303" s="10" t="s">
        <v>310</v>
      </c>
      <c r="D303" s="11">
        <v>407960</v>
      </c>
      <c r="E303" s="11">
        <v>407960</v>
      </c>
      <c r="F303" s="10">
        <f t="shared" si="17"/>
        <v>8.2918499643285415E-4</v>
      </c>
      <c r="G303">
        <f t="shared" si="18"/>
        <v>61718.157189394085</v>
      </c>
      <c r="H303" s="2">
        <f t="shared" si="19"/>
        <v>469678.15718939411</v>
      </c>
    </row>
    <row r="304" spans="1:8" x14ac:dyDescent="0.2">
      <c r="A304">
        <v>2020</v>
      </c>
      <c r="B304" s="3" t="str">
        <f t="shared" si="16"/>
        <v>5229</v>
      </c>
      <c r="C304" s="10" t="s">
        <v>257</v>
      </c>
      <c r="D304" s="11">
        <v>365419</v>
      </c>
      <c r="E304" s="11">
        <v>365419</v>
      </c>
      <c r="F304" s="10">
        <f t="shared" si="17"/>
        <v>7.4271975735733188E-4</v>
      </c>
      <c r="G304">
        <f t="shared" si="18"/>
        <v>55282.349450904978</v>
      </c>
      <c r="H304" s="2">
        <f t="shared" si="19"/>
        <v>420701.34945090499</v>
      </c>
    </row>
    <row r="305" spans="1:8" x14ac:dyDescent="0.2">
      <c r="A305">
        <v>2020</v>
      </c>
      <c r="B305" s="3" t="str">
        <f t="shared" si="16"/>
        <v>5318</v>
      </c>
      <c r="C305" s="10" t="s">
        <v>312</v>
      </c>
      <c r="D305" s="11">
        <v>547652</v>
      </c>
      <c r="E305" s="11">
        <v>547652</v>
      </c>
      <c r="F305" s="10">
        <f t="shared" si="17"/>
        <v>1.1131111424317222E-3</v>
      </c>
      <c r="G305">
        <f t="shared" si="18"/>
        <v>82851.436957265527</v>
      </c>
      <c r="H305" s="2">
        <f t="shared" si="19"/>
        <v>630503.43695726548</v>
      </c>
    </row>
    <row r="306" spans="1:8" x14ac:dyDescent="0.2">
      <c r="A306">
        <v>2020</v>
      </c>
      <c r="B306" s="3" t="str">
        <f t="shared" si="16"/>
        <v>5319</v>
      </c>
      <c r="C306" s="10" t="s">
        <v>313</v>
      </c>
      <c r="D306" s="11">
        <v>803332</v>
      </c>
      <c r="E306" s="11">
        <v>803332</v>
      </c>
      <c r="F306" s="10">
        <f t="shared" si="17"/>
        <v>1.6327846885831885E-3</v>
      </c>
      <c r="G306">
        <f t="shared" si="18"/>
        <v>121531.94100223141</v>
      </c>
      <c r="H306" s="2">
        <f t="shared" si="19"/>
        <v>924863.94100223144</v>
      </c>
    </row>
    <row r="307" spans="1:8" x14ac:dyDescent="0.2">
      <c r="A307">
        <v>2020</v>
      </c>
      <c r="B307" s="3" t="str">
        <f t="shared" si="16"/>
        <v>5320</v>
      </c>
      <c r="C307" s="10" t="s">
        <v>314</v>
      </c>
      <c r="D307" s="11">
        <v>214330</v>
      </c>
      <c r="E307" s="11">
        <v>214330</v>
      </c>
      <c r="F307" s="10">
        <f t="shared" si="17"/>
        <v>4.3562903295777435E-4</v>
      </c>
      <c r="G307">
        <f t="shared" si="18"/>
        <v>32424.876533000377</v>
      </c>
      <c r="H307" s="2">
        <f t="shared" si="19"/>
        <v>246754.87653300038</v>
      </c>
    </row>
    <row r="308" spans="1:8" x14ac:dyDescent="0.2">
      <c r="A308">
        <v>2020</v>
      </c>
      <c r="B308" s="3" t="str">
        <f t="shared" si="16"/>
        <v>5321</v>
      </c>
      <c r="C308" s="10" t="s">
        <v>315</v>
      </c>
      <c r="D308" s="11">
        <v>460439</v>
      </c>
      <c r="E308" s="11">
        <v>460439</v>
      </c>
      <c r="F308" s="10">
        <f t="shared" si="17"/>
        <v>9.3584937389093762E-4</v>
      </c>
      <c r="G308">
        <f t="shared" si="18"/>
        <v>69657.4335183043</v>
      </c>
      <c r="H308" s="2">
        <f t="shared" si="19"/>
        <v>530096.43351830426</v>
      </c>
    </row>
    <row r="309" spans="1:8" x14ac:dyDescent="0.2">
      <c r="A309">
        <v>2020</v>
      </c>
      <c r="B309" s="3" t="str">
        <f t="shared" si="16"/>
        <v>5322</v>
      </c>
      <c r="C309" s="10" t="s">
        <v>316</v>
      </c>
      <c r="D309" s="11">
        <v>504465</v>
      </c>
      <c r="E309" s="11">
        <v>504465</v>
      </c>
      <c r="F309" s="10">
        <f t="shared" si="17"/>
        <v>1.0253328983858706E-3</v>
      </c>
      <c r="G309">
        <f t="shared" si="18"/>
        <v>76317.899221854314</v>
      </c>
      <c r="H309" s="2">
        <f t="shared" si="19"/>
        <v>580782.89922185428</v>
      </c>
    </row>
    <row r="310" spans="1:8" x14ac:dyDescent="0.2">
      <c r="A310">
        <v>2020</v>
      </c>
      <c r="B310" s="3" t="str">
        <f t="shared" si="16"/>
        <v>5324</v>
      </c>
      <c r="C310" s="10" t="s">
        <v>317</v>
      </c>
      <c r="D310" s="11">
        <v>23528939</v>
      </c>
      <c r="E310" s="11">
        <v>23528939</v>
      </c>
      <c r="F310" s="10">
        <f t="shared" si="17"/>
        <v>4.7822931661888037E-2</v>
      </c>
      <c r="G310">
        <f t="shared" si="18"/>
        <v>3559571.4180352604</v>
      </c>
      <c r="H310" s="2">
        <f t="shared" si="19"/>
        <v>27088510.418035261</v>
      </c>
    </row>
    <row r="311" spans="1:8" x14ac:dyDescent="0.2">
      <c r="A311">
        <v>2020</v>
      </c>
      <c r="B311" s="3" t="str">
        <f t="shared" si="16"/>
        <v>5329</v>
      </c>
      <c r="C311" s="10" t="s">
        <v>318</v>
      </c>
      <c r="D311" s="11">
        <v>221967</v>
      </c>
      <c r="E311" s="11">
        <v>221967</v>
      </c>
      <c r="F311" s="10">
        <f t="shared" si="17"/>
        <v>4.5115135332682451E-4</v>
      </c>
      <c r="G311">
        <f t="shared" si="18"/>
        <v>33580.23874119579</v>
      </c>
      <c r="H311" s="2">
        <f t="shared" si="19"/>
        <v>255547.23874119579</v>
      </c>
    </row>
    <row r="312" spans="1:8" x14ac:dyDescent="0.2">
      <c r="A312">
        <v>2020</v>
      </c>
      <c r="B312" s="3" t="str">
        <f t="shared" si="16"/>
        <v>5330</v>
      </c>
      <c r="C312" s="10" t="s">
        <v>319</v>
      </c>
      <c r="D312" s="11">
        <v>941358</v>
      </c>
      <c r="E312" s="11">
        <v>941358</v>
      </c>
      <c r="F312" s="10">
        <f t="shared" si="17"/>
        <v>1.9133246638691015E-3</v>
      </c>
      <c r="G312">
        <f t="shared" si="18"/>
        <v>142413.18025172476</v>
      </c>
      <c r="H312" s="2">
        <f t="shared" si="19"/>
        <v>1083771.1802517248</v>
      </c>
    </row>
    <row r="313" spans="1:8" x14ac:dyDescent="0.2">
      <c r="A313">
        <v>2020</v>
      </c>
      <c r="B313" s="3" t="str">
        <f t="shared" si="16"/>
        <v>5331</v>
      </c>
      <c r="C313" s="10" t="s">
        <v>320</v>
      </c>
      <c r="D313" s="11">
        <v>1138103</v>
      </c>
      <c r="E313" s="11">
        <v>1138103</v>
      </c>
      <c r="F313" s="10">
        <f t="shared" si="17"/>
        <v>2.313211912920925E-3</v>
      </c>
      <c r="G313">
        <f t="shared" si="18"/>
        <v>172177.71313785904</v>
      </c>
      <c r="H313" s="2">
        <f t="shared" si="19"/>
        <v>1310280.713137859</v>
      </c>
    </row>
    <row r="314" spans="1:8" x14ac:dyDescent="0.2">
      <c r="A314">
        <v>2020</v>
      </c>
      <c r="B314" s="3" t="str">
        <f t="shared" si="16"/>
        <v>5332</v>
      </c>
      <c r="C314" s="10" t="s">
        <v>321</v>
      </c>
      <c r="D314" s="11">
        <v>1363698</v>
      </c>
      <c r="E314" s="11">
        <v>1363698</v>
      </c>
      <c r="F314" s="10">
        <f t="shared" si="17"/>
        <v>2.7717372322421077E-3</v>
      </c>
      <c r="G314">
        <f t="shared" si="18"/>
        <v>206306.81322399827</v>
      </c>
      <c r="H314" s="2">
        <f t="shared" si="19"/>
        <v>1570004.8132239983</v>
      </c>
    </row>
    <row r="315" spans="1:8" x14ac:dyDescent="0.2">
      <c r="A315">
        <v>2020</v>
      </c>
      <c r="B315" s="3" t="str">
        <f t="shared" si="16"/>
        <v>5333</v>
      </c>
      <c r="C315" s="10" t="s">
        <v>322</v>
      </c>
      <c r="D315" s="11">
        <v>428852</v>
      </c>
      <c r="E315" s="11">
        <v>428852</v>
      </c>
      <c r="F315" s="10">
        <f t="shared" si="17"/>
        <v>8.7164830887886643E-4</v>
      </c>
      <c r="G315">
        <f t="shared" si="18"/>
        <v>64878.799752392464</v>
      </c>
      <c r="H315" s="2">
        <f t="shared" si="19"/>
        <v>493730.79975239246</v>
      </c>
    </row>
    <row r="316" spans="1:8" x14ac:dyDescent="0.2">
      <c r="A316">
        <v>2020</v>
      </c>
      <c r="B316" s="3" t="str">
        <f t="shared" si="16"/>
        <v>5337</v>
      </c>
      <c r="C316" s="10" t="s">
        <v>323</v>
      </c>
      <c r="D316" s="11">
        <v>1845563</v>
      </c>
      <c r="E316" s="11">
        <v>1845563</v>
      </c>
      <c r="F316" s="10">
        <f t="shared" si="17"/>
        <v>3.7511352818207851E-3</v>
      </c>
      <c r="G316">
        <f t="shared" si="18"/>
        <v>279205.6754018279</v>
      </c>
      <c r="H316" s="2">
        <f t="shared" si="19"/>
        <v>2124768.6754018278</v>
      </c>
    </row>
    <row r="317" spans="1:8" x14ac:dyDescent="0.2">
      <c r="A317">
        <v>2020</v>
      </c>
      <c r="B317" s="3" t="str">
        <f t="shared" si="16"/>
        <v>5366</v>
      </c>
      <c r="C317" s="10" t="s">
        <v>324</v>
      </c>
      <c r="D317" s="11">
        <v>895416</v>
      </c>
      <c r="E317" s="11">
        <v>895416</v>
      </c>
      <c r="F317" s="10">
        <f t="shared" si="17"/>
        <v>1.8199468398027269E-3</v>
      </c>
      <c r="G317">
        <f t="shared" si="18"/>
        <v>135462.85282355742</v>
      </c>
      <c r="H317" s="2">
        <f t="shared" si="19"/>
        <v>1030878.8528235574</v>
      </c>
    </row>
    <row r="318" spans="1:8" x14ac:dyDescent="0.2">
      <c r="A318">
        <v>2020</v>
      </c>
      <c r="B318" s="3" t="str">
        <f t="shared" si="16"/>
        <v>5367</v>
      </c>
      <c r="C318" s="10" t="s">
        <v>325</v>
      </c>
      <c r="D318" s="11">
        <v>343029</v>
      </c>
      <c r="E318" s="11">
        <v>343029</v>
      </c>
      <c r="F318" s="10">
        <f t="shared" si="17"/>
        <v>6.9721173679126753E-4</v>
      </c>
      <c r="G318">
        <f t="shared" si="18"/>
        <v>51895.082220121243</v>
      </c>
      <c r="H318" s="2">
        <f t="shared" si="19"/>
        <v>394924.08222012123</v>
      </c>
    </row>
    <row r="319" spans="1:8" x14ac:dyDescent="0.2">
      <c r="A319">
        <v>2020</v>
      </c>
      <c r="B319" s="3" t="str">
        <f t="shared" si="16"/>
        <v>5368</v>
      </c>
      <c r="C319" s="10" t="s">
        <v>326</v>
      </c>
      <c r="D319" s="11">
        <v>446434</v>
      </c>
      <c r="E319" s="11">
        <v>446434</v>
      </c>
      <c r="F319" s="10">
        <f t="shared" si="17"/>
        <v>9.0738399523851551E-4</v>
      </c>
      <c r="G319">
        <f t="shared" si="18"/>
        <v>67538.689544783701</v>
      </c>
      <c r="H319" s="2">
        <f t="shared" si="19"/>
        <v>513972.68954478367</v>
      </c>
    </row>
    <row r="320" spans="1:8" x14ac:dyDescent="0.2">
      <c r="A320">
        <v>2020</v>
      </c>
      <c r="B320" s="3" t="str">
        <f t="shared" si="16"/>
        <v>5405</v>
      </c>
      <c r="C320" s="10" t="s">
        <v>327</v>
      </c>
      <c r="D320" s="11">
        <v>200490</v>
      </c>
      <c r="E320" s="11">
        <v>200490</v>
      </c>
      <c r="F320" s="10">
        <f t="shared" si="17"/>
        <v>4.0749901935195344E-4</v>
      </c>
      <c r="G320">
        <f t="shared" si="18"/>
        <v>30331.094555597654</v>
      </c>
      <c r="H320" s="2">
        <f t="shared" si="19"/>
        <v>230821.09455559767</v>
      </c>
    </row>
    <row r="321" spans="1:8" x14ac:dyDescent="0.2">
      <c r="A321">
        <v>2020</v>
      </c>
      <c r="B321" s="3" t="str">
        <f t="shared" si="16"/>
        <v>5409</v>
      </c>
      <c r="C321" s="10" t="s">
        <v>328</v>
      </c>
      <c r="D321" s="11">
        <v>257222</v>
      </c>
      <c r="E321" s="11">
        <v>257222</v>
      </c>
      <c r="F321" s="10">
        <f t="shared" si="17"/>
        <v>5.2280768495061188E-4</v>
      </c>
      <c r="G321">
        <f t="shared" si="18"/>
        <v>38913.78524504933</v>
      </c>
      <c r="H321" s="2">
        <f t="shared" si="19"/>
        <v>296135.78524504934</v>
      </c>
    </row>
    <row r="322" spans="1:8" x14ac:dyDescent="0.2">
      <c r="A322">
        <v>2020</v>
      </c>
      <c r="B322" s="3" t="str">
        <f t="shared" si="16"/>
        <v>5410</v>
      </c>
      <c r="C322" s="10" t="s">
        <v>329</v>
      </c>
      <c r="D322" s="11">
        <v>218487</v>
      </c>
      <c r="E322" s="11">
        <v>218487</v>
      </c>
      <c r="F322" s="10">
        <f t="shared" si="17"/>
        <v>4.4407819961669035E-4</v>
      </c>
      <c r="G322">
        <f t="shared" si="18"/>
        <v>33053.767550345976</v>
      </c>
      <c r="H322" s="2">
        <f t="shared" si="19"/>
        <v>251540.76755034598</v>
      </c>
    </row>
    <row r="323" spans="1:8" x14ac:dyDescent="0.2">
      <c r="A323">
        <v>2020</v>
      </c>
      <c r="B323" s="3" t="str">
        <f t="shared" ref="B323:B338" si="20">LEFT(C323,4)</f>
        <v>5430</v>
      </c>
      <c r="C323" s="10" t="s">
        <v>330</v>
      </c>
      <c r="D323" s="11">
        <v>26154240</v>
      </c>
      <c r="E323" s="11">
        <v>26154240</v>
      </c>
      <c r="F323" s="10">
        <f t="shared" ref="F323:F338" si="21">D323/$D$340</f>
        <v>5.3158896463143472E-2</v>
      </c>
      <c r="G323">
        <f t="shared" ref="G323:G338" si="22">F323*$D$341</f>
        <v>3956739.6202792879</v>
      </c>
      <c r="H323" s="2">
        <f t="shared" ref="H323:H338" si="23">SUM(G323,D323)</f>
        <v>30110979.62027929</v>
      </c>
    </row>
    <row r="324" spans="1:8" x14ac:dyDescent="0.2">
      <c r="A324">
        <v>2020</v>
      </c>
      <c r="B324" s="3" t="str">
        <f t="shared" si="20"/>
        <v>5436</v>
      </c>
      <c r="C324" s="10" t="s">
        <v>331</v>
      </c>
      <c r="D324" s="11">
        <v>682467</v>
      </c>
      <c r="E324" s="11">
        <v>682467</v>
      </c>
      <c r="F324" s="10">
        <f t="shared" si="21"/>
        <v>1.3871247106592328E-3</v>
      </c>
      <c r="G324">
        <f t="shared" si="22"/>
        <v>103246.90063382246</v>
      </c>
      <c r="H324" s="2">
        <f t="shared" si="23"/>
        <v>785713.90063382243</v>
      </c>
    </row>
    <row r="325" spans="1:8" x14ac:dyDescent="0.2">
      <c r="A325">
        <v>2020</v>
      </c>
      <c r="B325" s="3" t="str">
        <f t="shared" si="20"/>
        <v>5590</v>
      </c>
      <c r="C325" s="10" t="s">
        <v>332</v>
      </c>
      <c r="D325" s="11">
        <v>143761</v>
      </c>
      <c r="E325" s="11">
        <v>143761</v>
      </c>
      <c r="F325" s="10">
        <f t="shared" si="21"/>
        <v>2.9219645129959686E-4</v>
      </c>
      <c r="G325">
        <f t="shared" si="22"/>
        <v>21748.85772062085</v>
      </c>
      <c r="H325" s="2">
        <f t="shared" si="23"/>
        <v>165509.85772062084</v>
      </c>
    </row>
    <row r="326" spans="1:8" x14ac:dyDescent="0.2">
      <c r="A326">
        <v>2020</v>
      </c>
      <c r="B326" s="3" t="str">
        <f t="shared" si="20"/>
        <v>5696</v>
      </c>
      <c r="C326" s="10" t="s">
        <v>333</v>
      </c>
      <c r="D326" s="11">
        <v>249157</v>
      </c>
      <c r="E326" s="11">
        <v>249157</v>
      </c>
      <c r="F326" s="10">
        <f t="shared" si="21"/>
        <v>5.064154479758325E-4</v>
      </c>
      <c r="G326">
        <f t="shared" si="22"/>
        <v>37693.673131772382</v>
      </c>
      <c r="H326" s="2">
        <f t="shared" si="23"/>
        <v>286850.67313177238</v>
      </c>
    </row>
    <row r="327" spans="1:8" x14ac:dyDescent="0.2">
      <c r="A327">
        <v>2020</v>
      </c>
      <c r="B327" s="3" t="str">
        <f t="shared" si="20"/>
        <v>9291</v>
      </c>
      <c r="C327" s="10" t="s">
        <v>334</v>
      </c>
      <c r="D327" s="11">
        <v>351175</v>
      </c>
      <c r="E327" s="11">
        <v>351175</v>
      </c>
      <c r="F327" s="10">
        <f t="shared" si="21"/>
        <v>7.1376860751619657E-4</v>
      </c>
      <c r="G327">
        <f t="shared" si="22"/>
        <v>53127.448404219693</v>
      </c>
      <c r="H327" s="2">
        <f t="shared" si="23"/>
        <v>404302.4484042197</v>
      </c>
    </row>
    <row r="328" spans="1:8" x14ac:dyDescent="0.2">
      <c r="A328">
        <v>2020</v>
      </c>
      <c r="B328" s="3" t="str">
        <f t="shared" si="20"/>
        <v>9302</v>
      </c>
      <c r="C328" s="10" t="s">
        <v>335</v>
      </c>
      <c r="D328" s="11">
        <v>156832</v>
      </c>
      <c r="E328" s="11">
        <v>156832</v>
      </c>
      <c r="F328" s="10">
        <f t="shared" si="21"/>
        <v>3.1876346053671283E-4</v>
      </c>
      <c r="G328">
        <f t="shared" si="22"/>
        <v>23726.301667631757</v>
      </c>
      <c r="H328" s="2">
        <f t="shared" si="23"/>
        <v>180558.30166763175</v>
      </c>
    </row>
    <row r="329" spans="1:8" x14ac:dyDescent="0.2">
      <c r="A329">
        <v>2020</v>
      </c>
      <c r="B329" s="3" t="str">
        <f t="shared" si="20"/>
        <v>9332</v>
      </c>
      <c r="C329" s="10" t="s">
        <v>336</v>
      </c>
      <c r="D329" s="11">
        <v>306011</v>
      </c>
      <c r="E329" s="11">
        <v>306011</v>
      </c>
      <c r="F329" s="10">
        <f t="shared" si="21"/>
        <v>6.2197208045743242E-4</v>
      </c>
      <c r="G329">
        <f t="shared" si="22"/>
        <v>46294.820569868796</v>
      </c>
      <c r="H329" s="2">
        <f t="shared" si="23"/>
        <v>352305.82056986878</v>
      </c>
    </row>
    <row r="330" spans="1:8" x14ac:dyDescent="0.2">
      <c r="A330">
        <v>2020</v>
      </c>
      <c r="B330" s="3" t="str">
        <f t="shared" si="20"/>
        <v>9333</v>
      </c>
      <c r="C330" s="10" t="s">
        <v>337</v>
      </c>
      <c r="D330" s="11">
        <v>339156</v>
      </c>
      <c r="E330" s="11">
        <v>339156</v>
      </c>
      <c r="F330" s="10">
        <f t="shared" si="21"/>
        <v>6.8933980451559235E-4</v>
      </c>
      <c r="G330">
        <f t="shared" si="22"/>
        <v>51309.156093063386</v>
      </c>
      <c r="H330" s="2">
        <f t="shared" si="23"/>
        <v>390465.15609306342</v>
      </c>
    </row>
    <row r="331" spans="1:8" x14ac:dyDescent="0.2">
      <c r="A331">
        <v>2020</v>
      </c>
      <c r="B331" s="3" t="str">
        <f t="shared" si="20"/>
        <v>9335</v>
      </c>
      <c r="C331" s="10" t="s">
        <v>338</v>
      </c>
      <c r="D331" s="11">
        <v>447810</v>
      </c>
      <c r="E331" s="11">
        <v>447810</v>
      </c>
      <c r="F331" s="10">
        <f t="shared" si="21"/>
        <v>9.1018073647562605E-4</v>
      </c>
      <c r="G331">
        <f t="shared" si="22"/>
        <v>67746.857463924316</v>
      </c>
      <c r="H331" s="2">
        <f t="shared" si="23"/>
        <v>515556.85746392433</v>
      </c>
    </row>
    <row r="332" spans="1:8" x14ac:dyDescent="0.2">
      <c r="A332">
        <v>2020</v>
      </c>
      <c r="B332" s="3" t="str">
        <f t="shared" si="20"/>
        <v>9389</v>
      </c>
      <c r="C332" s="10" t="s">
        <v>339</v>
      </c>
      <c r="D332" s="11">
        <v>268841</v>
      </c>
      <c r="E332" s="11">
        <v>268841</v>
      </c>
      <c r="F332" s="10">
        <f t="shared" si="21"/>
        <v>5.464234817776373E-4</v>
      </c>
      <c r="G332">
        <f t="shared" si="22"/>
        <v>40671.563626222895</v>
      </c>
      <c r="H332" s="2">
        <f t="shared" si="23"/>
        <v>309512.56362622289</v>
      </c>
    </row>
    <row r="333" spans="1:8" x14ac:dyDescent="0.2">
      <c r="A333">
        <v>2020</v>
      </c>
      <c r="B333" s="3" t="str">
        <f t="shared" si="20"/>
        <v>9410</v>
      </c>
      <c r="C333" s="10" t="s">
        <v>340</v>
      </c>
      <c r="D333" s="11">
        <v>356358</v>
      </c>
      <c r="E333" s="11">
        <v>356358</v>
      </c>
      <c r="F333" s="10">
        <f t="shared" si="21"/>
        <v>7.2430313501034181E-4</v>
      </c>
      <c r="G333">
        <f t="shared" si="22"/>
        <v>53911.557651971023</v>
      </c>
      <c r="H333" s="2">
        <f t="shared" si="23"/>
        <v>410269.557651971</v>
      </c>
    </row>
    <row r="334" spans="1:8" x14ac:dyDescent="0.2">
      <c r="A334">
        <v>2020</v>
      </c>
      <c r="B334" s="3" t="str">
        <f t="shared" si="20"/>
        <v>9444</v>
      </c>
      <c r="C334" s="10" t="s">
        <v>341</v>
      </c>
      <c r="D334" s="11">
        <v>560872</v>
      </c>
      <c r="E334" s="11">
        <v>560872</v>
      </c>
      <c r="F334" s="10">
        <f t="shared" si="21"/>
        <v>1.1399809964684963E-3</v>
      </c>
      <c r="G334">
        <f t="shared" si="22"/>
        <v>84851.422343195009</v>
      </c>
      <c r="H334" s="2">
        <f t="shared" si="23"/>
        <v>645723.42234319495</v>
      </c>
    </row>
    <row r="335" spans="1:8" x14ac:dyDescent="0.2">
      <c r="A335">
        <v>2020</v>
      </c>
      <c r="B335" s="3" t="str">
        <f t="shared" si="20"/>
        <v>9445</v>
      </c>
      <c r="C335" s="10" t="s">
        <v>342</v>
      </c>
      <c r="D335" s="11">
        <v>519678</v>
      </c>
      <c r="E335" s="11">
        <v>519678</v>
      </c>
      <c r="F335" s="10">
        <f t="shared" si="21"/>
        <v>1.0562535556825001E-3</v>
      </c>
      <c r="G335">
        <f t="shared" si="22"/>
        <v>78619.395263922779</v>
      </c>
      <c r="H335" s="2">
        <f t="shared" si="23"/>
        <v>598297.39526392275</v>
      </c>
    </row>
    <row r="336" spans="1:8" x14ac:dyDescent="0.2">
      <c r="A336">
        <v>2020</v>
      </c>
      <c r="B336" s="3" t="str">
        <f t="shared" si="20"/>
        <v>9446</v>
      </c>
      <c r="C336" s="10" t="s">
        <v>343</v>
      </c>
      <c r="D336" s="11">
        <v>991626</v>
      </c>
      <c r="E336" s="11">
        <v>991626</v>
      </c>
      <c r="F336" s="10">
        <f t="shared" si="21"/>
        <v>2.0154951497027293E-3</v>
      </c>
      <c r="G336">
        <f t="shared" si="22"/>
        <v>150017.96583265541</v>
      </c>
      <c r="H336" s="2">
        <f t="shared" si="23"/>
        <v>1141643.9658326553</v>
      </c>
    </row>
    <row r="337" spans="1:8" x14ac:dyDescent="0.2">
      <c r="A337">
        <v>2020</v>
      </c>
      <c r="B337" s="3" t="str">
        <f t="shared" si="20"/>
        <v>9461</v>
      </c>
      <c r="C337" s="10" t="s">
        <v>344</v>
      </c>
      <c r="D337" s="11">
        <v>694537</v>
      </c>
      <c r="E337" s="11">
        <v>694537</v>
      </c>
      <c r="F337" s="10">
        <f t="shared" si="21"/>
        <v>1.4116571719469684E-3</v>
      </c>
      <c r="G337">
        <f t="shared" si="22"/>
        <v>105072.90847105157</v>
      </c>
      <c r="H337" s="2">
        <f t="shared" si="23"/>
        <v>799609.9084710516</v>
      </c>
    </row>
    <row r="338" spans="1:8" x14ac:dyDescent="0.2">
      <c r="A338">
        <v>2020</v>
      </c>
      <c r="B338" s="3" t="str">
        <f t="shared" si="20"/>
        <v>5317</v>
      </c>
      <c r="C338" s="10" t="s">
        <v>311</v>
      </c>
      <c r="D338" s="11">
        <v>492030</v>
      </c>
      <c r="E338" s="11">
        <v>492030</v>
      </c>
      <c r="F338" s="10">
        <f t="shared" si="21"/>
        <v>1.0000585689647445E-3</v>
      </c>
      <c r="G338">
        <f t="shared" si="22"/>
        <v>74436.672423515949</v>
      </c>
      <c r="H338" s="2">
        <f t="shared" si="23"/>
        <v>566466.67242351593</v>
      </c>
    </row>
    <row r="340" spans="1:8" x14ac:dyDescent="0.2">
      <c r="C340" s="13" t="s">
        <v>346</v>
      </c>
      <c r="D340" s="2">
        <f>SUM(D2:D338)</f>
        <v>492001184</v>
      </c>
    </row>
    <row r="341" spans="1:8" x14ac:dyDescent="0.2">
      <c r="C341" s="13" t="s">
        <v>347</v>
      </c>
      <c r="D341" s="2">
        <v>74432313</v>
      </c>
    </row>
    <row r="342" spans="1:8" x14ac:dyDescent="0.2">
      <c r="C342" s="3"/>
    </row>
    <row r="343" spans="1:8" x14ac:dyDescent="0.2">
      <c r="C343" s="3" t="s">
        <v>348</v>
      </c>
      <c r="D343" s="2">
        <v>492001184</v>
      </c>
    </row>
    <row r="344" spans="1:8" x14ac:dyDescent="0.2">
      <c r="C344" s="3" t="s">
        <v>347</v>
      </c>
      <c r="D344" s="2">
        <v>74432313</v>
      </c>
    </row>
    <row r="345" spans="1:8" x14ac:dyDescent="0.2">
      <c r="C345" s="3"/>
    </row>
    <row r="346" spans="1:8" x14ac:dyDescent="0.2">
      <c r="C346" s="15" t="s">
        <v>349</v>
      </c>
      <c r="D346" s="16">
        <f>D340-D343</f>
        <v>0</v>
      </c>
    </row>
    <row r="347" spans="1:8" x14ac:dyDescent="0.2">
      <c r="D347" s="16">
        <f>D341-D344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EAEC-5E10-BA4D-844F-B2DC4F83A426}">
  <sheetPr>
    <tabColor rgb="FFFFFF00"/>
  </sheetPr>
  <dimension ref="A1:H347"/>
  <sheetViews>
    <sheetView workbookViewId="0">
      <selection activeCell="G2" sqref="G2:H338"/>
    </sheetView>
  </sheetViews>
  <sheetFormatPr baseColWidth="10" defaultRowHeight="16" x14ac:dyDescent="0.2"/>
  <cols>
    <col min="2" max="2" width="11.83203125" bestFit="1" customWidth="1"/>
    <col min="3" max="3" width="48" bestFit="1" customWidth="1"/>
    <col min="4" max="4" width="18.83203125" bestFit="1" customWidth="1"/>
    <col min="5" max="5" width="16.83203125" bestFit="1" customWidth="1"/>
    <col min="6" max="6" width="12.1640625" bestFit="1" customWidth="1"/>
    <col min="7" max="7" width="19.5" customWidth="1"/>
    <col min="8" max="8" width="16.83203125" bestFit="1" customWidth="1"/>
  </cols>
  <sheetData>
    <row r="1" spans="1:8" x14ac:dyDescent="0.2">
      <c r="A1" t="s">
        <v>1</v>
      </c>
      <c r="B1" s="3" t="s">
        <v>5</v>
      </c>
      <c r="C1" s="3" t="s">
        <v>4</v>
      </c>
      <c r="D1" s="3" t="s">
        <v>350</v>
      </c>
      <c r="E1" s="3" t="s">
        <v>372</v>
      </c>
      <c r="G1" t="s">
        <v>368</v>
      </c>
      <c r="H1" t="s">
        <v>351</v>
      </c>
    </row>
    <row r="2" spans="1:8" x14ac:dyDescent="0.2">
      <c r="A2">
        <v>2019</v>
      </c>
      <c r="B2" s="3" t="str">
        <f>LEFT(C2,4)</f>
        <v>4930</v>
      </c>
      <c r="C2" s="3" t="s">
        <v>9</v>
      </c>
      <c r="D2" s="13">
        <v>5694</v>
      </c>
      <c r="E2" s="13">
        <v>5694</v>
      </c>
      <c r="F2" s="3">
        <f>E2/$D$340</f>
        <v>1.273091712659471E-5</v>
      </c>
      <c r="G2" s="3">
        <f>F2*$D$341</f>
        <v>867.1837977798765</v>
      </c>
      <c r="H2" s="2">
        <f>SUM(G2,D2)</f>
        <v>6561.1837977798768</v>
      </c>
    </row>
    <row r="3" spans="1:8" x14ac:dyDescent="0.2">
      <c r="A3">
        <v>2019</v>
      </c>
      <c r="B3" s="3" t="str">
        <f t="shared" ref="B3:B66" si="0">LEFT(C3,4)</f>
        <v>4931</v>
      </c>
      <c r="C3" s="3" t="s">
        <v>10</v>
      </c>
      <c r="D3" s="13">
        <v>3293</v>
      </c>
      <c r="E3" s="13">
        <v>3293</v>
      </c>
      <c r="F3" s="3">
        <f t="shared" ref="F3:F66" si="1">E3/$D$340</f>
        <v>7.3626466627812402E-6</v>
      </c>
      <c r="G3" s="3">
        <f t="shared" ref="G3:G66" si="2">F3*$D$341</f>
        <v>501.51672744803886</v>
      </c>
      <c r="H3" s="2">
        <f t="shared" ref="H3:H66" si="3">SUM(G3,D3)</f>
        <v>3794.5167274480391</v>
      </c>
    </row>
    <row r="4" spans="1:8" x14ac:dyDescent="0.2">
      <c r="A4">
        <v>2019</v>
      </c>
      <c r="B4" s="3" t="str">
        <f t="shared" si="0"/>
        <v>5045</v>
      </c>
      <c r="C4" s="3" t="s">
        <v>11</v>
      </c>
      <c r="D4" s="13">
        <v>5083</v>
      </c>
      <c r="E4" s="13">
        <v>5083</v>
      </c>
      <c r="F4" s="3">
        <f t="shared" si="1"/>
        <v>1.1364814147256922E-5</v>
      </c>
      <c r="G4" s="3">
        <f t="shared" si="2"/>
        <v>774.12982861171622</v>
      </c>
      <c r="H4" s="2">
        <f t="shared" si="3"/>
        <v>5857.1298286117162</v>
      </c>
    </row>
    <row r="5" spans="1:8" x14ac:dyDescent="0.2">
      <c r="A5">
        <v>2019</v>
      </c>
      <c r="B5" s="3" t="str">
        <f t="shared" si="0"/>
        <v>5046</v>
      </c>
      <c r="C5" s="3" t="s">
        <v>12</v>
      </c>
      <c r="D5" s="3"/>
      <c r="E5" s="3"/>
      <c r="F5" s="3">
        <f t="shared" si="1"/>
        <v>0</v>
      </c>
      <c r="G5" s="3">
        <f t="shared" si="2"/>
        <v>0</v>
      </c>
      <c r="H5" s="2">
        <f t="shared" si="3"/>
        <v>0</v>
      </c>
    </row>
    <row r="6" spans="1:8" x14ac:dyDescent="0.2">
      <c r="A6">
        <v>2019</v>
      </c>
      <c r="B6" s="3" t="str">
        <f t="shared" si="0"/>
        <v>5047</v>
      </c>
      <c r="C6" s="3" t="s">
        <v>13</v>
      </c>
      <c r="D6" s="13">
        <v>4500</v>
      </c>
      <c r="E6" s="13">
        <v>4500</v>
      </c>
      <c r="F6" s="3">
        <f t="shared" si="1"/>
        <v>1.0061314905106463E-5</v>
      </c>
      <c r="G6" s="3">
        <f t="shared" si="2"/>
        <v>685.34019845617217</v>
      </c>
      <c r="H6" s="2">
        <f t="shared" si="3"/>
        <v>5185.3401984561724</v>
      </c>
    </row>
    <row r="7" spans="1:8" x14ac:dyDescent="0.2">
      <c r="A7">
        <v>2019</v>
      </c>
      <c r="B7" s="3" t="str">
        <f t="shared" si="0"/>
        <v>5048</v>
      </c>
      <c r="C7" s="3" t="s">
        <v>14</v>
      </c>
      <c r="D7" s="13">
        <v>66702</v>
      </c>
      <c r="E7" s="13">
        <v>66702</v>
      </c>
      <c r="F7" s="3">
        <f t="shared" si="1"/>
        <v>1.4913551706675806E-4</v>
      </c>
      <c r="G7" s="3">
        <f t="shared" si="2"/>
        <v>10158.569314983022</v>
      </c>
      <c r="H7" s="2">
        <f t="shared" si="3"/>
        <v>76860.569314983019</v>
      </c>
    </row>
    <row r="8" spans="1:8" x14ac:dyDescent="0.2">
      <c r="A8">
        <v>2019</v>
      </c>
      <c r="B8" s="3" t="str">
        <f t="shared" si="0"/>
        <v>5049</v>
      </c>
      <c r="C8" s="3" t="s">
        <v>15</v>
      </c>
      <c r="D8" s="13">
        <v>108247</v>
      </c>
      <c r="E8" s="13">
        <v>108247</v>
      </c>
      <c r="F8" s="3">
        <f t="shared" si="1"/>
        <v>2.4202381211845762E-4</v>
      </c>
      <c r="G8" s="3">
        <f t="shared" si="2"/>
        <v>16485.782324952281</v>
      </c>
      <c r="H8" s="2">
        <f t="shared" si="3"/>
        <v>124732.78232495228</v>
      </c>
    </row>
    <row r="9" spans="1:8" x14ac:dyDescent="0.2">
      <c r="A9">
        <v>2019</v>
      </c>
      <c r="B9" s="3" t="str">
        <f t="shared" si="0"/>
        <v>5050</v>
      </c>
      <c r="C9" s="3" t="s">
        <v>16</v>
      </c>
      <c r="D9" s="13">
        <v>4987</v>
      </c>
      <c r="E9" s="13">
        <v>4987</v>
      </c>
      <c r="F9" s="3">
        <f t="shared" si="1"/>
        <v>1.1150172762614651E-5</v>
      </c>
      <c r="G9" s="3">
        <f t="shared" si="2"/>
        <v>759.50923771131795</v>
      </c>
      <c r="H9" s="2">
        <f t="shared" si="3"/>
        <v>5746.5092377113178</v>
      </c>
    </row>
    <row r="10" spans="1:8" x14ac:dyDescent="0.2">
      <c r="A10">
        <v>2019</v>
      </c>
      <c r="B10" s="3" t="str">
        <f t="shared" si="0"/>
        <v>5107</v>
      </c>
      <c r="C10" s="3" t="s">
        <v>17</v>
      </c>
      <c r="D10" s="13">
        <v>21365</v>
      </c>
      <c r="E10" s="13">
        <v>21365</v>
      </c>
      <c r="F10" s="3">
        <f t="shared" si="1"/>
        <v>4.7768887321688796E-5</v>
      </c>
      <c r="G10" s="3">
        <f t="shared" si="2"/>
        <v>3253.8429644480266</v>
      </c>
      <c r="H10" s="2">
        <f t="shared" si="3"/>
        <v>24618.842964448027</v>
      </c>
    </row>
    <row r="11" spans="1:8" x14ac:dyDescent="0.2">
      <c r="A11">
        <v>2019</v>
      </c>
      <c r="B11" s="3" t="str">
        <f t="shared" si="0"/>
        <v>5108</v>
      </c>
      <c r="C11" s="3" t="s">
        <v>18</v>
      </c>
      <c r="D11" s="13">
        <v>13808</v>
      </c>
      <c r="E11" s="13">
        <v>13808</v>
      </c>
      <c r="F11" s="3">
        <f t="shared" si="1"/>
        <v>3.0872585824380005E-5</v>
      </c>
      <c r="G11" s="3">
        <f t="shared" si="2"/>
        <v>2102.9283245072943</v>
      </c>
      <c r="H11" s="2">
        <f t="shared" si="3"/>
        <v>15910.928324507295</v>
      </c>
    </row>
    <row r="12" spans="1:8" x14ac:dyDescent="0.2">
      <c r="A12">
        <v>2019</v>
      </c>
      <c r="B12" s="3" t="str">
        <f t="shared" si="0"/>
        <v>5109</v>
      </c>
      <c r="C12" s="3" t="s">
        <v>19</v>
      </c>
      <c r="D12" s="13">
        <v>48060</v>
      </c>
      <c r="E12" s="13">
        <v>48060</v>
      </c>
      <c r="F12" s="3">
        <f t="shared" si="1"/>
        <v>1.0745484318653702E-4</v>
      </c>
      <c r="G12" s="3">
        <f t="shared" si="2"/>
        <v>7319.4333195119189</v>
      </c>
      <c r="H12" s="2">
        <f t="shared" si="3"/>
        <v>55379.433319511918</v>
      </c>
    </row>
    <row r="13" spans="1:8" x14ac:dyDescent="0.2">
      <c r="A13">
        <v>2019</v>
      </c>
      <c r="B13" s="3" t="str">
        <f t="shared" si="0"/>
        <v>5110</v>
      </c>
      <c r="C13" s="3" t="s">
        <v>20</v>
      </c>
      <c r="D13" s="13">
        <v>16386</v>
      </c>
      <c r="E13" s="13">
        <v>16386</v>
      </c>
      <c r="F13" s="3">
        <f t="shared" si="1"/>
        <v>3.6636601341127663E-5</v>
      </c>
      <c r="G13" s="3">
        <f t="shared" si="2"/>
        <v>2495.5521093117413</v>
      </c>
      <c r="H13" s="2">
        <f t="shared" si="3"/>
        <v>18881.552109311742</v>
      </c>
    </row>
    <row r="14" spans="1:8" x14ac:dyDescent="0.2">
      <c r="A14">
        <v>2019</v>
      </c>
      <c r="B14" s="3" t="str">
        <f t="shared" si="0"/>
        <v>5111</v>
      </c>
      <c r="C14" s="3" t="s">
        <v>21</v>
      </c>
      <c r="D14" s="3"/>
      <c r="E14" s="3"/>
      <c r="F14" s="3">
        <f t="shared" si="1"/>
        <v>0</v>
      </c>
      <c r="G14" s="3">
        <f t="shared" si="2"/>
        <v>0</v>
      </c>
      <c r="H14" s="2">
        <f t="shared" si="3"/>
        <v>0</v>
      </c>
    </row>
    <row r="15" spans="1:8" x14ac:dyDescent="0.2">
      <c r="A15">
        <v>2019</v>
      </c>
      <c r="B15" s="3" t="str">
        <f t="shared" si="0"/>
        <v>5112</v>
      </c>
      <c r="C15" s="3" t="s">
        <v>22</v>
      </c>
      <c r="D15" s="13">
        <v>6760</v>
      </c>
      <c r="E15" s="13">
        <v>6760</v>
      </c>
      <c r="F15" s="3">
        <f t="shared" si="1"/>
        <v>1.5114330835226598E-5</v>
      </c>
      <c r="G15" s="3">
        <f t="shared" si="2"/>
        <v>1029.5332759030498</v>
      </c>
      <c r="H15" s="2">
        <f t="shared" si="3"/>
        <v>7789.5332759030498</v>
      </c>
    </row>
    <row r="16" spans="1:8" x14ac:dyDescent="0.2">
      <c r="A16">
        <v>2019</v>
      </c>
      <c r="B16" s="3" t="str">
        <f t="shared" si="0"/>
        <v>5113</v>
      </c>
      <c r="C16" s="3" t="s">
        <v>23</v>
      </c>
      <c r="D16" s="13">
        <v>10423</v>
      </c>
      <c r="E16" s="13">
        <v>10423</v>
      </c>
      <c r="F16" s="3">
        <f t="shared" si="1"/>
        <v>2.3304241167983257E-5</v>
      </c>
      <c r="G16" s="3">
        <f t="shared" si="2"/>
        <v>1587.4001974463738</v>
      </c>
      <c r="H16" s="2">
        <f t="shared" si="3"/>
        <v>12010.400197446374</v>
      </c>
    </row>
    <row r="17" spans="1:8" x14ac:dyDescent="0.2">
      <c r="A17">
        <v>2019</v>
      </c>
      <c r="B17" s="3" t="str">
        <f t="shared" si="0"/>
        <v>5177</v>
      </c>
      <c r="C17" s="3" t="s">
        <v>24</v>
      </c>
      <c r="D17" s="13">
        <v>22632</v>
      </c>
      <c r="E17" s="13">
        <v>22632</v>
      </c>
      <c r="F17" s="3">
        <f t="shared" si="1"/>
        <v>5.0601706429415438E-5</v>
      </c>
      <c r="G17" s="3">
        <f t="shared" si="2"/>
        <v>3446.8043047689089</v>
      </c>
      <c r="H17" s="2">
        <f t="shared" si="3"/>
        <v>26078.80430476891</v>
      </c>
    </row>
    <row r="18" spans="1:8" x14ac:dyDescent="0.2">
      <c r="A18">
        <v>2019</v>
      </c>
      <c r="B18" s="3" t="str">
        <f t="shared" si="0"/>
        <v>5178</v>
      </c>
      <c r="C18" s="3" t="s">
        <v>25</v>
      </c>
      <c r="D18" s="13">
        <v>35251</v>
      </c>
      <c r="E18" s="13">
        <v>35251</v>
      </c>
      <c r="F18" s="3">
        <f t="shared" si="1"/>
        <v>7.8815869271090652E-5</v>
      </c>
      <c r="G18" s="3">
        <f t="shared" si="2"/>
        <v>5368.6505190618946</v>
      </c>
      <c r="H18" s="2">
        <f t="shared" si="3"/>
        <v>40619.650519061892</v>
      </c>
    </row>
    <row r="19" spans="1:8" x14ac:dyDescent="0.2">
      <c r="A19">
        <v>2019</v>
      </c>
      <c r="B19" s="3" t="str">
        <f t="shared" si="0"/>
        <v>5179</v>
      </c>
      <c r="C19" s="3" t="s">
        <v>26</v>
      </c>
      <c r="D19" s="13">
        <v>29838</v>
      </c>
      <c r="E19" s="13">
        <v>29838</v>
      </c>
      <c r="F19" s="3">
        <f t="shared" si="1"/>
        <v>6.6713225364125917E-5</v>
      </c>
      <c r="G19" s="3">
        <f t="shared" si="2"/>
        <v>4544.2624092300584</v>
      </c>
      <c r="H19" s="2">
        <f t="shared" si="3"/>
        <v>34382.262409230061</v>
      </c>
    </row>
    <row r="20" spans="1:8" x14ac:dyDescent="0.2">
      <c r="A20">
        <v>2019</v>
      </c>
      <c r="B20" s="3" t="str">
        <f t="shared" si="0"/>
        <v>5180</v>
      </c>
      <c r="C20" s="3" t="s">
        <v>27</v>
      </c>
      <c r="D20" s="13">
        <v>7544</v>
      </c>
      <c r="E20" s="13">
        <v>7544</v>
      </c>
      <c r="F20" s="3">
        <f t="shared" si="1"/>
        <v>1.686723547647181E-5</v>
      </c>
      <c r="G20" s="3">
        <f t="shared" si="2"/>
        <v>1148.9347682563027</v>
      </c>
      <c r="H20" s="2">
        <f t="shared" si="3"/>
        <v>8692.934768256302</v>
      </c>
    </row>
    <row r="21" spans="1:8" x14ac:dyDescent="0.2">
      <c r="A21">
        <v>2019</v>
      </c>
      <c r="B21" s="3" t="str">
        <f t="shared" si="0"/>
        <v>5404</v>
      </c>
      <c r="C21" s="3" t="s">
        <v>28</v>
      </c>
      <c r="D21" s="13">
        <v>8258</v>
      </c>
      <c r="E21" s="13">
        <v>8258</v>
      </c>
      <c r="F21" s="3">
        <f t="shared" si="1"/>
        <v>1.8463630774748703E-5</v>
      </c>
      <c r="G21" s="3">
        <f t="shared" si="2"/>
        <v>1257.6754130780155</v>
      </c>
      <c r="H21" s="2">
        <f t="shared" si="3"/>
        <v>9515.6754130780155</v>
      </c>
    </row>
    <row r="22" spans="1:8" x14ac:dyDescent="0.2">
      <c r="A22">
        <v>2019</v>
      </c>
      <c r="B22" s="3" t="str">
        <f t="shared" si="0"/>
        <v>5406</v>
      </c>
      <c r="C22" s="3" t="s">
        <v>29</v>
      </c>
      <c r="D22" s="13">
        <v>70033</v>
      </c>
      <c r="E22" s="13">
        <v>70033</v>
      </c>
      <c r="F22" s="3">
        <f t="shared" si="1"/>
        <v>1.5658312594429353E-4</v>
      </c>
      <c r="G22" s="3">
        <f t="shared" si="2"/>
        <v>10665.873359662468</v>
      </c>
      <c r="H22" s="2">
        <f t="shared" si="3"/>
        <v>80698.873359662466</v>
      </c>
    </row>
    <row r="23" spans="1:8" x14ac:dyDescent="0.2">
      <c r="A23">
        <v>2019</v>
      </c>
      <c r="B23" s="3" t="str">
        <f t="shared" si="0"/>
        <v>5596</v>
      </c>
      <c r="C23" s="3" t="s">
        <v>30</v>
      </c>
      <c r="D23" s="13">
        <v>83347</v>
      </c>
      <c r="E23" s="13">
        <v>83347</v>
      </c>
      <c r="F23" s="3">
        <f t="shared" si="1"/>
        <v>1.8635120297686851E-4</v>
      </c>
      <c r="G23" s="3">
        <f t="shared" si="2"/>
        <v>12693.566560161462</v>
      </c>
      <c r="H23" s="2">
        <f t="shared" si="3"/>
        <v>96040.56656016146</v>
      </c>
    </row>
    <row r="24" spans="1:8" x14ac:dyDescent="0.2">
      <c r="A24">
        <v>2019</v>
      </c>
      <c r="B24" s="3" t="str">
        <f t="shared" si="0"/>
        <v>5600</v>
      </c>
      <c r="C24" s="3" t="s">
        <v>31</v>
      </c>
      <c r="D24" s="13">
        <v>82485</v>
      </c>
      <c r="E24" s="13">
        <v>82485</v>
      </c>
      <c r="F24" s="3">
        <f t="shared" si="1"/>
        <v>1.8442390221060147E-4</v>
      </c>
      <c r="G24" s="3">
        <f t="shared" si="2"/>
        <v>12562.285837701636</v>
      </c>
      <c r="H24" s="2">
        <f t="shared" si="3"/>
        <v>95047.285837701638</v>
      </c>
    </row>
    <row r="25" spans="1:8" x14ac:dyDescent="0.2">
      <c r="A25">
        <v>2019</v>
      </c>
      <c r="B25" s="3" t="str">
        <f t="shared" si="0"/>
        <v>5604</v>
      </c>
      <c r="C25" s="3" t="s">
        <v>32</v>
      </c>
      <c r="D25" s="13">
        <v>59406</v>
      </c>
      <c r="E25" s="13">
        <v>59406</v>
      </c>
      <c r="F25" s="3">
        <f t="shared" si="1"/>
        <v>1.3282277183394544E-4</v>
      </c>
      <c r="G25" s="3">
        <f t="shared" si="2"/>
        <v>9047.4044065527469</v>
      </c>
      <c r="H25" s="2">
        <f t="shared" si="3"/>
        <v>68453.404406552741</v>
      </c>
    </row>
    <row r="26" spans="1:8" x14ac:dyDescent="0.2">
      <c r="A26">
        <v>2019</v>
      </c>
      <c r="B26" s="3" t="str">
        <f t="shared" si="0"/>
        <v>5608</v>
      </c>
      <c r="C26" s="3" t="s">
        <v>33</v>
      </c>
      <c r="D26" s="13">
        <v>14809</v>
      </c>
      <c r="E26" s="13">
        <v>14809</v>
      </c>
      <c r="F26" s="3">
        <f t="shared" si="1"/>
        <v>3.3110669428827021E-5</v>
      </c>
      <c r="G26" s="3">
        <f t="shared" si="2"/>
        <v>2255.3784442083229</v>
      </c>
      <c r="H26" s="2">
        <f t="shared" si="3"/>
        <v>17064.378444208323</v>
      </c>
    </row>
    <row r="27" spans="1:8" x14ac:dyDescent="0.2">
      <c r="A27">
        <v>2019</v>
      </c>
      <c r="B27" s="3" t="str">
        <f t="shared" si="0"/>
        <v>5609</v>
      </c>
      <c r="C27" s="3" t="s">
        <v>34</v>
      </c>
      <c r="D27" s="13">
        <v>59794</v>
      </c>
      <c r="E27" s="13">
        <v>59794</v>
      </c>
      <c r="F27" s="3">
        <f t="shared" si="1"/>
        <v>1.336902807635413E-4</v>
      </c>
      <c r="G27" s="3">
        <f t="shared" si="2"/>
        <v>9106.4959614418585</v>
      </c>
      <c r="H27" s="2">
        <f t="shared" si="3"/>
        <v>68900.495961441862</v>
      </c>
    </row>
    <row r="28" spans="1:8" x14ac:dyDescent="0.2">
      <c r="A28">
        <v>2019</v>
      </c>
      <c r="B28" s="3" t="str">
        <f t="shared" si="0"/>
        <v>5612</v>
      </c>
      <c r="C28" s="3" t="s">
        <v>35</v>
      </c>
      <c r="D28" s="13">
        <v>96575</v>
      </c>
      <c r="E28" s="13">
        <v>96575</v>
      </c>
      <c r="F28" s="3">
        <f t="shared" si="1"/>
        <v>2.1592699710236814E-4</v>
      </c>
      <c r="G28" s="3">
        <f t="shared" si="2"/>
        <v>14708.16214797885</v>
      </c>
      <c r="H28" s="2">
        <f t="shared" si="3"/>
        <v>111283.16214797884</v>
      </c>
    </row>
    <row r="29" spans="1:8" x14ac:dyDescent="0.2">
      <c r="A29">
        <v>2019</v>
      </c>
      <c r="B29" s="3" t="str">
        <f t="shared" si="0"/>
        <v>5624</v>
      </c>
      <c r="C29" s="3" t="s">
        <v>36</v>
      </c>
      <c r="D29" s="13">
        <v>36784</v>
      </c>
      <c r="E29" s="13">
        <v>36784</v>
      </c>
      <c r="F29" s="3">
        <f t="shared" si="1"/>
        <v>8.2243423882096908E-5</v>
      </c>
      <c r="G29" s="3">
        <f t="shared" si="2"/>
        <v>5602.1230800026296</v>
      </c>
      <c r="H29" s="2">
        <f t="shared" si="3"/>
        <v>42386.123080002631</v>
      </c>
    </row>
    <row r="30" spans="1:8" x14ac:dyDescent="0.2">
      <c r="A30">
        <v>2019</v>
      </c>
      <c r="B30" s="3" t="str">
        <f t="shared" si="0"/>
        <v>5626</v>
      </c>
      <c r="C30" s="3" t="s">
        <v>37</v>
      </c>
      <c r="D30" s="13">
        <v>43060</v>
      </c>
      <c r="E30" s="13">
        <v>43060</v>
      </c>
      <c r="F30" s="3">
        <f t="shared" si="1"/>
        <v>9.6275604403085396E-5</v>
      </c>
      <c r="G30" s="3">
        <f t="shared" si="2"/>
        <v>6557.9442101161721</v>
      </c>
      <c r="H30" s="2">
        <f t="shared" si="3"/>
        <v>49617.944210116169</v>
      </c>
    </row>
    <row r="31" spans="1:8" x14ac:dyDescent="0.2">
      <c r="A31">
        <v>2019</v>
      </c>
      <c r="B31" s="3" t="str">
        <f t="shared" si="0"/>
        <v>5634</v>
      </c>
      <c r="C31" s="3" t="s">
        <v>38</v>
      </c>
      <c r="D31" s="13">
        <v>75151</v>
      </c>
      <c r="E31" s="13">
        <v>75151</v>
      </c>
      <c r="F31" s="3">
        <f t="shared" si="1"/>
        <v>1.6802619476303461E-4</v>
      </c>
      <c r="G31" s="3">
        <f t="shared" si="2"/>
        <v>11445.333612039954</v>
      </c>
      <c r="H31" s="2">
        <f t="shared" si="3"/>
        <v>86596.333612039947</v>
      </c>
    </row>
    <row r="32" spans="1:8" x14ac:dyDescent="0.2">
      <c r="A32">
        <v>2019</v>
      </c>
      <c r="B32" s="3" t="str">
        <f t="shared" si="0"/>
        <v>5638</v>
      </c>
      <c r="C32" s="3" t="s">
        <v>39</v>
      </c>
      <c r="D32" s="13">
        <v>37186</v>
      </c>
      <c r="E32" s="13">
        <v>37186</v>
      </c>
      <c r="F32" s="3">
        <f t="shared" si="1"/>
        <v>8.3142234680286432E-5</v>
      </c>
      <c r="G32" s="3">
        <f t="shared" si="2"/>
        <v>5663.3468043980492</v>
      </c>
      <c r="H32" s="2">
        <f t="shared" si="3"/>
        <v>42849.346804398047</v>
      </c>
    </row>
    <row r="33" spans="1:8" x14ac:dyDescent="0.2">
      <c r="A33">
        <v>2019</v>
      </c>
      <c r="B33" s="3" t="str">
        <f t="shared" si="0"/>
        <v>5655</v>
      </c>
      <c r="C33" s="3" t="s">
        <v>40</v>
      </c>
      <c r="D33" s="3"/>
      <c r="E33" s="3"/>
      <c r="F33" s="3">
        <f t="shared" si="1"/>
        <v>0</v>
      </c>
      <c r="G33" s="3">
        <f t="shared" si="2"/>
        <v>0</v>
      </c>
      <c r="H33" s="2">
        <f t="shared" si="3"/>
        <v>0</v>
      </c>
    </row>
    <row r="34" spans="1:8" x14ac:dyDescent="0.2">
      <c r="A34">
        <v>2019</v>
      </c>
      <c r="B34" s="3" t="str">
        <f t="shared" si="0"/>
        <v>5657</v>
      </c>
      <c r="C34" s="3" t="s">
        <v>41</v>
      </c>
      <c r="D34" s="13">
        <v>1286</v>
      </c>
      <c r="E34" s="13">
        <v>1286</v>
      </c>
      <c r="F34" s="3">
        <f t="shared" si="1"/>
        <v>2.875300215103758E-6</v>
      </c>
      <c r="G34" s="3">
        <f t="shared" si="2"/>
        <v>195.8549989365861</v>
      </c>
      <c r="H34" s="2">
        <f t="shared" si="3"/>
        <v>1481.8549989365861</v>
      </c>
    </row>
    <row r="35" spans="1:8" x14ac:dyDescent="0.2">
      <c r="A35">
        <v>2019</v>
      </c>
      <c r="B35" s="3" t="str">
        <f t="shared" si="0"/>
        <v>5671</v>
      </c>
      <c r="C35" s="3" t="s">
        <v>42</v>
      </c>
      <c r="D35" s="13">
        <v>25099</v>
      </c>
      <c r="E35" s="13">
        <v>25099</v>
      </c>
      <c r="F35" s="3">
        <f t="shared" si="1"/>
        <v>5.6117542845170465E-5</v>
      </c>
      <c r="G35" s="3">
        <f t="shared" si="2"/>
        <v>3822.5230313447701</v>
      </c>
      <c r="H35" s="2">
        <f t="shared" si="3"/>
        <v>28921.523031344768</v>
      </c>
    </row>
    <row r="36" spans="1:8" x14ac:dyDescent="0.2">
      <c r="A36">
        <v>2019</v>
      </c>
      <c r="B36" s="3" t="str">
        <f t="shared" si="0"/>
        <v>5682</v>
      </c>
      <c r="C36" s="3" t="s">
        <v>43</v>
      </c>
      <c r="D36" s="13">
        <v>130055</v>
      </c>
      <c r="E36" s="13">
        <v>130055</v>
      </c>
      <c r="F36" s="3">
        <f t="shared" si="1"/>
        <v>2.9078317999636023E-4</v>
      </c>
      <c r="G36" s="3">
        <f t="shared" si="2"/>
        <v>19807.093224492772</v>
      </c>
      <c r="H36" s="2">
        <f t="shared" si="3"/>
        <v>149862.09322449277</v>
      </c>
    </row>
    <row r="37" spans="1:8" x14ac:dyDescent="0.2">
      <c r="A37">
        <v>2019</v>
      </c>
      <c r="B37" s="3" t="str">
        <f t="shared" si="0"/>
        <v>5688</v>
      </c>
      <c r="C37" s="3" t="s">
        <v>44</v>
      </c>
      <c r="D37" s="13">
        <v>4984</v>
      </c>
      <c r="E37" s="13">
        <v>4984</v>
      </c>
      <c r="F37" s="3">
        <f t="shared" si="1"/>
        <v>1.1143465219344579E-5</v>
      </c>
      <c r="G37" s="3">
        <f t="shared" si="2"/>
        <v>759.05234424568039</v>
      </c>
      <c r="H37" s="2">
        <f t="shared" si="3"/>
        <v>5743.0523442456806</v>
      </c>
    </row>
    <row r="38" spans="1:8" x14ac:dyDescent="0.2">
      <c r="A38">
        <v>2019</v>
      </c>
      <c r="B38" s="3" t="str">
        <f t="shared" si="0"/>
        <v>9034</v>
      </c>
      <c r="C38" s="3" t="s">
        <v>45</v>
      </c>
      <c r="D38" s="13">
        <v>53007</v>
      </c>
      <c r="E38" s="13">
        <v>53007</v>
      </c>
      <c r="F38" s="3">
        <f t="shared" si="1"/>
        <v>1.1851558203888406E-4</v>
      </c>
      <c r="G38" s="3">
        <f t="shared" si="2"/>
        <v>8072.850644348071</v>
      </c>
      <c r="H38" s="2">
        <f t="shared" si="3"/>
        <v>61079.850644348073</v>
      </c>
    </row>
    <row r="39" spans="1:8" x14ac:dyDescent="0.2">
      <c r="A39">
        <v>2019</v>
      </c>
      <c r="B39" s="3" t="str">
        <f t="shared" si="0"/>
        <v>9042</v>
      </c>
      <c r="C39" s="3" t="s">
        <v>46</v>
      </c>
      <c r="D39" s="13">
        <v>11258</v>
      </c>
      <c r="E39" s="13">
        <v>11258</v>
      </c>
      <c r="F39" s="3">
        <f t="shared" si="1"/>
        <v>2.5171174044819681E-5</v>
      </c>
      <c r="G39" s="3">
        <f t="shared" si="2"/>
        <v>1714.5688787154638</v>
      </c>
      <c r="H39" s="2">
        <f t="shared" si="3"/>
        <v>12972.568878715463</v>
      </c>
    </row>
    <row r="40" spans="1:8" x14ac:dyDescent="0.2">
      <c r="A40">
        <v>2019</v>
      </c>
      <c r="B40" s="3" t="str">
        <f t="shared" si="0"/>
        <v>9047</v>
      </c>
      <c r="C40" s="3" t="s">
        <v>47</v>
      </c>
      <c r="D40" s="13">
        <v>25550</v>
      </c>
      <c r="E40" s="13">
        <v>25550</v>
      </c>
      <c r="F40" s="3">
        <f t="shared" si="1"/>
        <v>5.7125910183437801E-5</v>
      </c>
      <c r="G40" s="3">
        <f t="shared" si="2"/>
        <v>3891.2093490122661</v>
      </c>
      <c r="H40" s="2">
        <f t="shared" si="3"/>
        <v>29441.209349012264</v>
      </c>
    </row>
    <row r="41" spans="1:8" x14ac:dyDescent="0.2">
      <c r="A41">
        <v>2019</v>
      </c>
      <c r="B41" s="3" t="str">
        <f t="shared" si="0"/>
        <v>9053</v>
      </c>
      <c r="C41" s="3" t="s">
        <v>48</v>
      </c>
      <c r="D41" s="3"/>
      <c r="E41" s="3"/>
      <c r="F41" s="3">
        <f t="shared" si="1"/>
        <v>0</v>
      </c>
      <c r="G41" s="3">
        <f t="shared" si="2"/>
        <v>0</v>
      </c>
      <c r="H41" s="2">
        <f t="shared" si="3"/>
        <v>0</v>
      </c>
    </row>
    <row r="42" spans="1:8" x14ac:dyDescent="0.2">
      <c r="A42">
        <v>2019</v>
      </c>
      <c r="B42" s="3" t="str">
        <f t="shared" si="0"/>
        <v>9055</v>
      </c>
      <c r="C42" s="3" t="s">
        <v>49</v>
      </c>
      <c r="D42" s="13">
        <v>54225</v>
      </c>
      <c r="E42" s="13">
        <v>54225</v>
      </c>
      <c r="F42" s="3">
        <f t="shared" si="1"/>
        <v>1.2123884460653287E-4</v>
      </c>
      <c r="G42" s="3">
        <f t="shared" si="2"/>
        <v>8258.3493913968741</v>
      </c>
      <c r="H42" s="2">
        <f t="shared" si="3"/>
        <v>62483.34939139687</v>
      </c>
    </row>
    <row r="43" spans="1:8" x14ac:dyDescent="0.2">
      <c r="A43">
        <v>2019</v>
      </c>
      <c r="B43" s="3" t="str">
        <f t="shared" si="0"/>
        <v>9056</v>
      </c>
      <c r="C43" s="3" t="s">
        <v>50</v>
      </c>
      <c r="D43" s="3"/>
      <c r="E43" s="3"/>
      <c r="F43" s="3">
        <f t="shared" si="1"/>
        <v>0</v>
      </c>
      <c r="G43" s="3">
        <f t="shared" si="2"/>
        <v>0</v>
      </c>
      <c r="H43" s="2">
        <f t="shared" si="3"/>
        <v>0</v>
      </c>
    </row>
    <row r="44" spans="1:8" x14ac:dyDescent="0.2">
      <c r="A44">
        <v>2019</v>
      </c>
      <c r="B44" s="3" t="str">
        <f t="shared" si="0"/>
        <v>9273</v>
      </c>
      <c r="C44" s="3" t="s">
        <v>51</v>
      </c>
      <c r="D44" s="13">
        <v>1541</v>
      </c>
      <c r="E44" s="13">
        <v>1541</v>
      </c>
      <c r="F44" s="3">
        <f t="shared" si="1"/>
        <v>3.445441393059791E-6</v>
      </c>
      <c r="G44" s="3">
        <f t="shared" si="2"/>
        <v>234.69094351576919</v>
      </c>
      <c r="H44" s="2">
        <f t="shared" si="3"/>
        <v>1775.6909435157693</v>
      </c>
    </row>
    <row r="45" spans="1:8" x14ac:dyDescent="0.2">
      <c r="A45">
        <v>2019</v>
      </c>
      <c r="B45" s="3" t="str">
        <f t="shared" si="0"/>
        <v>9274</v>
      </c>
      <c r="C45" s="3" t="s">
        <v>52</v>
      </c>
      <c r="D45" s="13">
        <v>37268</v>
      </c>
      <c r="E45" s="13">
        <v>37268</v>
      </c>
      <c r="F45" s="3">
        <f t="shared" si="1"/>
        <v>8.332557419633503E-5</v>
      </c>
      <c r="G45" s="3">
        <f t="shared" si="2"/>
        <v>5675.8352257921388</v>
      </c>
      <c r="H45" s="2">
        <f t="shared" si="3"/>
        <v>42943.835225792136</v>
      </c>
    </row>
    <row r="46" spans="1:8" x14ac:dyDescent="0.2">
      <c r="A46">
        <v>2019</v>
      </c>
      <c r="B46" s="3" t="str">
        <f t="shared" si="0"/>
        <v>9303</v>
      </c>
      <c r="C46" s="3" t="s">
        <v>363</v>
      </c>
      <c r="D46" s="13">
        <v>2658</v>
      </c>
      <c r="E46" s="13">
        <v>2658</v>
      </c>
      <c r="F46" s="3">
        <f t="shared" si="1"/>
        <v>5.9428833372828839E-6</v>
      </c>
      <c r="G46" s="3">
        <f t="shared" si="2"/>
        <v>404.80761055477905</v>
      </c>
      <c r="H46" s="2">
        <f t="shared" si="3"/>
        <v>3062.8076105547789</v>
      </c>
    </row>
    <row r="47" spans="1:8" x14ac:dyDescent="0.2">
      <c r="A47">
        <v>2019</v>
      </c>
      <c r="B47" s="3" t="str">
        <f t="shared" si="0"/>
        <v>9304</v>
      </c>
      <c r="C47" s="3" t="s">
        <v>54</v>
      </c>
      <c r="D47" s="3"/>
      <c r="E47" s="3"/>
      <c r="F47" s="3">
        <f t="shared" si="1"/>
        <v>0</v>
      </c>
      <c r="G47" s="3">
        <f t="shared" si="2"/>
        <v>0</v>
      </c>
      <c r="H47" s="2">
        <f t="shared" si="3"/>
        <v>0</v>
      </c>
    </row>
    <row r="48" spans="1:8" x14ac:dyDescent="0.2">
      <c r="A48">
        <v>2019</v>
      </c>
      <c r="B48" s="3" t="str">
        <f t="shared" si="0"/>
        <v>9305</v>
      </c>
      <c r="C48" s="3" t="s">
        <v>55</v>
      </c>
      <c r="D48" s="13">
        <v>20663</v>
      </c>
      <c r="E48" s="13">
        <v>20663</v>
      </c>
      <c r="F48" s="3">
        <f t="shared" si="1"/>
        <v>4.6199322196492186E-5</v>
      </c>
      <c r="G48" s="3">
        <f t="shared" si="2"/>
        <v>3146.9298934888634</v>
      </c>
      <c r="H48" s="2">
        <f t="shared" si="3"/>
        <v>23809.929893488865</v>
      </c>
    </row>
    <row r="49" spans="1:8" x14ac:dyDescent="0.2">
      <c r="A49">
        <v>2019</v>
      </c>
      <c r="B49" s="3" t="str">
        <f t="shared" si="0"/>
        <v>9395</v>
      </c>
      <c r="C49" s="3" t="s">
        <v>56</v>
      </c>
      <c r="D49" s="13">
        <v>3303</v>
      </c>
      <c r="E49" s="13">
        <v>3303</v>
      </c>
      <c r="F49" s="3">
        <f t="shared" si="1"/>
        <v>7.3850051403481433E-6</v>
      </c>
      <c r="G49" s="3">
        <f t="shared" si="2"/>
        <v>503.03970566683034</v>
      </c>
      <c r="H49" s="2">
        <f t="shared" si="3"/>
        <v>3806.0397056668303</v>
      </c>
    </row>
    <row r="50" spans="1:8" x14ac:dyDescent="0.2">
      <c r="A50">
        <v>2019</v>
      </c>
      <c r="B50" s="3" t="str">
        <f t="shared" si="0"/>
        <v>9487</v>
      </c>
      <c r="C50" s="3" t="s">
        <v>57</v>
      </c>
      <c r="D50" s="13">
        <v>12660</v>
      </c>
      <c r="E50" s="13">
        <v>12660</v>
      </c>
      <c r="F50" s="3">
        <f t="shared" si="1"/>
        <v>2.8305832599699513E-5</v>
      </c>
      <c r="G50" s="3">
        <f t="shared" si="2"/>
        <v>1928.0904249900309</v>
      </c>
      <c r="H50" s="2">
        <f t="shared" si="3"/>
        <v>14588.09042499003</v>
      </c>
    </row>
    <row r="51" spans="1:8" x14ac:dyDescent="0.2">
      <c r="A51">
        <v>2019</v>
      </c>
      <c r="B51" s="3" t="str">
        <f t="shared" si="0"/>
        <v>9507</v>
      </c>
      <c r="C51" s="3" t="s">
        <v>58</v>
      </c>
      <c r="D51" s="13">
        <v>59117</v>
      </c>
      <c r="E51" s="13">
        <v>59117</v>
      </c>
      <c r="F51" s="3">
        <f t="shared" si="1"/>
        <v>1.3217661183226195E-4</v>
      </c>
      <c r="G51" s="3">
        <f t="shared" si="2"/>
        <v>9003.3903360296736</v>
      </c>
      <c r="H51" s="2">
        <f t="shared" si="3"/>
        <v>68120.390336029668</v>
      </c>
    </row>
    <row r="52" spans="1:8" x14ac:dyDescent="0.2">
      <c r="A52">
        <v>2019</v>
      </c>
      <c r="B52" s="3" t="str">
        <f t="shared" si="0"/>
        <v>4828</v>
      </c>
      <c r="C52" s="3" t="s">
        <v>59</v>
      </c>
      <c r="D52" s="13">
        <v>3297349</v>
      </c>
      <c r="E52" s="13">
        <v>3297349</v>
      </c>
      <c r="F52" s="3">
        <f t="shared" si="1"/>
        <v>7.3723703646750866E-3</v>
      </c>
      <c r="G52" s="3">
        <f t="shared" si="2"/>
        <v>502179.0706753913</v>
      </c>
      <c r="H52" s="2">
        <f t="shared" si="3"/>
        <v>3799528.0706753912</v>
      </c>
    </row>
    <row r="53" spans="1:8" x14ac:dyDescent="0.2">
      <c r="A53">
        <v>2019</v>
      </c>
      <c r="B53" s="3" t="str">
        <f t="shared" si="0"/>
        <v>4829</v>
      </c>
      <c r="C53" s="3" t="s">
        <v>60</v>
      </c>
      <c r="D53" s="13">
        <v>1608601</v>
      </c>
      <c r="E53" s="13">
        <v>1608601</v>
      </c>
      <c r="F53" s="3">
        <f t="shared" si="1"/>
        <v>3.5965869372598133E-3</v>
      </c>
      <c r="G53" s="3">
        <f t="shared" si="2"/>
        <v>244986.42857262155</v>
      </c>
      <c r="H53" s="2">
        <f t="shared" si="3"/>
        <v>1853587.4285726217</v>
      </c>
    </row>
    <row r="54" spans="1:8" x14ac:dyDescent="0.2">
      <c r="A54">
        <v>2019</v>
      </c>
      <c r="B54" s="3" t="str">
        <f t="shared" si="0"/>
        <v>4871</v>
      </c>
      <c r="C54" s="3" t="s">
        <v>61</v>
      </c>
      <c r="D54" s="13">
        <v>456320</v>
      </c>
      <c r="E54" s="13">
        <v>456320</v>
      </c>
      <c r="F54" s="3">
        <f t="shared" si="1"/>
        <v>1.0202620483329291E-3</v>
      </c>
      <c r="G54" s="3">
        <f t="shared" si="2"/>
        <v>69496.542079893436</v>
      </c>
      <c r="H54" s="2">
        <f t="shared" si="3"/>
        <v>525816.54207989341</v>
      </c>
    </row>
    <row r="55" spans="1:8" x14ac:dyDescent="0.2">
      <c r="A55">
        <v>2019</v>
      </c>
      <c r="B55" s="3" t="str">
        <f t="shared" si="0"/>
        <v>4882</v>
      </c>
      <c r="C55" s="3" t="s">
        <v>62</v>
      </c>
      <c r="D55" s="13">
        <v>2525381</v>
      </c>
      <c r="E55" s="13">
        <v>2525381</v>
      </c>
      <c r="F55" s="3">
        <f t="shared" si="1"/>
        <v>5.6463674436383693E-3</v>
      </c>
      <c r="G55" s="3">
        <f t="shared" si="2"/>
        <v>384610.02571498812</v>
      </c>
      <c r="H55" s="2">
        <f t="shared" si="3"/>
        <v>2909991.0257149879</v>
      </c>
    </row>
    <row r="56" spans="1:8" x14ac:dyDescent="0.2">
      <c r="A56">
        <v>2019</v>
      </c>
      <c r="B56" s="3" t="str">
        <f t="shared" si="0"/>
        <v>4912</v>
      </c>
      <c r="C56" s="3" t="s">
        <v>63</v>
      </c>
      <c r="D56" s="13">
        <v>465239</v>
      </c>
      <c r="E56" s="13">
        <v>465239</v>
      </c>
      <c r="F56" s="3">
        <f t="shared" si="1"/>
        <v>1.04020357447485E-3</v>
      </c>
      <c r="G56" s="3">
        <f t="shared" si="2"/>
        <v>70854.886353233567</v>
      </c>
      <c r="H56" s="2">
        <f t="shared" si="3"/>
        <v>536093.8863532336</v>
      </c>
    </row>
    <row r="57" spans="1:8" x14ac:dyDescent="0.2">
      <c r="A57">
        <v>2019</v>
      </c>
      <c r="B57" s="3" t="str">
        <f t="shared" si="0"/>
        <v>4977</v>
      </c>
      <c r="C57" s="3" t="s">
        <v>64</v>
      </c>
      <c r="D57" s="13">
        <v>219307</v>
      </c>
      <c r="E57" s="13">
        <v>219307</v>
      </c>
      <c r="F57" s="3">
        <f t="shared" si="1"/>
        <v>4.9033706397648511E-4</v>
      </c>
      <c r="G57" s="3">
        <f t="shared" si="2"/>
        <v>33399.978422850611</v>
      </c>
      <c r="H57" s="2">
        <f t="shared" si="3"/>
        <v>252706.9784228506</v>
      </c>
    </row>
    <row r="58" spans="1:8" x14ac:dyDescent="0.2">
      <c r="A58">
        <v>2019</v>
      </c>
      <c r="B58" s="3" t="str">
        <f t="shared" si="0"/>
        <v>4978</v>
      </c>
      <c r="C58" s="3" t="s">
        <v>65</v>
      </c>
      <c r="D58" s="13">
        <v>28650545</v>
      </c>
      <c r="E58" s="13">
        <v>28650545</v>
      </c>
      <c r="F58" s="3">
        <f t="shared" si="1"/>
        <v>6.4058256766205204E-2</v>
      </c>
      <c r="G58" s="3">
        <f t="shared" si="2"/>
        <v>4363415.5991505533</v>
      </c>
      <c r="H58" s="2">
        <f t="shared" si="3"/>
        <v>33013960.599150553</v>
      </c>
    </row>
    <row r="59" spans="1:8" x14ac:dyDescent="0.2">
      <c r="A59">
        <v>2019</v>
      </c>
      <c r="B59" s="3" t="str">
        <f t="shared" si="0"/>
        <v>4979</v>
      </c>
      <c r="C59" s="3" t="s">
        <v>66</v>
      </c>
      <c r="D59" s="13">
        <v>102476</v>
      </c>
      <c r="E59" s="13">
        <v>102476</v>
      </c>
      <c r="F59" s="3">
        <f t="shared" si="1"/>
        <v>2.2912073471459776E-4</v>
      </c>
      <c r="G59" s="3">
        <f t="shared" si="2"/>
        <v>15606.871594887712</v>
      </c>
      <c r="H59" s="2">
        <f t="shared" si="3"/>
        <v>118082.87159488771</v>
      </c>
    </row>
    <row r="60" spans="1:8" x14ac:dyDescent="0.2">
      <c r="A60">
        <v>2019</v>
      </c>
      <c r="B60" s="3" t="str">
        <f t="shared" si="0"/>
        <v>4980</v>
      </c>
      <c r="C60" s="3" t="s">
        <v>67</v>
      </c>
      <c r="D60" s="13">
        <v>2298189</v>
      </c>
      <c r="E60" s="13">
        <v>2298189</v>
      </c>
      <c r="F60" s="3">
        <f t="shared" si="1"/>
        <v>5.1384007201003817E-3</v>
      </c>
      <c r="G60" s="3">
        <f t="shared" si="2"/>
        <v>350009.17896662041</v>
      </c>
      <c r="H60" s="2">
        <f t="shared" si="3"/>
        <v>2648198.1789666205</v>
      </c>
    </row>
    <row r="61" spans="1:8" x14ac:dyDescent="0.2">
      <c r="A61">
        <v>2019</v>
      </c>
      <c r="B61" s="3" t="str">
        <f t="shared" si="0"/>
        <v>4981</v>
      </c>
      <c r="C61" s="3" t="s">
        <v>68</v>
      </c>
      <c r="D61" s="13">
        <v>4903117</v>
      </c>
      <c r="E61" s="13">
        <v>4903117</v>
      </c>
      <c r="F61" s="3">
        <f t="shared" si="1"/>
        <v>1.0962623145240196E-2</v>
      </c>
      <c r="G61" s="3">
        <f t="shared" si="2"/>
        <v>746734.0395186292</v>
      </c>
      <c r="H61" s="2">
        <f t="shared" si="3"/>
        <v>5649851.0395186292</v>
      </c>
    </row>
    <row r="62" spans="1:8" x14ac:dyDescent="0.2">
      <c r="A62">
        <v>2019</v>
      </c>
      <c r="B62" s="3" t="str">
        <f t="shared" si="0"/>
        <v>4982</v>
      </c>
      <c r="C62" s="3" t="s">
        <v>69</v>
      </c>
      <c r="D62" s="13">
        <v>48108249</v>
      </c>
      <c r="E62" s="13">
        <v>48108249</v>
      </c>
      <c r="F62" s="3">
        <f t="shared" si="1"/>
        <v>0.10756272060494958</v>
      </c>
      <c r="G62" s="3">
        <f t="shared" si="2"/>
        <v>7326781.5371197658</v>
      </c>
      <c r="H62" s="2">
        <f t="shared" si="3"/>
        <v>55435030.537119769</v>
      </c>
    </row>
    <row r="63" spans="1:8" x14ac:dyDescent="0.2">
      <c r="A63">
        <v>2019</v>
      </c>
      <c r="B63" s="3" t="str">
        <f t="shared" si="0"/>
        <v>4983</v>
      </c>
      <c r="C63" s="3" t="s">
        <v>70</v>
      </c>
      <c r="D63" s="13">
        <v>6038281</v>
      </c>
      <c r="E63" s="13">
        <v>6038281</v>
      </c>
      <c r="F63" s="3">
        <f t="shared" si="1"/>
        <v>1.3500677028115813E-2</v>
      </c>
      <c r="G63" s="3">
        <f t="shared" si="2"/>
        <v>919617.044194252</v>
      </c>
      <c r="H63" s="2">
        <f t="shared" si="3"/>
        <v>6957898.0441942522</v>
      </c>
    </row>
    <row r="64" spans="1:8" x14ac:dyDescent="0.2">
      <c r="A64">
        <v>2019</v>
      </c>
      <c r="B64" s="3" t="str">
        <f t="shared" si="0"/>
        <v>4984</v>
      </c>
      <c r="C64" s="3" t="s">
        <v>71</v>
      </c>
      <c r="D64" s="13">
        <v>1971383</v>
      </c>
      <c r="E64" s="13">
        <v>1971383</v>
      </c>
      <c r="F64" s="3">
        <f t="shared" si="1"/>
        <v>4.4077122581274433E-3</v>
      </c>
      <c r="G64" s="3">
        <f t="shared" si="2"/>
        <v>300237.33698958316</v>
      </c>
      <c r="H64" s="2">
        <f t="shared" si="3"/>
        <v>2271620.336989583</v>
      </c>
    </row>
    <row r="65" spans="1:8" x14ac:dyDescent="0.2">
      <c r="A65">
        <v>2019</v>
      </c>
      <c r="B65" s="3" t="str">
        <f t="shared" si="0"/>
        <v>4985</v>
      </c>
      <c r="C65" s="3" t="s">
        <v>72</v>
      </c>
      <c r="D65" s="13">
        <v>4032178</v>
      </c>
      <c r="E65" s="13">
        <v>4032178</v>
      </c>
      <c r="F65" s="3">
        <f t="shared" si="1"/>
        <v>9.0153361358760817E-3</v>
      </c>
      <c r="G65" s="3">
        <f t="shared" si="2"/>
        <v>614091.9268290248</v>
      </c>
      <c r="H65" s="2">
        <f t="shared" si="3"/>
        <v>4646269.9268290251</v>
      </c>
    </row>
    <row r="66" spans="1:8" x14ac:dyDescent="0.2">
      <c r="A66">
        <v>2019</v>
      </c>
      <c r="B66" s="3" t="str">
        <f t="shared" si="0"/>
        <v>4986</v>
      </c>
      <c r="C66" s="3" t="s">
        <v>73</v>
      </c>
      <c r="D66" s="13">
        <v>4603555</v>
      </c>
      <c r="E66" s="13">
        <v>4603555</v>
      </c>
      <c r="F66" s="3">
        <f t="shared" si="1"/>
        <v>1.0292848119550529E-2</v>
      </c>
      <c r="G66" s="3">
        <f t="shared" si="2"/>
        <v>701111.39940086752</v>
      </c>
      <c r="H66" s="2">
        <f t="shared" si="3"/>
        <v>5304666.3994008675</v>
      </c>
    </row>
    <row r="67" spans="1:8" x14ac:dyDescent="0.2">
      <c r="A67">
        <v>2019</v>
      </c>
      <c r="B67" s="3" t="str">
        <f t="shared" ref="B67:B130" si="4">LEFT(C67,4)</f>
        <v>4987</v>
      </c>
      <c r="C67" s="3" t="s">
        <v>74</v>
      </c>
      <c r="D67" s="13">
        <v>613871</v>
      </c>
      <c r="E67" s="13">
        <v>613871</v>
      </c>
      <c r="F67" s="3">
        <f t="shared" ref="F67:F130" si="5">E67/$D$340</f>
        <v>1.3725220982472464E-3</v>
      </c>
      <c r="G67" s="3">
        <f t="shared" ref="G67:G130" si="6">F67*$D$341</f>
        <v>93491.216214775297</v>
      </c>
      <c r="H67" s="2">
        <f t="shared" ref="H67:H130" si="7">SUM(G67,D67)</f>
        <v>707362.21621477534</v>
      </c>
    </row>
    <row r="68" spans="1:8" x14ac:dyDescent="0.2">
      <c r="A68">
        <v>2019</v>
      </c>
      <c r="B68" s="3" t="str">
        <f t="shared" si="4"/>
        <v>4988</v>
      </c>
      <c r="C68" s="3" t="s">
        <v>75</v>
      </c>
      <c r="D68" s="13">
        <v>2300020</v>
      </c>
      <c r="E68" s="13">
        <v>2300020</v>
      </c>
      <c r="F68" s="3">
        <f t="shared" si="5"/>
        <v>5.1424945573428811E-3</v>
      </c>
      <c r="G68" s="3">
        <f t="shared" si="6"/>
        <v>350288.03627848113</v>
      </c>
      <c r="H68" s="2">
        <f t="shared" si="7"/>
        <v>2650308.0362784811</v>
      </c>
    </row>
    <row r="69" spans="1:8" x14ac:dyDescent="0.2">
      <c r="A69">
        <v>2019</v>
      </c>
      <c r="B69" s="3" t="str">
        <f t="shared" si="4"/>
        <v>4990</v>
      </c>
      <c r="C69" s="3" t="s">
        <v>76</v>
      </c>
      <c r="D69" s="13">
        <v>140097</v>
      </c>
      <c r="E69" s="13">
        <v>140097</v>
      </c>
      <c r="F69" s="3">
        <f t="shared" si="5"/>
        <v>3.1323556316904447E-4</v>
      </c>
      <c r="G69" s="3">
        <f t="shared" si="6"/>
        <v>21336.467951803192</v>
      </c>
      <c r="H69" s="2">
        <f t="shared" si="7"/>
        <v>161433.46795180318</v>
      </c>
    </row>
    <row r="70" spans="1:8" x14ac:dyDescent="0.2">
      <c r="A70">
        <v>2019</v>
      </c>
      <c r="B70" s="3" t="str">
        <f t="shared" si="4"/>
        <v>4991</v>
      </c>
      <c r="C70" s="3" t="s">
        <v>77</v>
      </c>
      <c r="D70" s="13">
        <v>1025698</v>
      </c>
      <c r="E70" s="13">
        <v>1025698</v>
      </c>
      <c r="F70" s="3">
        <f t="shared" si="5"/>
        <v>2.2933045723417529E-3</v>
      </c>
      <c r="G70" s="3">
        <f t="shared" si="6"/>
        <v>156211.57130579973</v>
      </c>
      <c r="H70" s="2">
        <f t="shared" si="7"/>
        <v>1181909.5713057998</v>
      </c>
    </row>
    <row r="71" spans="1:8" x14ac:dyDescent="0.2">
      <c r="A71">
        <v>2019</v>
      </c>
      <c r="B71" s="3" t="str">
        <f t="shared" si="4"/>
        <v>4992</v>
      </c>
      <c r="C71" s="3" t="s">
        <v>78</v>
      </c>
      <c r="D71" s="13">
        <v>242469</v>
      </c>
      <c r="E71" s="13">
        <v>242469</v>
      </c>
      <c r="F71" s="3">
        <f t="shared" si="5"/>
        <v>5.4212376971694636E-4</v>
      </c>
      <c r="G71" s="3">
        <f t="shared" si="6"/>
        <v>36927.500573215468</v>
      </c>
      <c r="H71" s="2">
        <f t="shared" si="7"/>
        <v>279396.50057321548</v>
      </c>
    </row>
    <row r="72" spans="1:8" x14ac:dyDescent="0.2">
      <c r="A72">
        <v>2019</v>
      </c>
      <c r="B72" s="3" t="str">
        <f t="shared" si="4"/>
        <v>4993</v>
      </c>
      <c r="C72" s="3" t="s">
        <v>79</v>
      </c>
      <c r="D72" s="13">
        <v>779588</v>
      </c>
      <c r="E72" s="13">
        <v>779588</v>
      </c>
      <c r="F72" s="3">
        <f t="shared" si="5"/>
        <v>1.7430400809426972E-3</v>
      </c>
      <c r="G72" s="3">
        <f t="shared" si="6"/>
        <v>118729.5543631223</v>
      </c>
      <c r="H72" s="2">
        <f t="shared" si="7"/>
        <v>898317.55436312233</v>
      </c>
    </row>
    <row r="73" spans="1:8" x14ac:dyDescent="0.2">
      <c r="A73">
        <v>2019</v>
      </c>
      <c r="B73" s="3" t="str">
        <f t="shared" si="4"/>
        <v>4994</v>
      </c>
      <c r="C73" s="3" t="s">
        <v>80</v>
      </c>
      <c r="D73" s="13">
        <v>172781</v>
      </c>
      <c r="E73" s="13">
        <v>172781</v>
      </c>
      <c r="F73" s="3">
        <f t="shared" si="5"/>
        <v>3.8631201124871104E-4</v>
      </c>
      <c r="G73" s="3">
        <f t="shared" si="6"/>
        <v>26314.169962101307</v>
      </c>
      <c r="H73" s="2">
        <f t="shared" si="7"/>
        <v>199095.1699621013</v>
      </c>
    </row>
    <row r="74" spans="1:8" x14ac:dyDescent="0.2">
      <c r="A74">
        <v>2019</v>
      </c>
      <c r="B74" s="3" t="str">
        <f t="shared" si="4"/>
        <v>4995</v>
      </c>
      <c r="C74" s="3" t="s">
        <v>81</v>
      </c>
      <c r="D74" s="13">
        <v>770068</v>
      </c>
      <c r="E74" s="13">
        <v>770068</v>
      </c>
      <c r="F74" s="3">
        <f t="shared" si="5"/>
        <v>1.7217548102990052E-3</v>
      </c>
      <c r="G74" s="3">
        <f t="shared" si="6"/>
        <v>117279.6790988328</v>
      </c>
      <c r="H74" s="2">
        <f t="shared" si="7"/>
        <v>887347.67909883277</v>
      </c>
    </row>
    <row r="75" spans="1:8" x14ac:dyDescent="0.2">
      <c r="A75">
        <v>2019</v>
      </c>
      <c r="B75" s="3" t="str">
        <f t="shared" si="4"/>
        <v>4996</v>
      </c>
      <c r="C75" s="3" t="s">
        <v>82</v>
      </c>
      <c r="D75" s="13">
        <v>235838</v>
      </c>
      <c r="E75" s="13">
        <v>235838</v>
      </c>
      <c r="F75" s="3">
        <f t="shared" si="5"/>
        <v>5.272978632423329E-4</v>
      </c>
      <c r="G75" s="3">
        <f t="shared" si="6"/>
        <v>35917.613716334832</v>
      </c>
      <c r="H75" s="2">
        <f t="shared" si="7"/>
        <v>271755.6137163348</v>
      </c>
    </row>
    <row r="76" spans="1:8" x14ac:dyDescent="0.2">
      <c r="A76">
        <v>2019</v>
      </c>
      <c r="B76" s="3" t="str">
        <f t="shared" si="4"/>
        <v>4997</v>
      </c>
      <c r="C76" s="3" t="s">
        <v>83</v>
      </c>
      <c r="D76" s="13">
        <v>3450533</v>
      </c>
      <c r="E76" s="13">
        <v>3450533</v>
      </c>
      <c r="F76" s="3">
        <f t="shared" si="5"/>
        <v>7.7148664674359371E-3</v>
      </c>
      <c r="G76" s="3">
        <f t="shared" si="6"/>
        <v>525508.66022212687</v>
      </c>
      <c r="H76" s="2">
        <f t="shared" si="7"/>
        <v>3976041.6602221271</v>
      </c>
    </row>
    <row r="77" spans="1:8" x14ac:dyDescent="0.2">
      <c r="A77">
        <v>2019</v>
      </c>
      <c r="B77" s="3" t="str">
        <f t="shared" si="4"/>
        <v>4998</v>
      </c>
      <c r="C77" s="3" t="s">
        <v>84</v>
      </c>
      <c r="D77" s="13">
        <v>435545</v>
      </c>
      <c r="E77" s="13">
        <v>435545</v>
      </c>
      <c r="F77" s="3">
        <f t="shared" si="5"/>
        <v>9.738123111876876E-4</v>
      </c>
      <c r="G77" s="3">
        <f t="shared" si="6"/>
        <v>66332.554830354115</v>
      </c>
      <c r="H77" s="2">
        <f t="shared" si="7"/>
        <v>501877.55483035411</v>
      </c>
    </row>
    <row r="78" spans="1:8" x14ac:dyDescent="0.2">
      <c r="A78">
        <v>2019</v>
      </c>
      <c r="B78" s="3" t="str">
        <f t="shared" si="4"/>
        <v>4999</v>
      </c>
      <c r="C78" s="3" t="s">
        <v>352</v>
      </c>
      <c r="D78" s="13">
        <v>6170079</v>
      </c>
      <c r="E78" s="13">
        <v>6170079</v>
      </c>
      <c r="F78" s="3">
        <f t="shared" si="5"/>
        <v>1.3795357290752083E-2</v>
      </c>
      <c r="G78" s="3">
        <f t="shared" si="6"/>
        <v>939689.59252228006</v>
      </c>
      <c r="H78" s="2">
        <f t="shared" si="7"/>
        <v>7109768.5925222803</v>
      </c>
    </row>
    <row r="79" spans="1:8" x14ac:dyDescent="0.2">
      <c r="A79">
        <v>2019</v>
      </c>
      <c r="B79" s="3" t="str">
        <f t="shared" si="4"/>
        <v>5000</v>
      </c>
      <c r="C79" s="3" t="s">
        <v>86</v>
      </c>
      <c r="D79" s="13">
        <v>3742073</v>
      </c>
      <c r="E79" s="13">
        <v>3742073</v>
      </c>
      <c r="F79" s="3">
        <f t="shared" si="5"/>
        <v>8.3667055224214346E-3</v>
      </c>
      <c r="G79" s="3">
        <f t="shared" si="6"/>
        <v>569909.56721277407</v>
      </c>
      <c r="H79" s="2">
        <f t="shared" si="7"/>
        <v>4311982.5672127744</v>
      </c>
    </row>
    <row r="80" spans="1:8" x14ac:dyDescent="0.2">
      <c r="A80">
        <v>2019</v>
      </c>
      <c r="B80" s="3" t="str">
        <f t="shared" si="4"/>
        <v>5001</v>
      </c>
      <c r="C80" s="3" t="s">
        <v>87</v>
      </c>
      <c r="D80" s="13">
        <v>235904</v>
      </c>
      <c r="E80" s="13">
        <v>235904</v>
      </c>
      <c r="F80" s="3">
        <f t="shared" si="5"/>
        <v>5.2744542919427439E-4</v>
      </c>
      <c r="G80" s="3">
        <f t="shared" si="6"/>
        <v>35927.665372578849</v>
      </c>
      <c r="H80" s="2">
        <f t="shared" si="7"/>
        <v>271831.66537257883</v>
      </c>
    </row>
    <row r="81" spans="1:8" x14ac:dyDescent="0.2">
      <c r="A81">
        <v>2019</v>
      </c>
      <c r="B81" s="3" t="str">
        <f t="shared" si="4"/>
        <v>5002</v>
      </c>
      <c r="C81" s="3" t="s">
        <v>88</v>
      </c>
      <c r="D81" s="13">
        <v>89919</v>
      </c>
      <c r="E81" s="13">
        <v>89919</v>
      </c>
      <c r="F81" s="3">
        <f t="shared" si="5"/>
        <v>2.0104519443383734E-4</v>
      </c>
      <c r="G81" s="3">
        <f t="shared" si="6"/>
        <v>13694.467845551233</v>
      </c>
      <c r="H81" s="2">
        <f t="shared" si="7"/>
        <v>103613.46784555123</v>
      </c>
    </row>
    <row r="82" spans="1:8" x14ac:dyDescent="0.2">
      <c r="A82">
        <v>2019</v>
      </c>
      <c r="B82" s="3" t="str">
        <f t="shared" si="4"/>
        <v>5004</v>
      </c>
      <c r="C82" s="3" t="s">
        <v>89</v>
      </c>
      <c r="D82" s="13">
        <v>1154156</v>
      </c>
      <c r="E82" s="13">
        <v>1154156</v>
      </c>
      <c r="F82" s="3">
        <f t="shared" si="5"/>
        <v>2.5805171034706787E-3</v>
      </c>
      <c r="G82" s="3">
        <f t="shared" si="6"/>
        <v>175775.44490875152</v>
      </c>
      <c r="H82" s="2">
        <f t="shared" si="7"/>
        <v>1329931.4449087516</v>
      </c>
    </row>
    <row r="83" spans="1:8" x14ac:dyDescent="0.2">
      <c r="A83">
        <v>2019</v>
      </c>
      <c r="B83" s="3" t="str">
        <f t="shared" si="4"/>
        <v>5005</v>
      </c>
      <c r="C83" s="3" t="s">
        <v>90</v>
      </c>
      <c r="D83" s="13">
        <v>603167</v>
      </c>
      <c r="E83" s="13">
        <v>603167</v>
      </c>
      <c r="F83" s="3">
        <f t="shared" si="5"/>
        <v>1.3485895838596332E-3</v>
      </c>
      <c r="G83" s="3">
        <f t="shared" si="6"/>
        <v>91861.020329380888</v>
      </c>
      <c r="H83" s="2">
        <f t="shared" si="7"/>
        <v>695028.02032938087</v>
      </c>
    </row>
    <row r="84" spans="1:8" x14ac:dyDescent="0.2">
      <c r="A84">
        <v>2019</v>
      </c>
      <c r="B84" s="3" t="str">
        <f t="shared" si="4"/>
        <v>5006</v>
      </c>
      <c r="C84" s="3" t="s">
        <v>91</v>
      </c>
      <c r="D84" s="13">
        <v>251915</v>
      </c>
      <c r="E84" s="13">
        <v>251915</v>
      </c>
      <c r="F84" s="3">
        <f t="shared" si="5"/>
        <v>5.6324358762664326E-4</v>
      </c>
      <c r="G84" s="3">
        <f t="shared" si="6"/>
        <v>38366.105798685916</v>
      </c>
      <c r="H84" s="2">
        <f t="shared" si="7"/>
        <v>290281.10579868592</v>
      </c>
    </row>
    <row r="85" spans="1:8" x14ac:dyDescent="0.2">
      <c r="A85">
        <v>2019</v>
      </c>
      <c r="B85" s="3" t="str">
        <f t="shared" si="4"/>
        <v>5007</v>
      </c>
      <c r="C85" s="3" t="s">
        <v>143</v>
      </c>
      <c r="D85" s="13">
        <v>153613</v>
      </c>
      <c r="E85" s="13">
        <v>153613</v>
      </c>
      <c r="F85" s="3">
        <f t="shared" si="5"/>
        <v>3.4345528144847092E-4</v>
      </c>
      <c r="G85" s="3">
        <f t="shared" si="6"/>
        <v>23394.925312321775</v>
      </c>
      <c r="H85" s="2">
        <f t="shared" si="7"/>
        <v>177007.92531232178</v>
      </c>
    </row>
    <row r="86" spans="1:8" x14ac:dyDescent="0.2">
      <c r="A86">
        <v>2019</v>
      </c>
      <c r="B86" s="3" t="str">
        <f t="shared" si="4"/>
        <v>5008</v>
      </c>
      <c r="C86" s="3" t="s">
        <v>92</v>
      </c>
      <c r="D86" s="13">
        <v>626506</v>
      </c>
      <c r="E86" s="13">
        <v>626506</v>
      </c>
      <c r="F86" s="3">
        <f t="shared" si="5"/>
        <v>1.4007720346530287E-3</v>
      </c>
      <c r="G86" s="3">
        <f t="shared" si="6"/>
        <v>95415.499194218355</v>
      </c>
      <c r="H86" s="2">
        <f t="shared" si="7"/>
        <v>721921.49919421831</v>
      </c>
    </row>
    <row r="87" spans="1:8" x14ac:dyDescent="0.2">
      <c r="A87">
        <v>2019</v>
      </c>
      <c r="B87" s="3" t="str">
        <f t="shared" si="4"/>
        <v>5010</v>
      </c>
      <c r="C87" s="3" t="s">
        <v>93</v>
      </c>
      <c r="D87" s="13">
        <v>1551828</v>
      </c>
      <c r="E87" s="13">
        <v>1551828</v>
      </c>
      <c r="F87" s="3">
        <f t="shared" si="5"/>
        <v>3.4696511525692335E-3</v>
      </c>
      <c r="G87" s="3">
        <f t="shared" si="6"/>
        <v>236340.02433107659</v>
      </c>
      <c r="H87" s="2">
        <f t="shared" si="7"/>
        <v>1788168.0243310765</v>
      </c>
    </row>
    <row r="88" spans="1:8" x14ac:dyDescent="0.2">
      <c r="A88">
        <v>2019</v>
      </c>
      <c r="B88" s="3" t="str">
        <f t="shared" si="4"/>
        <v>5011</v>
      </c>
      <c r="C88" s="3" t="s">
        <v>94</v>
      </c>
      <c r="D88" s="13">
        <v>535856</v>
      </c>
      <c r="E88" s="13">
        <v>535856</v>
      </c>
      <c r="F88" s="3">
        <f t="shared" si="5"/>
        <v>1.1980924355090507E-3</v>
      </c>
      <c r="G88" s="3">
        <f t="shared" si="6"/>
        <v>81609.701640873463</v>
      </c>
      <c r="H88" s="2">
        <f t="shared" si="7"/>
        <v>617465.70164087345</v>
      </c>
    </row>
    <row r="89" spans="1:8" x14ac:dyDescent="0.2">
      <c r="A89">
        <v>2019</v>
      </c>
      <c r="B89" s="3" t="str">
        <f t="shared" si="4"/>
        <v>5012</v>
      </c>
      <c r="C89" s="3" t="s">
        <v>95</v>
      </c>
      <c r="D89" s="13">
        <v>344489</v>
      </c>
      <c r="E89" s="13">
        <v>344489</v>
      </c>
      <c r="F89" s="3">
        <f t="shared" si="5"/>
        <v>7.7022495785449333E-4</v>
      </c>
      <c r="G89" s="3">
        <f t="shared" si="6"/>
        <v>52464.924361326288</v>
      </c>
      <c r="H89" s="2">
        <f t="shared" si="7"/>
        <v>396953.92436132627</v>
      </c>
    </row>
    <row r="90" spans="1:8" x14ac:dyDescent="0.2">
      <c r="A90">
        <v>2019</v>
      </c>
      <c r="B90" s="3" t="str">
        <f t="shared" si="4"/>
        <v>5013</v>
      </c>
      <c r="C90" s="3" t="s">
        <v>96</v>
      </c>
      <c r="D90" s="13">
        <v>6746387</v>
      </c>
      <c r="E90" s="13">
        <v>6746387</v>
      </c>
      <c r="F90" s="3">
        <f t="shared" si="5"/>
        <v>1.5083894239714771E-2</v>
      </c>
      <c r="G90" s="3">
        <f t="shared" si="6"/>
        <v>1027460.0456538089</v>
      </c>
      <c r="H90" s="2">
        <f t="shared" si="7"/>
        <v>7773847.0456538089</v>
      </c>
    </row>
    <row r="91" spans="1:8" x14ac:dyDescent="0.2">
      <c r="A91">
        <v>2019</v>
      </c>
      <c r="B91" s="3" t="str">
        <f t="shared" si="4"/>
        <v>5014</v>
      </c>
      <c r="C91" s="3" t="s">
        <v>97</v>
      </c>
      <c r="D91" s="13">
        <v>1512165</v>
      </c>
      <c r="E91" s="13">
        <v>1512165</v>
      </c>
      <c r="F91" s="3">
        <f t="shared" si="5"/>
        <v>3.3809707229956252E-3</v>
      </c>
      <c r="G91" s="3">
        <f t="shared" si="6"/>
        <v>230299.4358218839</v>
      </c>
      <c r="H91" s="2">
        <f t="shared" si="7"/>
        <v>1742464.4358218838</v>
      </c>
    </row>
    <row r="92" spans="1:8" x14ac:dyDescent="0.2">
      <c r="A92">
        <v>2019</v>
      </c>
      <c r="B92" s="3" t="str">
        <f t="shared" si="4"/>
        <v>5015</v>
      </c>
      <c r="C92" s="3" t="s">
        <v>98</v>
      </c>
      <c r="D92" s="13">
        <v>390701</v>
      </c>
      <c r="E92" s="13">
        <v>390701</v>
      </c>
      <c r="F92" s="3">
        <f t="shared" si="5"/>
        <v>8.7354795438666672E-4</v>
      </c>
      <c r="G92" s="3">
        <f t="shared" si="6"/>
        <v>59502.911306005539</v>
      </c>
      <c r="H92" s="2">
        <f t="shared" si="7"/>
        <v>450203.91130600555</v>
      </c>
    </row>
    <row r="93" spans="1:8" x14ac:dyDescent="0.2">
      <c r="A93">
        <v>2019</v>
      </c>
      <c r="B93" s="3" t="str">
        <f t="shared" si="4"/>
        <v>5016</v>
      </c>
      <c r="C93" s="3" t="s">
        <v>99</v>
      </c>
      <c r="D93" s="13">
        <v>504210</v>
      </c>
      <c r="E93" s="13">
        <v>504210</v>
      </c>
      <c r="F93" s="3">
        <f t="shared" si="5"/>
        <v>1.1273367974008288E-3</v>
      </c>
      <c r="G93" s="3">
        <f t="shared" si="6"/>
        <v>76790.084769685898</v>
      </c>
      <c r="H93" s="2">
        <f t="shared" si="7"/>
        <v>581000.08476968587</v>
      </c>
    </row>
    <row r="94" spans="1:8" x14ac:dyDescent="0.2">
      <c r="A94">
        <v>2019</v>
      </c>
      <c r="B94" s="3" t="str">
        <f t="shared" si="4"/>
        <v>5017</v>
      </c>
      <c r="C94" s="3" t="s">
        <v>100</v>
      </c>
      <c r="D94" s="13">
        <v>3436441</v>
      </c>
      <c r="E94" s="13">
        <v>3436441</v>
      </c>
      <c r="F94" s="3">
        <f t="shared" si="5"/>
        <v>7.6833589008486573E-3</v>
      </c>
      <c r="G94" s="3">
        <f t="shared" si="6"/>
        <v>523362.47931620595</v>
      </c>
      <c r="H94" s="2">
        <f t="shared" si="7"/>
        <v>3959803.4793162057</v>
      </c>
    </row>
    <row r="95" spans="1:8" x14ac:dyDescent="0.2">
      <c r="A95">
        <v>2019</v>
      </c>
      <c r="B95" s="3" t="str">
        <f t="shared" si="4"/>
        <v>5018</v>
      </c>
      <c r="C95" s="3" t="s">
        <v>101</v>
      </c>
      <c r="D95" s="13">
        <v>239764</v>
      </c>
      <c r="E95" s="13">
        <v>239764</v>
      </c>
      <c r="F95" s="3">
        <f t="shared" si="5"/>
        <v>5.3607580153509904E-4</v>
      </c>
      <c r="G95" s="3">
        <f t="shared" si="6"/>
        <v>36515.53496503237</v>
      </c>
      <c r="H95" s="2">
        <f t="shared" si="7"/>
        <v>276279.53496503236</v>
      </c>
    </row>
    <row r="96" spans="1:8" x14ac:dyDescent="0.2">
      <c r="A96">
        <v>2019</v>
      </c>
      <c r="B96" s="3" t="str">
        <f t="shared" si="4"/>
        <v>5019</v>
      </c>
      <c r="C96" s="3" t="s">
        <v>102</v>
      </c>
      <c r="D96" s="13">
        <v>2293139</v>
      </c>
      <c r="E96" s="13">
        <v>2293139</v>
      </c>
      <c r="F96" s="3">
        <f t="shared" si="5"/>
        <v>5.1271096889290955E-3</v>
      </c>
      <c r="G96" s="3">
        <f t="shared" si="6"/>
        <v>349240.07496613072</v>
      </c>
      <c r="H96" s="2">
        <f t="shared" si="7"/>
        <v>2642379.0749661308</v>
      </c>
    </row>
    <row r="97" spans="1:8" x14ac:dyDescent="0.2">
      <c r="A97">
        <v>2019</v>
      </c>
      <c r="B97" s="3" t="str">
        <f t="shared" si="4"/>
        <v>5020</v>
      </c>
      <c r="C97" s="3" t="s">
        <v>103</v>
      </c>
      <c r="D97" s="13">
        <v>7355778</v>
      </c>
      <c r="E97" s="13">
        <v>7355778</v>
      </c>
      <c r="F97" s="3">
        <f t="shared" si="5"/>
        <v>1.6446399740012045E-2</v>
      </c>
      <c r="G97" s="3">
        <f t="shared" si="6"/>
        <v>1120268.9676265656</v>
      </c>
      <c r="H97" s="2">
        <f t="shared" si="7"/>
        <v>8476046.9676265661</v>
      </c>
    </row>
    <row r="98" spans="1:8" x14ac:dyDescent="0.2">
      <c r="A98">
        <v>2019</v>
      </c>
      <c r="B98" s="3" t="str">
        <f t="shared" si="4"/>
        <v>5021</v>
      </c>
      <c r="C98" s="3" t="s">
        <v>104</v>
      </c>
      <c r="D98" s="13">
        <v>242126</v>
      </c>
      <c r="E98" s="13">
        <v>242126</v>
      </c>
      <c r="F98" s="3">
        <f t="shared" si="5"/>
        <v>5.4135687393640165E-4</v>
      </c>
      <c r="G98" s="3">
        <f t="shared" si="6"/>
        <v>36875.262420310923</v>
      </c>
      <c r="H98" s="2">
        <f t="shared" si="7"/>
        <v>279001.26242031093</v>
      </c>
    </row>
    <row r="99" spans="1:8" x14ac:dyDescent="0.2">
      <c r="A99">
        <v>2019</v>
      </c>
      <c r="B99" s="3" t="str">
        <f t="shared" si="4"/>
        <v>5022</v>
      </c>
      <c r="C99" s="3" t="s">
        <v>105</v>
      </c>
      <c r="D99" s="13">
        <v>4567722</v>
      </c>
      <c r="E99" s="13">
        <v>4567722</v>
      </c>
      <c r="F99" s="3">
        <f t="shared" si="5"/>
        <v>1.0212730986885044E-2</v>
      </c>
      <c r="G99" s="3">
        <f t="shared" si="6"/>
        <v>695654.11154947185</v>
      </c>
      <c r="H99" s="2">
        <f t="shared" si="7"/>
        <v>5263376.1115494715</v>
      </c>
    </row>
    <row r="100" spans="1:8" x14ac:dyDescent="0.2">
      <c r="A100">
        <v>2019</v>
      </c>
      <c r="B100" s="3" t="str">
        <f t="shared" si="4"/>
        <v>5024</v>
      </c>
      <c r="C100" s="3" t="s">
        <v>106</v>
      </c>
      <c r="D100" s="13">
        <v>583094</v>
      </c>
      <c r="E100" s="13">
        <v>583094</v>
      </c>
      <c r="F100" s="3">
        <f t="shared" si="5"/>
        <v>1.3037094118395884E-3</v>
      </c>
      <c r="G100" s="3">
        <f t="shared" si="6"/>
        <v>88803.946150800723</v>
      </c>
      <c r="H100" s="2">
        <f t="shared" si="7"/>
        <v>671897.94615080068</v>
      </c>
    </row>
    <row r="101" spans="1:8" x14ac:dyDescent="0.2">
      <c r="A101">
        <v>2019</v>
      </c>
      <c r="B101" s="3" t="str">
        <f t="shared" si="4"/>
        <v>5025</v>
      </c>
      <c r="C101" s="3" t="s">
        <v>107</v>
      </c>
      <c r="D101" s="13">
        <v>1661130</v>
      </c>
      <c r="E101" s="13">
        <v>1661130</v>
      </c>
      <c r="F101" s="3">
        <f t="shared" si="5"/>
        <v>3.7140337840709994E-3</v>
      </c>
      <c r="G101" s="3">
        <f t="shared" si="6"/>
        <v>252986.48085811138</v>
      </c>
      <c r="H101" s="2">
        <f t="shared" si="7"/>
        <v>1914116.4808581113</v>
      </c>
    </row>
    <row r="102" spans="1:8" x14ac:dyDescent="0.2">
      <c r="A102">
        <v>2019</v>
      </c>
      <c r="B102" s="3" t="str">
        <f t="shared" si="4"/>
        <v>5026</v>
      </c>
      <c r="C102" s="3" t="s">
        <v>108</v>
      </c>
      <c r="D102" s="13">
        <v>358470</v>
      </c>
      <c r="E102" s="13">
        <v>358470</v>
      </c>
      <c r="F102" s="3">
        <f t="shared" si="5"/>
        <v>8.0148434534078081E-4</v>
      </c>
      <c r="G102" s="3">
        <f t="shared" si="6"/>
        <v>54594.200209018672</v>
      </c>
      <c r="H102" s="2">
        <f t="shared" si="7"/>
        <v>413064.20020901866</v>
      </c>
    </row>
    <row r="103" spans="1:8" x14ac:dyDescent="0.2">
      <c r="A103">
        <v>2019</v>
      </c>
      <c r="B103" s="3" t="str">
        <f t="shared" si="4"/>
        <v>5027</v>
      </c>
      <c r="C103" s="3" t="s">
        <v>109</v>
      </c>
      <c r="D103" s="13">
        <v>5536929</v>
      </c>
      <c r="E103" s="13">
        <v>5536929</v>
      </c>
      <c r="F103" s="3">
        <f t="shared" si="5"/>
        <v>1.2379730283603604E-2</v>
      </c>
      <c r="G103" s="3">
        <f t="shared" si="6"/>
        <v>843262.22659949667</v>
      </c>
      <c r="H103" s="2">
        <f t="shared" si="7"/>
        <v>6380191.2265994968</v>
      </c>
    </row>
    <row r="104" spans="1:8" x14ac:dyDescent="0.2">
      <c r="A104">
        <v>2019</v>
      </c>
      <c r="B104" s="3" t="str">
        <f t="shared" si="4"/>
        <v>5028</v>
      </c>
      <c r="C104" s="3" t="s">
        <v>110</v>
      </c>
      <c r="D104" s="13">
        <v>1363986</v>
      </c>
      <c r="E104" s="13">
        <v>1363986</v>
      </c>
      <c r="F104" s="3">
        <f t="shared" si="5"/>
        <v>3.0496650382570096E-3</v>
      </c>
      <c r="G104" s="3">
        <f t="shared" si="6"/>
        <v>207732.09687365341</v>
      </c>
      <c r="H104" s="2">
        <f t="shared" si="7"/>
        <v>1571718.0968736534</v>
      </c>
    </row>
    <row r="105" spans="1:8" x14ac:dyDescent="0.2">
      <c r="A105">
        <v>2019</v>
      </c>
      <c r="B105" s="3" t="str">
        <f t="shared" si="4"/>
        <v>5029</v>
      </c>
      <c r="C105" s="3" t="s">
        <v>111</v>
      </c>
      <c r="D105" s="13">
        <v>442518</v>
      </c>
      <c r="E105" s="13">
        <v>442518</v>
      </c>
      <c r="F105" s="3">
        <f t="shared" si="5"/>
        <v>9.8940287759508917E-4</v>
      </c>
      <c r="G105" s="3">
        <f t="shared" si="6"/>
        <v>67394.527542317417</v>
      </c>
      <c r="H105" s="2">
        <f t="shared" si="7"/>
        <v>509912.5275423174</v>
      </c>
    </row>
    <row r="106" spans="1:8" x14ac:dyDescent="0.2">
      <c r="A106">
        <v>2019</v>
      </c>
      <c r="B106" s="3" t="str">
        <f t="shared" si="4"/>
        <v>5031</v>
      </c>
      <c r="C106" s="3" t="s">
        <v>112</v>
      </c>
      <c r="D106" s="13">
        <v>8830249</v>
      </c>
      <c r="E106" s="13">
        <v>8830249</v>
      </c>
      <c r="F106" s="3">
        <f t="shared" si="5"/>
        <v>1.9743092417666985E-2</v>
      </c>
      <c r="G106" s="3">
        <f t="shared" si="6"/>
        <v>1344827.6893505368</v>
      </c>
      <c r="H106" s="2">
        <f t="shared" si="7"/>
        <v>10175076.689350536</v>
      </c>
    </row>
    <row r="107" spans="1:8" x14ac:dyDescent="0.2">
      <c r="A107">
        <v>2019</v>
      </c>
      <c r="B107" s="3" t="str">
        <f t="shared" si="4"/>
        <v>5032</v>
      </c>
      <c r="C107" s="3" t="s">
        <v>359</v>
      </c>
      <c r="D107" s="13">
        <v>732554</v>
      </c>
      <c r="E107" s="13">
        <v>732554</v>
      </c>
      <c r="F107" s="3">
        <f t="shared" si="5"/>
        <v>1.6378792175545244E-3</v>
      </c>
      <c r="G107" s="3">
        <f t="shared" si="6"/>
        <v>111566.37860885839</v>
      </c>
      <c r="H107" s="2">
        <f t="shared" si="7"/>
        <v>844120.37860885845</v>
      </c>
    </row>
    <row r="108" spans="1:8" x14ac:dyDescent="0.2">
      <c r="A108">
        <v>2019</v>
      </c>
      <c r="B108" s="3" t="str">
        <f t="shared" si="4"/>
        <v>5033</v>
      </c>
      <c r="C108" s="3" t="s">
        <v>114</v>
      </c>
      <c r="D108" s="13">
        <v>531005</v>
      </c>
      <c r="E108" s="13">
        <v>531005</v>
      </c>
      <c r="F108" s="3">
        <f t="shared" si="5"/>
        <v>1.1872463380413461E-3</v>
      </c>
      <c r="G108" s="3">
        <f t="shared" si="6"/>
        <v>80870.904906937722</v>
      </c>
      <c r="H108" s="2">
        <f t="shared" si="7"/>
        <v>611875.90490693774</v>
      </c>
    </row>
    <row r="109" spans="1:8" x14ac:dyDescent="0.2">
      <c r="A109">
        <v>2019</v>
      </c>
      <c r="B109" s="3" t="str">
        <f t="shared" si="4"/>
        <v>5034</v>
      </c>
      <c r="C109" s="3" t="s">
        <v>115</v>
      </c>
      <c r="D109" s="13">
        <v>251885</v>
      </c>
      <c r="E109" s="13">
        <v>251885</v>
      </c>
      <c r="F109" s="3">
        <f t="shared" si="5"/>
        <v>5.6317651219394251E-4</v>
      </c>
      <c r="G109" s="3">
        <f t="shared" si="6"/>
        <v>38361.536864029542</v>
      </c>
      <c r="H109" s="2">
        <f t="shared" si="7"/>
        <v>290246.53686402953</v>
      </c>
    </row>
    <row r="110" spans="1:8" x14ac:dyDescent="0.2">
      <c r="A110">
        <v>2019</v>
      </c>
      <c r="B110" s="3" t="str">
        <f t="shared" si="4"/>
        <v>5035</v>
      </c>
      <c r="C110" s="3" t="s">
        <v>116</v>
      </c>
      <c r="D110" s="13">
        <v>1354557</v>
      </c>
      <c r="E110" s="13">
        <v>1354557</v>
      </c>
      <c r="F110" s="3">
        <f t="shared" si="5"/>
        <v>3.0285832297591766E-3</v>
      </c>
      <c r="G110" s="3">
        <f t="shared" si="6"/>
        <v>206296.08071115494</v>
      </c>
      <c r="H110" s="2">
        <f t="shared" si="7"/>
        <v>1560853.080711155</v>
      </c>
    </row>
    <row r="111" spans="1:8" x14ac:dyDescent="0.2">
      <c r="A111">
        <v>2019</v>
      </c>
      <c r="B111" s="3" t="str">
        <f t="shared" si="4"/>
        <v>5036</v>
      </c>
      <c r="C111" s="3" t="s">
        <v>117</v>
      </c>
      <c r="D111" s="13">
        <v>744314</v>
      </c>
      <c r="E111" s="13">
        <v>744314</v>
      </c>
      <c r="F111" s="3">
        <f t="shared" si="5"/>
        <v>1.6641727871732025E-3</v>
      </c>
      <c r="G111" s="3">
        <f t="shared" si="6"/>
        <v>113357.40099415719</v>
      </c>
      <c r="H111" s="2">
        <f t="shared" si="7"/>
        <v>857671.40099415719</v>
      </c>
    </row>
    <row r="112" spans="1:8" x14ac:dyDescent="0.2">
      <c r="A112">
        <v>2019</v>
      </c>
      <c r="B112" s="3" t="str">
        <f t="shared" si="4"/>
        <v>5037</v>
      </c>
      <c r="C112" s="3" t="s">
        <v>118</v>
      </c>
      <c r="D112" s="13">
        <v>2639305</v>
      </c>
      <c r="E112" s="13">
        <v>2639305</v>
      </c>
      <c r="F112" s="3">
        <f t="shared" si="5"/>
        <v>5.9010841634715584E-3</v>
      </c>
      <c r="G112" s="3">
        <f t="shared" si="6"/>
        <v>401960.40277474833</v>
      </c>
      <c r="H112" s="2">
        <f t="shared" si="7"/>
        <v>3041265.4027747484</v>
      </c>
    </row>
    <row r="113" spans="1:8" x14ac:dyDescent="0.2">
      <c r="A113">
        <v>2019</v>
      </c>
      <c r="B113" s="3" t="str">
        <f t="shared" si="4"/>
        <v>5038</v>
      </c>
      <c r="C113" s="3" t="s">
        <v>119</v>
      </c>
      <c r="D113" s="13">
        <v>291670</v>
      </c>
      <c r="E113" s="13">
        <v>291670</v>
      </c>
      <c r="F113" s="3">
        <f t="shared" si="5"/>
        <v>6.5212971519386712E-4</v>
      </c>
      <c r="G113" s="3">
        <f t="shared" si="6"/>
        <v>44420.705707491499</v>
      </c>
      <c r="H113" s="2">
        <f t="shared" si="7"/>
        <v>336090.70570749149</v>
      </c>
    </row>
    <row r="114" spans="1:8" x14ac:dyDescent="0.2">
      <c r="A114">
        <v>2019</v>
      </c>
      <c r="B114" s="3" t="str">
        <f t="shared" si="4"/>
        <v>5039</v>
      </c>
      <c r="C114" s="3" t="s">
        <v>120</v>
      </c>
      <c r="D114" s="13">
        <v>411814</v>
      </c>
      <c r="E114" s="13">
        <v>411814</v>
      </c>
      <c r="F114" s="3">
        <f t="shared" si="5"/>
        <v>9.2075340807366954E-4</v>
      </c>
      <c r="G114" s="3">
        <f t="shared" si="6"/>
        <v>62718.375219340021</v>
      </c>
      <c r="H114" s="2">
        <f t="shared" si="7"/>
        <v>474532.37521934003</v>
      </c>
    </row>
    <row r="115" spans="1:8" x14ac:dyDescent="0.2">
      <c r="A115">
        <v>2019</v>
      </c>
      <c r="B115" s="3" t="str">
        <f t="shared" si="4"/>
        <v>5040</v>
      </c>
      <c r="C115" s="3" t="s">
        <v>121</v>
      </c>
      <c r="D115" s="13">
        <v>1289655</v>
      </c>
      <c r="E115" s="13">
        <v>1289655</v>
      </c>
      <c r="F115" s="3">
        <f t="shared" si="5"/>
        <v>2.883472238654461E-3</v>
      </c>
      <c r="G115" s="3">
        <f t="shared" si="6"/>
        <v>196411.64747555437</v>
      </c>
      <c r="H115" s="2">
        <f t="shared" si="7"/>
        <v>1486066.6474755544</v>
      </c>
    </row>
    <row r="116" spans="1:8" x14ac:dyDescent="0.2">
      <c r="A116">
        <v>2019</v>
      </c>
      <c r="B116" s="3" t="str">
        <f t="shared" si="4"/>
        <v>5041</v>
      </c>
      <c r="C116" s="3" t="s">
        <v>122</v>
      </c>
      <c r="D116" s="13">
        <v>6805599</v>
      </c>
      <c r="E116" s="13">
        <v>6805599</v>
      </c>
      <c r="F116" s="3">
        <f t="shared" si="5"/>
        <v>1.5216283257083919E-2</v>
      </c>
      <c r="G116" s="3">
        <f t="shared" si="6"/>
        <v>1036477.904282917</v>
      </c>
      <c r="H116" s="2">
        <f t="shared" si="7"/>
        <v>7842076.9042829173</v>
      </c>
    </row>
    <row r="117" spans="1:8" x14ac:dyDescent="0.2">
      <c r="A117">
        <v>2019</v>
      </c>
      <c r="B117" s="3" t="str">
        <f t="shared" si="4"/>
        <v>5042</v>
      </c>
      <c r="C117" s="3" t="s">
        <v>123</v>
      </c>
      <c r="D117" s="13">
        <v>2053932</v>
      </c>
      <c r="E117" s="13">
        <v>2053932</v>
      </c>
      <c r="F117" s="3">
        <f t="shared" si="5"/>
        <v>4.5922792545944726E-3</v>
      </c>
      <c r="G117" s="3">
        <f t="shared" si="6"/>
        <v>312809.369887885</v>
      </c>
      <c r="H117" s="2">
        <f t="shared" si="7"/>
        <v>2366741.3698878852</v>
      </c>
    </row>
    <row r="118" spans="1:8" x14ac:dyDescent="0.2">
      <c r="A118">
        <v>2019</v>
      </c>
      <c r="B118" s="3" t="str">
        <f t="shared" si="4"/>
        <v>5043</v>
      </c>
      <c r="C118" s="3" t="s">
        <v>124</v>
      </c>
      <c r="D118" s="13">
        <v>3045546</v>
      </c>
      <c r="E118" s="13">
        <v>3045546</v>
      </c>
      <c r="F118" s="3">
        <f t="shared" si="5"/>
        <v>6.8093771919971926E-3</v>
      </c>
      <c r="G118" s="3">
        <f t="shared" si="6"/>
        <v>463830.02223275584</v>
      </c>
      <c r="H118" s="2">
        <f t="shared" si="7"/>
        <v>3509376.022232756</v>
      </c>
    </row>
    <row r="119" spans="1:8" x14ac:dyDescent="0.2">
      <c r="A119">
        <v>2019</v>
      </c>
      <c r="B119" s="3" t="str">
        <f t="shared" si="4"/>
        <v>5056</v>
      </c>
      <c r="C119" s="3" t="s">
        <v>125</v>
      </c>
      <c r="D119" s="13">
        <v>322832</v>
      </c>
      <c r="E119" s="13">
        <v>322832</v>
      </c>
      <c r="F119" s="3">
        <f t="shared" si="5"/>
        <v>7.2180320298785106E-4</v>
      </c>
      <c r="G119" s="3">
        <f t="shared" si="6"/>
        <v>49166.610432889553</v>
      </c>
      <c r="H119" s="2">
        <f t="shared" si="7"/>
        <v>371998.61043288955</v>
      </c>
    </row>
    <row r="120" spans="1:8" x14ac:dyDescent="0.2">
      <c r="A120">
        <v>2019</v>
      </c>
      <c r="B120" s="3" t="str">
        <f t="shared" si="4"/>
        <v>5057</v>
      </c>
      <c r="C120" s="3" t="s">
        <v>126</v>
      </c>
      <c r="D120" s="13">
        <v>539593</v>
      </c>
      <c r="E120" s="13">
        <v>539593</v>
      </c>
      <c r="F120" s="3">
        <f t="shared" si="5"/>
        <v>1.2064477985758025E-3</v>
      </c>
      <c r="G120" s="3">
        <f t="shared" si="6"/>
        <v>82178.838601235839</v>
      </c>
      <c r="H120" s="2">
        <f t="shared" si="7"/>
        <v>621771.83860123588</v>
      </c>
    </row>
    <row r="121" spans="1:8" x14ac:dyDescent="0.2">
      <c r="A121">
        <v>2019</v>
      </c>
      <c r="B121" s="3" t="str">
        <f t="shared" si="4"/>
        <v>5058</v>
      </c>
      <c r="C121" s="3" t="s">
        <v>127</v>
      </c>
      <c r="D121" s="13">
        <v>1196550</v>
      </c>
      <c r="E121" s="13">
        <v>1196550</v>
      </c>
      <c r="F121" s="3">
        <f t="shared" si="5"/>
        <v>2.6753036332678084E-3</v>
      </c>
      <c r="G121" s="3">
        <f t="shared" si="6"/>
        <v>182231.95876949618</v>
      </c>
      <c r="H121" s="2">
        <f t="shared" si="7"/>
        <v>1378781.9587694961</v>
      </c>
    </row>
    <row r="122" spans="1:8" x14ac:dyDescent="0.2">
      <c r="A122">
        <v>2019</v>
      </c>
      <c r="B122" s="3" t="str">
        <f t="shared" si="4"/>
        <v>5059</v>
      </c>
      <c r="C122" s="3" t="s">
        <v>128</v>
      </c>
      <c r="D122" s="13">
        <v>345821</v>
      </c>
      <c r="E122" s="13">
        <v>345821</v>
      </c>
      <c r="F122" s="3">
        <f t="shared" si="5"/>
        <v>7.7320310706640487E-4</v>
      </c>
      <c r="G122" s="3">
        <f t="shared" si="6"/>
        <v>52667.785060069313</v>
      </c>
      <c r="H122" s="2">
        <f t="shared" si="7"/>
        <v>398488.78506006929</v>
      </c>
    </row>
    <row r="123" spans="1:8" x14ac:dyDescent="0.2">
      <c r="A123">
        <v>2019</v>
      </c>
      <c r="B123" s="3" t="str">
        <f t="shared" si="4"/>
        <v>5060</v>
      </c>
      <c r="C123" s="3" t="s">
        <v>129</v>
      </c>
      <c r="D123" s="13">
        <v>162999</v>
      </c>
      <c r="E123" s="13">
        <v>162999</v>
      </c>
      <c r="F123" s="3">
        <f t="shared" si="5"/>
        <v>3.6444094849276626E-4</v>
      </c>
      <c r="G123" s="3">
        <f t="shared" si="6"/>
        <v>24824.392668479468</v>
      </c>
      <c r="H123" s="2">
        <f t="shared" si="7"/>
        <v>187823.39266847947</v>
      </c>
    </row>
    <row r="124" spans="1:8" x14ac:dyDescent="0.2">
      <c r="A124">
        <v>2019</v>
      </c>
      <c r="B124" s="3" t="str">
        <f t="shared" si="4"/>
        <v>5061</v>
      </c>
      <c r="C124" s="3" t="s">
        <v>130</v>
      </c>
      <c r="D124" s="13">
        <v>311783</v>
      </c>
      <c r="E124" s="13">
        <v>311783</v>
      </c>
      <c r="F124" s="3">
        <f t="shared" si="5"/>
        <v>6.9709932112417962E-4</v>
      </c>
      <c r="G124" s="3">
        <f t="shared" si="6"/>
        <v>47483.871798946828</v>
      </c>
      <c r="H124" s="2">
        <f t="shared" si="7"/>
        <v>359266.87179894681</v>
      </c>
    </row>
    <row r="125" spans="1:8" x14ac:dyDescent="0.2">
      <c r="A125">
        <v>2019</v>
      </c>
      <c r="B125" s="3" t="str">
        <f t="shared" si="4"/>
        <v>5062</v>
      </c>
      <c r="C125" s="3" t="s">
        <v>131</v>
      </c>
      <c r="D125" s="13">
        <v>590087</v>
      </c>
      <c r="E125" s="13">
        <v>590087</v>
      </c>
      <c r="F125" s="3">
        <f t="shared" si="5"/>
        <v>1.3193446952021238E-3</v>
      </c>
      <c r="G125" s="3">
        <f t="shared" si="6"/>
        <v>89868.964819201618</v>
      </c>
      <c r="H125" s="2">
        <f t="shared" si="7"/>
        <v>679955.96481920162</v>
      </c>
    </row>
    <row r="126" spans="1:8" x14ac:dyDescent="0.2">
      <c r="A126">
        <v>2019</v>
      </c>
      <c r="B126" s="3" t="str">
        <f t="shared" si="4"/>
        <v>5063</v>
      </c>
      <c r="C126" s="3" t="s">
        <v>132</v>
      </c>
      <c r="D126" s="13">
        <v>509087</v>
      </c>
      <c r="E126" s="13">
        <v>509087</v>
      </c>
      <c r="F126" s="3">
        <f t="shared" si="5"/>
        <v>1.1382410269102075E-3</v>
      </c>
      <c r="G126" s="3">
        <f t="shared" si="6"/>
        <v>77532.841246990516</v>
      </c>
      <c r="H126" s="2">
        <f t="shared" si="7"/>
        <v>586619.84124699049</v>
      </c>
    </row>
    <row r="127" spans="1:8" x14ac:dyDescent="0.2">
      <c r="A127">
        <v>2019</v>
      </c>
      <c r="B127" s="3" t="str">
        <f t="shared" si="4"/>
        <v>5064</v>
      </c>
      <c r="C127" s="3" t="s">
        <v>133</v>
      </c>
      <c r="D127" s="13">
        <v>310147</v>
      </c>
      <c r="E127" s="13">
        <v>310147</v>
      </c>
      <c r="F127" s="3">
        <f t="shared" si="5"/>
        <v>6.9344147419423427E-4</v>
      </c>
      <c r="G127" s="3">
        <f t="shared" si="6"/>
        <v>47234.712562352543</v>
      </c>
      <c r="H127" s="2">
        <f t="shared" si="7"/>
        <v>357381.71256235254</v>
      </c>
    </row>
    <row r="128" spans="1:8" x14ac:dyDescent="0.2">
      <c r="A128">
        <v>2019</v>
      </c>
      <c r="B128" s="3" t="str">
        <f t="shared" si="4"/>
        <v>5065</v>
      </c>
      <c r="C128" s="3" t="s">
        <v>134</v>
      </c>
      <c r="D128" s="13">
        <v>385159</v>
      </c>
      <c r="E128" s="13">
        <v>385159</v>
      </c>
      <c r="F128" s="3">
        <f t="shared" si="5"/>
        <v>8.6115688611908888E-4</v>
      </c>
      <c r="G128" s="3">
        <f t="shared" si="6"/>
        <v>58658.876777151294</v>
      </c>
      <c r="H128" s="2">
        <f t="shared" si="7"/>
        <v>443817.87677715131</v>
      </c>
    </row>
    <row r="129" spans="1:8" x14ac:dyDescent="0.2">
      <c r="A129">
        <v>2019</v>
      </c>
      <c r="B129" s="3" t="str">
        <f t="shared" si="4"/>
        <v>5066</v>
      </c>
      <c r="C129" s="3" t="s">
        <v>135</v>
      </c>
      <c r="D129" s="13">
        <v>453440</v>
      </c>
      <c r="E129" s="13">
        <v>453440</v>
      </c>
      <c r="F129" s="3">
        <f t="shared" si="5"/>
        <v>1.0138228067936609E-3</v>
      </c>
      <c r="G129" s="3">
        <f t="shared" si="6"/>
        <v>69057.924352881484</v>
      </c>
      <c r="H129" s="2">
        <f t="shared" si="7"/>
        <v>522497.9243528815</v>
      </c>
    </row>
    <row r="130" spans="1:8" x14ac:dyDescent="0.2">
      <c r="A130">
        <v>2019</v>
      </c>
      <c r="B130" s="3" t="str">
        <f t="shared" si="4"/>
        <v>5067</v>
      </c>
      <c r="C130" s="3" t="s">
        <v>136</v>
      </c>
      <c r="D130" s="13">
        <v>695412</v>
      </c>
      <c r="E130" s="13">
        <v>695412</v>
      </c>
      <c r="F130" s="3">
        <f t="shared" si="5"/>
        <v>1.5548353601755323E-3</v>
      </c>
      <c r="G130" s="3">
        <f t="shared" si="6"/>
        <v>105909.73290862302</v>
      </c>
      <c r="H130" s="2">
        <f t="shared" si="7"/>
        <v>801321.73290862306</v>
      </c>
    </row>
    <row r="131" spans="1:8" x14ac:dyDescent="0.2">
      <c r="A131">
        <v>2019</v>
      </c>
      <c r="B131" s="3" t="str">
        <f t="shared" ref="B131:B194" si="8">LEFT(C131,4)</f>
        <v>5068</v>
      </c>
      <c r="C131" s="3" t="s">
        <v>137</v>
      </c>
      <c r="D131" s="13">
        <v>625699</v>
      </c>
      <c r="E131" s="13">
        <v>625699</v>
      </c>
      <c r="F131" s="3">
        <f t="shared" ref="F131:F194" si="9">E131/$D$340</f>
        <v>1.3989677055133796E-3</v>
      </c>
      <c r="G131" s="3">
        <f t="shared" ref="G131:G194" si="10">F131*$D$341</f>
        <v>95292.594851961869</v>
      </c>
      <c r="H131" s="2">
        <f t="shared" ref="H131:H194" si="11">SUM(G131,D131)</f>
        <v>720991.59485196183</v>
      </c>
    </row>
    <row r="132" spans="1:8" x14ac:dyDescent="0.2">
      <c r="A132">
        <v>2019</v>
      </c>
      <c r="B132" s="3" t="str">
        <f t="shared" si="8"/>
        <v>5069</v>
      </c>
      <c r="C132" s="3" t="s">
        <v>138</v>
      </c>
      <c r="D132" s="13">
        <v>618298</v>
      </c>
      <c r="E132" s="13">
        <v>618298</v>
      </c>
      <c r="F132" s="3">
        <f t="shared" si="9"/>
        <v>1.3824201962661146E-3</v>
      </c>
      <c r="G132" s="3">
        <f t="shared" si="10"/>
        <v>94165.43867223429</v>
      </c>
      <c r="H132" s="2">
        <f t="shared" si="11"/>
        <v>712463.4386722343</v>
      </c>
    </row>
    <row r="133" spans="1:8" x14ac:dyDescent="0.2">
      <c r="A133">
        <v>2019</v>
      </c>
      <c r="B133" s="3" t="str">
        <f t="shared" si="8"/>
        <v>5070</v>
      </c>
      <c r="C133" s="3" t="s">
        <v>139</v>
      </c>
      <c r="D133" s="13">
        <v>1494224</v>
      </c>
      <c r="E133" s="13">
        <v>1494224</v>
      </c>
      <c r="F133" s="3">
        <f t="shared" si="9"/>
        <v>3.340857378392844E-3</v>
      </c>
      <c r="G133" s="3">
        <f t="shared" si="10"/>
        <v>227567.06059955008</v>
      </c>
      <c r="H133" s="2">
        <f t="shared" si="11"/>
        <v>1721791.0605995501</v>
      </c>
    </row>
    <row r="134" spans="1:8" x14ac:dyDescent="0.2">
      <c r="A134">
        <v>2019</v>
      </c>
      <c r="B134" s="3" t="str">
        <f t="shared" si="8"/>
        <v>5072</v>
      </c>
      <c r="C134" s="3" t="s">
        <v>140</v>
      </c>
      <c r="D134" s="13">
        <v>212101</v>
      </c>
      <c r="E134" s="13">
        <v>212101</v>
      </c>
      <c r="F134" s="3">
        <f t="shared" si="9"/>
        <v>4.7422554504177462E-4</v>
      </c>
      <c r="G134" s="3">
        <f t="shared" si="10"/>
        <v>32302.520318389459</v>
      </c>
      <c r="H134" s="2">
        <f t="shared" si="11"/>
        <v>244403.52031838946</v>
      </c>
    </row>
    <row r="135" spans="1:8" x14ac:dyDescent="0.2">
      <c r="A135">
        <v>2019</v>
      </c>
      <c r="B135" s="3" t="str">
        <f t="shared" si="8"/>
        <v>5073</v>
      </c>
      <c r="C135" s="3" t="s">
        <v>141</v>
      </c>
      <c r="D135" s="13">
        <v>381597</v>
      </c>
      <c r="E135" s="13">
        <v>381597</v>
      </c>
      <c r="F135" s="3">
        <f t="shared" si="9"/>
        <v>8.5319279640975792E-4</v>
      </c>
      <c r="G135" s="3">
        <f t="shared" si="10"/>
        <v>58116.391935617758</v>
      </c>
      <c r="H135" s="2">
        <f t="shared" si="11"/>
        <v>439713.39193561778</v>
      </c>
    </row>
    <row r="136" spans="1:8" x14ac:dyDescent="0.2">
      <c r="A136">
        <v>2019</v>
      </c>
      <c r="B136" s="3" t="str">
        <f t="shared" si="8"/>
        <v>5076</v>
      </c>
      <c r="C136" s="3" t="s">
        <v>142</v>
      </c>
      <c r="D136" s="13">
        <v>177290</v>
      </c>
      <c r="E136" s="13">
        <v>177290</v>
      </c>
      <c r="F136" s="3">
        <f t="shared" si="9"/>
        <v>3.963934487836277E-4</v>
      </c>
      <c r="G136" s="3">
        <f t="shared" si="10"/>
        <v>27000.880840954389</v>
      </c>
      <c r="H136" s="2">
        <f t="shared" si="11"/>
        <v>204290.8808409544</v>
      </c>
    </row>
    <row r="137" spans="1:8" x14ac:dyDescent="0.2">
      <c r="A137">
        <v>2019</v>
      </c>
      <c r="B137" s="3" t="str">
        <f t="shared" si="8"/>
        <v>5077</v>
      </c>
      <c r="C137" s="3" t="s">
        <v>195</v>
      </c>
      <c r="D137" s="13">
        <v>461364</v>
      </c>
      <c r="E137" s="13">
        <v>461364</v>
      </c>
      <c r="F137" s="3">
        <f t="shared" si="9"/>
        <v>1.0315396644176751E-3</v>
      </c>
      <c r="G137" s="3">
        <f t="shared" si="10"/>
        <v>70264.732293451874</v>
      </c>
      <c r="H137" s="2">
        <f t="shared" si="11"/>
        <v>531628.7322934519</v>
      </c>
    </row>
    <row r="138" spans="1:8" x14ac:dyDescent="0.2">
      <c r="A138">
        <v>2019</v>
      </c>
      <c r="B138" s="3" t="str">
        <f t="shared" si="8"/>
        <v>5078</v>
      </c>
      <c r="C138" s="3" t="s">
        <v>144</v>
      </c>
      <c r="D138" s="13">
        <v>385474</v>
      </c>
      <c r="E138" s="13">
        <v>385474</v>
      </c>
      <c r="F138" s="3">
        <f t="shared" si="9"/>
        <v>8.6186117816244639E-4</v>
      </c>
      <c r="G138" s="3">
        <f t="shared" si="10"/>
        <v>58706.850591043229</v>
      </c>
      <c r="H138" s="2">
        <f t="shared" si="11"/>
        <v>444180.85059104324</v>
      </c>
    </row>
    <row r="139" spans="1:8" x14ac:dyDescent="0.2">
      <c r="A139">
        <v>2019</v>
      </c>
      <c r="B139" s="3" t="str">
        <f t="shared" si="8"/>
        <v>5079</v>
      </c>
      <c r="C139" s="3" t="s">
        <v>145</v>
      </c>
      <c r="D139" s="13">
        <v>423503</v>
      </c>
      <c r="E139" s="13">
        <v>423503</v>
      </c>
      <c r="F139" s="3">
        <f t="shared" si="9"/>
        <v>9.4688823250162267E-4</v>
      </c>
      <c r="G139" s="3">
        <f t="shared" si="10"/>
        <v>64498.58445928539</v>
      </c>
      <c r="H139" s="2">
        <f t="shared" si="11"/>
        <v>488001.58445928537</v>
      </c>
    </row>
    <row r="140" spans="1:8" x14ac:dyDescent="0.2">
      <c r="A140">
        <v>2019</v>
      </c>
      <c r="B140" s="3" t="str">
        <f t="shared" si="8"/>
        <v>5080</v>
      </c>
      <c r="C140" s="3" t="s">
        <v>146</v>
      </c>
      <c r="D140" s="13">
        <v>477096</v>
      </c>
      <c r="E140" s="13">
        <v>477096</v>
      </c>
      <c r="F140" s="3">
        <f t="shared" si="9"/>
        <v>1.0667140213259272E-3</v>
      </c>
      <c r="G140" s="3">
        <f t="shared" si="10"/>
        <v>72660.681627254642</v>
      </c>
      <c r="H140" s="2">
        <f t="shared" si="11"/>
        <v>549756.6816272547</v>
      </c>
    </row>
    <row r="141" spans="1:8" x14ac:dyDescent="0.2">
      <c r="A141">
        <v>2019</v>
      </c>
      <c r="B141" s="3" t="str">
        <f t="shared" si="8"/>
        <v>5081</v>
      </c>
      <c r="C141" s="3" t="s">
        <v>147</v>
      </c>
      <c r="D141" s="13">
        <v>411465</v>
      </c>
      <c r="E141" s="13">
        <v>411465</v>
      </c>
      <c r="F141" s="3">
        <f t="shared" si="9"/>
        <v>9.1997309720658461E-4</v>
      </c>
      <c r="G141" s="3">
        <f t="shared" si="10"/>
        <v>62665.2232795042</v>
      </c>
      <c r="H141" s="2">
        <f t="shared" si="11"/>
        <v>474130.22327950422</v>
      </c>
    </row>
    <row r="142" spans="1:8" x14ac:dyDescent="0.2">
      <c r="A142">
        <v>2019</v>
      </c>
      <c r="B142" s="3" t="str">
        <f t="shared" si="8"/>
        <v>5082</v>
      </c>
      <c r="C142" s="3" t="s">
        <v>148</v>
      </c>
      <c r="D142" s="13">
        <v>122551</v>
      </c>
      <c r="E142" s="13">
        <v>122551</v>
      </c>
      <c r="F142" s="3">
        <f t="shared" si="9"/>
        <v>2.7400537843015604E-4</v>
      </c>
      <c r="G142" s="3">
        <f t="shared" si="10"/>
        <v>18664.250369111636</v>
      </c>
      <c r="H142" s="2">
        <f t="shared" si="11"/>
        <v>141215.25036911163</v>
      </c>
    </row>
    <row r="143" spans="1:8" x14ac:dyDescent="0.2">
      <c r="A143">
        <v>2019</v>
      </c>
      <c r="B143" s="3" t="str">
        <f t="shared" si="8"/>
        <v>5083</v>
      </c>
      <c r="C143" s="3" t="s">
        <v>149</v>
      </c>
      <c r="D143" s="13">
        <v>300004</v>
      </c>
      <c r="E143" s="13">
        <v>300004</v>
      </c>
      <c r="F143" s="3">
        <f t="shared" si="9"/>
        <v>6.7076327039812425E-4</v>
      </c>
      <c r="G143" s="3">
        <f t="shared" si="10"/>
        <v>45689.95575503233</v>
      </c>
      <c r="H143" s="2">
        <f t="shared" si="11"/>
        <v>345693.95575503231</v>
      </c>
    </row>
    <row r="144" spans="1:8" x14ac:dyDescent="0.2">
      <c r="A144">
        <v>2019</v>
      </c>
      <c r="B144" s="3" t="str">
        <f t="shared" si="8"/>
        <v>5087</v>
      </c>
      <c r="C144" s="3" t="s">
        <v>360</v>
      </c>
      <c r="D144" s="13">
        <v>336061</v>
      </c>
      <c r="E144" s="13">
        <v>336061</v>
      </c>
      <c r="F144" s="3">
        <f t="shared" si="9"/>
        <v>7.5138123296110729E-4</v>
      </c>
      <c r="G144" s="3">
        <f t="shared" si="10"/>
        <v>51181.358318528815</v>
      </c>
      <c r="H144" s="2">
        <f t="shared" si="11"/>
        <v>387242.3583185288</v>
      </c>
    </row>
    <row r="145" spans="1:8" x14ac:dyDescent="0.2">
      <c r="A145">
        <v>2019</v>
      </c>
      <c r="B145" s="3" t="str">
        <f t="shared" si="8"/>
        <v>5088</v>
      </c>
      <c r="C145" s="3" t="s">
        <v>151</v>
      </c>
      <c r="D145" s="13">
        <v>599650</v>
      </c>
      <c r="E145" s="13">
        <v>599650</v>
      </c>
      <c r="F145" s="3">
        <f t="shared" si="9"/>
        <v>1.3407261072993534E-3</v>
      </c>
      <c r="G145" s="3">
        <f t="shared" si="10"/>
        <v>91325.388889831927</v>
      </c>
      <c r="H145" s="2">
        <f t="shared" si="11"/>
        <v>690975.38888983196</v>
      </c>
    </row>
    <row r="146" spans="1:8" x14ac:dyDescent="0.2">
      <c r="A146">
        <v>2019</v>
      </c>
      <c r="B146" s="3" t="str">
        <f t="shared" si="8"/>
        <v>5089</v>
      </c>
      <c r="C146" s="3" t="s">
        <v>152</v>
      </c>
      <c r="D146" s="13">
        <v>316287</v>
      </c>
      <c r="E146" s="13">
        <v>316287</v>
      </c>
      <c r="F146" s="3">
        <f t="shared" si="9"/>
        <v>7.0716957942031284E-4</v>
      </c>
      <c r="G146" s="3">
        <f t="shared" si="10"/>
        <v>48169.821188690519</v>
      </c>
      <c r="H146" s="2">
        <f t="shared" si="11"/>
        <v>364456.82118869049</v>
      </c>
    </row>
    <row r="147" spans="1:8" x14ac:dyDescent="0.2">
      <c r="A147">
        <v>2019</v>
      </c>
      <c r="B147" s="3" t="str">
        <f t="shared" si="8"/>
        <v>5090</v>
      </c>
      <c r="C147" s="3" t="s">
        <v>153</v>
      </c>
      <c r="D147" s="13">
        <v>232419</v>
      </c>
      <c r="E147" s="13">
        <v>232419</v>
      </c>
      <c r="F147" s="3">
        <f t="shared" si="9"/>
        <v>5.1965349976220863E-4</v>
      </c>
      <c r="G147" s="3">
        <f t="shared" si="10"/>
        <v>35396.907463330019</v>
      </c>
      <c r="H147" s="2">
        <f t="shared" si="11"/>
        <v>267815.90746333002</v>
      </c>
    </row>
    <row r="148" spans="1:8" x14ac:dyDescent="0.2">
      <c r="A148">
        <v>2019</v>
      </c>
      <c r="B148" s="3" t="str">
        <f t="shared" si="8"/>
        <v>5092</v>
      </c>
      <c r="C148" s="3" t="s">
        <v>154</v>
      </c>
      <c r="D148" s="13">
        <v>1236792</v>
      </c>
      <c r="E148" s="13">
        <v>1236792</v>
      </c>
      <c r="F148" s="3">
        <f t="shared" si="9"/>
        <v>2.7652786186925403E-3</v>
      </c>
      <c r="G148" s="3">
        <f t="shared" si="10"/>
        <v>188360.7277175569</v>
      </c>
      <c r="H148" s="2">
        <f t="shared" si="11"/>
        <v>1425152.727717557</v>
      </c>
    </row>
    <row r="149" spans="1:8" x14ac:dyDescent="0.2">
      <c r="A149">
        <v>2019</v>
      </c>
      <c r="B149" s="3" t="str">
        <f t="shared" si="8"/>
        <v>5093</v>
      </c>
      <c r="C149" s="3" t="s">
        <v>155</v>
      </c>
      <c r="D149" s="13">
        <v>284182</v>
      </c>
      <c r="E149" s="13">
        <v>284182</v>
      </c>
      <c r="F149" s="3">
        <f t="shared" si="9"/>
        <v>6.3538768719176991E-4</v>
      </c>
      <c r="G149" s="3">
        <f t="shared" si="10"/>
        <v>43280.299617260425</v>
      </c>
      <c r="H149" s="2">
        <f t="shared" si="11"/>
        <v>327462.2996172604</v>
      </c>
    </row>
    <row r="150" spans="1:8" x14ac:dyDescent="0.2">
      <c r="A150">
        <v>2019</v>
      </c>
      <c r="B150" s="3" t="str">
        <f t="shared" si="8"/>
        <v>5095</v>
      </c>
      <c r="C150" s="3" t="s">
        <v>156</v>
      </c>
      <c r="D150" s="13">
        <v>446336</v>
      </c>
      <c r="E150" s="13">
        <v>446336</v>
      </c>
      <c r="F150" s="3">
        <f t="shared" si="9"/>
        <v>9.9793934433013297E-4</v>
      </c>
      <c r="G150" s="3">
        <f t="shared" si="10"/>
        <v>67976.000626252018</v>
      </c>
      <c r="H150" s="2">
        <f t="shared" si="11"/>
        <v>514312.00062625203</v>
      </c>
    </row>
    <row r="151" spans="1:8" x14ac:dyDescent="0.2">
      <c r="A151">
        <v>2019</v>
      </c>
      <c r="B151" s="3" t="str">
        <f t="shared" si="8"/>
        <v>5096</v>
      </c>
      <c r="C151" s="3" t="s">
        <v>157</v>
      </c>
      <c r="D151" s="13">
        <v>488333</v>
      </c>
      <c r="E151" s="13">
        <v>488333</v>
      </c>
      <c r="F151" s="3">
        <f t="shared" si="9"/>
        <v>1.0918382425678566E-3</v>
      </c>
      <c r="G151" s="3">
        <f t="shared" si="10"/>
        <v>74372.052251710658</v>
      </c>
      <c r="H151" s="2">
        <f t="shared" si="11"/>
        <v>562705.05225171067</v>
      </c>
    </row>
    <row r="152" spans="1:8" x14ac:dyDescent="0.2">
      <c r="A152">
        <v>2019</v>
      </c>
      <c r="B152" s="3" t="str">
        <f t="shared" si="8"/>
        <v>5098</v>
      </c>
      <c r="C152" s="3" t="s">
        <v>158</v>
      </c>
      <c r="D152" s="13">
        <v>252227</v>
      </c>
      <c r="E152" s="13">
        <v>252227</v>
      </c>
      <c r="F152" s="3">
        <f t="shared" si="9"/>
        <v>5.6394117212673061E-4</v>
      </c>
      <c r="G152" s="3">
        <f t="shared" si="10"/>
        <v>38413.622719112209</v>
      </c>
      <c r="H152" s="2">
        <f t="shared" si="11"/>
        <v>290640.6227191122</v>
      </c>
    </row>
    <row r="153" spans="1:8" x14ac:dyDescent="0.2">
      <c r="A153">
        <v>2019</v>
      </c>
      <c r="B153" s="3" t="str">
        <f t="shared" si="8"/>
        <v>5099</v>
      </c>
      <c r="C153" s="3" t="s">
        <v>159</v>
      </c>
      <c r="D153" s="13">
        <v>881367</v>
      </c>
      <c r="E153" s="13">
        <v>881367</v>
      </c>
      <c r="F153" s="3">
        <f t="shared" si="9"/>
        <v>1.9706024297708818E-3</v>
      </c>
      <c r="G153" s="3">
        <f t="shared" si="10"/>
        <v>134230.27437616026</v>
      </c>
      <c r="H153" s="2">
        <f t="shared" si="11"/>
        <v>1015597.2743761602</v>
      </c>
    </row>
    <row r="154" spans="1:8" x14ac:dyDescent="0.2">
      <c r="A154">
        <v>2019</v>
      </c>
      <c r="B154" s="3" t="str">
        <f t="shared" si="8"/>
        <v>5100</v>
      </c>
      <c r="C154" s="3" t="s">
        <v>160</v>
      </c>
      <c r="D154" s="13">
        <v>1001608</v>
      </c>
      <c r="E154" s="13">
        <v>1001608</v>
      </c>
      <c r="F154" s="3">
        <f t="shared" si="9"/>
        <v>2.2394429998830829E-3</v>
      </c>
      <c r="G154" s="3">
        <f t="shared" si="10"/>
        <v>152542.71677673105</v>
      </c>
      <c r="H154" s="2">
        <f t="shared" si="11"/>
        <v>1154150.716776731</v>
      </c>
    </row>
    <row r="155" spans="1:8" x14ac:dyDescent="0.2">
      <c r="A155">
        <v>2019</v>
      </c>
      <c r="B155" s="3" t="str">
        <f t="shared" si="8"/>
        <v>5101</v>
      </c>
      <c r="C155" s="3" t="s">
        <v>161</v>
      </c>
      <c r="D155" s="13">
        <v>672137</v>
      </c>
      <c r="E155" s="13">
        <v>672137</v>
      </c>
      <c r="F155" s="3">
        <f t="shared" si="9"/>
        <v>1.502796003638565E-3</v>
      </c>
      <c r="G155" s="3">
        <f t="shared" si="10"/>
        <v>102365.00110438582</v>
      </c>
      <c r="H155" s="2">
        <f t="shared" si="11"/>
        <v>774502.00110438582</v>
      </c>
    </row>
    <row r="156" spans="1:8" x14ac:dyDescent="0.2">
      <c r="A156">
        <v>2019</v>
      </c>
      <c r="B156" s="3" t="str">
        <f t="shared" si="8"/>
        <v>5102</v>
      </c>
      <c r="C156" s="3" t="s">
        <v>162</v>
      </c>
      <c r="D156" s="13">
        <v>1597206</v>
      </c>
      <c r="E156" s="13">
        <v>1597206</v>
      </c>
      <c r="F156" s="3">
        <f t="shared" si="9"/>
        <v>3.5711094520723273E-3</v>
      </c>
      <c r="G156" s="3">
        <f t="shared" si="10"/>
        <v>243250.99489230866</v>
      </c>
      <c r="H156" s="2">
        <f t="shared" si="11"/>
        <v>1840456.9948923087</v>
      </c>
    </row>
    <row r="157" spans="1:8" x14ac:dyDescent="0.2">
      <c r="A157">
        <v>2019</v>
      </c>
      <c r="B157" s="3" t="str">
        <f t="shared" si="8"/>
        <v>5103</v>
      </c>
      <c r="C157" s="3" t="s">
        <v>163</v>
      </c>
      <c r="D157" s="13">
        <v>837553</v>
      </c>
      <c r="E157" s="13">
        <v>837553</v>
      </c>
      <c r="F157" s="3">
        <f t="shared" si="9"/>
        <v>1.8726409961592517E-3</v>
      </c>
      <c r="G157" s="3">
        <f t="shared" si="10"/>
        <v>127557.49760834718</v>
      </c>
      <c r="H157" s="2">
        <f t="shared" si="11"/>
        <v>965110.49760834721</v>
      </c>
    </row>
    <row r="158" spans="1:8" x14ac:dyDescent="0.2">
      <c r="A158">
        <v>2019</v>
      </c>
      <c r="B158" s="3" t="str">
        <f t="shared" si="8"/>
        <v>5104</v>
      </c>
      <c r="C158" s="3" t="s">
        <v>164</v>
      </c>
      <c r="D158" s="13">
        <v>284430</v>
      </c>
      <c r="E158" s="13">
        <v>284430</v>
      </c>
      <c r="F158" s="3">
        <f t="shared" si="9"/>
        <v>6.3594217743542911E-4</v>
      </c>
      <c r="G158" s="3">
        <f t="shared" si="10"/>
        <v>43318.06947708645</v>
      </c>
      <c r="H158" s="2">
        <f t="shared" si="11"/>
        <v>327748.06947708642</v>
      </c>
    </row>
    <row r="159" spans="1:8" x14ac:dyDescent="0.2">
      <c r="A159">
        <v>2019</v>
      </c>
      <c r="B159" s="3" t="str">
        <f t="shared" si="8"/>
        <v>5105</v>
      </c>
      <c r="C159" s="3" t="s">
        <v>165</v>
      </c>
      <c r="D159" s="13">
        <v>212857</v>
      </c>
      <c r="E159" s="13">
        <v>212857</v>
      </c>
      <c r="F159" s="3">
        <f t="shared" si="9"/>
        <v>4.7591584594583252E-4</v>
      </c>
      <c r="G159" s="3">
        <f t="shared" si="10"/>
        <v>32417.657471730097</v>
      </c>
      <c r="H159" s="2">
        <f t="shared" si="11"/>
        <v>245274.65747173008</v>
      </c>
    </row>
    <row r="160" spans="1:8" x14ac:dyDescent="0.2">
      <c r="A160">
        <v>2019</v>
      </c>
      <c r="B160" s="3" t="str">
        <f t="shared" si="8"/>
        <v>5106</v>
      </c>
      <c r="C160" s="3" t="s">
        <v>166</v>
      </c>
      <c r="D160" s="13">
        <v>713834</v>
      </c>
      <c r="E160" s="13">
        <v>713834</v>
      </c>
      <c r="F160" s="3">
        <f t="shared" si="9"/>
        <v>1.5960241475492815E-3</v>
      </c>
      <c r="G160" s="3">
        <f t="shared" si="10"/>
        <v>108715.36338328071</v>
      </c>
      <c r="H160" s="2">
        <f t="shared" si="11"/>
        <v>822549.3633832807</v>
      </c>
    </row>
    <row r="161" spans="1:8" x14ac:dyDescent="0.2">
      <c r="A161">
        <v>2019</v>
      </c>
      <c r="B161" s="3" t="str">
        <f t="shared" si="8"/>
        <v>5116</v>
      </c>
      <c r="C161" s="3" t="s">
        <v>167</v>
      </c>
      <c r="D161" s="13">
        <v>887682</v>
      </c>
      <c r="E161" s="13">
        <v>887682</v>
      </c>
      <c r="F161" s="3">
        <f t="shared" si="9"/>
        <v>1.9847218083543809E-3</v>
      </c>
      <c r="G161" s="3">
        <f t="shared" si="10"/>
        <v>135192.03512132706</v>
      </c>
      <c r="H161" s="2">
        <f t="shared" si="11"/>
        <v>1022874.035121327</v>
      </c>
    </row>
    <row r="162" spans="1:8" x14ac:dyDescent="0.2">
      <c r="A162">
        <v>2019</v>
      </c>
      <c r="B162" s="3" t="str">
        <f t="shared" si="8"/>
        <v>5117</v>
      </c>
      <c r="C162" s="3" t="s">
        <v>168</v>
      </c>
      <c r="D162" s="13">
        <v>176311</v>
      </c>
      <c r="E162" s="13">
        <v>176311</v>
      </c>
      <c r="F162" s="3">
        <f t="shared" si="9"/>
        <v>3.9420455382982791E-4</v>
      </c>
      <c r="G162" s="3">
        <f t="shared" si="10"/>
        <v>26851.781273334705</v>
      </c>
      <c r="H162" s="2">
        <f t="shared" si="11"/>
        <v>203162.78127333469</v>
      </c>
    </row>
    <row r="163" spans="1:8" x14ac:dyDescent="0.2">
      <c r="A163">
        <v>2019</v>
      </c>
      <c r="B163" s="3" t="str">
        <f t="shared" si="8"/>
        <v>5118</v>
      </c>
      <c r="C163" s="3" t="s">
        <v>169</v>
      </c>
      <c r="D163" s="13">
        <v>1243409</v>
      </c>
      <c r="E163" s="13">
        <v>1243409</v>
      </c>
      <c r="F163" s="3">
        <f t="shared" si="9"/>
        <v>2.7800732232985603E-3</v>
      </c>
      <c r="G163" s="3">
        <f t="shared" si="10"/>
        <v>189368.48240493124</v>
      </c>
      <c r="H163" s="2">
        <f t="shared" si="11"/>
        <v>1432777.4824049312</v>
      </c>
    </row>
    <row r="164" spans="1:8" x14ac:dyDescent="0.2">
      <c r="A164">
        <v>2019</v>
      </c>
      <c r="B164" s="3" t="str">
        <f t="shared" si="8"/>
        <v>5119</v>
      </c>
      <c r="C164" s="3" t="s">
        <v>170</v>
      </c>
      <c r="D164" s="13">
        <v>269043</v>
      </c>
      <c r="E164" s="13">
        <v>269043</v>
      </c>
      <c r="F164" s="3">
        <f t="shared" si="9"/>
        <v>6.0153918800323516E-4</v>
      </c>
      <c r="G164" s="3">
        <f t="shared" si="10"/>
        <v>40974.662891831984</v>
      </c>
      <c r="H164" s="2">
        <f t="shared" si="11"/>
        <v>310017.66289183201</v>
      </c>
    </row>
    <row r="165" spans="1:8" x14ac:dyDescent="0.2">
      <c r="A165">
        <v>2019</v>
      </c>
      <c r="B165" s="3" t="str">
        <f t="shared" si="8"/>
        <v>5120</v>
      </c>
      <c r="C165" s="3" t="s">
        <v>171</v>
      </c>
      <c r="D165" s="13">
        <v>6004836</v>
      </c>
      <c r="E165" s="13">
        <v>6004836</v>
      </c>
      <c r="F165" s="3">
        <f t="shared" si="9"/>
        <v>1.3425899099893305E-2</v>
      </c>
      <c r="G165" s="3">
        <f t="shared" si="10"/>
        <v>914523.44354150386</v>
      </c>
      <c r="H165" s="2">
        <f t="shared" si="11"/>
        <v>6919359.4435415035</v>
      </c>
    </row>
    <row r="166" spans="1:8" x14ac:dyDescent="0.2">
      <c r="A166">
        <v>2019</v>
      </c>
      <c r="B166" s="3" t="str">
        <f t="shared" si="8"/>
        <v>5122</v>
      </c>
      <c r="C166" s="3" t="s">
        <v>172</v>
      </c>
      <c r="D166" s="13">
        <v>235288</v>
      </c>
      <c r="E166" s="13">
        <v>235288</v>
      </c>
      <c r="F166" s="3">
        <f t="shared" si="9"/>
        <v>5.2606814697615323E-4</v>
      </c>
      <c r="G166" s="3">
        <f t="shared" si="10"/>
        <v>35833.849914301303</v>
      </c>
      <c r="H166" s="2">
        <f t="shared" si="11"/>
        <v>271121.8499143013</v>
      </c>
    </row>
    <row r="167" spans="1:8" x14ac:dyDescent="0.2">
      <c r="A167">
        <v>2019</v>
      </c>
      <c r="B167" s="3" t="str">
        <f t="shared" si="8"/>
        <v>5123</v>
      </c>
      <c r="C167" s="3" t="s">
        <v>173</v>
      </c>
      <c r="D167" s="13">
        <v>243953</v>
      </c>
      <c r="E167" s="13">
        <v>243953</v>
      </c>
      <c r="F167" s="3">
        <f t="shared" si="9"/>
        <v>5.4544176778787486E-4</v>
      </c>
      <c r="G167" s="3">
        <f t="shared" si="10"/>
        <v>37153.510540884126</v>
      </c>
      <c r="H167" s="2">
        <f t="shared" si="11"/>
        <v>281106.5105408841</v>
      </c>
    </row>
    <row r="168" spans="1:8" x14ac:dyDescent="0.2">
      <c r="A168">
        <v>2019</v>
      </c>
      <c r="B168" s="3" t="str">
        <f t="shared" si="8"/>
        <v>5125</v>
      </c>
      <c r="C168" s="3" t="s">
        <v>174</v>
      </c>
      <c r="D168" s="13">
        <v>1620491</v>
      </c>
      <c r="E168" s="13">
        <v>1620491</v>
      </c>
      <c r="F168" s="3">
        <f t="shared" si="9"/>
        <v>3.6231711670868614E-3</v>
      </c>
      <c r="G168" s="3">
        <f t="shared" si="10"/>
        <v>246797.24967476464</v>
      </c>
      <c r="H168" s="2">
        <f t="shared" si="11"/>
        <v>1867288.2496747647</v>
      </c>
    </row>
    <row r="169" spans="1:8" x14ac:dyDescent="0.2">
      <c r="A169">
        <v>2019</v>
      </c>
      <c r="B169" s="3" t="str">
        <f t="shared" si="8"/>
        <v>5127</v>
      </c>
      <c r="C169" s="3" t="s">
        <v>175</v>
      </c>
      <c r="D169" s="13">
        <v>208332</v>
      </c>
      <c r="E169" s="13">
        <v>208332</v>
      </c>
      <c r="F169" s="3">
        <f t="shared" si="9"/>
        <v>4.6579863484680876E-4</v>
      </c>
      <c r="G169" s="3">
        <f t="shared" si="10"/>
        <v>31728.509827726946</v>
      </c>
      <c r="H169" s="2">
        <f t="shared" si="11"/>
        <v>240060.50982772696</v>
      </c>
    </row>
    <row r="170" spans="1:8" x14ac:dyDescent="0.2">
      <c r="A170">
        <v>2019</v>
      </c>
      <c r="B170" s="3" t="str">
        <f t="shared" si="8"/>
        <v>5128</v>
      </c>
      <c r="C170" s="3" t="s">
        <v>176</v>
      </c>
      <c r="D170" s="13">
        <v>309787</v>
      </c>
      <c r="E170" s="13">
        <v>309787</v>
      </c>
      <c r="F170" s="3">
        <f t="shared" si="9"/>
        <v>6.9263656900182575E-4</v>
      </c>
      <c r="G170" s="3">
        <f t="shared" si="10"/>
        <v>47179.885346476047</v>
      </c>
      <c r="H170" s="2">
        <f t="shared" si="11"/>
        <v>356966.88534647605</v>
      </c>
    </row>
    <row r="171" spans="1:8" x14ac:dyDescent="0.2">
      <c r="A171">
        <v>2019</v>
      </c>
      <c r="B171" s="3" t="str">
        <f t="shared" si="8"/>
        <v>5129</v>
      </c>
      <c r="C171" s="3" t="s">
        <v>177</v>
      </c>
      <c r="D171" s="13">
        <v>774711</v>
      </c>
      <c r="E171" s="13">
        <v>774711</v>
      </c>
      <c r="F171" s="3">
        <f t="shared" si="9"/>
        <v>1.7321358514333185E-3</v>
      </c>
      <c r="G171" s="3">
        <f t="shared" si="10"/>
        <v>117986.79788581769</v>
      </c>
      <c r="H171" s="2">
        <f t="shared" si="11"/>
        <v>892697.79788581771</v>
      </c>
    </row>
    <row r="172" spans="1:8" x14ac:dyDescent="0.2">
      <c r="A172">
        <v>2019</v>
      </c>
      <c r="B172" s="3" t="str">
        <f t="shared" si="8"/>
        <v>5130</v>
      </c>
      <c r="C172" s="3" t="s">
        <v>178</v>
      </c>
      <c r="D172" s="13">
        <v>592812</v>
      </c>
      <c r="E172" s="13">
        <v>592812</v>
      </c>
      <c r="F172" s="3">
        <f t="shared" si="9"/>
        <v>1.3254373803391049E-3</v>
      </c>
      <c r="G172" s="3">
        <f t="shared" si="10"/>
        <v>90283.976383822286</v>
      </c>
      <c r="H172" s="2">
        <f t="shared" si="11"/>
        <v>683095.97638382227</v>
      </c>
    </row>
    <row r="173" spans="1:8" x14ac:dyDescent="0.2">
      <c r="A173">
        <v>2019</v>
      </c>
      <c r="B173" s="3" t="str">
        <f t="shared" si="8"/>
        <v>5131</v>
      </c>
      <c r="C173" s="3" t="s">
        <v>179</v>
      </c>
      <c r="D173" s="13">
        <v>813156</v>
      </c>
      <c r="E173" s="13">
        <v>813156</v>
      </c>
      <c r="F173" s="3">
        <f t="shared" si="9"/>
        <v>1.8180930184392779E-3</v>
      </c>
      <c r="G173" s="3">
        <f t="shared" si="10"/>
        <v>123841.88764796159</v>
      </c>
      <c r="H173" s="2">
        <f t="shared" si="11"/>
        <v>936997.88764796162</v>
      </c>
    </row>
    <row r="174" spans="1:8" x14ac:dyDescent="0.2">
      <c r="A174">
        <v>2019</v>
      </c>
      <c r="B174" s="3" t="str">
        <f t="shared" si="8"/>
        <v>5132</v>
      </c>
      <c r="C174" s="3" t="s">
        <v>180</v>
      </c>
      <c r="D174" s="13">
        <v>3100519</v>
      </c>
      <c r="E174" s="13">
        <v>3100519</v>
      </c>
      <c r="F174" s="3">
        <f t="shared" si="9"/>
        <v>6.9322884507257302E-3</v>
      </c>
      <c r="G174" s="3">
        <f t="shared" si="10"/>
        <v>472202.29039491835</v>
      </c>
      <c r="H174" s="2">
        <f t="shared" si="11"/>
        <v>3572721.2903949185</v>
      </c>
    </row>
    <row r="175" spans="1:8" x14ac:dyDescent="0.2">
      <c r="A175">
        <v>2019</v>
      </c>
      <c r="B175" s="3" t="str">
        <f t="shared" si="8"/>
        <v>5133</v>
      </c>
      <c r="C175" s="3" t="s">
        <v>361</v>
      </c>
      <c r="D175" s="13">
        <v>268732</v>
      </c>
      <c r="E175" s="13">
        <v>268732</v>
      </c>
      <c r="F175" s="3">
        <f t="shared" si="9"/>
        <v>6.0084383935090442E-4</v>
      </c>
      <c r="G175" s="3">
        <f t="shared" si="10"/>
        <v>40927.298269227569</v>
      </c>
      <c r="H175" s="2">
        <f t="shared" si="11"/>
        <v>309659.29826922755</v>
      </c>
    </row>
    <row r="176" spans="1:8" x14ac:dyDescent="0.2">
      <c r="A176">
        <v>2019</v>
      </c>
      <c r="B176" s="3" t="str">
        <f t="shared" si="8"/>
        <v>5134</v>
      </c>
      <c r="C176" s="3" t="s">
        <v>182</v>
      </c>
      <c r="D176" s="13">
        <v>289055</v>
      </c>
      <c r="E176" s="13">
        <v>289055</v>
      </c>
      <c r="F176" s="3">
        <f t="shared" si="9"/>
        <v>6.4628297331012193E-4</v>
      </c>
      <c r="G176" s="3">
        <f t="shared" si="10"/>
        <v>44022.446903277523</v>
      </c>
      <c r="H176" s="2">
        <f t="shared" si="11"/>
        <v>333077.44690327754</v>
      </c>
    </row>
    <row r="177" spans="1:8" x14ac:dyDescent="0.2">
      <c r="A177">
        <v>2019</v>
      </c>
      <c r="B177" s="3" t="str">
        <f t="shared" si="8"/>
        <v>5135</v>
      </c>
      <c r="C177" s="3" t="s">
        <v>183</v>
      </c>
      <c r="D177" s="13">
        <v>1493818</v>
      </c>
      <c r="E177" s="13">
        <v>1493818</v>
      </c>
      <c r="F177" s="3">
        <f t="shared" si="9"/>
        <v>3.3399496242036281E-3</v>
      </c>
      <c r="G177" s="3">
        <f t="shared" si="10"/>
        <v>227505.22768386715</v>
      </c>
      <c r="H177" s="2">
        <f t="shared" si="11"/>
        <v>1721323.2276838671</v>
      </c>
    </row>
    <row r="178" spans="1:8" x14ac:dyDescent="0.2">
      <c r="A178">
        <v>2019</v>
      </c>
      <c r="B178" s="3" t="str">
        <f t="shared" si="8"/>
        <v>5137</v>
      </c>
      <c r="C178" s="3" t="s">
        <v>184</v>
      </c>
      <c r="D178" s="13">
        <v>227077</v>
      </c>
      <c r="E178" s="13">
        <v>227077</v>
      </c>
      <c r="F178" s="3">
        <f t="shared" si="9"/>
        <v>5.0770960104596892E-4</v>
      </c>
      <c r="G178" s="3">
        <f t="shared" si="10"/>
        <v>34583.332498851603</v>
      </c>
      <c r="H178" s="2">
        <f t="shared" si="11"/>
        <v>261660.33249885161</v>
      </c>
    </row>
    <row r="179" spans="1:8" x14ac:dyDescent="0.2">
      <c r="A179">
        <v>2019</v>
      </c>
      <c r="B179" s="3" t="str">
        <f t="shared" si="8"/>
        <v>5138</v>
      </c>
      <c r="C179" s="3" t="s">
        <v>185</v>
      </c>
      <c r="D179" s="13">
        <v>220733</v>
      </c>
      <c r="E179" s="13">
        <v>220733</v>
      </c>
      <c r="F179" s="3">
        <f t="shared" si="9"/>
        <v>4.9352538287752556E-4</v>
      </c>
      <c r="G179" s="3">
        <f t="shared" si="10"/>
        <v>33617.155116850285</v>
      </c>
      <c r="H179" s="2">
        <f t="shared" si="11"/>
        <v>254350.15511685028</v>
      </c>
    </row>
    <row r="180" spans="1:8" x14ac:dyDescent="0.2">
      <c r="A180">
        <v>2019</v>
      </c>
      <c r="B180" s="3" t="str">
        <f t="shared" si="8"/>
        <v>5140</v>
      </c>
      <c r="C180" s="3" t="s">
        <v>186</v>
      </c>
      <c r="D180" s="13">
        <v>293545</v>
      </c>
      <c r="E180" s="13">
        <v>293545</v>
      </c>
      <c r="F180" s="3">
        <f t="shared" si="9"/>
        <v>6.563219297376615E-4</v>
      </c>
      <c r="G180" s="3">
        <f t="shared" si="10"/>
        <v>44706.264123514906</v>
      </c>
      <c r="H180" s="2">
        <f t="shared" si="11"/>
        <v>338251.26412351488</v>
      </c>
    </row>
    <row r="181" spans="1:8" x14ac:dyDescent="0.2">
      <c r="A181">
        <v>2019</v>
      </c>
      <c r="B181" s="3" t="str">
        <f t="shared" si="8"/>
        <v>5141</v>
      </c>
      <c r="C181" s="3" t="s">
        <v>187</v>
      </c>
      <c r="D181" s="13">
        <v>393739</v>
      </c>
      <c r="E181" s="13">
        <v>393739</v>
      </c>
      <c r="F181" s="3">
        <f t="shared" si="9"/>
        <v>8.8034045987149187E-4</v>
      </c>
      <c r="G181" s="3">
        <f t="shared" si="10"/>
        <v>59965.592088874393</v>
      </c>
      <c r="H181" s="2">
        <f t="shared" si="11"/>
        <v>453704.59208887437</v>
      </c>
    </row>
    <row r="182" spans="1:8" x14ac:dyDescent="0.2">
      <c r="A182">
        <v>2019</v>
      </c>
      <c r="B182" s="3" t="str">
        <f t="shared" si="8"/>
        <v>5142</v>
      </c>
      <c r="C182" s="3" t="s">
        <v>188</v>
      </c>
      <c r="D182" s="13">
        <v>91029</v>
      </c>
      <c r="E182" s="13">
        <v>91029</v>
      </c>
      <c r="F182" s="3">
        <f t="shared" si="9"/>
        <v>2.0352698544376361E-4</v>
      </c>
      <c r="G182" s="3">
        <f t="shared" si="10"/>
        <v>13863.518427837089</v>
      </c>
      <c r="H182" s="2">
        <f t="shared" si="11"/>
        <v>104892.51842783709</v>
      </c>
    </row>
    <row r="183" spans="1:8" x14ac:dyDescent="0.2">
      <c r="A183">
        <v>2019</v>
      </c>
      <c r="B183" s="3" t="str">
        <f t="shared" si="8"/>
        <v>5143</v>
      </c>
      <c r="C183" s="3" t="s">
        <v>189</v>
      </c>
      <c r="D183" s="13">
        <v>576870</v>
      </c>
      <c r="E183" s="13">
        <v>576870</v>
      </c>
      <c r="F183" s="3">
        <f t="shared" si="9"/>
        <v>1.2897934954019478E-3</v>
      </c>
      <c r="G183" s="3">
        <f t="shared" si="10"/>
        <v>87856.0445074249</v>
      </c>
      <c r="H183" s="2">
        <f t="shared" si="11"/>
        <v>664726.04450742493</v>
      </c>
    </row>
    <row r="184" spans="1:8" x14ac:dyDescent="0.2">
      <c r="A184">
        <v>2019</v>
      </c>
      <c r="B184" s="3" t="str">
        <f t="shared" si="8"/>
        <v>5144</v>
      </c>
      <c r="C184" s="3" t="s">
        <v>190</v>
      </c>
      <c r="D184" s="13">
        <v>284853</v>
      </c>
      <c r="E184" s="13">
        <v>284853</v>
      </c>
      <c r="F184" s="3">
        <f t="shared" si="9"/>
        <v>6.3688794103650918E-4</v>
      </c>
      <c r="G184" s="3">
        <f t="shared" si="10"/>
        <v>43382.491455741336</v>
      </c>
      <c r="H184" s="2">
        <f t="shared" si="11"/>
        <v>328235.49145574134</v>
      </c>
    </row>
    <row r="185" spans="1:8" x14ac:dyDescent="0.2">
      <c r="A185">
        <v>2019</v>
      </c>
      <c r="B185" s="3" t="str">
        <f t="shared" si="8"/>
        <v>5145</v>
      </c>
      <c r="C185" s="3" t="s">
        <v>191</v>
      </c>
      <c r="D185" s="13">
        <v>264129</v>
      </c>
      <c r="E185" s="13">
        <v>264129</v>
      </c>
      <c r="F185" s="3">
        <f t="shared" si="9"/>
        <v>5.9055223212685891E-4</v>
      </c>
      <c r="G185" s="3">
        <f t="shared" si="10"/>
        <v>40226.271395117845</v>
      </c>
      <c r="H185" s="2">
        <f t="shared" si="11"/>
        <v>304355.27139511786</v>
      </c>
    </row>
    <row r="186" spans="1:8" x14ac:dyDescent="0.2">
      <c r="A186">
        <v>2019</v>
      </c>
      <c r="B186" s="3" t="str">
        <f t="shared" si="8"/>
        <v>5147</v>
      </c>
      <c r="C186" s="3" t="s">
        <v>192</v>
      </c>
      <c r="D186" s="13">
        <v>5743516</v>
      </c>
      <c r="E186" s="13">
        <v>5743516</v>
      </c>
      <c r="F186" s="3">
        <f t="shared" si="9"/>
        <v>1.2841627364114989E-2</v>
      </c>
      <c r="G186" s="3">
        <f t="shared" si="10"/>
        <v>874724.97672804457</v>
      </c>
      <c r="H186" s="2">
        <f t="shared" si="11"/>
        <v>6618240.9767280445</v>
      </c>
    </row>
    <row r="187" spans="1:8" x14ac:dyDescent="0.2">
      <c r="A187">
        <v>2019</v>
      </c>
      <c r="B187" s="3" t="str">
        <f t="shared" si="8"/>
        <v>5148</v>
      </c>
      <c r="C187" s="3" t="s">
        <v>193</v>
      </c>
      <c r="D187" s="13">
        <v>569634</v>
      </c>
      <c r="E187" s="13">
        <v>569634</v>
      </c>
      <c r="F187" s="3">
        <f t="shared" si="9"/>
        <v>1.2736149010345366E-3</v>
      </c>
      <c r="G187" s="3">
        <f t="shared" si="10"/>
        <v>86754.017468307371</v>
      </c>
      <c r="H187" s="2">
        <f t="shared" si="11"/>
        <v>656388.0174683074</v>
      </c>
    </row>
    <row r="188" spans="1:8" x14ac:dyDescent="0.2">
      <c r="A188">
        <v>2019</v>
      </c>
      <c r="B188" s="3" t="str">
        <f t="shared" si="8"/>
        <v>5149</v>
      </c>
      <c r="C188" s="3" t="s">
        <v>194</v>
      </c>
      <c r="D188" s="13">
        <v>1154643</v>
      </c>
      <c r="E188" s="13">
        <v>1154643</v>
      </c>
      <c r="F188" s="3">
        <f t="shared" si="9"/>
        <v>2.581605961328187E-3</v>
      </c>
      <c r="G188" s="3">
        <f t="shared" si="10"/>
        <v>175849.61394800668</v>
      </c>
      <c r="H188" s="2">
        <f t="shared" si="11"/>
        <v>1330492.6139480066</v>
      </c>
    </row>
    <row r="189" spans="1:8" x14ac:dyDescent="0.2">
      <c r="A189">
        <v>2019</v>
      </c>
      <c r="B189" s="3" t="str">
        <f t="shared" si="8"/>
        <v>5150</v>
      </c>
      <c r="C189" s="3" t="s">
        <v>247</v>
      </c>
      <c r="D189" s="13">
        <v>972770</v>
      </c>
      <c r="E189" s="13">
        <v>972770</v>
      </c>
      <c r="F189" s="3">
        <f t="shared" si="9"/>
        <v>2.1749656222756473E-3</v>
      </c>
      <c r="G189" s="3">
        <f t="shared" si="10"/>
        <v>148150.75218938012</v>
      </c>
      <c r="H189" s="2">
        <f t="shared" si="11"/>
        <v>1120920.7521893801</v>
      </c>
    </row>
    <row r="190" spans="1:8" x14ac:dyDescent="0.2">
      <c r="A190">
        <v>2019</v>
      </c>
      <c r="B190" s="3" t="str">
        <f t="shared" si="8"/>
        <v>5151</v>
      </c>
      <c r="C190" s="3" t="s">
        <v>196</v>
      </c>
      <c r="D190" s="13">
        <v>298217</v>
      </c>
      <c r="E190" s="13">
        <v>298217</v>
      </c>
      <c r="F190" s="3">
        <f t="shared" si="9"/>
        <v>6.6676781045691867E-4</v>
      </c>
      <c r="G190" s="3">
        <f t="shared" si="10"/>
        <v>45417.799547334289</v>
      </c>
      <c r="H190" s="2">
        <f t="shared" si="11"/>
        <v>343634.79954733432</v>
      </c>
    </row>
    <row r="191" spans="1:8" x14ac:dyDescent="0.2">
      <c r="A191">
        <v>2019</v>
      </c>
      <c r="B191" s="3" t="str">
        <f t="shared" si="8"/>
        <v>5152</v>
      </c>
      <c r="C191" s="3" t="s">
        <v>197</v>
      </c>
      <c r="D191" s="13">
        <v>642359</v>
      </c>
      <c r="E191" s="13">
        <v>642359</v>
      </c>
      <c r="F191" s="3">
        <f t="shared" si="9"/>
        <v>1.4362169291398405E-3</v>
      </c>
      <c r="G191" s="3">
        <f t="shared" si="10"/>
        <v>97829.876564468519</v>
      </c>
      <c r="H191" s="2">
        <f t="shared" si="11"/>
        <v>740188.87656446849</v>
      </c>
    </row>
    <row r="192" spans="1:8" x14ac:dyDescent="0.2">
      <c r="A192">
        <v>2019</v>
      </c>
      <c r="B192" s="3" t="str">
        <f t="shared" si="8"/>
        <v>5153</v>
      </c>
      <c r="C192" s="3" t="s">
        <v>198</v>
      </c>
      <c r="D192" s="13">
        <v>130037</v>
      </c>
      <c r="E192" s="13">
        <v>130037</v>
      </c>
      <c r="F192" s="3">
        <f t="shared" si="9"/>
        <v>2.9074293473673981E-4</v>
      </c>
      <c r="G192" s="3">
        <f t="shared" si="10"/>
        <v>19804.351863698947</v>
      </c>
      <c r="H192" s="2">
        <f t="shared" si="11"/>
        <v>149841.35186369895</v>
      </c>
    </row>
    <row r="193" spans="1:8" x14ac:dyDescent="0.2">
      <c r="A193">
        <v>2019</v>
      </c>
      <c r="B193" s="3" t="str">
        <f t="shared" si="8"/>
        <v>5154</v>
      </c>
      <c r="C193" s="3" t="s">
        <v>199</v>
      </c>
      <c r="D193" s="13">
        <v>203558</v>
      </c>
      <c r="E193" s="13">
        <v>203558</v>
      </c>
      <c r="F193" s="3">
        <f t="shared" si="9"/>
        <v>4.551246976563692E-4</v>
      </c>
      <c r="G193" s="3">
        <f t="shared" si="10"/>
        <v>31001.440026075888</v>
      </c>
      <c r="H193" s="2">
        <f t="shared" si="11"/>
        <v>234559.4400260759</v>
      </c>
    </row>
    <row r="194" spans="1:8" x14ac:dyDescent="0.2">
      <c r="A194">
        <v>2019</v>
      </c>
      <c r="B194" s="3" t="str">
        <f t="shared" si="8"/>
        <v>5155</v>
      </c>
      <c r="C194" s="3" t="s">
        <v>200</v>
      </c>
      <c r="D194" s="13">
        <v>232604</v>
      </c>
      <c r="E194" s="13">
        <v>232604</v>
      </c>
      <c r="F194" s="3">
        <f t="shared" si="9"/>
        <v>5.2006713159719639E-4</v>
      </c>
      <c r="G194" s="3">
        <f t="shared" si="10"/>
        <v>35425.082560377661</v>
      </c>
      <c r="H194" s="2">
        <f t="shared" si="11"/>
        <v>268029.08256037766</v>
      </c>
    </row>
    <row r="195" spans="1:8" x14ac:dyDescent="0.2">
      <c r="A195">
        <v>2019</v>
      </c>
      <c r="B195" s="3" t="str">
        <f t="shared" ref="B195:B258" si="12">LEFT(C195,4)</f>
        <v>5156</v>
      </c>
      <c r="C195" s="3" t="s">
        <v>201</v>
      </c>
      <c r="D195" s="13">
        <v>679643</v>
      </c>
      <c r="E195" s="13">
        <v>679643</v>
      </c>
      <c r="F195" s="3">
        <f t="shared" ref="F195:F258" si="13">E195/$D$340</f>
        <v>1.5195782769002826E-3</v>
      </c>
      <c r="G195" s="3">
        <f t="shared" ref="G195:G258" si="14">F195*$D$341</f>
        <v>103508.14855541072</v>
      </c>
      <c r="H195" s="2">
        <f t="shared" ref="H195:H258" si="15">SUM(G195,D195)</f>
        <v>783151.14855541068</v>
      </c>
    </row>
    <row r="196" spans="1:8" x14ac:dyDescent="0.2">
      <c r="A196">
        <v>2019</v>
      </c>
      <c r="B196" s="3" t="str">
        <f t="shared" si="12"/>
        <v>5157</v>
      </c>
      <c r="C196" s="3" t="s">
        <v>202</v>
      </c>
      <c r="D196" s="13">
        <v>150420</v>
      </c>
      <c r="E196" s="13">
        <v>150420</v>
      </c>
      <c r="F196" s="3">
        <f t="shared" si="13"/>
        <v>3.363162195613587E-4</v>
      </c>
      <c r="G196" s="3">
        <f t="shared" si="14"/>
        <v>22908.638367061649</v>
      </c>
      <c r="H196" s="2">
        <f t="shared" si="15"/>
        <v>173328.63836706165</v>
      </c>
    </row>
    <row r="197" spans="1:8" x14ac:dyDescent="0.2">
      <c r="A197">
        <v>2019</v>
      </c>
      <c r="B197" s="3" t="str">
        <f t="shared" si="12"/>
        <v>5158</v>
      </c>
      <c r="C197" s="3" t="s">
        <v>203</v>
      </c>
      <c r="D197" s="13">
        <v>747761</v>
      </c>
      <c r="E197" s="13">
        <v>747761</v>
      </c>
      <c r="F197" s="3">
        <f t="shared" si="13"/>
        <v>1.6718797543905141E-3</v>
      </c>
      <c r="G197" s="3">
        <f t="shared" si="14"/>
        <v>113882.3715861746</v>
      </c>
      <c r="H197" s="2">
        <f t="shared" si="15"/>
        <v>861643.37158617459</v>
      </c>
    </row>
    <row r="198" spans="1:8" x14ac:dyDescent="0.2">
      <c r="A198">
        <v>2019</v>
      </c>
      <c r="B198" s="3" t="str">
        <f t="shared" si="12"/>
        <v>5159</v>
      </c>
      <c r="C198" s="3" t="s">
        <v>204</v>
      </c>
      <c r="D198" s="13">
        <v>1218525</v>
      </c>
      <c r="E198" s="13">
        <v>1218525</v>
      </c>
      <c r="F198" s="3">
        <f t="shared" si="13"/>
        <v>2.7244363877210781E-3</v>
      </c>
      <c r="G198" s="3">
        <f t="shared" si="14"/>
        <v>185578.70340529046</v>
      </c>
      <c r="H198" s="2">
        <f t="shared" si="15"/>
        <v>1404103.7034052904</v>
      </c>
    </row>
    <row r="199" spans="1:8" x14ac:dyDescent="0.2">
      <c r="A199">
        <v>2019</v>
      </c>
      <c r="B199" s="3" t="str">
        <f t="shared" si="12"/>
        <v>5160</v>
      </c>
      <c r="C199" s="3" t="s">
        <v>205</v>
      </c>
      <c r="D199" s="13">
        <v>296531</v>
      </c>
      <c r="E199" s="13">
        <v>296531</v>
      </c>
      <c r="F199" s="3">
        <f t="shared" si="13"/>
        <v>6.6299817113913881E-4</v>
      </c>
      <c r="G199" s="3">
        <f t="shared" si="14"/>
        <v>45161.025419646045</v>
      </c>
      <c r="H199" s="2">
        <f t="shared" si="15"/>
        <v>341692.02541964606</v>
      </c>
    </row>
    <row r="200" spans="1:8" x14ac:dyDescent="0.2">
      <c r="A200">
        <v>2019</v>
      </c>
      <c r="B200" s="3" t="str">
        <f t="shared" si="12"/>
        <v>5161</v>
      </c>
      <c r="C200" s="3" t="s">
        <v>206</v>
      </c>
      <c r="D200" s="13">
        <v>413423</v>
      </c>
      <c r="E200" s="13">
        <v>413423</v>
      </c>
      <c r="F200" s="3">
        <f t="shared" si="13"/>
        <v>9.2435088711418419E-4</v>
      </c>
      <c r="G200" s="3">
        <f t="shared" si="14"/>
        <v>62963.422414743567</v>
      </c>
      <c r="H200" s="2">
        <f t="shared" si="15"/>
        <v>476386.42241474357</v>
      </c>
    </row>
    <row r="201" spans="1:8" x14ac:dyDescent="0.2">
      <c r="A201">
        <v>2019</v>
      </c>
      <c r="B201" s="3" t="str">
        <f t="shared" si="12"/>
        <v>5162</v>
      </c>
      <c r="C201" s="3" t="s">
        <v>207</v>
      </c>
      <c r="D201" s="13">
        <v>411875</v>
      </c>
      <c r="E201" s="13">
        <v>411875</v>
      </c>
      <c r="F201" s="3">
        <f t="shared" si="13"/>
        <v>9.2088979478682764E-4</v>
      </c>
      <c r="G201" s="3">
        <f t="shared" si="14"/>
        <v>62727.665386474648</v>
      </c>
      <c r="H201" s="2">
        <f t="shared" si="15"/>
        <v>474602.66538647463</v>
      </c>
    </row>
    <row r="202" spans="1:8" x14ac:dyDescent="0.2">
      <c r="A202">
        <v>2019</v>
      </c>
      <c r="B202" s="3" t="str">
        <f t="shared" si="12"/>
        <v>5163</v>
      </c>
      <c r="C202" s="3" t="s">
        <v>208</v>
      </c>
      <c r="D202" s="13">
        <v>282823</v>
      </c>
      <c r="E202" s="13">
        <v>282823</v>
      </c>
      <c r="F202" s="3">
        <f t="shared" si="13"/>
        <v>6.3234917009042779E-4</v>
      </c>
      <c r="G202" s="3">
        <f t="shared" si="14"/>
        <v>43073.326877326661</v>
      </c>
      <c r="H202" s="2">
        <f t="shared" si="15"/>
        <v>325896.32687732665</v>
      </c>
    </row>
    <row r="203" spans="1:8" x14ac:dyDescent="0.2">
      <c r="A203">
        <v>2019</v>
      </c>
      <c r="B203" s="3" t="str">
        <f t="shared" si="12"/>
        <v>5164</v>
      </c>
      <c r="C203" s="3" t="s">
        <v>209</v>
      </c>
      <c r="D203" s="13">
        <v>310049</v>
      </c>
      <c r="E203" s="13">
        <v>310049</v>
      </c>
      <c r="F203" s="3">
        <f t="shared" si="13"/>
        <v>6.9322236111407859E-4</v>
      </c>
      <c r="G203" s="3">
        <f t="shared" si="14"/>
        <v>47219.787375808381</v>
      </c>
      <c r="H203" s="2">
        <f t="shared" si="15"/>
        <v>357268.7873758084</v>
      </c>
    </row>
    <row r="204" spans="1:8" x14ac:dyDescent="0.2">
      <c r="A204">
        <v>2019</v>
      </c>
      <c r="B204" s="3" t="str">
        <f t="shared" si="12"/>
        <v>5166</v>
      </c>
      <c r="C204" s="3" t="s">
        <v>210</v>
      </c>
      <c r="D204" s="13">
        <v>241134</v>
      </c>
      <c r="E204" s="13">
        <v>241134</v>
      </c>
      <c r="F204" s="3">
        <f t="shared" si="13"/>
        <v>5.3913891296176488E-4</v>
      </c>
      <c r="G204" s="3">
        <f t="shared" si="14"/>
        <v>36724.182981006808</v>
      </c>
      <c r="H204" s="2">
        <f t="shared" si="15"/>
        <v>277858.1829810068</v>
      </c>
    </row>
    <row r="205" spans="1:8" x14ac:dyDescent="0.2">
      <c r="A205">
        <v>2019</v>
      </c>
      <c r="B205" s="3" t="str">
        <f t="shared" si="12"/>
        <v>5167</v>
      </c>
      <c r="C205" s="3" t="s">
        <v>211</v>
      </c>
      <c r="D205" s="13">
        <v>557717</v>
      </c>
      <c r="E205" s="13">
        <v>557717</v>
      </c>
      <c r="F205" s="3">
        <f t="shared" si="13"/>
        <v>1.246970303318058E-3</v>
      </c>
      <c r="G205" s="3">
        <f t="shared" si="14"/>
        <v>84939.084324973548</v>
      </c>
      <c r="H205" s="2">
        <f t="shared" si="15"/>
        <v>642656.08432497352</v>
      </c>
    </row>
    <row r="206" spans="1:8" x14ac:dyDescent="0.2">
      <c r="A206">
        <v>2019</v>
      </c>
      <c r="B206" s="3" t="str">
        <f t="shared" si="12"/>
        <v>5168</v>
      </c>
      <c r="C206" s="3" t="s">
        <v>212</v>
      </c>
      <c r="D206" s="13">
        <v>610342</v>
      </c>
      <c r="E206" s="13">
        <v>610342</v>
      </c>
      <c r="F206" s="3">
        <f t="shared" si="13"/>
        <v>1.3646317915138864E-3</v>
      </c>
      <c r="G206" s="3">
        <f t="shared" si="14"/>
        <v>92953.757201363784</v>
      </c>
      <c r="H206" s="2">
        <f t="shared" si="15"/>
        <v>703295.7572013638</v>
      </c>
    </row>
    <row r="207" spans="1:8" x14ac:dyDescent="0.2">
      <c r="A207">
        <v>2019</v>
      </c>
      <c r="B207" s="3" t="str">
        <f t="shared" si="12"/>
        <v>5171</v>
      </c>
      <c r="C207" s="3" t="s">
        <v>213</v>
      </c>
      <c r="D207" s="13">
        <v>265285</v>
      </c>
      <c r="E207" s="13">
        <v>265285</v>
      </c>
      <c r="F207" s="3">
        <f t="shared" si="13"/>
        <v>5.9313687213359285E-4</v>
      </c>
      <c r="G207" s="3">
        <f t="shared" si="14"/>
        <v>40402.327677210138</v>
      </c>
      <c r="H207" s="2">
        <f t="shared" si="15"/>
        <v>305687.32767721015</v>
      </c>
    </row>
    <row r="208" spans="1:8" x14ac:dyDescent="0.2">
      <c r="A208">
        <v>2019</v>
      </c>
      <c r="B208" s="3" t="str">
        <f t="shared" si="12"/>
        <v>5172</v>
      </c>
      <c r="C208" s="3" t="s">
        <v>214</v>
      </c>
      <c r="D208" s="13">
        <v>710111</v>
      </c>
      <c r="E208" s="13">
        <v>710111</v>
      </c>
      <c r="F208" s="3">
        <f t="shared" si="13"/>
        <v>1.5877000863511233E-3</v>
      </c>
      <c r="G208" s="3">
        <f t="shared" si="14"/>
        <v>108148.35859242463</v>
      </c>
      <c r="H208" s="2">
        <f t="shared" si="15"/>
        <v>818259.35859242466</v>
      </c>
    </row>
    <row r="209" spans="1:8" x14ac:dyDescent="0.2">
      <c r="A209">
        <v>2019</v>
      </c>
      <c r="B209" s="3" t="str">
        <f t="shared" si="12"/>
        <v>5173</v>
      </c>
      <c r="C209" s="3" t="s">
        <v>215</v>
      </c>
      <c r="D209" s="13">
        <v>413732</v>
      </c>
      <c r="E209" s="13">
        <v>413732</v>
      </c>
      <c r="F209" s="3">
        <f t="shared" si="13"/>
        <v>9.2504176407100149E-4</v>
      </c>
      <c r="G209" s="3">
        <f t="shared" si="14"/>
        <v>63010.482441704225</v>
      </c>
      <c r="H209" s="2">
        <f t="shared" si="15"/>
        <v>476742.48244170425</v>
      </c>
    </row>
    <row r="210" spans="1:8" x14ac:dyDescent="0.2">
      <c r="A210">
        <v>2019</v>
      </c>
      <c r="B210" s="3" t="str">
        <f t="shared" si="12"/>
        <v>5174</v>
      </c>
      <c r="C210" s="3" t="s">
        <v>216</v>
      </c>
      <c r="D210" s="13">
        <v>588870</v>
      </c>
      <c r="E210" s="13">
        <v>588870</v>
      </c>
      <c r="F210" s="3">
        <f t="shared" si="13"/>
        <v>1.3166236684822316E-3</v>
      </c>
      <c r="G210" s="3">
        <f t="shared" si="14"/>
        <v>89683.618369974691</v>
      </c>
      <c r="H210" s="2">
        <f t="shared" si="15"/>
        <v>678553.61836997466</v>
      </c>
    </row>
    <row r="211" spans="1:8" x14ac:dyDescent="0.2">
      <c r="A211">
        <v>2019</v>
      </c>
      <c r="B211" s="3" t="str">
        <f t="shared" si="12"/>
        <v>5175</v>
      </c>
      <c r="C211" s="3" t="s">
        <v>217</v>
      </c>
      <c r="D211" s="13">
        <v>321253</v>
      </c>
      <c r="E211" s="13">
        <v>321253</v>
      </c>
      <c r="F211" s="3">
        <f t="shared" si="13"/>
        <v>7.1827279938003693E-4</v>
      </c>
      <c r="G211" s="3">
        <f t="shared" si="14"/>
        <v>48926.132172142366</v>
      </c>
      <c r="H211" s="2">
        <f t="shared" si="15"/>
        <v>370179.13217214239</v>
      </c>
    </row>
    <row r="212" spans="1:8" x14ac:dyDescent="0.2">
      <c r="A212">
        <v>2019</v>
      </c>
      <c r="B212" s="3" t="str">
        <f t="shared" si="12"/>
        <v>5176</v>
      </c>
      <c r="C212" s="3" t="s">
        <v>218</v>
      </c>
      <c r="D212" s="13">
        <v>2242454</v>
      </c>
      <c r="E212" s="13">
        <v>2242454</v>
      </c>
      <c r="F212" s="3">
        <f t="shared" si="13"/>
        <v>5.0137857453812461E-3</v>
      </c>
      <c r="G212" s="3">
        <f t="shared" si="14"/>
        <v>341520.85986418603</v>
      </c>
      <c r="H212" s="2">
        <f t="shared" si="15"/>
        <v>2583974.859864186</v>
      </c>
    </row>
    <row r="213" spans="1:8" x14ac:dyDescent="0.2">
      <c r="A213">
        <v>2019</v>
      </c>
      <c r="B213" s="3" t="str">
        <f t="shared" si="12"/>
        <v>5185</v>
      </c>
      <c r="C213" s="3" t="s">
        <v>219</v>
      </c>
      <c r="D213" s="13">
        <v>21067990</v>
      </c>
      <c r="E213" s="13">
        <v>21067990</v>
      </c>
      <c r="F213" s="3">
        <f t="shared" si="13"/>
        <v>4.7104818179474199E-2</v>
      </c>
      <c r="G213" s="3">
        <f t="shared" si="14"/>
        <v>3208608.9883717</v>
      </c>
      <c r="H213" s="2">
        <f t="shared" si="15"/>
        <v>24276598.9883717</v>
      </c>
    </row>
    <row r="214" spans="1:8" x14ac:dyDescent="0.2">
      <c r="A214">
        <v>2019</v>
      </c>
      <c r="B214" s="3" t="str">
        <f t="shared" si="12"/>
        <v>5186</v>
      </c>
      <c r="C214" s="3" t="s">
        <v>220</v>
      </c>
      <c r="D214" s="13">
        <v>369454</v>
      </c>
      <c r="E214" s="13">
        <v>369454</v>
      </c>
      <c r="F214" s="3">
        <f t="shared" si="13"/>
        <v>8.2604289710026737E-4</v>
      </c>
      <c r="G214" s="3">
        <f t="shared" si="14"/>
        <v>56267.039484539251</v>
      </c>
      <c r="H214" s="2">
        <f t="shared" si="15"/>
        <v>425721.03948453924</v>
      </c>
    </row>
    <row r="215" spans="1:8" x14ac:dyDescent="0.2">
      <c r="A215">
        <v>2019</v>
      </c>
      <c r="B215" s="3" t="str">
        <f t="shared" si="12"/>
        <v>5187</v>
      </c>
      <c r="C215" s="3" t="s">
        <v>221</v>
      </c>
      <c r="D215" s="13">
        <v>483746</v>
      </c>
      <c r="E215" s="13">
        <v>483746</v>
      </c>
      <c r="F215" s="3">
        <f t="shared" si="13"/>
        <v>1.0815824089079179E-3</v>
      </c>
      <c r="G215" s="3">
        <f t="shared" si="14"/>
        <v>73673.462142750985</v>
      </c>
      <c r="H215" s="2">
        <f t="shared" si="15"/>
        <v>557419.46214275097</v>
      </c>
    </row>
    <row r="216" spans="1:8" x14ac:dyDescent="0.2">
      <c r="A216">
        <v>2019</v>
      </c>
      <c r="B216" s="3" t="str">
        <f t="shared" si="12"/>
        <v>5188</v>
      </c>
      <c r="C216" s="3" t="s">
        <v>222</v>
      </c>
      <c r="D216" s="13">
        <v>264348</v>
      </c>
      <c r="E216" s="13">
        <v>264348</v>
      </c>
      <c r="F216" s="3">
        <f t="shared" si="13"/>
        <v>5.9104188278557407E-4</v>
      </c>
      <c r="G216" s="3">
        <f t="shared" si="14"/>
        <v>40259.624618109381</v>
      </c>
      <c r="H216" s="2">
        <f t="shared" si="15"/>
        <v>304607.62461810937</v>
      </c>
    </row>
    <row r="217" spans="1:8" x14ac:dyDescent="0.2">
      <c r="A217">
        <v>2019</v>
      </c>
      <c r="B217" s="3" t="str">
        <f t="shared" si="12"/>
        <v>5189</v>
      </c>
      <c r="C217" s="3" t="s">
        <v>223</v>
      </c>
      <c r="D217" s="13">
        <v>97520</v>
      </c>
      <c r="E217" s="13">
        <v>97520</v>
      </c>
      <c r="F217" s="3">
        <f t="shared" si="13"/>
        <v>2.1803987323244049E-4</v>
      </c>
      <c r="G217" s="3">
        <f t="shared" si="14"/>
        <v>14852.083589654647</v>
      </c>
      <c r="H217" s="2">
        <f t="shared" si="15"/>
        <v>112372.08358965465</v>
      </c>
    </row>
    <row r="218" spans="1:8" x14ac:dyDescent="0.2">
      <c r="A218">
        <v>2019</v>
      </c>
      <c r="B218" s="3" t="str">
        <f t="shared" si="12"/>
        <v>5190</v>
      </c>
      <c r="C218" s="3" t="s">
        <v>224</v>
      </c>
      <c r="D218" s="13">
        <v>281688</v>
      </c>
      <c r="E218" s="13">
        <v>281688</v>
      </c>
      <c r="F218" s="3">
        <f t="shared" si="13"/>
        <v>6.2981148288658432E-4</v>
      </c>
      <c r="G218" s="3">
        <f t="shared" si="14"/>
        <v>42900.468849493831</v>
      </c>
      <c r="H218" s="2">
        <f t="shared" si="15"/>
        <v>324588.46884949383</v>
      </c>
    </row>
    <row r="219" spans="1:8" x14ac:dyDescent="0.2">
      <c r="A219">
        <v>2019</v>
      </c>
      <c r="B219" s="3" t="str">
        <f t="shared" si="12"/>
        <v>5191</v>
      </c>
      <c r="C219" s="3" t="s">
        <v>225</v>
      </c>
      <c r="D219" s="13">
        <v>1017989</v>
      </c>
      <c r="E219" s="13">
        <v>1017989</v>
      </c>
      <c r="F219" s="3">
        <f t="shared" si="13"/>
        <v>2.2760684219854271E-3</v>
      </c>
      <c r="G219" s="3">
        <f t="shared" si="14"/>
        <v>155037.50739693339</v>
      </c>
      <c r="H219" s="2">
        <f t="shared" si="15"/>
        <v>1173026.5073969334</v>
      </c>
    </row>
    <row r="220" spans="1:8" x14ac:dyDescent="0.2">
      <c r="A220">
        <v>2019</v>
      </c>
      <c r="B220" s="3" t="str">
        <f t="shared" si="12"/>
        <v>5192</v>
      </c>
      <c r="C220" s="3" t="s">
        <v>226</v>
      </c>
      <c r="D220" s="13">
        <v>319196</v>
      </c>
      <c r="E220" s="13">
        <v>319196</v>
      </c>
      <c r="F220" s="3">
        <f t="shared" si="13"/>
        <v>7.1367366054452496E-4</v>
      </c>
      <c r="G220" s="3">
        <f t="shared" si="14"/>
        <v>48612.855552536959</v>
      </c>
      <c r="H220" s="2">
        <f t="shared" si="15"/>
        <v>367808.85555253696</v>
      </c>
    </row>
    <row r="221" spans="1:8" x14ac:dyDescent="0.2">
      <c r="A221">
        <v>2019</v>
      </c>
      <c r="B221" s="3" t="str">
        <f t="shared" si="12"/>
        <v>5193</v>
      </c>
      <c r="C221" s="3" t="s">
        <v>227</v>
      </c>
      <c r="D221" s="13">
        <v>1620039</v>
      </c>
      <c r="E221" s="13">
        <v>1620039</v>
      </c>
      <c r="F221" s="3">
        <f t="shared" si="13"/>
        <v>3.6221605639008376E-3</v>
      </c>
      <c r="G221" s="3">
        <f t="shared" si="14"/>
        <v>246728.41105927527</v>
      </c>
      <c r="H221" s="2">
        <f t="shared" si="15"/>
        <v>1866767.4110592753</v>
      </c>
    </row>
    <row r="222" spans="1:8" x14ac:dyDescent="0.2">
      <c r="A222">
        <v>2019</v>
      </c>
      <c r="B222" s="3" t="str">
        <f t="shared" si="12"/>
        <v>5195</v>
      </c>
      <c r="C222" s="3" t="s">
        <v>228</v>
      </c>
      <c r="D222" s="13">
        <v>716065</v>
      </c>
      <c r="E222" s="13">
        <v>716065</v>
      </c>
      <c r="F222" s="3">
        <f t="shared" si="13"/>
        <v>1.6010123238944577E-3</v>
      </c>
      <c r="G222" s="3">
        <f t="shared" si="14"/>
        <v>109055.1398238931</v>
      </c>
      <c r="H222" s="2">
        <f t="shared" si="15"/>
        <v>825120.13982389309</v>
      </c>
    </row>
    <row r="223" spans="1:8" x14ac:dyDescent="0.2">
      <c r="A223">
        <v>2019</v>
      </c>
      <c r="B223" s="3" t="str">
        <f t="shared" si="12"/>
        <v>5196</v>
      </c>
      <c r="C223" s="3" t="s">
        <v>229</v>
      </c>
      <c r="D223" s="13">
        <v>526163</v>
      </c>
      <c r="E223" s="13">
        <v>526163</v>
      </c>
      <c r="F223" s="3">
        <f t="shared" si="13"/>
        <v>1.1764203632034515E-3</v>
      </c>
      <c r="G223" s="3">
        <f t="shared" si="14"/>
        <v>80133.478853398876</v>
      </c>
      <c r="H223" s="2">
        <f t="shared" si="15"/>
        <v>606296.47885339893</v>
      </c>
    </row>
    <row r="224" spans="1:8" x14ac:dyDescent="0.2">
      <c r="A224">
        <v>2019</v>
      </c>
      <c r="B224" s="3" t="str">
        <f t="shared" si="12"/>
        <v>5197</v>
      </c>
      <c r="C224" s="3" t="s">
        <v>230</v>
      </c>
      <c r="D224" s="13">
        <v>282898</v>
      </c>
      <c r="E224" s="13">
        <v>282898</v>
      </c>
      <c r="F224" s="3">
        <f t="shared" si="13"/>
        <v>6.3251685867217954E-4</v>
      </c>
      <c r="G224" s="3">
        <f t="shared" si="14"/>
        <v>43084.749213967596</v>
      </c>
      <c r="H224" s="2">
        <f t="shared" si="15"/>
        <v>325982.74921396759</v>
      </c>
    </row>
    <row r="225" spans="1:8" x14ac:dyDescent="0.2">
      <c r="A225">
        <v>2019</v>
      </c>
      <c r="B225" s="3" t="str">
        <f t="shared" si="12"/>
        <v>5198</v>
      </c>
      <c r="C225" s="3" t="s">
        <v>231</v>
      </c>
      <c r="D225" s="13">
        <v>1418382</v>
      </c>
      <c r="E225" s="13">
        <v>1418382</v>
      </c>
      <c r="F225" s="3">
        <f t="shared" si="13"/>
        <v>3.1712862128299366E-3</v>
      </c>
      <c r="G225" s="3">
        <f t="shared" si="14"/>
        <v>216016.48919259163</v>
      </c>
      <c r="H225" s="2">
        <f t="shared" si="15"/>
        <v>1634398.4891925915</v>
      </c>
    </row>
    <row r="226" spans="1:8" x14ac:dyDescent="0.2">
      <c r="A226">
        <v>2019</v>
      </c>
      <c r="B226" s="3" t="str">
        <f t="shared" si="12"/>
        <v>5199</v>
      </c>
      <c r="C226" s="3" t="s">
        <v>232</v>
      </c>
      <c r="D226" s="13">
        <v>412629</v>
      </c>
      <c r="E226" s="13">
        <v>412629</v>
      </c>
      <c r="F226" s="3">
        <f t="shared" si="13"/>
        <v>9.2257562399537211E-4</v>
      </c>
      <c r="G226" s="3">
        <f t="shared" si="14"/>
        <v>62842.497944171526</v>
      </c>
      <c r="H226" s="2">
        <f t="shared" si="15"/>
        <v>475471.49794417154</v>
      </c>
    </row>
    <row r="227" spans="1:8" x14ac:dyDescent="0.2">
      <c r="A227">
        <v>2019</v>
      </c>
      <c r="B227" s="3" t="str">
        <f t="shared" si="12"/>
        <v>5200</v>
      </c>
      <c r="C227" s="3" t="s">
        <v>233</v>
      </c>
      <c r="D227" s="13">
        <v>911558</v>
      </c>
      <c r="E227" s="13">
        <v>911558</v>
      </c>
      <c r="F227" s="3">
        <f t="shared" si="13"/>
        <v>2.0381049093931192E-3</v>
      </c>
      <c r="G227" s="3">
        <f t="shared" si="14"/>
        <v>138828.29791651363</v>
      </c>
      <c r="H227" s="2">
        <f t="shared" si="15"/>
        <v>1050386.2979165136</v>
      </c>
    </row>
    <row r="228" spans="1:8" x14ac:dyDescent="0.2">
      <c r="A228">
        <v>2019</v>
      </c>
      <c r="B228" s="3" t="str">
        <f t="shared" si="12"/>
        <v>5201</v>
      </c>
      <c r="C228" s="3" t="s">
        <v>234</v>
      </c>
      <c r="D228" s="13">
        <v>216111</v>
      </c>
      <c r="E228" s="13">
        <v>216111</v>
      </c>
      <c r="F228" s="3">
        <f t="shared" si="13"/>
        <v>4.8319129454610284E-4</v>
      </c>
      <c r="G228" s="3">
        <f t="shared" si="14"/>
        <v>32913.234584124853</v>
      </c>
      <c r="H228" s="2">
        <f t="shared" si="15"/>
        <v>249024.23458412485</v>
      </c>
    </row>
    <row r="229" spans="1:8" x14ac:dyDescent="0.2">
      <c r="A229">
        <v>2019</v>
      </c>
      <c r="B229" s="3" t="str">
        <f t="shared" si="12"/>
        <v>5202</v>
      </c>
      <c r="C229" s="3" t="s">
        <v>235</v>
      </c>
      <c r="D229" s="13">
        <v>242317</v>
      </c>
      <c r="E229" s="13">
        <v>242317</v>
      </c>
      <c r="F229" s="3">
        <f t="shared" si="13"/>
        <v>5.4178392085792951E-4</v>
      </c>
      <c r="G229" s="3">
        <f t="shared" si="14"/>
        <v>36904.351304289841</v>
      </c>
      <c r="H229" s="2">
        <f t="shared" si="15"/>
        <v>279221.35130428983</v>
      </c>
    </row>
    <row r="230" spans="1:8" x14ac:dyDescent="0.2">
      <c r="A230">
        <v>2019</v>
      </c>
      <c r="B230" s="3" t="str">
        <f t="shared" si="12"/>
        <v>5203</v>
      </c>
      <c r="C230" s="3" t="s">
        <v>236</v>
      </c>
      <c r="D230" s="13">
        <v>703201</v>
      </c>
      <c r="E230" s="13">
        <v>703201</v>
      </c>
      <c r="F230" s="3">
        <f t="shared" si="13"/>
        <v>1.5722503783523933E-3</v>
      </c>
      <c r="G230" s="3">
        <f t="shared" si="14"/>
        <v>107095.98064323972</v>
      </c>
      <c r="H230" s="2">
        <f t="shared" si="15"/>
        <v>810296.98064323969</v>
      </c>
    </row>
    <row r="231" spans="1:8" x14ac:dyDescent="0.2">
      <c r="A231">
        <v>2019</v>
      </c>
      <c r="B231" s="3" t="str">
        <f t="shared" si="12"/>
        <v>5204</v>
      </c>
      <c r="C231" s="3" t="s">
        <v>237</v>
      </c>
      <c r="D231" s="13">
        <v>1039738</v>
      </c>
      <c r="E231" s="13">
        <v>1039738</v>
      </c>
      <c r="F231" s="3">
        <f t="shared" si="13"/>
        <v>2.3246958748456849E-3</v>
      </c>
      <c r="G231" s="3">
        <f t="shared" si="14"/>
        <v>158349.83272498299</v>
      </c>
      <c r="H231" s="2">
        <f t="shared" si="15"/>
        <v>1198087.8327249829</v>
      </c>
    </row>
    <row r="232" spans="1:8" x14ac:dyDescent="0.2">
      <c r="A232">
        <v>2019</v>
      </c>
      <c r="B232" s="3" t="str">
        <f t="shared" si="12"/>
        <v>5205</v>
      </c>
      <c r="C232" s="3" t="s">
        <v>238</v>
      </c>
      <c r="D232" s="13">
        <v>444948</v>
      </c>
      <c r="E232" s="13">
        <v>444948</v>
      </c>
      <c r="F232" s="3">
        <f t="shared" si="13"/>
        <v>9.9483598764384682E-4</v>
      </c>
      <c r="G232" s="3">
        <f t="shared" si="14"/>
        <v>67764.611249483758</v>
      </c>
      <c r="H232" s="2">
        <f t="shared" si="15"/>
        <v>512712.61124948377</v>
      </c>
    </row>
    <row r="233" spans="1:8" x14ac:dyDescent="0.2">
      <c r="A233">
        <v>2019</v>
      </c>
      <c r="B233" s="3" t="str">
        <f t="shared" si="12"/>
        <v>5206</v>
      </c>
      <c r="C233" s="3" t="s">
        <v>239</v>
      </c>
      <c r="D233" s="13">
        <v>493230</v>
      </c>
      <c r="E233" s="13">
        <v>493230</v>
      </c>
      <c r="F233" s="3">
        <f t="shared" si="13"/>
        <v>1.102787189032369E-3</v>
      </c>
      <c r="G233" s="3">
        <f t="shared" si="14"/>
        <v>75117.854685452839</v>
      </c>
      <c r="H233" s="2">
        <f t="shared" si="15"/>
        <v>568347.85468545288</v>
      </c>
    </row>
    <row r="234" spans="1:8" x14ac:dyDescent="0.2">
      <c r="A234">
        <v>2019</v>
      </c>
      <c r="B234" s="3" t="str">
        <f t="shared" si="12"/>
        <v>5207</v>
      </c>
      <c r="C234" s="3" t="s">
        <v>240</v>
      </c>
      <c r="D234" s="13">
        <v>1053645</v>
      </c>
      <c r="E234" s="13">
        <v>1053645</v>
      </c>
      <c r="F234" s="3">
        <f t="shared" si="13"/>
        <v>2.3557898095979777E-3</v>
      </c>
      <c r="G234" s="3">
        <f t="shared" si="14"/>
        <v>160467.83853385635</v>
      </c>
      <c r="H234" s="2">
        <f t="shared" si="15"/>
        <v>1214112.8385338564</v>
      </c>
    </row>
    <row r="235" spans="1:8" x14ac:dyDescent="0.2">
      <c r="A235">
        <v>2019</v>
      </c>
      <c r="B235" s="3" t="str">
        <f t="shared" si="12"/>
        <v>5208</v>
      </c>
      <c r="C235" s="3" t="s">
        <v>241</v>
      </c>
      <c r="D235" s="13">
        <v>319251</v>
      </c>
      <c r="E235" s="13">
        <v>319251</v>
      </c>
      <c r="F235" s="3">
        <f t="shared" si="13"/>
        <v>7.1379663217114296E-4</v>
      </c>
      <c r="G235" s="3">
        <f t="shared" si="14"/>
        <v>48621.231932740317</v>
      </c>
      <c r="H235" s="2">
        <f t="shared" si="15"/>
        <v>367872.23193274031</v>
      </c>
    </row>
    <row r="236" spans="1:8" x14ac:dyDescent="0.2">
      <c r="A236">
        <v>2019</v>
      </c>
      <c r="B236" s="3" t="str">
        <f t="shared" si="12"/>
        <v>5210</v>
      </c>
      <c r="C236" s="3" t="s">
        <v>242</v>
      </c>
      <c r="D236" s="13">
        <v>3379688</v>
      </c>
      <c r="E236" s="13">
        <v>3379688</v>
      </c>
      <c r="F236" s="3">
        <f t="shared" si="13"/>
        <v>7.5564678331132111E-3</v>
      </c>
      <c r="G236" s="3">
        <f t="shared" si="14"/>
        <v>514719.12103109859</v>
      </c>
      <c r="H236" s="2">
        <f t="shared" si="15"/>
        <v>3894407.1210310985</v>
      </c>
    </row>
    <row r="237" spans="1:8" x14ac:dyDescent="0.2">
      <c r="A237">
        <v>2019</v>
      </c>
      <c r="B237" s="3" t="str">
        <f t="shared" si="12"/>
        <v>5212</v>
      </c>
      <c r="C237" s="3" t="s">
        <v>243</v>
      </c>
      <c r="D237" s="13">
        <v>859020</v>
      </c>
      <c r="E237" s="13">
        <v>859020</v>
      </c>
      <c r="F237" s="3">
        <f t="shared" si="13"/>
        <v>1.9206379399521231E-3</v>
      </c>
      <c r="G237" s="3">
        <f t="shared" si="14"/>
        <v>130826.87495062689</v>
      </c>
      <c r="H237" s="2">
        <f t="shared" si="15"/>
        <v>989846.87495062687</v>
      </c>
    </row>
    <row r="238" spans="1:8" x14ac:dyDescent="0.2">
      <c r="A238">
        <v>2019</v>
      </c>
      <c r="B238" s="3" t="str">
        <f t="shared" si="12"/>
        <v>5213</v>
      </c>
      <c r="C238" s="3" t="s">
        <v>244</v>
      </c>
      <c r="D238" s="13">
        <v>650235</v>
      </c>
      <c r="E238" s="13">
        <v>650235</v>
      </c>
      <c r="F238" s="3">
        <f t="shared" si="13"/>
        <v>1.4538264660715334E-3</v>
      </c>
      <c r="G238" s="3">
        <f t="shared" si="14"/>
        <v>99029.374209588685</v>
      </c>
      <c r="H238" s="2">
        <f t="shared" si="15"/>
        <v>749264.37420958863</v>
      </c>
    </row>
    <row r="239" spans="1:8" x14ac:dyDescent="0.2">
      <c r="A239">
        <v>2019</v>
      </c>
      <c r="B239" s="3" t="str">
        <f t="shared" si="12"/>
        <v>5214</v>
      </c>
      <c r="C239" s="3" t="s">
        <v>245</v>
      </c>
      <c r="D239" s="13">
        <v>3064148</v>
      </c>
      <c r="E239" s="13">
        <v>3064148</v>
      </c>
      <c r="F239" s="3">
        <f t="shared" si="13"/>
        <v>6.8509684319671459E-3</v>
      </c>
      <c r="G239" s="3">
        <f t="shared" si="14"/>
        <v>466663.06631535175</v>
      </c>
      <c r="H239" s="2">
        <f t="shared" si="15"/>
        <v>3530811.066315352</v>
      </c>
    </row>
    <row r="240" spans="1:8" x14ac:dyDescent="0.2">
      <c r="A240">
        <v>2019</v>
      </c>
      <c r="B240" s="3" t="str">
        <f t="shared" si="12"/>
        <v>5215</v>
      </c>
      <c r="C240" s="3" t="s">
        <v>246</v>
      </c>
      <c r="D240" s="13">
        <v>732260</v>
      </c>
      <c r="E240" s="13">
        <v>732260</v>
      </c>
      <c r="F240" s="3">
        <f t="shared" si="13"/>
        <v>1.6372218783140575E-3</v>
      </c>
      <c r="G240" s="3">
        <f t="shared" si="14"/>
        <v>111521.60304922592</v>
      </c>
      <c r="H240" s="2">
        <f t="shared" si="15"/>
        <v>843781.60304922587</v>
      </c>
    </row>
    <row r="241" spans="1:8" x14ac:dyDescent="0.2">
      <c r="A241">
        <v>2019</v>
      </c>
      <c r="B241" s="3" t="str">
        <f t="shared" si="12"/>
        <v>5216</v>
      </c>
      <c r="C241" s="3" t="s">
        <v>299</v>
      </c>
      <c r="D241" s="13">
        <v>949887</v>
      </c>
      <c r="E241" s="13">
        <v>949887</v>
      </c>
      <c r="F241" s="3">
        <f t="shared" si="13"/>
        <v>2.1238027180593027E-3</v>
      </c>
      <c r="G241" s="3">
        <f t="shared" si="14"/>
        <v>144665.72113131956</v>
      </c>
      <c r="H241" s="2">
        <f t="shared" si="15"/>
        <v>1094552.7211313196</v>
      </c>
    </row>
    <row r="242" spans="1:8" x14ac:dyDescent="0.2">
      <c r="A242">
        <v>2019</v>
      </c>
      <c r="B242" s="3" t="str">
        <f t="shared" si="12"/>
        <v>5217</v>
      </c>
      <c r="C242" s="3" t="s">
        <v>248</v>
      </c>
      <c r="D242" s="13">
        <v>114529</v>
      </c>
      <c r="E242" s="13">
        <v>114529</v>
      </c>
      <c r="F242" s="3">
        <f t="shared" si="13"/>
        <v>2.5606940772598621E-4</v>
      </c>
      <c r="G242" s="3">
        <f t="shared" si="14"/>
        <v>17442.517241997095</v>
      </c>
      <c r="H242" s="2">
        <f t="shared" si="15"/>
        <v>131971.51724199709</v>
      </c>
    </row>
    <row r="243" spans="1:8" x14ac:dyDescent="0.2">
      <c r="A243">
        <v>2019</v>
      </c>
      <c r="B243" s="3" t="str">
        <f t="shared" si="12"/>
        <v>5218</v>
      </c>
      <c r="C243" s="3" t="s">
        <v>249</v>
      </c>
      <c r="D243" s="13">
        <v>287252</v>
      </c>
      <c r="E243" s="13">
        <v>287252</v>
      </c>
      <c r="F243" s="3">
        <f t="shared" si="13"/>
        <v>6.4225173980480925E-4</v>
      </c>
      <c r="G243" s="3">
        <f t="shared" si="14"/>
        <v>43747.853930429417</v>
      </c>
      <c r="H243" s="2">
        <f t="shared" si="15"/>
        <v>330999.85393042944</v>
      </c>
    </row>
    <row r="244" spans="1:8" x14ac:dyDescent="0.2">
      <c r="A244">
        <v>2019</v>
      </c>
      <c r="B244" s="3" t="str">
        <f t="shared" si="12"/>
        <v>5219</v>
      </c>
      <c r="C244" s="3" t="s">
        <v>250</v>
      </c>
      <c r="D244" s="13">
        <v>207130</v>
      </c>
      <c r="E244" s="13">
        <v>207130</v>
      </c>
      <c r="F244" s="3">
        <f t="shared" si="13"/>
        <v>4.6311114584326703E-4</v>
      </c>
      <c r="G244" s="3">
        <f t="shared" si="14"/>
        <v>31545.44784582821</v>
      </c>
      <c r="H244" s="2">
        <f t="shared" si="15"/>
        <v>238675.4478458282</v>
      </c>
    </row>
    <row r="245" spans="1:8" x14ac:dyDescent="0.2">
      <c r="A245">
        <v>2019</v>
      </c>
      <c r="B245" s="3" t="str">
        <f t="shared" si="12"/>
        <v>5220</v>
      </c>
      <c r="C245" s="3" t="s">
        <v>251</v>
      </c>
      <c r="D245" s="13">
        <v>410119</v>
      </c>
      <c r="E245" s="13">
        <v>410119</v>
      </c>
      <c r="F245" s="3">
        <f t="shared" si="13"/>
        <v>9.1696364612607942E-4</v>
      </c>
      <c r="G245" s="3">
        <f t="shared" si="14"/>
        <v>62460.230411254859</v>
      </c>
      <c r="H245" s="2">
        <f t="shared" si="15"/>
        <v>472579.23041125486</v>
      </c>
    </row>
    <row r="246" spans="1:8" x14ac:dyDescent="0.2">
      <c r="A246">
        <v>2019</v>
      </c>
      <c r="B246" s="3" t="str">
        <f t="shared" si="12"/>
        <v>5222</v>
      </c>
      <c r="C246" s="3" t="s">
        <v>252</v>
      </c>
      <c r="D246" s="13">
        <v>391217</v>
      </c>
      <c r="E246" s="13">
        <v>391217</v>
      </c>
      <c r="F246" s="3">
        <f t="shared" si="13"/>
        <v>8.7470165182911886E-4</v>
      </c>
      <c r="G246" s="3">
        <f t="shared" si="14"/>
        <v>59581.496982095181</v>
      </c>
      <c r="H246" s="2">
        <f t="shared" si="15"/>
        <v>450798.49698209518</v>
      </c>
    </row>
    <row r="247" spans="1:8" x14ac:dyDescent="0.2">
      <c r="A247">
        <v>2019</v>
      </c>
      <c r="B247" s="3" t="str">
        <f t="shared" si="12"/>
        <v>5223</v>
      </c>
      <c r="C247" s="3" t="s">
        <v>253</v>
      </c>
      <c r="D247" s="13">
        <v>376090</v>
      </c>
      <c r="E247" s="13">
        <v>376090</v>
      </c>
      <c r="F247" s="3">
        <f t="shared" si="13"/>
        <v>8.4087998281366432E-4</v>
      </c>
      <c r="G247" s="3">
        <f t="shared" si="14"/>
        <v>57277.687830529285</v>
      </c>
      <c r="H247" s="2">
        <f t="shared" si="15"/>
        <v>433367.68783052929</v>
      </c>
    </row>
    <row r="248" spans="1:8" x14ac:dyDescent="0.2">
      <c r="A248">
        <v>2019</v>
      </c>
      <c r="B248" s="3" t="str">
        <f t="shared" si="12"/>
        <v>5226</v>
      </c>
      <c r="C248" s="3" t="s">
        <v>254</v>
      </c>
      <c r="D248" s="13">
        <v>228291</v>
      </c>
      <c r="E248" s="13">
        <v>228291</v>
      </c>
      <c r="F248" s="3">
        <f t="shared" si="13"/>
        <v>5.1042392022259103E-4</v>
      </c>
      <c r="G248" s="3">
        <f t="shared" si="14"/>
        <v>34768.222054612888</v>
      </c>
      <c r="H248" s="2">
        <f t="shared" si="15"/>
        <v>263059.22205461288</v>
      </c>
    </row>
    <row r="249" spans="1:8" x14ac:dyDescent="0.2">
      <c r="A249">
        <v>2019</v>
      </c>
      <c r="B249" s="3" t="str">
        <f t="shared" si="12"/>
        <v>5227</v>
      </c>
      <c r="C249" s="3" t="s">
        <v>255</v>
      </c>
      <c r="D249" s="13">
        <v>78982</v>
      </c>
      <c r="E249" s="13">
        <v>78982</v>
      </c>
      <c r="F249" s="3">
        <f t="shared" si="13"/>
        <v>1.7659172751891526E-4</v>
      </c>
      <c r="G249" s="3">
        <f t="shared" si="14"/>
        <v>12028.786567658975</v>
      </c>
      <c r="H249" s="2">
        <f t="shared" si="15"/>
        <v>91010.786567658972</v>
      </c>
    </row>
    <row r="250" spans="1:8" x14ac:dyDescent="0.2">
      <c r="A250">
        <v>2019</v>
      </c>
      <c r="B250" s="3" t="str">
        <f t="shared" si="12"/>
        <v>5228</v>
      </c>
      <c r="C250" s="3" t="s">
        <v>256</v>
      </c>
      <c r="D250" s="13">
        <v>153807</v>
      </c>
      <c r="E250" s="13">
        <v>153807</v>
      </c>
      <c r="F250" s="3">
        <f t="shared" si="13"/>
        <v>3.4388903591326883E-4</v>
      </c>
      <c r="G250" s="3">
        <f t="shared" si="14"/>
        <v>23424.471089766328</v>
      </c>
      <c r="H250" s="2">
        <f t="shared" si="15"/>
        <v>177231.47108976633</v>
      </c>
    </row>
    <row r="251" spans="1:8" x14ac:dyDescent="0.2">
      <c r="A251">
        <v>2019</v>
      </c>
      <c r="B251" s="3" t="str">
        <f t="shared" si="12"/>
        <v>5229</v>
      </c>
      <c r="C251" s="3" t="s">
        <v>257</v>
      </c>
      <c r="D251" s="13">
        <v>352576</v>
      </c>
      <c r="E251" s="13">
        <v>352576</v>
      </c>
      <c r="F251" s="3">
        <f t="shared" si="13"/>
        <v>7.8830625866284799E-4</v>
      </c>
      <c r="G251" s="3">
        <f t="shared" si="14"/>
        <v>53696.556846862964</v>
      </c>
      <c r="H251" s="2">
        <f t="shared" si="15"/>
        <v>406272.55684686295</v>
      </c>
    </row>
    <row r="252" spans="1:8" x14ac:dyDescent="0.2">
      <c r="A252">
        <v>2019</v>
      </c>
      <c r="B252" s="3" t="str">
        <f t="shared" si="12"/>
        <v>5230</v>
      </c>
      <c r="C252" s="3" t="s">
        <v>258</v>
      </c>
      <c r="D252" s="13">
        <v>690183</v>
      </c>
      <c r="E252" s="13">
        <v>690183</v>
      </c>
      <c r="F252" s="3">
        <f t="shared" si="13"/>
        <v>1.5431441122557986E-3</v>
      </c>
      <c r="G252" s="3">
        <f t="shared" si="14"/>
        <v>105113.36759801695</v>
      </c>
      <c r="H252" s="2">
        <f t="shared" si="15"/>
        <v>795296.36759801698</v>
      </c>
    </row>
    <row r="253" spans="1:8" x14ac:dyDescent="0.2">
      <c r="A253">
        <v>2019</v>
      </c>
      <c r="B253" s="3" t="str">
        <f t="shared" si="12"/>
        <v>5231</v>
      </c>
      <c r="C253" s="3" t="s">
        <v>259</v>
      </c>
      <c r="D253" s="13">
        <v>1478266</v>
      </c>
      <c r="E253" s="13">
        <v>1478266</v>
      </c>
      <c r="F253" s="3">
        <f t="shared" si="13"/>
        <v>3.3051777198915798E-3</v>
      </c>
      <c r="G253" s="3">
        <f t="shared" si="14"/>
        <v>225136.6919580026</v>
      </c>
      <c r="H253" s="2">
        <f t="shared" si="15"/>
        <v>1703402.6919580025</v>
      </c>
    </row>
    <row r="254" spans="1:8" x14ac:dyDescent="0.2">
      <c r="A254">
        <v>2019</v>
      </c>
      <c r="B254" s="3" t="str">
        <f t="shared" si="12"/>
        <v>5233</v>
      </c>
      <c r="C254" s="3" t="s">
        <v>260</v>
      </c>
      <c r="D254" s="13">
        <v>5303053</v>
      </c>
      <c r="E254" s="13">
        <v>5303053</v>
      </c>
      <c r="F254" s="3">
        <f t="shared" si="13"/>
        <v>1.1856819153659898E-2</v>
      </c>
      <c r="G254" s="3">
        <f t="shared" si="14"/>
        <v>807643.42120968876</v>
      </c>
      <c r="H254" s="2">
        <f t="shared" si="15"/>
        <v>6110696.4212096892</v>
      </c>
    </row>
    <row r="255" spans="1:8" x14ac:dyDescent="0.2">
      <c r="A255">
        <v>2019</v>
      </c>
      <c r="B255" s="3" t="str">
        <f t="shared" si="12"/>
        <v>5235</v>
      </c>
      <c r="C255" s="3" t="s">
        <v>261</v>
      </c>
      <c r="D255" s="13">
        <v>228807</v>
      </c>
      <c r="E255" s="13">
        <v>228807</v>
      </c>
      <c r="F255" s="3">
        <f t="shared" si="13"/>
        <v>5.1157761766504317E-4</v>
      </c>
      <c r="G255" s="3">
        <f t="shared" si="14"/>
        <v>34846.807730702531</v>
      </c>
      <c r="H255" s="2">
        <f t="shared" si="15"/>
        <v>263653.80773070251</v>
      </c>
    </row>
    <row r="256" spans="1:8" x14ac:dyDescent="0.2">
      <c r="A256">
        <v>2019</v>
      </c>
      <c r="B256" s="3" t="str">
        <f t="shared" si="12"/>
        <v>5236</v>
      </c>
      <c r="C256" s="3" t="s">
        <v>262</v>
      </c>
      <c r="D256" s="13">
        <v>543268</v>
      </c>
      <c r="E256" s="13">
        <v>543268</v>
      </c>
      <c r="F256" s="3">
        <f t="shared" si="13"/>
        <v>1.2146645390816394E-3</v>
      </c>
      <c r="G256" s="3">
        <f t="shared" si="14"/>
        <v>82738.53309664171</v>
      </c>
      <c r="H256" s="2">
        <f t="shared" si="15"/>
        <v>626006.53309664177</v>
      </c>
    </row>
    <row r="257" spans="1:8" x14ac:dyDescent="0.2">
      <c r="A257">
        <v>2019</v>
      </c>
      <c r="B257" s="3" t="str">
        <f t="shared" si="12"/>
        <v>5237</v>
      </c>
      <c r="C257" s="3" t="s">
        <v>263</v>
      </c>
      <c r="D257" s="13">
        <v>229999</v>
      </c>
      <c r="E257" s="13">
        <v>229999</v>
      </c>
      <c r="F257" s="3">
        <f t="shared" si="13"/>
        <v>5.1424274819101808E-4</v>
      </c>
      <c r="G257" s="3">
        <f t="shared" si="14"/>
        <v>35028.346734382474</v>
      </c>
      <c r="H257" s="2">
        <f t="shared" si="15"/>
        <v>265027.34673438244</v>
      </c>
    </row>
    <row r="258" spans="1:8" x14ac:dyDescent="0.2">
      <c r="A258">
        <v>2019</v>
      </c>
      <c r="B258" s="3" t="str">
        <f t="shared" si="12"/>
        <v>5238</v>
      </c>
      <c r="C258" s="3" t="s">
        <v>264</v>
      </c>
      <c r="D258" s="13">
        <v>225964</v>
      </c>
      <c r="E258" s="13">
        <v>225964</v>
      </c>
      <c r="F258" s="3">
        <f t="shared" si="13"/>
        <v>5.0522110249277255E-4</v>
      </c>
      <c r="G258" s="3">
        <f t="shared" si="14"/>
        <v>34413.825023100108</v>
      </c>
      <c r="H258" s="2">
        <f t="shared" si="15"/>
        <v>260377.8250231001</v>
      </c>
    </row>
    <row r="259" spans="1:8" x14ac:dyDescent="0.2">
      <c r="A259">
        <v>2019</v>
      </c>
      <c r="B259" s="3" t="str">
        <f t="shared" ref="B259:B322" si="16">LEFT(C259,4)</f>
        <v>5239</v>
      </c>
      <c r="C259" s="3" t="s">
        <v>265</v>
      </c>
      <c r="D259" s="13">
        <v>156487</v>
      </c>
      <c r="E259" s="13">
        <v>156487</v>
      </c>
      <c r="F259" s="3">
        <f t="shared" ref="F259:F322" si="17">E259/$D$340</f>
        <v>3.498811079011989E-4</v>
      </c>
      <c r="G259" s="3">
        <f t="shared" ref="G259:G322" si="18">F259*$D$341</f>
        <v>23832.629252402447</v>
      </c>
      <c r="H259" s="2">
        <f t="shared" ref="H259:H322" si="19">SUM(G259,D259)</f>
        <v>180319.62925240246</v>
      </c>
    </row>
    <row r="260" spans="1:8" x14ac:dyDescent="0.2">
      <c r="A260">
        <v>2019</v>
      </c>
      <c r="B260" s="3" t="str">
        <f t="shared" si="16"/>
        <v>5240</v>
      </c>
      <c r="C260" s="3" t="s">
        <v>266</v>
      </c>
      <c r="D260" s="13">
        <v>398391</v>
      </c>
      <c r="E260" s="13">
        <v>398391</v>
      </c>
      <c r="F260" s="3">
        <f t="shared" si="17"/>
        <v>8.9074162363561528E-4</v>
      </c>
      <c r="G260" s="3">
        <f t="shared" si="18"/>
        <v>60674.081556256198</v>
      </c>
      <c r="H260" s="2">
        <f t="shared" si="19"/>
        <v>459065.08155625622</v>
      </c>
    </row>
    <row r="261" spans="1:8" x14ac:dyDescent="0.2">
      <c r="A261">
        <v>2019</v>
      </c>
      <c r="B261" s="3" t="str">
        <f t="shared" si="16"/>
        <v>5241</v>
      </c>
      <c r="C261" s="3" t="s">
        <v>362</v>
      </c>
      <c r="D261" s="13">
        <v>245348</v>
      </c>
      <c r="E261" s="13">
        <v>245348</v>
      </c>
      <c r="F261" s="3">
        <f t="shared" si="17"/>
        <v>5.4856077540845784E-4</v>
      </c>
      <c r="G261" s="3">
        <f t="shared" si="18"/>
        <v>37365.966002405541</v>
      </c>
      <c r="H261" s="2">
        <f t="shared" si="19"/>
        <v>282713.96600240556</v>
      </c>
    </row>
    <row r="262" spans="1:8" x14ac:dyDescent="0.2">
      <c r="A262">
        <v>2019</v>
      </c>
      <c r="B262" s="3" t="str">
        <f t="shared" si="16"/>
        <v>5250</v>
      </c>
      <c r="C262" s="3" t="s">
        <v>268</v>
      </c>
      <c r="D262" s="13">
        <v>594526</v>
      </c>
      <c r="E262" s="13">
        <v>594526</v>
      </c>
      <c r="F262" s="3">
        <f t="shared" si="17"/>
        <v>1.3292696233940722E-3</v>
      </c>
      <c r="G262" s="3">
        <f t="shared" si="18"/>
        <v>90545.014850523163</v>
      </c>
      <c r="H262" s="2">
        <f t="shared" si="19"/>
        <v>685071.01485052321</v>
      </c>
    </row>
    <row r="263" spans="1:8" x14ac:dyDescent="0.2">
      <c r="A263">
        <v>2019</v>
      </c>
      <c r="B263" s="3" t="str">
        <f t="shared" si="16"/>
        <v>5251</v>
      </c>
      <c r="C263" s="3" t="s">
        <v>269</v>
      </c>
      <c r="D263" s="13">
        <v>196387</v>
      </c>
      <c r="E263" s="13">
        <v>196387</v>
      </c>
      <c r="F263" s="3">
        <f t="shared" si="17"/>
        <v>4.3909143339314284E-4</v>
      </c>
      <c r="G263" s="3">
        <f t="shared" si="18"/>
        <v>29909.312345380506</v>
      </c>
      <c r="H263" s="2">
        <f t="shared" si="19"/>
        <v>226296.31234538052</v>
      </c>
    </row>
    <row r="264" spans="1:8" x14ac:dyDescent="0.2">
      <c r="A264">
        <v>2019</v>
      </c>
      <c r="B264" s="3" t="str">
        <f t="shared" si="16"/>
        <v>5267</v>
      </c>
      <c r="C264" s="3" t="s">
        <v>270</v>
      </c>
      <c r="D264" s="13">
        <v>217956</v>
      </c>
      <c r="E264" s="13">
        <v>217956</v>
      </c>
      <c r="F264" s="3">
        <f t="shared" si="17"/>
        <v>4.8731643365719648E-4</v>
      </c>
      <c r="G264" s="3">
        <f t="shared" si="18"/>
        <v>33194.224065491879</v>
      </c>
      <c r="H264" s="2">
        <f t="shared" si="19"/>
        <v>251150.22406549187</v>
      </c>
    </row>
    <row r="265" spans="1:8" x14ac:dyDescent="0.2">
      <c r="A265">
        <v>2019</v>
      </c>
      <c r="B265" s="3" t="str">
        <f t="shared" si="16"/>
        <v>5268</v>
      </c>
      <c r="C265" s="3" t="s">
        <v>271</v>
      </c>
      <c r="D265" s="13">
        <v>229611</v>
      </c>
      <c r="E265" s="13">
        <v>229611</v>
      </c>
      <c r="F265" s="3">
        <f t="shared" si="17"/>
        <v>5.1337523926142225E-4</v>
      </c>
      <c r="G265" s="3">
        <f t="shared" si="18"/>
        <v>34969.255179493368</v>
      </c>
      <c r="H265" s="2">
        <f t="shared" si="19"/>
        <v>264580.25517949334</v>
      </c>
    </row>
    <row r="266" spans="1:8" x14ac:dyDescent="0.2">
      <c r="A266">
        <v>2019</v>
      </c>
      <c r="B266" s="3" t="str">
        <f t="shared" si="16"/>
        <v>5270</v>
      </c>
      <c r="C266" s="3" t="s">
        <v>272</v>
      </c>
      <c r="D266" s="13">
        <v>284140</v>
      </c>
      <c r="E266" s="13">
        <v>284140</v>
      </c>
      <c r="F266" s="3">
        <f t="shared" si="17"/>
        <v>6.3529378158598895E-4</v>
      </c>
      <c r="G266" s="3">
        <f t="shared" si="18"/>
        <v>43273.903108741506</v>
      </c>
      <c r="H266" s="2">
        <f t="shared" si="19"/>
        <v>327413.90310874151</v>
      </c>
    </row>
    <row r="267" spans="1:8" x14ac:dyDescent="0.2">
      <c r="A267">
        <v>2019</v>
      </c>
      <c r="B267" s="3" t="str">
        <f t="shared" si="16"/>
        <v>5271</v>
      </c>
      <c r="C267" s="3" t="s">
        <v>273</v>
      </c>
      <c r="D267" s="13">
        <v>161813</v>
      </c>
      <c r="E267" s="13">
        <v>161813</v>
      </c>
      <c r="F267" s="3">
        <f t="shared" si="17"/>
        <v>3.6178923305333157E-4</v>
      </c>
      <c r="G267" s="3">
        <f t="shared" si="18"/>
        <v>24643.767451730797</v>
      </c>
      <c r="H267" s="2">
        <f t="shared" si="19"/>
        <v>186456.76745173079</v>
      </c>
    </row>
    <row r="268" spans="1:8" x14ac:dyDescent="0.2">
      <c r="A268">
        <v>2019</v>
      </c>
      <c r="B268" s="3" t="str">
        <f t="shared" si="16"/>
        <v>5272</v>
      </c>
      <c r="C268" s="3" t="s">
        <v>274</v>
      </c>
      <c r="D268" s="13">
        <v>3028016</v>
      </c>
      <c r="E268" s="13">
        <v>3028016</v>
      </c>
      <c r="F268" s="3">
        <f t="shared" si="17"/>
        <v>6.7701827808224115E-3</v>
      </c>
      <c r="G268" s="3">
        <f t="shared" si="18"/>
        <v>461160.24141521438</v>
      </c>
      <c r="H268" s="2">
        <f t="shared" si="19"/>
        <v>3489176.2414152143</v>
      </c>
    </row>
    <row r="269" spans="1:8" x14ac:dyDescent="0.2">
      <c r="A269">
        <v>2019</v>
      </c>
      <c r="B269" s="3" t="str">
        <f t="shared" si="16"/>
        <v>5274</v>
      </c>
      <c r="C269" s="3" t="s">
        <v>275</v>
      </c>
      <c r="D269" s="13">
        <v>714487</v>
      </c>
      <c r="E269" s="13">
        <v>714487</v>
      </c>
      <c r="F269" s="3">
        <f t="shared" si="17"/>
        <v>1.5974841561344003E-3</v>
      </c>
      <c r="G269" s="3">
        <f t="shared" si="18"/>
        <v>108814.8138609678</v>
      </c>
      <c r="H269" s="2">
        <f t="shared" si="19"/>
        <v>823301.81386096776</v>
      </c>
    </row>
    <row r="270" spans="1:8" x14ac:dyDescent="0.2">
      <c r="A270">
        <v>2019</v>
      </c>
      <c r="B270" s="3" t="str">
        <f t="shared" si="16"/>
        <v>5275</v>
      </c>
      <c r="C270" s="3" t="s">
        <v>276</v>
      </c>
      <c r="D270" s="13">
        <v>1616493</v>
      </c>
      <c r="E270" s="13">
        <v>1616493</v>
      </c>
      <c r="F270" s="3">
        <f t="shared" si="17"/>
        <v>3.6142322477556135E-3</v>
      </c>
      <c r="G270" s="3">
        <f t="shared" si="18"/>
        <v>246188.36298289179</v>
      </c>
      <c r="H270" s="2">
        <f t="shared" si="19"/>
        <v>1862681.3629828917</v>
      </c>
    </row>
    <row r="271" spans="1:8" x14ac:dyDescent="0.2">
      <c r="A271">
        <v>2019</v>
      </c>
      <c r="B271" s="3" t="str">
        <f t="shared" si="16"/>
        <v>5276</v>
      </c>
      <c r="C271" s="3" t="s">
        <v>277</v>
      </c>
      <c r="D271" s="13">
        <v>865485</v>
      </c>
      <c r="E271" s="13">
        <v>865485</v>
      </c>
      <c r="F271" s="3">
        <f t="shared" si="17"/>
        <v>1.9350926956991259E-3</v>
      </c>
      <c r="G271" s="3">
        <f t="shared" si="18"/>
        <v>131811.48036907558</v>
      </c>
      <c r="H271" s="2">
        <f t="shared" si="19"/>
        <v>997296.48036907555</v>
      </c>
    </row>
    <row r="272" spans="1:8" x14ac:dyDescent="0.2">
      <c r="A272">
        <v>2019</v>
      </c>
      <c r="B272" s="3" t="str">
        <f t="shared" si="16"/>
        <v>5278</v>
      </c>
      <c r="C272" s="3" t="s">
        <v>278</v>
      </c>
      <c r="D272" s="13">
        <v>223550</v>
      </c>
      <c r="E272" s="13">
        <v>223550</v>
      </c>
      <c r="F272" s="3">
        <f t="shared" si="17"/>
        <v>4.998237660081221E-4</v>
      </c>
      <c r="G272" s="3">
        <f t="shared" si="18"/>
        <v>34046.178081083839</v>
      </c>
      <c r="H272" s="2">
        <f t="shared" si="19"/>
        <v>257596.17808108384</v>
      </c>
    </row>
    <row r="273" spans="1:8" x14ac:dyDescent="0.2">
      <c r="A273">
        <v>2019</v>
      </c>
      <c r="B273" s="3" t="str">
        <f t="shared" si="16"/>
        <v>5280</v>
      </c>
      <c r="C273" s="3" t="s">
        <v>279</v>
      </c>
      <c r="D273" s="13">
        <v>4645813</v>
      </c>
      <c r="E273" s="13">
        <v>4645813</v>
      </c>
      <c r="F273" s="3">
        <f t="shared" si="17"/>
        <v>1.0387330574052748E-2</v>
      </c>
      <c r="G273" s="3">
        <f t="shared" si="18"/>
        <v>707547.20075783657</v>
      </c>
      <c r="H273" s="2">
        <f t="shared" si="19"/>
        <v>5353360.2007578369</v>
      </c>
    </row>
    <row r="274" spans="1:8" x14ac:dyDescent="0.2">
      <c r="A274">
        <v>2019</v>
      </c>
      <c r="B274" s="3" t="str">
        <f t="shared" si="16"/>
        <v>5281</v>
      </c>
      <c r="C274" s="3" t="s">
        <v>280</v>
      </c>
      <c r="D274" s="13">
        <v>224958</v>
      </c>
      <c r="E274" s="13">
        <v>224958</v>
      </c>
      <c r="F274" s="3">
        <f t="shared" si="17"/>
        <v>5.0297183964954212E-4</v>
      </c>
      <c r="G274" s="3">
        <f t="shared" si="18"/>
        <v>34260.613414289684</v>
      </c>
      <c r="H274" s="2">
        <f t="shared" si="19"/>
        <v>259218.61341428969</v>
      </c>
    </row>
    <row r="275" spans="1:8" x14ac:dyDescent="0.2">
      <c r="A275">
        <v>2019</v>
      </c>
      <c r="B275" s="3" t="str">
        <f t="shared" si="16"/>
        <v>5283</v>
      </c>
      <c r="C275" s="3" t="s">
        <v>281</v>
      </c>
      <c r="D275" s="13">
        <v>459787</v>
      </c>
      <c r="E275" s="13">
        <v>459787</v>
      </c>
      <c r="F275" s="3">
        <f t="shared" si="17"/>
        <v>1.0280137325053744E-3</v>
      </c>
      <c r="G275" s="3">
        <f t="shared" si="18"/>
        <v>70024.558628348444</v>
      </c>
      <c r="H275" s="2">
        <f t="shared" si="19"/>
        <v>529811.5586283484</v>
      </c>
    </row>
    <row r="276" spans="1:8" x14ac:dyDescent="0.2">
      <c r="A276">
        <v>2019</v>
      </c>
      <c r="B276" s="3" t="str">
        <f t="shared" si="16"/>
        <v>5284</v>
      </c>
      <c r="C276" s="3" t="s">
        <v>282</v>
      </c>
      <c r="D276" s="13">
        <v>626262</v>
      </c>
      <c r="E276" s="13">
        <v>626262</v>
      </c>
      <c r="F276" s="3">
        <f t="shared" si="17"/>
        <v>1.4002264878003963E-3</v>
      </c>
      <c r="G276" s="3">
        <f t="shared" si="18"/>
        <v>95378.338525679836</v>
      </c>
      <c r="H276" s="2">
        <f t="shared" si="19"/>
        <v>721640.33852567989</v>
      </c>
    </row>
    <row r="277" spans="1:8" x14ac:dyDescent="0.2">
      <c r="A277">
        <v>2019</v>
      </c>
      <c r="B277" s="3" t="str">
        <f t="shared" si="16"/>
        <v>5285</v>
      </c>
      <c r="C277" s="3" t="s">
        <v>283</v>
      </c>
      <c r="D277" s="13">
        <v>356799</v>
      </c>
      <c r="E277" s="13">
        <v>356799</v>
      </c>
      <c r="F277" s="3">
        <f t="shared" si="17"/>
        <v>7.9774824373935122E-4</v>
      </c>
      <c r="G277" s="3">
        <f t="shared" si="18"/>
        <v>54339.710548658615</v>
      </c>
      <c r="H277" s="2">
        <f t="shared" si="19"/>
        <v>411138.71054865862</v>
      </c>
    </row>
    <row r="278" spans="1:8" x14ac:dyDescent="0.2">
      <c r="A278">
        <v>2019</v>
      </c>
      <c r="B278" s="3" t="str">
        <f t="shared" si="16"/>
        <v>5286</v>
      </c>
      <c r="C278" s="3" t="s">
        <v>284</v>
      </c>
      <c r="D278" s="13">
        <v>278757</v>
      </c>
      <c r="E278" s="13">
        <v>278757</v>
      </c>
      <c r="F278" s="3">
        <f t="shared" si="17"/>
        <v>6.232582131117249E-4</v>
      </c>
      <c r="G278" s="3">
        <f t="shared" si="18"/>
        <v>42454.083933566042</v>
      </c>
      <c r="H278" s="2">
        <f t="shared" si="19"/>
        <v>321211.08393356606</v>
      </c>
    </row>
    <row r="279" spans="1:8" x14ac:dyDescent="0.2">
      <c r="A279">
        <v>2019</v>
      </c>
      <c r="B279" s="3" t="str">
        <f t="shared" si="16"/>
        <v>5287</v>
      </c>
      <c r="C279" s="3" t="s">
        <v>285</v>
      </c>
      <c r="D279" s="13">
        <v>530189</v>
      </c>
      <c r="E279" s="13">
        <v>530189</v>
      </c>
      <c r="F279" s="3">
        <f t="shared" si="17"/>
        <v>1.1854218862718867E-3</v>
      </c>
      <c r="G279" s="3">
        <f t="shared" si="18"/>
        <v>80746.629884284324</v>
      </c>
      <c r="H279" s="2">
        <f t="shared" si="19"/>
        <v>610935.62988428434</v>
      </c>
    </row>
    <row r="280" spans="1:8" x14ac:dyDescent="0.2">
      <c r="A280">
        <v>2019</v>
      </c>
      <c r="B280" s="3" t="str">
        <f t="shared" si="16"/>
        <v>5288</v>
      </c>
      <c r="C280" s="3" t="s">
        <v>286</v>
      </c>
      <c r="D280" s="13">
        <v>301212</v>
      </c>
      <c r="E280" s="13">
        <v>301212</v>
      </c>
      <c r="F280" s="3">
        <f t="shared" si="17"/>
        <v>6.7346417448820614E-4</v>
      </c>
      <c r="G280" s="3">
        <f t="shared" si="18"/>
        <v>45873.931523862339</v>
      </c>
      <c r="H280" s="2">
        <f t="shared" si="19"/>
        <v>347085.93152386235</v>
      </c>
    </row>
    <row r="281" spans="1:8" x14ac:dyDescent="0.2">
      <c r="A281">
        <v>2019</v>
      </c>
      <c r="B281" s="3" t="str">
        <f t="shared" si="16"/>
        <v>5289</v>
      </c>
      <c r="C281" s="3" t="s">
        <v>287</v>
      </c>
      <c r="D281" s="13">
        <v>353446</v>
      </c>
      <c r="E281" s="13">
        <v>353446</v>
      </c>
      <c r="F281" s="3">
        <f t="shared" si="17"/>
        <v>7.9025144621116866E-4</v>
      </c>
      <c r="G281" s="3">
        <f t="shared" si="18"/>
        <v>53829.055951897833</v>
      </c>
      <c r="H281" s="2">
        <f t="shared" si="19"/>
        <v>407275.05595189781</v>
      </c>
    </row>
    <row r="282" spans="1:8" x14ac:dyDescent="0.2">
      <c r="A282">
        <v>2019</v>
      </c>
      <c r="B282" s="3" t="str">
        <f t="shared" si="16"/>
        <v>5291</v>
      </c>
      <c r="C282" s="3" t="s">
        <v>288</v>
      </c>
      <c r="D282" s="13">
        <v>548811</v>
      </c>
      <c r="E282" s="13">
        <v>548811</v>
      </c>
      <c r="F282" s="3">
        <f t="shared" si="17"/>
        <v>1.227057843196974E-3</v>
      </c>
      <c r="G282" s="3">
        <f t="shared" si="18"/>
        <v>83582.71992331784</v>
      </c>
      <c r="H282" s="2">
        <f t="shared" si="19"/>
        <v>632393.7199233179</v>
      </c>
    </row>
    <row r="283" spans="1:8" x14ac:dyDescent="0.2">
      <c r="A283">
        <v>2019</v>
      </c>
      <c r="B283" s="3" t="str">
        <f t="shared" si="16"/>
        <v>5292</v>
      </c>
      <c r="C283" s="3" t="s">
        <v>289</v>
      </c>
      <c r="D283" s="13">
        <v>1424044</v>
      </c>
      <c r="E283" s="13">
        <v>1424044</v>
      </c>
      <c r="F283" s="3">
        <f t="shared" si="17"/>
        <v>3.1839455828283174E-3</v>
      </c>
      <c r="G283" s="3">
        <f t="shared" si="18"/>
        <v>216878.7994600714</v>
      </c>
      <c r="H283" s="2">
        <f t="shared" si="19"/>
        <v>1640922.7994600714</v>
      </c>
    </row>
    <row r="284" spans="1:8" x14ac:dyDescent="0.2">
      <c r="A284">
        <v>2019</v>
      </c>
      <c r="B284" s="3" t="str">
        <f t="shared" si="16"/>
        <v>5293</v>
      </c>
      <c r="C284" s="3" t="s">
        <v>290</v>
      </c>
      <c r="D284" s="13">
        <v>350499</v>
      </c>
      <c r="E284" s="13">
        <v>350499</v>
      </c>
      <c r="F284" s="3">
        <f t="shared" si="17"/>
        <v>7.8366240287220225E-4</v>
      </c>
      <c r="G284" s="3">
        <f t="shared" si="18"/>
        <v>53380.234270819979</v>
      </c>
      <c r="H284" s="2">
        <f t="shared" si="19"/>
        <v>403879.23427081999</v>
      </c>
    </row>
    <row r="285" spans="1:8" x14ac:dyDescent="0.2">
      <c r="A285">
        <v>2019</v>
      </c>
      <c r="B285" s="3" t="str">
        <f t="shared" si="16"/>
        <v>5294</v>
      </c>
      <c r="C285" s="3" t="s">
        <v>291</v>
      </c>
      <c r="D285" s="13">
        <v>797526</v>
      </c>
      <c r="E285" s="13">
        <v>797526</v>
      </c>
      <c r="F285" s="3">
        <f t="shared" si="17"/>
        <v>1.7831467180022082E-3</v>
      </c>
      <c r="G285" s="3">
        <f t="shared" si="18"/>
        <v>121461.47269199049</v>
      </c>
      <c r="H285" s="2">
        <f t="shared" si="19"/>
        <v>918987.47269199044</v>
      </c>
    </row>
    <row r="286" spans="1:8" x14ac:dyDescent="0.2">
      <c r="A286">
        <v>2019</v>
      </c>
      <c r="B286" s="3" t="str">
        <f t="shared" si="16"/>
        <v>5295</v>
      </c>
      <c r="C286" s="3" t="s">
        <v>292</v>
      </c>
      <c r="D286" s="13">
        <v>255265</v>
      </c>
      <c r="E286" s="13">
        <v>255265</v>
      </c>
      <c r="F286" s="3">
        <f t="shared" si="17"/>
        <v>5.7073367761155576E-4</v>
      </c>
      <c r="G286" s="3">
        <f t="shared" si="18"/>
        <v>38876.303501981063</v>
      </c>
      <c r="H286" s="2">
        <f t="shared" si="19"/>
        <v>294141.30350198108</v>
      </c>
    </row>
    <row r="287" spans="1:8" x14ac:dyDescent="0.2">
      <c r="A287">
        <v>2019</v>
      </c>
      <c r="B287" s="3" t="str">
        <f t="shared" si="16"/>
        <v>5296</v>
      </c>
      <c r="C287" s="3" t="s">
        <v>293</v>
      </c>
      <c r="D287" s="13">
        <v>1191124</v>
      </c>
      <c r="E287" s="13">
        <v>1191124</v>
      </c>
      <c r="F287" s="3">
        <f t="shared" si="17"/>
        <v>2.6631719233400067E-3</v>
      </c>
      <c r="G287" s="3">
        <f t="shared" si="18"/>
        <v>181405.59078797992</v>
      </c>
      <c r="H287" s="2">
        <f t="shared" si="19"/>
        <v>1372529.59078798</v>
      </c>
    </row>
    <row r="288" spans="1:8" x14ac:dyDescent="0.2">
      <c r="A288">
        <v>2019</v>
      </c>
      <c r="B288" s="3" t="str">
        <f t="shared" si="16"/>
        <v>5297</v>
      </c>
      <c r="C288" s="3" t="s">
        <v>294</v>
      </c>
      <c r="D288" s="13">
        <v>614279</v>
      </c>
      <c r="E288" s="13">
        <v>614279</v>
      </c>
      <c r="F288" s="3">
        <f t="shared" si="17"/>
        <v>1.3734343241319762E-3</v>
      </c>
      <c r="G288" s="3">
        <f t="shared" si="18"/>
        <v>93553.353726101996</v>
      </c>
      <c r="H288" s="2">
        <f t="shared" si="19"/>
        <v>707832.35372610204</v>
      </c>
    </row>
    <row r="289" spans="1:8" x14ac:dyDescent="0.2">
      <c r="A289">
        <v>2019</v>
      </c>
      <c r="B289" s="3" t="str">
        <f t="shared" si="16"/>
        <v>5298</v>
      </c>
      <c r="C289" s="3" t="s">
        <v>295</v>
      </c>
      <c r="D289" s="13">
        <v>77688</v>
      </c>
      <c r="E289" s="13">
        <v>77688</v>
      </c>
      <c r="F289" s="3">
        <f t="shared" si="17"/>
        <v>1.7369854052175796E-4</v>
      </c>
      <c r="G289" s="3">
        <f t="shared" si="18"/>
        <v>11831.713186147355</v>
      </c>
      <c r="H289" s="2">
        <f t="shared" si="19"/>
        <v>89519.713186147361</v>
      </c>
    </row>
    <row r="290" spans="1:8" x14ac:dyDescent="0.2">
      <c r="A290">
        <v>2019</v>
      </c>
      <c r="B290" s="3" t="str">
        <f t="shared" si="16"/>
        <v>5299</v>
      </c>
      <c r="C290" s="3" t="s">
        <v>296</v>
      </c>
      <c r="D290" s="13">
        <v>164646</v>
      </c>
      <c r="E290" s="13">
        <v>164646</v>
      </c>
      <c r="F290" s="3">
        <f t="shared" si="17"/>
        <v>3.6812338974803526E-4</v>
      </c>
      <c r="G290" s="3">
        <f t="shared" si="18"/>
        <v>25075.227181114427</v>
      </c>
      <c r="H290" s="2">
        <f t="shared" si="19"/>
        <v>189721.22718111443</v>
      </c>
    </row>
    <row r="291" spans="1:8" x14ac:dyDescent="0.2">
      <c r="A291">
        <v>2019</v>
      </c>
      <c r="B291" s="3" t="str">
        <f t="shared" si="16"/>
        <v>5300</v>
      </c>
      <c r="C291" s="3" t="s">
        <v>297</v>
      </c>
      <c r="D291" s="13">
        <v>569246</v>
      </c>
      <c r="E291" s="13">
        <v>569246</v>
      </c>
      <c r="F291" s="3">
        <f t="shared" si="17"/>
        <v>1.2727473921049408E-3</v>
      </c>
      <c r="G291" s="3">
        <f t="shared" si="18"/>
        <v>86694.925913418265</v>
      </c>
      <c r="H291" s="2">
        <f t="shared" si="19"/>
        <v>655940.92591341829</v>
      </c>
    </row>
    <row r="292" spans="1:8" x14ac:dyDescent="0.2">
      <c r="A292">
        <v>2019</v>
      </c>
      <c r="B292" s="3" t="str">
        <f t="shared" si="16"/>
        <v>5302</v>
      </c>
      <c r="C292" s="3" t="s">
        <v>298</v>
      </c>
      <c r="D292" s="13">
        <v>3256602</v>
      </c>
      <c r="E292" s="13">
        <v>3256602</v>
      </c>
      <c r="F292" s="3">
        <f t="shared" si="17"/>
        <v>7.2812662761332254E-3</v>
      </c>
      <c r="G292" s="3">
        <f t="shared" si="18"/>
        <v>495973.3913272816</v>
      </c>
      <c r="H292" s="2">
        <f t="shared" si="19"/>
        <v>3752575.3913272815</v>
      </c>
    </row>
    <row r="293" spans="1:8" x14ac:dyDescent="0.2">
      <c r="A293">
        <v>2019</v>
      </c>
      <c r="B293" s="3" t="str">
        <f t="shared" si="16"/>
        <v>5303</v>
      </c>
      <c r="C293" s="3" t="s">
        <v>345</v>
      </c>
      <c r="D293" s="13">
        <v>1596862</v>
      </c>
      <c r="E293" s="13">
        <v>1596862</v>
      </c>
      <c r="F293" s="3">
        <f t="shared" si="17"/>
        <v>3.5703403204440259E-3</v>
      </c>
      <c r="G293" s="3">
        <f t="shared" si="18"/>
        <v>243198.60444158223</v>
      </c>
      <c r="H293" s="2">
        <f t="shared" si="19"/>
        <v>1840060.6044415822</v>
      </c>
    </row>
    <row r="294" spans="1:8" x14ac:dyDescent="0.2">
      <c r="A294">
        <v>2019</v>
      </c>
      <c r="B294" s="3" t="str">
        <f t="shared" si="16"/>
        <v>5304</v>
      </c>
      <c r="C294" s="3" t="s">
        <v>300</v>
      </c>
      <c r="D294" s="13">
        <v>1252607</v>
      </c>
      <c r="E294" s="13">
        <v>1252607</v>
      </c>
      <c r="F294" s="3">
        <f t="shared" si="17"/>
        <v>2.800638550964598E-3</v>
      </c>
      <c r="G294" s="3">
        <f t="shared" si="18"/>
        <v>190769.31777057567</v>
      </c>
      <c r="H294" s="2">
        <f t="shared" si="19"/>
        <v>1443376.3177705756</v>
      </c>
    </row>
    <row r="295" spans="1:8" x14ac:dyDescent="0.2">
      <c r="A295">
        <v>2019</v>
      </c>
      <c r="B295" s="3" t="str">
        <f t="shared" si="16"/>
        <v>5305</v>
      </c>
      <c r="C295" s="3" t="s">
        <v>301</v>
      </c>
      <c r="D295" s="13">
        <v>272985</v>
      </c>
      <c r="E295" s="13">
        <v>272985</v>
      </c>
      <c r="F295" s="3">
        <f t="shared" si="17"/>
        <v>6.103528998601084E-4</v>
      </c>
      <c r="G295" s="3">
        <f t="shared" si="18"/>
        <v>41575.020905679594</v>
      </c>
      <c r="H295" s="2">
        <f t="shared" si="19"/>
        <v>314560.02090567962</v>
      </c>
    </row>
    <row r="296" spans="1:8" x14ac:dyDescent="0.2">
      <c r="A296">
        <v>2019</v>
      </c>
      <c r="B296" s="3" t="str">
        <f t="shared" si="16"/>
        <v>5306</v>
      </c>
      <c r="C296" s="3" t="s">
        <v>302</v>
      </c>
      <c r="D296" s="13">
        <v>1071526</v>
      </c>
      <c r="E296" s="13">
        <v>1071526</v>
      </c>
      <c r="F296" s="3">
        <f t="shared" si="17"/>
        <v>2.395769003335357E-3</v>
      </c>
      <c r="G296" s="3">
        <f t="shared" si="18"/>
        <v>163191.0758868774</v>
      </c>
      <c r="H296" s="2">
        <f t="shared" si="19"/>
        <v>1234717.0758868775</v>
      </c>
    </row>
    <row r="297" spans="1:8" x14ac:dyDescent="0.2">
      <c r="A297">
        <v>2019</v>
      </c>
      <c r="B297" s="3" t="str">
        <f t="shared" si="16"/>
        <v>5307</v>
      </c>
      <c r="C297" s="3" t="s">
        <v>303</v>
      </c>
      <c r="D297" s="13">
        <v>163936</v>
      </c>
      <c r="E297" s="13">
        <v>163936</v>
      </c>
      <c r="F297" s="3">
        <f t="shared" si="17"/>
        <v>3.6653593784078515E-4</v>
      </c>
      <c r="G297" s="3">
        <f t="shared" si="18"/>
        <v>24967.095727580232</v>
      </c>
      <c r="H297" s="2">
        <f t="shared" si="19"/>
        <v>188903.09572758022</v>
      </c>
    </row>
    <row r="298" spans="1:8" x14ac:dyDescent="0.2">
      <c r="A298">
        <v>2019</v>
      </c>
      <c r="B298" s="3" t="str">
        <f t="shared" si="16"/>
        <v>5308</v>
      </c>
      <c r="C298" s="3" t="s">
        <v>304</v>
      </c>
      <c r="D298" s="13">
        <v>10253035</v>
      </c>
      <c r="E298" s="13">
        <v>10253035</v>
      </c>
      <c r="F298" s="3">
        <f t="shared" si="17"/>
        <v>2.2924225304017387E-2</v>
      </c>
      <c r="G298" s="3">
        <f t="shared" si="18"/>
        <v>1561514.8981506843</v>
      </c>
      <c r="H298" s="2">
        <f t="shared" si="19"/>
        <v>11814549.898150684</v>
      </c>
    </row>
    <row r="299" spans="1:8" x14ac:dyDescent="0.2">
      <c r="A299">
        <v>2019</v>
      </c>
      <c r="B299" s="3" t="str">
        <f t="shared" si="16"/>
        <v>5309</v>
      </c>
      <c r="C299" s="3" t="s">
        <v>305</v>
      </c>
      <c r="D299" s="13">
        <v>691684</v>
      </c>
      <c r="E299" s="13">
        <v>691684</v>
      </c>
      <c r="F299" s="3">
        <f t="shared" si="17"/>
        <v>1.5465001197385907E-3</v>
      </c>
      <c r="G299" s="3">
        <f t="shared" si="18"/>
        <v>105341.96662865755</v>
      </c>
      <c r="H299" s="2">
        <f t="shared" si="19"/>
        <v>797025.96662865754</v>
      </c>
    </row>
    <row r="300" spans="1:8" x14ac:dyDescent="0.2">
      <c r="A300">
        <v>2019</v>
      </c>
      <c r="B300" s="3" t="str">
        <f t="shared" si="16"/>
        <v>5310</v>
      </c>
      <c r="C300" s="3" t="s">
        <v>306</v>
      </c>
      <c r="D300" s="13">
        <v>98790</v>
      </c>
      <c r="E300" s="13">
        <v>98790</v>
      </c>
      <c r="F300" s="3">
        <f t="shared" si="17"/>
        <v>2.2087939988343721E-4</v>
      </c>
      <c r="G300" s="3">
        <f t="shared" si="18"/>
        <v>15045.501823441165</v>
      </c>
      <c r="H300" s="2">
        <f t="shared" si="19"/>
        <v>113835.50182344117</v>
      </c>
    </row>
    <row r="301" spans="1:8" x14ac:dyDescent="0.2">
      <c r="A301">
        <v>2019</v>
      </c>
      <c r="B301" s="3" t="str">
        <f t="shared" si="16"/>
        <v>5312</v>
      </c>
      <c r="C301" s="3" t="s">
        <v>307</v>
      </c>
      <c r="D301" s="13">
        <v>3643643</v>
      </c>
      <c r="E301" s="13">
        <v>3643643</v>
      </c>
      <c r="F301" s="3">
        <f t="shared" si="17"/>
        <v>8.1466310277304062E-3</v>
      </c>
      <c r="G301" s="3">
        <f t="shared" si="18"/>
        <v>554918.89260520949</v>
      </c>
      <c r="H301" s="2">
        <f t="shared" si="19"/>
        <v>4198561.8926052097</v>
      </c>
    </row>
    <row r="302" spans="1:8" x14ac:dyDescent="0.2">
      <c r="A302">
        <v>2019</v>
      </c>
      <c r="B302" s="3" t="str">
        <f t="shared" si="16"/>
        <v>5313</v>
      </c>
      <c r="C302" s="3" t="s">
        <v>308</v>
      </c>
      <c r="D302" s="13">
        <v>285724</v>
      </c>
      <c r="E302" s="13">
        <v>285724</v>
      </c>
      <c r="F302" s="3">
        <f t="shared" si="17"/>
        <v>6.3883536443258646E-4</v>
      </c>
      <c r="G302" s="3">
        <f t="shared" si="18"/>
        <v>43515.142858598076</v>
      </c>
      <c r="H302" s="2">
        <f t="shared" si="19"/>
        <v>329239.14285859809</v>
      </c>
    </row>
    <row r="303" spans="1:8" x14ac:dyDescent="0.2">
      <c r="A303">
        <v>2019</v>
      </c>
      <c r="B303" s="3" t="str">
        <f t="shared" si="16"/>
        <v>5314</v>
      </c>
      <c r="C303" s="3" t="s">
        <v>309</v>
      </c>
      <c r="D303" s="13">
        <v>14879741</v>
      </c>
      <c r="E303" s="13">
        <v>14879741</v>
      </c>
      <c r="F303" s="3">
        <f t="shared" si="17"/>
        <v>3.3268835534983054E-2</v>
      </c>
      <c r="G303" s="3">
        <f t="shared" si="18"/>
        <v>2266152.144425876</v>
      </c>
      <c r="H303" s="2">
        <f t="shared" si="19"/>
        <v>17145893.144425876</v>
      </c>
    </row>
    <row r="304" spans="1:8" x14ac:dyDescent="0.2">
      <c r="A304">
        <v>2019</v>
      </c>
      <c r="B304" s="3" t="str">
        <f t="shared" si="16"/>
        <v>5316</v>
      </c>
      <c r="C304" s="3" t="s">
        <v>310</v>
      </c>
      <c r="D304" s="13">
        <v>337512</v>
      </c>
      <c r="E304" s="13">
        <v>337512</v>
      </c>
      <c r="F304" s="3">
        <f t="shared" si="17"/>
        <v>7.5462544805606499E-4</v>
      </c>
      <c r="G304" s="3">
        <f t="shared" si="18"/>
        <v>51402.342458075465</v>
      </c>
      <c r="H304" s="2">
        <f t="shared" si="19"/>
        <v>388914.34245807549</v>
      </c>
    </row>
    <row r="305" spans="1:8" x14ac:dyDescent="0.2">
      <c r="A305">
        <v>2019</v>
      </c>
      <c r="B305" s="3" t="str">
        <f t="shared" si="16"/>
        <v>5317</v>
      </c>
      <c r="C305" s="3" t="s">
        <v>311</v>
      </c>
      <c r="D305" s="13">
        <v>451147</v>
      </c>
      <c r="E305" s="13">
        <v>451147</v>
      </c>
      <c r="F305" s="3">
        <f t="shared" si="17"/>
        <v>1.0086960078875701E-3</v>
      </c>
      <c r="G305" s="3">
        <f t="shared" si="18"/>
        <v>68708.705447312605</v>
      </c>
      <c r="H305" s="2">
        <f t="shared" si="19"/>
        <v>519855.70544731262</v>
      </c>
    </row>
    <row r="306" spans="1:8" x14ac:dyDescent="0.2">
      <c r="A306">
        <v>2019</v>
      </c>
      <c r="B306" s="3" t="str">
        <f t="shared" si="16"/>
        <v>5318</v>
      </c>
      <c r="C306" s="3" t="s">
        <v>312</v>
      </c>
      <c r="D306" s="13">
        <v>495291</v>
      </c>
      <c r="E306" s="13">
        <v>495291</v>
      </c>
      <c r="F306" s="3">
        <f t="shared" si="17"/>
        <v>1.1073952712589079E-3</v>
      </c>
      <c r="G306" s="3">
        <f t="shared" si="18"/>
        <v>75431.740496345781</v>
      </c>
      <c r="H306" s="2">
        <f t="shared" si="19"/>
        <v>570722.7404963458</v>
      </c>
    </row>
    <row r="307" spans="1:8" x14ac:dyDescent="0.2">
      <c r="A307">
        <v>2019</v>
      </c>
      <c r="B307" s="3" t="str">
        <f t="shared" si="16"/>
        <v>5319</v>
      </c>
      <c r="C307" s="3" t="s">
        <v>313</v>
      </c>
      <c r="D307" s="13">
        <v>727325</v>
      </c>
      <c r="E307" s="13">
        <v>727325</v>
      </c>
      <c r="F307" s="3">
        <f t="shared" si="17"/>
        <v>1.6261879696347907E-3</v>
      </c>
      <c r="G307" s="3">
        <f t="shared" si="18"/>
        <v>110770.01329825232</v>
      </c>
      <c r="H307" s="2">
        <f t="shared" si="19"/>
        <v>838095.01329825236</v>
      </c>
    </row>
    <row r="308" spans="1:8" x14ac:dyDescent="0.2">
      <c r="A308">
        <v>2019</v>
      </c>
      <c r="B308" s="3" t="str">
        <f t="shared" si="16"/>
        <v>5320</v>
      </c>
      <c r="C308" s="3" t="s">
        <v>314</v>
      </c>
      <c r="D308" s="13">
        <v>213131</v>
      </c>
      <c r="E308" s="13">
        <v>213131</v>
      </c>
      <c r="F308" s="3">
        <f t="shared" si="17"/>
        <v>4.7652846823116563E-4</v>
      </c>
      <c r="G308" s="3">
        <f t="shared" si="18"/>
        <v>32459.387074924984</v>
      </c>
      <c r="H308" s="2">
        <f t="shared" si="19"/>
        <v>245590.38707492498</v>
      </c>
    </row>
    <row r="309" spans="1:8" x14ac:dyDescent="0.2">
      <c r="A309">
        <v>2019</v>
      </c>
      <c r="B309" s="3" t="str">
        <f t="shared" si="16"/>
        <v>5321</v>
      </c>
      <c r="C309" s="3" t="s">
        <v>315</v>
      </c>
      <c r="D309" s="13">
        <v>397394</v>
      </c>
      <c r="E309" s="13">
        <v>397394</v>
      </c>
      <c r="F309" s="3">
        <f t="shared" si="17"/>
        <v>8.8851248342219501E-4</v>
      </c>
      <c r="G309" s="3">
        <f t="shared" si="18"/>
        <v>60522.240627842686</v>
      </c>
      <c r="H309" s="2">
        <f t="shared" si="19"/>
        <v>457916.24062784266</v>
      </c>
    </row>
    <row r="310" spans="1:8" x14ac:dyDescent="0.2">
      <c r="A310">
        <v>2019</v>
      </c>
      <c r="B310" s="3" t="str">
        <f t="shared" si="16"/>
        <v>5322</v>
      </c>
      <c r="C310" s="3" t="s">
        <v>316</v>
      </c>
      <c r="D310" s="13">
        <v>441307</v>
      </c>
      <c r="E310" s="13">
        <v>441307</v>
      </c>
      <c r="F310" s="3">
        <f t="shared" si="17"/>
        <v>9.8669526596173733E-4</v>
      </c>
      <c r="G310" s="3">
        <f t="shared" si="18"/>
        <v>67210.094880021774</v>
      </c>
      <c r="H310" s="2">
        <f t="shared" si="19"/>
        <v>508517.09488002176</v>
      </c>
    </row>
    <row r="311" spans="1:8" x14ac:dyDescent="0.2">
      <c r="A311">
        <v>2019</v>
      </c>
      <c r="B311" s="3" t="str">
        <f t="shared" si="16"/>
        <v>5324</v>
      </c>
      <c r="C311" s="3" t="s">
        <v>317</v>
      </c>
      <c r="D311" s="13">
        <v>24799404</v>
      </c>
      <c r="E311" s="13">
        <v>24799404</v>
      </c>
      <c r="F311" s="3">
        <f t="shared" si="17"/>
        <v>5.5447691800657076E-2</v>
      </c>
      <c r="G311" s="3">
        <f t="shared" si="18"/>
        <v>3776895.2131010648</v>
      </c>
      <c r="H311" s="2">
        <f t="shared" si="19"/>
        <v>28576299.213101067</v>
      </c>
    </row>
    <row r="312" spans="1:8" x14ac:dyDescent="0.2">
      <c r="A312">
        <v>2019</v>
      </c>
      <c r="B312" s="3" t="str">
        <f t="shared" si="16"/>
        <v>5329</v>
      </c>
      <c r="C312" s="3" t="s">
        <v>318</v>
      </c>
      <c r="D312" s="13">
        <v>200212</v>
      </c>
      <c r="E312" s="13">
        <v>200212</v>
      </c>
      <c r="F312" s="3">
        <f t="shared" si="17"/>
        <v>4.4764355106248336E-4</v>
      </c>
      <c r="G312" s="3">
        <f t="shared" si="18"/>
        <v>30491.851514068254</v>
      </c>
      <c r="H312" s="2">
        <f t="shared" si="19"/>
        <v>230703.85151406826</v>
      </c>
    </row>
    <row r="313" spans="1:8" x14ac:dyDescent="0.2">
      <c r="A313">
        <v>2019</v>
      </c>
      <c r="B313" s="3" t="str">
        <f t="shared" si="16"/>
        <v>5330</v>
      </c>
      <c r="C313" s="3" t="s">
        <v>319</v>
      </c>
      <c r="D313" s="13">
        <v>1009826</v>
      </c>
      <c r="E313" s="13">
        <v>1009826</v>
      </c>
      <c r="F313" s="3">
        <f t="shared" si="17"/>
        <v>2.2578171967475641E-3</v>
      </c>
      <c r="G313" s="3">
        <f t="shared" si="18"/>
        <v>153794.30027693388</v>
      </c>
      <c r="H313" s="2">
        <f t="shared" si="19"/>
        <v>1163620.3002769339</v>
      </c>
    </row>
    <row r="314" spans="1:8" x14ac:dyDescent="0.2">
      <c r="A314">
        <v>2019</v>
      </c>
      <c r="B314" s="3" t="str">
        <f t="shared" si="16"/>
        <v>5331</v>
      </c>
      <c r="C314" s="3" t="s">
        <v>320</v>
      </c>
      <c r="D314" s="13">
        <v>1230883</v>
      </c>
      <c r="E314" s="13">
        <v>1230883</v>
      </c>
      <c r="F314" s="3">
        <f t="shared" si="17"/>
        <v>2.7520669942982575E-3</v>
      </c>
      <c r="G314" s="3">
        <f t="shared" si="18"/>
        <v>187460.79988807303</v>
      </c>
      <c r="H314" s="2">
        <f t="shared" si="19"/>
        <v>1418343.799888073</v>
      </c>
    </row>
    <row r="315" spans="1:8" x14ac:dyDescent="0.2">
      <c r="A315">
        <v>2019</v>
      </c>
      <c r="B315" s="3" t="str">
        <f t="shared" si="16"/>
        <v>5332</v>
      </c>
      <c r="C315" s="3" t="s">
        <v>321</v>
      </c>
      <c r="D315" s="13">
        <v>1235262</v>
      </c>
      <c r="E315" s="13">
        <v>1235262</v>
      </c>
      <c r="F315" s="3">
        <f t="shared" si="17"/>
        <v>2.7618577716248044E-3</v>
      </c>
      <c r="G315" s="3">
        <f t="shared" si="18"/>
        <v>188127.71205008181</v>
      </c>
      <c r="H315" s="2">
        <f t="shared" si="19"/>
        <v>1423389.7120500817</v>
      </c>
    </row>
    <row r="316" spans="1:8" x14ac:dyDescent="0.2">
      <c r="A316">
        <v>2019</v>
      </c>
      <c r="B316" s="3" t="str">
        <f t="shared" si="16"/>
        <v>5333</v>
      </c>
      <c r="C316" s="3" t="s">
        <v>322</v>
      </c>
      <c r="D316" s="13">
        <v>382052</v>
      </c>
      <c r="E316" s="13">
        <v>382052</v>
      </c>
      <c r="F316" s="3">
        <f t="shared" si="17"/>
        <v>8.5421010713905207E-4</v>
      </c>
      <c r="G316" s="3">
        <f t="shared" si="18"/>
        <v>58185.687444572774</v>
      </c>
      <c r="H316" s="2">
        <f t="shared" si="19"/>
        <v>440237.6874445728</v>
      </c>
    </row>
    <row r="317" spans="1:8" x14ac:dyDescent="0.2">
      <c r="A317">
        <v>2019</v>
      </c>
      <c r="B317" s="3" t="str">
        <f t="shared" si="16"/>
        <v>5337</v>
      </c>
      <c r="C317" s="3" t="s">
        <v>323</v>
      </c>
      <c r="D317" s="13">
        <v>1747127</v>
      </c>
      <c r="E317" s="13">
        <v>1747127</v>
      </c>
      <c r="F317" s="3">
        <f t="shared" si="17"/>
        <v>3.9063099836030976E-3</v>
      </c>
      <c r="G317" s="3">
        <f t="shared" si="18"/>
        <v>266083.63664625259</v>
      </c>
      <c r="H317" s="2">
        <f t="shared" si="19"/>
        <v>2013210.6366462526</v>
      </c>
    </row>
    <row r="318" spans="1:8" x14ac:dyDescent="0.2">
      <c r="A318">
        <v>2019</v>
      </c>
      <c r="B318" s="3" t="str">
        <f t="shared" si="16"/>
        <v>5366</v>
      </c>
      <c r="C318" s="3" t="s">
        <v>324</v>
      </c>
      <c r="D318" s="13">
        <v>812479</v>
      </c>
      <c r="E318" s="13">
        <v>812479</v>
      </c>
      <c r="F318" s="3">
        <f t="shared" si="17"/>
        <v>1.8165793495079985E-3</v>
      </c>
      <c r="G318" s="3">
        <f t="shared" si="18"/>
        <v>123738.78202254939</v>
      </c>
      <c r="H318" s="2">
        <f t="shared" si="19"/>
        <v>936217.78202254942</v>
      </c>
    </row>
    <row r="319" spans="1:8" x14ac:dyDescent="0.2">
      <c r="A319">
        <v>2019</v>
      </c>
      <c r="B319" s="3" t="str">
        <f t="shared" si="16"/>
        <v>5367</v>
      </c>
      <c r="C319" s="3" t="s">
        <v>325</v>
      </c>
      <c r="D319" s="13">
        <v>330568</v>
      </c>
      <c r="E319" s="13">
        <v>330568</v>
      </c>
      <c r="F319" s="3">
        <f t="shared" si="17"/>
        <v>7.3909972123360735E-4</v>
      </c>
      <c r="G319" s="3">
        <f t="shared" si="18"/>
        <v>50344.786382946651</v>
      </c>
      <c r="H319" s="2">
        <f t="shared" si="19"/>
        <v>380912.78638294665</v>
      </c>
    </row>
    <row r="320" spans="1:8" x14ac:dyDescent="0.2">
      <c r="A320">
        <v>2019</v>
      </c>
      <c r="B320" s="3" t="str">
        <f t="shared" si="16"/>
        <v>5368</v>
      </c>
      <c r="C320" s="3" t="s">
        <v>326</v>
      </c>
      <c r="D320" s="13">
        <v>419072</v>
      </c>
      <c r="E320" s="13">
        <v>419072</v>
      </c>
      <c r="F320" s="3">
        <f t="shared" si="17"/>
        <v>9.3698119109172787E-4</v>
      </c>
      <c r="G320" s="3">
        <f t="shared" si="18"/>
        <v>63823.752810538885</v>
      </c>
      <c r="H320" s="2">
        <f t="shared" si="19"/>
        <v>482895.75281053886</v>
      </c>
    </row>
    <row r="321" spans="1:8" x14ac:dyDescent="0.2">
      <c r="A321">
        <v>2019</v>
      </c>
      <c r="B321" s="3" t="str">
        <f t="shared" si="16"/>
        <v>5405</v>
      </c>
      <c r="C321" s="3" t="s">
        <v>327</v>
      </c>
      <c r="D321" s="13">
        <v>169571</v>
      </c>
      <c r="E321" s="13">
        <v>169571</v>
      </c>
      <c r="F321" s="3">
        <f t="shared" si="17"/>
        <v>3.7913493994973512E-4</v>
      </c>
      <c r="G321" s="3">
        <f t="shared" si="18"/>
        <v>25825.293953869237</v>
      </c>
      <c r="H321" s="2">
        <f t="shared" si="19"/>
        <v>195396.29395386923</v>
      </c>
    </row>
    <row r="322" spans="1:8" x14ac:dyDescent="0.2">
      <c r="A322">
        <v>2019</v>
      </c>
      <c r="B322" s="3" t="str">
        <f t="shared" si="16"/>
        <v>5409</v>
      </c>
      <c r="C322" s="3" t="s">
        <v>328</v>
      </c>
      <c r="D322" s="13">
        <v>217757</v>
      </c>
      <c r="E322" s="13">
        <v>217757</v>
      </c>
      <c r="F322" s="3">
        <f t="shared" si="17"/>
        <v>4.8687149995361512E-4</v>
      </c>
      <c r="G322" s="3">
        <f t="shared" si="18"/>
        <v>33163.916798937928</v>
      </c>
      <c r="H322" s="2">
        <f t="shared" si="19"/>
        <v>250920.91679893792</v>
      </c>
    </row>
    <row r="323" spans="1:8" x14ac:dyDescent="0.2">
      <c r="A323">
        <v>2019</v>
      </c>
      <c r="B323" s="3" t="str">
        <f t="shared" ref="B323:B338" si="20">LEFT(C323,4)</f>
        <v>5410</v>
      </c>
      <c r="C323" s="3" t="s">
        <v>329</v>
      </c>
      <c r="D323" s="13">
        <v>194252</v>
      </c>
      <c r="E323" s="13">
        <v>194252</v>
      </c>
      <c r="F323" s="3">
        <f t="shared" ref="F323:F338" si="21">E323/$D$340</f>
        <v>4.34317898432609E-4</v>
      </c>
      <c r="G323" s="3">
        <f t="shared" ref="G323:G338" si="22">F323*$D$341</f>
        <v>29584.156495668522</v>
      </c>
      <c r="H323" s="2">
        <f t="shared" ref="H323:H338" si="23">SUM(G323,D323)</f>
        <v>223836.15649566852</v>
      </c>
    </row>
    <row r="324" spans="1:8" x14ac:dyDescent="0.2">
      <c r="A324">
        <v>2019</v>
      </c>
      <c r="B324" s="3" t="str">
        <f t="shared" si="20"/>
        <v>5430</v>
      </c>
      <c r="C324" s="3" t="s">
        <v>330</v>
      </c>
      <c r="D324" s="13">
        <v>24358219</v>
      </c>
      <c r="E324" s="13">
        <v>24358219</v>
      </c>
      <c r="F324" s="3">
        <f t="shared" si="21"/>
        <v>5.4461269308121653E-2</v>
      </c>
      <c r="G324" s="3">
        <f t="shared" si="22"/>
        <v>3709703.6985553121</v>
      </c>
      <c r="H324" s="2">
        <f t="shared" si="23"/>
        <v>28067922.698555313</v>
      </c>
    </row>
    <row r="325" spans="1:8" x14ac:dyDescent="0.2">
      <c r="A325">
        <v>2019</v>
      </c>
      <c r="B325" s="3" t="str">
        <f t="shared" si="20"/>
        <v>5436</v>
      </c>
      <c r="C325" s="3" t="s">
        <v>331</v>
      </c>
      <c r="D325" s="13">
        <v>577925</v>
      </c>
      <c r="E325" s="13">
        <v>577925</v>
      </c>
      <c r="F325" s="3">
        <f t="shared" si="21"/>
        <v>1.292152314785256E-3</v>
      </c>
      <c r="G325" s="3">
        <f t="shared" si="22"/>
        <v>88016.71870950739</v>
      </c>
      <c r="H325" s="2">
        <f t="shared" si="23"/>
        <v>665941.71870950738</v>
      </c>
    </row>
    <row r="326" spans="1:8" x14ac:dyDescent="0.2">
      <c r="A326">
        <v>2019</v>
      </c>
      <c r="B326" s="3" t="str">
        <f t="shared" si="20"/>
        <v>5590</v>
      </c>
      <c r="C326" s="3" t="s">
        <v>332</v>
      </c>
      <c r="D326" s="13">
        <v>132559</v>
      </c>
      <c r="E326" s="13">
        <v>132559</v>
      </c>
      <c r="F326" s="3">
        <f t="shared" si="21"/>
        <v>2.9638174277911281E-4</v>
      </c>
      <c r="G326" s="3">
        <f t="shared" si="22"/>
        <v>20188.446970478162</v>
      </c>
      <c r="H326" s="2">
        <f t="shared" si="23"/>
        <v>152747.44697047817</v>
      </c>
    </row>
    <row r="327" spans="1:8" x14ac:dyDescent="0.2">
      <c r="A327">
        <v>2019</v>
      </c>
      <c r="B327" s="3" t="str">
        <f t="shared" si="20"/>
        <v>5696</v>
      </c>
      <c r="C327" s="3" t="s">
        <v>333</v>
      </c>
      <c r="D327" s="13">
        <v>230846</v>
      </c>
      <c r="E327" s="13">
        <v>230846</v>
      </c>
      <c r="F327" s="3">
        <f t="shared" si="21"/>
        <v>5.1613651124093472E-4</v>
      </c>
      <c r="G327" s="3">
        <f t="shared" si="22"/>
        <v>35157.342989514116</v>
      </c>
      <c r="H327" s="2">
        <f t="shared" si="23"/>
        <v>266003.34298951412</v>
      </c>
    </row>
    <row r="328" spans="1:8" x14ac:dyDescent="0.2">
      <c r="A328">
        <v>2019</v>
      </c>
      <c r="B328" s="3" t="str">
        <f t="shared" si="20"/>
        <v>9291</v>
      </c>
      <c r="C328" s="3" t="s">
        <v>334</v>
      </c>
      <c r="D328" s="13">
        <v>304225</v>
      </c>
      <c r="E328" s="13">
        <v>304225</v>
      </c>
      <c r="F328" s="3">
        <f t="shared" si="21"/>
        <v>6.8020078377911415E-4</v>
      </c>
      <c r="G328" s="3">
        <f t="shared" si="22"/>
        <v>46332.804861184217</v>
      </c>
      <c r="H328" s="2">
        <f t="shared" si="23"/>
        <v>350557.80486118421</v>
      </c>
    </row>
    <row r="329" spans="1:8" x14ac:dyDescent="0.2">
      <c r="A329">
        <v>2019</v>
      </c>
      <c r="B329" s="3" t="str">
        <f t="shared" si="20"/>
        <v>9302</v>
      </c>
      <c r="C329" s="3" t="s">
        <v>335</v>
      </c>
      <c r="D329" s="13">
        <v>169220</v>
      </c>
      <c r="E329" s="13">
        <v>169220</v>
      </c>
      <c r="F329" s="3">
        <f t="shared" si="21"/>
        <v>3.7835015738713681E-4</v>
      </c>
      <c r="G329" s="3">
        <f t="shared" si="22"/>
        <v>25771.837418389656</v>
      </c>
      <c r="H329" s="2">
        <f t="shared" si="23"/>
        <v>194991.83741838965</v>
      </c>
    </row>
    <row r="330" spans="1:8" x14ac:dyDescent="0.2">
      <c r="A330">
        <v>2019</v>
      </c>
      <c r="B330" s="3" t="str">
        <f t="shared" si="20"/>
        <v>9332</v>
      </c>
      <c r="C330" s="3" t="s">
        <v>336</v>
      </c>
      <c r="D330" s="13">
        <v>282633</v>
      </c>
      <c r="E330" s="13">
        <v>282633</v>
      </c>
      <c r="F330" s="3">
        <f t="shared" si="21"/>
        <v>6.3192435901665664E-4</v>
      </c>
      <c r="G330" s="3">
        <f t="shared" si="22"/>
        <v>43044.390291169628</v>
      </c>
      <c r="H330" s="2">
        <f t="shared" si="23"/>
        <v>325677.39029116964</v>
      </c>
    </row>
    <row r="331" spans="1:8" x14ac:dyDescent="0.2">
      <c r="A331">
        <v>2019</v>
      </c>
      <c r="B331" s="3" t="str">
        <f t="shared" si="20"/>
        <v>9333</v>
      </c>
      <c r="C331" s="3" t="s">
        <v>337</v>
      </c>
      <c r="D331" s="13">
        <v>304068</v>
      </c>
      <c r="E331" s="13">
        <v>304068</v>
      </c>
      <c r="F331" s="3">
        <f t="shared" si="21"/>
        <v>6.798497556813137E-4</v>
      </c>
      <c r="G331" s="3">
        <f t="shared" si="22"/>
        <v>46308.894103149185</v>
      </c>
      <c r="H331" s="2">
        <f t="shared" si="23"/>
        <v>350376.89410314918</v>
      </c>
    </row>
    <row r="332" spans="1:8" x14ac:dyDescent="0.2">
      <c r="A332">
        <v>2019</v>
      </c>
      <c r="B332" s="3" t="str">
        <f t="shared" si="20"/>
        <v>9335</v>
      </c>
      <c r="C332" s="3" t="s">
        <v>338</v>
      </c>
      <c r="D332" s="13">
        <v>395464</v>
      </c>
      <c r="E332" s="13">
        <v>395464</v>
      </c>
      <c r="F332" s="3">
        <f t="shared" si="21"/>
        <v>8.8419729725178274E-4</v>
      </c>
      <c r="G332" s="3">
        <f t="shared" si="22"/>
        <v>60228.305831615929</v>
      </c>
      <c r="H332" s="2">
        <f t="shared" si="23"/>
        <v>455692.30583161593</v>
      </c>
    </row>
    <row r="333" spans="1:8" x14ac:dyDescent="0.2">
      <c r="A333">
        <v>2019</v>
      </c>
      <c r="B333" s="3" t="str">
        <f t="shared" si="20"/>
        <v>9389</v>
      </c>
      <c r="C333" s="3" t="s">
        <v>339</v>
      </c>
      <c r="D333" s="13">
        <v>237810</v>
      </c>
      <c r="E333" s="13">
        <v>237810</v>
      </c>
      <c r="F333" s="3">
        <f t="shared" si="21"/>
        <v>5.3170695501852624E-4</v>
      </c>
      <c r="G333" s="3">
        <f t="shared" si="22"/>
        <v>36217.945021080515</v>
      </c>
      <c r="H333" s="2">
        <f t="shared" si="23"/>
        <v>274027.94502108049</v>
      </c>
    </row>
    <row r="334" spans="1:8" x14ac:dyDescent="0.2">
      <c r="A334">
        <v>2019</v>
      </c>
      <c r="B334" s="3" t="str">
        <f t="shared" si="20"/>
        <v>9410</v>
      </c>
      <c r="C334" s="3" t="s">
        <v>340</v>
      </c>
      <c r="D334" s="13">
        <v>321827</v>
      </c>
      <c r="E334" s="13">
        <v>321827</v>
      </c>
      <c r="F334" s="3">
        <f t="shared" si="21"/>
        <v>7.1955617599237724E-4</v>
      </c>
      <c r="G334" s="3">
        <f t="shared" si="22"/>
        <v>49013.551121901008</v>
      </c>
      <c r="H334" s="2">
        <f t="shared" si="23"/>
        <v>370840.55112190102</v>
      </c>
    </row>
    <row r="335" spans="1:8" x14ac:dyDescent="0.2">
      <c r="A335">
        <v>2019</v>
      </c>
      <c r="B335" s="3" t="str">
        <f t="shared" si="20"/>
        <v>9444</v>
      </c>
      <c r="C335" s="3" t="s">
        <v>341</v>
      </c>
      <c r="D335" s="13">
        <v>440004</v>
      </c>
      <c r="E335" s="13">
        <v>440004</v>
      </c>
      <c r="F335" s="3">
        <f t="shared" si="21"/>
        <v>9.8378195633476982E-4</v>
      </c>
      <c r="G335" s="3">
        <f t="shared" si="22"/>
        <v>67011.650818113238</v>
      </c>
      <c r="H335" s="2">
        <f t="shared" si="23"/>
        <v>507015.65081811324</v>
      </c>
    </row>
    <row r="336" spans="1:8" x14ac:dyDescent="0.2">
      <c r="A336">
        <v>2019</v>
      </c>
      <c r="B336" s="3" t="str">
        <f t="shared" si="20"/>
        <v>9445</v>
      </c>
      <c r="C336" s="3" t="s">
        <v>342</v>
      </c>
      <c r="D336" s="13">
        <v>528682</v>
      </c>
      <c r="E336" s="13">
        <v>528682</v>
      </c>
      <c r="F336" s="3">
        <f t="shared" si="21"/>
        <v>1.1820524637025545E-3</v>
      </c>
      <c r="G336" s="3">
        <f t="shared" si="22"/>
        <v>80517.117066712453</v>
      </c>
      <c r="H336" s="2">
        <f t="shared" si="23"/>
        <v>609199.11706671247</v>
      </c>
    </row>
    <row r="337" spans="1:8" x14ac:dyDescent="0.2">
      <c r="A337">
        <v>2019</v>
      </c>
      <c r="B337" s="3" t="str">
        <f t="shared" si="20"/>
        <v>9446</v>
      </c>
      <c r="C337" s="3" t="s">
        <v>343</v>
      </c>
      <c r="D337" s="13">
        <v>902033</v>
      </c>
      <c r="E337" s="13">
        <v>902033</v>
      </c>
      <c r="F337" s="3">
        <f t="shared" si="21"/>
        <v>2.0168084595106441E-3</v>
      </c>
      <c r="G337" s="3">
        <f t="shared" si="22"/>
        <v>137377.66116311477</v>
      </c>
      <c r="H337" s="2">
        <f t="shared" si="23"/>
        <v>1039410.6611631147</v>
      </c>
    </row>
    <row r="338" spans="1:8" x14ac:dyDescent="0.2">
      <c r="A338">
        <v>2019</v>
      </c>
      <c r="B338" s="3" t="str">
        <f t="shared" si="20"/>
        <v>9461</v>
      </c>
      <c r="C338" s="3" t="s">
        <v>344</v>
      </c>
      <c r="D338" s="13">
        <v>610490</v>
      </c>
      <c r="E338" s="13">
        <v>610490</v>
      </c>
      <c r="F338" s="3">
        <f t="shared" si="21"/>
        <v>1.3649626969818765E-3</v>
      </c>
      <c r="G338" s="3">
        <f t="shared" si="22"/>
        <v>92976.297279001898</v>
      </c>
      <c r="H338" s="2">
        <f t="shared" si="23"/>
        <v>703466.29727900191</v>
      </c>
    </row>
    <row r="340" spans="1:8" x14ac:dyDescent="0.2">
      <c r="C340" s="13" t="s">
        <v>346</v>
      </c>
      <c r="D340" s="2">
        <f>SUM(D2:D338)</f>
        <v>447257644</v>
      </c>
    </row>
    <row r="341" spans="1:8" x14ac:dyDescent="0.2">
      <c r="C341" s="13" t="s">
        <v>347</v>
      </c>
      <c r="D341" s="2">
        <v>68116365</v>
      </c>
    </row>
    <row r="342" spans="1:8" x14ac:dyDescent="0.2">
      <c r="C342" s="3"/>
    </row>
    <row r="343" spans="1:8" x14ac:dyDescent="0.2">
      <c r="C343" s="3" t="s">
        <v>348</v>
      </c>
      <c r="D343" s="4">
        <v>447257644</v>
      </c>
    </row>
    <row r="344" spans="1:8" x14ac:dyDescent="0.2">
      <c r="C344" s="3" t="s">
        <v>347</v>
      </c>
      <c r="D344" s="4">
        <v>68116365</v>
      </c>
    </row>
    <row r="345" spans="1:8" x14ac:dyDescent="0.2">
      <c r="C345" s="3"/>
    </row>
    <row r="346" spans="1:8" x14ac:dyDescent="0.2">
      <c r="C346" s="15" t="s">
        <v>349</v>
      </c>
      <c r="D346" s="16">
        <f>D340-D343</f>
        <v>0</v>
      </c>
    </row>
    <row r="347" spans="1:8" x14ac:dyDescent="0.2">
      <c r="D347" s="16">
        <f>D341-D344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5A3A-2E3A-594B-8A25-600F511251E0}">
  <sheetPr>
    <tabColor rgb="FFFFFF00"/>
  </sheetPr>
  <dimension ref="A1:H347"/>
  <sheetViews>
    <sheetView workbookViewId="0">
      <selection activeCell="G2" sqref="G2:H338"/>
    </sheetView>
  </sheetViews>
  <sheetFormatPr baseColWidth="10" defaultRowHeight="16" x14ac:dyDescent="0.2"/>
  <cols>
    <col min="2" max="2" width="11.83203125" bestFit="1" customWidth="1"/>
    <col min="3" max="3" width="50.83203125" bestFit="1" customWidth="1"/>
    <col min="4" max="4" width="18.83203125" bestFit="1" customWidth="1"/>
    <col min="5" max="5" width="16.83203125" bestFit="1" customWidth="1"/>
    <col min="6" max="6" width="12.1640625" bestFit="1" customWidth="1"/>
    <col min="7" max="7" width="17.1640625" bestFit="1" customWidth="1"/>
    <col min="8" max="8" width="16.83203125" bestFit="1" customWidth="1"/>
  </cols>
  <sheetData>
    <row r="1" spans="1:8" x14ac:dyDescent="0.2">
      <c r="A1" t="s">
        <v>1</v>
      </c>
      <c r="B1" s="3" t="s">
        <v>5</v>
      </c>
      <c r="C1" s="3" t="s">
        <v>4</v>
      </c>
      <c r="D1" s="3" t="s">
        <v>350</v>
      </c>
      <c r="E1" s="3" t="s">
        <v>351</v>
      </c>
      <c r="F1" s="3"/>
      <c r="G1" s="3" t="s">
        <v>368</v>
      </c>
      <c r="H1" s="3" t="s">
        <v>351</v>
      </c>
    </row>
    <row r="2" spans="1:8" x14ac:dyDescent="0.2">
      <c r="A2">
        <v>2018</v>
      </c>
      <c r="B2" s="3" t="str">
        <f>LEFT(C2,4)</f>
        <v>4930</v>
      </c>
      <c r="C2" s="3" t="s">
        <v>9</v>
      </c>
      <c r="D2" s="13">
        <v>15500</v>
      </c>
      <c r="E2" s="13">
        <v>15500</v>
      </c>
      <c r="F2" s="3">
        <f>E2/$D$340</f>
        <v>3.8915173996710007E-5</v>
      </c>
      <c r="G2" s="3">
        <f>F2*$D$341</f>
        <v>2343.8998839110145</v>
      </c>
      <c r="H2" s="2">
        <f>SUM(G2,D2)</f>
        <v>17843.899883911014</v>
      </c>
    </row>
    <row r="3" spans="1:8" x14ac:dyDescent="0.2">
      <c r="A3">
        <v>2018</v>
      </c>
      <c r="B3" s="3" t="str">
        <f t="shared" ref="B3:B66" si="0">LEFT(C3,4)</f>
        <v>4931</v>
      </c>
      <c r="C3" s="3" t="s">
        <v>10</v>
      </c>
      <c r="D3" s="3"/>
      <c r="E3" s="3"/>
      <c r="F3" s="3">
        <f t="shared" ref="F3:F66" si="1">E3/$D$340</f>
        <v>0</v>
      </c>
      <c r="G3" s="3">
        <f t="shared" ref="G3:G66" si="2">F3*$D$341</f>
        <v>0</v>
      </c>
      <c r="H3" s="2">
        <f t="shared" ref="H3:H66" si="3">SUM(G3,D3)</f>
        <v>0</v>
      </c>
    </row>
    <row r="4" spans="1:8" x14ac:dyDescent="0.2">
      <c r="A4">
        <v>2018</v>
      </c>
      <c r="B4" s="3" t="str">
        <f t="shared" si="0"/>
        <v>5045</v>
      </c>
      <c r="C4" s="3" t="s">
        <v>11</v>
      </c>
      <c r="D4" s="13">
        <v>3372</v>
      </c>
      <c r="E4" s="13">
        <v>3372</v>
      </c>
      <c r="F4" s="3">
        <f t="shared" si="1"/>
        <v>8.4659333365745911E-6</v>
      </c>
      <c r="G4" s="3">
        <f t="shared" si="2"/>
        <v>509.91163926115752</v>
      </c>
      <c r="H4" s="2">
        <f t="shared" si="3"/>
        <v>3881.9116392611577</v>
      </c>
    </row>
    <row r="5" spans="1:8" x14ac:dyDescent="0.2">
      <c r="A5">
        <v>2018</v>
      </c>
      <c r="B5" s="3" t="str">
        <f t="shared" si="0"/>
        <v>5046</v>
      </c>
      <c r="C5" s="3" t="s">
        <v>12</v>
      </c>
      <c r="D5" s="3"/>
      <c r="E5" s="3"/>
      <c r="F5" s="3">
        <f t="shared" si="1"/>
        <v>0</v>
      </c>
      <c r="G5" s="3">
        <f t="shared" si="2"/>
        <v>0</v>
      </c>
      <c r="H5" s="2">
        <f t="shared" si="3"/>
        <v>0</v>
      </c>
    </row>
    <row r="6" spans="1:8" x14ac:dyDescent="0.2">
      <c r="A6">
        <v>2018</v>
      </c>
      <c r="B6" s="3" t="str">
        <f t="shared" si="0"/>
        <v>5047</v>
      </c>
      <c r="C6" s="3" t="s">
        <v>13</v>
      </c>
      <c r="D6" s="13">
        <v>7474</v>
      </c>
      <c r="E6" s="13">
        <v>7474</v>
      </c>
      <c r="F6" s="3">
        <f t="shared" si="1"/>
        <v>1.8764645835574878E-5</v>
      </c>
      <c r="G6" s="3">
        <f t="shared" si="2"/>
        <v>1130.2134020871563</v>
      </c>
      <c r="H6" s="2">
        <f t="shared" si="3"/>
        <v>8604.2134020871563</v>
      </c>
    </row>
    <row r="7" spans="1:8" x14ac:dyDescent="0.2">
      <c r="A7">
        <v>2018</v>
      </c>
      <c r="B7" s="3" t="str">
        <f t="shared" si="0"/>
        <v>5048</v>
      </c>
      <c r="C7" s="3" t="s">
        <v>14</v>
      </c>
      <c r="D7" s="13">
        <v>57805</v>
      </c>
      <c r="E7" s="13">
        <v>57805</v>
      </c>
      <c r="F7" s="3">
        <f t="shared" si="1"/>
        <v>1.4512849244385949E-4</v>
      </c>
      <c r="G7" s="3">
        <f t="shared" si="2"/>
        <v>8741.2343735145932</v>
      </c>
      <c r="H7" s="2">
        <f t="shared" si="3"/>
        <v>66546.234373514599</v>
      </c>
    </row>
    <row r="8" spans="1:8" x14ac:dyDescent="0.2">
      <c r="A8">
        <v>2018</v>
      </c>
      <c r="B8" s="3" t="str">
        <f t="shared" si="0"/>
        <v>5049</v>
      </c>
      <c r="C8" s="3" t="s">
        <v>15</v>
      </c>
      <c r="D8" s="13">
        <v>147872</v>
      </c>
      <c r="E8" s="13">
        <v>147872</v>
      </c>
      <c r="F8" s="3">
        <f t="shared" si="1"/>
        <v>3.7125578124138725E-4</v>
      </c>
      <c r="G8" s="3">
        <f t="shared" si="2"/>
        <v>22361.107331205778</v>
      </c>
      <c r="H8" s="2">
        <f t="shared" si="3"/>
        <v>170233.10733120577</v>
      </c>
    </row>
    <row r="9" spans="1:8" x14ac:dyDescent="0.2">
      <c r="A9">
        <v>2018</v>
      </c>
      <c r="B9" s="3" t="str">
        <f t="shared" si="0"/>
        <v>5050</v>
      </c>
      <c r="C9" s="3" t="s">
        <v>16</v>
      </c>
      <c r="D9" s="13">
        <v>19339</v>
      </c>
      <c r="E9" s="13">
        <v>19339</v>
      </c>
      <c r="F9" s="3">
        <f t="shared" si="1"/>
        <v>4.855358386595967E-5</v>
      </c>
      <c r="G9" s="3">
        <f t="shared" si="2"/>
        <v>2924.4309583842009</v>
      </c>
      <c r="H9" s="2">
        <f t="shared" si="3"/>
        <v>22263.4309583842</v>
      </c>
    </row>
    <row r="10" spans="1:8" x14ac:dyDescent="0.2">
      <c r="A10">
        <v>2018</v>
      </c>
      <c r="B10" s="3" t="str">
        <f t="shared" si="0"/>
        <v>5107</v>
      </c>
      <c r="C10" s="3" t="s">
        <v>17</v>
      </c>
      <c r="D10" s="13">
        <v>16344</v>
      </c>
      <c r="E10" s="13">
        <v>16344</v>
      </c>
      <c r="F10" s="3">
        <f t="shared" si="1"/>
        <v>4.103416798724054E-5</v>
      </c>
      <c r="G10" s="3">
        <f t="shared" si="2"/>
        <v>2471.529013073653</v>
      </c>
      <c r="H10" s="2">
        <f t="shared" si="3"/>
        <v>18815.529013073654</v>
      </c>
    </row>
    <row r="11" spans="1:8" x14ac:dyDescent="0.2">
      <c r="A11">
        <v>2018</v>
      </c>
      <c r="B11" s="3" t="str">
        <f t="shared" si="0"/>
        <v>5108</v>
      </c>
      <c r="C11" s="3" t="s">
        <v>18</v>
      </c>
      <c r="D11" s="13">
        <v>10695</v>
      </c>
      <c r="E11" s="13">
        <v>10695</v>
      </c>
      <c r="F11" s="3">
        <f t="shared" si="1"/>
        <v>2.6851470057729907E-5</v>
      </c>
      <c r="G11" s="3">
        <f t="shared" si="2"/>
        <v>1617.2909198986001</v>
      </c>
      <c r="H11" s="2">
        <f t="shared" si="3"/>
        <v>12312.2909198986</v>
      </c>
    </row>
    <row r="12" spans="1:8" x14ac:dyDescent="0.2">
      <c r="A12">
        <v>2018</v>
      </c>
      <c r="B12" s="3" t="str">
        <f t="shared" si="0"/>
        <v>5109</v>
      </c>
      <c r="C12" s="3" t="s">
        <v>19</v>
      </c>
      <c r="D12" s="13">
        <v>55557</v>
      </c>
      <c r="E12" s="13">
        <v>55557</v>
      </c>
      <c r="F12" s="3">
        <f t="shared" si="1"/>
        <v>1.394845368861431E-4</v>
      </c>
      <c r="G12" s="3">
        <f t="shared" si="2"/>
        <v>8401.2932806738208</v>
      </c>
      <c r="H12" s="2">
        <f t="shared" si="3"/>
        <v>63958.293280673824</v>
      </c>
    </row>
    <row r="13" spans="1:8" x14ac:dyDescent="0.2">
      <c r="A13">
        <v>2018</v>
      </c>
      <c r="B13" s="3" t="str">
        <f t="shared" si="0"/>
        <v>5110</v>
      </c>
      <c r="C13" s="3" t="s">
        <v>20</v>
      </c>
      <c r="D13" s="13">
        <v>16463</v>
      </c>
      <c r="E13" s="13">
        <v>16463</v>
      </c>
      <c r="F13" s="3">
        <f t="shared" si="1"/>
        <v>4.13329360972798E-5</v>
      </c>
      <c r="G13" s="3">
        <f t="shared" si="2"/>
        <v>2489.5241154081959</v>
      </c>
      <c r="H13" s="2">
        <f t="shared" si="3"/>
        <v>18952.524115408196</v>
      </c>
    </row>
    <row r="14" spans="1:8" x14ac:dyDescent="0.2">
      <c r="A14">
        <v>2018</v>
      </c>
      <c r="B14" s="3" t="str">
        <f t="shared" si="0"/>
        <v>5111</v>
      </c>
      <c r="C14" s="3" t="s">
        <v>21</v>
      </c>
      <c r="D14" s="13">
        <v>3249</v>
      </c>
      <c r="E14" s="13">
        <v>3249</v>
      </c>
      <c r="F14" s="3">
        <f t="shared" si="1"/>
        <v>8.1571226009877946E-6</v>
      </c>
      <c r="G14" s="3">
        <f t="shared" si="2"/>
        <v>491.31165953721847</v>
      </c>
      <c r="H14" s="2">
        <f t="shared" si="3"/>
        <v>3740.3116595372185</v>
      </c>
    </row>
    <row r="15" spans="1:8" x14ac:dyDescent="0.2">
      <c r="A15">
        <v>2018</v>
      </c>
      <c r="B15" s="3" t="str">
        <f t="shared" si="0"/>
        <v>5112</v>
      </c>
      <c r="C15" s="3" t="s">
        <v>22</v>
      </c>
      <c r="D15" s="13">
        <v>5138</v>
      </c>
      <c r="E15" s="13">
        <v>5138</v>
      </c>
      <c r="F15" s="3">
        <f t="shared" si="1"/>
        <v>1.2899752515812648E-5</v>
      </c>
      <c r="G15" s="3">
        <f t="shared" si="2"/>
        <v>776.96500667966416</v>
      </c>
      <c r="H15" s="2">
        <f t="shared" si="3"/>
        <v>5914.9650066796639</v>
      </c>
    </row>
    <row r="16" spans="1:8" x14ac:dyDescent="0.2">
      <c r="A16">
        <v>2018</v>
      </c>
      <c r="B16" s="3" t="str">
        <f t="shared" si="0"/>
        <v>5113</v>
      </c>
      <c r="C16" s="3" t="s">
        <v>23</v>
      </c>
      <c r="D16" s="13">
        <v>10008</v>
      </c>
      <c r="E16" s="13">
        <v>10008</v>
      </c>
      <c r="F16" s="3">
        <f t="shared" si="1"/>
        <v>2.5126649119940243E-5</v>
      </c>
      <c r="G16" s="3">
        <f t="shared" si="2"/>
        <v>1513.4032282697699</v>
      </c>
      <c r="H16" s="2">
        <f t="shared" si="3"/>
        <v>11521.40322826977</v>
      </c>
    </row>
    <row r="17" spans="1:8" x14ac:dyDescent="0.2">
      <c r="A17">
        <v>2018</v>
      </c>
      <c r="B17" s="3" t="str">
        <f t="shared" si="0"/>
        <v>5177</v>
      </c>
      <c r="C17" s="3" t="s">
        <v>24</v>
      </c>
      <c r="D17" s="13">
        <v>9687</v>
      </c>
      <c r="E17" s="13">
        <v>9687</v>
      </c>
      <c r="F17" s="3">
        <f t="shared" si="1"/>
        <v>2.4320728419750313E-5</v>
      </c>
      <c r="G17" s="3">
        <f t="shared" si="2"/>
        <v>1464.8618177707096</v>
      </c>
      <c r="H17" s="2">
        <f t="shared" si="3"/>
        <v>11151.86181777071</v>
      </c>
    </row>
    <row r="18" spans="1:8" x14ac:dyDescent="0.2">
      <c r="A18">
        <v>2018</v>
      </c>
      <c r="B18" s="3" t="str">
        <f t="shared" si="0"/>
        <v>5178</v>
      </c>
      <c r="C18" s="3" t="s">
        <v>25</v>
      </c>
      <c r="D18" s="13">
        <v>35498</v>
      </c>
      <c r="E18" s="13">
        <v>35498</v>
      </c>
      <c r="F18" s="3">
        <f t="shared" si="1"/>
        <v>8.9123280421626573E-5</v>
      </c>
      <c r="G18" s="3">
        <f t="shared" si="2"/>
        <v>5367.9843921982701</v>
      </c>
      <c r="H18" s="2">
        <f t="shared" si="3"/>
        <v>40865.984392198268</v>
      </c>
    </row>
    <row r="19" spans="1:8" x14ac:dyDescent="0.2">
      <c r="A19">
        <v>2018</v>
      </c>
      <c r="B19" s="3" t="str">
        <f t="shared" si="0"/>
        <v>5179</v>
      </c>
      <c r="C19" s="3" t="s">
        <v>26</v>
      </c>
      <c r="D19" s="13">
        <v>15315</v>
      </c>
      <c r="E19" s="13">
        <v>15315</v>
      </c>
      <c r="F19" s="3">
        <f t="shared" si="1"/>
        <v>3.8450702565136377E-5</v>
      </c>
      <c r="G19" s="3">
        <f t="shared" si="2"/>
        <v>2315.9243046514316</v>
      </c>
      <c r="H19" s="2">
        <f t="shared" si="3"/>
        <v>17630.924304651431</v>
      </c>
    </row>
    <row r="20" spans="1:8" x14ac:dyDescent="0.2">
      <c r="A20">
        <v>2018</v>
      </c>
      <c r="B20" s="3" t="str">
        <f t="shared" si="0"/>
        <v>5180</v>
      </c>
      <c r="C20" s="3" t="s">
        <v>27</v>
      </c>
      <c r="D20" s="13">
        <v>9929</v>
      </c>
      <c r="E20" s="13">
        <v>9929</v>
      </c>
      <c r="F20" s="3">
        <f t="shared" si="1"/>
        <v>2.4928307265376367E-5</v>
      </c>
      <c r="G20" s="3">
        <f t="shared" si="2"/>
        <v>1501.4568998291911</v>
      </c>
      <c r="H20" s="2">
        <f t="shared" si="3"/>
        <v>11430.456899829191</v>
      </c>
    </row>
    <row r="21" spans="1:8" x14ac:dyDescent="0.2">
      <c r="A21">
        <v>2018</v>
      </c>
      <c r="B21" s="3" t="str">
        <f t="shared" si="0"/>
        <v>5404</v>
      </c>
      <c r="C21" s="3" t="s">
        <v>364</v>
      </c>
      <c r="D21" s="13">
        <v>10656</v>
      </c>
      <c r="E21" s="13">
        <v>10656</v>
      </c>
      <c r="F21" s="3">
        <f t="shared" si="1"/>
        <v>2.675355445864141E-5</v>
      </c>
      <c r="G21" s="3">
        <f t="shared" si="2"/>
        <v>1611.3933653519853</v>
      </c>
      <c r="H21" s="2">
        <f t="shared" si="3"/>
        <v>12267.393365351985</v>
      </c>
    </row>
    <row r="22" spans="1:8" x14ac:dyDescent="0.2">
      <c r="A22">
        <v>2018</v>
      </c>
      <c r="B22" s="3" t="str">
        <f t="shared" si="0"/>
        <v>5406</v>
      </c>
      <c r="C22" s="3" t="s">
        <v>29</v>
      </c>
      <c r="D22" s="13">
        <v>84566</v>
      </c>
      <c r="E22" s="13">
        <v>84566</v>
      </c>
      <c r="F22" s="3">
        <f t="shared" si="1"/>
        <v>2.1231616801327605E-4</v>
      </c>
      <c r="G22" s="3">
        <f t="shared" si="2"/>
        <v>12788.015327923798</v>
      </c>
      <c r="H22" s="2">
        <f t="shared" si="3"/>
        <v>97354.0153279238</v>
      </c>
    </row>
    <row r="23" spans="1:8" x14ac:dyDescent="0.2">
      <c r="A23">
        <v>2018</v>
      </c>
      <c r="B23" s="3" t="str">
        <f t="shared" si="0"/>
        <v>5596</v>
      </c>
      <c r="C23" s="3" t="s">
        <v>30</v>
      </c>
      <c r="D23" s="13">
        <v>77638</v>
      </c>
      <c r="E23" s="13">
        <v>77638</v>
      </c>
      <c r="F23" s="3">
        <f t="shared" si="1"/>
        <v>1.9492234056494012E-4</v>
      </c>
      <c r="G23" s="3">
        <f t="shared" si="2"/>
        <v>11740.367689489249</v>
      </c>
      <c r="H23" s="2">
        <f t="shared" si="3"/>
        <v>89378.367689489241</v>
      </c>
    </row>
    <row r="24" spans="1:8" x14ac:dyDescent="0.2">
      <c r="A24">
        <v>2018</v>
      </c>
      <c r="B24" s="3" t="str">
        <f t="shared" si="0"/>
        <v>5600</v>
      </c>
      <c r="C24" s="3" t="s">
        <v>31</v>
      </c>
      <c r="D24" s="13">
        <v>85424</v>
      </c>
      <c r="E24" s="13">
        <v>85424</v>
      </c>
      <c r="F24" s="3">
        <f t="shared" si="1"/>
        <v>2.1447031119322296E-4</v>
      </c>
      <c r="G24" s="3">
        <f t="shared" si="2"/>
        <v>12917.761527949324</v>
      </c>
      <c r="H24" s="2">
        <f t="shared" si="3"/>
        <v>98341.761527949318</v>
      </c>
    </row>
    <row r="25" spans="1:8" x14ac:dyDescent="0.2">
      <c r="A25">
        <v>2018</v>
      </c>
      <c r="B25" s="3" t="str">
        <f t="shared" si="0"/>
        <v>5604</v>
      </c>
      <c r="C25" s="3" t="s">
        <v>32</v>
      </c>
      <c r="D25" s="13">
        <v>55594</v>
      </c>
      <c r="E25" s="13">
        <v>55594</v>
      </c>
      <c r="F25" s="3">
        <f t="shared" si="1"/>
        <v>1.3957743117245784E-4</v>
      </c>
      <c r="G25" s="3">
        <f t="shared" si="2"/>
        <v>8406.8883965257392</v>
      </c>
      <c r="H25" s="2">
        <f t="shared" si="3"/>
        <v>64000.888396525741</v>
      </c>
    </row>
    <row r="26" spans="1:8" x14ac:dyDescent="0.2">
      <c r="A26">
        <v>2018</v>
      </c>
      <c r="B26" s="3" t="str">
        <f t="shared" si="0"/>
        <v>5608</v>
      </c>
      <c r="C26" s="3" t="s">
        <v>33</v>
      </c>
      <c r="D26" s="13">
        <v>12076</v>
      </c>
      <c r="E26" s="13">
        <v>12076</v>
      </c>
      <c r="F26" s="3">
        <f t="shared" si="1"/>
        <v>3.0318686528017425E-5</v>
      </c>
      <c r="G26" s="3">
        <f t="shared" si="2"/>
        <v>1826.1248385877041</v>
      </c>
      <c r="H26" s="2">
        <f t="shared" si="3"/>
        <v>13902.124838587704</v>
      </c>
    </row>
    <row r="27" spans="1:8" x14ac:dyDescent="0.2">
      <c r="A27">
        <v>2018</v>
      </c>
      <c r="B27" s="3" t="str">
        <f t="shared" si="0"/>
        <v>5609</v>
      </c>
      <c r="C27" s="3" t="s">
        <v>365</v>
      </c>
      <c r="D27" s="13">
        <v>75126</v>
      </c>
      <c r="E27" s="13">
        <v>75126</v>
      </c>
      <c r="F27" s="3">
        <f t="shared" si="1"/>
        <v>1.8861557172108621E-4</v>
      </c>
      <c r="G27" s="3">
        <f t="shared" si="2"/>
        <v>11360.504688948315</v>
      </c>
      <c r="H27" s="2">
        <f t="shared" si="3"/>
        <v>86486.50468894832</v>
      </c>
    </row>
    <row r="28" spans="1:8" x14ac:dyDescent="0.2">
      <c r="A28">
        <v>2018</v>
      </c>
      <c r="B28" s="3" t="str">
        <f t="shared" si="0"/>
        <v>5612</v>
      </c>
      <c r="C28" s="3" t="s">
        <v>35</v>
      </c>
      <c r="D28" s="13">
        <v>109559</v>
      </c>
      <c r="E28" s="13">
        <v>109559</v>
      </c>
      <c r="F28" s="3">
        <f t="shared" si="1"/>
        <v>2.7506500309068077E-4</v>
      </c>
      <c r="G28" s="3">
        <f t="shared" si="2"/>
        <v>16567.440476219796</v>
      </c>
      <c r="H28" s="2">
        <f t="shared" si="3"/>
        <v>126126.4404762198</v>
      </c>
    </row>
    <row r="29" spans="1:8" x14ac:dyDescent="0.2">
      <c r="A29">
        <v>2018</v>
      </c>
      <c r="B29" s="3" t="str">
        <f t="shared" si="0"/>
        <v>5624</v>
      </c>
      <c r="C29" s="3" t="s">
        <v>36</v>
      </c>
      <c r="D29" s="13">
        <v>36781</v>
      </c>
      <c r="E29" s="13">
        <v>36781</v>
      </c>
      <c r="F29" s="3">
        <f t="shared" si="1"/>
        <v>9.2344452565999415E-5</v>
      </c>
      <c r="G29" s="3">
        <f t="shared" si="2"/>
        <v>5561.998814847163</v>
      </c>
      <c r="H29" s="2">
        <f t="shared" si="3"/>
        <v>42342.99881484716</v>
      </c>
    </row>
    <row r="30" spans="1:8" x14ac:dyDescent="0.2">
      <c r="A30">
        <v>2018</v>
      </c>
      <c r="B30" s="3" t="str">
        <f t="shared" si="0"/>
        <v>5626</v>
      </c>
      <c r="C30" s="3" t="s">
        <v>37</v>
      </c>
      <c r="D30" s="13">
        <v>61886</v>
      </c>
      <c r="E30" s="13">
        <v>61886</v>
      </c>
      <c r="F30" s="3">
        <f t="shared" si="1"/>
        <v>1.553744811587352E-4</v>
      </c>
      <c r="G30" s="3">
        <f t="shared" si="2"/>
        <v>9358.3605300462605</v>
      </c>
      <c r="H30" s="2">
        <f t="shared" si="3"/>
        <v>71244.360530046266</v>
      </c>
    </row>
    <row r="31" spans="1:8" x14ac:dyDescent="0.2">
      <c r="A31">
        <v>2018</v>
      </c>
      <c r="B31" s="3" t="str">
        <f t="shared" si="0"/>
        <v>5634</v>
      </c>
      <c r="C31" s="3" t="s">
        <v>38</v>
      </c>
      <c r="D31" s="13">
        <v>49209</v>
      </c>
      <c r="E31" s="13">
        <v>49209</v>
      </c>
      <c r="F31" s="3">
        <f t="shared" si="1"/>
        <v>1.235468901422002E-4</v>
      </c>
      <c r="G31" s="3">
        <f t="shared" si="2"/>
        <v>7441.3528637017498</v>
      </c>
      <c r="H31" s="2">
        <f t="shared" si="3"/>
        <v>56650.352863701752</v>
      </c>
    </row>
    <row r="32" spans="1:8" x14ac:dyDescent="0.2">
      <c r="A32">
        <v>2018</v>
      </c>
      <c r="B32" s="3" t="str">
        <f t="shared" si="0"/>
        <v>5638</v>
      </c>
      <c r="C32" s="3" t="s">
        <v>39</v>
      </c>
      <c r="D32" s="13">
        <v>21582</v>
      </c>
      <c r="E32" s="13">
        <v>21582</v>
      </c>
      <c r="F32" s="3">
        <f t="shared" si="1"/>
        <v>5.4184986141741645E-5</v>
      </c>
      <c r="G32" s="3">
        <f t="shared" si="2"/>
        <v>3263.6159544882271</v>
      </c>
      <c r="H32" s="2">
        <f t="shared" si="3"/>
        <v>24845.615954488228</v>
      </c>
    </row>
    <row r="33" spans="1:8" x14ac:dyDescent="0.2">
      <c r="A33">
        <v>2018</v>
      </c>
      <c r="B33" s="3" t="str">
        <f t="shared" si="0"/>
        <v>5655</v>
      </c>
      <c r="C33" s="3" t="s">
        <v>40</v>
      </c>
      <c r="D33" s="3"/>
      <c r="E33" s="3"/>
      <c r="F33" s="3">
        <f t="shared" si="1"/>
        <v>0</v>
      </c>
      <c r="G33" s="3">
        <f t="shared" si="2"/>
        <v>0</v>
      </c>
      <c r="H33" s="2">
        <f t="shared" si="3"/>
        <v>0</v>
      </c>
    </row>
    <row r="34" spans="1:8" x14ac:dyDescent="0.2">
      <c r="A34">
        <v>2018</v>
      </c>
      <c r="B34" s="3" t="str">
        <f t="shared" si="0"/>
        <v>5657</v>
      </c>
      <c r="C34" s="3" t="s">
        <v>41</v>
      </c>
      <c r="D34" s="13">
        <v>3855</v>
      </c>
      <c r="E34" s="13">
        <v>3855</v>
      </c>
      <c r="F34" s="3">
        <f t="shared" si="1"/>
        <v>9.6785803714398117E-6</v>
      </c>
      <c r="G34" s="3">
        <f t="shared" si="2"/>
        <v>582.95058403077167</v>
      </c>
      <c r="H34" s="2">
        <f t="shared" si="3"/>
        <v>4437.950584030772</v>
      </c>
    </row>
    <row r="35" spans="1:8" x14ac:dyDescent="0.2">
      <c r="A35">
        <v>2018</v>
      </c>
      <c r="B35" s="3" t="str">
        <f t="shared" si="0"/>
        <v>5671</v>
      </c>
      <c r="C35" s="3" t="s">
        <v>42</v>
      </c>
      <c r="D35" s="13">
        <v>37551</v>
      </c>
      <c r="E35" s="13">
        <v>37551</v>
      </c>
      <c r="F35" s="3">
        <f t="shared" si="1"/>
        <v>9.4277657983900498E-5</v>
      </c>
      <c r="G35" s="3">
        <f t="shared" si="2"/>
        <v>5678.4377123059685</v>
      </c>
      <c r="H35" s="2">
        <f t="shared" si="3"/>
        <v>43229.437712305968</v>
      </c>
    </row>
    <row r="36" spans="1:8" x14ac:dyDescent="0.2">
      <c r="A36">
        <v>2018</v>
      </c>
      <c r="B36" s="3" t="str">
        <f t="shared" si="0"/>
        <v>5682</v>
      </c>
      <c r="C36" s="3" t="s">
        <v>43</v>
      </c>
      <c r="D36" s="13">
        <v>122875</v>
      </c>
      <c r="E36" s="13">
        <v>122875</v>
      </c>
      <c r="F36" s="3">
        <f t="shared" si="1"/>
        <v>3.08496903538435E-4</v>
      </c>
      <c r="G36" s="3">
        <f t="shared" si="2"/>
        <v>18581.077305520383</v>
      </c>
      <c r="H36" s="2">
        <f t="shared" si="3"/>
        <v>141456.07730552039</v>
      </c>
    </row>
    <row r="37" spans="1:8" x14ac:dyDescent="0.2">
      <c r="A37">
        <v>2018</v>
      </c>
      <c r="B37" s="3" t="str">
        <f t="shared" si="0"/>
        <v>5688</v>
      </c>
      <c r="C37" s="3" t="s">
        <v>44</v>
      </c>
      <c r="D37" s="13">
        <v>7138</v>
      </c>
      <c r="E37" s="13">
        <v>7138</v>
      </c>
      <c r="F37" s="3">
        <f t="shared" si="1"/>
        <v>1.792106528958168E-5</v>
      </c>
      <c r="G37" s="3">
        <f t="shared" si="2"/>
        <v>1079.4037013778595</v>
      </c>
      <c r="H37" s="2">
        <f t="shared" si="3"/>
        <v>8217.4037013778598</v>
      </c>
    </row>
    <row r="38" spans="1:8" x14ac:dyDescent="0.2">
      <c r="A38">
        <v>2018</v>
      </c>
      <c r="B38" s="3" t="str">
        <f t="shared" si="0"/>
        <v>9034</v>
      </c>
      <c r="C38" s="3" t="s">
        <v>45</v>
      </c>
      <c r="D38" s="13">
        <v>46987</v>
      </c>
      <c r="E38" s="13">
        <v>46987</v>
      </c>
      <c r="F38" s="3">
        <f t="shared" si="1"/>
        <v>1.1796821165054279E-4</v>
      </c>
      <c r="G38" s="3">
        <f t="shared" si="2"/>
        <v>7105.3434738920541</v>
      </c>
      <c r="H38" s="2">
        <f t="shared" si="3"/>
        <v>54092.343473892055</v>
      </c>
    </row>
    <row r="39" spans="1:8" x14ac:dyDescent="0.2">
      <c r="A39">
        <v>2018</v>
      </c>
      <c r="B39" s="3" t="str">
        <f t="shared" si="0"/>
        <v>9042</v>
      </c>
      <c r="C39" s="3" t="s">
        <v>46</v>
      </c>
      <c r="D39" s="13">
        <v>18805</v>
      </c>
      <c r="E39" s="13">
        <v>18805</v>
      </c>
      <c r="F39" s="3">
        <f t="shared" si="1"/>
        <v>4.7212893355363339E-5</v>
      </c>
      <c r="G39" s="3">
        <f t="shared" si="2"/>
        <v>2843.6798268997827</v>
      </c>
      <c r="H39" s="2">
        <f t="shared" si="3"/>
        <v>21648.679826899781</v>
      </c>
    </row>
    <row r="40" spans="1:8" x14ac:dyDescent="0.2">
      <c r="A40">
        <v>2018</v>
      </c>
      <c r="B40" s="3" t="str">
        <f t="shared" si="0"/>
        <v>9047</v>
      </c>
      <c r="C40" s="3" t="s">
        <v>47</v>
      </c>
      <c r="D40" s="13">
        <v>21956</v>
      </c>
      <c r="E40" s="13">
        <v>21956</v>
      </c>
      <c r="F40" s="3">
        <f t="shared" si="1"/>
        <v>5.5123971630436448E-5</v>
      </c>
      <c r="G40" s="3">
        <f t="shared" si="2"/>
        <v>3320.1719903967892</v>
      </c>
      <c r="H40" s="2">
        <f t="shared" si="3"/>
        <v>25276.17199039679</v>
      </c>
    </row>
    <row r="41" spans="1:8" x14ac:dyDescent="0.2">
      <c r="A41">
        <v>2018</v>
      </c>
      <c r="B41" s="3" t="str">
        <f t="shared" si="0"/>
        <v>9053</v>
      </c>
      <c r="C41" s="3" t="s">
        <v>48</v>
      </c>
      <c r="D41" s="3"/>
      <c r="E41" s="3"/>
      <c r="F41" s="3">
        <f t="shared" si="1"/>
        <v>0</v>
      </c>
      <c r="G41" s="3">
        <f t="shared" si="2"/>
        <v>0</v>
      </c>
      <c r="H41" s="2">
        <f t="shared" si="3"/>
        <v>0</v>
      </c>
    </row>
    <row r="42" spans="1:8" x14ac:dyDescent="0.2">
      <c r="A42">
        <v>2018</v>
      </c>
      <c r="B42" s="3" t="str">
        <f t="shared" si="0"/>
        <v>9055</v>
      </c>
      <c r="C42" s="3" t="s">
        <v>49</v>
      </c>
      <c r="D42" s="13">
        <v>37756</v>
      </c>
      <c r="E42" s="13">
        <v>37756</v>
      </c>
      <c r="F42" s="3">
        <f t="shared" si="1"/>
        <v>9.4792342543211823E-5</v>
      </c>
      <c r="G42" s="3">
        <f t="shared" si="2"/>
        <v>5709.4376785125341</v>
      </c>
      <c r="H42" s="2">
        <f t="shared" si="3"/>
        <v>43465.437678512535</v>
      </c>
    </row>
    <row r="43" spans="1:8" x14ac:dyDescent="0.2">
      <c r="A43">
        <v>2018</v>
      </c>
      <c r="B43" s="3" t="str">
        <f t="shared" si="0"/>
        <v>9056</v>
      </c>
      <c r="C43" s="3" t="s">
        <v>50</v>
      </c>
      <c r="D43" s="13">
        <v>2557</v>
      </c>
      <c r="E43" s="13">
        <v>2557</v>
      </c>
      <c r="F43" s="3">
        <f t="shared" si="1"/>
        <v>6.4197483812637099E-6</v>
      </c>
      <c r="G43" s="3">
        <f t="shared" si="2"/>
        <v>386.6678711716429</v>
      </c>
      <c r="H43" s="2">
        <f t="shared" si="3"/>
        <v>2943.6678711716431</v>
      </c>
    </row>
    <row r="44" spans="1:8" x14ac:dyDescent="0.2">
      <c r="A44">
        <v>2018</v>
      </c>
      <c r="B44" s="3" t="str">
        <f t="shared" si="0"/>
        <v>9273</v>
      </c>
      <c r="C44" s="3" t="s">
        <v>51</v>
      </c>
      <c r="D44" s="13">
        <v>6196</v>
      </c>
      <c r="E44" s="13">
        <v>6196</v>
      </c>
      <c r="F44" s="3">
        <f t="shared" si="1"/>
        <v>1.5556026973136467E-5</v>
      </c>
      <c r="G44" s="3">
        <f t="shared" si="2"/>
        <v>936.95507617500948</v>
      </c>
      <c r="H44" s="2">
        <f t="shared" si="3"/>
        <v>7132.9550761750097</v>
      </c>
    </row>
    <row r="45" spans="1:8" x14ac:dyDescent="0.2">
      <c r="A45">
        <v>2018</v>
      </c>
      <c r="B45" s="3" t="str">
        <f t="shared" si="0"/>
        <v>9274</v>
      </c>
      <c r="C45" s="3" t="s">
        <v>52</v>
      </c>
      <c r="D45" s="13">
        <v>39257</v>
      </c>
      <c r="E45" s="13">
        <v>39257</v>
      </c>
      <c r="F45" s="3">
        <f t="shared" si="1"/>
        <v>9.8560837779925476E-5</v>
      </c>
      <c r="G45" s="3">
        <f t="shared" si="2"/>
        <v>5936.4179188835287</v>
      </c>
      <c r="H45" s="2">
        <f t="shared" si="3"/>
        <v>45193.417918883526</v>
      </c>
    </row>
    <row r="46" spans="1:8" x14ac:dyDescent="0.2">
      <c r="A46">
        <v>2018</v>
      </c>
      <c r="B46" s="3" t="str">
        <f t="shared" si="0"/>
        <v>9303</v>
      </c>
      <c r="C46" s="3" t="s">
        <v>363</v>
      </c>
      <c r="D46" s="13">
        <v>4132</v>
      </c>
      <c r="E46" s="13">
        <v>4132</v>
      </c>
      <c r="F46" s="3">
        <f t="shared" si="1"/>
        <v>1.0374032190606823E-5</v>
      </c>
      <c r="G46" s="3">
        <f t="shared" si="2"/>
        <v>624.83834324647171</v>
      </c>
      <c r="H46" s="2">
        <f t="shared" si="3"/>
        <v>4756.8383432464716</v>
      </c>
    </row>
    <row r="47" spans="1:8" x14ac:dyDescent="0.2">
      <c r="A47">
        <v>2018</v>
      </c>
      <c r="B47" s="3" t="str">
        <f t="shared" si="0"/>
        <v>9304</v>
      </c>
      <c r="C47" s="3" t="s">
        <v>54</v>
      </c>
      <c r="D47" s="3">
        <v>521</v>
      </c>
      <c r="E47" s="3">
        <v>521</v>
      </c>
      <c r="F47" s="3">
        <f t="shared" si="1"/>
        <v>1.3080519775668332E-6</v>
      </c>
      <c r="G47" s="3">
        <f t="shared" si="2"/>
        <v>78.785279968879905</v>
      </c>
      <c r="H47" s="2">
        <f t="shared" si="3"/>
        <v>599.78527996887988</v>
      </c>
    </row>
    <row r="48" spans="1:8" x14ac:dyDescent="0.2">
      <c r="A48">
        <v>2018</v>
      </c>
      <c r="B48" s="3" t="str">
        <f t="shared" si="0"/>
        <v>9305</v>
      </c>
      <c r="C48" s="3" t="s">
        <v>55</v>
      </c>
      <c r="D48" s="13">
        <v>16044</v>
      </c>
      <c r="E48" s="13">
        <v>16044</v>
      </c>
      <c r="F48" s="3">
        <f t="shared" si="1"/>
        <v>4.0280971071175186E-5</v>
      </c>
      <c r="G48" s="3">
        <f t="shared" si="2"/>
        <v>2426.1632088689239</v>
      </c>
      <c r="H48" s="2">
        <f t="shared" si="3"/>
        <v>18470.163208868922</v>
      </c>
    </row>
    <row r="49" spans="1:8" x14ac:dyDescent="0.2">
      <c r="A49">
        <v>2018</v>
      </c>
      <c r="B49" s="3" t="str">
        <f t="shared" si="0"/>
        <v>9395</v>
      </c>
      <c r="C49" s="3" t="s">
        <v>56</v>
      </c>
      <c r="D49" s="13">
        <v>3003</v>
      </c>
      <c r="E49" s="13">
        <v>3003</v>
      </c>
      <c r="F49" s="3">
        <f t="shared" si="1"/>
        <v>7.5395011298142042E-6</v>
      </c>
      <c r="G49" s="3">
        <f t="shared" si="2"/>
        <v>454.11170008934045</v>
      </c>
      <c r="H49" s="2">
        <f t="shared" si="3"/>
        <v>3457.1117000893405</v>
      </c>
    </row>
    <row r="50" spans="1:8" x14ac:dyDescent="0.2">
      <c r="A50">
        <v>2018</v>
      </c>
      <c r="B50" s="3" t="str">
        <f t="shared" si="0"/>
        <v>9487</v>
      </c>
      <c r="C50" s="3" t="s">
        <v>57</v>
      </c>
      <c r="D50" s="13">
        <v>10525</v>
      </c>
      <c r="E50" s="13">
        <v>10525</v>
      </c>
      <c r="F50" s="3">
        <f t="shared" si="1"/>
        <v>2.6424658471959541E-5</v>
      </c>
      <c r="G50" s="3">
        <f t="shared" si="2"/>
        <v>1591.5836308492535</v>
      </c>
      <c r="H50" s="2">
        <f t="shared" si="3"/>
        <v>12116.583630849254</v>
      </c>
    </row>
    <row r="51" spans="1:8" x14ac:dyDescent="0.2">
      <c r="A51">
        <v>2018</v>
      </c>
      <c r="B51" s="3" t="str">
        <f t="shared" si="0"/>
        <v>9507</v>
      </c>
      <c r="C51" s="3" t="s">
        <v>58</v>
      </c>
      <c r="D51" s="13">
        <v>55162</v>
      </c>
      <c r="E51" s="13">
        <v>55162</v>
      </c>
      <c r="F51" s="3">
        <f t="shared" si="1"/>
        <v>1.3849282761332373E-4</v>
      </c>
      <c r="G51" s="3">
        <f t="shared" si="2"/>
        <v>8341.5616384709283</v>
      </c>
      <c r="H51" s="2">
        <f t="shared" si="3"/>
        <v>63503.561638470928</v>
      </c>
    </row>
    <row r="52" spans="1:8" x14ac:dyDescent="0.2">
      <c r="A52">
        <v>2018</v>
      </c>
      <c r="B52" s="3" t="str">
        <f t="shared" si="0"/>
        <v>4828</v>
      </c>
      <c r="C52" s="3" t="s">
        <v>59</v>
      </c>
      <c r="D52" s="13">
        <v>3185199</v>
      </c>
      <c r="E52" s="13">
        <v>3185199</v>
      </c>
      <c r="F52" s="3">
        <f t="shared" si="1"/>
        <v>7.9969402128481758E-3</v>
      </c>
      <c r="G52" s="3">
        <f t="shared" si="2"/>
        <v>481663.71395699872</v>
      </c>
      <c r="H52" s="2">
        <f t="shared" si="3"/>
        <v>3666862.7139569987</v>
      </c>
    </row>
    <row r="53" spans="1:8" x14ac:dyDescent="0.2">
      <c r="A53">
        <v>2018</v>
      </c>
      <c r="B53" s="3" t="str">
        <f t="shared" si="0"/>
        <v>4829</v>
      </c>
      <c r="C53" s="3" t="s">
        <v>60</v>
      </c>
      <c r="D53" s="13">
        <v>1364704</v>
      </c>
      <c r="E53" s="13">
        <v>1364704</v>
      </c>
      <c r="F53" s="3">
        <f t="shared" si="1"/>
        <v>3.4263028138068479E-3</v>
      </c>
      <c r="G53" s="3">
        <f t="shared" si="2"/>
        <v>206369.64820470306</v>
      </c>
      <c r="H53" s="2">
        <f t="shared" si="3"/>
        <v>1571073.6482047031</v>
      </c>
    </row>
    <row r="54" spans="1:8" x14ac:dyDescent="0.2">
      <c r="A54">
        <v>2018</v>
      </c>
      <c r="B54" s="3" t="str">
        <f t="shared" si="0"/>
        <v>4871</v>
      </c>
      <c r="C54" s="3" t="s">
        <v>61</v>
      </c>
      <c r="D54" s="13">
        <v>390226</v>
      </c>
      <c r="E54" s="13">
        <v>390226</v>
      </c>
      <c r="F54" s="3">
        <f t="shared" si="1"/>
        <v>9.7972339922839735E-4</v>
      </c>
      <c r="G54" s="3">
        <f t="shared" si="2"/>
        <v>59009.721038648997</v>
      </c>
      <c r="H54" s="2">
        <f t="shared" si="3"/>
        <v>449235.72103864898</v>
      </c>
    </row>
    <row r="55" spans="1:8" x14ac:dyDescent="0.2">
      <c r="A55">
        <v>2018</v>
      </c>
      <c r="B55" s="3" t="str">
        <f t="shared" si="0"/>
        <v>4882</v>
      </c>
      <c r="C55" s="3" t="s">
        <v>62</v>
      </c>
      <c r="D55" s="13">
        <v>2246022</v>
      </c>
      <c r="E55" s="13">
        <v>2246022</v>
      </c>
      <c r="F55" s="3">
        <f t="shared" si="1"/>
        <v>5.6389894793831361E-3</v>
      </c>
      <c r="G55" s="3">
        <f t="shared" si="2"/>
        <v>339641.98097171512</v>
      </c>
      <c r="H55" s="2">
        <f t="shared" si="3"/>
        <v>2585663.9809717149</v>
      </c>
    </row>
    <row r="56" spans="1:8" x14ac:dyDescent="0.2">
      <c r="A56">
        <v>2018</v>
      </c>
      <c r="B56" s="3" t="str">
        <f t="shared" si="0"/>
        <v>4912</v>
      </c>
      <c r="C56" s="3" t="s">
        <v>63</v>
      </c>
      <c r="D56" s="13">
        <v>400544</v>
      </c>
      <c r="E56" s="13">
        <v>400544</v>
      </c>
      <c r="F56" s="3">
        <f t="shared" si="1"/>
        <v>1.005628351828272E-3</v>
      </c>
      <c r="G56" s="3">
        <f t="shared" si="2"/>
        <v>60570.002264597002</v>
      </c>
      <c r="H56" s="2">
        <f t="shared" si="3"/>
        <v>461114.00226459699</v>
      </c>
    </row>
    <row r="57" spans="1:8" x14ac:dyDescent="0.2">
      <c r="A57">
        <v>2018</v>
      </c>
      <c r="B57" s="3" t="str">
        <f t="shared" si="0"/>
        <v>4977</v>
      </c>
      <c r="C57" s="3" t="s">
        <v>64</v>
      </c>
      <c r="D57" s="13">
        <v>196596</v>
      </c>
      <c r="E57" s="13">
        <v>196596</v>
      </c>
      <c r="F57" s="3">
        <f t="shared" si="1"/>
        <v>4.935850030359485E-4</v>
      </c>
      <c r="G57" s="3">
        <f t="shared" si="2"/>
        <v>29729.118811443215</v>
      </c>
      <c r="H57" s="2">
        <f t="shared" si="3"/>
        <v>226325.11881144322</v>
      </c>
    </row>
    <row r="58" spans="1:8" x14ac:dyDescent="0.2">
      <c r="A58">
        <v>2018</v>
      </c>
      <c r="B58" s="3" t="str">
        <f t="shared" si="0"/>
        <v>4978</v>
      </c>
      <c r="C58" s="3" t="s">
        <v>65</v>
      </c>
      <c r="D58" s="13">
        <v>24484767</v>
      </c>
      <c r="E58" s="13">
        <v>24484767</v>
      </c>
      <c r="F58" s="3">
        <f t="shared" si="1"/>
        <v>6.1472836649929252E-2</v>
      </c>
      <c r="G58" s="3">
        <f t="shared" si="2"/>
        <v>3702570.4857347254</v>
      </c>
      <c r="H58" s="2">
        <f t="shared" si="3"/>
        <v>28187337.485734724</v>
      </c>
    </row>
    <row r="59" spans="1:8" x14ac:dyDescent="0.2">
      <c r="A59">
        <v>2018</v>
      </c>
      <c r="B59" s="3" t="str">
        <f t="shared" si="0"/>
        <v>4979</v>
      </c>
      <c r="C59" s="3" t="s">
        <v>66</v>
      </c>
      <c r="D59" s="13">
        <v>89630</v>
      </c>
      <c r="E59" s="13">
        <v>89630</v>
      </c>
      <c r="F59" s="3">
        <f t="shared" si="1"/>
        <v>2.2503013195645925E-4</v>
      </c>
      <c r="G59" s="3">
        <f t="shared" si="2"/>
        <v>13553.790102899629</v>
      </c>
      <c r="H59" s="2">
        <f t="shared" si="3"/>
        <v>103183.79010289963</v>
      </c>
    </row>
    <row r="60" spans="1:8" x14ac:dyDescent="0.2">
      <c r="A60">
        <v>2018</v>
      </c>
      <c r="B60" s="3" t="str">
        <f t="shared" si="0"/>
        <v>4980</v>
      </c>
      <c r="C60" s="3" t="s">
        <v>67</v>
      </c>
      <c r="D60" s="13">
        <v>2025217</v>
      </c>
      <c r="E60" s="13">
        <v>2025217</v>
      </c>
      <c r="F60" s="3">
        <f t="shared" si="1"/>
        <v>5.0846239958771003E-3</v>
      </c>
      <c r="G60" s="3">
        <f t="shared" si="2"/>
        <v>306251.9929802976</v>
      </c>
      <c r="H60" s="2">
        <f t="shared" si="3"/>
        <v>2331468.9929802977</v>
      </c>
    </row>
    <row r="61" spans="1:8" x14ac:dyDescent="0.2">
      <c r="A61">
        <v>2018</v>
      </c>
      <c r="B61" s="3" t="str">
        <f t="shared" si="0"/>
        <v>4981</v>
      </c>
      <c r="C61" s="3" t="s">
        <v>68</v>
      </c>
      <c r="D61" s="13">
        <v>4227702</v>
      </c>
      <c r="E61" s="13">
        <v>4227702</v>
      </c>
      <c r="F61" s="3">
        <f t="shared" si="1"/>
        <v>1.0614307028144445E-2</v>
      </c>
      <c r="G61" s="3">
        <f t="shared" si="2"/>
        <v>639310.33722647512</v>
      </c>
      <c r="H61" s="2">
        <f t="shared" si="3"/>
        <v>4867012.3372264747</v>
      </c>
    </row>
    <row r="62" spans="1:8" x14ac:dyDescent="0.2">
      <c r="A62">
        <v>2018</v>
      </c>
      <c r="B62" s="3" t="str">
        <f t="shared" si="0"/>
        <v>4982</v>
      </c>
      <c r="C62" s="3" t="s">
        <v>69</v>
      </c>
      <c r="D62" s="13">
        <v>45305760</v>
      </c>
      <c r="E62" s="13">
        <v>45305760</v>
      </c>
      <c r="F62" s="3">
        <f t="shared" si="1"/>
        <v>0.11374719570665706</v>
      </c>
      <c r="G62" s="3">
        <f t="shared" si="2"/>
        <v>6851107.4583548568</v>
      </c>
      <c r="H62" s="2">
        <f t="shared" si="3"/>
        <v>52156867.458354861</v>
      </c>
    </row>
    <row r="63" spans="1:8" x14ac:dyDescent="0.2">
      <c r="A63">
        <v>2018</v>
      </c>
      <c r="B63" s="3" t="str">
        <f t="shared" si="0"/>
        <v>4983</v>
      </c>
      <c r="C63" s="3" t="s">
        <v>70</v>
      </c>
      <c r="D63" s="13">
        <v>5458916</v>
      </c>
      <c r="E63" s="13">
        <v>5458916</v>
      </c>
      <c r="F63" s="3">
        <f t="shared" si="1"/>
        <v>1.3705462320866078E-2</v>
      </c>
      <c r="G63" s="3">
        <f t="shared" si="2"/>
        <v>825493.7147535471</v>
      </c>
      <c r="H63" s="2">
        <f t="shared" si="3"/>
        <v>6284409.7147535468</v>
      </c>
    </row>
    <row r="64" spans="1:8" x14ac:dyDescent="0.2">
      <c r="A64">
        <v>2018</v>
      </c>
      <c r="B64" s="3" t="str">
        <f t="shared" si="0"/>
        <v>4984</v>
      </c>
      <c r="C64" s="3" t="s">
        <v>71</v>
      </c>
      <c r="D64" s="13">
        <v>1749398</v>
      </c>
      <c r="E64" s="13">
        <v>1749398</v>
      </c>
      <c r="F64" s="3">
        <f t="shared" si="1"/>
        <v>4.3921372619030001E-3</v>
      </c>
      <c r="G64" s="3">
        <f t="shared" si="2"/>
        <v>264542.82381381688</v>
      </c>
      <c r="H64" s="2">
        <f t="shared" si="3"/>
        <v>2013940.823813817</v>
      </c>
    </row>
    <row r="65" spans="1:8" x14ac:dyDescent="0.2">
      <c r="A65">
        <v>2018</v>
      </c>
      <c r="B65" s="3" t="str">
        <f t="shared" si="0"/>
        <v>4985</v>
      </c>
      <c r="C65" s="3" t="s">
        <v>72</v>
      </c>
      <c r="D65" s="13">
        <v>3815739</v>
      </c>
      <c r="E65" s="13">
        <v>3815739</v>
      </c>
      <c r="F65" s="3">
        <f t="shared" si="1"/>
        <v>9.5800094910343386E-3</v>
      </c>
      <c r="G65" s="3">
        <f t="shared" si="2"/>
        <v>577013.56123449875</v>
      </c>
      <c r="H65" s="2">
        <f t="shared" si="3"/>
        <v>4392752.5612344984</v>
      </c>
    </row>
    <row r="66" spans="1:8" x14ac:dyDescent="0.2">
      <c r="A66">
        <v>2018</v>
      </c>
      <c r="B66" s="3" t="str">
        <f t="shared" si="0"/>
        <v>4986</v>
      </c>
      <c r="C66" s="3" t="s">
        <v>73</v>
      </c>
      <c r="D66" s="13">
        <v>4215026</v>
      </c>
      <c r="E66" s="13">
        <v>4215026</v>
      </c>
      <c r="F66" s="3">
        <f t="shared" si="1"/>
        <v>1.0582481947784297E-2</v>
      </c>
      <c r="G66" s="3">
        <f t="shared" si="2"/>
        <v>637393.48077947798</v>
      </c>
      <c r="H66" s="2">
        <f t="shared" si="3"/>
        <v>4852419.4807794783</v>
      </c>
    </row>
    <row r="67" spans="1:8" x14ac:dyDescent="0.2">
      <c r="A67">
        <v>2018</v>
      </c>
      <c r="B67" s="3" t="str">
        <f t="shared" ref="B67:B130" si="4">LEFT(C67,4)</f>
        <v>4987</v>
      </c>
      <c r="C67" s="3" t="s">
        <v>74</v>
      </c>
      <c r="D67" s="13">
        <v>580215</v>
      </c>
      <c r="E67" s="13">
        <v>580215</v>
      </c>
      <c r="F67" s="3">
        <f t="shared" ref="F67:F130" si="5">E67/$D$340</f>
        <v>1.4567204955162E-3</v>
      </c>
      <c r="G67" s="3">
        <f t="shared" ref="G67:G130" si="6">F67*$D$341</f>
        <v>87739.733622156738</v>
      </c>
      <c r="H67" s="2">
        <f t="shared" ref="H67:H130" si="7">SUM(G67,D67)</f>
        <v>667954.73362215678</v>
      </c>
    </row>
    <row r="68" spans="1:8" x14ac:dyDescent="0.2">
      <c r="A68">
        <v>2018</v>
      </c>
      <c r="B68" s="3" t="str">
        <f t="shared" si="4"/>
        <v>4988</v>
      </c>
      <c r="C68" s="3" t="s">
        <v>75</v>
      </c>
      <c r="D68" s="13">
        <v>2057332</v>
      </c>
      <c r="E68" s="13">
        <v>2057332</v>
      </c>
      <c r="F68" s="3">
        <f t="shared" si="5"/>
        <v>5.165253725741897E-3</v>
      </c>
      <c r="G68" s="3">
        <f t="shared" si="6"/>
        <v>311108.40232041391</v>
      </c>
      <c r="H68" s="2">
        <f t="shared" si="7"/>
        <v>2368440.4023204139</v>
      </c>
    </row>
    <row r="69" spans="1:8" x14ac:dyDescent="0.2">
      <c r="A69">
        <v>2018</v>
      </c>
      <c r="B69" s="3" t="str">
        <f t="shared" si="4"/>
        <v>4990</v>
      </c>
      <c r="C69" s="3" t="s">
        <v>76</v>
      </c>
      <c r="D69" s="13">
        <v>115191</v>
      </c>
      <c r="E69" s="13">
        <v>115191</v>
      </c>
      <c r="F69" s="3">
        <f t="shared" si="5"/>
        <v>2.8920501986161437E-4</v>
      </c>
      <c r="G69" s="3">
        <f t="shared" si="6"/>
        <v>17419.107840489916</v>
      </c>
      <c r="H69" s="2">
        <f t="shared" si="7"/>
        <v>132610.10784048992</v>
      </c>
    </row>
    <row r="70" spans="1:8" x14ac:dyDescent="0.2">
      <c r="A70">
        <v>2018</v>
      </c>
      <c r="B70" s="3" t="str">
        <f t="shared" si="4"/>
        <v>4991</v>
      </c>
      <c r="C70" s="3" t="s">
        <v>77</v>
      </c>
      <c r="D70" s="13">
        <v>862098</v>
      </c>
      <c r="E70" s="13">
        <v>862098</v>
      </c>
      <c r="F70" s="3">
        <f t="shared" si="5"/>
        <v>2.1644318498203682E-3</v>
      </c>
      <c r="G70" s="3">
        <f t="shared" si="6"/>
        <v>130365.89691096244</v>
      </c>
      <c r="H70" s="2">
        <f t="shared" si="7"/>
        <v>992463.89691096242</v>
      </c>
    </row>
    <row r="71" spans="1:8" x14ac:dyDescent="0.2">
      <c r="A71">
        <v>2018</v>
      </c>
      <c r="B71" s="3" t="str">
        <f t="shared" si="4"/>
        <v>4992</v>
      </c>
      <c r="C71" s="3" t="s">
        <v>78</v>
      </c>
      <c r="D71" s="13">
        <v>211557</v>
      </c>
      <c r="E71" s="13">
        <v>211557</v>
      </c>
      <c r="F71" s="3">
        <f t="shared" si="5"/>
        <v>5.3114693324012767E-4</v>
      </c>
      <c r="G71" s="3">
        <f t="shared" si="6"/>
        <v>31991.511467133063</v>
      </c>
      <c r="H71" s="2">
        <f t="shared" si="7"/>
        <v>243548.51146713307</v>
      </c>
    </row>
    <row r="72" spans="1:8" x14ac:dyDescent="0.2">
      <c r="A72">
        <v>2018</v>
      </c>
      <c r="B72" s="3" t="str">
        <f t="shared" si="4"/>
        <v>4993</v>
      </c>
      <c r="C72" s="3" t="s">
        <v>79</v>
      </c>
      <c r="D72" s="13">
        <v>699682</v>
      </c>
      <c r="E72" s="13">
        <v>699682</v>
      </c>
      <c r="F72" s="3">
        <f t="shared" si="5"/>
        <v>1.7566610820881326E-3</v>
      </c>
      <c r="G72" s="3">
        <f t="shared" si="6"/>
        <v>105805.4553919114</v>
      </c>
      <c r="H72" s="2">
        <f t="shared" si="7"/>
        <v>805487.45539191144</v>
      </c>
    </row>
    <row r="73" spans="1:8" x14ac:dyDescent="0.2">
      <c r="A73">
        <v>2018</v>
      </c>
      <c r="B73" s="3" t="str">
        <f t="shared" si="4"/>
        <v>4994</v>
      </c>
      <c r="C73" s="3" t="s">
        <v>80</v>
      </c>
      <c r="D73" s="13">
        <v>171579</v>
      </c>
      <c r="E73" s="13">
        <v>171579</v>
      </c>
      <c r="F73" s="3">
        <f t="shared" si="5"/>
        <v>4.3077591220525854E-4</v>
      </c>
      <c r="G73" s="3">
        <f t="shared" si="6"/>
        <v>25946.064398810839</v>
      </c>
      <c r="H73" s="2">
        <f t="shared" si="7"/>
        <v>197525.06439881085</v>
      </c>
    </row>
    <row r="74" spans="1:8" x14ac:dyDescent="0.2">
      <c r="A74">
        <v>2018</v>
      </c>
      <c r="B74" s="3" t="str">
        <f t="shared" si="4"/>
        <v>4995</v>
      </c>
      <c r="C74" s="3" t="s">
        <v>81</v>
      </c>
      <c r="D74" s="13">
        <v>702856</v>
      </c>
      <c r="E74" s="13">
        <v>702856</v>
      </c>
      <c r="F74" s="3">
        <f t="shared" si="5"/>
        <v>1.764629905460104E-3</v>
      </c>
      <c r="G74" s="3">
        <f t="shared" si="6"/>
        <v>106285.42560039743</v>
      </c>
      <c r="H74" s="2">
        <f t="shared" si="7"/>
        <v>809141.4256003974</v>
      </c>
    </row>
    <row r="75" spans="1:8" x14ac:dyDescent="0.2">
      <c r="A75">
        <v>2018</v>
      </c>
      <c r="B75" s="3" t="str">
        <f t="shared" si="4"/>
        <v>4996</v>
      </c>
      <c r="C75" s="3" t="s">
        <v>82</v>
      </c>
      <c r="D75" s="13">
        <v>204456</v>
      </c>
      <c r="E75" s="13">
        <v>204456</v>
      </c>
      <c r="F75" s="3">
        <f t="shared" si="5"/>
        <v>5.1331876223686078E-4</v>
      </c>
      <c r="G75" s="3">
        <f t="shared" si="6"/>
        <v>30917.702881607125</v>
      </c>
      <c r="H75" s="2">
        <f t="shared" si="7"/>
        <v>235373.70288160711</v>
      </c>
    </row>
    <row r="76" spans="1:8" x14ac:dyDescent="0.2">
      <c r="A76">
        <v>2018</v>
      </c>
      <c r="B76" s="3" t="str">
        <f t="shared" si="4"/>
        <v>4997</v>
      </c>
      <c r="C76" s="3" t="s">
        <v>83</v>
      </c>
      <c r="D76" s="13">
        <v>3260183</v>
      </c>
      <c r="E76" s="13">
        <v>3260183</v>
      </c>
      <c r="F76" s="3">
        <f t="shared" si="5"/>
        <v>8.1851992713623239E-3</v>
      </c>
      <c r="G76" s="3">
        <f t="shared" si="6"/>
        <v>493002.74549862341</v>
      </c>
      <c r="H76" s="2">
        <f t="shared" si="7"/>
        <v>3753185.7454986232</v>
      </c>
    </row>
    <row r="77" spans="1:8" x14ac:dyDescent="0.2">
      <c r="A77">
        <v>2018</v>
      </c>
      <c r="B77" s="3" t="str">
        <f t="shared" si="4"/>
        <v>4998</v>
      </c>
      <c r="C77" s="3" t="s">
        <v>84</v>
      </c>
      <c r="D77" s="13">
        <v>396135</v>
      </c>
      <c r="E77" s="13">
        <v>396135</v>
      </c>
      <c r="F77" s="3">
        <f t="shared" si="5"/>
        <v>9.9455886781849804E-4</v>
      </c>
      <c r="G77" s="3">
        <f t="shared" si="6"/>
        <v>59903.276162134825</v>
      </c>
      <c r="H77" s="2">
        <f t="shared" si="7"/>
        <v>456038.27616213483</v>
      </c>
    </row>
    <row r="78" spans="1:8" x14ac:dyDescent="0.2">
      <c r="A78">
        <v>2018</v>
      </c>
      <c r="B78" s="3" t="str">
        <f t="shared" si="4"/>
        <v>4999</v>
      </c>
      <c r="C78" s="3" t="s">
        <v>352</v>
      </c>
      <c r="D78" s="13">
        <v>5398053</v>
      </c>
      <c r="E78" s="13">
        <v>5398053</v>
      </c>
      <c r="F78" s="3">
        <f t="shared" si="5"/>
        <v>1.3552656241191126E-2</v>
      </c>
      <c r="G78" s="3">
        <f t="shared" si="6"/>
        <v>816290.05161583889</v>
      </c>
      <c r="H78" s="2">
        <f t="shared" si="7"/>
        <v>6214343.0516158389</v>
      </c>
    </row>
    <row r="79" spans="1:8" x14ac:dyDescent="0.2">
      <c r="A79">
        <v>2018</v>
      </c>
      <c r="B79" s="3" t="str">
        <f t="shared" si="4"/>
        <v>5000</v>
      </c>
      <c r="C79" s="3" t="s">
        <v>86</v>
      </c>
      <c r="D79" s="13">
        <v>3339758</v>
      </c>
      <c r="E79" s="13">
        <v>3339758</v>
      </c>
      <c r="F79" s="3">
        <f t="shared" si="5"/>
        <v>8.3849847533486593E-3</v>
      </c>
      <c r="G79" s="3">
        <f t="shared" si="6"/>
        <v>505036.02506392787</v>
      </c>
      <c r="H79" s="2">
        <f t="shared" si="7"/>
        <v>3844794.0250639278</v>
      </c>
    </row>
    <row r="80" spans="1:8" x14ac:dyDescent="0.2">
      <c r="A80">
        <v>2018</v>
      </c>
      <c r="B80" s="3" t="str">
        <f t="shared" si="4"/>
        <v>5001</v>
      </c>
      <c r="C80" s="3" t="s">
        <v>87</v>
      </c>
      <c r="D80" s="13">
        <v>235833</v>
      </c>
      <c r="E80" s="13">
        <v>235833</v>
      </c>
      <c r="F80" s="3">
        <f t="shared" si="5"/>
        <v>5.9209562768813622E-4</v>
      </c>
      <c r="G80" s="3">
        <f t="shared" si="6"/>
        <v>35662.512343379763</v>
      </c>
      <c r="H80" s="2">
        <f t="shared" si="7"/>
        <v>271495.51234337979</v>
      </c>
    </row>
    <row r="81" spans="1:8" x14ac:dyDescent="0.2">
      <c r="A81">
        <v>2018</v>
      </c>
      <c r="B81" s="3" t="str">
        <f t="shared" si="4"/>
        <v>5002</v>
      </c>
      <c r="C81" s="3" t="s">
        <v>88</v>
      </c>
      <c r="D81" s="13">
        <v>81551</v>
      </c>
      <c r="E81" s="13">
        <v>81551</v>
      </c>
      <c r="F81" s="3">
        <f t="shared" si="5"/>
        <v>2.0474653900681922E-4</v>
      </c>
      <c r="G81" s="3">
        <f t="shared" si="6"/>
        <v>12332.088995666267</v>
      </c>
      <c r="H81" s="2">
        <f t="shared" si="7"/>
        <v>93883.088995666272</v>
      </c>
    </row>
    <row r="82" spans="1:8" x14ac:dyDescent="0.2">
      <c r="A82">
        <v>2018</v>
      </c>
      <c r="B82" s="3" t="str">
        <f t="shared" si="4"/>
        <v>5004</v>
      </c>
      <c r="C82" s="3" t="s">
        <v>89</v>
      </c>
      <c r="D82" s="13">
        <v>1002492</v>
      </c>
      <c r="E82" s="13">
        <v>1002492</v>
      </c>
      <c r="F82" s="3">
        <f t="shared" si="5"/>
        <v>2.516912942600633E-3</v>
      </c>
      <c r="G82" s="3">
        <f t="shared" si="6"/>
        <v>151596.18596269167</v>
      </c>
      <c r="H82" s="2">
        <f t="shared" si="7"/>
        <v>1154088.1859626917</v>
      </c>
    </row>
    <row r="83" spans="1:8" x14ac:dyDescent="0.2">
      <c r="A83">
        <v>2018</v>
      </c>
      <c r="B83" s="3" t="str">
        <f t="shared" si="4"/>
        <v>5005</v>
      </c>
      <c r="C83" s="3" t="s">
        <v>90</v>
      </c>
      <c r="D83" s="13">
        <v>546423</v>
      </c>
      <c r="E83" s="13">
        <v>546423</v>
      </c>
      <c r="F83" s="3">
        <f t="shared" si="5"/>
        <v>1.3718803948905983E-3</v>
      </c>
      <c r="G83" s="3">
        <f t="shared" si="6"/>
        <v>82629.729436536029</v>
      </c>
      <c r="H83" s="2">
        <f t="shared" si="7"/>
        <v>629052.72943653609</v>
      </c>
    </row>
    <row r="84" spans="1:8" x14ac:dyDescent="0.2">
      <c r="A84">
        <v>2018</v>
      </c>
      <c r="B84" s="3" t="str">
        <f t="shared" si="4"/>
        <v>5006</v>
      </c>
      <c r="C84" s="3" t="s">
        <v>91</v>
      </c>
      <c r="D84" s="13">
        <v>210785</v>
      </c>
      <c r="E84" s="13">
        <v>210785</v>
      </c>
      <c r="F84" s="3">
        <f t="shared" si="5"/>
        <v>5.2920870650945292E-4</v>
      </c>
      <c r="G84" s="3">
        <f t="shared" si="6"/>
        <v>31874.770130979567</v>
      </c>
      <c r="H84" s="2">
        <f t="shared" si="7"/>
        <v>242659.77013097957</v>
      </c>
    </row>
    <row r="85" spans="1:8" x14ac:dyDescent="0.2">
      <c r="A85">
        <v>2018</v>
      </c>
      <c r="B85" s="3" t="str">
        <f t="shared" si="4"/>
        <v>5007</v>
      </c>
      <c r="C85" s="3" t="s">
        <v>143</v>
      </c>
      <c r="D85" s="13">
        <v>138820</v>
      </c>
      <c r="E85" s="13">
        <v>138820</v>
      </c>
      <c r="F85" s="3">
        <f t="shared" si="5"/>
        <v>3.485293196273086E-4</v>
      </c>
      <c r="G85" s="3">
        <f t="shared" si="6"/>
        <v>20992.269799001744</v>
      </c>
      <c r="H85" s="2">
        <f t="shared" si="7"/>
        <v>159812.26979900175</v>
      </c>
    </row>
    <row r="86" spans="1:8" x14ac:dyDescent="0.2">
      <c r="A86">
        <v>2018</v>
      </c>
      <c r="B86" s="3" t="str">
        <f t="shared" si="4"/>
        <v>5008</v>
      </c>
      <c r="C86" s="3" t="s">
        <v>92</v>
      </c>
      <c r="D86" s="13">
        <v>581526</v>
      </c>
      <c r="E86" s="13">
        <v>581526</v>
      </c>
      <c r="F86" s="3">
        <f t="shared" si="5"/>
        <v>1.4600119660394056E-3</v>
      </c>
      <c r="G86" s="3">
        <f t="shared" si="6"/>
        <v>87937.982186531401</v>
      </c>
      <c r="H86" s="2">
        <f t="shared" si="7"/>
        <v>669463.98218653142</v>
      </c>
    </row>
    <row r="87" spans="1:8" x14ac:dyDescent="0.2">
      <c r="A87">
        <v>2018</v>
      </c>
      <c r="B87" s="3" t="str">
        <f t="shared" si="4"/>
        <v>5010</v>
      </c>
      <c r="C87" s="3" t="s">
        <v>93</v>
      </c>
      <c r="D87" s="13">
        <v>1396967</v>
      </c>
      <c r="E87" s="13">
        <v>1396967</v>
      </c>
      <c r="F87" s="3">
        <f t="shared" si="5"/>
        <v>3.5073041208169026E-3</v>
      </c>
      <c r="G87" s="3">
        <f t="shared" si="6"/>
        <v>211248.43800822698</v>
      </c>
      <c r="H87" s="2">
        <f t="shared" si="7"/>
        <v>1608215.4380082269</v>
      </c>
    </row>
    <row r="88" spans="1:8" x14ac:dyDescent="0.2">
      <c r="A88">
        <v>2018</v>
      </c>
      <c r="B88" s="3" t="str">
        <f t="shared" si="4"/>
        <v>5011</v>
      </c>
      <c r="C88" s="3" t="s">
        <v>94</v>
      </c>
      <c r="D88" s="13">
        <v>479264</v>
      </c>
      <c r="E88" s="13">
        <v>479264</v>
      </c>
      <c r="F88" s="3">
        <f t="shared" si="5"/>
        <v>1.2032672226038211E-3</v>
      </c>
      <c r="G88" s="3">
        <f t="shared" si="6"/>
        <v>72473.989287917968</v>
      </c>
      <c r="H88" s="2">
        <f t="shared" si="7"/>
        <v>551737.98928791797</v>
      </c>
    </row>
    <row r="89" spans="1:8" x14ac:dyDescent="0.2">
      <c r="A89">
        <v>2018</v>
      </c>
      <c r="B89" s="3" t="str">
        <f t="shared" si="4"/>
        <v>5012</v>
      </c>
      <c r="C89" s="3" t="s">
        <v>95</v>
      </c>
      <c r="D89" s="13">
        <v>316427</v>
      </c>
      <c r="E89" s="13">
        <v>316427</v>
      </c>
      <c r="F89" s="3">
        <f t="shared" si="5"/>
        <v>7.9443946853270696E-4</v>
      </c>
      <c r="G89" s="3">
        <f t="shared" si="6"/>
        <v>47849.884423632939</v>
      </c>
      <c r="H89" s="2">
        <f t="shared" si="7"/>
        <v>364276.88442363293</v>
      </c>
    </row>
    <row r="90" spans="1:8" x14ac:dyDescent="0.2">
      <c r="A90">
        <v>2018</v>
      </c>
      <c r="B90" s="3" t="str">
        <f t="shared" si="4"/>
        <v>5013</v>
      </c>
      <c r="C90" s="3" t="s">
        <v>96</v>
      </c>
      <c r="D90" s="13">
        <v>5497940</v>
      </c>
      <c r="E90" s="13">
        <v>5497940</v>
      </c>
      <c r="F90" s="3">
        <f t="shared" si="5"/>
        <v>1.3803438175707861E-2</v>
      </c>
      <c r="G90" s="3">
        <f t="shared" si="6"/>
        <v>831394.89856449829</v>
      </c>
      <c r="H90" s="2">
        <f t="shared" si="7"/>
        <v>6329334.8985644979</v>
      </c>
    </row>
    <row r="91" spans="1:8" x14ac:dyDescent="0.2">
      <c r="A91">
        <v>2018</v>
      </c>
      <c r="B91" s="3" t="str">
        <f t="shared" si="4"/>
        <v>5014</v>
      </c>
      <c r="C91" s="3" t="s">
        <v>97</v>
      </c>
      <c r="D91" s="13">
        <v>1365518</v>
      </c>
      <c r="E91" s="13">
        <v>1365518</v>
      </c>
      <c r="F91" s="3">
        <f t="shared" si="5"/>
        <v>3.4283464881057716E-3</v>
      </c>
      <c r="G91" s="3">
        <f t="shared" si="6"/>
        <v>206492.74075344522</v>
      </c>
      <c r="H91" s="2">
        <f t="shared" si="7"/>
        <v>1572010.7407534453</v>
      </c>
    </row>
    <row r="92" spans="1:8" x14ac:dyDescent="0.2">
      <c r="A92">
        <v>2018</v>
      </c>
      <c r="B92" s="3" t="str">
        <f t="shared" si="4"/>
        <v>5015</v>
      </c>
      <c r="C92" s="3" t="s">
        <v>98</v>
      </c>
      <c r="D92" s="13">
        <v>320706</v>
      </c>
      <c r="E92" s="13">
        <v>320706</v>
      </c>
      <c r="F92" s="3">
        <f t="shared" si="5"/>
        <v>8.0518256721218585E-4</v>
      </c>
      <c r="G92" s="3">
        <f t="shared" si="6"/>
        <v>48496.952010939734</v>
      </c>
      <c r="H92" s="2">
        <f t="shared" si="7"/>
        <v>369202.95201093971</v>
      </c>
    </row>
    <row r="93" spans="1:8" x14ac:dyDescent="0.2">
      <c r="A93">
        <v>2018</v>
      </c>
      <c r="B93" s="3" t="str">
        <f t="shared" si="4"/>
        <v>5016</v>
      </c>
      <c r="C93" s="3" t="s">
        <v>99</v>
      </c>
      <c r="D93" s="13">
        <v>471611</v>
      </c>
      <c r="E93" s="13">
        <v>471611</v>
      </c>
      <c r="F93" s="3">
        <f t="shared" si="5"/>
        <v>1.1840531692749938E-3</v>
      </c>
      <c r="G93" s="3">
        <f t="shared" si="6"/>
        <v>71316.707622655318</v>
      </c>
      <c r="H93" s="2">
        <f t="shared" si="7"/>
        <v>542927.70762265532</v>
      </c>
    </row>
    <row r="94" spans="1:8" x14ac:dyDescent="0.2">
      <c r="A94">
        <v>2018</v>
      </c>
      <c r="B94" s="3" t="str">
        <f t="shared" si="4"/>
        <v>5017</v>
      </c>
      <c r="C94" s="3" t="s">
        <v>100</v>
      </c>
      <c r="D94" s="13">
        <v>3060192</v>
      </c>
      <c r="E94" s="13">
        <v>3060192</v>
      </c>
      <c r="F94" s="3">
        <f t="shared" si="5"/>
        <v>7.6830905898929037E-3</v>
      </c>
      <c r="G94" s="3">
        <f t="shared" si="6"/>
        <v>462760.23700293008</v>
      </c>
      <c r="H94" s="2">
        <f t="shared" si="7"/>
        <v>3522952.2370029301</v>
      </c>
    </row>
    <row r="95" spans="1:8" x14ac:dyDescent="0.2">
      <c r="A95">
        <v>2018</v>
      </c>
      <c r="B95" s="3" t="str">
        <f t="shared" si="4"/>
        <v>5018</v>
      </c>
      <c r="C95" s="3" t="s">
        <v>101</v>
      </c>
      <c r="D95" s="13">
        <v>224638</v>
      </c>
      <c r="E95" s="13">
        <v>224638</v>
      </c>
      <c r="F95" s="3">
        <f t="shared" si="5"/>
        <v>5.6398882943696407E-4</v>
      </c>
      <c r="G95" s="3">
        <f t="shared" si="6"/>
        <v>33969.611749806609</v>
      </c>
      <c r="H95" s="2">
        <f t="shared" si="7"/>
        <v>258607.61174980662</v>
      </c>
    </row>
    <row r="96" spans="1:8" x14ac:dyDescent="0.2">
      <c r="A96">
        <v>2018</v>
      </c>
      <c r="B96" s="3" t="str">
        <f t="shared" si="4"/>
        <v>5019</v>
      </c>
      <c r="C96" s="3" t="s">
        <v>102</v>
      </c>
      <c r="D96" s="13">
        <v>2100406</v>
      </c>
      <c r="E96" s="13">
        <v>2100406</v>
      </c>
      <c r="F96" s="3">
        <f t="shared" si="5"/>
        <v>5.2733977389505604E-3</v>
      </c>
      <c r="G96" s="3">
        <f t="shared" si="6"/>
        <v>317622.02448812895</v>
      </c>
      <c r="H96" s="2">
        <f t="shared" si="7"/>
        <v>2418028.0244881287</v>
      </c>
    </row>
    <row r="97" spans="1:8" x14ac:dyDescent="0.2">
      <c r="A97">
        <v>2018</v>
      </c>
      <c r="B97" s="3" t="str">
        <f t="shared" si="4"/>
        <v>5020</v>
      </c>
      <c r="C97" s="3" t="s">
        <v>103</v>
      </c>
      <c r="D97" s="13">
        <v>6589894</v>
      </c>
      <c r="E97" s="13">
        <v>6589894</v>
      </c>
      <c r="F97" s="3">
        <f t="shared" si="5"/>
        <v>1.6544959459991956E-2</v>
      </c>
      <c r="G97" s="3">
        <f t="shared" si="6"/>
        <v>996519.46977973497</v>
      </c>
      <c r="H97" s="2">
        <f t="shared" si="7"/>
        <v>7586413.4697797354</v>
      </c>
    </row>
    <row r="98" spans="1:8" x14ac:dyDescent="0.2">
      <c r="A98">
        <v>2018</v>
      </c>
      <c r="B98" s="3" t="str">
        <f t="shared" si="4"/>
        <v>5021</v>
      </c>
      <c r="C98" s="3" t="s">
        <v>104</v>
      </c>
      <c r="D98" s="13">
        <v>205075</v>
      </c>
      <c r="E98" s="13">
        <v>205075</v>
      </c>
      <c r="F98" s="3">
        <f t="shared" si="5"/>
        <v>5.1487285854034232E-4</v>
      </c>
      <c r="G98" s="3">
        <f t="shared" si="6"/>
        <v>31011.307657616217</v>
      </c>
      <c r="H98" s="2">
        <f t="shared" si="7"/>
        <v>236086.30765761621</v>
      </c>
    </row>
    <row r="99" spans="1:8" x14ac:dyDescent="0.2">
      <c r="A99">
        <v>2018</v>
      </c>
      <c r="B99" s="3" t="str">
        <f t="shared" si="4"/>
        <v>5022</v>
      </c>
      <c r="C99" s="3" t="s">
        <v>105</v>
      </c>
      <c r="D99" s="13">
        <v>3925597</v>
      </c>
      <c r="E99" s="13">
        <v>3925597</v>
      </c>
      <c r="F99" s="3">
        <f t="shared" si="5"/>
        <v>9.8558251803846988E-3</v>
      </c>
      <c r="G99" s="3">
        <f t="shared" si="6"/>
        <v>593626.21629557596</v>
      </c>
      <c r="H99" s="2">
        <f t="shared" si="7"/>
        <v>4519223.2162955757</v>
      </c>
    </row>
    <row r="100" spans="1:8" x14ac:dyDescent="0.2">
      <c r="A100">
        <v>2018</v>
      </c>
      <c r="B100" s="3" t="str">
        <f t="shared" si="4"/>
        <v>5024</v>
      </c>
      <c r="C100" s="3" t="s">
        <v>106</v>
      </c>
      <c r="D100" s="13">
        <v>529323</v>
      </c>
      <c r="E100" s="13">
        <v>529323</v>
      </c>
      <c r="F100" s="3">
        <f t="shared" si="5"/>
        <v>1.328948170674873E-3</v>
      </c>
      <c r="G100" s="3">
        <f t="shared" si="6"/>
        <v>80043.878596866445</v>
      </c>
      <c r="H100" s="2">
        <f t="shared" si="7"/>
        <v>609366.8785968665</v>
      </c>
    </row>
    <row r="101" spans="1:8" x14ac:dyDescent="0.2">
      <c r="A101">
        <v>2018</v>
      </c>
      <c r="B101" s="3" t="str">
        <f t="shared" si="4"/>
        <v>5025</v>
      </c>
      <c r="C101" s="3" t="s">
        <v>107</v>
      </c>
      <c r="D101" s="13">
        <v>1475474</v>
      </c>
      <c r="E101" s="13">
        <v>1475474</v>
      </c>
      <c r="F101" s="3">
        <f t="shared" si="5"/>
        <v>3.7044082217820456E-3</v>
      </c>
      <c r="G101" s="3">
        <f t="shared" si="6"/>
        <v>223120.21531056261</v>
      </c>
      <c r="H101" s="2">
        <f t="shared" si="7"/>
        <v>1698594.2153105626</v>
      </c>
    </row>
    <row r="102" spans="1:8" x14ac:dyDescent="0.2">
      <c r="A102">
        <v>2018</v>
      </c>
      <c r="B102" s="3" t="str">
        <f t="shared" si="4"/>
        <v>5026</v>
      </c>
      <c r="C102" s="3" t="s">
        <v>108</v>
      </c>
      <c r="D102" s="13">
        <v>347008</v>
      </c>
      <c r="E102" s="13">
        <v>347008</v>
      </c>
      <c r="F102" s="3">
        <f t="shared" si="5"/>
        <v>8.7121785150002238E-4</v>
      </c>
      <c r="G102" s="3">
        <f t="shared" si="6"/>
        <v>52474.323284915699</v>
      </c>
      <c r="H102" s="2">
        <f t="shared" si="7"/>
        <v>399482.32328491571</v>
      </c>
    </row>
    <row r="103" spans="1:8" x14ac:dyDescent="0.2">
      <c r="A103">
        <v>2018</v>
      </c>
      <c r="B103" s="3" t="str">
        <f t="shared" si="4"/>
        <v>5027</v>
      </c>
      <c r="C103" s="3" t="s">
        <v>109</v>
      </c>
      <c r="D103" s="13">
        <v>4741804</v>
      </c>
      <c r="E103" s="13">
        <v>4741804</v>
      </c>
      <c r="F103" s="3">
        <f t="shared" si="5"/>
        <v>1.190504049795455E-2</v>
      </c>
      <c r="G103" s="3">
        <f t="shared" si="6"/>
        <v>717052.50613734103</v>
      </c>
      <c r="H103" s="2">
        <f t="shared" si="7"/>
        <v>5458856.5061373413</v>
      </c>
    </row>
    <row r="104" spans="1:8" x14ac:dyDescent="0.2">
      <c r="A104">
        <v>2018</v>
      </c>
      <c r="B104" s="3" t="str">
        <f t="shared" si="4"/>
        <v>5028</v>
      </c>
      <c r="C104" s="3" t="s">
        <v>110</v>
      </c>
      <c r="D104" s="13">
        <v>1274108</v>
      </c>
      <c r="E104" s="13">
        <v>1274108</v>
      </c>
      <c r="F104" s="3">
        <f t="shared" si="5"/>
        <v>3.1988473877806582E-3</v>
      </c>
      <c r="G104" s="3">
        <f t="shared" si="6"/>
        <v>192669.78021226422</v>
      </c>
      <c r="H104" s="2">
        <f t="shared" si="7"/>
        <v>1466777.7802122643</v>
      </c>
    </row>
    <row r="105" spans="1:8" x14ac:dyDescent="0.2">
      <c r="A105">
        <v>2018</v>
      </c>
      <c r="B105" s="3" t="str">
        <f t="shared" si="4"/>
        <v>5029</v>
      </c>
      <c r="C105" s="3" t="s">
        <v>111</v>
      </c>
      <c r="D105" s="13">
        <v>507329</v>
      </c>
      <c r="E105" s="13">
        <v>507329</v>
      </c>
      <c r="F105" s="3">
        <f t="shared" si="5"/>
        <v>1.2737287941017351E-3</v>
      </c>
      <c r="G105" s="3">
        <f t="shared" si="6"/>
        <v>76717.960271270407</v>
      </c>
      <c r="H105" s="2">
        <f t="shared" si="7"/>
        <v>584046.96027127036</v>
      </c>
    </row>
    <row r="106" spans="1:8" x14ac:dyDescent="0.2">
      <c r="A106">
        <v>2018</v>
      </c>
      <c r="B106" s="3" t="str">
        <f t="shared" si="4"/>
        <v>5031</v>
      </c>
      <c r="C106" s="3" t="s">
        <v>112</v>
      </c>
      <c r="D106" s="13">
        <v>7919218</v>
      </c>
      <c r="E106" s="13">
        <v>7919218</v>
      </c>
      <c r="F106" s="3">
        <f t="shared" si="5"/>
        <v>1.9882435250830829E-2</v>
      </c>
      <c r="G106" s="3">
        <f t="shared" si="6"/>
        <v>1197538.9774752269</v>
      </c>
      <c r="H106" s="2">
        <f t="shared" si="7"/>
        <v>9116756.9774752259</v>
      </c>
    </row>
    <row r="107" spans="1:8" x14ac:dyDescent="0.2">
      <c r="A107">
        <v>2018</v>
      </c>
      <c r="B107" s="3" t="str">
        <f t="shared" si="4"/>
        <v>5032</v>
      </c>
      <c r="C107" s="3" t="s">
        <v>359</v>
      </c>
      <c r="D107" s="13">
        <v>658275</v>
      </c>
      <c r="E107" s="13">
        <v>658275</v>
      </c>
      <c r="F107" s="3">
        <f t="shared" si="5"/>
        <v>1.6527023330764052E-3</v>
      </c>
      <c r="G107" s="3">
        <f t="shared" si="6"/>
        <v>99543.9158762273</v>
      </c>
      <c r="H107" s="2">
        <f t="shared" si="7"/>
        <v>757818.91587622731</v>
      </c>
    </row>
    <row r="108" spans="1:8" x14ac:dyDescent="0.2">
      <c r="A108">
        <v>2018</v>
      </c>
      <c r="B108" s="3" t="str">
        <f t="shared" si="4"/>
        <v>5033</v>
      </c>
      <c r="C108" s="3" t="s">
        <v>114</v>
      </c>
      <c r="D108" s="13">
        <v>454458</v>
      </c>
      <c r="E108" s="13">
        <v>454458</v>
      </c>
      <c r="F108" s="3">
        <f t="shared" si="5"/>
        <v>1.1409878802707638E-3</v>
      </c>
      <c r="G108" s="3">
        <f t="shared" si="6"/>
        <v>68722.842157576262</v>
      </c>
      <c r="H108" s="2">
        <f t="shared" si="7"/>
        <v>523180.84215757623</v>
      </c>
    </row>
    <row r="109" spans="1:8" x14ac:dyDescent="0.2">
      <c r="A109">
        <v>2018</v>
      </c>
      <c r="B109" s="3" t="str">
        <f t="shared" si="4"/>
        <v>5034</v>
      </c>
      <c r="C109" s="3" t="s">
        <v>115</v>
      </c>
      <c r="D109" s="13">
        <v>224414</v>
      </c>
      <c r="E109" s="13">
        <v>224414</v>
      </c>
      <c r="F109" s="3">
        <f t="shared" si="5"/>
        <v>5.6342644240630192E-4</v>
      </c>
      <c r="G109" s="3">
        <f t="shared" si="6"/>
        <v>33935.738616000417</v>
      </c>
      <c r="H109" s="2">
        <f t="shared" si="7"/>
        <v>258349.73861600042</v>
      </c>
    </row>
    <row r="110" spans="1:8" x14ac:dyDescent="0.2">
      <c r="A110">
        <v>2018</v>
      </c>
      <c r="B110" s="3" t="str">
        <f t="shared" si="4"/>
        <v>5035</v>
      </c>
      <c r="C110" s="3" t="s">
        <v>116</v>
      </c>
      <c r="D110" s="13">
        <v>1210952</v>
      </c>
      <c r="E110" s="13">
        <v>1210952</v>
      </c>
      <c r="F110" s="3">
        <f t="shared" si="5"/>
        <v>3.0402843730105793E-3</v>
      </c>
      <c r="G110" s="3">
        <f t="shared" si="6"/>
        <v>183119.37111108459</v>
      </c>
      <c r="H110" s="2">
        <f t="shared" si="7"/>
        <v>1394071.3711110847</v>
      </c>
    </row>
    <row r="111" spans="1:8" x14ac:dyDescent="0.2">
      <c r="A111">
        <v>2018</v>
      </c>
      <c r="B111" s="3" t="str">
        <f t="shared" si="4"/>
        <v>5036</v>
      </c>
      <c r="C111" s="3" t="s">
        <v>117</v>
      </c>
      <c r="D111" s="13">
        <v>663420</v>
      </c>
      <c r="E111" s="13">
        <v>663420</v>
      </c>
      <c r="F111" s="3">
        <f t="shared" si="5"/>
        <v>1.6656196601869261E-3</v>
      </c>
      <c r="G111" s="3">
        <f t="shared" si="6"/>
        <v>100321.9394183384</v>
      </c>
      <c r="H111" s="2">
        <f t="shared" si="7"/>
        <v>763741.93941833836</v>
      </c>
    </row>
    <row r="112" spans="1:8" x14ac:dyDescent="0.2">
      <c r="A112">
        <v>2018</v>
      </c>
      <c r="B112" s="3" t="str">
        <f t="shared" si="4"/>
        <v>5037</v>
      </c>
      <c r="C112" s="3" t="s">
        <v>118</v>
      </c>
      <c r="D112" s="13">
        <v>2684773</v>
      </c>
      <c r="E112" s="13">
        <v>2684773</v>
      </c>
      <c r="F112" s="3">
        <f t="shared" si="5"/>
        <v>6.7405424797851053E-3</v>
      </c>
      <c r="G112" s="3">
        <f t="shared" si="6"/>
        <v>405989.62084047915</v>
      </c>
      <c r="H112" s="2">
        <f t="shared" si="7"/>
        <v>3090762.6208404792</v>
      </c>
    </row>
    <row r="113" spans="1:8" x14ac:dyDescent="0.2">
      <c r="A113">
        <v>2018</v>
      </c>
      <c r="B113" s="3" t="str">
        <f t="shared" si="4"/>
        <v>5038</v>
      </c>
      <c r="C113" s="3" t="s">
        <v>119</v>
      </c>
      <c r="D113" s="13">
        <v>258450</v>
      </c>
      <c r="E113" s="13">
        <v>258450</v>
      </c>
      <c r="F113" s="3">
        <f t="shared" si="5"/>
        <v>6.4887914319030336E-4</v>
      </c>
      <c r="G113" s="3">
        <f t="shared" si="6"/>
        <v>39082.640322374304</v>
      </c>
      <c r="H113" s="2">
        <f t="shared" si="7"/>
        <v>297532.6403223743</v>
      </c>
    </row>
    <row r="114" spans="1:8" x14ac:dyDescent="0.2">
      <c r="A114">
        <v>2018</v>
      </c>
      <c r="B114" s="3" t="str">
        <f t="shared" si="4"/>
        <v>5039</v>
      </c>
      <c r="C114" s="3" t="s">
        <v>120</v>
      </c>
      <c r="D114" s="13">
        <v>401753</v>
      </c>
      <c r="E114" s="13">
        <v>401753</v>
      </c>
      <c r="F114" s="3">
        <f t="shared" si="5"/>
        <v>1.0086637354000153E-3</v>
      </c>
      <c r="G114" s="3">
        <f t="shared" si="6"/>
        <v>60752.826455542061</v>
      </c>
      <c r="H114" s="2">
        <f t="shared" si="7"/>
        <v>462505.82645554206</v>
      </c>
    </row>
    <row r="115" spans="1:8" x14ac:dyDescent="0.2">
      <c r="A115">
        <v>2018</v>
      </c>
      <c r="B115" s="3" t="str">
        <f t="shared" si="4"/>
        <v>5040</v>
      </c>
      <c r="C115" s="3" t="s">
        <v>121</v>
      </c>
      <c r="D115" s="13">
        <v>1133585</v>
      </c>
      <c r="E115" s="13">
        <v>1133585</v>
      </c>
      <c r="F115" s="3">
        <f t="shared" si="5"/>
        <v>2.846042420326485E-3</v>
      </c>
      <c r="G115" s="3">
        <f t="shared" si="6"/>
        <v>171419.98386472694</v>
      </c>
      <c r="H115" s="2">
        <f t="shared" si="7"/>
        <v>1305004.983864727</v>
      </c>
    </row>
    <row r="116" spans="1:8" x14ac:dyDescent="0.2">
      <c r="A116">
        <v>2018</v>
      </c>
      <c r="B116" s="3" t="str">
        <f t="shared" si="4"/>
        <v>5041</v>
      </c>
      <c r="C116" s="3" t="s">
        <v>122</v>
      </c>
      <c r="D116" s="13">
        <v>6034326</v>
      </c>
      <c r="E116" s="13">
        <v>6034326</v>
      </c>
      <c r="F116" s="3">
        <f t="shared" si="5"/>
        <v>1.51501191124433E-2</v>
      </c>
      <c r="G116" s="3">
        <f t="shared" si="6"/>
        <v>912506.83941169153</v>
      </c>
      <c r="H116" s="2">
        <f t="shared" si="7"/>
        <v>6946832.8394116918</v>
      </c>
    </row>
    <row r="117" spans="1:8" x14ac:dyDescent="0.2">
      <c r="A117">
        <v>2018</v>
      </c>
      <c r="B117" s="3" t="str">
        <f t="shared" si="4"/>
        <v>5042</v>
      </c>
      <c r="C117" s="3" t="s">
        <v>123</v>
      </c>
      <c r="D117" s="13">
        <v>1785254</v>
      </c>
      <c r="E117" s="13">
        <v>1785254</v>
      </c>
      <c r="F117" s="3">
        <f t="shared" si="5"/>
        <v>4.4821593573111315E-3</v>
      </c>
      <c r="G117" s="3">
        <f t="shared" si="6"/>
        <v>269964.94473236613</v>
      </c>
      <c r="H117" s="2">
        <f t="shared" si="7"/>
        <v>2055218.9447323661</v>
      </c>
    </row>
    <row r="118" spans="1:8" x14ac:dyDescent="0.2">
      <c r="A118">
        <v>2018</v>
      </c>
      <c r="B118" s="3" t="str">
        <f t="shared" si="4"/>
        <v>5043</v>
      </c>
      <c r="C118" s="3" t="s">
        <v>124</v>
      </c>
      <c r="D118" s="13">
        <v>2543794</v>
      </c>
      <c r="E118" s="13">
        <v>2543794</v>
      </c>
      <c r="F118" s="3">
        <f t="shared" si="5"/>
        <v>6.3865926530185125E-3</v>
      </c>
      <c r="G118" s="3">
        <f t="shared" si="6"/>
        <v>384670.86847055069</v>
      </c>
      <c r="H118" s="2">
        <f t="shared" si="7"/>
        <v>2928464.8684705505</v>
      </c>
    </row>
    <row r="119" spans="1:8" x14ac:dyDescent="0.2">
      <c r="A119">
        <v>2018</v>
      </c>
      <c r="B119" s="3" t="str">
        <f t="shared" si="4"/>
        <v>5056</v>
      </c>
      <c r="C119" s="3" t="s">
        <v>125</v>
      </c>
      <c r="D119" s="13">
        <v>287338</v>
      </c>
      <c r="E119" s="13">
        <v>287338</v>
      </c>
      <c r="F119" s="3">
        <f t="shared" si="5"/>
        <v>7.2140698489462328E-4</v>
      </c>
      <c r="G119" s="3">
        <f t="shared" si="6"/>
        <v>43451.064828595037</v>
      </c>
      <c r="H119" s="2">
        <f t="shared" si="7"/>
        <v>330789.06482859503</v>
      </c>
    </row>
    <row r="120" spans="1:8" x14ac:dyDescent="0.2">
      <c r="A120">
        <v>2018</v>
      </c>
      <c r="B120" s="3" t="str">
        <f t="shared" si="4"/>
        <v>5057</v>
      </c>
      <c r="C120" s="3" t="s">
        <v>126</v>
      </c>
      <c r="D120" s="13">
        <v>487793</v>
      </c>
      <c r="E120" s="13">
        <v>487793</v>
      </c>
      <c r="F120" s="3">
        <f t="shared" si="5"/>
        <v>1.2246806109275591E-3</v>
      </c>
      <c r="G120" s="3">
        <f t="shared" si="6"/>
        <v>73763.739101458428</v>
      </c>
      <c r="H120" s="2">
        <f t="shared" si="7"/>
        <v>561556.73910145846</v>
      </c>
    </row>
    <row r="121" spans="1:8" x14ac:dyDescent="0.2">
      <c r="A121">
        <v>2018</v>
      </c>
      <c r="B121" s="3" t="str">
        <f t="shared" si="4"/>
        <v>5058</v>
      </c>
      <c r="C121" s="3" t="s">
        <v>127</v>
      </c>
      <c r="D121" s="13">
        <v>988604</v>
      </c>
      <c r="E121" s="13">
        <v>988604</v>
      </c>
      <c r="F121" s="3">
        <f t="shared" si="5"/>
        <v>2.4820449466995808E-3</v>
      </c>
      <c r="G121" s="3">
        <f t="shared" si="6"/>
        <v>149496.05166670741</v>
      </c>
      <c r="H121" s="2">
        <f t="shared" si="7"/>
        <v>1138100.0516667075</v>
      </c>
    </row>
    <row r="122" spans="1:8" x14ac:dyDescent="0.2">
      <c r="A122">
        <v>2018</v>
      </c>
      <c r="B122" s="3" t="str">
        <f t="shared" si="4"/>
        <v>5059</v>
      </c>
      <c r="C122" s="3" t="s">
        <v>128</v>
      </c>
      <c r="D122" s="13">
        <v>320568</v>
      </c>
      <c r="E122" s="13">
        <v>320568</v>
      </c>
      <c r="F122" s="3">
        <f t="shared" si="5"/>
        <v>8.0483609663079578E-4</v>
      </c>
      <c r="G122" s="3">
        <f t="shared" si="6"/>
        <v>48476.083741005554</v>
      </c>
      <c r="H122" s="2">
        <f t="shared" si="7"/>
        <v>369044.08374100557</v>
      </c>
    </row>
    <row r="123" spans="1:8" x14ac:dyDescent="0.2">
      <c r="A123">
        <v>2018</v>
      </c>
      <c r="B123" s="3" t="str">
        <f t="shared" si="4"/>
        <v>5060</v>
      </c>
      <c r="C123" s="3" t="s">
        <v>129</v>
      </c>
      <c r="D123" s="13">
        <v>144210</v>
      </c>
      <c r="E123" s="13">
        <v>144210</v>
      </c>
      <c r="F123" s="3">
        <f t="shared" si="5"/>
        <v>3.6206175755261618E-4</v>
      </c>
      <c r="G123" s="3">
        <f t="shared" si="6"/>
        <v>21807.342081213381</v>
      </c>
      <c r="H123" s="2">
        <f t="shared" si="7"/>
        <v>166017.34208121337</v>
      </c>
    </row>
    <row r="124" spans="1:8" x14ac:dyDescent="0.2">
      <c r="A124">
        <v>2018</v>
      </c>
      <c r="B124" s="3" t="str">
        <f t="shared" si="4"/>
        <v>5061</v>
      </c>
      <c r="C124" s="3" t="s">
        <v>130</v>
      </c>
      <c r="D124" s="13">
        <v>285456</v>
      </c>
      <c r="E124" s="13">
        <v>285456</v>
      </c>
      <c r="F124" s="3">
        <f t="shared" si="5"/>
        <v>7.1668192957450661E-4</v>
      </c>
      <c r="G124" s="3">
        <f t="shared" si="6"/>
        <v>43166.470016884035</v>
      </c>
      <c r="H124" s="2">
        <f t="shared" si="7"/>
        <v>328622.47001688404</v>
      </c>
    </row>
    <row r="125" spans="1:8" x14ac:dyDescent="0.2">
      <c r="A125">
        <v>2018</v>
      </c>
      <c r="B125" s="3" t="str">
        <f t="shared" si="4"/>
        <v>5062</v>
      </c>
      <c r="C125" s="3" t="s">
        <v>131</v>
      </c>
      <c r="D125" s="13">
        <v>579205</v>
      </c>
      <c r="E125" s="13">
        <v>579205</v>
      </c>
      <c r="F125" s="3">
        <f t="shared" si="5"/>
        <v>1.4541847325654465E-3</v>
      </c>
      <c r="G125" s="3">
        <f t="shared" si="6"/>
        <v>87587.00208133414</v>
      </c>
      <c r="H125" s="2">
        <f t="shared" si="7"/>
        <v>666792.00208133413</v>
      </c>
    </row>
    <row r="126" spans="1:8" x14ac:dyDescent="0.2">
      <c r="A126">
        <v>2018</v>
      </c>
      <c r="B126" s="3" t="str">
        <f t="shared" si="4"/>
        <v>5063</v>
      </c>
      <c r="C126" s="3" t="s">
        <v>132</v>
      </c>
      <c r="D126" s="13">
        <v>446095</v>
      </c>
      <c r="E126" s="13">
        <v>446095</v>
      </c>
      <c r="F126" s="3">
        <f t="shared" si="5"/>
        <v>1.1199912609072486E-3</v>
      </c>
      <c r="G126" s="3">
        <f t="shared" si="6"/>
        <v>67458.194755695746</v>
      </c>
      <c r="H126" s="2">
        <f t="shared" si="7"/>
        <v>513553.19475569576</v>
      </c>
    </row>
    <row r="127" spans="1:8" x14ac:dyDescent="0.2">
      <c r="A127">
        <v>2018</v>
      </c>
      <c r="B127" s="3" t="str">
        <f t="shared" si="4"/>
        <v>5064</v>
      </c>
      <c r="C127" s="3" t="s">
        <v>133</v>
      </c>
      <c r="D127" s="13">
        <v>329832</v>
      </c>
      <c r="E127" s="13">
        <v>329832</v>
      </c>
      <c r="F127" s="3">
        <f t="shared" si="5"/>
        <v>8.2809481739889394E-4</v>
      </c>
      <c r="G127" s="3">
        <f t="shared" si="6"/>
        <v>49876.979774847598</v>
      </c>
      <c r="H127" s="2">
        <f t="shared" si="7"/>
        <v>379708.97977484763</v>
      </c>
    </row>
    <row r="128" spans="1:8" x14ac:dyDescent="0.2">
      <c r="A128">
        <v>2018</v>
      </c>
      <c r="B128" s="3" t="str">
        <f t="shared" si="4"/>
        <v>5065</v>
      </c>
      <c r="C128" s="3" t="s">
        <v>134</v>
      </c>
      <c r="D128" s="13">
        <v>324437</v>
      </c>
      <c r="E128" s="13">
        <v>324437</v>
      </c>
      <c r="F128" s="3">
        <f t="shared" si="5"/>
        <v>8.1454982619165201E-4</v>
      </c>
      <c r="G128" s="3">
        <f t="shared" si="6"/>
        <v>49061.151395899222</v>
      </c>
      <c r="H128" s="2">
        <f t="shared" si="7"/>
        <v>373498.15139589924</v>
      </c>
    </row>
    <row r="129" spans="1:8" x14ac:dyDescent="0.2">
      <c r="A129">
        <v>2018</v>
      </c>
      <c r="B129" s="3" t="str">
        <f t="shared" si="4"/>
        <v>5066</v>
      </c>
      <c r="C129" s="3" t="s">
        <v>135</v>
      </c>
      <c r="D129" s="13">
        <v>390673</v>
      </c>
      <c r="E129" s="13">
        <v>390673</v>
      </c>
      <c r="F129" s="3">
        <f t="shared" si="5"/>
        <v>9.8084566263333486E-4</v>
      </c>
      <c r="G129" s="3">
        <f t="shared" si="6"/>
        <v>59077.316086914056</v>
      </c>
      <c r="H129" s="2">
        <f t="shared" si="7"/>
        <v>449750.31608691404</v>
      </c>
    </row>
    <row r="130" spans="1:8" x14ac:dyDescent="0.2">
      <c r="A130">
        <v>2018</v>
      </c>
      <c r="B130" s="3" t="str">
        <f t="shared" si="4"/>
        <v>5067</v>
      </c>
      <c r="C130" s="3" t="s">
        <v>136</v>
      </c>
      <c r="D130" s="13">
        <v>625945</v>
      </c>
      <c r="E130" s="13">
        <v>625945</v>
      </c>
      <c r="F130" s="3">
        <f t="shared" si="5"/>
        <v>1.5715328120884289E-3</v>
      </c>
      <c r="G130" s="3">
        <f t="shared" si="6"/>
        <v>94654.994376430972</v>
      </c>
      <c r="H130" s="2">
        <f t="shared" si="7"/>
        <v>720599.99437643099</v>
      </c>
    </row>
    <row r="131" spans="1:8" x14ac:dyDescent="0.2">
      <c r="A131">
        <v>2018</v>
      </c>
      <c r="B131" s="3" t="str">
        <f t="shared" ref="B131:B194" si="8">LEFT(C131,4)</f>
        <v>5068</v>
      </c>
      <c r="C131" s="3" t="s">
        <v>137</v>
      </c>
      <c r="D131" s="13">
        <v>607210</v>
      </c>
      <c r="E131" s="13">
        <v>607210</v>
      </c>
      <c r="F131" s="3">
        <f t="shared" ref="F131:F194" si="9">E131/$D$340</f>
        <v>1.5244956646801474E-3</v>
      </c>
      <c r="G131" s="3">
        <f t="shared" ref="G131:G194" si="10">F131*$D$341</f>
        <v>91821.899903845624</v>
      </c>
      <c r="H131" s="2">
        <f t="shared" ref="H131:H194" si="11">SUM(G131,D131)</f>
        <v>699031.89990384562</v>
      </c>
    </row>
    <row r="132" spans="1:8" x14ac:dyDescent="0.2">
      <c r="A132">
        <v>2018</v>
      </c>
      <c r="B132" s="3" t="str">
        <f t="shared" si="8"/>
        <v>5069</v>
      </c>
      <c r="C132" s="3" t="s">
        <v>138</v>
      </c>
      <c r="D132" s="13">
        <v>524362</v>
      </c>
      <c r="E132" s="13">
        <v>524362</v>
      </c>
      <c r="F132" s="3">
        <f t="shared" si="9"/>
        <v>1.316492804339539E-3</v>
      </c>
      <c r="G132" s="3">
        <f t="shared" si="10"/>
        <v>79293.679414667582</v>
      </c>
      <c r="H132" s="2">
        <f t="shared" si="11"/>
        <v>603655.67941466754</v>
      </c>
    </row>
    <row r="133" spans="1:8" x14ac:dyDescent="0.2">
      <c r="A133">
        <v>2018</v>
      </c>
      <c r="B133" s="3" t="str">
        <f t="shared" si="8"/>
        <v>5070</v>
      </c>
      <c r="C133" s="3" t="s">
        <v>139</v>
      </c>
      <c r="D133" s="13">
        <v>1324833</v>
      </c>
      <c r="E133" s="13">
        <v>1324833</v>
      </c>
      <c r="F133" s="3">
        <f t="shared" si="9"/>
        <v>3.3262004330053751E-3</v>
      </c>
      <c r="G133" s="3">
        <f t="shared" si="10"/>
        <v>200340.38160654719</v>
      </c>
      <c r="H133" s="2">
        <f t="shared" si="11"/>
        <v>1525173.3816065472</v>
      </c>
    </row>
    <row r="134" spans="1:8" x14ac:dyDescent="0.2">
      <c r="A134">
        <v>2018</v>
      </c>
      <c r="B134" s="3" t="str">
        <f t="shared" si="8"/>
        <v>5072</v>
      </c>
      <c r="C134" s="3" t="s">
        <v>140</v>
      </c>
      <c r="D134" s="13">
        <v>189707</v>
      </c>
      <c r="E134" s="13">
        <v>189707</v>
      </c>
      <c r="F134" s="3">
        <f t="shared" si="9"/>
        <v>4.7628909118670106E-4</v>
      </c>
      <c r="G134" s="3">
        <f t="shared" si="10"/>
        <v>28687.368727555284</v>
      </c>
      <c r="H134" s="2">
        <f t="shared" si="11"/>
        <v>218394.36872755529</v>
      </c>
    </row>
    <row r="135" spans="1:8" x14ac:dyDescent="0.2">
      <c r="A135">
        <v>2018</v>
      </c>
      <c r="B135" s="3" t="str">
        <f t="shared" si="8"/>
        <v>5073</v>
      </c>
      <c r="C135" s="3" t="s">
        <v>141</v>
      </c>
      <c r="D135" s="13">
        <v>342891</v>
      </c>
      <c r="E135" s="13">
        <v>342891</v>
      </c>
      <c r="F135" s="3">
        <f t="shared" si="9"/>
        <v>8.6088147915521884E-4</v>
      </c>
      <c r="G135" s="3">
        <f t="shared" si="10"/>
        <v>51851.753231879462</v>
      </c>
      <c r="H135" s="2">
        <f t="shared" si="11"/>
        <v>394742.75323187944</v>
      </c>
    </row>
    <row r="136" spans="1:8" x14ac:dyDescent="0.2">
      <c r="A136">
        <v>2018</v>
      </c>
      <c r="B136" s="3" t="str">
        <f t="shared" si="8"/>
        <v>5076</v>
      </c>
      <c r="C136" s="3" t="s">
        <v>142</v>
      </c>
      <c r="D136" s="13">
        <v>176343</v>
      </c>
      <c r="E136" s="13">
        <v>176343</v>
      </c>
      <c r="F136" s="3">
        <f t="shared" si="9"/>
        <v>4.4273667923237634E-4</v>
      </c>
      <c r="G136" s="3">
        <f t="shared" si="10"/>
        <v>26666.473369581938</v>
      </c>
      <c r="H136" s="2">
        <f t="shared" si="11"/>
        <v>203009.47336958195</v>
      </c>
    </row>
    <row r="137" spans="1:8" x14ac:dyDescent="0.2">
      <c r="A137">
        <v>2018</v>
      </c>
      <c r="B137" s="3" t="str">
        <f t="shared" si="8"/>
        <v>5077</v>
      </c>
      <c r="C137" s="3" t="s">
        <v>195</v>
      </c>
      <c r="D137" s="13">
        <v>465605</v>
      </c>
      <c r="E137" s="13">
        <v>465605</v>
      </c>
      <c r="F137" s="3">
        <f t="shared" si="9"/>
        <v>1.1689741670153654E-3</v>
      </c>
      <c r="G137" s="3">
        <f t="shared" si="10"/>
        <v>70408.484222476647</v>
      </c>
      <c r="H137" s="2">
        <f t="shared" si="11"/>
        <v>536013.4842224766</v>
      </c>
    </row>
    <row r="138" spans="1:8" x14ac:dyDescent="0.2">
      <c r="A138">
        <v>2018</v>
      </c>
      <c r="B138" s="3" t="str">
        <f t="shared" si="8"/>
        <v>5078</v>
      </c>
      <c r="C138" s="3" t="s">
        <v>144</v>
      </c>
      <c r="D138" s="13">
        <v>364582</v>
      </c>
      <c r="E138" s="13">
        <v>364582</v>
      </c>
      <c r="F138" s="3">
        <f t="shared" si="9"/>
        <v>9.1534012684313089E-4</v>
      </c>
      <c r="G138" s="3">
        <f t="shared" si="10"/>
        <v>55131.852095228744</v>
      </c>
      <c r="H138" s="2">
        <f t="shared" si="11"/>
        <v>419713.85209522874</v>
      </c>
    </row>
    <row r="139" spans="1:8" x14ac:dyDescent="0.2">
      <c r="A139">
        <v>2018</v>
      </c>
      <c r="B139" s="3" t="str">
        <f t="shared" si="8"/>
        <v>5079</v>
      </c>
      <c r="C139" s="3" t="s">
        <v>145</v>
      </c>
      <c r="D139" s="13">
        <v>411490</v>
      </c>
      <c r="E139" s="13">
        <v>411490</v>
      </c>
      <c r="F139" s="3">
        <f t="shared" si="9"/>
        <v>1.0331099966391099E-3</v>
      </c>
      <c r="G139" s="3">
        <f t="shared" si="10"/>
        <v>62225.249240680227</v>
      </c>
      <c r="H139" s="2">
        <f t="shared" si="11"/>
        <v>473715.24924068025</v>
      </c>
    </row>
    <row r="140" spans="1:8" x14ac:dyDescent="0.2">
      <c r="A140">
        <v>2018</v>
      </c>
      <c r="B140" s="3" t="str">
        <f t="shared" si="8"/>
        <v>5080</v>
      </c>
      <c r="C140" s="3" t="s">
        <v>146</v>
      </c>
      <c r="D140" s="13">
        <v>425492</v>
      </c>
      <c r="E140" s="13">
        <v>425492</v>
      </c>
      <c r="F140" s="3">
        <f t="shared" si="9"/>
        <v>1.0682642073682668E-3</v>
      </c>
      <c r="G140" s="3">
        <f t="shared" si="10"/>
        <v>64342.622542262288</v>
      </c>
      <c r="H140" s="2">
        <f t="shared" si="11"/>
        <v>489834.62254226231</v>
      </c>
    </row>
    <row r="141" spans="1:8" x14ac:dyDescent="0.2">
      <c r="A141">
        <v>2018</v>
      </c>
      <c r="B141" s="3" t="str">
        <f t="shared" si="8"/>
        <v>5081</v>
      </c>
      <c r="C141" s="3" t="s">
        <v>147</v>
      </c>
      <c r="D141" s="13">
        <v>362753</v>
      </c>
      <c r="E141" s="13">
        <v>362753</v>
      </c>
      <c r="F141" s="3">
        <f t="shared" si="9"/>
        <v>9.1074813631151911E-4</v>
      </c>
      <c r="G141" s="3">
        <f t="shared" si="10"/>
        <v>54855.271908927243</v>
      </c>
      <c r="H141" s="2">
        <f t="shared" si="11"/>
        <v>417608.27190892724</v>
      </c>
    </row>
    <row r="142" spans="1:8" x14ac:dyDescent="0.2">
      <c r="A142">
        <v>2018</v>
      </c>
      <c r="B142" s="3" t="str">
        <f t="shared" si="8"/>
        <v>5082</v>
      </c>
      <c r="C142" s="3" t="s">
        <v>148</v>
      </c>
      <c r="D142" s="13">
        <v>114508</v>
      </c>
      <c r="E142" s="13">
        <v>114508</v>
      </c>
      <c r="F142" s="3">
        <f t="shared" si="9"/>
        <v>2.8749024154937225E-4</v>
      </c>
      <c r="G142" s="3">
        <f t="shared" si="10"/>
        <v>17315.825026250481</v>
      </c>
      <c r="H142" s="2">
        <f t="shared" si="11"/>
        <v>131823.82502625047</v>
      </c>
    </row>
    <row r="143" spans="1:8" x14ac:dyDescent="0.2">
      <c r="A143">
        <v>2018</v>
      </c>
      <c r="B143" s="3" t="str">
        <f t="shared" si="8"/>
        <v>5083</v>
      </c>
      <c r="C143" s="3" t="s">
        <v>149</v>
      </c>
      <c r="D143" s="13">
        <v>265504</v>
      </c>
      <c r="E143" s="13">
        <v>265504</v>
      </c>
      <c r="F143" s="3">
        <f t="shared" si="9"/>
        <v>6.665893133433867E-4</v>
      </c>
      <c r="G143" s="3">
        <f t="shared" si="10"/>
        <v>40149.341598574836</v>
      </c>
      <c r="H143" s="2">
        <f t="shared" si="11"/>
        <v>305653.34159857483</v>
      </c>
    </row>
    <row r="144" spans="1:8" x14ac:dyDescent="0.2">
      <c r="A144">
        <v>2018</v>
      </c>
      <c r="B144" s="3" t="str">
        <f t="shared" si="8"/>
        <v>5087</v>
      </c>
      <c r="C144" s="3" t="s">
        <v>360</v>
      </c>
      <c r="D144" s="13">
        <v>291946</v>
      </c>
      <c r="E144" s="13">
        <v>291946</v>
      </c>
      <c r="F144" s="3">
        <f t="shared" si="9"/>
        <v>7.329760895253872E-4</v>
      </c>
      <c r="G144" s="3">
        <f t="shared" si="10"/>
        <v>44147.883581179689</v>
      </c>
      <c r="H144" s="2">
        <f t="shared" si="11"/>
        <v>336093.88358117966</v>
      </c>
    </row>
    <row r="145" spans="1:8" x14ac:dyDescent="0.2">
      <c r="A145">
        <v>2018</v>
      </c>
      <c r="B145" s="3" t="str">
        <f t="shared" si="8"/>
        <v>5088</v>
      </c>
      <c r="C145" s="3" t="s">
        <v>151</v>
      </c>
      <c r="D145" s="13">
        <v>546331</v>
      </c>
      <c r="E145" s="13">
        <v>546331</v>
      </c>
      <c r="F145" s="3">
        <f t="shared" si="9"/>
        <v>1.371649414503005E-3</v>
      </c>
      <c r="G145" s="3">
        <f t="shared" si="10"/>
        <v>82615.817256579903</v>
      </c>
      <c r="H145" s="2">
        <f t="shared" si="11"/>
        <v>628946.81725657987</v>
      </c>
    </row>
    <row r="146" spans="1:8" x14ac:dyDescent="0.2">
      <c r="A146">
        <v>2018</v>
      </c>
      <c r="B146" s="3" t="str">
        <f t="shared" si="8"/>
        <v>5089</v>
      </c>
      <c r="C146" s="3" t="s">
        <v>152</v>
      </c>
      <c r="D146" s="13">
        <v>292747</v>
      </c>
      <c r="E146" s="13">
        <v>292747</v>
      </c>
      <c r="F146" s="3">
        <f t="shared" si="9"/>
        <v>7.3498712529128168E-4</v>
      </c>
      <c r="G146" s="3">
        <f t="shared" si="10"/>
        <v>44269.010278406313</v>
      </c>
      <c r="H146" s="2">
        <f t="shared" si="11"/>
        <v>337016.01027840632</v>
      </c>
    </row>
    <row r="147" spans="1:8" x14ac:dyDescent="0.2">
      <c r="A147">
        <v>2018</v>
      </c>
      <c r="B147" s="3" t="str">
        <f t="shared" si="8"/>
        <v>5090</v>
      </c>
      <c r="C147" s="3" t="s">
        <v>153</v>
      </c>
      <c r="D147" s="13">
        <v>233054</v>
      </c>
      <c r="E147" s="13">
        <v>233054</v>
      </c>
      <c r="F147" s="3">
        <f t="shared" si="9"/>
        <v>5.851185135889842E-4</v>
      </c>
      <c r="G147" s="3">
        <f t="shared" si="10"/>
        <v>35242.27377709662</v>
      </c>
      <c r="H147" s="2">
        <f t="shared" si="11"/>
        <v>268296.27377709665</v>
      </c>
    </row>
    <row r="148" spans="1:8" x14ac:dyDescent="0.2">
      <c r="A148">
        <v>2018</v>
      </c>
      <c r="B148" s="3" t="str">
        <f t="shared" si="8"/>
        <v>5092</v>
      </c>
      <c r="C148" s="3" t="s">
        <v>154</v>
      </c>
      <c r="D148" s="13">
        <v>1079614</v>
      </c>
      <c r="E148" s="13">
        <v>1079614</v>
      </c>
      <c r="F148" s="3">
        <f t="shared" si="9"/>
        <v>2.7105397844699409E-3</v>
      </c>
      <c r="G148" s="3">
        <f t="shared" si="10"/>
        <v>163258.5244689488</v>
      </c>
      <c r="H148" s="2">
        <f t="shared" si="11"/>
        <v>1242872.5244689488</v>
      </c>
    </row>
    <row r="149" spans="1:8" x14ac:dyDescent="0.2">
      <c r="A149">
        <v>2018</v>
      </c>
      <c r="B149" s="3" t="str">
        <f t="shared" si="8"/>
        <v>5093</v>
      </c>
      <c r="C149" s="3" t="s">
        <v>155</v>
      </c>
      <c r="D149" s="13">
        <v>248999</v>
      </c>
      <c r="E149" s="13">
        <v>248999</v>
      </c>
      <c r="F149" s="3">
        <f t="shared" si="9"/>
        <v>6.251509296778578E-4</v>
      </c>
      <c r="G149" s="3">
        <f t="shared" si="10"/>
        <v>37653.466270577985</v>
      </c>
      <c r="H149" s="2">
        <f t="shared" si="11"/>
        <v>286652.46627057798</v>
      </c>
    </row>
    <row r="150" spans="1:8" x14ac:dyDescent="0.2">
      <c r="A150">
        <v>2018</v>
      </c>
      <c r="B150" s="3" t="str">
        <f t="shared" si="8"/>
        <v>5095</v>
      </c>
      <c r="C150" s="3" t="s">
        <v>156</v>
      </c>
      <c r="D150" s="13">
        <v>430613</v>
      </c>
      <c r="E150" s="13">
        <v>430613</v>
      </c>
      <c r="F150" s="3">
        <f t="shared" si="9"/>
        <v>1.0811212787255025E-3</v>
      </c>
      <c r="G150" s="3">
        <f t="shared" si="10"/>
        <v>65117.016820037024</v>
      </c>
      <c r="H150" s="2">
        <f t="shared" si="11"/>
        <v>495730.01682003704</v>
      </c>
    </row>
    <row r="151" spans="1:8" x14ac:dyDescent="0.2">
      <c r="A151">
        <v>2018</v>
      </c>
      <c r="B151" s="3" t="str">
        <f t="shared" si="8"/>
        <v>5096</v>
      </c>
      <c r="C151" s="3" t="s">
        <v>157</v>
      </c>
      <c r="D151" s="13">
        <v>432144</v>
      </c>
      <c r="E151" s="13">
        <v>432144</v>
      </c>
      <c r="F151" s="3">
        <f t="shared" si="9"/>
        <v>1.0849650936538226E-3</v>
      </c>
      <c r="G151" s="3">
        <f t="shared" si="10"/>
        <v>65348.533640828478</v>
      </c>
      <c r="H151" s="2">
        <f t="shared" si="11"/>
        <v>497492.53364082845</v>
      </c>
    </row>
    <row r="152" spans="1:8" x14ac:dyDescent="0.2">
      <c r="A152">
        <v>2018</v>
      </c>
      <c r="B152" s="3" t="str">
        <f t="shared" si="8"/>
        <v>5098</v>
      </c>
      <c r="C152" s="3" t="s">
        <v>158</v>
      </c>
      <c r="D152" s="13">
        <v>231485</v>
      </c>
      <c r="E152" s="13">
        <v>231485</v>
      </c>
      <c r="F152" s="3">
        <f t="shared" si="9"/>
        <v>5.8117929371796241E-4</v>
      </c>
      <c r="G152" s="3">
        <f t="shared" si="10"/>
        <v>35005.010621105888</v>
      </c>
      <c r="H152" s="2">
        <f t="shared" si="11"/>
        <v>266490.0106211059</v>
      </c>
    </row>
    <row r="153" spans="1:8" x14ac:dyDescent="0.2">
      <c r="A153">
        <v>2018</v>
      </c>
      <c r="B153" s="3" t="str">
        <f t="shared" si="8"/>
        <v>5099</v>
      </c>
      <c r="C153" s="3" t="s">
        <v>159</v>
      </c>
      <c r="D153" s="13">
        <v>783139</v>
      </c>
      <c r="E153" s="13">
        <v>783139</v>
      </c>
      <c r="F153" s="3">
        <f t="shared" si="9"/>
        <v>1.9661929321683536E-3</v>
      </c>
      <c r="G153" s="3">
        <f t="shared" si="10"/>
        <v>118425.76846362503</v>
      </c>
      <c r="H153" s="2">
        <f t="shared" si="11"/>
        <v>901564.76846362499</v>
      </c>
    </row>
    <row r="154" spans="1:8" x14ac:dyDescent="0.2">
      <c r="A154">
        <v>2018</v>
      </c>
      <c r="B154" s="3" t="str">
        <f t="shared" si="8"/>
        <v>5100</v>
      </c>
      <c r="C154" s="3" t="s">
        <v>160</v>
      </c>
      <c r="D154" s="13">
        <v>904213</v>
      </c>
      <c r="E154" s="13">
        <v>904213</v>
      </c>
      <c r="F154" s="3">
        <f t="shared" si="9"/>
        <v>2.2701681435540098E-3</v>
      </c>
      <c r="G154" s="3">
        <f t="shared" si="10"/>
        <v>136734.4997245697</v>
      </c>
      <c r="H154" s="2">
        <f t="shared" si="11"/>
        <v>1040947.4997245697</v>
      </c>
    </row>
    <row r="155" spans="1:8" x14ac:dyDescent="0.2">
      <c r="A155">
        <v>2018</v>
      </c>
      <c r="B155" s="3" t="str">
        <f t="shared" si="8"/>
        <v>5101</v>
      </c>
      <c r="C155" s="3" t="s">
        <v>161</v>
      </c>
      <c r="D155" s="13">
        <v>577073</v>
      </c>
      <c r="E155" s="13">
        <v>577073</v>
      </c>
      <c r="F155" s="3">
        <f t="shared" si="9"/>
        <v>1.4488320131486089E-3</v>
      </c>
      <c r="G155" s="3">
        <f t="shared" si="10"/>
        <v>87264.602432785876</v>
      </c>
      <c r="H155" s="2">
        <f t="shared" si="11"/>
        <v>664337.6024327859</v>
      </c>
    </row>
    <row r="156" spans="1:8" x14ac:dyDescent="0.2">
      <c r="A156">
        <v>2018</v>
      </c>
      <c r="B156" s="3" t="str">
        <f t="shared" si="8"/>
        <v>5102</v>
      </c>
      <c r="C156" s="3" t="s">
        <v>162</v>
      </c>
      <c r="D156" s="13">
        <v>1327107</v>
      </c>
      <c r="E156" s="13">
        <v>1327107</v>
      </c>
      <c r="F156" s="3">
        <f t="shared" si="9"/>
        <v>3.3319096656291504E-3</v>
      </c>
      <c r="G156" s="3">
        <f t="shared" si="10"/>
        <v>200684.25440241903</v>
      </c>
      <c r="H156" s="2">
        <f t="shared" si="11"/>
        <v>1527791.2544024191</v>
      </c>
    </row>
    <row r="157" spans="1:8" x14ac:dyDescent="0.2">
      <c r="A157">
        <v>2018</v>
      </c>
      <c r="B157" s="3" t="str">
        <f t="shared" si="8"/>
        <v>5103</v>
      </c>
      <c r="C157" s="3" t="s">
        <v>163</v>
      </c>
      <c r="D157" s="13">
        <v>742623</v>
      </c>
      <c r="E157" s="13">
        <v>742623</v>
      </c>
      <c r="F157" s="3">
        <f t="shared" si="9"/>
        <v>1.8644711779973405E-3</v>
      </c>
      <c r="G157" s="3">
        <f t="shared" si="10"/>
        <v>112298.965386429</v>
      </c>
      <c r="H157" s="2">
        <f t="shared" si="11"/>
        <v>854921.96538642899</v>
      </c>
    </row>
    <row r="158" spans="1:8" x14ac:dyDescent="0.2">
      <c r="A158">
        <v>2018</v>
      </c>
      <c r="B158" s="3" t="str">
        <f t="shared" si="8"/>
        <v>5104</v>
      </c>
      <c r="C158" s="3" t="s">
        <v>164</v>
      </c>
      <c r="D158" s="13">
        <v>278386</v>
      </c>
      <c r="E158" s="13">
        <v>278386</v>
      </c>
      <c r="F158" s="3">
        <f t="shared" si="9"/>
        <v>6.9893158891923312E-4</v>
      </c>
      <c r="G158" s="3">
        <f t="shared" si="10"/>
        <v>42097.349231125918</v>
      </c>
      <c r="H158" s="2">
        <f t="shared" si="11"/>
        <v>320483.3492311259</v>
      </c>
    </row>
    <row r="159" spans="1:8" x14ac:dyDescent="0.2">
      <c r="A159">
        <v>2018</v>
      </c>
      <c r="B159" s="3" t="str">
        <f t="shared" si="8"/>
        <v>5105</v>
      </c>
      <c r="C159" s="3" t="s">
        <v>165</v>
      </c>
      <c r="D159" s="13">
        <v>192029</v>
      </c>
      <c r="E159" s="13">
        <v>192029</v>
      </c>
      <c r="F159" s="3">
        <f t="shared" si="9"/>
        <v>4.8211883531704689E-4</v>
      </c>
      <c r="G159" s="3">
        <f t="shared" si="10"/>
        <v>29038.500052099887</v>
      </c>
      <c r="H159" s="2">
        <f t="shared" si="11"/>
        <v>221067.50005209987</v>
      </c>
    </row>
    <row r="160" spans="1:8" x14ac:dyDescent="0.2">
      <c r="A160">
        <v>2018</v>
      </c>
      <c r="B160" s="3" t="str">
        <f t="shared" si="8"/>
        <v>5106</v>
      </c>
      <c r="C160" s="3" t="s">
        <v>166</v>
      </c>
      <c r="D160" s="13">
        <v>631065</v>
      </c>
      <c r="E160" s="13">
        <v>631065</v>
      </c>
      <c r="F160" s="3">
        <f t="shared" si="9"/>
        <v>1.5843873727892776E-3</v>
      </c>
      <c r="G160" s="3">
        <f t="shared" si="10"/>
        <v>95429.237434858354</v>
      </c>
      <c r="H160" s="2">
        <f t="shared" si="11"/>
        <v>726494.23743485834</v>
      </c>
    </row>
    <row r="161" spans="1:8" x14ac:dyDescent="0.2">
      <c r="A161">
        <v>2018</v>
      </c>
      <c r="B161" s="3" t="str">
        <f t="shared" si="8"/>
        <v>5116</v>
      </c>
      <c r="C161" s="3" t="s">
        <v>167</v>
      </c>
      <c r="D161" s="13">
        <v>866968</v>
      </c>
      <c r="E161" s="13">
        <v>866968</v>
      </c>
      <c r="F161" s="3">
        <f t="shared" si="9"/>
        <v>2.1766587464244957E-3</v>
      </c>
      <c r="G161" s="3">
        <f t="shared" si="10"/>
        <v>131102.33513255254</v>
      </c>
      <c r="H161" s="2">
        <f t="shared" si="11"/>
        <v>998070.33513255254</v>
      </c>
    </row>
    <row r="162" spans="1:8" x14ac:dyDescent="0.2">
      <c r="A162">
        <v>2018</v>
      </c>
      <c r="B162" s="3" t="str">
        <f t="shared" si="8"/>
        <v>5117</v>
      </c>
      <c r="C162" s="3" t="s">
        <v>168</v>
      </c>
      <c r="D162" s="13">
        <v>157989</v>
      </c>
      <c r="E162" s="13">
        <v>157989</v>
      </c>
      <c r="F162" s="3">
        <f t="shared" si="9"/>
        <v>3.9665609190749795E-4</v>
      </c>
      <c r="G162" s="3">
        <f t="shared" si="10"/>
        <v>23890.993468336601</v>
      </c>
      <c r="H162" s="2">
        <f t="shared" si="11"/>
        <v>181879.99346833659</v>
      </c>
    </row>
    <row r="163" spans="1:8" x14ac:dyDescent="0.2">
      <c r="A163">
        <v>2018</v>
      </c>
      <c r="B163" s="3" t="str">
        <f t="shared" si="8"/>
        <v>5118</v>
      </c>
      <c r="C163" s="3" t="s">
        <v>169</v>
      </c>
      <c r="D163" s="13">
        <v>1210402</v>
      </c>
      <c r="E163" s="13">
        <v>1210402</v>
      </c>
      <c r="F163" s="3">
        <f t="shared" si="9"/>
        <v>3.038903511997793E-3</v>
      </c>
      <c r="G163" s="3">
        <f t="shared" si="10"/>
        <v>183036.20047004259</v>
      </c>
      <c r="H163" s="2">
        <f t="shared" si="11"/>
        <v>1393438.2004700426</v>
      </c>
    </row>
    <row r="164" spans="1:8" x14ac:dyDescent="0.2">
      <c r="A164">
        <v>2018</v>
      </c>
      <c r="B164" s="3" t="str">
        <f t="shared" si="8"/>
        <v>5119</v>
      </c>
      <c r="C164" s="3" t="s">
        <v>170</v>
      </c>
      <c r="D164" s="13">
        <v>231745</v>
      </c>
      <c r="E164" s="13">
        <v>231745</v>
      </c>
      <c r="F164" s="3">
        <f t="shared" si="9"/>
        <v>5.818320643785523E-4</v>
      </c>
      <c r="G164" s="3">
        <f t="shared" si="10"/>
        <v>35044.32765141665</v>
      </c>
      <c r="H164" s="2">
        <f t="shared" si="11"/>
        <v>266789.32765141665</v>
      </c>
    </row>
    <row r="165" spans="1:8" x14ac:dyDescent="0.2">
      <c r="A165">
        <v>2018</v>
      </c>
      <c r="B165" s="3" t="str">
        <f t="shared" si="8"/>
        <v>5120</v>
      </c>
      <c r="C165" s="3" t="s">
        <v>366</v>
      </c>
      <c r="D165" s="13">
        <v>5085225</v>
      </c>
      <c r="E165" s="13">
        <v>5085225</v>
      </c>
      <c r="F165" s="3">
        <f t="shared" si="9"/>
        <v>1.2767252624994818E-2</v>
      </c>
      <c r="G165" s="3">
        <f t="shared" si="10"/>
        <v>768984.40562331548</v>
      </c>
      <c r="H165" s="2">
        <f t="shared" si="11"/>
        <v>5854209.4056233158</v>
      </c>
    </row>
    <row r="166" spans="1:8" x14ac:dyDescent="0.2">
      <c r="A166">
        <v>2018</v>
      </c>
      <c r="B166" s="3" t="str">
        <f t="shared" si="8"/>
        <v>5122</v>
      </c>
      <c r="C166" s="3" t="s">
        <v>172</v>
      </c>
      <c r="D166" s="13">
        <v>212393</v>
      </c>
      <c r="E166" s="13">
        <v>212393</v>
      </c>
      <c r="F166" s="3">
        <f t="shared" si="9"/>
        <v>5.3324584197956323E-4</v>
      </c>
      <c r="G166" s="3">
        <f t="shared" si="10"/>
        <v>32117.930841516914</v>
      </c>
      <c r="H166" s="2">
        <f t="shared" si="11"/>
        <v>244510.93084151691</v>
      </c>
    </row>
    <row r="167" spans="1:8" x14ac:dyDescent="0.2">
      <c r="A167">
        <v>2018</v>
      </c>
      <c r="B167" s="3" t="str">
        <f t="shared" si="8"/>
        <v>5123</v>
      </c>
      <c r="C167" s="3" t="s">
        <v>173</v>
      </c>
      <c r="D167" s="13">
        <v>203934</v>
      </c>
      <c r="E167" s="13">
        <v>203934</v>
      </c>
      <c r="F167" s="3">
        <f t="shared" si="9"/>
        <v>5.1200819960290701E-4</v>
      </c>
      <c r="G167" s="3">
        <f t="shared" si="10"/>
        <v>30838.766382290891</v>
      </c>
      <c r="H167" s="2">
        <f t="shared" si="11"/>
        <v>234772.76638229089</v>
      </c>
    </row>
    <row r="168" spans="1:8" x14ac:dyDescent="0.2">
      <c r="A168">
        <v>2018</v>
      </c>
      <c r="B168" s="3" t="str">
        <f t="shared" si="8"/>
        <v>5125</v>
      </c>
      <c r="C168" s="3" t="s">
        <v>174</v>
      </c>
      <c r="D168" s="13">
        <v>1507180</v>
      </c>
      <c r="E168" s="13">
        <v>1507180</v>
      </c>
      <c r="F168" s="3">
        <f t="shared" si="9"/>
        <v>3.7840110931846062E-3</v>
      </c>
      <c r="G168" s="3">
        <f t="shared" si="10"/>
        <v>227914.7759376131</v>
      </c>
      <c r="H168" s="2">
        <f t="shared" si="11"/>
        <v>1735094.7759376131</v>
      </c>
    </row>
    <row r="169" spans="1:8" x14ac:dyDescent="0.2">
      <c r="A169">
        <v>2018</v>
      </c>
      <c r="B169" s="3" t="str">
        <f t="shared" si="8"/>
        <v>5127</v>
      </c>
      <c r="C169" s="3" t="s">
        <v>175</v>
      </c>
      <c r="D169" s="13">
        <v>185277</v>
      </c>
      <c r="E169" s="13">
        <v>185277</v>
      </c>
      <c r="F169" s="3">
        <f t="shared" si="9"/>
        <v>4.6516688339280263E-4</v>
      </c>
      <c r="G169" s="3">
        <f t="shared" si="10"/>
        <v>28017.467018798779</v>
      </c>
      <c r="H169" s="2">
        <f t="shared" si="11"/>
        <v>213294.46701879878</v>
      </c>
    </row>
    <row r="170" spans="1:8" x14ac:dyDescent="0.2">
      <c r="A170">
        <v>2018</v>
      </c>
      <c r="B170" s="3" t="str">
        <f t="shared" si="8"/>
        <v>5128</v>
      </c>
      <c r="C170" s="3" t="s">
        <v>176</v>
      </c>
      <c r="D170" s="13">
        <v>278712</v>
      </c>
      <c r="E170" s="13">
        <v>278712</v>
      </c>
      <c r="F170" s="3">
        <f t="shared" si="9"/>
        <v>6.9975006290135748E-4</v>
      </c>
      <c r="G170" s="3">
        <f t="shared" si="10"/>
        <v>42146.646738361727</v>
      </c>
      <c r="H170" s="2">
        <f t="shared" si="11"/>
        <v>320858.64673836174</v>
      </c>
    </row>
    <row r="171" spans="1:8" x14ac:dyDescent="0.2">
      <c r="A171">
        <v>2018</v>
      </c>
      <c r="B171" s="3" t="str">
        <f t="shared" si="8"/>
        <v>5129</v>
      </c>
      <c r="C171" s="3" t="s">
        <v>177</v>
      </c>
      <c r="D171" s="13">
        <v>771409</v>
      </c>
      <c r="E171" s="13">
        <v>771409</v>
      </c>
      <c r="F171" s="3">
        <f t="shared" si="9"/>
        <v>1.9367429327501982E-3</v>
      </c>
      <c r="G171" s="3">
        <f t="shared" si="10"/>
        <v>116651.96551922012</v>
      </c>
      <c r="H171" s="2">
        <f t="shared" si="11"/>
        <v>888060.9655192201</v>
      </c>
    </row>
    <row r="172" spans="1:8" x14ac:dyDescent="0.2">
      <c r="A172">
        <v>2018</v>
      </c>
      <c r="B172" s="3" t="str">
        <f t="shared" si="8"/>
        <v>5130</v>
      </c>
      <c r="C172" s="3" t="s">
        <v>178</v>
      </c>
      <c r="D172" s="13">
        <v>519240</v>
      </c>
      <c r="E172" s="13">
        <v>519240</v>
      </c>
      <c r="F172" s="3">
        <f t="shared" si="9"/>
        <v>1.3036332223259166E-3</v>
      </c>
      <c r="G172" s="3">
        <f t="shared" si="10"/>
        <v>78519.133917545507</v>
      </c>
      <c r="H172" s="2">
        <f t="shared" si="11"/>
        <v>597759.13391754555</v>
      </c>
    </row>
    <row r="173" spans="1:8" x14ac:dyDescent="0.2">
      <c r="A173">
        <v>2018</v>
      </c>
      <c r="B173" s="3" t="str">
        <f t="shared" si="8"/>
        <v>5131</v>
      </c>
      <c r="C173" s="3" t="s">
        <v>179</v>
      </c>
      <c r="D173" s="13">
        <v>726438</v>
      </c>
      <c r="E173" s="13">
        <v>726438</v>
      </c>
      <c r="F173" s="3">
        <f t="shared" si="9"/>
        <v>1.8238362043756146E-3</v>
      </c>
      <c r="G173" s="3">
        <f t="shared" si="10"/>
        <v>109851.48024958385</v>
      </c>
      <c r="H173" s="2">
        <f t="shared" si="11"/>
        <v>836289.48024958384</v>
      </c>
    </row>
    <row r="174" spans="1:8" x14ac:dyDescent="0.2">
      <c r="A174">
        <v>2018</v>
      </c>
      <c r="B174" s="3" t="str">
        <f t="shared" si="8"/>
        <v>5132</v>
      </c>
      <c r="C174" s="3" t="s">
        <v>180</v>
      </c>
      <c r="D174" s="13">
        <v>2728655</v>
      </c>
      <c r="E174" s="13">
        <v>2728655</v>
      </c>
      <c r="F174" s="3">
        <f t="shared" si="9"/>
        <v>6.8507151033543713E-3</v>
      </c>
      <c r="G174" s="3">
        <f t="shared" si="10"/>
        <v>412625.42824085226</v>
      </c>
      <c r="H174" s="2">
        <f t="shared" si="11"/>
        <v>3141280.4282408524</v>
      </c>
    </row>
    <row r="175" spans="1:8" x14ac:dyDescent="0.2">
      <c r="A175">
        <v>2018</v>
      </c>
      <c r="B175" s="3" t="str">
        <f t="shared" si="8"/>
        <v>5133</v>
      </c>
      <c r="C175" s="3" t="s">
        <v>361</v>
      </c>
      <c r="D175" s="13">
        <v>272819</v>
      </c>
      <c r="E175" s="13">
        <v>272819</v>
      </c>
      <c r="F175" s="3">
        <f t="shared" si="9"/>
        <v>6.8495476481344705E-4</v>
      </c>
      <c r="G175" s="3">
        <f t="shared" si="10"/>
        <v>41255.511124433491</v>
      </c>
      <c r="H175" s="2">
        <f t="shared" si="11"/>
        <v>314074.51112443348</v>
      </c>
    </row>
    <row r="176" spans="1:8" x14ac:dyDescent="0.2">
      <c r="A176">
        <v>2018</v>
      </c>
      <c r="B176" s="3" t="str">
        <f t="shared" si="8"/>
        <v>5134</v>
      </c>
      <c r="C176" s="3" t="s">
        <v>182</v>
      </c>
      <c r="D176" s="13">
        <v>237997</v>
      </c>
      <c r="E176" s="13">
        <v>237997</v>
      </c>
      <c r="F176" s="3">
        <f t="shared" si="9"/>
        <v>5.9752868810935438E-4</v>
      </c>
      <c r="G176" s="3">
        <f t="shared" si="10"/>
        <v>35989.751011043212</v>
      </c>
      <c r="H176" s="2">
        <f t="shared" si="11"/>
        <v>273986.7510110432</v>
      </c>
    </row>
    <row r="177" spans="1:8" x14ac:dyDescent="0.2">
      <c r="A177">
        <v>2018</v>
      </c>
      <c r="B177" s="3" t="str">
        <f t="shared" si="8"/>
        <v>5135</v>
      </c>
      <c r="C177" s="3" t="s">
        <v>183</v>
      </c>
      <c r="D177" s="13">
        <v>1352224</v>
      </c>
      <c r="E177" s="13">
        <v>1352224</v>
      </c>
      <c r="F177" s="3">
        <f t="shared" si="9"/>
        <v>3.3949698220985289E-3</v>
      </c>
      <c r="G177" s="3">
        <f t="shared" si="10"/>
        <v>204482.43074978632</v>
      </c>
      <c r="H177" s="2">
        <f t="shared" si="11"/>
        <v>1556706.4307497863</v>
      </c>
    </row>
    <row r="178" spans="1:8" x14ac:dyDescent="0.2">
      <c r="A178">
        <v>2018</v>
      </c>
      <c r="B178" s="3" t="str">
        <f t="shared" si="8"/>
        <v>5137</v>
      </c>
      <c r="C178" s="3" t="s">
        <v>184</v>
      </c>
      <c r="D178" s="13">
        <v>223691</v>
      </c>
      <c r="E178" s="13">
        <v>223691</v>
      </c>
      <c r="F178" s="3">
        <f t="shared" si="9"/>
        <v>5.6161123783858449E-4</v>
      </c>
      <c r="G178" s="3">
        <f t="shared" si="10"/>
        <v>33826.407027867019</v>
      </c>
      <c r="H178" s="2">
        <f t="shared" si="11"/>
        <v>257517.40702786701</v>
      </c>
    </row>
    <row r="179" spans="1:8" x14ac:dyDescent="0.2">
      <c r="A179">
        <v>2018</v>
      </c>
      <c r="B179" s="3" t="str">
        <f t="shared" si="8"/>
        <v>5138</v>
      </c>
      <c r="C179" s="3" t="s">
        <v>185</v>
      </c>
      <c r="D179" s="13">
        <v>204579</v>
      </c>
      <c r="E179" s="13">
        <v>204579</v>
      </c>
      <c r="F179" s="3">
        <f t="shared" si="9"/>
        <v>5.136275729724476E-4</v>
      </c>
      <c r="G179" s="3">
        <f t="shared" si="10"/>
        <v>30936.302861331063</v>
      </c>
      <c r="H179" s="2">
        <f t="shared" si="11"/>
        <v>235515.30286133106</v>
      </c>
    </row>
    <row r="180" spans="1:8" x14ac:dyDescent="0.2">
      <c r="A180">
        <v>2018</v>
      </c>
      <c r="B180" s="3" t="str">
        <f t="shared" si="8"/>
        <v>5140</v>
      </c>
      <c r="C180" s="3" t="s">
        <v>186</v>
      </c>
      <c r="D180" s="13">
        <v>273219</v>
      </c>
      <c r="E180" s="13">
        <v>273219</v>
      </c>
      <c r="F180" s="3">
        <f t="shared" si="9"/>
        <v>6.8595902736820079E-4</v>
      </c>
      <c r="G180" s="3">
        <f t="shared" si="10"/>
        <v>41315.998863373126</v>
      </c>
      <c r="H180" s="2">
        <f t="shared" si="11"/>
        <v>314534.99886337313</v>
      </c>
    </row>
    <row r="181" spans="1:8" x14ac:dyDescent="0.2">
      <c r="A181">
        <v>2018</v>
      </c>
      <c r="B181" s="3" t="str">
        <f t="shared" si="8"/>
        <v>5141</v>
      </c>
      <c r="C181" s="3" t="s">
        <v>187</v>
      </c>
      <c r="D181" s="13">
        <v>378867</v>
      </c>
      <c r="E181" s="13">
        <v>378867</v>
      </c>
      <c r="F181" s="3">
        <f t="shared" si="9"/>
        <v>9.5120485332977629E-4</v>
      </c>
      <c r="G181" s="3">
        <f t="shared" si="10"/>
        <v>57292.020472110606</v>
      </c>
      <c r="H181" s="2">
        <f t="shared" si="11"/>
        <v>436159.0204721106</v>
      </c>
    </row>
    <row r="182" spans="1:8" x14ac:dyDescent="0.2">
      <c r="A182">
        <v>2018</v>
      </c>
      <c r="B182" s="3" t="str">
        <f t="shared" si="8"/>
        <v>5142</v>
      </c>
      <c r="C182" s="3" t="s">
        <v>188</v>
      </c>
      <c r="D182" s="13">
        <v>85991</v>
      </c>
      <c r="E182" s="13">
        <v>85991</v>
      </c>
      <c r="F182" s="3">
        <f t="shared" si="9"/>
        <v>2.1589385336458648E-4</v>
      </c>
      <c r="G182" s="3">
        <f t="shared" si="10"/>
        <v>13003.502897896262</v>
      </c>
      <c r="H182" s="2">
        <f t="shared" si="11"/>
        <v>98994.502897896265</v>
      </c>
    </row>
    <row r="183" spans="1:8" x14ac:dyDescent="0.2">
      <c r="A183">
        <v>2018</v>
      </c>
      <c r="B183" s="3" t="str">
        <f t="shared" si="8"/>
        <v>5143</v>
      </c>
      <c r="C183" s="3" t="s">
        <v>189</v>
      </c>
      <c r="D183" s="13">
        <v>517266</v>
      </c>
      <c r="E183" s="13">
        <v>517266</v>
      </c>
      <c r="F183" s="3">
        <f t="shared" si="9"/>
        <v>1.2986771866182064E-3</v>
      </c>
      <c r="G183" s="3">
        <f t="shared" si="10"/>
        <v>78220.626925878372</v>
      </c>
      <c r="H183" s="2">
        <f t="shared" si="11"/>
        <v>595486.62692587834</v>
      </c>
    </row>
    <row r="184" spans="1:8" x14ac:dyDescent="0.2">
      <c r="A184">
        <v>2018</v>
      </c>
      <c r="B184" s="3" t="str">
        <f t="shared" si="8"/>
        <v>5144</v>
      </c>
      <c r="C184" s="3" t="s">
        <v>190</v>
      </c>
      <c r="D184" s="13">
        <v>243141</v>
      </c>
      <c r="E184" s="13">
        <v>243141</v>
      </c>
      <c r="F184" s="3">
        <f t="shared" si="9"/>
        <v>6.1044350456348833E-4</v>
      </c>
      <c r="G184" s="3">
        <f t="shared" si="10"/>
        <v>36767.623333806972</v>
      </c>
      <c r="H184" s="2">
        <f t="shared" si="11"/>
        <v>279908.62333380699</v>
      </c>
    </row>
    <row r="185" spans="1:8" x14ac:dyDescent="0.2">
      <c r="A185">
        <v>2018</v>
      </c>
      <c r="B185" s="3" t="str">
        <f t="shared" si="8"/>
        <v>5145</v>
      </c>
      <c r="C185" s="3" t="s">
        <v>191</v>
      </c>
      <c r="D185" s="13">
        <v>237090</v>
      </c>
      <c r="E185" s="13">
        <v>237090</v>
      </c>
      <c r="F185" s="3">
        <f t="shared" si="9"/>
        <v>5.9525152276645012E-4</v>
      </c>
      <c r="G185" s="3">
        <f t="shared" si="10"/>
        <v>35852.595062997578</v>
      </c>
      <c r="H185" s="2">
        <f t="shared" si="11"/>
        <v>272942.5950629976</v>
      </c>
    </row>
    <row r="186" spans="1:8" x14ac:dyDescent="0.2">
      <c r="A186">
        <v>2018</v>
      </c>
      <c r="B186" s="3" t="str">
        <f t="shared" si="8"/>
        <v>5147</v>
      </c>
      <c r="C186" s="3" t="s">
        <v>192</v>
      </c>
      <c r="D186" s="13">
        <v>5057103</v>
      </c>
      <c r="E186" s="13">
        <v>5057103</v>
      </c>
      <c r="F186" s="3">
        <f t="shared" si="9"/>
        <v>1.2696647946082851E-2</v>
      </c>
      <c r="G186" s="3">
        <f t="shared" si="10"/>
        <v>764731.8151371642</v>
      </c>
      <c r="H186" s="2">
        <f t="shared" si="11"/>
        <v>5821834.8151371647</v>
      </c>
    </row>
    <row r="187" spans="1:8" x14ac:dyDescent="0.2">
      <c r="A187">
        <v>2018</v>
      </c>
      <c r="B187" s="3" t="str">
        <f t="shared" si="8"/>
        <v>5148</v>
      </c>
      <c r="C187" s="3" t="s">
        <v>193</v>
      </c>
      <c r="D187" s="13">
        <v>514436</v>
      </c>
      <c r="E187" s="13">
        <v>514436</v>
      </c>
      <c r="F187" s="3">
        <f t="shared" si="9"/>
        <v>1.2915720290433232E-3</v>
      </c>
      <c r="G187" s="3">
        <f t="shared" si="10"/>
        <v>77792.676172880427</v>
      </c>
      <c r="H187" s="2">
        <f t="shared" si="11"/>
        <v>592228.67617288046</v>
      </c>
    </row>
    <row r="188" spans="1:8" x14ac:dyDescent="0.2">
      <c r="A188">
        <v>2018</v>
      </c>
      <c r="B188" s="3" t="str">
        <f t="shared" si="8"/>
        <v>5149</v>
      </c>
      <c r="C188" s="3" t="s">
        <v>194</v>
      </c>
      <c r="D188" s="13">
        <v>1043442</v>
      </c>
      <c r="E188" s="13">
        <v>1043442</v>
      </c>
      <c r="F188" s="3">
        <f t="shared" si="9"/>
        <v>2.6197243216435542E-3</v>
      </c>
      <c r="G188" s="3">
        <f t="shared" si="10"/>
        <v>157788.61823663724</v>
      </c>
      <c r="H188" s="2">
        <f t="shared" si="11"/>
        <v>1201230.6182366372</v>
      </c>
    </row>
    <row r="189" spans="1:8" x14ac:dyDescent="0.2">
      <c r="A189">
        <v>2018</v>
      </c>
      <c r="B189" s="3" t="str">
        <f t="shared" si="8"/>
        <v>5150</v>
      </c>
      <c r="C189" s="3" t="s">
        <v>247</v>
      </c>
      <c r="D189" s="13">
        <v>892212</v>
      </c>
      <c r="E189" s="13">
        <v>892212</v>
      </c>
      <c r="F189" s="3">
        <f t="shared" si="9"/>
        <v>2.2400377562550085E-3</v>
      </c>
      <c r="G189" s="3">
        <f t="shared" si="10"/>
        <v>134919.71633703317</v>
      </c>
      <c r="H189" s="2">
        <f t="shared" si="11"/>
        <v>1027131.7163370332</v>
      </c>
    </row>
    <row r="190" spans="1:8" x14ac:dyDescent="0.2">
      <c r="A190">
        <v>2018</v>
      </c>
      <c r="B190" s="3" t="str">
        <f t="shared" si="8"/>
        <v>5151</v>
      </c>
      <c r="C190" s="3" t="s">
        <v>196</v>
      </c>
      <c r="D190" s="13">
        <v>319890</v>
      </c>
      <c r="E190" s="13">
        <v>319890</v>
      </c>
      <c r="F190" s="3">
        <f t="shared" si="9"/>
        <v>8.0313387160048811E-4</v>
      </c>
      <c r="G190" s="3">
        <f t="shared" si="10"/>
        <v>48373.557023502872</v>
      </c>
      <c r="H190" s="2">
        <f t="shared" si="11"/>
        <v>368263.55702350289</v>
      </c>
    </row>
    <row r="191" spans="1:8" x14ac:dyDescent="0.2">
      <c r="A191">
        <v>2018</v>
      </c>
      <c r="B191" s="3" t="str">
        <f t="shared" si="8"/>
        <v>5152</v>
      </c>
      <c r="C191" s="3" t="s">
        <v>197</v>
      </c>
      <c r="D191" s="13">
        <v>514533</v>
      </c>
      <c r="E191" s="13">
        <v>514533</v>
      </c>
      <c r="F191" s="3">
        <f t="shared" si="9"/>
        <v>1.2918155627128511E-3</v>
      </c>
      <c r="G191" s="3">
        <f t="shared" si="10"/>
        <v>77807.344449573298</v>
      </c>
      <c r="H191" s="2">
        <f t="shared" si="11"/>
        <v>592340.34444957331</v>
      </c>
    </row>
    <row r="192" spans="1:8" x14ac:dyDescent="0.2">
      <c r="A192">
        <v>2018</v>
      </c>
      <c r="B192" s="3" t="str">
        <f t="shared" si="8"/>
        <v>5153</v>
      </c>
      <c r="C192" s="3" t="s">
        <v>198</v>
      </c>
      <c r="D192" s="13">
        <v>140816</v>
      </c>
      <c r="E192" s="13">
        <v>140816</v>
      </c>
      <c r="F192" s="3">
        <f t="shared" si="9"/>
        <v>3.5354058977553012E-4</v>
      </c>
      <c r="G192" s="3">
        <f t="shared" si="10"/>
        <v>21294.103616310545</v>
      </c>
      <c r="H192" s="2">
        <f t="shared" si="11"/>
        <v>162110.10361631055</v>
      </c>
    </row>
    <row r="193" spans="1:8" x14ac:dyDescent="0.2">
      <c r="A193">
        <v>2018</v>
      </c>
      <c r="B193" s="3" t="str">
        <f t="shared" si="8"/>
        <v>5154</v>
      </c>
      <c r="C193" s="3" t="s">
        <v>199</v>
      </c>
      <c r="D193" s="13">
        <v>182008</v>
      </c>
      <c r="E193" s="13">
        <v>182008</v>
      </c>
      <c r="F193" s="3">
        <f t="shared" si="9"/>
        <v>4.5695954766407712E-4</v>
      </c>
      <c r="G193" s="3">
        <f t="shared" si="10"/>
        <v>27523.130972314575</v>
      </c>
      <c r="H193" s="2">
        <f t="shared" si="11"/>
        <v>209531.13097231457</v>
      </c>
    </row>
    <row r="194" spans="1:8" x14ac:dyDescent="0.2">
      <c r="A194">
        <v>2018</v>
      </c>
      <c r="B194" s="3" t="str">
        <f t="shared" si="8"/>
        <v>5155</v>
      </c>
      <c r="C194" s="3" t="s">
        <v>200</v>
      </c>
      <c r="D194" s="13">
        <v>200160</v>
      </c>
      <c r="E194" s="13">
        <v>200160</v>
      </c>
      <c r="F194" s="3">
        <f t="shared" si="9"/>
        <v>5.0253298239880486E-4</v>
      </c>
      <c r="G194" s="3">
        <f t="shared" si="10"/>
        <v>30268.064565395398</v>
      </c>
      <c r="H194" s="2">
        <f t="shared" si="11"/>
        <v>230428.06456539541</v>
      </c>
    </row>
    <row r="195" spans="1:8" x14ac:dyDescent="0.2">
      <c r="A195">
        <v>2018</v>
      </c>
      <c r="B195" s="3" t="str">
        <f t="shared" ref="B195:B258" si="12">LEFT(C195,4)</f>
        <v>5156</v>
      </c>
      <c r="C195" s="3" t="s">
        <v>201</v>
      </c>
      <c r="D195" s="13">
        <v>600074</v>
      </c>
      <c r="E195" s="13">
        <v>600074</v>
      </c>
      <c r="F195" s="3">
        <f t="shared" ref="F195:F258" si="13">E195/$D$340</f>
        <v>1.5065796207033395E-3</v>
      </c>
      <c r="G195" s="3">
        <f t="shared" ref="G195:G258" si="14">F195*$D$341</f>
        <v>90742.798641162459</v>
      </c>
      <c r="H195" s="2">
        <f t="shared" ref="H195:H258" si="15">SUM(G195,D195)</f>
        <v>690816.79864116246</v>
      </c>
    </row>
    <row r="196" spans="1:8" x14ac:dyDescent="0.2">
      <c r="A196">
        <v>2018</v>
      </c>
      <c r="B196" s="3" t="str">
        <f t="shared" si="12"/>
        <v>5157</v>
      </c>
      <c r="C196" s="3" t="s">
        <v>202</v>
      </c>
      <c r="D196" s="13">
        <v>142019</v>
      </c>
      <c r="E196" s="13">
        <v>142019</v>
      </c>
      <c r="F196" s="3">
        <f t="shared" si="13"/>
        <v>3.5656090940895218E-4</v>
      </c>
      <c r="G196" s="3">
        <f t="shared" si="14"/>
        <v>21476.020491171508</v>
      </c>
      <c r="H196" s="2">
        <f t="shared" si="15"/>
        <v>163495.02049117151</v>
      </c>
    </row>
    <row r="197" spans="1:8" x14ac:dyDescent="0.2">
      <c r="A197">
        <v>2018</v>
      </c>
      <c r="B197" s="3" t="str">
        <f t="shared" si="12"/>
        <v>5158</v>
      </c>
      <c r="C197" s="3" t="s">
        <v>203</v>
      </c>
      <c r="D197" s="13">
        <v>665214</v>
      </c>
      <c r="E197" s="13">
        <v>665214</v>
      </c>
      <c r="F197" s="3">
        <f t="shared" si="13"/>
        <v>1.670123777744997E-3</v>
      </c>
      <c r="G197" s="3">
        <f t="shared" si="14"/>
        <v>100593.2269274827</v>
      </c>
      <c r="H197" s="2">
        <f t="shared" si="15"/>
        <v>765807.22692748276</v>
      </c>
    </row>
    <row r="198" spans="1:8" x14ac:dyDescent="0.2">
      <c r="A198">
        <v>2018</v>
      </c>
      <c r="B198" s="3" t="str">
        <f t="shared" si="12"/>
        <v>5159</v>
      </c>
      <c r="C198" s="3" t="s">
        <v>204</v>
      </c>
      <c r="D198" s="13">
        <v>979468</v>
      </c>
      <c r="E198" s="13">
        <v>979468</v>
      </c>
      <c r="F198" s="3">
        <f t="shared" si="13"/>
        <v>2.459107589949004E-3</v>
      </c>
      <c r="G198" s="3">
        <f t="shared" si="14"/>
        <v>148114.51170932606</v>
      </c>
      <c r="H198" s="2">
        <f t="shared" si="15"/>
        <v>1127582.5117093259</v>
      </c>
    </row>
    <row r="199" spans="1:8" x14ac:dyDescent="0.2">
      <c r="A199">
        <v>2018</v>
      </c>
      <c r="B199" s="3" t="str">
        <f t="shared" si="12"/>
        <v>5160</v>
      </c>
      <c r="C199" s="3" t="s">
        <v>205</v>
      </c>
      <c r="D199" s="13">
        <v>286583</v>
      </c>
      <c r="E199" s="13">
        <v>286583</v>
      </c>
      <c r="F199" s="3">
        <f t="shared" si="13"/>
        <v>7.1951143932252545E-4</v>
      </c>
      <c r="G199" s="3">
        <f t="shared" si="14"/>
        <v>43336.894221346469</v>
      </c>
      <c r="H199" s="2">
        <f t="shared" si="15"/>
        <v>329919.89422134648</v>
      </c>
    </row>
    <row r="200" spans="1:8" x14ac:dyDescent="0.2">
      <c r="A200">
        <v>2018</v>
      </c>
      <c r="B200" s="3" t="str">
        <f t="shared" si="12"/>
        <v>5161</v>
      </c>
      <c r="C200" s="3" t="s">
        <v>206</v>
      </c>
      <c r="D200" s="13">
        <v>396633</v>
      </c>
      <c r="E200" s="13">
        <v>396633</v>
      </c>
      <c r="F200" s="3">
        <f t="shared" si="13"/>
        <v>9.9580917469916665E-4</v>
      </c>
      <c r="G200" s="3">
        <f t="shared" si="14"/>
        <v>59978.583397114679</v>
      </c>
      <c r="H200" s="2">
        <f t="shared" si="15"/>
        <v>456611.58339711465</v>
      </c>
    </row>
    <row r="201" spans="1:8" x14ac:dyDescent="0.2">
      <c r="A201">
        <v>2018</v>
      </c>
      <c r="B201" s="3" t="str">
        <f t="shared" si="12"/>
        <v>5162</v>
      </c>
      <c r="C201" s="3" t="s">
        <v>207</v>
      </c>
      <c r="D201" s="13">
        <v>397659</v>
      </c>
      <c r="E201" s="13">
        <v>397659</v>
      </c>
      <c r="F201" s="3">
        <f t="shared" si="13"/>
        <v>9.9838510815211017E-4</v>
      </c>
      <c r="G201" s="3">
        <f t="shared" si="14"/>
        <v>60133.734447494855</v>
      </c>
      <c r="H201" s="2">
        <f t="shared" si="15"/>
        <v>457792.73444749485</v>
      </c>
    </row>
    <row r="202" spans="1:8" x14ac:dyDescent="0.2">
      <c r="A202">
        <v>2018</v>
      </c>
      <c r="B202" s="3" t="str">
        <f t="shared" si="12"/>
        <v>5163</v>
      </c>
      <c r="C202" s="3" t="s">
        <v>208</v>
      </c>
      <c r="D202" s="13">
        <v>251666</v>
      </c>
      <c r="E202" s="13">
        <v>251666</v>
      </c>
      <c r="F202" s="3">
        <f t="shared" si="13"/>
        <v>6.3184685026167881E-4</v>
      </c>
      <c r="G202" s="3">
        <f t="shared" si="14"/>
        <v>38056.768269958025</v>
      </c>
      <c r="H202" s="2">
        <f t="shared" si="15"/>
        <v>289722.76826995803</v>
      </c>
    </row>
    <row r="203" spans="1:8" x14ac:dyDescent="0.2">
      <c r="A203">
        <v>2018</v>
      </c>
      <c r="B203" s="3" t="str">
        <f t="shared" si="12"/>
        <v>5164</v>
      </c>
      <c r="C203" s="3" t="s">
        <v>209</v>
      </c>
      <c r="D203" s="13">
        <v>270776</v>
      </c>
      <c r="E203" s="13">
        <v>270776</v>
      </c>
      <c r="F203" s="3">
        <f t="shared" si="13"/>
        <v>6.7982549381504192E-4</v>
      </c>
      <c r="G203" s="3">
        <f t="shared" si="14"/>
        <v>40946.569997799284</v>
      </c>
      <c r="H203" s="2">
        <f t="shared" si="15"/>
        <v>311722.56999779929</v>
      </c>
    </row>
    <row r="204" spans="1:8" x14ac:dyDescent="0.2">
      <c r="A204">
        <v>2018</v>
      </c>
      <c r="B204" s="3" t="str">
        <f t="shared" si="12"/>
        <v>5166</v>
      </c>
      <c r="C204" s="3" t="s">
        <v>210</v>
      </c>
      <c r="D204" s="13">
        <v>193911</v>
      </c>
      <c r="E204" s="13">
        <v>193911</v>
      </c>
      <c r="F204" s="3">
        <f t="shared" si="13"/>
        <v>4.8684389063716356E-4</v>
      </c>
      <c r="G204" s="3">
        <f t="shared" si="14"/>
        <v>29323.094863810889</v>
      </c>
      <c r="H204" s="2">
        <f t="shared" si="15"/>
        <v>223234.0948638109</v>
      </c>
    </row>
    <row r="205" spans="1:8" x14ac:dyDescent="0.2">
      <c r="A205">
        <v>2018</v>
      </c>
      <c r="B205" s="3" t="str">
        <f t="shared" si="12"/>
        <v>5167</v>
      </c>
      <c r="C205" s="3" t="s">
        <v>211</v>
      </c>
      <c r="D205" s="13">
        <v>508289</v>
      </c>
      <c r="E205" s="13">
        <v>508289</v>
      </c>
      <c r="F205" s="3">
        <f t="shared" si="13"/>
        <v>1.2761390242331443E-3</v>
      </c>
      <c r="G205" s="3">
        <f t="shared" si="14"/>
        <v>76863.130844725543</v>
      </c>
      <c r="H205" s="2">
        <f t="shared" si="15"/>
        <v>585152.13084472553</v>
      </c>
    </row>
    <row r="206" spans="1:8" x14ac:dyDescent="0.2">
      <c r="A206">
        <v>2018</v>
      </c>
      <c r="B206" s="3" t="str">
        <f t="shared" si="12"/>
        <v>5168</v>
      </c>
      <c r="C206" s="3" t="s">
        <v>212</v>
      </c>
      <c r="D206" s="13">
        <v>525473</v>
      </c>
      <c r="E206" s="13">
        <v>525473</v>
      </c>
      <c r="F206" s="3">
        <f t="shared" si="13"/>
        <v>1.3192821435853677E-3</v>
      </c>
      <c r="G206" s="3">
        <f t="shared" si="14"/>
        <v>79461.684109572423</v>
      </c>
      <c r="H206" s="2">
        <f t="shared" si="15"/>
        <v>604934.68410957244</v>
      </c>
    </row>
    <row r="207" spans="1:8" x14ac:dyDescent="0.2">
      <c r="A207">
        <v>2018</v>
      </c>
      <c r="B207" s="3" t="str">
        <f t="shared" si="12"/>
        <v>5171</v>
      </c>
      <c r="C207" s="3" t="s">
        <v>213</v>
      </c>
      <c r="D207" s="13">
        <v>244021</v>
      </c>
      <c r="E207" s="13">
        <v>244021</v>
      </c>
      <c r="F207" s="3">
        <f t="shared" si="13"/>
        <v>6.1265288218394665E-4</v>
      </c>
      <c r="G207" s="3">
        <f t="shared" si="14"/>
        <v>36900.696359474176</v>
      </c>
      <c r="H207" s="2">
        <f t="shared" si="15"/>
        <v>280921.69635947415</v>
      </c>
    </row>
    <row r="208" spans="1:8" x14ac:dyDescent="0.2">
      <c r="A208">
        <v>2018</v>
      </c>
      <c r="B208" s="3" t="str">
        <f t="shared" si="12"/>
        <v>5172</v>
      </c>
      <c r="C208" s="3" t="s">
        <v>214</v>
      </c>
      <c r="D208" s="13">
        <v>662752</v>
      </c>
      <c r="E208" s="13">
        <v>662752</v>
      </c>
      <c r="F208" s="3">
        <f t="shared" si="13"/>
        <v>1.6639425417204873E-3</v>
      </c>
      <c r="G208" s="3">
        <f t="shared" si="14"/>
        <v>100220.92489430921</v>
      </c>
      <c r="H208" s="2">
        <f t="shared" si="15"/>
        <v>762972.92489430925</v>
      </c>
    </row>
    <row r="209" spans="1:8" x14ac:dyDescent="0.2">
      <c r="A209">
        <v>2018</v>
      </c>
      <c r="B209" s="3" t="str">
        <f t="shared" si="12"/>
        <v>5173</v>
      </c>
      <c r="C209" s="3" t="s">
        <v>215</v>
      </c>
      <c r="D209" s="13">
        <v>365522</v>
      </c>
      <c r="E209" s="13">
        <v>365522</v>
      </c>
      <c r="F209" s="3">
        <f t="shared" si="13"/>
        <v>9.1770014384680233E-4</v>
      </c>
      <c r="G209" s="3">
        <f t="shared" si="14"/>
        <v>55273.998281736895</v>
      </c>
      <c r="H209" s="2">
        <f t="shared" si="15"/>
        <v>420795.99828173692</v>
      </c>
    </row>
    <row r="210" spans="1:8" x14ac:dyDescent="0.2">
      <c r="A210">
        <v>2018</v>
      </c>
      <c r="B210" s="3" t="str">
        <f t="shared" si="12"/>
        <v>5174</v>
      </c>
      <c r="C210" s="3" t="s">
        <v>216</v>
      </c>
      <c r="D210" s="13">
        <v>527860</v>
      </c>
      <c r="E210" s="13">
        <v>527860</v>
      </c>
      <c r="F210" s="3">
        <f t="shared" si="13"/>
        <v>1.3252750803808611E-3</v>
      </c>
      <c r="G210" s="3">
        <f t="shared" si="14"/>
        <v>79822.644691694732</v>
      </c>
      <c r="H210" s="2">
        <f t="shared" si="15"/>
        <v>607682.64469169476</v>
      </c>
    </row>
    <row r="211" spans="1:8" x14ac:dyDescent="0.2">
      <c r="A211">
        <v>2018</v>
      </c>
      <c r="B211" s="3" t="str">
        <f t="shared" si="12"/>
        <v>5175</v>
      </c>
      <c r="C211" s="3" t="s">
        <v>217</v>
      </c>
      <c r="D211" s="13">
        <v>281933</v>
      </c>
      <c r="E211" s="13">
        <v>281933</v>
      </c>
      <c r="F211" s="3">
        <f t="shared" si="13"/>
        <v>7.0783688712351244E-4</v>
      </c>
      <c r="G211" s="3">
        <f t="shared" si="14"/>
        <v>42633.724256173162</v>
      </c>
      <c r="H211" s="2">
        <f t="shared" si="15"/>
        <v>324566.72425617318</v>
      </c>
    </row>
    <row r="212" spans="1:8" x14ac:dyDescent="0.2">
      <c r="A212">
        <v>2018</v>
      </c>
      <c r="B212" s="3" t="str">
        <f t="shared" si="12"/>
        <v>5176</v>
      </c>
      <c r="C212" s="3" t="s">
        <v>218</v>
      </c>
      <c r="D212" s="13">
        <v>2028004</v>
      </c>
      <c r="E212" s="13">
        <v>2028004</v>
      </c>
      <c r="F212" s="3">
        <f t="shared" si="13"/>
        <v>5.0916211952273475E-3</v>
      </c>
      <c r="G212" s="3">
        <f t="shared" si="14"/>
        <v>306673.44130135956</v>
      </c>
      <c r="H212" s="2">
        <f t="shared" si="15"/>
        <v>2334677.4413013598</v>
      </c>
    </row>
    <row r="213" spans="1:8" x14ac:dyDescent="0.2">
      <c r="A213">
        <v>2018</v>
      </c>
      <c r="B213" s="3" t="str">
        <f t="shared" si="12"/>
        <v>5185</v>
      </c>
      <c r="C213" s="3" t="s">
        <v>219</v>
      </c>
      <c r="D213" s="13">
        <v>18383425</v>
      </c>
      <c r="E213" s="13">
        <v>18383425</v>
      </c>
      <c r="F213" s="3">
        <f t="shared" si="13"/>
        <v>4.6154463389062497E-2</v>
      </c>
      <c r="G213" s="3">
        <f t="shared" si="14"/>
        <v>2779929.5305410866</v>
      </c>
      <c r="H213" s="2">
        <f t="shared" si="15"/>
        <v>21163354.530541085</v>
      </c>
    </row>
    <row r="214" spans="1:8" x14ac:dyDescent="0.2">
      <c r="A214">
        <v>2018</v>
      </c>
      <c r="B214" s="3" t="str">
        <f t="shared" si="12"/>
        <v>5186</v>
      </c>
      <c r="C214" s="3" t="s">
        <v>220</v>
      </c>
      <c r="D214" s="13">
        <v>353984</v>
      </c>
      <c r="E214" s="13">
        <v>353984</v>
      </c>
      <c r="F214" s="3">
        <f t="shared" si="13"/>
        <v>8.8873219045492878E-4</v>
      </c>
      <c r="G214" s="3">
        <f t="shared" si="14"/>
        <v>53529.229452023006</v>
      </c>
      <c r="H214" s="2">
        <f t="shared" si="15"/>
        <v>407513.22945202299</v>
      </c>
    </row>
    <row r="215" spans="1:8" x14ac:dyDescent="0.2">
      <c r="A215">
        <v>2018</v>
      </c>
      <c r="B215" s="3" t="str">
        <f t="shared" si="12"/>
        <v>5187</v>
      </c>
      <c r="C215" s="3" t="s">
        <v>221</v>
      </c>
      <c r="D215" s="13">
        <v>426859</v>
      </c>
      <c r="E215" s="13">
        <v>426859</v>
      </c>
      <c r="F215" s="3">
        <f t="shared" si="13"/>
        <v>1.0716962746491379E-3</v>
      </c>
      <c r="G215" s="3">
        <f t="shared" si="14"/>
        <v>64549.339390088498</v>
      </c>
      <c r="H215" s="2">
        <f t="shared" si="15"/>
        <v>491408.33939008851</v>
      </c>
    </row>
    <row r="216" spans="1:8" x14ac:dyDescent="0.2">
      <c r="A216">
        <v>2018</v>
      </c>
      <c r="B216" s="3" t="str">
        <f t="shared" si="12"/>
        <v>5188</v>
      </c>
      <c r="C216" s="3" t="s">
        <v>222</v>
      </c>
      <c r="D216" s="13">
        <v>218062</v>
      </c>
      <c r="E216" s="13">
        <v>218062</v>
      </c>
      <c r="F216" s="3">
        <f t="shared" si="13"/>
        <v>5.4747875303681152E-4</v>
      </c>
      <c r="G216" s="3">
        <f t="shared" si="14"/>
        <v>32975.193321638944</v>
      </c>
      <c r="H216" s="2">
        <f t="shared" si="15"/>
        <v>251037.19332163894</v>
      </c>
    </row>
    <row r="217" spans="1:8" x14ac:dyDescent="0.2">
      <c r="A217">
        <v>2018</v>
      </c>
      <c r="B217" s="3" t="str">
        <f t="shared" si="12"/>
        <v>5189</v>
      </c>
      <c r="C217" s="3" t="s">
        <v>223</v>
      </c>
      <c r="D217" s="13">
        <v>85175</v>
      </c>
      <c r="E217" s="13">
        <v>85175</v>
      </c>
      <c r="F217" s="3">
        <f t="shared" si="13"/>
        <v>2.1384515775288871E-4</v>
      </c>
      <c r="G217" s="3">
        <f t="shared" si="14"/>
        <v>12880.107910459397</v>
      </c>
      <c r="H217" s="2">
        <f t="shared" si="15"/>
        <v>98055.107910459395</v>
      </c>
    </row>
    <row r="218" spans="1:8" x14ac:dyDescent="0.2">
      <c r="A218">
        <v>2018</v>
      </c>
      <c r="B218" s="3" t="str">
        <f t="shared" si="12"/>
        <v>5190</v>
      </c>
      <c r="C218" s="3" t="s">
        <v>224</v>
      </c>
      <c r="D218" s="13">
        <v>246508</v>
      </c>
      <c r="E218" s="13">
        <v>246508</v>
      </c>
      <c r="F218" s="3">
        <f t="shared" si="13"/>
        <v>6.188968846181285E-4</v>
      </c>
      <c r="G218" s="3">
        <f t="shared" si="14"/>
        <v>37276.77887633138</v>
      </c>
      <c r="H218" s="2">
        <f t="shared" si="15"/>
        <v>283784.7788763314</v>
      </c>
    </row>
    <row r="219" spans="1:8" x14ac:dyDescent="0.2">
      <c r="A219">
        <v>2018</v>
      </c>
      <c r="B219" s="3" t="str">
        <f t="shared" si="12"/>
        <v>5191</v>
      </c>
      <c r="C219" s="3" t="s">
        <v>225</v>
      </c>
      <c r="D219" s="13">
        <v>845128</v>
      </c>
      <c r="E219" s="13">
        <v>845128</v>
      </c>
      <c r="F219" s="3">
        <f t="shared" si="13"/>
        <v>2.1218260109349381E-3</v>
      </c>
      <c r="G219" s="3">
        <f t="shared" si="14"/>
        <v>127799.70458644826</v>
      </c>
      <c r="H219" s="2">
        <f t="shared" si="15"/>
        <v>972927.70458644826</v>
      </c>
    </row>
    <row r="220" spans="1:8" x14ac:dyDescent="0.2">
      <c r="A220">
        <v>2018</v>
      </c>
      <c r="B220" s="3" t="str">
        <f t="shared" si="12"/>
        <v>5192</v>
      </c>
      <c r="C220" s="3" t="s">
        <v>226</v>
      </c>
      <c r="D220" s="13">
        <v>286468</v>
      </c>
      <c r="E220" s="13">
        <v>286468</v>
      </c>
      <c r="F220" s="3">
        <f t="shared" si="13"/>
        <v>7.1922271383803376E-4</v>
      </c>
      <c r="G220" s="3">
        <f t="shared" si="14"/>
        <v>43319.503996401327</v>
      </c>
      <c r="H220" s="2">
        <f t="shared" si="15"/>
        <v>329787.50399640133</v>
      </c>
    </row>
    <row r="221" spans="1:8" x14ac:dyDescent="0.2">
      <c r="A221">
        <v>2018</v>
      </c>
      <c r="B221" s="3" t="str">
        <f t="shared" si="12"/>
        <v>5193</v>
      </c>
      <c r="C221" s="3" t="s">
        <v>227</v>
      </c>
      <c r="D221" s="13">
        <v>1402575</v>
      </c>
      <c r="E221" s="13">
        <v>1402575</v>
      </c>
      <c r="F221" s="3">
        <f t="shared" si="13"/>
        <v>3.521383881834551E-3</v>
      </c>
      <c r="G221" s="3">
        <f t="shared" si="14"/>
        <v>212096.47610816071</v>
      </c>
      <c r="H221" s="2">
        <f t="shared" si="15"/>
        <v>1614671.4761081608</v>
      </c>
    </row>
    <row r="222" spans="1:8" x14ac:dyDescent="0.2">
      <c r="A222">
        <v>2018</v>
      </c>
      <c r="B222" s="3" t="str">
        <f t="shared" si="12"/>
        <v>5195</v>
      </c>
      <c r="C222" s="3" t="s">
        <v>228</v>
      </c>
      <c r="D222" s="13">
        <v>664406</v>
      </c>
      <c r="E222" s="13">
        <v>664406</v>
      </c>
      <c r="F222" s="3">
        <f t="shared" si="13"/>
        <v>1.6680951673843942E-3</v>
      </c>
      <c r="G222" s="3">
        <f t="shared" si="14"/>
        <v>100471.04169482461</v>
      </c>
      <c r="H222" s="2">
        <f t="shared" si="15"/>
        <v>764877.04169482458</v>
      </c>
    </row>
    <row r="223" spans="1:8" x14ac:dyDescent="0.2">
      <c r="A223">
        <v>2018</v>
      </c>
      <c r="B223" s="3" t="str">
        <f t="shared" si="12"/>
        <v>5196</v>
      </c>
      <c r="C223" s="3" t="s">
        <v>229</v>
      </c>
      <c r="D223" s="13">
        <v>468608</v>
      </c>
      <c r="E223" s="13">
        <v>468608</v>
      </c>
      <c r="F223" s="3">
        <f t="shared" si="13"/>
        <v>1.1765136681451797E-3</v>
      </c>
      <c r="G223" s="3">
        <f t="shared" si="14"/>
        <v>70862.59592256599</v>
      </c>
      <c r="H223" s="2">
        <f t="shared" si="15"/>
        <v>539470.59592256602</v>
      </c>
    </row>
    <row r="224" spans="1:8" x14ac:dyDescent="0.2">
      <c r="A224">
        <v>2018</v>
      </c>
      <c r="B224" s="3" t="str">
        <f t="shared" si="12"/>
        <v>5197</v>
      </c>
      <c r="C224" s="3" t="s">
        <v>230</v>
      </c>
      <c r="D224" s="13">
        <v>254601</v>
      </c>
      <c r="E224" s="13">
        <v>254601</v>
      </c>
      <c r="F224" s="3">
        <f t="shared" si="13"/>
        <v>6.3921562675718483E-4</v>
      </c>
      <c r="G224" s="3">
        <f t="shared" si="14"/>
        <v>38500.597054427628</v>
      </c>
      <c r="H224" s="2">
        <f t="shared" si="15"/>
        <v>293101.59705442761</v>
      </c>
    </row>
    <row r="225" spans="1:8" x14ac:dyDescent="0.2">
      <c r="A225">
        <v>2018</v>
      </c>
      <c r="B225" s="3" t="str">
        <f t="shared" si="12"/>
        <v>5198</v>
      </c>
      <c r="C225" s="3" t="s">
        <v>231</v>
      </c>
      <c r="D225" s="13">
        <v>1349888</v>
      </c>
      <c r="E225" s="13">
        <v>1349888</v>
      </c>
      <c r="F225" s="3">
        <f t="shared" si="13"/>
        <v>3.3891049287787666E-3</v>
      </c>
      <c r="G225" s="3">
        <f t="shared" si="14"/>
        <v>204129.18235437881</v>
      </c>
      <c r="H225" s="2">
        <f t="shared" si="15"/>
        <v>1554017.1823543787</v>
      </c>
    </row>
    <row r="226" spans="1:8" x14ac:dyDescent="0.2">
      <c r="A226">
        <v>2018</v>
      </c>
      <c r="B226" s="3" t="str">
        <f t="shared" si="12"/>
        <v>5199</v>
      </c>
      <c r="C226" s="3" t="s">
        <v>232</v>
      </c>
      <c r="D226" s="13">
        <v>362111</v>
      </c>
      <c r="E226" s="13">
        <v>362111</v>
      </c>
      <c r="F226" s="3">
        <f t="shared" si="13"/>
        <v>9.091362949111393E-4</v>
      </c>
      <c r="G226" s="3">
        <f t="shared" si="14"/>
        <v>54758.189087929124</v>
      </c>
      <c r="H226" s="2">
        <f t="shared" si="15"/>
        <v>416869.18908792915</v>
      </c>
    </row>
    <row r="227" spans="1:8" x14ac:dyDescent="0.2">
      <c r="A227">
        <v>2018</v>
      </c>
      <c r="B227" s="3" t="str">
        <f t="shared" si="12"/>
        <v>5200</v>
      </c>
      <c r="C227" s="3" t="s">
        <v>233</v>
      </c>
      <c r="D227" s="13">
        <v>857080</v>
      </c>
      <c r="E227" s="13">
        <v>857080</v>
      </c>
      <c r="F227" s="3">
        <f t="shared" si="13"/>
        <v>2.1518333760709818E-3</v>
      </c>
      <c r="G227" s="3">
        <f t="shared" si="14"/>
        <v>129607.07822596468</v>
      </c>
      <c r="H227" s="2">
        <f t="shared" si="15"/>
        <v>986687.07822596468</v>
      </c>
    </row>
    <row r="228" spans="1:8" x14ac:dyDescent="0.2">
      <c r="A228">
        <v>2018</v>
      </c>
      <c r="B228" s="3" t="str">
        <f t="shared" si="12"/>
        <v>5201</v>
      </c>
      <c r="C228" s="3" t="s">
        <v>234</v>
      </c>
      <c r="D228" s="13">
        <v>195572</v>
      </c>
      <c r="E228" s="13">
        <v>195572</v>
      </c>
      <c r="F228" s="3">
        <f t="shared" si="13"/>
        <v>4.9101409089577876E-4</v>
      </c>
      <c r="G228" s="3">
        <f t="shared" si="14"/>
        <v>29574.270199757742</v>
      </c>
      <c r="H228" s="2">
        <f t="shared" si="15"/>
        <v>225146.27019975774</v>
      </c>
    </row>
    <row r="229" spans="1:8" x14ac:dyDescent="0.2">
      <c r="A229">
        <v>2018</v>
      </c>
      <c r="B229" s="3" t="str">
        <f t="shared" si="12"/>
        <v>5202</v>
      </c>
      <c r="C229" s="3" t="s">
        <v>235</v>
      </c>
      <c r="D229" s="13">
        <v>222883</v>
      </c>
      <c r="E229" s="13">
        <v>222883</v>
      </c>
      <c r="F229" s="3">
        <f t="shared" si="13"/>
        <v>5.5958262747798177E-4</v>
      </c>
      <c r="G229" s="3">
        <f t="shared" si="14"/>
        <v>33704.221795208949</v>
      </c>
      <c r="H229" s="2">
        <f t="shared" si="15"/>
        <v>256587.22179520896</v>
      </c>
    </row>
    <row r="230" spans="1:8" x14ac:dyDescent="0.2">
      <c r="A230">
        <v>2018</v>
      </c>
      <c r="B230" s="3" t="str">
        <f t="shared" si="12"/>
        <v>5203</v>
      </c>
      <c r="C230" s="3" t="s">
        <v>236</v>
      </c>
      <c r="D230" s="13">
        <v>659911</v>
      </c>
      <c r="E230" s="13">
        <v>659911</v>
      </c>
      <c r="F230" s="3">
        <f t="shared" si="13"/>
        <v>1.6568097669253483E-3</v>
      </c>
      <c r="G230" s="3">
        <f t="shared" si="14"/>
        <v>99791.310728490425</v>
      </c>
      <c r="H230" s="2">
        <f t="shared" si="15"/>
        <v>759702.31072849047</v>
      </c>
    </row>
    <row r="231" spans="1:8" x14ac:dyDescent="0.2">
      <c r="A231">
        <v>2018</v>
      </c>
      <c r="B231" s="3" t="str">
        <f t="shared" si="12"/>
        <v>5204</v>
      </c>
      <c r="C231" s="3" t="s">
        <v>237</v>
      </c>
      <c r="D231" s="13">
        <v>941238</v>
      </c>
      <c r="E231" s="13">
        <v>941238</v>
      </c>
      <c r="F231" s="3">
        <f t="shared" si="13"/>
        <v>2.3631251962784087E-3</v>
      </c>
      <c r="G231" s="3">
        <f t="shared" si="14"/>
        <v>142333.39606017002</v>
      </c>
      <c r="H231" s="2">
        <f t="shared" si="15"/>
        <v>1083571.3960601701</v>
      </c>
    </row>
    <row r="232" spans="1:8" x14ac:dyDescent="0.2">
      <c r="A232">
        <v>2018</v>
      </c>
      <c r="B232" s="3" t="str">
        <f t="shared" si="12"/>
        <v>5205</v>
      </c>
      <c r="C232" s="3" t="s">
        <v>238</v>
      </c>
      <c r="D232" s="13">
        <v>387610</v>
      </c>
      <c r="E232" s="13">
        <v>387610</v>
      </c>
      <c r="F232" s="3">
        <f t="shared" si="13"/>
        <v>9.7315552212030756E-4</v>
      </c>
      <c r="G232" s="3">
        <f t="shared" si="14"/>
        <v>58614.131225983765</v>
      </c>
      <c r="H232" s="2">
        <f t="shared" si="15"/>
        <v>446224.13122598379</v>
      </c>
    </row>
    <row r="233" spans="1:8" x14ac:dyDescent="0.2">
      <c r="A233">
        <v>2018</v>
      </c>
      <c r="B233" s="3" t="str">
        <f t="shared" si="12"/>
        <v>5206</v>
      </c>
      <c r="C233" s="3" t="s">
        <v>239</v>
      </c>
      <c r="D233" s="13">
        <v>432956</v>
      </c>
      <c r="E233" s="13">
        <v>432956</v>
      </c>
      <c r="F233" s="3">
        <f t="shared" si="13"/>
        <v>1.087003746639973E-3</v>
      </c>
      <c r="G233" s="3">
        <f t="shared" si="14"/>
        <v>65471.323750875956</v>
      </c>
      <c r="H233" s="2">
        <f t="shared" si="15"/>
        <v>498427.32375087595</v>
      </c>
    </row>
    <row r="234" spans="1:8" x14ac:dyDescent="0.2">
      <c r="A234">
        <v>2018</v>
      </c>
      <c r="B234" s="3" t="str">
        <f t="shared" si="12"/>
        <v>5207</v>
      </c>
      <c r="C234" s="3" t="s">
        <v>240</v>
      </c>
      <c r="D234" s="13">
        <v>939285</v>
      </c>
      <c r="E234" s="13">
        <v>939285</v>
      </c>
      <c r="F234" s="3">
        <f t="shared" si="13"/>
        <v>2.3582218843548235E-3</v>
      </c>
      <c r="G234" s="3">
        <f t="shared" si="14"/>
        <v>142038.06467479726</v>
      </c>
      <c r="H234" s="2">
        <f t="shared" si="15"/>
        <v>1081323.0646747972</v>
      </c>
    </row>
    <row r="235" spans="1:8" x14ac:dyDescent="0.2">
      <c r="A235">
        <v>2018</v>
      </c>
      <c r="B235" s="3" t="str">
        <f t="shared" si="12"/>
        <v>5208</v>
      </c>
      <c r="C235" s="3" t="s">
        <v>241</v>
      </c>
      <c r="D235" s="13">
        <v>271669</v>
      </c>
      <c r="E235" s="13">
        <v>271669</v>
      </c>
      <c r="F235" s="3">
        <f t="shared" si="13"/>
        <v>6.8206750996852982E-4</v>
      </c>
      <c r="G235" s="3">
        <f t="shared" si="14"/>
        <v>41081.608874982026</v>
      </c>
      <c r="H235" s="2">
        <f t="shared" si="15"/>
        <v>312750.60887498205</v>
      </c>
    </row>
    <row r="236" spans="1:8" x14ac:dyDescent="0.2">
      <c r="A236">
        <v>2018</v>
      </c>
      <c r="B236" s="3" t="str">
        <f t="shared" si="12"/>
        <v>5210</v>
      </c>
      <c r="C236" s="3" t="s">
        <v>242</v>
      </c>
      <c r="D236" s="13">
        <v>3020635</v>
      </c>
      <c r="E236" s="13">
        <v>3020635</v>
      </c>
      <c r="F236" s="3">
        <f t="shared" si="13"/>
        <v>7.5837765551969123E-3</v>
      </c>
      <c r="G236" s="3">
        <f t="shared" si="14"/>
        <v>456778.45327984181</v>
      </c>
      <c r="H236" s="2">
        <f t="shared" si="15"/>
        <v>3477413.4532798417</v>
      </c>
    </row>
    <row r="237" spans="1:8" x14ac:dyDescent="0.2">
      <c r="A237">
        <v>2018</v>
      </c>
      <c r="B237" s="3" t="str">
        <f t="shared" si="12"/>
        <v>5212</v>
      </c>
      <c r="C237" s="3" t="s">
        <v>243</v>
      </c>
      <c r="D237" s="13">
        <v>690844</v>
      </c>
      <c r="E237" s="13">
        <v>690844</v>
      </c>
      <c r="F237" s="3">
        <f t="shared" si="13"/>
        <v>1.7344719009408471E-3</v>
      </c>
      <c r="G237" s="3">
        <f t="shared" si="14"/>
        <v>104468.97880004006</v>
      </c>
      <c r="H237" s="2">
        <f t="shared" si="15"/>
        <v>795312.97880004009</v>
      </c>
    </row>
    <row r="238" spans="1:8" x14ac:dyDescent="0.2">
      <c r="A238">
        <v>2018</v>
      </c>
      <c r="B238" s="3" t="str">
        <f t="shared" si="12"/>
        <v>5213</v>
      </c>
      <c r="C238" s="3" t="s">
        <v>244</v>
      </c>
      <c r="D238" s="13">
        <v>543774</v>
      </c>
      <c r="E238" s="13">
        <v>543774</v>
      </c>
      <c r="F238" s="3">
        <f t="shared" si="13"/>
        <v>1.3652296661217412E-3</v>
      </c>
      <c r="G238" s="3">
        <f t="shared" si="14"/>
        <v>82229.149385408266</v>
      </c>
      <c r="H238" s="2">
        <f t="shared" si="15"/>
        <v>626003.14938540827</v>
      </c>
    </row>
    <row r="239" spans="1:8" x14ac:dyDescent="0.2">
      <c r="A239">
        <v>2018</v>
      </c>
      <c r="B239" s="3" t="str">
        <f t="shared" si="12"/>
        <v>5214</v>
      </c>
      <c r="C239" s="3" t="s">
        <v>245</v>
      </c>
      <c r="D239" s="13">
        <v>2669653</v>
      </c>
      <c r="E239" s="13">
        <v>2669653</v>
      </c>
      <c r="F239" s="3">
        <f t="shared" si="13"/>
        <v>6.7025813552154109E-3</v>
      </c>
      <c r="G239" s="3">
        <f t="shared" si="14"/>
        <v>403703.18430856074</v>
      </c>
      <c r="H239" s="2">
        <f t="shared" si="15"/>
        <v>3073356.1843085606</v>
      </c>
    </row>
    <row r="240" spans="1:8" x14ac:dyDescent="0.2">
      <c r="A240">
        <v>2018</v>
      </c>
      <c r="B240" s="3" t="str">
        <f t="shared" si="12"/>
        <v>5215</v>
      </c>
      <c r="C240" s="3" t="s">
        <v>246</v>
      </c>
      <c r="D240" s="13">
        <v>675311</v>
      </c>
      <c r="E240" s="13">
        <v>675311</v>
      </c>
      <c r="F240" s="3">
        <f t="shared" si="13"/>
        <v>1.6954738752833699E-3</v>
      </c>
      <c r="G240" s="3">
        <f t="shared" si="14"/>
        <v>102120.08867766653</v>
      </c>
      <c r="H240" s="2">
        <f t="shared" si="15"/>
        <v>777431.0886776665</v>
      </c>
    </row>
    <row r="241" spans="1:8" x14ac:dyDescent="0.2">
      <c r="A241">
        <v>2018</v>
      </c>
      <c r="B241" s="3" t="str">
        <f t="shared" si="12"/>
        <v>5216</v>
      </c>
      <c r="C241" s="3" t="s">
        <v>299</v>
      </c>
      <c r="D241" s="13">
        <v>910769</v>
      </c>
      <c r="E241" s="13">
        <v>910769</v>
      </c>
      <c r="F241" s="3">
        <f t="shared" si="13"/>
        <v>2.2866280068264246E-3</v>
      </c>
      <c r="G241" s="3">
        <f t="shared" si="14"/>
        <v>137725.89376579039</v>
      </c>
      <c r="H241" s="2">
        <f t="shared" si="15"/>
        <v>1048494.8937657904</v>
      </c>
    </row>
    <row r="242" spans="1:8" x14ac:dyDescent="0.2">
      <c r="A242">
        <v>2018</v>
      </c>
      <c r="B242" s="3" t="str">
        <f t="shared" si="12"/>
        <v>5217</v>
      </c>
      <c r="C242" s="3" t="s">
        <v>248</v>
      </c>
      <c r="D242" s="13">
        <v>101958</v>
      </c>
      <c r="E242" s="13">
        <v>101958</v>
      </c>
      <c r="F242" s="3">
        <f t="shared" si="13"/>
        <v>2.5598150389397159E-4</v>
      </c>
      <c r="G242" s="3">
        <f t="shared" si="14"/>
        <v>15418.022217019306</v>
      </c>
      <c r="H242" s="2">
        <f t="shared" si="15"/>
        <v>117376.0222170193</v>
      </c>
    </row>
    <row r="243" spans="1:8" x14ac:dyDescent="0.2">
      <c r="A243">
        <v>2018</v>
      </c>
      <c r="B243" s="3" t="str">
        <f t="shared" si="12"/>
        <v>5218</v>
      </c>
      <c r="C243" s="3" t="s">
        <v>249</v>
      </c>
      <c r="D243" s="13">
        <v>261360</v>
      </c>
      <c r="E243" s="13">
        <v>261360</v>
      </c>
      <c r="F243" s="3">
        <f t="shared" si="13"/>
        <v>6.5618515327613733E-4</v>
      </c>
      <c r="G243" s="3">
        <f t="shared" si="14"/>
        <v>39522.688623160182</v>
      </c>
      <c r="H243" s="2">
        <f t="shared" si="15"/>
        <v>300882.68862316018</v>
      </c>
    </row>
    <row r="244" spans="1:8" x14ac:dyDescent="0.2">
      <c r="A244">
        <v>2018</v>
      </c>
      <c r="B244" s="3" t="str">
        <f t="shared" si="12"/>
        <v>5219</v>
      </c>
      <c r="C244" s="3" t="s">
        <v>250</v>
      </c>
      <c r="D244" s="13">
        <v>190147</v>
      </c>
      <c r="E244" s="13">
        <v>190147</v>
      </c>
      <c r="F244" s="3">
        <f t="shared" si="13"/>
        <v>4.7739377999693022E-4</v>
      </c>
      <c r="G244" s="3">
        <f t="shared" si="14"/>
        <v>28753.905240388885</v>
      </c>
      <c r="H244" s="2">
        <f t="shared" si="15"/>
        <v>218900.90524038888</v>
      </c>
    </row>
    <row r="245" spans="1:8" x14ac:dyDescent="0.2">
      <c r="A245">
        <v>2018</v>
      </c>
      <c r="B245" s="3" t="str">
        <f t="shared" si="12"/>
        <v>5220</v>
      </c>
      <c r="C245" s="3" t="s">
        <v>251</v>
      </c>
      <c r="D245" s="13">
        <v>365273</v>
      </c>
      <c r="E245" s="13">
        <v>365273</v>
      </c>
      <c r="F245" s="3">
        <f t="shared" si="13"/>
        <v>9.1707499040646814E-4</v>
      </c>
      <c r="G245" s="3">
        <f t="shared" si="14"/>
        <v>55236.344664246972</v>
      </c>
      <c r="H245" s="2">
        <f t="shared" si="15"/>
        <v>420509.34466424695</v>
      </c>
    </row>
    <row r="246" spans="1:8" x14ac:dyDescent="0.2">
      <c r="A246">
        <v>2018</v>
      </c>
      <c r="B246" s="3" t="str">
        <f t="shared" si="12"/>
        <v>5222</v>
      </c>
      <c r="C246" s="3" t="s">
        <v>252</v>
      </c>
      <c r="D246" s="13">
        <v>341262</v>
      </c>
      <c r="E246" s="13">
        <v>341262</v>
      </c>
      <c r="F246" s="3">
        <f t="shared" si="13"/>
        <v>8.5679161990098393E-4</v>
      </c>
      <c r="G246" s="3">
        <f t="shared" si="14"/>
        <v>51605.416915047783</v>
      </c>
      <c r="H246" s="2">
        <f t="shared" si="15"/>
        <v>392867.4169150478</v>
      </c>
    </row>
    <row r="247" spans="1:8" x14ac:dyDescent="0.2">
      <c r="A247">
        <v>2018</v>
      </c>
      <c r="B247" s="3" t="str">
        <f t="shared" si="12"/>
        <v>5223</v>
      </c>
      <c r="C247" s="3" t="s">
        <v>253</v>
      </c>
      <c r="D247" s="13">
        <v>339761</v>
      </c>
      <c r="E247" s="13">
        <v>339761</v>
      </c>
      <c r="F247" s="3">
        <f t="shared" si="13"/>
        <v>8.5302312466427029E-4</v>
      </c>
      <c r="G247" s="3">
        <f t="shared" si="14"/>
        <v>51378.436674676792</v>
      </c>
      <c r="H247" s="2">
        <f t="shared" si="15"/>
        <v>391139.43667467678</v>
      </c>
    </row>
    <row r="248" spans="1:8" x14ac:dyDescent="0.2">
      <c r="A248">
        <v>2018</v>
      </c>
      <c r="B248" s="3" t="str">
        <f t="shared" si="12"/>
        <v>5226</v>
      </c>
      <c r="C248" s="3" t="s">
        <v>254</v>
      </c>
      <c r="D248" s="13">
        <v>180879</v>
      </c>
      <c r="E248" s="13">
        <v>180879</v>
      </c>
      <c r="F248" s="3">
        <f t="shared" si="13"/>
        <v>4.541250166032845E-4</v>
      </c>
      <c r="G248" s="3">
        <f t="shared" si="14"/>
        <v>27352.404329157445</v>
      </c>
      <c r="H248" s="2">
        <f t="shared" si="15"/>
        <v>208231.40432915743</v>
      </c>
    </row>
    <row r="249" spans="1:8" x14ac:dyDescent="0.2">
      <c r="A249">
        <v>2018</v>
      </c>
      <c r="B249" s="3" t="str">
        <f t="shared" si="12"/>
        <v>5227</v>
      </c>
      <c r="C249" s="3" t="s">
        <v>255</v>
      </c>
      <c r="D249" s="13">
        <v>66798</v>
      </c>
      <c r="E249" s="13">
        <v>66798</v>
      </c>
      <c r="F249" s="3">
        <f t="shared" si="13"/>
        <v>1.6770682533111196E-4</v>
      </c>
      <c r="G249" s="3">
        <f t="shared" si="14"/>
        <v>10101.149964225029</v>
      </c>
      <c r="H249" s="2">
        <f t="shared" si="15"/>
        <v>76899.149964225027</v>
      </c>
    </row>
    <row r="250" spans="1:8" x14ac:dyDescent="0.2">
      <c r="A250">
        <v>2018</v>
      </c>
      <c r="B250" s="3" t="str">
        <f t="shared" si="12"/>
        <v>5228</v>
      </c>
      <c r="C250" s="3" t="s">
        <v>256</v>
      </c>
      <c r="D250" s="13">
        <v>136146</v>
      </c>
      <c r="E250" s="13">
        <v>136146</v>
      </c>
      <c r="F250" s="3">
        <f t="shared" si="13"/>
        <v>3.4181582444877941E-4</v>
      </c>
      <c r="G250" s="3">
        <f t="shared" si="14"/>
        <v>20587.909264190257</v>
      </c>
      <c r="H250" s="2">
        <f t="shared" si="15"/>
        <v>156733.90926419027</v>
      </c>
    </row>
    <row r="251" spans="1:8" x14ac:dyDescent="0.2">
      <c r="A251">
        <v>2018</v>
      </c>
      <c r="B251" s="3" t="str">
        <f t="shared" si="12"/>
        <v>5229</v>
      </c>
      <c r="C251" s="3" t="s">
        <v>257</v>
      </c>
      <c r="D251" s="13">
        <v>324353</v>
      </c>
      <c r="E251" s="13">
        <v>324353</v>
      </c>
      <c r="F251" s="3">
        <f t="shared" si="13"/>
        <v>8.1433893105515372E-4</v>
      </c>
      <c r="G251" s="3">
        <f t="shared" si="14"/>
        <v>49048.448970721896</v>
      </c>
      <c r="H251" s="2">
        <f t="shared" si="15"/>
        <v>373401.44897072192</v>
      </c>
    </row>
    <row r="252" spans="1:8" x14ac:dyDescent="0.2">
      <c r="A252">
        <v>2018</v>
      </c>
      <c r="B252" s="3" t="str">
        <f t="shared" si="12"/>
        <v>5230</v>
      </c>
      <c r="C252" s="3" t="s">
        <v>258</v>
      </c>
      <c r="D252" s="13">
        <v>656968</v>
      </c>
      <c r="E252" s="13">
        <v>656968</v>
      </c>
      <c r="F252" s="3">
        <f t="shared" si="13"/>
        <v>1.6494209051787472E-3</v>
      </c>
      <c r="G252" s="3">
        <f t="shared" si="14"/>
        <v>99346.272189242038</v>
      </c>
      <c r="H252" s="2">
        <f t="shared" si="15"/>
        <v>756314.27218924207</v>
      </c>
    </row>
    <row r="253" spans="1:8" x14ac:dyDescent="0.2">
      <c r="A253">
        <v>2018</v>
      </c>
      <c r="B253" s="3" t="str">
        <f t="shared" si="12"/>
        <v>5231</v>
      </c>
      <c r="C253" s="3" t="s">
        <v>259</v>
      </c>
      <c r="D253" s="13">
        <v>1475507</v>
      </c>
      <c r="E253" s="13">
        <v>1475507</v>
      </c>
      <c r="F253" s="3">
        <f t="shared" si="13"/>
        <v>3.7044910734428129E-3</v>
      </c>
      <c r="G253" s="3">
        <f t="shared" si="14"/>
        <v>223125.20554902512</v>
      </c>
      <c r="H253" s="2">
        <f t="shared" si="15"/>
        <v>1698632.2055490252</v>
      </c>
    </row>
    <row r="254" spans="1:8" x14ac:dyDescent="0.2">
      <c r="A254">
        <v>2018</v>
      </c>
      <c r="B254" s="3" t="str">
        <f t="shared" si="12"/>
        <v>5233</v>
      </c>
      <c r="C254" s="3" t="s">
        <v>260</v>
      </c>
      <c r="D254" s="13">
        <v>4541633</v>
      </c>
      <c r="E254" s="13">
        <v>4541633</v>
      </c>
      <c r="F254" s="3">
        <f t="shared" si="13"/>
        <v>1.1402479898335489E-2</v>
      </c>
      <c r="G254" s="3">
        <f t="shared" si="14"/>
        <v>686782.77815912478</v>
      </c>
      <c r="H254" s="2">
        <f t="shared" si="15"/>
        <v>5228415.7781591248</v>
      </c>
    </row>
    <row r="255" spans="1:8" x14ac:dyDescent="0.2">
      <c r="A255">
        <v>2018</v>
      </c>
      <c r="B255" s="3" t="str">
        <f t="shared" si="12"/>
        <v>5235</v>
      </c>
      <c r="C255" s="3" t="s">
        <v>261</v>
      </c>
      <c r="D255" s="13">
        <v>215577</v>
      </c>
      <c r="E255" s="13">
        <v>215577</v>
      </c>
      <c r="F255" s="3">
        <f t="shared" si="13"/>
        <v>5.4123977191540345E-4</v>
      </c>
      <c r="G255" s="3">
        <f t="shared" si="14"/>
        <v>32599.413243476436</v>
      </c>
      <c r="H255" s="2">
        <f t="shared" si="15"/>
        <v>248176.41324347645</v>
      </c>
    </row>
    <row r="256" spans="1:8" x14ac:dyDescent="0.2">
      <c r="A256">
        <v>2018</v>
      </c>
      <c r="B256" s="3" t="str">
        <f t="shared" si="12"/>
        <v>5236</v>
      </c>
      <c r="C256" s="3" t="s">
        <v>262</v>
      </c>
      <c r="D256" s="13">
        <v>480230</v>
      </c>
      <c r="E256" s="13">
        <v>480230</v>
      </c>
      <c r="F256" s="3">
        <f t="shared" si="13"/>
        <v>1.2056925166735516E-3</v>
      </c>
      <c r="G256" s="3">
        <f t="shared" si="14"/>
        <v>72620.067177457197</v>
      </c>
      <c r="H256" s="2">
        <f t="shared" si="15"/>
        <v>552850.06717745715</v>
      </c>
    </row>
    <row r="257" spans="1:8" x14ac:dyDescent="0.2">
      <c r="A257">
        <v>2018</v>
      </c>
      <c r="B257" s="3" t="str">
        <f t="shared" si="12"/>
        <v>5237</v>
      </c>
      <c r="C257" s="3" t="s">
        <v>263</v>
      </c>
      <c r="D257" s="13">
        <v>204376</v>
      </c>
      <c r="E257" s="13">
        <v>204376</v>
      </c>
      <c r="F257" s="3">
        <f t="shared" si="13"/>
        <v>5.1311790972591005E-4</v>
      </c>
      <c r="G257" s="3">
        <f t="shared" si="14"/>
        <v>30905.6053338192</v>
      </c>
      <c r="H257" s="2">
        <f t="shared" si="15"/>
        <v>235281.6053338192</v>
      </c>
    </row>
    <row r="258" spans="1:8" x14ac:dyDescent="0.2">
      <c r="A258">
        <v>2018</v>
      </c>
      <c r="B258" s="3" t="str">
        <f t="shared" si="12"/>
        <v>5238</v>
      </c>
      <c r="C258" s="3" t="s">
        <v>264</v>
      </c>
      <c r="D258" s="13">
        <v>194932</v>
      </c>
      <c r="E258" s="13">
        <v>194932</v>
      </c>
      <c r="F258" s="3">
        <f t="shared" si="13"/>
        <v>4.8940727080817262E-4</v>
      </c>
      <c r="G258" s="3">
        <f t="shared" si="14"/>
        <v>29477.489817454316</v>
      </c>
      <c r="H258" s="2">
        <f t="shared" si="15"/>
        <v>224409.48981745431</v>
      </c>
    </row>
    <row r="259" spans="1:8" x14ac:dyDescent="0.2">
      <c r="A259">
        <v>2018</v>
      </c>
      <c r="B259" s="3" t="str">
        <f t="shared" ref="B259:B322" si="16">LEFT(C259,4)</f>
        <v>5239</v>
      </c>
      <c r="C259" s="3" t="s">
        <v>265</v>
      </c>
      <c r="D259" s="13">
        <v>157856</v>
      </c>
      <c r="E259" s="13">
        <v>157856</v>
      </c>
      <c r="F259" s="3">
        <f t="shared" ref="F259:F322" si="17">E259/$D$340</f>
        <v>3.9632217460804228E-4</v>
      </c>
      <c r="G259" s="3">
        <f t="shared" ref="G259:G322" si="18">F259*$D$341</f>
        <v>23870.88129513917</v>
      </c>
      <c r="H259" s="2">
        <f t="shared" ref="H259:H322" si="19">SUM(G259,D259)</f>
        <v>181726.88129513917</v>
      </c>
    </row>
    <row r="260" spans="1:8" x14ac:dyDescent="0.2">
      <c r="A260">
        <v>2018</v>
      </c>
      <c r="B260" s="3" t="str">
        <f t="shared" si="16"/>
        <v>5240</v>
      </c>
      <c r="C260" s="3" t="s">
        <v>266</v>
      </c>
      <c r="D260" s="13">
        <v>346622</v>
      </c>
      <c r="E260" s="13">
        <v>346622</v>
      </c>
      <c r="F260" s="3">
        <f t="shared" si="17"/>
        <v>8.70248738134685E-4</v>
      </c>
      <c r="G260" s="3">
        <f t="shared" si="18"/>
        <v>52415.952616838949</v>
      </c>
      <c r="H260" s="2">
        <f t="shared" si="19"/>
        <v>399037.95261683897</v>
      </c>
    </row>
    <row r="261" spans="1:8" x14ac:dyDescent="0.2">
      <c r="A261">
        <v>2018</v>
      </c>
      <c r="B261" s="3" t="str">
        <f t="shared" si="16"/>
        <v>5241</v>
      </c>
      <c r="C261" s="3" t="s">
        <v>362</v>
      </c>
      <c r="D261" s="13">
        <v>217226</v>
      </c>
      <c r="E261" s="13">
        <v>217226</v>
      </c>
      <c r="F261" s="3">
        <f t="shared" si="17"/>
        <v>5.4537984429737607E-4</v>
      </c>
      <c r="G261" s="3">
        <f t="shared" si="18"/>
        <v>32848.773947255104</v>
      </c>
      <c r="H261" s="2">
        <f t="shared" si="19"/>
        <v>250074.7739472551</v>
      </c>
    </row>
    <row r="262" spans="1:8" x14ac:dyDescent="0.2">
      <c r="A262">
        <v>2018</v>
      </c>
      <c r="B262" s="3" t="str">
        <f t="shared" si="16"/>
        <v>5250</v>
      </c>
      <c r="C262" s="3" t="s">
        <v>268</v>
      </c>
      <c r="D262" s="13">
        <v>518878</v>
      </c>
      <c r="E262" s="13">
        <v>518878</v>
      </c>
      <c r="F262" s="3">
        <f t="shared" si="17"/>
        <v>1.3027243647138643E-3</v>
      </c>
      <c r="G262" s="3">
        <f t="shared" si="18"/>
        <v>78464.392513805127</v>
      </c>
      <c r="H262" s="2">
        <f t="shared" si="19"/>
        <v>597342.39251380507</v>
      </c>
    </row>
    <row r="263" spans="1:8" x14ac:dyDescent="0.2">
      <c r="A263">
        <v>2018</v>
      </c>
      <c r="B263" s="3" t="str">
        <f t="shared" si="16"/>
        <v>5251</v>
      </c>
      <c r="C263" s="3" t="s">
        <v>269</v>
      </c>
      <c r="D263" s="13">
        <v>178716</v>
      </c>
      <c r="E263" s="13">
        <v>178716</v>
      </c>
      <c r="F263" s="3">
        <f t="shared" si="17"/>
        <v>4.4869446683845334E-4</v>
      </c>
      <c r="G263" s="3">
        <f t="shared" si="18"/>
        <v>27025.31688084135</v>
      </c>
      <c r="H263" s="2">
        <f t="shared" si="19"/>
        <v>205741.31688084136</v>
      </c>
    </row>
    <row r="264" spans="1:8" x14ac:dyDescent="0.2">
      <c r="A264">
        <v>2018</v>
      </c>
      <c r="B264" s="3" t="str">
        <f t="shared" si="16"/>
        <v>5267</v>
      </c>
      <c r="C264" s="3" t="s">
        <v>270</v>
      </c>
      <c r="D264" s="13">
        <v>192033</v>
      </c>
      <c r="E264" s="13">
        <v>192033</v>
      </c>
      <c r="F264" s="3">
        <f t="shared" si="17"/>
        <v>4.821288779425944E-4</v>
      </c>
      <c r="G264" s="3">
        <f t="shared" si="18"/>
        <v>29039.10492948928</v>
      </c>
      <c r="H264" s="2">
        <f t="shared" si="19"/>
        <v>221072.10492948929</v>
      </c>
    </row>
    <row r="265" spans="1:8" x14ac:dyDescent="0.2">
      <c r="A265">
        <v>2018</v>
      </c>
      <c r="B265" s="3" t="str">
        <f t="shared" si="16"/>
        <v>5268</v>
      </c>
      <c r="C265" s="3" t="s">
        <v>271</v>
      </c>
      <c r="D265" s="13">
        <v>203141</v>
      </c>
      <c r="E265" s="13">
        <v>203141</v>
      </c>
      <c r="F265" s="3">
        <f t="shared" si="17"/>
        <v>5.1001724908810765E-4</v>
      </c>
      <c r="G265" s="3">
        <f t="shared" si="18"/>
        <v>30718.849439843059</v>
      </c>
      <c r="H265" s="2">
        <f t="shared" si="19"/>
        <v>233859.84943984306</v>
      </c>
    </row>
    <row r="266" spans="1:8" x14ac:dyDescent="0.2">
      <c r="A266">
        <v>2018</v>
      </c>
      <c r="B266" s="3" t="str">
        <f t="shared" si="16"/>
        <v>5270</v>
      </c>
      <c r="C266" s="3" t="s">
        <v>272</v>
      </c>
      <c r="D266" s="13">
        <v>260467</v>
      </c>
      <c r="E266" s="13">
        <v>260467</v>
      </c>
      <c r="F266" s="3">
        <f t="shared" si="17"/>
        <v>6.5394313712264943E-4</v>
      </c>
      <c r="G266" s="3">
        <f t="shared" si="18"/>
        <v>39387.649745977433</v>
      </c>
      <c r="H266" s="2">
        <f t="shared" si="19"/>
        <v>299854.64974597743</v>
      </c>
    </row>
    <row r="267" spans="1:8" x14ac:dyDescent="0.2">
      <c r="A267">
        <v>2018</v>
      </c>
      <c r="B267" s="3" t="str">
        <f t="shared" si="16"/>
        <v>5271</v>
      </c>
      <c r="C267" s="3" t="s">
        <v>273</v>
      </c>
      <c r="D267" s="13">
        <v>157399</v>
      </c>
      <c r="E267" s="13">
        <v>157399</v>
      </c>
      <c r="F267" s="3">
        <f t="shared" si="17"/>
        <v>3.9517480463923608E-4</v>
      </c>
      <c r="G267" s="3">
        <f t="shared" si="18"/>
        <v>23801.774053400633</v>
      </c>
      <c r="H267" s="2">
        <f t="shared" si="19"/>
        <v>181200.77405340064</v>
      </c>
    </row>
    <row r="268" spans="1:8" x14ac:dyDescent="0.2">
      <c r="A268">
        <v>2018</v>
      </c>
      <c r="B268" s="3" t="str">
        <f t="shared" si="16"/>
        <v>5272</v>
      </c>
      <c r="C268" s="3" t="s">
        <v>274</v>
      </c>
      <c r="D268" s="13">
        <v>2391262</v>
      </c>
      <c r="E268" s="13">
        <v>2391262</v>
      </c>
      <c r="F268" s="3">
        <f t="shared" si="17"/>
        <v>6.0036372130142434E-3</v>
      </c>
      <c r="G268" s="3">
        <f t="shared" si="18"/>
        <v>361605.07898069813</v>
      </c>
      <c r="H268" s="2">
        <f t="shared" si="19"/>
        <v>2752867.0789806983</v>
      </c>
    </row>
    <row r="269" spans="1:8" x14ac:dyDescent="0.2">
      <c r="A269">
        <v>2018</v>
      </c>
      <c r="B269" s="3" t="str">
        <f t="shared" si="16"/>
        <v>5274</v>
      </c>
      <c r="C269" s="3" t="s">
        <v>275</v>
      </c>
      <c r="D269" s="13">
        <v>641606</v>
      </c>
      <c r="E269" s="13">
        <v>641606</v>
      </c>
      <c r="F269" s="3">
        <f t="shared" si="17"/>
        <v>1.6108522017634272E-3</v>
      </c>
      <c r="G269" s="3">
        <f t="shared" si="18"/>
        <v>97023.240575265183</v>
      </c>
      <c r="H269" s="2">
        <f t="shared" si="19"/>
        <v>738629.24057526514</v>
      </c>
    </row>
    <row r="270" spans="1:8" x14ac:dyDescent="0.2">
      <c r="A270">
        <v>2018</v>
      </c>
      <c r="B270" s="3" t="str">
        <f t="shared" si="16"/>
        <v>5275</v>
      </c>
      <c r="C270" s="3" t="s">
        <v>276</v>
      </c>
      <c r="D270" s="13">
        <v>1522290</v>
      </c>
      <c r="E270" s="13">
        <v>1522290</v>
      </c>
      <c r="F270" s="3">
        <f t="shared" si="17"/>
        <v>3.821947111190431E-3</v>
      </c>
      <c r="G270" s="3">
        <f t="shared" si="18"/>
        <v>230199.70027605796</v>
      </c>
      <c r="H270" s="2">
        <f t="shared" si="19"/>
        <v>1752489.7002760579</v>
      </c>
    </row>
    <row r="271" spans="1:8" x14ac:dyDescent="0.2">
      <c r="A271">
        <v>2018</v>
      </c>
      <c r="B271" s="3" t="str">
        <f t="shared" si="16"/>
        <v>5276</v>
      </c>
      <c r="C271" s="3" t="s">
        <v>277</v>
      </c>
      <c r="D271" s="13">
        <v>793111</v>
      </c>
      <c r="E271" s="13">
        <v>793111</v>
      </c>
      <c r="F271" s="3">
        <f t="shared" si="17"/>
        <v>1.991229197658366E-3</v>
      </c>
      <c r="G271" s="3">
        <f t="shared" si="18"/>
        <v>119933.72779539024</v>
      </c>
      <c r="H271" s="2">
        <f t="shared" si="19"/>
        <v>913044.72779539018</v>
      </c>
    </row>
    <row r="272" spans="1:8" x14ac:dyDescent="0.2">
      <c r="A272">
        <v>2018</v>
      </c>
      <c r="B272" s="3" t="str">
        <f t="shared" si="16"/>
        <v>5278</v>
      </c>
      <c r="C272" s="3" t="s">
        <v>278</v>
      </c>
      <c r="D272" s="13">
        <v>243305</v>
      </c>
      <c r="E272" s="13">
        <v>243305</v>
      </c>
      <c r="F272" s="3">
        <f t="shared" si="17"/>
        <v>6.1085525221093735E-4</v>
      </c>
      <c r="G272" s="3">
        <f t="shared" si="18"/>
        <v>36792.423306772216</v>
      </c>
      <c r="H272" s="2">
        <f t="shared" si="19"/>
        <v>280097.42330677219</v>
      </c>
    </row>
    <row r="273" spans="1:8" x14ac:dyDescent="0.2">
      <c r="A273">
        <v>2018</v>
      </c>
      <c r="B273" s="3" t="str">
        <f t="shared" si="16"/>
        <v>5280</v>
      </c>
      <c r="C273" s="3" t="s">
        <v>279</v>
      </c>
      <c r="D273" s="13">
        <v>4006194</v>
      </c>
      <c r="E273" s="13">
        <v>4006194</v>
      </c>
      <c r="F273" s="3">
        <f t="shared" si="17"/>
        <v>1.005817655319843E-2</v>
      </c>
      <c r="G273" s="3">
        <f t="shared" si="18"/>
        <v>605814.04203387117</v>
      </c>
      <c r="H273" s="2">
        <f t="shared" si="19"/>
        <v>4612008.0420338716</v>
      </c>
    </row>
    <row r="274" spans="1:8" x14ac:dyDescent="0.2">
      <c r="A274">
        <v>2018</v>
      </c>
      <c r="B274" s="3" t="str">
        <f t="shared" si="16"/>
        <v>5281</v>
      </c>
      <c r="C274" s="3" t="s">
        <v>280</v>
      </c>
      <c r="D274" s="13">
        <v>164310</v>
      </c>
      <c r="E274" s="13">
        <v>164310</v>
      </c>
      <c r="F274" s="3">
        <f t="shared" si="17"/>
        <v>4.1252595092899496E-4</v>
      </c>
      <c r="G274" s="3">
        <f t="shared" si="18"/>
        <v>24846.850962930246</v>
      </c>
      <c r="H274" s="2">
        <f t="shared" si="19"/>
        <v>189156.85096293024</v>
      </c>
    </row>
    <row r="275" spans="1:8" x14ac:dyDescent="0.2">
      <c r="A275">
        <v>2018</v>
      </c>
      <c r="B275" s="3" t="str">
        <f t="shared" si="16"/>
        <v>5283</v>
      </c>
      <c r="C275" s="3" t="s">
        <v>281</v>
      </c>
      <c r="D275" s="13">
        <v>418374</v>
      </c>
      <c r="E275" s="13">
        <v>418374</v>
      </c>
      <c r="F275" s="3">
        <f t="shared" si="17"/>
        <v>1.0503933552064228E-3</v>
      </c>
      <c r="G275" s="3">
        <f t="shared" si="18"/>
        <v>63266.243227831408</v>
      </c>
      <c r="H275" s="2">
        <f t="shared" si="19"/>
        <v>481640.24322783144</v>
      </c>
    </row>
    <row r="276" spans="1:8" x14ac:dyDescent="0.2">
      <c r="A276">
        <v>2018</v>
      </c>
      <c r="B276" s="3" t="str">
        <f t="shared" si="16"/>
        <v>5284</v>
      </c>
      <c r="C276" s="3" t="s">
        <v>282</v>
      </c>
      <c r="D276" s="13">
        <v>597197</v>
      </c>
      <c r="E276" s="13">
        <v>597197</v>
      </c>
      <c r="F276" s="3">
        <f t="shared" si="17"/>
        <v>1.4993564622782728E-3</v>
      </c>
      <c r="G276" s="3">
        <f t="shared" si="18"/>
        <v>90307.740578839119</v>
      </c>
      <c r="H276" s="2">
        <f t="shared" si="19"/>
        <v>687504.74057883909</v>
      </c>
    </row>
    <row r="277" spans="1:8" x14ac:dyDescent="0.2">
      <c r="A277">
        <v>2018</v>
      </c>
      <c r="B277" s="3" t="str">
        <f t="shared" si="16"/>
        <v>5285</v>
      </c>
      <c r="C277" s="3" t="s">
        <v>283</v>
      </c>
      <c r="D277" s="13">
        <v>317000</v>
      </c>
      <c r="E277" s="13">
        <v>317000</v>
      </c>
      <c r="F277" s="3">
        <f t="shared" si="17"/>
        <v>7.9587807464239185E-4</v>
      </c>
      <c r="G277" s="3">
        <f t="shared" si="18"/>
        <v>47936.533109663978</v>
      </c>
      <c r="H277" s="2">
        <f t="shared" si="19"/>
        <v>364936.53310966399</v>
      </c>
    </row>
    <row r="278" spans="1:8" x14ac:dyDescent="0.2">
      <c r="A278">
        <v>2018</v>
      </c>
      <c r="B278" s="3" t="str">
        <f t="shared" si="16"/>
        <v>5286</v>
      </c>
      <c r="C278" s="3" t="s">
        <v>284</v>
      </c>
      <c r="D278" s="13">
        <v>290768</v>
      </c>
      <c r="E278" s="13">
        <v>290768</v>
      </c>
      <c r="F278" s="3">
        <f t="shared" si="17"/>
        <v>7.3001853630163714E-4</v>
      </c>
      <c r="G278" s="3">
        <f t="shared" si="18"/>
        <v>43969.747190002439</v>
      </c>
      <c r="H278" s="2">
        <f t="shared" si="19"/>
        <v>334737.74719000247</v>
      </c>
    </row>
    <row r="279" spans="1:8" x14ac:dyDescent="0.2">
      <c r="A279">
        <v>2018</v>
      </c>
      <c r="B279" s="3" t="str">
        <f t="shared" si="16"/>
        <v>5287</v>
      </c>
      <c r="C279" s="3" t="s">
        <v>285</v>
      </c>
      <c r="D279" s="13">
        <v>461063</v>
      </c>
      <c r="E279" s="13">
        <v>461063</v>
      </c>
      <c r="F279" s="3">
        <f t="shared" si="17"/>
        <v>1.157570765706136E-3</v>
      </c>
      <c r="G279" s="3">
        <f t="shared" si="18"/>
        <v>69721.645946817036</v>
      </c>
      <c r="H279" s="2">
        <f t="shared" si="19"/>
        <v>530784.64594681701</v>
      </c>
    </row>
    <row r="280" spans="1:8" x14ac:dyDescent="0.2">
      <c r="A280">
        <v>2018</v>
      </c>
      <c r="B280" s="3" t="str">
        <f t="shared" si="16"/>
        <v>5288</v>
      </c>
      <c r="C280" s="3" t="s">
        <v>286</v>
      </c>
      <c r="D280" s="13">
        <v>260751</v>
      </c>
      <c r="E280" s="13">
        <v>260751</v>
      </c>
      <c r="F280" s="3">
        <f t="shared" si="17"/>
        <v>6.546561635365247E-4</v>
      </c>
      <c r="G280" s="3">
        <f t="shared" si="18"/>
        <v>39430.596040624579</v>
      </c>
      <c r="H280" s="2">
        <f t="shared" si="19"/>
        <v>300181.5960406246</v>
      </c>
    </row>
    <row r="281" spans="1:8" x14ac:dyDescent="0.2">
      <c r="A281">
        <v>2018</v>
      </c>
      <c r="B281" s="3" t="str">
        <f t="shared" si="16"/>
        <v>5289</v>
      </c>
      <c r="C281" s="3" t="s">
        <v>287</v>
      </c>
      <c r="D281" s="13">
        <v>369551</v>
      </c>
      <c r="E281" s="13">
        <v>369551</v>
      </c>
      <c r="F281" s="3">
        <f t="shared" si="17"/>
        <v>9.2781557842956013E-4</v>
      </c>
      <c r="G281" s="3">
        <f t="shared" si="18"/>
        <v>55883.261032206414</v>
      </c>
      <c r="H281" s="2">
        <f t="shared" si="19"/>
        <v>425434.26103220641</v>
      </c>
    </row>
    <row r="282" spans="1:8" x14ac:dyDescent="0.2">
      <c r="A282">
        <v>2018</v>
      </c>
      <c r="B282" s="3" t="str">
        <f t="shared" si="16"/>
        <v>5291</v>
      </c>
      <c r="C282" s="3" t="s">
        <v>288</v>
      </c>
      <c r="D282" s="13">
        <v>491319</v>
      </c>
      <c r="E282" s="13">
        <v>491319</v>
      </c>
      <c r="F282" s="3">
        <f t="shared" si="17"/>
        <v>1.2335331853477139E-3</v>
      </c>
      <c r="G282" s="3">
        <f t="shared" si="18"/>
        <v>74296.938520211348</v>
      </c>
      <c r="H282" s="2">
        <f t="shared" si="19"/>
        <v>565615.93852021138</v>
      </c>
    </row>
    <row r="283" spans="1:8" x14ac:dyDescent="0.2">
      <c r="A283">
        <v>2018</v>
      </c>
      <c r="B283" s="3" t="str">
        <f t="shared" si="16"/>
        <v>5292</v>
      </c>
      <c r="C283" s="3" t="s">
        <v>289</v>
      </c>
      <c r="D283" s="13">
        <v>1266515</v>
      </c>
      <c r="E283" s="13">
        <v>1266515</v>
      </c>
      <c r="F283" s="3">
        <f t="shared" si="17"/>
        <v>3.1797839738350437E-3</v>
      </c>
      <c r="G283" s="3">
        <f t="shared" si="18"/>
        <v>191521.57170784249</v>
      </c>
      <c r="H283" s="2">
        <f t="shared" si="19"/>
        <v>1458036.5717078424</v>
      </c>
    </row>
    <row r="284" spans="1:8" x14ac:dyDescent="0.2">
      <c r="A284">
        <v>2018</v>
      </c>
      <c r="B284" s="3" t="str">
        <f t="shared" si="16"/>
        <v>5293</v>
      </c>
      <c r="C284" s="3" t="s">
        <v>290</v>
      </c>
      <c r="D284" s="13">
        <v>303870</v>
      </c>
      <c r="E284" s="13">
        <v>303870</v>
      </c>
      <c r="F284" s="3">
        <f t="shared" si="17"/>
        <v>7.6291315628259813E-4</v>
      </c>
      <c r="G284" s="3">
        <f t="shared" si="18"/>
        <v>45951.023078970327</v>
      </c>
      <c r="H284" s="2">
        <f t="shared" si="19"/>
        <v>349821.02307897032</v>
      </c>
    </row>
    <row r="285" spans="1:8" x14ac:dyDescent="0.2">
      <c r="A285">
        <v>2018</v>
      </c>
      <c r="B285" s="3" t="str">
        <f t="shared" si="16"/>
        <v>5294</v>
      </c>
      <c r="C285" s="3" t="s">
        <v>291</v>
      </c>
      <c r="D285" s="13">
        <v>689020</v>
      </c>
      <c r="E285" s="13">
        <v>689020</v>
      </c>
      <c r="F285" s="3">
        <f t="shared" si="17"/>
        <v>1.7298924636911697E-3</v>
      </c>
      <c r="G285" s="3">
        <f t="shared" si="18"/>
        <v>104193.15471047531</v>
      </c>
      <c r="H285" s="2">
        <f t="shared" si="19"/>
        <v>793213.15471047536</v>
      </c>
    </row>
    <row r="286" spans="1:8" x14ac:dyDescent="0.2">
      <c r="A286">
        <v>2018</v>
      </c>
      <c r="B286" s="3" t="str">
        <f t="shared" si="16"/>
        <v>5295</v>
      </c>
      <c r="C286" s="3" t="s">
        <v>292</v>
      </c>
      <c r="D286" s="13">
        <v>207358</v>
      </c>
      <c r="E286" s="13">
        <v>207358</v>
      </c>
      <c r="F286" s="3">
        <f t="shared" si="17"/>
        <v>5.2060468707159962E-4</v>
      </c>
      <c r="G286" s="3">
        <f t="shared" si="18"/>
        <v>31356.541427614204</v>
      </c>
      <c r="H286" s="2">
        <f t="shared" si="19"/>
        <v>238714.5414276142</v>
      </c>
    </row>
    <row r="287" spans="1:8" x14ac:dyDescent="0.2">
      <c r="A287">
        <v>2018</v>
      </c>
      <c r="B287" s="3" t="str">
        <f t="shared" si="16"/>
        <v>5296</v>
      </c>
      <c r="C287" s="3" t="s">
        <v>293</v>
      </c>
      <c r="D287" s="13">
        <v>1085552</v>
      </c>
      <c r="E287" s="13">
        <v>1085552</v>
      </c>
      <c r="F287" s="3">
        <f t="shared" si="17"/>
        <v>2.7254480620952609E-3</v>
      </c>
      <c r="G287" s="3">
        <f t="shared" si="18"/>
        <v>164156.46495350773</v>
      </c>
      <c r="H287" s="2">
        <f t="shared" si="19"/>
        <v>1249708.4649535078</v>
      </c>
    </row>
    <row r="288" spans="1:8" x14ac:dyDescent="0.2">
      <c r="A288">
        <v>2018</v>
      </c>
      <c r="B288" s="3" t="str">
        <f t="shared" si="16"/>
        <v>5297</v>
      </c>
      <c r="C288" s="3" t="s">
        <v>294</v>
      </c>
      <c r="D288" s="13">
        <v>559339</v>
      </c>
      <c r="E288" s="13">
        <v>559339</v>
      </c>
      <c r="F288" s="3">
        <f t="shared" si="17"/>
        <v>1.4043080327835987E-3</v>
      </c>
      <c r="G288" s="3">
        <f t="shared" si="18"/>
        <v>84582.878526896966</v>
      </c>
      <c r="H288" s="2">
        <f t="shared" si="19"/>
        <v>643921.87852689694</v>
      </c>
    </row>
    <row r="289" spans="1:8" x14ac:dyDescent="0.2">
      <c r="A289">
        <v>2018</v>
      </c>
      <c r="B289" s="3" t="str">
        <f t="shared" si="16"/>
        <v>5298</v>
      </c>
      <c r="C289" s="3" t="s">
        <v>295</v>
      </c>
      <c r="D289" s="13">
        <v>81894</v>
      </c>
      <c r="E289" s="13">
        <v>81894</v>
      </c>
      <c r="F289" s="3">
        <f t="shared" si="17"/>
        <v>2.0560769414752062E-4</v>
      </c>
      <c r="G289" s="3">
        <f t="shared" si="18"/>
        <v>12383.957231807008</v>
      </c>
      <c r="H289" s="2">
        <f t="shared" si="19"/>
        <v>94277.957231807013</v>
      </c>
    </row>
    <row r="290" spans="1:8" x14ac:dyDescent="0.2">
      <c r="A290">
        <v>2018</v>
      </c>
      <c r="B290" s="3" t="str">
        <f t="shared" si="16"/>
        <v>5299</v>
      </c>
      <c r="C290" s="3" t="s">
        <v>296</v>
      </c>
      <c r="D290" s="13">
        <v>136595</v>
      </c>
      <c r="E290" s="13">
        <v>136595</v>
      </c>
      <c r="F290" s="3">
        <f t="shared" si="17"/>
        <v>3.4294310916649058E-4</v>
      </c>
      <c r="G290" s="3">
        <f t="shared" si="18"/>
        <v>20655.806751150005</v>
      </c>
      <c r="H290" s="2">
        <f t="shared" si="19"/>
        <v>157250.80675115</v>
      </c>
    </row>
    <row r="291" spans="1:8" x14ac:dyDescent="0.2">
      <c r="A291">
        <v>2018</v>
      </c>
      <c r="B291" s="3" t="str">
        <f t="shared" si="16"/>
        <v>5300</v>
      </c>
      <c r="C291" s="3" t="s">
        <v>297</v>
      </c>
      <c r="D291" s="13">
        <v>488689</v>
      </c>
      <c r="E291" s="13">
        <v>488689</v>
      </c>
      <c r="F291" s="3">
        <f t="shared" si="17"/>
        <v>1.2269301590502077E-3</v>
      </c>
      <c r="G291" s="3">
        <f t="shared" si="18"/>
        <v>73899.231636683224</v>
      </c>
      <c r="H291" s="2">
        <f t="shared" si="19"/>
        <v>562588.23163668322</v>
      </c>
    </row>
    <row r="292" spans="1:8" x14ac:dyDescent="0.2">
      <c r="A292">
        <v>2018</v>
      </c>
      <c r="B292" s="3" t="str">
        <f t="shared" si="16"/>
        <v>5302</v>
      </c>
      <c r="C292" s="3" t="s">
        <v>298</v>
      </c>
      <c r="D292" s="13">
        <v>2411663</v>
      </c>
      <c r="E292" s="13">
        <v>2411663</v>
      </c>
      <c r="F292" s="3">
        <f t="shared" si="17"/>
        <v>6.0548571139630745E-3</v>
      </c>
      <c r="G292" s="3">
        <f t="shared" si="18"/>
        <v>364690.10488596704</v>
      </c>
      <c r="H292" s="2">
        <f t="shared" si="19"/>
        <v>2776353.104885967</v>
      </c>
    </row>
    <row r="293" spans="1:8" x14ac:dyDescent="0.2">
      <c r="A293">
        <v>2018</v>
      </c>
      <c r="B293" s="3" t="str">
        <f t="shared" si="16"/>
        <v>5303</v>
      </c>
      <c r="C293" s="3" t="s">
        <v>345</v>
      </c>
      <c r="D293" s="13">
        <v>1367678</v>
      </c>
      <c r="E293" s="13">
        <v>1367678</v>
      </c>
      <c r="F293" s="3">
        <f t="shared" si="17"/>
        <v>3.4337695059014424E-3</v>
      </c>
      <c r="G293" s="3">
        <f t="shared" si="18"/>
        <v>206819.37454371928</v>
      </c>
      <c r="H293" s="2">
        <f t="shared" si="19"/>
        <v>1574497.3745437192</v>
      </c>
    </row>
    <row r="294" spans="1:8" x14ac:dyDescent="0.2">
      <c r="A294">
        <v>2018</v>
      </c>
      <c r="B294" s="3" t="str">
        <f t="shared" si="16"/>
        <v>5304</v>
      </c>
      <c r="C294" s="3" t="s">
        <v>300</v>
      </c>
      <c r="D294" s="13">
        <v>1134917</v>
      </c>
      <c r="E294" s="13">
        <v>1134917</v>
      </c>
      <c r="F294" s="3">
        <f t="shared" si="17"/>
        <v>2.8493866146338154E-3</v>
      </c>
      <c r="G294" s="3">
        <f t="shared" si="18"/>
        <v>171621.40803539596</v>
      </c>
      <c r="H294" s="2">
        <f t="shared" si="19"/>
        <v>1306538.4080353959</v>
      </c>
    </row>
    <row r="295" spans="1:8" x14ac:dyDescent="0.2">
      <c r="A295">
        <v>2018</v>
      </c>
      <c r="B295" s="3" t="str">
        <f t="shared" si="16"/>
        <v>5305</v>
      </c>
      <c r="C295" s="3" t="s">
        <v>301</v>
      </c>
      <c r="D295" s="13">
        <v>238852</v>
      </c>
      <c r="E295" s="13">
        <v>238852</v>
      </c>
      <c r="F295" s="3">
        <f t="shared" si="17"/>
        <v>5.9967529932014065E-4</v>
      </c>
      <c r="G295" s="3">
        <f t="shared" si="18"/>
        <v>36119.043553026691</v>
      </c>
      <c r="H295" s="2">
        <f t="shared" si="19"/>
        <v>274971.04355302668</v>
      </c>
    </row>
    <row r="296" spans="1:8" x14ac:dyDescent="0.2">
      <c r="A296">
        <v>2018</v>
      </c>
      <c r="B296" s="3" t="str">
        <f t="shared" si="16"/>
        <v>5306</v>
      </c>
      <c r="C296" s="3" t="s">
        <v>302</v>
      </c>
      <c r="D296" s="13">
        <v>940179</v>
      </c>
      <c r="E296" s="13">
        <v>940179</v>
      </c>
      <c r="F296" s="3">
        <f t="shared" si="17"/>
        <v>2.3604664111646981E-3</v>
      </c>
      <c r="G296" s="3">
        <f t="shared" si="18"/>
        <v>142173.25477132734</v>
      </c>
      <c r="H296" s="2">
        <f t="shared" si="19"/>
        <v>1082352.2547713274</v>
      </c>
    </row>
    <row r="297" spans="1:8" x14ac:dyDescent="0.2">
      <c r="A297">
        <v>2018</v>
      </c>
      <c r="B297" s="3" t="str">
        <f t="shared" si="16"/>
        <v>5307</v>
      </c>
      <c r="C297" s="3" t="s">
        <v>303</v>
      </c>
      <c r="D297" s="13">
        <v>146887</v>
      </c>
      <c r="E297" s="13">
        <v>146887</v>
      </c>
      <c r="F297" s="3">
        <f t="shared" si="17"/>
        <v>3.6878278470030604E-4</v>
      </c>
      <c r="G297" s="3">
        <f t="shared" si="18"/>
        <v>22212.156274066918</v>
      </c>
      <c r="H297" s="2">
        <f t="shared" si="19"/>
        <v>169099.15627406692</v>
      </c>
    </row>
    <row r="298" spans="1:8" x14ac:dyDescent="0.2">
      <c r="A298">
        <v>2018</v>
      </c>
      <c r="B298" s="3" t="str">
        <f t="shared" si="16"/>
        <v>5308</v>
      </c>
      <c r="C298" s="3" t="s">
        <v>304</v>
      </c>
      <c r="D298" s="13">
        <v>9004458</v>
      </c>
      <c r="E298" s="13">
        <v>9004458</v>
      </c>
      <c r="F298" s="3">
        <f t="shared" si="17"/>
        <v>2.2607099988133383E-2</v>
      </c>
      <c r="G298" s="3">
        <f t="shared" si="18"/>
        <v>1361648.2619923619</v>
      </c>
      <c r="H298" s="2">
        <f t="shared" si="19"/>
        <v>10366106.261992361</v>
      </c>
    </row>
    <row r="299" spans="1:8" x14ac:dyDescent="0.2">
      <c r="A299">
        <v>2018</v>
      </c>
      <c r="B299" s="3" t="str">
        <f t="shared" si="16"/>
        <v>5309</v>
      </c>
      <c r="C299" s="3" t="s">
        <v>305</v>
      </c>
      <c r="D299" s="13">
        <v>600540</v>
      </c>
      <c r="E299" s="13">
        <v>600540</v>
      </c>
      <c r="F299" s="3">
        <f t="shared" si="17"/>
        <v>1.5077495865796278E-3</v>
      </c>
      <c r="G299" s="3">
        <f t="shared" si="18"/>
        <v>90813.266857027149</v>
      </c>
      <c r="H299" s="2">
        <f t="shared" si="19"/>
        <v>691353.26685702719</v>
      </c>
    </row>
    <row r="300" spans="1:8" x14ac:dyDescent="0.2">
      <c r="A300">
        <v>2018</v>
      </c>
      <c r="B300" s="3" t="str">
        <f t="shared" si="16"/>
        <v>5310</v>
      </c>
      <c r="C300" s="3" t="s">
        <v>306</v>
      </c>
      <c r="D300" s="13">
        <v>89253</v>
      </c>
      <c r="E300" s="13">
        <v>89253</v>
      </c>
      <c r="F300" s="3">
        <f t="shared" si="17"/>
        <v>2.2408361449860378E-4</v>
      </c>
      <c r="G300" s="3">
        <f t="shared" si="18"/>
        <v>13496.780408949018</v>
      </c>
      <c r="H300" s="2">
        <f t="shared" si="19"/>
        <v>102749.78040894902</v>
      </c>
    </row>
    <row r="301" spans="1:8" x14ac:dyDescent="0.2">
      <c r="A301">
        <v>2018</v>
      </c>
      <c r="B301" s="3" t="str">
        <f t="shared" si="16"/>
        <v>5312</v>
      </c>
      <c r="C301" s="3" t="s">
        <v>307</v>
      </c>
      <c r="D301" s="13">
        <v>3067314</v>
      </c>
      <c r="E301" s="13">
        <v>3067314</v>
      </c>
      <c r="F301" s="3">
        <f t="shared" si="17"/>
        <v>7.7009714846802951E-3</v>
      </c>
      <c r="G301" s="3">
        <f t="shared" si="18"/>
        <v>463837.22119475034</v>
      </c>
      <c r="H301" s="2">
        <f t="shared" si="19"/>
        <v>3531151.2211947502</v>
      </c>
    </row>
    <row r="302" spans="1:8" x14ac:dyDescent="0.2">
      <c r="A302">
        <v>2018</v>
      </c>
      <c r="B302" s="3" t="str">
        <f t="shared" si="16"/>
        <v>5313</v>
      </c>
      <c r="C302" s="3" t="s">
        <v>308</v>
      </c>
      <c r="D302" s="13">
        <v>321688</v>
      </c>
      <c r="E302" s="13">
        <v>321688</v>
      </c>
      <c r="F302" s="3">
        <f t="shared" si="17"/>
        <v>8.0764803178410649E-4</v>
      </c>
      <c r="G302" s="3">
        <f t="shared" si="18"/>
        <v>48645.449410036548</v>
      </c>
      <c r="H302" s="2">
        <f t="shared" si="19"/>
        <v>370333.44941003656</v>
      </c>
    </row>
    <row r="303" spans="1:8" x14ac:dyDescent="0.2">
      <c r="A303">
        <v>2018</v>
      </c>
      <c r="B303" s="3" t="str">
        <f t="shared" si="16"/>
        <v>5314</v>
      </c>
      <c r="C303" s="3" t="s">
        <v>309</v>
      </c>
      <c r="D303" s="13">
        <v>12582085</v>
      </c>
      <c r="E303" s="13">
        <v>12582085</v>
      </c>
      <c r="F303" s="3">
        <f t="shared" si="17"/>
        <v>3.1589292065573878E-2</v>
      </c>
      <c r="G303" s="3">
        <f t="shared" si="18"/>
        <v>1902654.6819908724</v>
      </c>
      <c r="H303" s="2">
        <f t="shared" si="19"/>
        <v>14484739.681990873</v>
      </c>
    </row>
    <row r="304" spans="1:8" x14ac:dyDescent="0.2">
      <c r="A304">
        <v>2018</v>
      </c>
      <c r="B304" s="3" t="str">
        <f t="shared" si="16"/>
        <v>5316</v>
      </c>
      <c r="C304" s="3" t="s">
        <v>310</v>
      </c>
      <c r="D304" s="13">
        <v>324918</v>
      </c>
      <c r="E304" s="13">
        <v>324918</v>
      </c>
      <c r="F304" s="3">
        <f t="shared" si="17"/>
        <v>8.1575745191374348E-4</v>
      </c>
      <c r="G304" s="3">
        <f t="shared" si="18"/>
        <v>49133.887901974136</v>
      </c>
      <c r="H304" s="2">
        <f t="shared" si="19"/>
        <v>374051.88790197414</v>
      </c>
    </row>
    <row r="305" spans="1:8" x14ac:dyDescent="0.2">
      <c r="A305">
        <v>2018</v>
      </c>
      <c r="B305" s="3" t="str">
        <f t="shared" si="16"/>
        <v>5317</v>
      </c>
      <c r="C305" s="3" t="s">
        <v>311</v>
      </c>
      <c r="D305" s="13">
        <v>400035</v>
      </c>
      <c r="E305" s="13">
        <v>400035</v>
      </c>
      <c r="F305" s="3">
        <f t="shared" si="17"/>
        <v>1.0043504277273477E-3</v>
      </c>
      <c r="G305" s="3">
        <f t="shared" si="18"/>
        <v>60493.031616796303</v>
      </c>
      <c r="H305" s="2">
        <f t="shared" si="19"/>
        <v>460528.03161679627</v>
      </c>
    </row>
    <row r="306" spans="1:8" x14ac:dyDescent="0.2">
      <c r="A306">
        <v>2018</v>
      </c>
      <c r="B306" s="3" t="str">
        <f t="shared" si="16"/>
        <v>5318</v>
      </c>
      <c r="C306" s="3" t="s">
        <v>312</v>
      </c>
      <c r="D306" s="13">
        <v>452085</v>
      </c>
      <c r="E306" s="13">
        <v>452085</v>
      </c>
      <c r="F306" s="3">
        <f t="shared" si="17"/>
        <v>1.1350300926646869E-3</v>
      </c>
      <c r="G306" s="3">
        <f t="shared" si="18"/>
        <v>68363.998646316846</v>
      </c>
      <c r="H306" s="2">
        <f t="shared" si="19"/>
        <v>520448.99864631682</v>
      </c>
    </row>
    <row r="307" spans="1:8" x14ac:dyDescent="0.2">
      <c r="A307">
        <v>2018</v>
      </c>
      <c r="B307" s="3" t="str">
        <f t="shared" si="16"/>
        <v>5319</v>
      </c>
      <c r="C307" s="3" t="s">
        <v>313</v>
      </c>
      <c r="D307" s="13">
        <v>664731</v>
      </c>
      <c r="E307" s="13">
        <v>664731</v>
      </c>
      <c r="F307" s="3">
        <f t="shared" si="17"/>
        <v>1.6689111307101317E-3</v>
      </c>
      <c r="G307" s="3">
        <f t="shared" si="18"/>
        <v>100520.18798271308</v>
      </c>
      <c r="H307" s="2">
        <f t="shared" si="19"/>
        <v>765251.18798271311</v>
      </c>
    </row>
    <row r="308" spans="1:8" x14ac:dyDescent="0.2">
      <c r="A308">
        <v>2018</v>
      </c>
      <c r="B308" s="3" t="str">
        <f t="shared" si="16"/>
        <v>5320</v>
      </c>
      <c r="C308" s="3" t="s">
        <v>314</v>
      </c>
      <c r="D308" s="13">
        <v>192097</v>
      </c>
      <c r="E308" s="13">
        <v>192097</v>
      </c>
      <c r="F308" s="3">
        <f t="shared" si="17"/>
        <v>4.8228955995135504E-4</v>
      </c>
      <c r="G308" s="3">
        <f t="shared" si="18"/>
        <v>29048.782967719624</v>
      </c>
      <c r="H308" s="2">
        <f t="shared" si="19"/>
        <v>221145.78296771963</v>
      </c>
    </row>
    <row r="309" spans="1:8" x14ac:dyDescent="0.2">
      <c r="A309">
        <v>2018</v>
      </c>
      <c r="B309" s="3" t="str">
        <f t="shared" si="16"/>
        <v>5321</v>
      </c>
      <c r="C309" s="3" t="s">
        <v>315</v>
      </c>
      <c r="D309" s="13">
        <v>353071</v>
      </c>
      <c r="E309" s="13">
        <v>353071</v>
      </c>
      <c r="F309" s="3">
        <f t="shared" si="17"/>
        <v>8.8643996117370328E-4</v>
      </c>
      <c r="G309" s="3">
        <f t="shared" si="18"/>
        <v>53391.166187893286</v>
      </c>
      <c r="H309" s="2">
        <f t="shared" si="19"/>
        <v>406462.16618789331</v>
      </c>
    </row>
    <row r="310" spans="1:8" x14ac:dyDescent="0.2">
      <c r="A310">
        <v>2018</v>
      </c>
      <c r="B310" s="3" t="str">
        <f t="shared" si="16"/>
        <v>5322</v>
      </c>
      <c r="C310" s="3" t="s">
        <v>316</v>
      </c>
      <c r="D310" s="13">
        <v>392573</v>
      </c>
      <c r="E310" s="13">
        <v>392573</v>
      </c>
      <c r="F310" s="3">
        <f t="shared" si="17"/>
        <v>9.8561590976841535E-4</v>
      </c>
      <c r="G310" s="3">
        <f t="shared" si="18"/>
        <v>59364.632846877335</v>
      </c>
      <c r="H310" s="2">
        <f t="shared" si="19"/>
        <v>451937.63284687733</v>
      </c>
    </row>
    <row r="311" spans="1:8" x14ac:dyDescent="0.2">
      <c r="A311">
        <v>2018</v>
      </c>
      <c r="B311" s="3" t="str">
        <f t="shared" si="16"/>
        <v>5324</v>
      </c>
      <c r="C311" s="3" t="s">
        <v>317</v>
      </c>
      <c r="D311" s="13">
        <v>19689116</v>
      </c>
      <c r="E311" s="13">
        <v>19689116</v>
      </c>
      <c r="F311" s="3">
        <f t="shared" si="17"/>
        <v>4.9432604837510129E-2</v>
      </c>
      <c r="G311" s="3">
        <f t="shared" si="18"/>
        <v>2977375.2714006775</v>
      </c>
      <c r="H311" s="2">
        <f t="shared" si="19"/>
        <v>22666491.271400679</v>
      </c>
    </row>
    <row r="312" spans="1:8" x14ac:dyDescent="0.2">
      <c r="A312">
        <v>2018</v>
      </c>
      <c r="B312" s="3" t="str">
        <f t="shared" si="16"/>
        <v>5329</v>
      </c>
      <c r="C312" s="3" t="s">
        <v>318</v>
      </c>
      <c r="D312" s="13">
        <v>168405</v>
      </c>
      <c r="E312" s="13">
        <v>168405</v>
      </c>
      <c r="F312" s="3">
        <f t="shared" si="17"/>
        <v>4.2280708883328706E-4</v>
      </c>
      <c r="G312" s="3">
        <f t="shared" si="18"/>
        <v>25466.094190324802</v>
      </c>
      <c r="H312" s="2">
        <f t="shared" si="19"/>
        <v>193871.0941903248</v>
      </c>
    </row>
    <row r="313" spans="1:8" x14ac:dyDescent="0.2">
      <c r="A313">
        <v>2018</v>
      </c>
      <c r="B313" s="3" t="str">
        <f t="shared" si="16"/>
        <v>5330</v>
      </c>
      <c r="C313" s="3" t="s">
        <v>319</v>
      </c>
      <c r="D313" s="13">
        <v>939359</v>
      </c>
      <c r="E313" s="13">
        <v>939359</v>
      </c>
      <c r="F313" s="3">
        <f t="shared" si="17"/>
        <v>2.3584076729274528E-3</v>
      </c>
      <c r="G313" s="3">
        <f t="shared" si="18"/>
        <v>142049.25490650107</v>
      </c>
      <c r="H313" s="2">
        <f t="shared" si="19"/>
        <v>1081408.2549065012</v>
      </c>
    </row>
    <row r="314" spans="1:8" x14ac:dyDescent="0.2">
      <c r="A314">
        <v>2018</v>
      </c>
      <c r="B314" s="3" t="str">
        <f t="shared" si="16"/>
        <v>5331</v>
      </c>
      <c r="C314" s="3" t="s">
        <v>320</v>
      </c>
      <c r="D314" s="13">
        <v>817627</v>
      </c>
      <c r="E314" s="13">
        <v>817627</v>
      </c>
      <c r="F314" s="3">
        <f t="shared" si="17"/>
        <v>2.052780449639227E-3</v>
      </c>
      <c r="G314" s="3">
        <f t="shared" si="18"/>
        <v>123641.02131500073</v>
      </c>
      <c r="H314" s="2">
        <f t="shared" si="19"/>
        <v>941268.02131500072</v>
      </c>
    </row>
    <row r="315" spans="1:8" x14ac:dyDescent="0.2">
      <c r="A315">
        <v>2018</v>
      </c>
      <c r="B315" s="3" t="str">
        <f t="shared" si="16"/>
        <v>5332</v>
      </c>
      <c r="C315" s="3" t="s">
        <v>321</v>
      </c>
      <c r="D315" s="13">
        <v>1077154</v>
      </c>
      <c r="E315" s="13">
        <v>1077154</v>
      </c>
      <c r="F315" s="3">
        <f t="shared" si="17"/>
        <v>2.704363569758205E-3</v>
      </c>
      <c r="G315" s="3">
        <f t="shared" si="18"/>
        <v>162886.52487447002</v>
      </c>
      <c r="H315" s="2">
        <f t="shared" si="19"/>
        <v>1240040.52487447</v>
      </c>
    </row>
    <row r="316" spans="1:8" x14ac:dyDescent="0.2">
      <c r="A316">
        <v>2018</v>
      </c>
      <c r="B316" s="3" t="str">
        <f t="shared" si="16"/>
        <v>5333</v>
      </c>
      <c r="C316" s="3" t="s">
        <v>322</v>
      </c>
      <c r="D316" s="13">
        <v>351458</v>
      </c>
      <c r="E316" s="13">
        <v>351458</v>
      </c>
      <c r="F316" s="3">
        <f t="shared" si="17"/>
        <v>8.8239027242165851E-4</v>
      </c>
      <c r="G316" s="3">
        <f t="shared" si="18"/>
        <v>53147.249380619185</v>
      </c>
      <c r="H316" s="2">
        <f t="shared" si="19"/>
        <v>404605.24938061921</v>
      </c>
    </row>
    <row r="317" spans="1:8" x14ac:dyDescent="0.2">
      <c r="A317">
        <v>2018</v>
      </c>
      <c r="B317" s="3" t="str">
        <f t="shared" si="16"/>
        <v>5337</v>
      </c>
      <c r="C317" s="3" t="s">
        <v>323</v>
      </c>
      <c r="D317" s="13">
        <v>1455083</v>
      </c>
      <c r="E317" s="13">
        <v>1455083</v>
      </c>
      <c r="F317" s="3">
        <f t="shared" si="17"/>
        <v>3.6532134273970832E-3</v>
      </c>
      <c r="G317" s="3">
        <f t="shared" si="18"/>
        <v>220036.70159876713</v>
      </c>
      <c r="H317" s="2">
        <f t="shared" si="19"/>
        <v>1675119.7015987672</v>
      </c>
    </row>
    <row r="318" spans="1:8" x14ac:dyDescent="0.2">
      <c r="A318">
        <v>2018</v>
      </c>
      <c r="B318" s="3" t="str">
        <f t="shared" si="16"/>
        <v>5366</v>
      </c>
      <c r="C318" s="3" t="s">
        <v>324</v>
      </c>
      <c r="D318" s="13">
        <v>738634</v>
      </c>
      <c r="E318" s="13">
        <v>738634</v>
      </c>
      <c r="F318" s="3">
        <f t="shared" si="17"/>
        <v>1.8544561696700582E-3</v>
      </c>
      <c r="G318" s="3">
        <f t="shared" si="18"/>
        <v>111695.75140985344</v>
      </c>
      <c r="H318" s="2">
        <f t="shared" si="19"/>
        <v>850329.75140985346</v>
      </c>
    </row>
    <row r="319" spans="1:8" x14ac:dyDescent="0.2">
      <c r="A319">
        <v>2018</v>
      </c>
      <c r="B319" s="3" t="str">
        <f t="shared" si="16"/>
        <v>5367</v>
      </c>
      <c r="C319" s="3" t="s">
        <v>325</v>
      </c>
      <c r="D319" s="13">
        <v>304414</v>
      </c>
      <c r="E319" s="13">
        <v>304414</v>
      </c>
      <c r="F319" s="3">
        <f t="shared" si="17"/>
        <v>7.6427895335706329E-4</v>
      </c>
      <c r="G319" s="3">
        <f t="shared" si="18"/>
        <v>46033.286403928229</v>
      </c>
      <c r="H319" s="2">
        <f t="shared" si="19"/>
        <v>350447.28640392824</v>
      </c>
    </row>
    <row r="320" spans="1:8" x14ac:dyDescent="0.2">
      <c r="A320">
        <v>2018</v>
      </c>
      <c r="B320" s="3" t="str">
        <f t="shared" si="16"/>
        <v>5368</v>
      </c>
      <c r="C320" s="3" t="s">
        <v>326</v>
      </c>
      <c r="D320" s="13">
        <v>408145</v>
      </c>
      <c r="E320" s="13">
        <v>408145</v>
      </c>
      <c r="F320" s="3">
        <f t="shared" si="17"/>
        <v>1.0247118510249812E-3</v>
      </c>
      <c r="G320" s="3">
        <f t="shared" si="18"/>
        <v>61719.420523797489</v>
      </c>
      <c r="H320" s="2">
        <f t="shared" si="19"/>
        <v>469864.42052379751</v>
      </c>
    </row>
    <row r="321" spans="1:8" x14ac:dyDescent="0.2">
      <c r="A321">
        <v>2018</v>
      </c>
      <c r="B321" s="3" t="str">
        <f t="shared" si="16"/>
        <v>5405</v>
      </c>
      <c r="C321" s="3" t="s">
        <v>327</v>
      </c>
      <c r="D321" s="13">
        <v>142557</v>
      </c>
      <c r="E321" s="13">
        <v>142557</v>
      </c>
      <c r="F321" s="3">
        <f t="shared" si="17"/>
        <v>3.5791164254509605E-4</v>
      </c>
      <c r="G321" s="3">
        <f t="shared" si="18"/>
        <v>21557.376500045324</v>
      </c>
      <c r="H321" s="2">
        <f t="shared" si="19"/>
        <v>164114.37650004533</v>
      </c>
    </row>
    <row r="322" spans="1:8" x14ac:dyDescent="0.2">
      <c r="A322">
        <v>2018</v>
      </c>
      <c r="B322" s="3" t="str">
        <f t="shared" si="16"/>
        <v>5409</v>
      </c>
      <c r="C322" s="3" t="s">
        <v>328</v>
      </c>
      <c r="D322" s="13">
        <v>222798</v>
      </c>
      <c r="E322" s="13">
        <v>222798</v>
      </c>
      <c r="F322" s="3">
        <f t="shared" si="17"/>
        <v>5.5936922168509659E-4</v>
      </c>
      <c r="G322" s="3">
        <f t="shared" si="18"/>
        <v>33691.368150684277</v>
      </c>
      <c r="H322" s="2">
        <f t="shared" si="19"/>
        <v>256489.36815068428</v>
      </c>
    </row>
    <row r="323" spans="1:8" x14ac:dyDescent="0.2">
      <c r="A323">
        <v>2018</v>
      </c>
      <c r="B323" s="3" t="str">
        <f t="shared" ref="B323:B338" si="20">LEFT(C323,4)</f>
        <v>5410</v>
      </c>
      <c r="C323" s="3" t="s">
        <v>329</v>
      </c>
      <c r="D323" s="13">
        <v>166181</v>
      </c>
      <c r="E323" s="13">
        <v>166181</v>
      </c>
      <c r="F323" s="3">
        <f t="shared" ref="F323:F338" si="21">E323/$D$340</f>
        <v>4.1722338902885588E-4</v>
      </c>
      <c r="G323" s="3">
        <f t="shared" ref="G323:G338" si="22">F323*$D$341</f>
        <v>25129.782361820409</v>
      </c>
      <c r="H323" s="2">
        <f t="shared" ref="H323:H338" si="23">SUM(G323,D323)</f>
        <v>191310.7823618204</v>
      </c>
    </row>
    <row r="324" spans="1:8" x14ac:dyDescent="0.2">
      <c r="A324">
        <v>2018</v>
      </c>
      <c r="B324" s="3" t="str">
        <f t="shared" si="20"/>
        <v>5430</v>
      </c>
      <c r="C324" s="3" t="s">
        <v>330</v>
      </c>
      <c r="D324" s="13">
        <v>24040718</v>
      </c>
      <c r="E324" s="13">
        <v>24040718</v>
      </c>
      <c r="F324" s="3">
        <f t="shared" si="21"/>
        <v>6.0357982191989568E-2</v>
      </c>
      <c r="G324" s="3">
        <f t="shared" si="22"/>
        <v>3635421.685763706</v>
      </c>
      <c r="H324" s="2">
        <f t="shared" si="23"/>
        <v>27676139.685763706</v>
      </c>
    </row>
    <row r="325" spans="1:8" x14ac:dyDescent="0.2">
      <c r="A325">
        <v>2018</v>
      </c>
      <c r="B325" s="3" t="str">
        <f t="shared" si="20"/>
        <v>5436</v>
      </c>
      <c r="C325" s="3" t="s">
        <v>331</v>
      </c>
      <c r="D325" s="13">
        <v>503763</v>
      </c>
      <c r="E325" s="13">
        <v>503763</v>
      </c>
      <c r="F325" s="3">
        <f t="shared" si="21"/>
        <v>1.2647757934261049E-3</v>
      </c>
      <c r="G325" s="3">
        <f t="shared" si="22"/>
        <v>76178.712078623517</v>
      </c>
      <c r="H325" s="2">
        <f t="shared" si="23"/>
        <v>579941.71207862347</v>
      </c>
    </row>
    <row r="326" spans="1:8" x14ac:dyDescent="0.2">
      <c r="A326">
        <v>2018</v>
      </c>
      <c r="B326" s="3" t="str">
        <f t="shared" si="20"/>
        <v>5590</v>
      </c>
      <c r="C326" s="3" t="s">
        <v>332</v>
      </c>
      <c r="D326" s="13">
        <v>132754</v>
      </c>
      <c r="E326" s="13">
        <v>132754</v>
      </c>
      <c r="F326" s="3">
        <f t="shared" si="21"/>
        <v>3.3329967798446713E-4</v>
      </c>
      <c r="G326" s="3">
        <f t="shared" si="22"/>
        <v>20074.973237982118</v>
      </c>
      <c r="H326" s="2">
        <f t="shared" si="23"/>
        <v>152828.97323798211</v>
      </c>
    </row>
    <row r="327" spans="1:8" x14ac:dyDescent="0.2">
      <c r="A327">
        <v>2018</v>
      </c>
      <c r="B327" s="3" t="str">
        <f t="shared" si="20"/>
        <v>5696</v>
      </c>
      <c r="C327" s="3" t="s">
        <v>333</v>
      </c>
      <c r="D327" s="13">
        <v>245653</v>
      </c>
      <c r="E327" s="13">
        <v>245653</v>
      </c>
      <c r="F327" s="3">
        <f t="shared" si="21"/>
        <v>6.1675027340734223E-4</v>
      </c>
      <c r="G327" s="3">
        <f t="shared" si="22"/>
        <v>37147.486334347901</v>
      </c>
      <c r="H327" s="2">
        <f t="shared" si="23"/>
        <v>282800.48633434792</v>
      </c>
    </row>
    <row r="328" spans="1:8" x14ac:dyDescent="0.2">
      <c r="A328">
        <v>2018</v>
      </c>
      <c r="B328" s="3" t="str">
        <f t="shared" si="20"/>
        <v>9291</v>
      </c>
      <c r="C328" s="3" t="s">
        <v>334</v>
      </c>
      <c r="D328" s="13">
        <v>257440</v>
      </c>
      <c r="E328" s="13">
        <v>257440</v>
      </c>
      <c r="F328" s="3">
        <f t="shared" si="21"/>
        <v>6.4634338023954999E-4</v>
      </c>
      <c r="G328" s="3">
        <f t="shared" si="22"/>
        <v>38929.908781551712</v>
      </c>
      <c r="H328" s="2">
        <f t="shared" si="23"/>
        <v>296369.9087815517</v>
      </c>
    </row>
    <row r="329" spans="1:8" x14ac:dyDescent="0.2">
      <c r="A329">
        <v>2018</v>
      </c>
      <c r="B329" s="3" t="str">
        <f t="shared" si="20"/>
        <v>9302</v>
      </c>
      <c r="C329" s="3" t="s">
        <v>335</v>
      </c>
      <c r="D329" s="13">
        <v>137639</v>
      </c>
      <c r="E329" s="13">
        <v>137639</v>
      </c>
      <c r="F329" s="3">
        <f t="shared" si="21"/>
        <v>3.4556423443439803E-4</v>
      </c>
      <c r="G329" s="3">
        <f t="shared" si="22"/>
        <v>20813.679749782463</v>
      </c>
      <c r="H329" s="2">
        <f t="shared" si="23"/>
        <v>158452.67974978246</v>
      </c>
    </row>
    <row r="330" spans="1:8" x14ac:dyDescent="0.2">
      <c r="A330">
        <v>2018</v>
      </c>
      <c r="B330" s="3" t="str">
        <f t="shared" si="20"/>
        <v>9332</v>
      </c>
      <c r="C330" s="3" t="s">
        <v>336</v>
      </c>
      <c r="D330" s="13">
        <v>243017</v>
      </c>
      <c r="E330" s="13">
        <v>243017</v>
      </c>
      <c r="F330" s="3">
        <f t="shared" si="21"/>
        <v>6.1013218317151462E-4</v>
      </c>
      <c r="G330" s="3">
        <f t="shared" si="22"/>
        <v>36748.872134735684</v>
      </c>
      <c r="H330" s="2">
        <f t="shared" si="23"/>
        <v>279765.87213473569</v>
      </c>
    </row>
    <row r="331" spans="1:8" x14ac:dyDescent="0.2">
      <c r="A331">
        <v>2018</v>
      </c>
      <c r="B331" s="3" t="str">
        <f t="shared" si="20"/>
        <v>9333</v>
      </c>
      <c r="C331" s="3" t="s">
        <v>337</v>
      </c>
      <c r="D331" s="13">
        <v>251629</v>
      </c>
      <c r="E331" s="13">
        <v>251629</v>
      </c>
      <c r="F331" s="3">
        <f t="shared" si="21"/>
        <v>6.3175395597536406E-4</v>
      </c>
      <c r="G331" s="3">
        <f t="shared" si="22"/>
        <v>38051.173154106109</v>
      </c>
      <c r="H331" s="2">
        <f t="shared" si="23"/>
        <v>289680.17315410613</v>
      </c>
    </row>
    <row r="332" spans="1:8" x14ac:dyDescent="0.2">
      <c r="A332">
        <v>2018</v>
      </c>
      <c r="B332" s="3" t="str">
        <f t="shared" si="20"/>
        <v>9335</v>
      </c>
      <c r="C332" s="3" t="s">
        <v>338</v>
      </c>
      <c r="D332" s="13">
        <v>341893</v>
      </c>
      <c r="E332" s="13">
        <v>341893</v>
      </c>
      <c r="F332" s="3">
        <f t="shared" si="21"/>
        <v>8.5837584408110816E-4</v>
      </c>
      <c r="G332" s="3">
        <f t="shared" si="22"/>
        <v>51700.83632322507</v>
      </c>
      <c r="H332" s="2">
        <f t="shared" si="23"/>
        <v>393593.83632322506</v>
      </c>
    </row>
    <row r="333" spans="1:8" x14ac:dyDescent="0.2">
      <c r="A333">
        <v>2018</v>
      </c>
      <c r="B333" s="3" t="str">
        <f t="shared" si="20"/>
        <v>9389</v>
      </c>
      <c r="C333" s="3" t="s">
        <v>339</v>
      </c>
      <c r="D333" s="13">
        <v>213747</v>
      </c>
      <c r="E333" s="13">
        <v>213747</v>
      </c>
      <c r="F333" s="3">
        <f t="shared" si="21"/>
        <v>5.3664527072740478E-4</v>
      </c>
      <c r="G333" s="3">
        <f t="shared" si="22"/>
        <v>32322.681837827589</v>
      </c>
      <c r="H333" s="2">
        <f t="shared" si="23"/>
        <v>246069.68183782758</v>
      </c>
    </row>
    <row r="334" spans="1:8" x14ac:dyDescent="0.2">
      <c r="A334">
        <v>2018</v>
      </c>
      <c r="B334" s="3" t="str">
        <f t="shared" si="20"/>
        <v>9410</v>
      </c>
      <c r="C334" s="3" t="s">
        <v>340</v>
      </c>
      <c r="D334" s="13">
        <v>287563</v>
      </c>
      <c r="E334" s="13">
        <v>287563</v>
      </c>
      <c r="F334" s="3">
        <f t="shared" si="21"/>
        <v>7.2197188258167231E-4</v>
      </c>
      <c r="G334" s="3">
        <f t="shared" si="22"/>
        <v>43485.08918174859</v>
      </c>
      <c r="H334" s="2">
        <f t="shared" si="23"/>
        <v>331048.08918174857</v>
      </c>
    </row>
    <row r="335" spans="1:8" x14ac:dyDescent="0.2">
      <c r="A335">
        <v>2018</v>
      </c>
      <c r="B335" s="3" t="str">
        <f t="shared" si="20"/>
        <v>9444</v>
      </c>
      <c r="C335" s="3" t="s">
        <v>341</v>
      </c>
      <c r="D335" s="13">
        <v>529435</v>
      </c>
      <c r="E335" s="13">
        <v>529435</v>
      </c>
      <c r="F335" s="3">
        <f t="shared" si="21"/>
        <v>1.3292293641902042E-3</v>
      </c>
      <c r="G335" s="3">
        <f t="shared" si="22"/>
        <v>80060.815163769556</v>
      </c>
      <c r="H335" s="2">
        <f t="shared" si="23"/>
        <v>609495.81516376953</v>
      </c>
    </row>
    <row r="336" spans="1:8" x14ac:dyDescent="0.2">
      <c r="A336">
        <v>2018</v>
      </c>
      <c r="B336" s="3" t="str">
        <f t="shared" si="20"/>
        <v>9445</v>
      </c>
      <c r="C336" s="3" t="s">
        <v>342</v>
      </c>
      <c r="D336" s="13">
        <v>504161</v>
      </c>
      <c r="E336" s="13">
        <v>504161</v>
      </c>
      <c r="F336" s="3">
        <f t="shared" si="21"/>
        <v>1.2657750346680848E-3</v>
      </c>
      <c r="G336" s="3">
        <f t="shared" si="22"/>
        <v>76238.897378868453</v>
      </c>
      <c r="H336" s="2">
        <f t="shared" si="23"/>
        <v>580399.89737886842</v>
      </c>
    </row>
    <row r="337" spans="1:8" x14ac:dyDescent="0.2">
      <c r="A337">
        <v>2018</v>
      </c>
      <c r="B337" s="3" t="str">
        <f t="shared" si="20"/>
        <v>9446</v>
      </c>
      <c r="C337" s="3" t="s">
        <v>343</v>
      </c>
      <c r="D337" s="13">
        <v>799655</v>
      </c>
      <c r="E337" s="13">
        <v>799655</v>
      </c>
      <c r="F337" s="3">
        <f t="shared" si="21"/>
        <v>2.0076589330541381E-3</v>
      </c>
      <c r="G337" s="3">
        <f t="shared" si="22"/>
        <v>120923.30720444272</v>
      </c>
      <c r="H337" s="2">
        <f t="shared" si="23"/>
        <v>920578.30720444268</v>
      </c>
    </row>
    <row r="338" spans="1:8" x14ac:dyDescent="0.2">
      <c r="A338">
        <v>2018</v>
      </c>
      <c r="B338" s="3" t="str">
        <f t="shared" si="20"/>
        <v>9461</v>
      </c>
      <c r="C338" s="3" t="s">
        <v>344</v>
      </c>
      <c r="D338" s="13">
        <v>563276</v>
      </c>
      <c r="E338" s="13">
        <v>563276</v>
      </c>
      <c r="F338" s="3">
        <f t="shared" si="21"/>
        <v>1.4141924869787632E-3</v>
      </c>
      <c r="G338" s="3">
        <f t="shared" si="22"/>
        <v>85178.229097410367</v>
      </c>
      <c r="H338" s="2">
        <f t="shared" si="23"/>
        <v>648454.22909741034</v>
      </c>
    </row>
    <row r="340" spans="1:8" x14ac:dyDescent="0.2">
      <c r="C340" s="13" t="s">
        <v>346</v>
      </c>
      <c r="D340" s="2">
        <f>SUM(D2:D338)</f>
        <v>398302215</v>
      </c>
    </row>
    <row r="341" spans="1:8" x14ac:dyDescent="0.2">
      <c r="C341" s="13" t="s">
        <v>347</v>
      </c>
      <c r="D341" s="2">
        <v>60231001</v>
      </c>
    </row>
    <row r="342" spans="1:8" x14ac:dyDescent="0.2">
      <c r="C342" s="3"/>
      <c r="D342" s="2"/>
    </row>
    <row r="343" spans="1:8" x14ac:dyDescent="0.2">
      <c r="C343" s="3" t="s">
        <v>348</v>
      </c>
      <c r="D343" s="2">
        <v>398302215</v>
      </c>
    </row>
    <row r="344" spans="1:8" x14ac:dyDescent="0.2">
      <c r="C344" s="3" t="s">
        <v>347</v>
      </c>
      <c r="D344" s="2">
        <v>60231001</v>
      </c>
    </row>
    <row r="345" spans="1:8" x14ac:dyDescent="0.2">
      <c r="C345" s="3"/>
    </row>
    <row r="346" spans="1:8" x14ac:dyDescent="0.2">
      <c r="C346" s="15" t="s">
        <v>349</v>
      </c>
      <c r="D346" s="16">
        <f>D340-D343</f>
        <v>0</v>
      </c>
    </row>
    <row r="347" spans="1:8" x14ac:dyDescent="0.2">
      <c r="D347" s="16">
        <f>D341-D344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2C48-3B36-EF4A-AB40-990DAB1BB0A7}">
  <sheetPr>
    <tabColor rgb="FFFFFF00"/>
  </sheetPr>
  <dimension ref="A1:H351"/>
  <sheetViews>
    <sheetView workbookViewId="0">
      <selection activeCell="G2" sqref="G2:H338"/>
    </sheetView>
  </sheetViews>
  <sheetFormatPr baseColWidth="10" defaultRowHeight="16" x14ac:dyDescent="0.2"/>
  <cols>
    <col min="2" max="2" width="11.83203125" bestFit="1" customWidth="1"/>
    <col min="3" max="3" width="53.5" bestFit="1" customWidth="1"/>
    <col min="4" max="4" width="18.83203125" bestFit="1" customWidth="1"/>
    <col min="5" max="5" width="16.83203125" bestFit="1" customWidth="1"/>
    <col min="7" max="7" width="17.1640625" bestFit="1" customWidth="1"/>
    <col min="8" max="8" width="16.83203125" bestFit="1" customWidth="1"/>
  </cols>
  <sheetData>
    <row r="1" spans="1:8" x14ac:dyDescent="0.2">
      <c r="A1" t="s">
        <v>1</v>
      </c>
      <c r="B1" s="3" t="s">
        <v>5</v>
      </c>
      <c r="C1" s="3" t="s">
        <v>4</v>
      </c>
      <c r="D1" s="3" t="s">
        <v>350</v>
      </c>
      <c r="E1" s="3" t="s">
        <v>372</v>
      </c>
      <c r="F1" s="3"/>
      <c r="G1" s="3" t="s">
        <v>368</v>
      </c>
      <c r="H1" s="3" t="s">
        <v>351</v>
      </c>
    </row>
    <row r="2" spans="1:8" x14ac:dyDescent="0.2">
      <c r="A2">
        <v>2017</v>
      </c>
      <c r="B2" s="3" t="str">
        <f>LEFT(C2,4)</f>
        <v>4931</v>
      </c>
      <c r="C2" s="3" t="s">
        <v>10</v>
      </c>
      <c r="D2" s="13">
        <v>11259</v>
      </c>
      <c r="E2" s="13">
        <v>11259</v>
      </c>
      <c r="F2" s="22">
        <f>E2/$D$340</f>
        <v>3.331488049749085E-5</v>
      </c>
      <c r="G2" s="23">
        <f>F2*$D$341</f>
        <v>1757.0304620745221</v>
      </c>
      <c r="H2" s="23">
        <f>SUM(G2,D2)</f>
        <v>13016.030462074523</v>
      </c>
    </row>
    <row r="3" spans="1:8" x14ac:dyDescent="0.2">
      <c r="A3">
        <v>2017</v>
      </c>
      <c r="B3" s="3" t="str">
        <f t="shared" ref="B3:B66" si="0">LEFT(C3,4)</f>
        <v>5045</v>
      </c>
      <c r="C3" s="3" t="s">
        <v>11</v>
      </c>
      <c r="D3" s="13">
        <v>2936</v>
      </c>
      <c r="E3" s="13">
        <v>2936</v>
      </c>
      <c r="F3" s="22">
        <f t="shared" ref="F3:F66" si="1">E3/$D$340</f>
        <v>8.6874934843798874E-6</v>
      </c>
      <c r="G3" s="23">
        <f t="shared" ref="G3:G66" si="2">F3*$D$341</f>
        <v>458.17936199047853</v>
      </c>
      <c r="H3" s="23">
        <f t="shared" ref="H3:H66" si="3">SUM(G3,D3)</f>
        <v>3394.1793619904784</v>
      </c>
    </row>
    <row r="4" spans="1:8" x14ac:dyDescent="0.2">
      <c r="A4">
        <v>2017</v>
      </c>
      <c r="B4" s="3" t="str">
        <f t="shared" si="0"/>
        <v>5046</v>
      </c>
      <c r="C4" s="3" t="s">
        <v>12</v>
      </c>
      <c r="D4" s="3"/>
      <c r="E4" s="3"/>
      <c r="F4" s="22">
        <f t="shared" si="1"/>
        <v>0</v>
      </c>
      <c r="G4" s="23">
        <f t="shared" si="2"/>
        <v>0</v>
      </c>
      <c r="H4" s="23">
        <f t="shared" si="3"/>
        <v>0</v>
      </c>
    </row>
    <row r="5" spans="1:8" x14ac:dyDescent="0.2">
      <c r="A5">
        <v>2017</v>
      </c>
      <c r="B5" s="3" t="str">
        <f t="shared" si="0"/>
        <v>5047</v>
      </c>
      <c r="C5" s="3" t="s">
        <v>13</v>
      </c>
      <c r="D5" s="13">
        <v>7505</v>
      </c>
      <c r="E5" s="13">
        <v>7505</v>
      </c>
      <c r="F5" s="22">
        <f t="shared" si="1"/>
        <v>2.2206961376114117E-5</v>
      </c>
      <c r="G5" s="23">
        <f t="shared" si="2"/>
        <v>1171.19758574201</v>
      </c>
      <c r="H5" s="23">
        <f t="shared" si="3"/>
        <v>8676.1975857420093</v>
      </c>
    </row>
    <row r="6" spans="1:8" x14ac:dyDescent="0.2">
      <c r="A6">
        <v>2017</v>
      </c>
      <c r="B6" s="3" t="str">
        <f t="shared" si="0"/>
        <v>5048</v>
      </c>
      <c r="C6" s="3" t="s">
        <v>14</v>
      </c>
      <c r="D6" s="13">
        <v>60813</v>
      </c>
      <c r="E6" s="13">
        <v>60813</v>
      </c>
      <c r="F6" s="22">
        <f t="shared" si="1"/>
        <v>1.799429636463195E-4</v>
      </c>
      <c r="G6" s="23">
        <f t="shared" si="2"/>
        <v>9490.2116964328907</v>
      </c>
      <c r="H6" s="23">
        <f t="shared" si="3"/>
        <v>70303.211696432889</v>
      </c>
    </row>
    <row r="7" spans="1:8" x14ac:dyDescent="0.2">
      <c r="A7">
        <v>2017</v>
      </c>
      <c r="B7" s="3" t="str">
        <f t="shared" si="0"/>
        <v>5049</v>
      </c>
      <c r="C7" s="3" t="s">
        <v>15</v>
      </c>
      <c r="D7" s="13">
        <v>160234</v>
      </c>
      <c r="E7" s="13">
        <v>160234</v>
      </c>
      <c r="F7" s="22">
        <f t="shared" si="1"/>
        <v>4.7412528303001592E-4</v>
      </c>
      <c r="G7" s="23">
        <f t="shared" si="2"/>
        <v>25005.419580784172</v>
      </c>
      <c r="H7" s="23">
        <f t="shared" si="3"/>
        <v>185239.41958078416</v>
      </c>
    </row>
    <row r="8" spans="1:8" x14ac:dyDescent="0.2">
      <c r="A8">
        <v>2017</v>
      </c>
      <c r="B8" s="3" t="str">
        <f t="shared" si="0"/>
        <v>5050</v>
      </c>
      <c r="C8" s="3" t="s">
        <v>16</v>
      </c>
      <c r="D8" s="13">
        <v>25658</v>
      </c>
      <c r="E8" s="13">
        <v>25658</v>
      </c>
      <c r="F8" s="22">
        <f t="shared" si="1"/>
        <v>7.5920881410837578E-5</v>
      </c>
      <c r="G8" s="23">
        <f t="shared" si="2"/>
        <v>4004.0756369045289</v>
      </c>
      <c r="H8" s="23">
        <f t="shared" si="3"/>
        <v>29662.07563690453</v>
      </c>
    </row>
    <row r="9" spans="1:8" x14ac:dyDescent="0.2">
      <c r="A9">
        <v>2017</v>
      </c>
      <c r="B9" s="3" t="str">
        <f t="shared" si="0"/>
        <v>5107</v>
      </c>
      <c r="C9" s="3" t="s">
        <v>17</v>
      </c>
      <c r="D9" s="13">
        <v>20411</v>
      </c>
      <c r="E9" s="13">
        <v>20411</v>
      </c>
      <c r="F9" s="22">
        <f t="shared" si="1"/>
        <v>6.0395241658609627E-5</v>
      </c>
      <c r="G9" s="23">
        <f t="shared" si="2"/>
        <v>3185.2516885516543</v>
      </c>
      <c r="H9" s="23">
        <f t="shared" si="3"/>
        <v>23596.251688551652</v>
      </c>
    </row>
    <row r="10" spans="1:8" x14ac:dyDescent="0.2">
      <c r="A10">
        <v>2017</v>
      </c>
      <c r="B10" s="3" t="str">
        <f t="shared" si="0"/>
        <v>5108</v>
      </c>
      <c r="C10" s="3" t="s">
        <v>18</v>
      </c>
      <c r="D10" s="13">
        <v>8771</v>
      </c>
      <c r="E10" s="13">
        <v>8771</v>
      </c>
      <c r="F10" s="22">
        <f t="shared" si="1"/>
        <v>2.5952999097920977E-5</v>
      </c>
      <c r="G10" s="23">
        <f t="shared" si="2"/>
        <v>1368.7640272542531</v>
      </c>
      <c r="H10" s="23">
        <f t="shared" si="3"/>
        <v>10139.764027254252</v>
      </c>
    </row>
    <row r="11" spans="1:8" x14ac:dyDescent="0.2">
      <c r="A11">
        <v>2017</v>
      </c>
      <c r="B11" s="3" t="str">
        <f t="shared" si="0"/>
        <v>5109</v>
      </c>
      <c r="C11" s="3" t="s">
        <v>19</v>
      </c>
      <c r="D11" s="13">
        <v>63850</v>
      </c>
      <c r="E11" s="13">
        <v>63850</v>
      </c>
      <c r="F11" s="22">
        <f t="shared" si="1"/>
        <v>1.8892931164089092E-4</v>
      </c>
      <c r="G11" s="23">
        <f t="shared" si="2"/>
        <v>9964.1526781648681</v>
      </c>
      <c r="H11" s="23">
        <f t="shared" si="3"/>
        <v>73814.152678164872</v>
      </c>
    </row>
    <row r="12" spans="1:8" x14ac:dyDescent="0.2">
      <c r="A12">
        <v>2017</v>
      </c>
      <c r="B12" s="3" t="str">
        <f t="shared" si="0"/>
        <v>5110</v>
      </c>
      <c r="C12" s="3" t="s">
        <v>20</v>
      </c>
      <c r="D12" s="13">
        <v>17084</v>
      </c>
      <c r="E12" s="13">
        <v>17084</v>
      </c>
      <c r="F12" s="22">
        <f t="shared" si="1"/>
        <v>5.0550796555567432E-5</v>
      </c>
      <c r="G12" s="23">
        <f t="shared" si="2"/>
        <v>2666.0545709282474</v>
      </c>
      <c r="H12" s="23">
        <f t="shared" si="3"/>
        <v>19750.054570928249</v>
      </c>
    </row>
    <row r="13" spans="1:8" x14ac:dyDescent="0.2">
      <c r="A13">
        <v>2017</v>
      </c>
      <c r="B13" s="3" t="str">
        <f t="shared" si="0"/>
        <v>5111</v>
      </c>
      <c r="C13" s="3" t="s">
        <v>21</v>
      </c>
      <c r="D13" s="3"/>
      <c r="E13" s="3"/>
      <c r="F13" s="22">
        <f t="shared" si="1"/>
        <v>0</v>
      </c>
      <c r="G13" s="23">
        <f t="shared" si="2"/>
        <v>0</v>
      </c>
      <c r="H13" s="23">
        <f t="shared" si="3"/>
        <v>0</v>
      </c>
    </row>
    <row r="14" spans="1:8" x14ac:dyDescent="0.2">
      <c r="A14">
        <v>2017</v>
      </c>
      <c r="B14" s="3" t="str">
        <f t="shared" si="0"/>
        <v>5112</v>
      </c>
      <c r="C14" s="3" t="s">
        <v>22</v>
      </c>
      <c r="D14" s="13">
        <v>4174</v>
      </c>
      <c r="E14" s="13">
        <v>4174</v>
      </c>
      <c r="F14" s="22">
        <f t="shared" si="1"/>
        <v>1.2350680450886119E-5</v>
      </c>
      <c r="G14" s="23">
        <f t="shared" si="2"/>
        <v>651.37624555458353</v>
      </c>
      <c r="H14" s="23">
        <f t="shared" si="3"/>
        <v>4825.3762455545839</v>
      </c>
    </row>
    <row r="15" spans="1:8" x14ac:dyDescent="0.2">
      <c r="A15">
        <v>2017</v>
      </c>
      <c r="B15" s="3" t="str">
        <f t="shared" si="0"/>
        <v>5113</v>
      </c>
      <c r="C15" s="3" t="s">
        <v>23</v>
      </c>
      <c r="D15" s="13">
        <v>9912</v>
      </c>
      <c r="E15" s="13">
        <v>9912</v>
      </c>
      <c r="F15" s="22">
        <f t="shared" si="1"/>
        <v>2.9329167376421469E-5</v>
      </c>
      <c r="G15" s="23">
        <f t="shared" si="2"/>
        <v>1546.8235136408796</v>
      </c>
      <c r="H15" s="23">
        <f t="shared" si="3"/>
        <v>11458.82351364088</v>
      </c>
    </row>
    <row r="16" spans="1:8" x14ac:dyDescent="0.2">
      <c r="A16">
        <v>2017</v>
      </c>
      <c r="B16" s="3" t="str">
        <f t="shared" si="0"/>
        <v>5177</v>
      </c>
      <c r="C16" s="3" t="s">
        <v>24</v>
      </c>
      <c r="D16" s="13">
        <v>5363</v>
      </c>
      <c r="E16" s="13">
        <v>5363</v>
      </c>
      <c r="F16" s="22">
        <f t="shared" si="1"/>
        <v>1.5868878595616258E-5</v>
      </c>
      <c r="G16" s="23">
        <f t="shared" si="2"/>
        <v>836.92640270944696</v>
      </c>
      <c r="H16" s="23">
        <f t="shared" si="3"/>
        <v>6199.9264027094468</v>
      </c>
    </row>
    <row r="17" spans="1:8" x14ac:dyDescent="0.2">
      <c r="A17">
        <v>2017</v>
      </c>
      <c r="B17" s="3" t="str">
        <f t="shared" si="0"/>
        <v>5178</v>
      </c>
      <c r="C17" s="3" t="s">
        <v>25</v>
      </c>
      <c r="D17" s="13">
        <v>28497</v>
      </c>
      <c r="E17" s="13">
        <v>28497</v>
      </c>
      <c r="F17" s="22">
        <f t="shared" si="1"/>
        <v>8.4321356207211725E-5</v>
      </c>
      <c r="G17" s="23">
        <f t="shared" si="2"/>
        <v>4447.1176017175294</v>
      </c>
      <c r="H17" s="23">
        <f t="shared" si="3"/>
        <v>32944.117601717531</v>
      </c>
    </row>
    <row r="18" spans="1:8" x14ac:dyDescent="0.2">
      <c r="A18">
        <v>2017</v>
      </c>
      <c r="B18" s="3" t="str">
        <f t="shared" si="0"/>
        <v>5179</v>
      </c>
      <c r="C18" s="3" t="s">
        <v>26</v>
      </c>
      <c r="D18" s="13">
        <v>15099</v>
      </c>
      <c r="E18" s="13">
        <v>15099</v>
      </c>
      <c r="F18" s="22">
        <f t="shared" si="1"/>
        <v>4.4677269795862367E-5</v>
      </c>
      <c r="G18" s="23">
        <f t="shared" si="2"/>
        <v>2356.284123533459</v>
      </c>
      <c r="H18" s="23">
        <f t="shared" si="3"/>
        <v>17455.28412353346</v>
      </c>
    </row>
    <row r="19" spans="1:8" x14ac:dyDescent="0.2">
      <c r="A19">
        <v>2017</v>
      </c>
      <c r="B19" s="3" t="str">
        <f t="shared" si="0"/>
        <v>5180</v>
      </c>
      <c r="C19" s="3" t="s">
        <v>27</v>
      </c>
      <c r="D19" s="13">
        <v>10858</v>
      </c>
      <c r="E19" s="13">
        <v>10858</v>
      </c>
      <c r="F19" s="22">
        <f t="shared" si="1"/>
        <v>3.2128339323364039E-5</v>
      </c>
      <c r="G19" s="23">
        <f t="shared" si="2"/>
        <v>1694.452150031545</v>
      </c>
      <c r="H19" s="23">
        <f t="shared" si="3"/>
        <v>12552.452150031546</v>
      </c>
    </row>
    <row r="20" spans="1:8" x14ac:dyDescent="0.2">
      <c r="A20">
        <v>2017</v>
      </c>
      <c r="B20" s="3" t="str">
        <f t="shared" si="0"/>
        <v>5404</v>
      </c>
      <c r="C20" s="3" t="s">
        <v>367</v>
      </c>
      <c r="D20" s="13">
        <v>7775</v>
      </c>
      <c r="E20" s="13">
        <v>7775</v>
      </c>
      <c r="F20" s="22">
        <f t="shared" si="1"/>
        <v>2.3005879373655864E-5</v>
      </c>
      <c r="G20" s="23">
        <f t="shared" si="2"/>
        <v>1213.3326088133415</v>
      </c>
      <c r="H20" s="23">
        <f t="shared" si="3"/>
        <v>8988.3326088133417</v>
      </c>
    </row>
    <row r="21" spans="1:8" x14ac:dyDescent="0.2">
      <c r="A21">
        <v>2017</v>
      </c>
      <c r="B21" s="3" t="str">
        <f t="shared" si="0"/>
        <v>5406</v>
      </c>
      <c r="C21" s="3" t="s">
        <v>29</v>
      </c>
      <c r="D21" s="13">
        <v>99583</v>
      </c>
      <c r="E21" s="13">
        <v>99583</v>
      </c>
      <c r="F21" s="22">
        <f t="shared" si="1"/>
        <v>2.946616701822215E-4</v>
      </c>
      <c r="G21" s="23">
        <f t="shared" si="2"/>
        <v>15540.488898194082</v>
      </c>
      <c r="H21" s="23">
        <f t="shared" si="3"/>
        <v>115123.48889819407</v>
      </c>
    </row>
    <row r="22" spans="1:8" x14ac:dyDescent="0.2">
      <c r="A22">
        <v>2017</v>
      </c>
      <c r="B22" s="3" t="str">
        <f t="shared" si="0"/>
        <v>5596</v>
      </c>
      <c r="C22" s="3" t="s">
        <v>30</v>
      </c>
      <c r="D22" s="13">
        <v>80981</v>
      </c>
      <c r="E22" s="13">
        <v>80981</v>
      </c>
      <c r="F22" s="22">
        <f t="shared" si="1"/>
        <v>2.3961917910714155E-4</v>
      </c>
      <c r="G22" s="23">
        <f t="shared" si="2"/>
        <v>12637.541864220348</v>
      </c>
      <c r="H22" s="23">
        <f t="shared" si="3"/>
        <v>93618.541864220344</v>
      </c>
    </row>
    <row r="23" spans="1:8" x14ac:dyDescent="0.2">
      <c r="A23">
        <v>2017</v>
      </c>
      <c r="B23" s="3" t="str">
        <f t="shared" si="0"/>
        <v>5600</v>
      </c>
      <c r="C23" s="3" t="s">
        <v>31</v>
      </c>
      <c r="D23" s="13">
        <v>105230</v>
      </c>
      <c r="E23" s="13">
        <v>105230</v>
      </c>
      <c r="F23" s="22">
        <f t="shared" si="1"/>
        <v>3.1137089215302978E-4</v>
      </c>
      <c r="G23" s="23">
        <f t="shared" si="2"/>
        <v>16421.735102948929</v>
      </c>
      <c r="H23" s="23">
        <f t="shared" si="3"/>
        <v>121651.73510294894</v>
      </c>
    </row>
    <row r="24" spans="1:8" x14ac:dyDescent="0.2">
      <c r="A24">
        <v>2017</v>
      </c>
      <c r="B24" s="3" t="str">
        <f t="shared" si="0"/>
        <v>5604</v>
      </c>
      <c r="C24" s="3" t="s">
        <v>32</v>
      </c>
      <c r="D24" s="13">
        <v>76703</v>
      </c>
      <c r="E24" s="13">
        <v>76703</v>
      </c>
      <c r="F24" s="22">
        <f t="shared" si="1"/>
        <v>2.2696076727942455E-4</v>
      </c>
      <c r="G24" s="23">
        <f t="shared" si="2"/>
        <v>11969.935832001251</v>
      </c>
      <c r="H24" s="23">
        <f t="shared" si="3"/>
        <v>88672.935832001254</v>
      </c>
    </row>
    <row r="25" spans="1:8" x14ac:dyDescent="0.2">
      <c r="A25">
        <v>2017</v>
      </c>
      <c r="B25" s="3" t="str">
        <f t="shared" si="0"/>
        <v>5608</v>
      </c>
      <c r="C25" s="3" t="s">
        <v>33</v>
      </c>
      <c r="D25" s="13">
        <v>28222</v>
      </c>
      <c r="E25" s="13">
        <v>28222</v>
      </c>
      <c r="F25" s="22">
        <f t="shared" si="1"/>
        <v>8.350764343193772E-5</v>
      </c>
      <c r="G25" s="23">
        <f t="shared" si="2"/>
        <v>4404.2023004411731</v>
      </c>
      <c r="H25" s="23">
        <f t="shared" si="3"/>
        <v>32626.202300441175</v>
      </c>
    </row>
    <row r="26" spans="1:8" x14ac:dyDescent="0.2">
      <c r="A26">
        <v>2017</v>
      </c>
      <c r="B26" s="3" t="str">
        <f t="shared" si="0"/>
        <v>5609</v>
      </c>
      <c r="C26" s="3" t="s">
        <v>365</v>
      </c>
      <c r="D26" s="13">
        <v>87406</v>
      </c>
      <c r="E26" s="13">
        <v>87406</v>
      </c>
      <c r="F26" s="22">
        <f t="shared" si="1"/>
        <v>2.5863046849308871E-4</v>
      </c>
      <c r="G26" s="23">
        <f t="shared" si="2"/>
        <v>13640.199357677033</v>
      </c>
      <c r="H26" s="23">
        <f t="shared" si="3"/>
        <v>101046.19935767703</v>
      </c>
    </row>
    <row r="27" spans="1:8" x14ac:dyDescent="0.2">
      <c r="A27">
        <v>2017</v>
      </c>
      <c r="B27" s="3" t="str">
        <f t="shared" si="0"/>
        <v>5612</v>
      </c>
      <c r="C27" s="3" t="s">
        <v>35</v>
      </c>
      <c r="D27" s="13">
        <v>137489</v>
      </c>
      <c r="E27" s="13">
        <v>137489</v>
      </c>
      <c r="F27" s="22">
        <f t="shared" si="1"/>
        <v>4.0682383912598989E-4</v>
      </c>
      <c r="G27" s="23">
        <f t="shared" si="2"/>
        <v>21455.934026127012</v>
      </c>
      <c r="H27" s="23">
        <f t="shared" si="3"/>
        <v>158944.93402612701</v>
      </c>
    </row>
    <row r="28" spans="1:8" x14ac:dyDescent="0.2">
      <c r="A28">
        <v>2017</v>
      </c>
      <c r="B28" s="3" t="str">
        <f t="shared" si="0"/>
        <v>5624</v>
      </c>
      <c r="C28" s="3" t="s">
        <v>36</v>
      </c>
      <c r="D28" s="13">
        <v>38416</v>
      </c>
      <c r="E28" s="13">
        <v>38416</v>
      </c>
      <c r="F28" s="22">
        <f t="shared" si="1"/>
        <v>1.1367123627245835E-4</v>
      </c>
      <c r="G28" s="23">
        <f t="shared" si="2"/>
        <v>5995.0335048454435</v>
      </c>
      <c r="H28" s="23">
        <f t="shared" si="3"/>
        <v>44411.033504845444</v>
      </c>
    </row>
    <row r="29" spans="1:8" x14ac:dyDescent="0.2">
      <c r="A29">
        <v>2017</v>
      </c>
      <c r="B29" s="3" t="str">
        <f t="shared" si="0"/>
        <v>5626</v>
      </c>
      <c r="C29" s="3" t="s">
        <v>37</v>
      </c>
      <c r="D29" s="13">
        <v>92883</v>
      </c>
      <c r="E29" s="13">
        <v>92883</v>
      </c>
      <c r="F29" s="22">
        <f t="shared" si="1"/>
        <v>2.7483666802100037E-4</v>
      </c>
      <c r="G29" s="23">
        <f t="shared" si="2"/>
        <v>14494.916103461042</v>
      </c>
      <c r="H29" s="23">
        <f t="shared" si="3"/>
        <v>107377.91610346104</v>
      </c>
    </row>
    <row r="30" spans="1:8" x14ac:dyDescent="0.2">
      <c r="A30">
        <v>2017</v>
      </c>
      <c r="B30" s="3" t="str">
        <f t="shared" si="0"/>
        <v>5634</v>
      </c>
      <c r="C30" s="3" t="s">
        <v>38</v>
      </c>
      <c r="D30" s="13">
        <v>48039</v>
      </c>
      <c r="E30" s="13">
        <v>48039</v>
      </c>
      <c r="F30" s="22">
        <f t="shared" si="1"/>
        <v>1.421452654959555E-4</v>
      </c>
      <c r="G30" s="23">
        <f t="shared" si="2"/>
        <v>7496.7569382358979</v>
      </c>
      <c r="H30" s="23">
        <f t="shared" si="3"/>
        <v>55535.7569382359</v>
      </c>
    </row>
    <row r="31" spans="1:8" x14ac:dyDescent="0.2">
      <c r="A31">
        <v>2017</v>
      </c>
      <c r="B31" s="3" t="str">
        <f t="shared" si="0"/>
        <v>5638</v>
      </c>
      <c r="C31" s="3" t="s">
        <v>39</v>
      </c>
      <c r="D31" s="13">
        <v>33070</v>
      </c>
      <c r="E31" s="13">
        <v>33070</v>
      </c>
      <c r="F31" s="22">
        <f t="shared" si="1"/>
        <v>9.7852659921131762E-5</v>
      </c>
      <c r="G31" s="23">
        <f t="shared" si="2"/>
        <v>5160.7600480330802</v>
      </c>
      <c r="H31" s="23">
        <f t="shared" si="3"/>
        <v>38230.76004803308</v>
      </c>
    </row>
    <row r="32" spans="1:8" x14ac:dyDescent="0.2">
      <c r="A32">
        <v>2017</v>
      </c>
      <c r="B32" s="3" t="str">
        <f t="shared" si="0"/>
        <v>5655</v>
      </c>
      <c r="C32" s="3" t="s">
        <v>40</v>
      </c>
      <c r="D32" s="13">
        <v>2510</v>
      </c>
      <c r="E32" s="13">
        <v>2510</v>
      </c>
      <c r="F32" s="22">
        <f t="shared" si="1"/>
        <v>7.4269784215917971E-6</v>
      </c>
      <c r="G32" s="23">
        <f t="shared" si="2"/>
        <v>391.69965892237775</v>
      </c>
      <c r="H32" s="23">
        <f t="shared" si="3"/>
        <v>2901.6996589223777</v>
      </c>
    </row>
    <row r="33" spans="1:8" x14ac:dyDescent="0.2">
      <c r="A33">
        <v>2017</v>
      </c>
      <c r="B33" s="3" t="str">
        <f t="shared" si="0"/>
        <v>5657</v>
      </c>
      <c r="C33" s="3" t="s">
        <v>41</v>
      </c>
      <c r="D33" s="13">
        <v>24376</v>
      </c>
      <c r="E33" s="13">
        <v>24376</v>
      </c>
      <c r="F33" s="22">
        <f t="shared" si="1"/>
        <v>7.21275004002875E-5</v>
      </c>
      <c r="G33" s="23">
        <f t="shared" si="2"/>
        <v>3804.0123051362066</v>
      </c>
      <c r="H33" s="23">
        <f t="shared" si="3"/>
        <v>28180.012305136206</v>
      </c>
    </row>
    <row r="34" spans="1:8" x14ac:dyDescent="0.2">
      <c r="A34">
        <v>2017</v>
      </c>
      <c r="B34" s="3" t="str">
        <f t="shared" si="0"/>
        <v>4930</v>
      </c>
      <c r="C34" s="3" t="s">
        <v>353</v>
      </c>
      <c r="D34" s="13">
        <v>6237</v>
      </c>
      <c r="E34" s="13">
        <v>6237</v>
      </c>
      <c r="F34" s="22">
        <f t="shared" si="1"/>
        <v>1.8455005743214357E-5</v>
      </c>
      <c r="G34" s="23">
        <f t="shared" si="2"/>
        <v>973.31903294775691</v>
      </c>
      <c r="H34" s="23">
        <f t="shared" si="3"/>
        <v>7210.3190329477566</v>
      </c>
    </row>
    <row r="35" spans="1:8" x14ac:dyDescent="0.2">
      <c r="A35">
        <v>2017</v>
      </c>
      <c r="B35" s="3" t="str">
        <f t="shared" si="0"/>
        <v>5671</v>
      </c>
      <c r="C35" s="3" t="s">
        <v>42</v>
      </c>
      <c r="D35" s="13">
        <v>37077</v>
      </c>
      <c r="E35" s="13">
        <v>37077</v>
      </c>
      <c r="F35" s="22">
        <f t="shared" si="1"/>
        <v>1.0970919479576058E-4</v>
      </c>
      <c r="G35" s="23">
        <f t="shared" si="2"/>
        <v>5786.0750015398407</v>
      </c>
      <c r="H35" s="23">
        <f t="shared" si="3"/>
        <v>42863.075001539837</v>
      </c>
    </row>
    <row r="36" spans="1:8" x14ac:dyDescent="0.2">
      <c r="A36">
        <v>2017</v>
      </c>
      <c r="B36" s="3" t="str">
        <f t="shared" si="0"/>
        <v>5682</v>
      </c>
      <c r="C36" s="3" t="s">
        <v>43</v>
      </c>
      <c r="D36" s="13">
        <v>135426</v>
      </c>
      <c r="E36" s="13">
        <v>135426</v>
      </c>
      <c r="F36" s="22">
        <f t="shared" si="1"/>
        <v>4.0071951383366161E-4</v>
      </c>
      <c r="G36" s="23">
        <f t="shared" si="2"/>
        <v>21133.991238733834</v>
      </c>
      <c r="H36" s="23">
        <f t="shared" si="3"/>
        <v>156559.99123873384</v>
      </c>
    </row>
    <row r="37" spans="1:8" x14ac:dyDescent="0.2">
      <c r="A37">
        <v>2017</v>
      </c>
      <c r="B37" s="3" t="str">
        <f t="shared" si="0"/>
        <v>5688</v>
      </c>
      <c r="C37" s="3" t="s">
        <v>44</v>
      </c>
      <c r="D37" s="13">
        <v>11942</v>
      </c>
      <c r="E37" s="13">
        <v>11942</v>
      </c>
      <c r="F37" s="22">
        <f t="shared" si="1"/>
        <v>3.5335847135716826E-5</v>
      </c>
      <c r="G37" s="23">
        <f t="shared" si="2"/>
        <v>1863.6164648808904</v>
      </c>
      <c r="H37" s="23">
        <f t="shared" si="3"/>
        <v>13805.61646488089</v>
      </c>
    </row>
    <row r="38" spans="1:8" x14ac:dyDescent="0.2">
      <c r="A38">
        <v>2017</v>
      </c>
      <c r="B38" s="3" t="str">
        <f t="shared" si="0"/>
        <v>9034</v>
      </c>
      <c r="C38" s="3" t="s">
        <v>45</v>
      </c>
      <c r="D38" s="13">
        <v>43915</v>
      </c>
      <c r="E38" s="13">
        <v>43915</v>
      </c>
      <c r="F38" s="22">
        <f t="shared" si="1"/>
        <v>1.2994253282239194E-4</v>
      </c>
      <c r="G38" s="23">
        <f t="shared" si="2"/>
        <v>6853.1834747315615</v>
      </c>
      <c r="H38" s="23">
        <f t="shared" si="3"/>
        <v>50768.183474731559</v>
      </c>
    </row>
    <row r="39" spans="1:8" x14ac:dyDescent="0.2">
      <c r="A39">
        <v>2017</v>
      </c>
      <c r="B39" s="3" t="str">
        <f t="shared" si="0"/>
        <v>9042</v>
      </c>
      <c r="C39" s="3" t="s">
        <v>46</v>
      </c>
      <c r="D39" s="13">
        <v>21618</v>
      </c>
      <c r="E39" s="13">
        <v>21618</v>
      </c>
      <c r="F39" s="22">
        <f t="shared" si="1"/>
        <v>6.396670100317588E-5</v>
      </c>
      <c r="G39" s="23">
        <f t="shared" si="2"/>
        <v>3373.6108472446062</v>
      </c>
      <c r="H39" s="23">
        <f t="shared" si="3"/>
        <v>24991.610847244607</v>
      </c>
    </row>
    <row r="40" spans="1:8" x14ac:dyDescent="0.2">
      <c r="A40">
        <v>2017</v>
      </c>
      <c r="B40" s="3" t="str">
        <f t="shared" si="0"/>
        <v>9047</v>
      </c>
      <c r="C40" s="3" t="s">
        <v>47</v>
      </c>
      <c r="D40" s="13">
        <v>34380</v>
      </c>
      <c r="E40" s="13">
        <v>34380</v>
      </c>
      <c r="F40" s="22">
        <f t="shared" si="1"/>
        <v>1.0172889168698246E-4</v>
      </c>
      <c r="G40" s="23">
        <f t="shared" si="2"/>
        <v>5365.1929377495408</v>
      </c>
      <c r="H40" s="23">
        <f t="shared" si="3"/>
        <v>39745.19293774954</v>
      </c>
    </row>
    <row r="41" spans="1:8" x14ac:dyDescent="0.2">
      <c r="A41">
        <v>2017</v>
      </c>
      <c r="B41" s="3" t="str">
        <f t="shared" si="0"/>
        <v>9053</v>
      </c>
      <c r="C41" s="3" t="s">
        <v>48</v>
      </c>
      <c r="D41" s="3"/>
      <c r="E41" s="3"/>
      <c r="F41" s="22">
        <f t="shared" si="1"/>
        <v>0</v>
      </c>
      <c r="G41" s="23">
        <f t="shared" si="2"/>
        <v>0</v>
      </c>
      <c r="H41" s="23">
        <f t="shared" si="3"/>
        <v>0</v>
      </c>
    </row>
    <row r="42" spans="1:8" x14ac:dyDescent="0.2">
      <c r="A42">
        <v>2017</v>
      </c>
      <c r="B42" s="3" t="str">
        <f t="shared" si="0"/>
        <v>9055</v>
      </c>
      <c r="C42" s="3" t="s">
        <v>49</v>
      </c>
      <c r="D42" s="13">
        <v>49297</v>
      </c>
      <c r="E42" s="13">
        <v>49297</v>
      </c>
      <c r="F42" s="22">
        <f t="shared" si="1"/>
        <v>1.4586763157339077E-4</v>
      </c>
      <c r="G42" s="23">
        <f t="shared" si="2"/>
        <v>7693.0749346201028</v>
      </c>
      <c r="H42" s="23">
        <f t="shared" si="3"/>
        <v>56990.074934620105</v>
      </c>
    </row>
    <row r="43" spans="1:8" x14ac:dyDescent="0.2">
      <c r="A43">
        <v>2017</v>
      </c>
      <c r="B43" s="3" t="str">
        <f t="shared" si="0"/>
        <v>9056</v>
      </c>
      <c r="C43" s="3" t="s">
        <v>50</v>
      </c>
      <c r="D43" s="13">
        <v>14784</v>
      </c>
      <c r="E43" s="13">
        <v>14784</v>
      </c>
      <c r="F43" s="22">
        <f t="shared" si="1"/>
        <v>4.3745198798730328E-5</v>
      </c>
      <c r="G43" s="23">
        <f t="shared" si="2"/>
        <v>2307.1265966169053</v>
      </c>
      <c r="H43" s="23">
        <f t="shared" si="3"/>
        <v>17091.126596616905</v>
      </c>
    </row>
    <row r="44" spans="1:8" x14ac:dyDescent="0.2">
      <c r="A44">
        <v>2017</v>
      </c>
      <c r="B44" s="3" t="str">
        <f t="shared" si="0"/>
        <v>9273</v>
      </c>
      <c r="C44" s="3" t="s">
        <v>51</v>
      </c>
      <c r="D44" s="13">
        <v>19649</v>
      </c>
      <c r="E44" s="13">
        <v>19649</v>
      </c>
      <c r="F44" s="22">
        <f t="shared" si="1"/>
        <v>5.8140517532214033E-5</v>
      </c>
      <c r="G44" s="23">
        <f t="shared" si="2"/>
        <v>3066.3372901058965</v>
      </c>
      <c r="H44" s="23">
        <f t="shared" si="3"/>
        <v>22715.337290105897</v>
      </c>
    </row>
    <row r="45" spans="1:8" x14ac:dyDescent="0.2">
      <c r="A45">
        <v>2017</v>
      </c>
      <c r="B45" s="3" t="str">
        <f t="shared" si="0"/>
        <v>9274</v>
      </c>
      <c r="C45" s="3" t="s">
        <v>52</v>
      </c>
      <c r="D45" s="13">
        <v>49123</v>
      </c>
      <c r="E45" s="13">
        <v>49123</v>
      </c>
      <c r="F45" s="22">
        <f t="shared" si="1"/>
        <v>1.453527733083083E-4</v>
      </c>
      <c r="G45" s="23">
        <f t="shared" si="2"/>
        <v>7665.9212530852437</v>
      </c>
      <c r="H45" s="23">
        <f t="shared" si="3"/>
        <v>56788.921253085246</v>
      </c>
    </row>
    <row r="46" spans="1:8" x14ac:dyDescent="0.2">
      <c r="A46">
        <v>2017</v>
      </c>
      <c r="B46" s="3" t="str">
        <f t="shared" si="0"/>
        <v>9303</v>
      </c>
      <c r="C46" s="3" t="s">
        <v>363</v>
      </c>
      <c r="D46" s="13">
        <v>18589</v>
      </c>
      <c r="E46" s="13">
        <v>18589</v>
      </c>
      <c r="F46" s="22">
        <f t="shared" si="1"/>
        <v>5.5004024652976062E-5</v>
      </c>
      <c r="G46" s="23">
        <f t="shared" si="2"/>
        <v>2900.9183106406695</v>
      </c>
      <c r="H46" s="23">
        <f t="shared" si="3"/>
        <v>21489.918310640671</v>
      </c>
    </row>
    <row r="47" spans="1:8" x14ac:dyDescent="0.2">
      <c r="A47">
        <v>2017</v>
      </c>
      <c r="B47" s="3" t="str">
        <f t="shared" si="0"/>
        <v>9304</v>
      </c>
      <c r="C47" s="3" t="s">
        <v>54</v>
      </c>
      <c r="D47" s="3"/>
      <c r="E47" s="3"/>
      <c r="F47" s="22">
        <f t="shared" si="1"/>
        <v>0</v>
      </c>
      <c r="G47" s="23">
        <f t="shared" si="2"/>
        <v>0</v>
      </c>
      <c r="H47" s="23">
        <f t="shared" si="3"/>
        <v>0</v>
      </c>
    </row>
    <row r="48" spans="1:8" x14ac:dyDescent="0.2">
      <c r="A48">
        <v>2017</v>
      </c>
      <c r="B48" s="3" t="str">
        <f t="shared" si="0"/>
        <v>9305</v>
      </c>
      <c r="C48" s="3" t="s">
        <v>55</v>
      </c>
      <c r="D48" s="13">
        <v>20567</v>
      </c>
      <c r="E48" s="13">
        <v>20567</v>
      </c>
      <c r="F48" s="22">
        <f t="shared" si="1"/>
        <v>6.0856838723855973E-5</v>
      </c>
      <c r="G48" s="23">
        <f t="shared" si="2"/>
        <v>3209.5963685484235</v>
      </c>
      <c r="H48" s="23">
        <f t="shared" si="3"/>
        <v>23776.596368548424</v>
      </c>
    </row>
    <row r="49" spans="1:8" x14ac:dyDescent="0.2">
      <c r="A49">
        <v>2017</v>
      </c>
      <c r="B49" s="3" t="str">
        <f t="shared" si="0"/>
        <v>9395</v>
      </c>
      <c r="C49" s="3" t="s">
        <v>56</v>
      </c>
      <c r="D49" s="13">
        <v>1407</v>
      </c>
      <c r="E49" s="13">
        <v>1407</v>
      </c>
      <c r="F49" s="22">
        <f t="shared" si="1"/>
        <v>4.1632504538564377E-6</v>
      </c>
      <c r="G49" s="23">
        <f t="shared" si="2"/>
        <v>219.57028689393846</v>
      </c>
      <c r="H49" s="23">
        <f t="shared" si="3"/>
        <v>1626.5702868939384</v>
      </c>
    </row>
    <row r="50" spans="1:8" x14ac:dyDescent="0.2">
      <c r="A50">
        <v>2017</v>
      </c>
      <c r="B50" s="3" t="str">
        <f t="shared" si="0"/>
        <v>9487</v>
      </c>
      <c r="C50" s="3" t="s">
        <v>57</v>
      </c>
      <c r="D50" s="13">
        <v>14830</v>
      </c>
      <c r="E50" s="13">
        <v>14830</v>
      </c>
      <c r="F50" s="22">
        <f t="shared" si="1"/>
        <v>4.3881310753867072E-5</v>
      </c>
      <c r="G50" s="23">
        <f t="shared" si="2"/>
        <v>2314.3051561031325</v>
      </c>
      <c r="H50" s="23">
        <f t="shared" si="3"/>
        <v>17144.305156103132</v>
      </c>
    </row>
    <row r="51" spans="1:8" x14ac:dyDescent="0.2">
      <c r="A51">
        <v>2017</v>
      </c>
      <c r="B51" s="3" t="str">
        <f t="shared" si="0"/>
        <v>9507</v>
      </c>
      <c r="C51" s="3" t="s">
        <v>58</v>
      </c>
      <c r="D51" s="13">
        <v>85346</v>
      </c>
      <c r="E51" s="13">
        <v>85346</v>
      </c>
      <c r="F51" s="22">
        <f t="shared" si="1"/>
        <v>2.525350200673998E-4</v>
      </c>
      <c r="G51" s="23">
        <f t="shared" si="2"/>
        <v>13318.724737206872</v>
      </c>
      <c r="H51" s="23">
        <f t="shared" si="3"/>
        <v>98664.724737206867</v>
      </c>
    </row>
    <row r="52" spans="1:8" x14ac:dyDescent="0.2">
      <c r="A52">
        <v>2017</v>
      </c>
      <c r="B52" s="3" t="str">
        <f t="shared" si="0"/>
        <v>4828</v>
      </c>
      <c r="C52" s="3" t="s">
        <v>59</v>
      </c>
      <c r="D52" s="13">
        <v>2529811</v>
      </c>
      <c r="E52" s="13">
        <v>2529811</v>
      </c>
      <c r="F52" s="22">
        <f t="shared" si="1"/>
        <v>7.4855982899225361E-3</v>
      </c>
      <c r="G52" s="23">
        <f t="shared" si="2"/>
        <v>394791.27722632646</v>
      </c>
      <c r="H52" s="23">
        <f t="shared" si="3"/>
        <v>2924602.2772263265</v>
      </c>
    </row>
    <row r="53" spans="1:8" x14ac:dyDescent="0.2">
      <c r="A53">
        <v>2017</v>
      </c>
      <c r="B53" s="3" t="str">
        <f t="shared" si="0"/>
        <v>4829</v>
      </c>
      <c r="C53" s="3" t="s">
        <v>60</v>
      </c>
      <c r="D53" s="13">
        <v>1109694</v>
      </c>
      <c r="E53" s="13">
        <v>1109694</v>
      </c>
      <c r="F53" s="22">
        <f t="shared" si="1"/>
        <v>3.2835352161633019E-3</v>
      </c>
      <c r="G53" s="23">
        <f t="shared" si="2"/>
        <v>173174.00848932631</v>
      </c>
      <c r="H53" s="23">
        <f t="shared" si="3"/>
        <v>1282868.0084893263</v>
      </c>
    </row>
    <row r="54" spans="1:8" x14ac:dyDescent="0.2">
      <c r="A54">
        <v>2017</v>
      </c>
      <c r="B54" s="3" t="str">
        <f t="shared" si="0"/>
        <v>4871</v>
      </c>
      <c r="C54" s="3" t="s">
        <v>61</v>
      </c>
      <c r="D54" s="13">
        <v>367483</v>
      </c>
      <c r="E54" s="13">
        <v>367483</v>
      </c>
      <c r="F54" s="22">
        <f t="shared" si="1"/>
        <v>1.0873658610764216E-3</v>
      </c>
      <c r="G54" s="23">
        <f t="shared" si="2"/>
        <v>57347.795123415191</v>
      </c>
      <c r="H54" s="23">
        <f t="shared" si="3"/>
        <v>424830.79512341518</v>
      </c>
    </row>
    <row r="55" spans="1:8" x14ac:dyDescent="0.2">
      <c r="A55">
        <v>2017</v>
      </c>
      <c r="B55" s="3" t="str">
        <f t="shared" si="0"/>
        <v>4882</v>
      </c>
      <c r="C55" s="3" t="s">
        <v>62</v>
      </c>
      <c r="D55" s="13">
        <v>2003420</v>
      </c>
      <c r="E55" s="13">
        <v>2003420</v>
      </c>
      <c r="F55" s="22">
        <f t="shared" si="1"/>
        <v>5.9280307208706921E-3</v>
      </c>
      <c r="G55" s="23">
        <f t="shared" si="2"/>
        <v>312644.99230209959</v>
      </c>
      <c r="H55" s="23">
        <f t="shared" si="3"/>
        <v>2316064.9923020997</v>
      </c>
    </row>
    <row r="56" spans="1:8" x14ac:dyDescent="0.2">
      <c r="A56">
        <v>2017</v>
      </c>
      <c r="B56" s="3" t="str">
        <f t="shared" si="0"/>
        <v>4912</v>
      </c>
      <c r="C56" s="3" t="s">
        <v>63</v>
      </c>
      <c r="D56" s="13">
        <v>346435</v>
      </c>
      <c r="E56" s="13">
        <v>346435</v>
      </c>
      <c r="F56" s="22">
        <f t="shared" si="1"/>
        <v>1.0250857647347228E-3</v>
      </c>
      <c r="G56" s="23">
        <f t="shared" si="2"/>
        <v>54063.1359915434</v>
      </c>
      <c r="H56" s="23">
        <f t="shared" si="3"/>
        <v>400498.13599154342</v>
      </c>
    </row>
    <row r="57" spans="1:8" x14ac:dyDescent="0.2">
      <c r="A57">
        <v>2017</v>
      </c>
      <c r="B57" s="3" t="str">
        <f t="shared" si="0"/>
        <v>4977</v>
      </c>
      <c r="C57" s="3" t="s">
        <v>64</v>
      </c>
      <c r="D57" s="13">
        <v>192019</v>
      </c>
      <c r="E57" s="13">
        <v>192019</v>
      </c>
      <c r="F57" s="22">
        <f t="shared" si="1"/>
        <v>5.6817568507395826E-4</v>
      </c>
      <c r="G57" s="23">
        <f t="shared" si="2"/>
        <v>29965.648130125915</v>
      </c>
      <c r="H57" s="23">
        <f t="shared" si="3"/>
        <v>221984.64813012592</v>
      </c>
    </row>
    <row r="58" spans="1:8" x14ac:dyDescent="0.2">
      <c r="A58">
        <v>2017</v>
      </c>
      <c r="B58" s="3" t="str">
        <f t="shared" si="0"/>
        <v>4978</v>
      </c>
      <c r="C58" s="3" t="s">
        <v>65</v>
      </c>
      <c r="D58" s="13">
        <v>20383903</v>
      </c>
      <c r="E58" s="13">
        <v>20383903</v>
      </c>
      <c r="F58" s="22">
        <f t="shared" si="1"/>
        <v>6.0315062840167445E-2</v>
      </c>
      <c r="G58" s="23">
        <f t="shared" si="2"/>
        <v>3181023.0488473433</v>
      </c>
      <c r="H58" s="23">
        <f t="shared" si="3"/>
        <v>23564926.048847344</v>
      </c>
    </row>
    <row r="59" spans="1:8" x14ac:dyDescent="0.2">
      <c r="A59">
        <v>2017</v>
      </c>
      <c r="B59" s="3" t="str">
        <f t="shared" si="0"/>
        <v>4979</v>
      </c>
      <c r="C59" s="3" t="s">
        <v>66</v>
      </c>
      <c r="D59" s="13">
        <v>76444</v>
      </c>
      <c r="E59" s="13">
        <v>76444</v>
      </c>
      <c r="F59" s="22">
        <f t="shared" si="1"/>
        <v>2.2619439779289374E-4</v>
      </c>
      <c r="G59" s="23">
        <f t="shared" si="2"/>
        <v>11929.517420980974</v>
      </c>
      <c r="H59" s="23">
        <f t="shared" si="3"/>
        <v>88373.517420980977</v>
      </c>
    </row>
    <row r="60" spans="1:8" x14ac:dyDescent="0.2">
      <c r="A60">
        <v>2017</v>
      </c>
      <c r="B60" s="3" t="str">
        <f t="shared" si="0"/>
        <v>4980</v>
      </c>
      <c r="C60" s="3" t="s">
        <v>67</v>
      </c>
      <c r="D60" s="13">
        <v>1826129</v>
      </c>
      <c r="E60" s="13">
        <v>1826129</v>
      </c>
      <c r="F60" s="22">
        <f t="shared" si="1"/>
        <v>5.4034345330848631E-3</v>
      </c>
      <c r="G60" s="23">
        <f t="shared" si="2"/>
        <v>284977.73165269435</v>
      </c>
      <c r="H60" s="23">
        <f t="shared" si="3"/>
        <v>2111106.7316526943</v>
      </c>
    </row>
    <row r="61" spans="1:8" x14ac:dyDescent="0.2">
      <c r="A61">
        <v>2017</v>
      </c>
      <c r="B61" s="3" t="str">
        <f t="shared" si="0"/>
        <v>4981</v>
      </c>
      <c r="C61" s="3" t="s">
        <v>68</v>
      </c>
      <c r="D61" s="13">
        <v>3686963</v>
      </c>
      <c r="E61" s="13">
        <v>3686963</v>
      </c>
      <c r="F61" s="22">
        <f t="shared" si="1"/>
        <v>1.0909559618409306E-2</v>
      </c>
      <c r="G61" s="23">
        <f t="shared" si="2"/>
        <v>575371.37432646484</v>
      </c>
      <c r="H61" s="23">
        <f t="shared" si="3"/>
        <v>4262334.3743264647</v>
      </c>
    </row>
    <row r="62" spans="1:8" x14ac:dyDescent="0.2">
      <c r="A62">
        <v>2017</v>
      </c>
      <c r="B62" s="3" t="str">
        <f t="shared" si="0"/>
        <v>4982</v>
      </c>
      <c r="C62" s="3" t="s">
        <v>69</v>
      </c>
      <c r="D62" s="13">
        <v>35137103</v>
      </c>
      <c r="E62" s="13">
        <v>35137103</v>
      </c>
      <c r="F62" s="22">
        <f t="shared" si="1"/>
        <v>0.10396912580806709</v>
      </c>
      <c r="G62" s="23">
        <f t="shared" si="2"/>
        <v>5483343.1317212973</v>
      </c>
      <c r="H62" s="23">
        <f t="shared" si="3"/>
        <v>40620446.131721295</v>
      </c>
    </row>
    <row r="63" spans="1:8" x14ac:dyDescent="0.2">
      <c r="A63">
        <v>2017</v>
      </c>
      <c r="B63" s="3" t="str">
        <f t="shared" si="0"/>
        <v>4983</v>
      </c>
      <c r="C63" s="3" t="s">
        <v>70</v>
      </c>
      <c r="D63" s="13">
        <v>4604513</v>
      </c>
      <c r="E63" s="13">
        <v>4604513</v>
      </c>
      <c r="F63" s="22">
        <f t="shared" si="1"/>
        <v>1.3624549280055343E-2</v>
      </c>
      <c r="G63" s="23">
        <f t="shared" si="2"/>
        <v>718560.22773053963</v>
      </c>
      <c r="H63" s="23">
        <f t="shared" si="3"/>
        <v>5323073.2277305396</v>
      </c>
    </row>
    <row r="64" spans="1:8" x14ac:dyDescent="0.2">
      <c r="A64">
        <v>2017</v>
      </c>
      <c r="B64" s="3" t="str">
        <f t="shared" si="0"/>
        <v>4984</v>
      </c>
      <c r="C64" s="3" t="s">
        <v>71</v>
      </c>
      <c r="D64" s="13">
        <v>1434322</v>
      </c>
      <c r="E64" s="13">
        <v>1434322</v>
      </c>
      <c r="F64" s="22">
        <f t="shared" si="1"/>
        <v>4.2440950372965693E-3</v>
      </c>
      <c r="G64" s="23">
        <f t="shared" si="2"/>
        <v>223834.03911747516</v>
      </c>
      <c r="H64" s="23">
        <f t="shared" si="3"/>
        <v>1658156.039117475</v>
      </c>
    </row>
    <row r="65" spans="1:8" x14ac:dyDescent="0.2">
      <c r="A65">
        <v>2017</v>
      </c>
      <c r="B65" s="3" t="str">
        <f t="shared" si="0"/>
        <v>4985</v>
      </c>
      <c r="C65" s="3" t="s">
        <v>72</v>
      </c>
      <c r="D65" s="13">
        <v>2987145</v>
      </c>
      <c r="E65" s="13">
        <v>2987145</v>
      </c>
      <c r="F65" s="22">
        <f t="shared" si="1"/>
        <v>8.8388292658031185E-3</v>
      </c>
      <c r="G65" s="23">
        <f t="shared" si="2"/>
        <v>466160.82774967572</v>
      </c>
      <c r="H65" s="23">
        <f t="shared" si="3"/>
        <v>3453305.8277496756</v>
      </c>
    </row>
    <row r="66" spans="1:8" x14ac:dyDescent="0.2">
      <c r="A66">
        <v>2017</v>
      </c>
      <c r="B66" s="3" t="str">
        <f t="shared" si="0"/>
        <v>4986</v>
      </c>
      <c r="C66" s="3" t="s">
        <v>73</v>
      </c>
      <c r="D66" s="13">
        <v>3470010</v>
      </c>
      <c r="E66" s="13">
        <v>3470010</v>
      </c>
      <c r="F66" s="22">
        <f t="shared" si="1"/>
        <v>1.026760533574014E-2</v>
      </c>
      <c r="G66" s="23">
        <f t="shared" si="2"/>
        <v>541514.63484352187</v>
      </c>
      <c r="H66" s="23">
        <f t="shared" si="3"/>
        <v>4011524.6348435218</v>
      </c>
    </row>
    <row r="67" spans="1:8" x14ac:dyDescent="0.2">
      <c r="A67">
        <v>2017</v>
      </c>
      <c r="B67" s="3" t="str">
        <f t="shared" ref="B67:B130" si="4">LEFT(C67,4)</f>
        <v>4987</v>
      </c>
      <c r="C67" s="3" t="s">
        <v>74</v>
      </c>
      <c r="D67" s="13">
        <v>484456</v>
      </c>
      <c r="E67" s="13">
        <v>484456</v>
      </c>
      <c r="F67" s="22">
        <f t="shared" ref="F67:F130" si="5">E67/$D$340</f>
        <v>1.4334837682114245E-3</v>
      </c>
      <c r="G67" s="23">
        <f t="shared" ref="G67:G130" si="6">F67*$D$341</f>
        <v>75602.091618685037</v>
      </c>
      <c r="H67" s="23">
        <f t="shared" ref="H67:H130" si="7">SUM(G67,D67)</f>
        <v>560058.09161868505</v>
      </c>
    </row>
    <row r="68" spans="1:8" x14ac:dyDescent="0.2">
      <c r="A68">
        <v>2017</v>
      </c>
      <c r="B68" s="3" t="str">
        <f t="shared" si="4"/>
        <v>4988</v>
      </c>
      <c r="C68" s="3" t="s">
        <v>75</v>
      </c>
      <c r="D68" s="13">
        <v>1735353</v>
      </c>
      <c r="E68" s="13">
        <v>1735353</v>
      </c>
      <c r="F68" s="22">
        <f t="shared" si="5"/>
        <v>5.1348323844002345E-3</v>
      </c>
      <c r="G68" s="23">
        <f t="shared" si="6"/>
        <v>270811.62478483067</v>
      </c>
      <c r="H68" s="23">
        <f t="shared" si="7"/>
        <v>2006164.6247848307</v>
      </c>
    </row>
    <row r="69" spans="1:8" x14ac:dyDescent="0.2">
      <c r="A69">
        <v>2017</v>
      </c>
      <c r="B69" s="3" t="str">
        <f t="shared" si="4"/>
        <v>4990</v>
      </c>
      <c r="C69" s="3" t="s">
        <v>76</v>
      </c>
      <c r="D69" s="13">
        <v>100402</v>
      </c>
      <c r="E69" s="13">
        <v>100402</v>
      </c>
      <c r="F69" s="22">
        <f t="shared" si="5"/>
        <v>2.9708505477476479E-4</v>
      </c>
      <c r="G69" s="23">
        <f t="shared" si="6"/>
        <v>15668.298468177121</v>
      </c>
      <c r="H69" s="23">
        <f t="shared" si="7"/>
        <v>116070.29846817712</v>
      </c>
    </row>
    <row r="70" spans="1:8" x14ac:dyDescent="0.2">
      <c r="A70">
        <v>2017</v>
      </c>
      <c r="B70" s="3" t="str">
        <f t="shared" si="4"/>
        <v>4991</v>
      </c>
      <c r="C70" s="3" t="s">
        <v>77</v>
      </c>
      <c r="D70" s="13">
        <v>731786</v>
      </c>
      <c r="E70" s="13">
        <v>731786</v>
      </c>
      <c r="F70" s="22">
        <f t="shared" si="5"/>
        <v>2.1653222435151294E-3</v>
      </c>
      <c r="G70" s="23">
        <f t="shared" si="6"/>
        <v>114199.33330843471</v>
      </c>
      <c r="H70" s="23">
        <f t="shared" si="7"/>
        <v>845985.3333084347</v>
      </c>
    </row>
    <row r="71" spans="1:8" x14ac:dyDescent="0.2">
      <c r="A71">
        <v>2017</v>
      </c>
      <c r="B71" s="3" t="str">
        <f t="shared" si="4"/>
        <v>4992</v>
      </c>
      <c r="C71" s="3" t="s">
        <v>78</v>
      </c>
      <c r="D71" s="13">
        <v>175930</v>
      </c>
      <c r="E71" s="13">
        <v>175930</v>
      </c>
      <c r="F71" s="22">
        <f t="shared" si="5"/>
        <v>5.2056904928710946E-4</v>
      </c>
      <c r="G71" s="23">
        <f t="shared" si="6"/>
        <v>27454.868921997575</v>
      </c>
      <c r="H71" s="23">
        <f t="shared" si="7"/>
        <v>203384.86892199758</v>
      </c>
    </row>
    <row r="72" spans="1:8" x14ac:dyDescent="0.2">
      <c r="A72">
        <v>2017</v>
      </c>
      <c r="B72" s="3" t="str">
        <f t="shared" si="4"/>
        <v>4993</v>
      </c>
      <c r="C72" s="3" t="s">
        <v>79</v>
      </c>
      <c r="D72" s="13">
        <v>617210</v>
      </c>
      <c r="E72" s="13">
        <v>617210</v>
      </c>
      <c r="F72" s="22">
        <f t="shared" si="5"/>
        <v>1.8262969528249694E-3</v>
      </c>
      <c r="G72" s="23">
        <f t="shared" si="6"/>
        <v>96319.10218465369</v>
      </c>
      <c r="H72" s="23">
        <f t="shared" si="7"/>
        <v>713529.10218465375</v>
      </c>
    </row>
    <row r="73" spans="1:8" x14ac:dyDescent="0.2">
      <c r="A73">
        <v>2017</v>
      </c>
      <c r="B73" s="3" t="str">
        <f t="shared" si="4"/>
        <v>4994</v>
      </c>
      <c r="C73" s="3" t="s">
        <v>80</v>
      </c>
      <c r="D73" s="13">
        <v>146810</v>
      </c>
      <c r="E73" s="13">
        <v>146810</v>
      </c>
      <c r="F73" s="22">
        <f t="shared" si="5"/>
        <v>4.3440426377445887E-4</v>
      </c>
      <c r="G73" s="23">
        <f t="shared" si="6"/>
        <v>22910.528655933977</v>
      </c>
      <c r="H73" s="23">
        <f t="shared" si="7"/>
        <v>169720.52865593397</v>
      </c>
    </row>
    <row r="74" spans="1:8" x14ac:dyDescent="0.2">
      <c r="A74">
        <v>2017</v>
      </c>
      <c r="B74" s="3" t="str">
        <f t="shared" si="4"/>
        <v>4995</v>
      </c>
      <c r="C74" s="3" t="s">
        <v>81</v>
      </c>
      <c r="D74" s="13">
        <v>598772</v>
      </c>
      <c r="E74" s="13">
        <v>598772</v>
      </c>
      <c r="F74" s="22">
        <f t="shared" si="5"/>
        <v>1.7717397304595074E-3</v>
      </c>
      <c r="G74" s="23">
        <f t="shared" si="6"/>
        <v>93441.74827580477</v>
      </c>
      <c r="H74" s="23">
        <f t="shared" si="7"/>
        <v>692213.7482758048</v>
      </c>
    </row>
    <row r="75" spans="1:8" x14ac:dyDescent="0.2">
      <c r="A75">
        <v>2017</v>
      </c>
      <c r="B75" s="3" t="str">
        <f t="shared" si="4"/>
        <v>4996</v>
      </c>
      <c r="C75" s="3" t="s">
        <v>82</v>
      </c>
      <c r="D75" s="13">
        <v>187741</v>
      </c>
      <c r="E75" s="13">
        <v>187741</v>
      </c>
      <c r="F75" s="22">
        <f t="shared" si="5"/>
        <v>5.5551727324624123E-4</v>
      </c>
      <c r="G75" s="23">
        <f t="shared" si="6"/>
        <v>29298.042097906819</v>
      </c>
      <c r="H75" s="23">
        <f t="shared" si="7"/>
        <v>217039.04209790681</v>
      </c>
    </row>
    <row r="76" spans="1:8" x14ac:dyDescent="0.2">
      <c r="A76">
        <v>2017</v>
      </c>
      <c r="B76" s="3" t="str">
        <f t="shared" si="4"/>
        <v>4997</v>
      </c>
      <c r="C76" s="3" t="s">
        <v>83</v>
      </c>
      <c r="D76" s="13">
        <v>2692478</v>
      </c>
      <c r="E76" s="13">
        <v>2692478</v>
      </c>
      <c r="F76" s="22">
        <f t="shared" si="5"/>
        <v>7.966922711797067E-3</v>
      </c>
      <c r="G76" s="23">
        <f t="shared" si="6"/>
        <v>420176.3801816756</v>
      </c>
      <c r="H76" s="23">
        <f t="shared" si="7"/>
        <v>3112654.3801816758</v>
      </c>
    </row>
    <row r="77" spans="1:8" x14ac:dyDescent="0.2">
      <c r="A77">
        <v>2017</v>
      </c>
      <c r="B77" s="3" t="str">
        <f t="shared" si="4"/>
        <v>4998</v>
      </c>
      <c r="C77" s="3" t="s">
        <v>84</v>
      </c>
      <c r="D77" s="13">
        <v>362767</v>
      </c>
      <c r="E77" s="13">
        <v>362767</v>
      </c>
      <c r="F77" s="22">
        <f t="shared" si="5"/>
        <v>1.0734114267193591E-3</v>
      </c>
      <c r="G77" s="23">
        <f t="shared" si="6"/>
        <v>56611.836720435938</v>
      </c>
      <c r="H77" s="23">
        <f t="shared" si="7"/>
        <v>419378.83672043594</v>
      </c>
    </row>
    <row r="78" spans="1:8" x14ac:dyDescent="0.2">
      <c r="A78">
        <v>2017</v>
      </c>
      <c r="B78" s="3" t="str">
        <f t="shared" si="4"/>
        <v>4999</v>
      </c>
      <c r="C78" s="3" t="s">
        <v>352</v>
      </c>
      <c r="D78" s="13">
        <v>4753263</v>
      </c>
      <c r="E78" s="13">
        <v>4753263</v>
      </c>
      <c r="F78" s="22">
        <f t="shared" si="5"/>
        <v>1.4064693917589917E-2</v>
      </c>
      <c r="G78" s="23">
        <f t="shared" si="6"/>
        <v>741773.50433002319</v>
      </c>
      <c r="H78" s="23">
        <f t="shared" si="7"/>
        <v>5495036.5043300232</v>
      </c>
    </row>
    <row r="79" spans="1:8" x14ac:dyDescent="0.2">
      <c r="A79">
        <v>2017</v>
      </c>
      <c r="B79" s="3" t="str">
        <f t="shared" si="4"/>
        <v>5000</v>
      </c>
      <c r="C79" s="3" t="s">
        <v>86</v>
      </c>
      <c r="D79" s="13">
        <v>2793449</v>
      </c>
      <c r="E79" s="13">
        <v>2793449</v>
      </c>
      <c r="F79" s="22">
        <f t="shared" si="5"/>
        <v>8.2656914122777626E-3</v>
      </c>
      <c r="G79" s="23">
        <f t="shared" si="6"/>
        <v>435933.47430958453</v>
      </c>
      <c r="H79" s="23">
        <f t="shared" si="7"/>
        <v>3229382.4743095846</v>
      </c>
    </row>
    <row r="80" spans="1:8" x14ac:dyDescent="0.2">
      <c r="A80">
        <v>2017</v>
      </c>
      <c r="B80" s="3" t="str">
        <f t="shared" si="4"/>
        <v>5001</v>
      </c>
      <c r="C80" s="3" t="s">
        <v>87</v>
      </c>
      <c r="D80" s="13">
        <v>198971</v>
      </c>
      <c r="E80" s="13">
        <v>198971</v>
      </c>
      <c r="F80" s="22">
        <f t="shared" si="5"/>
        <v>5.8874634403288499E-4</v>
      </c>
      <c r="G80" s="23">
        <f t="shared" si="6"/>
        <v>31050.546946392198</v>
      </c>
      <c r="H80" s="23">
        <f t="shared" si="7"/>
        <v>230021.54694639219</v>
      </c>
    </row>
    <row r="81" spans="1:8" x14ac:dyDescent="0.2">
      <c r="A81">
        <v>2017</v>
      </c>
      <c r="B81" s="3" t="str">
        <f t="shared" si="4"/>
        <v>5002</v>
      </c>
      <c r="C81" s="3" t="s">
        <v>88</v>
      </c>
      <c r="D81" s="13">
        <v>78618</v>
      </c>
      <c r="E81" s="13">
        <v>78618</v>
      </c>
      <c r="F81" s="22">
        <f t="shared" si="5"/>
        <v>2.3262716715087805E-4</v>
      </c>
      <c r="G81" s="23">
        <f t="shared" si="6"/>
        <v>12268.782384525695</v>
      </c>
      <c r="H81" s="23">
        <f t="shared" si="7"/>
        <v>90886.782384525693</v>
      </c>
    </row>
    <row r="82" spans="1:8" x14ac:dyDescent="0.2">
      <c r="A82">
        <v>2017</v>
      </c>
      <c r="B82" s="3" t="str">
        <f t="shared" si="4"/>
        <v>5004</v>
      </c>
      <c r="C82" s="3" t="s">
        <v>89</v>
      </c>
      <c r="D82" s="13">
        <v>887054</v>
      </c>
      <c r="E82" s="13">
        <v>887054</v>
      </c>
      <c r="F82" s="22">
        <f t="shared" si="5"/>
        <v>2.6247533533014702E-3</v>
      </c>
      <c r="G82" s="23">
        <f t="shared" si="6"/>
        <v>138429.78057598841</v>
      </c>
      <c r="H82" s="23">
        <f t="shared" si="7"/>
        <v>1025483.7805759883</v>
      </c>
    </row>
    <row r="83" spans="1:8" x14ac:dyDescent="0.2">
      <c r="A83">
        <v>2017</v>
      </c>
      <c r="B83" s="3" t="str">
        <f t="shared" si="4"/>
        <v>5005</v>
      </c>
      <c r="C83" s="3" t="s">
        <v>90</v>
      </c>
      <c r="D83" s="13">
        <v>478190</v>
      </c>
      <c r="E83" s="13">
        <v>478190</v>
      </c>
      <c r="F83" s="22">
        <f t="shared" si="5"/>
        <v>1.414942952757363E-3</v>
      </c>
      <c r="G83" s="23">
        <f t="shared" si="6"/>
        <v>74624.246972148132</v>
      </c>
      <c r="H83" s="23">
        <f t="shared" si="7"/>
        <v>552814.24697214807</v>
      </c>
    </row>
    <row r="84" spans="1:8" x14ac:dyDescent="0.2">
      <c r="A84">
        <v>2017</v>
      </c>
      <c r="B84" s="3" t="str">
        <f t="shared" si="4"/>
        <v>5006</v>
      </c>
      <c r="C84" s="3" t="s">
        <v>91</v>
      </c>
      <c r="D84" s="13">
        <v>182185</v>
      </c>
      <c r="E84" s="13">
        <v>182185</v>
      </c>
      <c r="F84" s="22">
        <f t="shared" si="5"/>
        <v>5.3907731623016001E-4</v>
      </c>
      <c r="G84" s="23">
        <f t="shared" si="6"/>
        <v>28430.996956483425</v>
      </c>
      <c r="H84" s="23">
        <f t="shared" si="7"/>
        <v>210615.99695648343</v>
      </c>
    </row>
    <row r="85" spans="1:8" x14ac:dyDescent="0.2">
      <c r="A85">
        <v>2017</v>
      </c>
      <c r="B85" s="3" t="str">
        <f t="shared" si="4"/>
        <v>5007</v>
      </c>
      <c r="C85" s="3" t="s">
        <v>143</v>
      </c>
      <c r="D85" s="13">
        <v>124452</v>
      </c>
      <c r="E85" s="13">
        <v>124452</v>
      </c>
      <c r="F85" s="22">
        <f t="shared" si="5"/>
        <v>3.6824793566690928E-4</v>
      </c>
      <c r="G85" s="23">
        <f t="shared" si="6"/>
        <v>19421.436634345719</v>
      </c>
      <c r="H85" s="23">
        <f t="shared" si="7"/>
        <v>143873.43663434571</v>
      </c>
    </row>
    <row r="86" spans="1:8" x14ac:dyDescent="0.2">
      <c r="A86">
        <v>2017</v>
      </c>
      <c r="B86" s="3" t="str">
        <f t="shared" si="4"/>
        <v>5008</v>
      </c>
      <c r="C86" s="3" t="s">
        <v>92</v>
      </c>
      <c r="D86" s="13">
        <v>505140</v>
      </c>
      <c r="E86" s="13">
        <v>505140</v>
      </c>
      <c r="F86" s="22">
        <f t="shared" si="5"/>
        <v>1.4946868047342153E-3</v>
      </c>
      <c r="G86" s="23">
        <f t="shared" si="6"/>
        <v>78829.946497231038</v>
      </c>
      <c r="H86" s="23">
        <f t="shared" si="7"/>
        <v>583969.94649723102</v>
      </c>
    </row>
    <row r="87" spans="1:8" x14ac:dyDescent="0.2">
      <c r="A87">
        <v>2017</v>
      </c>
      <c r="B87" s="3" t="str">
        <f t="shared" si="4"/>
        <v>5010</v>
      </c>
      <c r="C87" s="3" t="s">
        <v>93</v>
      </c>
      <c r="D87" s="13">
        <v>1168166</v>
      </c>
      <c r="E87" s="13">
        <v>1168166</v>
      </c>
      <c r="F87" s="22">
        <f t="shared" si="5"/>
        <v>3.4565512648753799E-3</v>
      </c>
      <c r="G87" s="23">
        <f t="shared" si="6"/>
        <v>182298.89393016667</v>
      </c>
      <c r="H87" s="23">
        <f t="shared" si="7"/>
        <v>1350464.8939301667</v>
      </c>
    </row>
    <row r="88" spans="1:8" x14ac:dyDescent="0.2">
      <c r="A88">
        <v>2017</v>
      </c>
      <c r="B88" s="3" t="str">
        <f t="shared" si="4"/>
        <v>5011</v>
      </c>
      <c r="C88" s="3" t="s">
        <v>94</v>
      </c>
      <c r="D88" s="13">
        <v>386739</v>
      </c>
      <c r="E88" s="13">
        <v>386739</v>
      </c>
      <c r="F88" s="22">
        <f t="shared" si="5"/>
        <v>1.1443435090788805E-3</v>
      </c>
      <c r="G88" s="23">
        <f t="shared" si="6"/>
        <v>60352.802546606159</v>
      </c>
      <c r="H88" s="23">
        <f t="shared" si="7"/>
        <v>447091.80254660617</v>
      </c>
    </row>
    <row r="89" spans="1:8" x14ac:dyDescent="0.2">
      <c r="A89">
        <v>2017</v>
      </c>
      <c r="B89" s="3" t="str">
        <f t="shared" si="4"/>
        <v>5012</v>
      </c>
      <c r="C89" s="3" t="s">
        <v>95</v>
      </c>
      <c r="D89" s="13">
        <v>244959</v>
      </c>
      <c r="E89" s="13">
        <v>244959</v>
      </c>
      <c r="F89" s="22">
        <f t="shared" si="5"/>
        <v>7.2482279170306971E-4</v>
      </c>
      <c r="G89" s="23">
        <f t="shared" si="6"/>
        <v>38227.233764926983</v>
      </c>
      <c r="H89" s="23">
        <f t="shared" si="7"/>
        <v>283186.23376492696</v>
      </c>
    </row>
    <row r="90" spans="1:8" x14ac:dyDescent="0.2">
      <c r="A90">
        <v>2017</v>
      </c>
      <c r="B90" s="3" t="str">
        <f t="shared" si="4"/>
        <v>5013</v>
      </c>
      <c r="C90" s="3" t="s">
        <v>96</v>
      </c>
      <c r="D90" s="13">
        <v>4626910</v>
      </c>
      <c r="E90" s="13">
        <v>4626910</v>
      </c>
      <c r="F90" s="22">
        <f t="shared" si="5"/>
        <v>1.3690821007429204E-2</v>
      </c>
      <c r="G90" s="23">
        <f t="shared" si="6"/>
        <v>722055.40592212707</v>
      </c>
      <c r="H90" s="23">
        <f t="shared" si="7"/>
        <v>5348965.405922127</v>
      </c>
    </row>
    <row r="91" spans="1:8" x14ac:dyDescent="0.2">
      <c r="A91">
        <v>2017</v>
      </c>
      <c r="B91" s="3" t="str">
        <f t="shared" si="4"/>
        <v>5014</v>
      </c>
      <c r="C91" s="3" t="s">
        <v>97</v>
      </c>
      <c r="D91" s="13">
        <v>1182900</v>
      </c>
      <c r="E91" s="13">
        <v>1182900</v>
      </c>
      <c r="F91" s="22">
        <f t="shared" si="5"/>
        <v>3.5001485158967873E-3</v>
      </c>
      <c r="G91" s="23">
        <f t="shared" si="6"/>
        <v>184598.21774473332</v>
      </c>
      <c r="H91" s="23">
        <f t="shared" si="7"/>
        <v>1367498.2177447332</v>
      </c>
    </row>
    <row r="92" spans="1:8" x14ac:dyDescent="0.2">
      <c r="A92">
        <v>2017</v>
      </c>
      <c r="B92" s="3" t="str">
        <f t="shared" si="4"/>
        <v>5015</v>
      </c>
      <c r="C92" s="3" t="s">
        <v>98</v>
      </c>
      <c r="D92" s="13">
        <v>316889</v>
      </c>
      <c r="E92" s="13">
        <v>316889</v>
      </c>
      <c r="F92" s="22">
        <f t="shared" si="5"/>
        <v>9.3766046415928402E-4</v>
      </c>
      <c r="G92" s="23">
        <f t="shared" si="6"/>
        <v>49452.316022411695</v>
      </c>
      <c r="H92" s="23">
        <f t="shared" si="7"/>
        <v>366341.31602241169</v>
      </c>
    </row>
    <row r="93" spans="1:8" x14ac:dyDescent="0.2">
      <c r="A93">
        <v>2017</v>
      </c>
      <c r="B93" s="3" t="str">
        <f t="shared" si="4"/>
        <v>5016</v>
      </c>
      <c r="C93" s="3" t="s">
        <v>99</v>
      </c>
      <c r="D93" s="13">
        <v>411709</v>
      </c>
      <c r="E93" s="13">
        <v>411709</v>
      </c>
      <c r="F93" s="22">
        <f t="shared" si="5"/>
        <v>1.2182286290737599E-3</v>
      </c>
      <c r="G93" s="23">
        <f t="shared" si="6"/>
        <v>64249.511902499296</v>
      </c>
      <c r="H93" s="23">
        <f t="shared" si="7"/>
        <v>475958.5119024993</v>
      </c>
    </row>
    <row r="94" spans="1:8" x14ac:dyDescent="0.2">
      <c r="A94">
        <v>2017</v>
      </c>
      <c r="B94" s="3" t="str">
        <f t="shared" si="4"/>
        <v>5017</v>
      </c>
      <c r="C94" s="3" t="s">
        <v>100</v>
      </c>
      <c r="D94" s="13">
        <v>2615248</v>
      </c>
      <c r="E94" s="13">
        <v>2615248</v>
      </c>
      <c r="F94" s="22">
        <f t="shared" si="5"/>
        <v>7.7384025749446632E-3</v>
      </c>
      <c r="G94" s="23">
        <f t="shared" si="6"/>
        <v>408124.20302686479</v>
      </c>
      <c r="H94" s="23">
        <f t="shared" si="7"/>
        <v>3023372.2030268647</v>
      </c>
    </row>
    <row r="95" spans="1:8" x14ac:dyDescent="0.2">
      <c r="A95">
        <v>2017</v>
      </c>
      <c r="B95" s="3" t="str">
        <f t="shared" si="4"/>
        <v>5018</v>
      </c>
      <c r="C95" s="3" t="s">
        <v>101</v>
      </c>
      <c r="D95" s="13">
        <v>195558</v>
      </c>
      <c r="E95" s="13">
        <v>195558</v>
      </c>
      <c r="F95" s="22">
        <f t="shared" si="5"/>
        <v>5.7864742875284806E-4</v>
      </c>
      <c r="G95" s="23">
        <f t="shared" si="6"/>
        <v>30517.929043642369</v>
      </c>
      <c r="H95" s="23">
        <f t="shared" si="7"/>
        <v>226075.92904364236</v>
      </c>
    </row>
    <row r="96" spans="1:8" x14ac:dyDescent="0.2">
      <c r="A96">
        <v>2017</v>
      </c>
      <c r="B96" s="3" t="str">
        <f t="shared" si="4"/>
        <v>5019</v>
      </c>
      <c r="C96" s="3" t="s">
        <v>102</v>
      </c>
      <c r="D96" s="13">
        <v>1753283</v>
      </c>
      <c r="E96" s="13">
        <v>1753283</v>
      </c>
      <c r="F96" s="22">
        <f t="shared" si="5"/>
        <v>5.1878864573480996E-3</v>
      </c>
      <c r="G96" s="23">
        <f t="shared" si="6"/>
        <v>273609.70242804906</v>
      </c>
      <c r="H96" s="23">
        <f t="shared" si="7"/>
        <v>2026892.7024280489</v>
      </c>
    </row>
    <row r="97" spans="1:8" x14ac:dyDescent="0.2">
      <c r="A97">
        <v>2017</v>
      </c>
      <c r="B97" s="3" t="str">
        <f t="shared" si="4"/>
        <v>5020</v>
      </c>
      <c r="C97" s="3" t="s">
        <v>103</v>
      </c>
      <c r="D97" s="13">
        <v>5988714</v>
      </c>
      <c r="E97" s="13">
        <v>5988714</v>
      </c>
      <c r="F97" s="22">
        <f t="shared" si="5"/>
        <v>1.7720338506408244E-2</v>
      </c>
      <c r="G97" s="23">
        <f t="shared" si="6"/>
        <v>934572.60206520651</v>
      </c>
      <c r="H97" s="23">
        <f t="shared" si="7"/>
        <v>6923286.6020652065</v>
      </c>
    </row>
    <row r="98" spans="1:8" x14ac:dyDescent="0.2">
      <c r="A98">
        <v>2017</v>
      </c>
      <c r="B98" s="3" t="str">
        <f t="shared" si="4"/>
        <v>5021</v>
      </c>
      <c r="C98" s="3" t="s">
        <v>104</v>
      </c>
      <c r="D98" s="13">
        <v>183292</v>
      </c>
      <c r="E98" s="13">
        <v>183292</v>
      </c>
      <c r="F98" s="22">
        <f t="shared" si="5"/>
        <v>5.4235288002008118E-4</v>
      </c>
      <c r="G98" s="23">
        <f t="shared" si="6"/>
        <v>28603.750551075882</v>
      </c>
      <c r="H98" s="23">
        <f t="shared" si="7"/>
        <v>211895.75055107588</v>
      </c>
    </row>
    <row r="99" spans="1:8" x14ac:dyDescent="0.2">
      <c r="A99">
        <v>2017</v>
      </c>
      <c r="B99" s="3" t="str">
        <f t="shared" si="4"/>
        <v>5022</v>
      </c>
      <c r="C99" s="3" t="s">
        <v>105</v>
      </c>
      <c r="D99" s="13">
        <v>3323897</v>
      </c>
      <c r="E99" s="13">
        <v>3323897</v>
      </c>
      <c r="F99" s="22">
        <f t="shared" si="5"/>
        <v>9.8352634639815566E-3</v>
      </c>
      <c r="G99" s="23">
        <f t="shared" si="6"/>
        <v>518712.87696936831</v>
      </c>
      <c r="H99" s="23">
        <f t="shared" si="7"/>
        <v>3842609.8769693682</v>
      </c>
    </row>
    <row r="100" spans="1:8" x14ac:dyDescent="0.2">
      <c r="A100">
        <v>2017</v>
      </c>
      <c r="B100" s="3" t="str">
        <f t="shared" si="4"/>
        <v>5024</v>
      </c>
      <c r="C100" s="3" t="s">
        <v>106</v>
      </c>
      <c r="D100" s="13">
        <v>389362</v>
      </c>
      <c r="E100" s="13">
        <v>389362</v>
      </c>
      <c r="F100" s="22">
        <f t="shared" si="5"/>
        <v>1.1521048494772211E-3</v>
      </c>
      <c r="G100" s="23">
        <f t="shared" si="6"/>
        <v>60762.136492962083</v>
      </c>
      <c r="H100" s="23">
        <f t="shared" si="7"/>
        <v>450124.13649296208</v>
      </c>
    </row>
    <row r="101" spans="1:8" x14ac:dyDescent="0.2">
      <c r="A101">
        <v>2017</v>
      </c>
      <c r="B101" s="3" t="str">
        <f t="shared" si="4"/>
        <v>5025</v>
      </c>
      <c r="C101" s="3" t="s">
        <v>107</v>
      </c>
      <c r="D101" s="13">
        <v>1271033</v>
      </c>
      <c r="E101" s="13">
        <v>1271033</v>
      </c>
      <c r="F101" s="22">
        <f t="shared" si="5"/>
        <v>3.7609301450721461E-3</v>
      </c>
      <c r="G101" s="23">
        <f t="shared" si="6"/>
        <v>198351.86955342095</v>
      </c>
      <c r="H101" s="23">
        <f t="shared" si="7"/>
        <v>1469384.8695534209</v>
      </c>
    </row>
    <row r="102" spans="1:8" x14ac:dyDescent="0.2">
      <c r="A102">
        <v>2017</v>
      </c>
      <c r="B102" s="3" t="str">
        <f t="shared" si="4"/>
        <v>5026</v>
      </c>
      <c r="C102" s="3" t="s">
        <v>108</v>
      </c>
      <c r="D102" s="13">
        <v>324631</v>
      </c>
      <c r="E102" s="13">
        <v>324631</v>
      </c>
      <c r="F102" s="22">
        <f t="shared" si="5"/>
        <v>9.6056869799990697E-4</v>
      </c>
      <c r="G102" s="23">
        <f t="shared" si="6"/>
        <v>50660.498795071871</v>
      </c>
      <c r="H102" s="23">
        <f t="shared" si="7"/>
        <v>375291.49879507185</v>
      </c>
    </row>
    <row r="103" spans="1:8" x14ac:dyDescent="0.2">
      <c r="A103">
        <v>2017</v>
      </c>
      <c r="B103" s="3" t="str">
        <f t="shared" si="4"/>
        <v>5027</v>
      </c>
      <c r="C103" s="3" t="s">
        <v>109</v>
      </c>
      <c r="D103" s="13">
        <v>3996066</v>
      </c>
      <c r="E103" s="13">
        <v>3996066</v>
      </c>
      <c r="F103" s="22">
        <f t="shared" si="5"/>
        <v>1.1824181654683923E-2</v>
      </c>
      <c r="G103" s="23">
        <f t="shared" si="6"/>
        <v>623608.6411280121</v>
      </c>
      <c r="H103" s="23">
        <f t="shared" si="7"/>
        <v>4619674.641128012</v>
      </c>
    </row>
    <row r="104" spans="1:8" x14ac:dyDescent="0.2">
      <c r="A104">
        <v>2017</v>
      </c>
      <c r="B104" s="3" t="str">
        <f t="shared" si="4"/>
        <v>5028</v>
      </c>
      <c r="C104" s="3" t="s">
        <v>110</v>
      </c>
      <c r="D104" s="13">
        <v>981719</v>
      </c>
      <c r="E104" s="13">
        <v>981719</v>
      </c>
      <c r="F104" s="22">
        <f t="shared" si="5"/>
        <v>2.9048628801062459E-3</v>
      </c>
      <c r="G104" s="23">
        <f t="shared" si="6"/>
        <v>153202.78783172023</v>
      </c>
      <c r="H104" s="23">
        <f t="shared" si="7"/>
        <v>1134921.7878317202</v>
      </c>
    </row>
    <row r="105" spans="1:8" x14ac:dyDescent="0.2">
      <c r="A105">
        <v>2017</v>
      </c>
      <c r="B105" s="3" t="str">
        <f t="shared" si="4"/>
        <v>5029</v>
      </c>
      <c r="C105" s="3" t="s">
        <v>111</v>
      </c>
      <c r="D105" s="13">
        <v>434944</v>
      </c>
      <c r="E105" s="13">
        <v>434944</v>
      </c>
      <c r="F105" s="22">
        <f t="shared" si="5"/>
        <v>1.2869799611955467E-3</v>
      </c>
      <c r="G105" s="23">
        <f t="shared" si="6"/>
        <v>67875.464721248863</v>
      </c>
      <c r="H105" s="23">
        <f t="shared" si="7"/>
        <v>502819.46472124883</v>
      </c>
    </row>
    <row r="106" spans="1:8" x14ac:dyDescent="0.2">
      <c r="A106">
        <v>2017</v>
      </c>
      <c r="B106" s="3" t="str">
        <f t="shared" si="4"/>
        <v>5031</v>
      </c>
      <c r="C106" s="3" t="s">
        <v>112</v>
      </c>
      <c r="D106" s="13">
        <v>6721269</v>
      </c>
      <c r="E106" s="13">
        <v>6721269</v>
      </c>
      <c r="F106" s="22">
        <f t="shared" si="5"/>
        <v>1.9887936186738595E-2</v>
      </c>
      <c r="G106" s="23">
        <f t="shared" si="6"/>
        <v>1048891.942161574</v>
      </c>
      <c r="H106" s="23">
        <f t="shared" si="7"/>
        <v>7770160.942161574</v>
      </c>
    </row>
    <row r="107" spans="1:8" x14ac:dyDescent="0.2">
      <c r="A107">
        <v>2017</v>
      </c>
      <c r="B107" s="3" t="str">
        <f t="shared" si="4"/>
        <v>5032</v>
      </c>
      <c r="C107" s="3" t="s">
        <v>359</v>
      </c>
      <c r="D107" s="13">
        <v>577499</v>
      </c>
      <c r="E107" s="13">
        <v>577499</v>
      </c>
      <c r="F107" s="22">
        <f t="shared" si="5"/>
        <v>1.7087938691198569E-3</v>
      </c>
      <c r="G107" s="23">
        <f t="shared" si="6"/>
        <v>90121.976624706862</v>
      </c>
      <c r="H107" s="23">
        <f t="shared" si="7"/>
        <v>667620.97662470688</v>
      </c>
    </row>
    <row r="108" spans="1:8" x14ac:dyDescent="0.2">
      <c r="A108">
        <v>2017</v>
      </c>
      <c r="B108" s="3" t="str">
        <f t="shared" si="4"/>
        <v>5033</v>
      </c>
      <c r="C108" s="3" t="s">
        <v>114</v>
      </c>
      <c r="D108" s="13">
        <v>405268</v>
      </c>
      <c r="E108" s="13">
        <v>405268</v>
      </c>
      <c r="F108" s="22">
        <f t="shared" si="5"/>
        <v>1.1991699963990695E-3</v>
      </c>
      <c r="G108" s="23">
        <f t="shared" si="6"/>
        <v>63244.357518786528</v>
      </c>
      <c r="H108" s="23">
        <f t="shared" si="7"/>
        <v>468512.35751878651</v>
      </c>
    </row>
    <row r="109" spans="1:8" x14ac:dyDescent="0.2">
      <c r="A109">
        <v>2017</v>
      </c>
      <c r="B109" s="3" t="str">
        <f t="shared" si="4"/>
        <v>5034</v>
      </c>
      <c r="C109" s="3" t="s">
        <v>115</v>
      </c>
      <c r="D109" s="13">
        <v>205116</v>
      </c>
      <c r="E109" s="13">
        <v>205116</v>
      </c>
      <c r="F109" s="22">
        <f t="shared" si="5"/>
        <v>6.0692912586582588E-4</v>
      </c>
      <c r="G109" s="23">
        <f t="shared" si="6"/>
        <v>32009.508860367503</v>
      </c>
      <c r="H109" s="23">
        <f t="shared" si="7"/>
        <v>237125.5088603675</v>
      </c>
    </row>
    <row r="110" spans="1:8" x14ac:dyDescent="0.2">
      <c r="A110">
        <v>2017</v>
      </c>
      <c r="B110" s="3" t="str">
        <f t="shared" si="4"/>
        <v>5035</v>
      </c>
      <c r="C110" s="3" t="s">
        <v>116</v>
      </c>
      <c r="D110" s="13">
        <v>1027898</v>
      </c>
      <c r="E110" s="13">
        <v>1027898</v>
      </c>
      <c r="F110" s="22">
        <f t="shared" si="5"/>
        <v>3.0415044882858028E-3</v>
      </c>
      <c r="G110" s="23">
        <f t="shared" si="6"/>
        <v>160409.28127768694</v>
      </c>
      <c r="H110" s="23">
        <f t="shared" si="7"/>
        <v>1188307.2812776868</v>
      </c>
    </row>
    <row r="111" spans="1:8" x14ac:dyDescent="0.2">
      <c r="A111">
        <v>2017</v>
      </c>
      <c r="B111" s="3" t="str">
        <f t="shared" si="4"/>
        <v>5036</v>
      </c>
      <c r="C111" s="3" t="s">
        <v>117</v>
      </c>
      <c r="D111" s="13">
        <v>545963</v>
      </c>
      <c r="E111" s="13">
        <v>545963</v>
      </c>
      <c r="F111" s="22">
        <f t="shared" si="5"/>
        <v>1.6154802470069809E-3</v>
      </c>
      <c r="G111" s="23">
        <f t="shared" si="6"/>
        <v>85200.60592997534</v>
      </c>
      <c r="H111" s="23">
        <f t="shared" si="7"/>
        <v>631163.6059299754</v>
      </c>
    </row>
    <row r="112" spans="1:8" x14ac:dyDescent="0.2">
      <c r="A112">
        <v>2017</v>
      </c>
      <c r="B112" s="3" t="str">
        <f t="shared" si="4"/>
        <v>5037</v>
      </c>
      <c r="C112" s="3" t="s">
        <v>118</v>
      </c>
      <c r="D112" s="13">
        <v>2121477</v>
      </c>
      <c r="E112" s="13">
        <v>2121477</v>
      </c>
      <c r="F112" s="22">
        <f t="shared" si="5"/>
        <v>6.2773561358180482E-3</v>
      </c>
      <c r="G112" s="23">
        <f t="shared" si="6"/>
        <v>331068.45311221882</v>
      </c>
      <c r="H112" s="23">
        <f t="shared" si="7"/>
        <v>2452545.453112219</v>
      </c>
    </row>
    <row r="113" spans="1:8" x14ac:dyDescent="0.2">
      <c r="A113">
        <v>2017</v>
      </c>
      <c r="B113" s="3" t="str">
        <f t="shared" si="4"/>
        <v>5038</v>
      </c>
      <c r="C113" s="3" t="s">
        <v>119</v>
      </c>
      <c r="D113" s="13">
        <v>243655</v>
      </c>
      <c r="E113" s="13">
        <v>243655</v>
      </c>
      <c r="F113" s="22">
        <f t="shared" si="5"/>
        <v>7.2096431367049772E-4</v>
      </c>
      <c r="G113" s="23">
        <f t="shared" si="6"/>
        <v>38023.737209056555</v>
      </c>
      <c r="H113" s="23">
        <f t="shared" si="7"/>
        <v>281678.73720905656</v>
      </c>
    </row>
    <row r="114" spans="1:8" x14ac:dyDescent="0.2">
      <c r="A114">
        <v>2017</v>
      </c>
      <c r="B114" s="3" t="str">
        <f t="shared" si="4"/>
        <v>5039</v>
      </c>
      <c r="C114" s="3" t="s">
        <v>120</v>
      </c>
      <c r="D114" s="13">
        <v>318803</v>
      </c>
      <c r="E114" s="13">
        <v>318803</v>
      </c>
      <c r="F114" s="22">
        <f t="shared" si="5"/>
        <v>9.4332390507519104E-4</v>
      </c>
      <c r="G114" s="23">
        <f t="shared" si="6"/>
        <v>49751.006519295137</v>
      </c>
      <c r="H114" s="23">
        <f t="shared" si="7"/>
        <v>368554.00651929516</v>
      </c>
    </row>
    <row r="115" spans="1:8" x14ac:dyDescent="0.2">
      <c r="A115">
        <v>2017</v>
      </c>
      <c r="B115" s="3" t="str">
        <f t="shared" si="4"/>
        <v>5040</v>
      </c>
      <c r="C115" s="3" t="s">
        <v>121</v>
      </c>
      <c r="D115" s="13">
        <v>987677</v>
      </c>
      <c r="E115" s="13">
        <v>987677</v>
      </c>
      <c r="F115" s="22">
        <f t="shared" si="5"/>
        <v>2.9224923372520003E-3</v>
      </c>
      <c r="G115" s="23">
        <f t="shared" si="6"/>
        <v>154132.56734082761</v>
      </c>
      <c r="H115" s="23">
        <f t="shared" si="7"/>
        <v>1141809.5673408275</v>
      </c>
    </row>
    <row r="116" spans="1:8" x14ac:dyDescent="0.2">
      <c r="A116">
        <v>2017</v>
      </c>
      <c r="B116" s="3" t="str">
        <f t="shared" si="4"/>
        <v>5041</v>
      </c>
      <c r="C116" s="3" t="s">
        <v>122</v>
      </c>
      <c r="D116" s="13">
        <v>5322800</v>
      </c>
      <c r="E116" s="13">
        <v>5322800</v>
      </c>
      <c r="F116" s="22">
        <f t="shared" si="5"/>
        <v>1.5749928582648932E-2</v>
      </c>
      <c r="G116" s="23">
        <f t="shared" si="6"/>
        <v>830652.96594104881</v>
      </c>
      <c r="H116" s="23">
        <f t="shared" si="7"/>
        <v>6153452.9659410492</v>
      </c>
    </row>
    <row r="117" spans="1:8" x14ac:dyDescent="0.2">
      <c r="A117">
        <v>2017</v>
      </c>
      <c r="B117" s="3" t="str">
        <f t="shared" si="4"/>
        <v>5042</v>
      </c>
      <c r="C117" s="3" t="s">
        <v>123</v>
      </c>
      <c r="D117" s="13">
        <v>1418823</v>
      </c>
      <c r="E117" s="13">
        <v>1418823</v>
      </c>
      <c r="F117" s="22">
        <f t="shared" si="5"/>
        <v>4.1982341852821268E-3</v>
      </c>
      <c r="G117" s="23">
        <f t="shared" si="6"/>
        <v>221415.33273753975</v>
      </c>
      <c r="H117" s="23">
        <f t="shared" si="7"/>
        <v>1640238.3327375397</v>
      </c>
    </row>
    <row r="118" spans="1:8" x14ac:dyDescent="0.2">
      <c r="A118">
        <v>2017</v>
      </c>
      <c r="B118" s="3" t="str">
        <f t="shared" si="4"/>
        <v>5043</v>
      </c>
      <c r="C118" s="3" t="s">
        <v>124</v>
      </c>
      <c r="D118" s="13">
        <v>2185583</v>
      </c>
      <c r="E118" s="13">
        <v>2185583</v>
      </c>
      <c r="F118" s="22">
        <f t="shared" si="5"/>
        <v>6.46704294007883E-3</v>
      </c>
      <c r="G118" s="23">
        <f t="shared" si="6"/>
        <v>341072.55603448092</v>
      </c>
      <c r="H118" s="23">
        <f t="shared" si="7"/>
        <v>2526655.5560344812</v>
      </c>
    </row>
    <row r="119" spans="1:8" x14ac:dyDescent="0.2">
      <c r="A119">
        <v>2017</v>
      </c>
      <c r="B119" s="3" t="str">
        <f t="shared" si="4"/>
        <v>5056</v>
      </c>
      <c r="C119" s="3" t="s">
        <v>125</v>
      </c>
      <c r="D119" s="13">
        <v>253800</v>
      </c>
      <c r="E119" s="13">
        <v>253800</v>
      </c>
      <c r="F119" s="22">
        <f t="shared" si="5"/>
        <v>7.5098291768924228E-4</v>
      </c>
      <c r="G119" s="23">
        <f t="shared" si="6"/>
        <v>39606.921687051581</v>
      </c>
      <c r="H119" s="23">
        <f t="shared" si="7"/>
        <v>293406.9216870516</v>
      </c>
    </row>
    <row r="120" spans="1:8" x14ac:dyDescent="0.2">
      <c r="A120">
        <v>2017</v>
      </c>
      <c r="B120" s="3" t="str">
        <f t="shared" si="4"/>
        <v>5057</v>
      </c>
      <c r="C120" s="3" t="s">
        <v>126</v>
      </c>
      <c r="D120" s="13">
        <v>408994</v>
      </c>
      <c r="E120" s="13">
        <v>408994</v>
      </c>
      <c r="F120" s="22">
        <f t="shared" si="5"/>
        <v>1.2101950647651456E-3</v>
      </c>
      <c r="G120" s="23">
        <f t="shared" si="6"/>
        <v>63825.820837170904</v>
      </c>
      <c r="H120" s="23">
        <f t="shared" si="7"/>
        <v>472819.82083717093</v>
      </c>
    </row>
    <row r="121" spans="1:8" x14ac:dyDescent="0.2">
      <c r="A121">
        <v>2017</v>
      </c>
      <c r="B121" s="3" t="str">
        <f t="shared" si="4"/>
        <v>5058</v>
      </c>
      <c r="C121" s="3" t="s">
        <v>127</v>
      </c>
      <c r="D121" s="13">
        <v>910116</v>
      </c>
      <c r="E121" s="13">
        <v>910116</v>
      </c>
      <c r="F121" s="22">
        <f t="shared" si="5"/>
        <v>2.6929927861137209E-3</v>
      </c>
      <c r="G121" s="23">
        <f t="shared" si="6"/>
        <v>142028.73576884411</v>
      </c>
      <c r="H121" s="23">
        <f t="shared" si="7"/>
        <v>1052144.7357688441</v>
      </c>
    </row>
    <row r="122" spans="1:8" x14ac:dyDescent="0.2">
      <c r="A122">
        <v>2017</v>
      </c>
      <c r="B122" s="3" t="str">
        <f t="shared" si="4"/>
        <v>5059</v>
      </c>
      <c r="C122" s="3" t="s">
        <v>128</v>
      </c>
      <c r="D122" s="13">
        <v>272186</v>
      </c>
      <c r="E122" s="13">
        <v>272186</v>
      </c>
      <c r="F122" s="22">
        <f t="shared" si="5"/>
        <v>8.0538627436628875E-4</v>
      </c>
      <c r="G122" s="23">
        <f t="shared" si="6"/>
        <v>42476.160702568246</v>
      </c>
      <c r="H122" s="23">
        <f t="shared" si="7"/>
        <v>314662.16070256825</v>
      </c>
    </row>
    <row r="123" spans="1:8" x14ac:dyDescent="0.2">
      <c r="A123">
        <v>2017</v>
      </c>
      <c r="B123" s="3" t="str">
        <f t="shared" si="4"/>
        <v>5060</v>
      </c>
      <c r="C123" s="3" t="s">
        <v>129</v>
      </c>
      <c r="D123" s="13">
        <v>125070</v>
      </c>
      <c r="E123" s="13">
        <v>125070</v>
      </c>
      <c r="F123" s="22">
        <f t="shared" si="5"/>
        <v>3.7007657019461597E-4</v>
      </c>
      <c r="G123" s="23">
        <f t="shared" si="6"/>
        <v>19517.879020486769</v>
      </c>
      <c r="H123" s="23">
        <f t="shared" si="7"/>
        <v>144587.87902048678</v>
      </c>
    </row>
    <row r="124" spans="1:8" x14ac:dyDescent="0.2">
      <c r="A124">
        <v>2017</v>
      </c>
      <c r="B124" s="3" t="str">
        <f t="shared" si="4"/>
        <v>5061</v>
      </c>
      <c r="C124" s="3" t="s">
        <v>130</v>
      </c>
      <c r="D124" s="13">
        <v>236279</v>
      </c>
      <c r="E124" s="13">
        <v>236279</v>
      </c>
      <c r="F124" s="22">
        <f t="shared" si="5"/>
        <v>6.991390575598758E-4</v>
      </c>
      <c r="G124" s="23">
        <f t="shared" si="6"/>
        <v>36872.670801004184</v>
      </c>
      <c r="H124" s="23">
        <f t="shared" si="7"/>
        <v>273151.67080100416</v>
      </c>
    </row>
    <row r="125" spans="1:8" x14ac:dyDescent="0.2">
      <c r="A125">
        <v>2017</v>
      </c>
      <c r="B125" s="3" t="str">
        <f t="shared" si="4"/>
        <v>5062</v>
      </c>
      <c r="C125" s="3" t="s">
        <v>131</v>
      </c>
      <c r="D125" s="13">
        <v>443068</v>
      </c>
      <c r="E125" s="13">
        <v>443068</v>
      </c>
      <c r="F125" s="22">
        <f t="shared" si="5"/>
        <v>1.311018516054914E-3</v>
      </c>
      <c r="G125" s="23">
        <f t="shared" si="6"/>
        <v>69143.260748772926</v>
      </c>
      <c r="H125" s="23">
        <f t="shared" si="7"/>
        <v>512211.26074877294</v>
      </c>
    </row>
    <row r="126" spans="1:8" x14ac:dyDescent="0.2">
      <c r="A126">
        <v>2017</v>
      </c>
      <c r="B126" s="3" t="str">
        <f t="shared" si="4"/>
        <v>5063</v>
      </c>
      <c r="C126" s="3" t="s">
        <v>132</v>
      </c>
      <c r="D126" s="13">
        <v>372136</v>
      </c>
      <c r="E126" s="13">
        <v>372136</v>
      </c>
      <c r="F126" s="22">
        <f t="shared" si="5"/>
        <v>1.1011338812340577E-3</v>
      </c>
      <c r="G126" s="23">
        <f t="shared" si="6"/>
        <v>58073.922021011138</v>
      </c>
      <c r="H126" s="23">
        <f t="shared" si="7"/>
        <v>430209.92202101112</v>
      </c>
    </row>
    <row r="127" spans="1:8" x14ac:dyDescent="0.2">
      <c r="A127">
        <v>2017</v>
      </c>
      <c r="B127" s="3" t="str">
        <f t="shared" si="4"/>
        <v>5064</v>
      </c>
      <c r="C127" s="3" t="s">
        <v>133</v>
      </c>
      <c r="D127" s="13">
        <v>278236</v>
      </c>
      <c r="E127" s="13">
        <v>278236</v>
      </c>
      <c r="F127" s="22">
        <f t="shared" si="5"/>
        <v>8.232879554223168E-4</v>
      </c>
      <c r="G127" s="23">
        <f t="shared" si="6"/>
        <v>43420.297330648085</v>
      </c>
      <c r="H127" s="23">
        <f t="shared" si="7"/>
        <v>321656.29733064806</v>
      </c>
    </row>
    <row r="128" spans="1:8" x14ac:dyDescent="0.2">
      <c r="A128">
        <v>2017</v>
      </c>
      <c r="B128" s="3" t="str">
        <f t="shared" si="4"/>
        <v>5065</v>
      </c>
      <c r="C128" s="3" t="s">
        <v>134</v>
      </c>
      <c r="D128" s="13">
        <v>296491</v>
      </c>
      <c r="E128" s="13">
        <v>296491</v>
      </c>
      <c r="F128" s="22">
        <f t="shared" si="5"/>
        <v>8.7730368892277827E-4</v>
      </c>
      <c r="G128" s="23">
        <f t="shared" si="6"/>
        <v>46269.093057193109</v>
      </c>
      <c r="H128" s="23">
        <f t="shared" si="7"/>
        <v>342760.09305719309</v>
      </c>
    </row>
    <row r="129" spans="1:8" x14ac:dyDescent="0.2">
      <c r="A129">
        <v>2017</v>
      </c>
      <c r="B129" s="3" t="str">
        <f t="shared" si="4"/>
        <v>5066</v>
      </c>
      <c r="C129" s="3" t="s">
        <v>135</v>
      </c>
      <c r="D129" s="13">
        <v>357890</v>
      </c>
      <c r="E129" s="13">
        <v>357890</v>
      </c>
      <c r="F129" s="22">
        <f t="shared" si="5"/>
        <v>1.058980600519318E-3</v>
      </c>
      <c r="G129" s="23">
        <f t="shared" si="6"/>
        <v>55850.753359254893</v>
      </c>
      <c r="H129" s="23">
        <f t="shared" si="7"/>
        <v>413740.75335925492</v>
      </c>
    </row>
    <row r="130" spans="1:8" x14ac:dyDescent="0.2">
      <c r="A130">
        <v>2017</v>
      </c>
      <c r="B130" s="3" t="str">
        <f t="shared" si="4"/>
        <v>5067</v>
      </c>
      <c r="C130" s="3" t="s">
        <v>136</v>
      </c>
      <c r="D130" s="13">
        <v>555522</v>
      </c>
      <c r="E130" s="13">
        <v>555522</v>
      </c>
      <c r="F130" s="22">
        <f t="shared" si="5"/>
        <v>1.6437649030755053E-3</v>
      </c>
      <c r="G130" s="23">
        <f t="shared" si="6"/>
        <v>86692.341802341485</v>
      </c>
      <c r="H130" s="23">
        <f t="shared" si="7"/>
        <v>642214.34180234151</v>
      </c>
    </row>
    <row r="131" spans="1:8" x14ac:dyDescent="0.2">
      <c r="A131">
        <v>2017</v>
      </c>
      <c r="B131" s="3" t="str">
        <f t="shared" ref="B131:B194" si="8">LEFT(C131,4)</f>
        <v>5068</v>
      </c>
      <c r="C131" s="3" t="s">
        <v>137</v>
      </c>
      <c r="D131" s="13">
        <v>495731</v>
      </c>
      <c r="E131" s="13">
        <v>495731</v>
      </c>
      <c r="F131" s="22">
        <f t="shared" ref="F131:F194" si="9">E131/$D$340</f>
        <v>1.4668459919976585E-3</v>
      </c>
      <c r="G131" s="23">
        <f t="shared" ref="G131:G194" si="10">F131*$D$341</f>
        <v>77361.618971015632</v>
      </c>
      <c r="H131" s="23">
        <f t="shared" ref="H131:H194" si="11">SUM(G131,D131)</f>
        <v>573092.61897101568</v>
      </c>
    </row>
    <row r="132" spans="1:8" x14ac:dyDescent="0.2">
      <c r="A132">
        <v>2017</v>
      </c>
      <c r="B132" s="3" t="str">
        <f t="shared" si="8"/>
        <v>5069</v>
      </c>
      <c r="C132" s="3" t="s">
        <v>138</v>
      </c>
      <c r="D132" s="13">
        <v>470067</v>
      </c>
      <c r="E132" s="13">
        <v>470067</v>
      </c>
      <c r="F132" s="22">
        <f t="shared" si="9"/>
        <v>1.3909073568535424E-3</v>
      </c>
      <c r="G132" s="23">
        <f t="shared" si="10"/>
        <v>73356.607000265081</v>
      </c>
      <c r="H132" s="23">
        <f t="shared" si="11"/>
        <v>543423.60700026504</v>
      </c>
    </row>
    <row r="133" spans="1:8" x14ac:dyDescent="0.2">
      <c r="A133">
        <v>2017</v>
      </c>
      <c r="B133" s="3" t="str">
        <f t="shared" si="8"/>
        <v>5070</v>
      </c>
      <c r="C133" s="3" t="s">
        <v>139</v>
      </c>
      <c r="D133" s="13">
        <v>1161323</v>
      </c>
      <c r="E133" s="13">
        <v>1161323</v>
      </c>
      <c r="F133" s="22">
        <f t="shared" si="9"/>
        <v>3.4363031320710159E-3</v>
      </c>
      <c r="G133" s="23">
        <f t="shared" si="10"/>
        <v>181231.0051787699</v>
      </c>
      <c r="H133" s="23">
        <f t="shared" si="11"/>
        <v>1342554.0051787698</v>
      </c>
    </row>
    <row r="134" spans="1:8" x14ac:dyDescent="0.2">
      <c r="A134">
        <v>2017</v>
      </c>
      <c r="B134" s="3" t="str">
        <f t="shared" si="8"/>
        <v>5072</v>
      </c>
      <c r="C134" s="3" t="s">
        <v>140</v>
      </c>
      <c r="D134" s="13">
        <v>161561</v>
      </c>
      <c r="E134" s="13">
        <v>161561</v>
      </c>
      <c r="F134" s="22">
        <f t="shared" si="9"/>
        <v>4.780518170401563E-4</v>
      </c>
      <c r="G134" s="23">
        <f t="shared" si="10"/>
        <v>25212.505416397718</v>
      </c>
      <c r="H134" s="23">
        <f t="shared" si="11"/>
        <v>186773.5054163977</v>
      </c>
    </row>
    <row r="135" spans="1:8" x14ac:dyDescent="0.2">
      <c r="A135">
        <v>2017</v>
      </c>
      <c r="B135" s="3" t="str">
        <f t="shared" si="8"/>
        <v>5073</v>
      </c>
      <c r="C135" s="3" t="s">
        <v>141</v>
      </c>
      <c r="D135" s="13">
        <v>295921</v>
      </c>
      <c r="E135" s="13">
        <v>295921</v>
      </c>
      <c r="F135" s="22">
        <f t="shared" si="9"/>
        <v>8.7561708426130125E-4</v>
      </c>
      <c r="G135" s="23">
        <f t="shared" si="10"/>
        <v>46180.141341820294</v>
      </c>
      <c r="H135" s="23">
        <f t="shared" si="11"/>
        <v>342101.1413418203</v>
      </c>
    </row>
    <row r="136" spans="1:8" x14ac:dyDescent="0.2">
      <c r="A136">
        <v>2017</v>
      </c>
      <c r="B136" s="3" t="str">
        <f t="shared" si="8"/>
        <v>5076</v>
      </c>
      <c r="C136" s="3" t="s">
        <v>142</v>
      </c>
      <c r="D136" s="13">
        <v>158604</v>
      </c>
      <c r="E136" s="13">
        <v>158604</v>
      </c>
      <c r="F136" s="22">
        <f t="shared" si="9"/>
        <v>4.6930218548930095E-4</v>
      </c>
      <c r="G136" s="23">
        <f t="shared" si="10"/>
        <v>24751.048885946137</v>
      </c>
      <c r="H136" s="23">
        <f t="shared" si="11"/>
        <v>183355.04888594613</v>
      </c>
    </row>
    <row r="137" spans="1:8" x14ac:dyDescent="0.2">
      <c r="A137">
        <v>2017</v>
      </c>
      <c r="B137" s="3" t="str">
        <f t="shared" si="8"/>
        <v>5077</v>
      </c>
      <c r="C137" s="3" t="s">
        <v>195</v>
      </c>
      <c r="D137" s="13">
        <v>375646</v>
      </c>
      <c r="E137" s="13">
        <v>375646</v>
      </c>
      <c r="F137" s="22">
        <f t="shared" si="9"/>
        <v>1.1115198152021005E-3</v>
      </c>
      <c r="G137" s="23">
        <f t="shared" si="10"/>
        <v>58621.677320938456</v>
      </c>
      <c r="H137" s="23">
        <f t="shared" si="11"/>
        <v>434267.67732093844</v>
      </c>
    </row>
    <row r="138" spans="1:8" x14ac:dyDescent="0.2">
      <c r="A138">
        <v>2017</v>
      </c>
      <c r="B138" s="3" t="str">
        <f t="shared" si="8"/>
        <v>5078</v>
      </c>
      <c r="C138" s="3" t="s">
        <v>144</v>
      </c>
      <c r="D138" s="13">
        <v>286701</v>
      </c>
      <c r="E138" s="13">
        <v>286701</v>
      </c>
      <c r="F138" s="22">
        <f t="shared" si="9"/>
        <v>8.4833551412302386E-4</v>
      </c>
      <c r="G138" s="23">
        <f t="shared" si="10"/>
        <v>44741.30833175483</v>
      </c>
      <c r="H138" s="23">
        <f t="shared" si="11"/>
        <v>331442.30833175482</v>
      </c>
    </row>
    <row r="139" spans="1:8" x14ac:dyDescent="0.2">
      <c r="A139">
        <v>2017</v>
      </c>
      <c r="B139" s="3" t="str">
        <f t="shared" si="8"/>
        <v>5079</v>
      </c>
      <c r="C139" s="3" t="s">
        <v>145</v>
      </c>
      <c r="D139" s="13">
        <v>360845</v>
      </c>
      <c r="E139" s="13">
        <v>360845</v>
      </c>
      <c r="F139" s="22">
        <f t="shared" si="9"/>
        <v>1.0677243141590804E-3</v>
      </c>
      <c r="G139" s="23">
        <f t="shared" si="10"/>
        <v>56311.897778424456</v>
      </c>
      <c r="H139" s="23">
        <f t="shared" si="11"/>
        <v>417156.89777842443</v>
      </c>
    </row>
    <row r="140" spans="1:8" x14ac:dyDescent="0.2">
      <c r="A140">
        <v>2017</v>
      </c>
      <c r="B140" s="3" t="str">
        <f t="shared" si="8"/>
        <v>5080</v>
      </c>
      <c r="C140" s="3" t="s">
        <v>146</v>
      </c>
      <c r="D140" s="13">
        <v>372974</v>
      </c>
      <c r="E140" s="13">
        <v>372974</v>
      </c>
      <c r="F140" s="22">
        <f t="shared" si="9"/>
        <v>1.1036134859819836E-3</v>
      </c>
      <c r="G140" s="23">
        <f t="shared" si="10"/>
        <v>58204.696648173274</v>
      </c>
      <c r="H140" s="23">
        <f t="shared" si="11"/>
        <v>431178.69664817327</v>
      </c>
    </row>
    <row r="141" spans="1:8" x14ac:dyDescent="0.2">
      <c r="A141">
        <v>2017</v>
      </c>
      <c r="B141" s="3" t="str">
        <f t="shared" si="8"/>
        <v>5081</v>
      </c>
      <c r="C141" s="3" t="s">
        <v>147</v>
      </c>
      <c r="D141" s="13">
        <v>316604</v>
      </c>
      <c r="E141" s="13">
        <v>316604</v>
      </c>
      <c r="F141" s="22">
        <f t="shared" si="9"/>
        <v>9.3681716182854552E-4</v>
      </c>
      <c r="G141" s="23">
        <f t="shared" si="10"/>
        <v>49407.84016472529</v>
      </c>
      <c r="H141" s="23">
        <f t="shared" si="11"/>
        <v>366011.84016472532</v>
      </c>
    </row>
    <row r="142" spans="1:8" x14ac:dyDescent="0.2">
      <c r="A142">
        <v>2017</v>
      </c>
      <c r="B142" s="3" t="str">
        <f t="shared" si="8"/>
        <v>5082</v>
      </c>
      <c r="C142" s="3" t="s">
        <v>148</v>
      </c>
      <c r="D142" s="13">
        <v>118930</v>
      </c>
      <c r="E142" s="13">
        <v>118930</v>
      </c>
      <c r="F142" s="22">
        <f t="shared" si="9"/>
        <v>3.5190858313940732E-4</v>
      </c>
      <c r="G142" s="23">
        <f t="shared" si="10"/>
        <v>18559.697384716488</v>
      </c>
      <c r="H142" s="23">
        <f t="shared" si="11"/>
        <v>137489.69738471648</v>
      </c>
    </row>
    <row r="143" spans="1:8" x14ac:dyDescent="0.2">
      <c r="A143">
        <v>2017</v>
      </c>
      <c r="B143" s="3" t="str">
        <f t="shared" si="8"/>
        <v>5083</v>
      </c>
      <c r="C143" s="3" t="s">
        <v>149</v>
      </c>
      <c r="D143" s="13">
        <v>240484</v>
      </c>
      <c r="E143" s="13">
        <v>240484</v>
      </c>
      <c r="F143" s="22">
        <f t="shared" si="9"/>
        <v>7.1158146563270186E-4</v>
      </c>
      <c r="G143" s="23">
        <f t="shared" si="10"/>
        <v>37528.884771429919</v>
      </c>
      <c r="H143" s="23">
        <f t="shared" si="11"/>
        <v>278012.88477142993</v>
      </c>
    </row>
    <row r="144" spans="1:8" x14ac:dyDescent="0.2">
      <c r="A144">
        <v>2017</v>
      </c>
      <c r="B144" s="3" t="str">
        <f t="shared" si="8"/>
        <v>5087</v>
      </c>
      <c r="C144" s="3" t="s">
        <v>360</v>
      </c>
      <c r="D144" s="13">
        <v>258468</v>
      </c>
      <c r="E144" s="13">
        <v>258468</v>
      </c>
      <c r="F144" s="22">
        <f t="shared" si="9"/>
        <v>7.6479532218007512E-4</v>
      </c>
      <c r="G144" s="23">
        <f t="shared" si="10"/>
        <v>40335.389419262603</v>
      </c>
      <c r="H144" s="23">
        <f t="shared" si="11"/>
        <v>298803.38941926259</v>
      </c>
    </row>
    <row r="145" spans="1:8" x14ac:dyDescent="0.2">
      <c r="A145">
        <v>2017</v>
      </c>
      <c r="B145" s="3" t="str">
        <f t="shared" si="8"/>
        <v>5088</v>
      </c>
      <c r="C145" s="3" t="s">
        <v>151</v>
      </c>
      <c r="D145" s="13">
        <v>474951</v>
      </c>
      <c r="E145" s="13">
        <v>474951</v>
      </c>
      <c r="F145" s="22">
        <f t="shared" si="9"/>
        <v>1.4053588957424086E-3</v>
      </c>
      <c r="G145" s="23">
        <f t="shared" si="10"/>
        <v>74118.782750933169</v>
      </c>
      <c r="H145" s="23">
        <f t="shared" si="11"/>
        <v>549069.7827509332</v>
      </c>
    </row>
    <row r="146" spans="1:8" x14ac:dyDescent="0.2">
      <c r="A146">
        <v>2017</v>
      </c>
      <c r="B146" s="3" t="str">
        <f t="shared" si="8"/>
        <v>5089</v>
      </c>
      <c r="C146" s="3" t="s">
        <v>152</v>
      </c>
      <c r="D146" s="13">
        <v>267832</v>
      </c>
      <c r="E146" s="13">
        <v>267832</v>
      </c>
      <c r="F146" s="22">
        <f t="shared" si="9"/>
        <v>7.9250298191704154E-4</v>
      </c>
      <c r="G146" s="23">
        <f t="shared" si="10"/>
        <v>41796.694441632782</v>
      </c>
      <c r="H146" s="23">
        <f t="shared" si="11"/>
        <v>309628.69444163278</v>
      </c>
    </row>
    <row r="147" spans="1:8" x14ac:dyDescent="0.2">
      <c r="A147">
        <v>2017</v>
      </c>
      <c r="B147" s="3" t="str">
        <f t="shared" si="8"/>
        <v>5090</v>
      </c>
      <c r="C147" s="3" t="s">
        <v>153</v>
      </c>
      <c r="D147" s="13">
        <v>201495</v>
      </c>
      <c r="E147" s="13">
        <v>201495</v>
      </c>
      <c r="F147" s="22">
        <f t="shared" si="9"/>
        <v>5.9621474783212714E-4</v>
      </c>
      <c r="G147" s="23">
        <f t="shared" si="10"/>
        <v>31444.431384288648</v>
      </c>
      <c r="H147" s="23">
        <f t="shared" si="11"/>
        <v>232939.43138428865</v>
      </c>
    </row>
    <row r="148" spans="1:8" x14ac:dyDescent="0.2">
      <c r="A148">
        <v>2017</v>
      </c>
      <c r="B148" s="3" t="str">
        <f t="shared" si="8"/>
        <v>5092</v>
      </c>
      <c r="C148" s="3" t="s">
        <v>154</v>
      </c>
      <c r="D148" s="13">
        <v>901835</v>
      </c>
      <c r="E148" s="13">
        <v>901835</v>
      </c>
      <c r="F148" s="22">
        <f t="shared" si="9"/>
        <v>2.6684896752335609E-3</v>
      </c>
      <c r="G148" s="23">
        <f t="shared" si="10"/>
        <v>140736.43900568227</v>
      </c>
      <c r="H148" s="23">
        <f t="shared" si="11"/>
        <v>1042571.4390056822</v>
      </c>
    </row>
    <row r="149" spans="1:8" x14ac:dyDescent="0.2">
      <c r="A149">
        <v>2017</v>
      </c>
      <c r="B149" s="3" t="str">
        <f t="shared" si="8"/>
        <v>5093</v>
      </c>
      <c r="C149" s="3" t="s">
        <v>155</v>
      </c>
      <c r="D149" s="13">
        <v>202844</v>
      </c>
      <c r="E149" s="13">
        <v>202844</v>
      </c>
      <c r="F149" s="22">
        <f t="shared" si="9"/>
        <v>6.0020637886428938E-4</v>
      </c>
      <c r="G149" s="23">
        <f t="shared" si="10"/>
        <v>31654.950444004298</v>
      </c>
      <c r="H149" s="23">
        <f t="shared" si="11"/>
        <v>234498.95044400429</v>
      </c>
    </row>
    <row r="150" spans="1:8" x14ac:dyDescent="0.2">
      <c r="A150">
        <v>2017</v>
      </c>
      <c r="B150" s="3" t="str">
        <f t="shared" si="8"/>
        <v>5095</v>
      </c>
      <c r="C150" s="3" t="s">
        <v>156</v>
      </c>
      <c r="D150" s="13">
        <v>362295</v>
      </c>
      <c r="E150" s="13">
        <v>362295</v>
      </c>
      <c r="F150" s="22">
        <f t="shared" si="9"/>
        <v>1.0720147997014342E-3</v>
      </c>
      <c r="G150" s="23">
        <f t="shared" si="10"/>
        <v>56538.178457881608</v>
      </c>
      <c r="H150" s="23">
        <f t="shared" si="11"/>
        <v>418833.17845788162</v>
      </c>
    </row>
    <row r="151" spans="1:8" x14ac:dyDescent="0.2">
      <c r="A151">
        <v>2017</v>
      </c>
      <c r="B151" s="3" t="str">
        <f t="shared" si="8"/>
        <v>5096</v>
      </c>
      <c r="C151" s="3" t="s">
        <v>157</v>
      </c>
      <c r="D151" s="13">
        <v>357293</v>
      </c>
      <c r="E151" s="13">
        <v>357293</v>
      </c>
      <c r="F151" s="22">
        <f t="shared" si="9"/>
        <v>1.0572141040580869E-3</v>
      </c>
      <c r="G151" s="23">
        <f t="shared" si="10"/>
        <v>55757.588141574954</v>
      </c>
      <c r="H151" s="23">
        <f t="shared" si="11"/>
        <v>413050.58814157493</v>
      </c>
    </row>
    <row r="152" spans="1:8" x14ac:dyDescent="0.2">
      <c r="A152">
        <v>2017</v>
      </c>
      <c r="B152" s="3" t="str">
        <f t="shared" si="8"/>
        <v>5098</v>
      </c>
      <c r="C152" s="3" t="s">
        <v>158</v>
      </c>
      <c r="D152" s="13">
        <v>198801</v>
      </c>
      <c r="E152" s="13">
        <v>198801</v>
      </c>
      <c r="F152" s="22">
        <f t="shared" si="9"/>
        <v>5.8824332158998838E-4</v>
      </c>
      <c r="G152" s="23">
        <f t="shared" si="10"/>
        <v>31024.017487421363</v>
      </c>
      <c r="H152" s="23">
        <f t="shared" si="11"/>
        <v>229825.01748742137</v>
      </c>
    </row>
    <row r="153" spans="1:8" x14ac:dyDescent="0.2">
      <c r="A153">
        <v>2017</v>
      </c>
      <c r="B153" s="3" t="str">
        <f t="shared" si="8"/>
        <v>5099</v>
      </c>
      <c r="C153" s="3" t="s">
        <v>159</v>
      </c>
      <c r="D153" s="13">
        <v>672470</v>
      </c>
      <c r="E153" s="13">
        <v>672470</v>
      </c>
      <c r="F153" s="22">
        <f t="shared" si="9"/>
        <v>1.9898088363218469E-3</v>
      </c>
      <c r="G153" s="23">
        <f t="shared" si="10"/>
        <v>104942.7369065862</v>
      </c>
      <c r="H153" s="23">
        <f t="shared" si="11"/>
        <v>777412.73690658621</v>
      </c>
    </row>
    <row r="154" spans="1:8" x14ac:dyDescent="0.2">
      <c r="A154">
        <v>2017</v>
      </c>
      <c r="B154" s="3" t="str">
        <f t="shared" si="8"/>
        <v>5100</v>
      </c>
      <c r="C154" s="3" t="s">
        <v>160</v>
      </c>
      <c r="D154" s="13">
        <v>816619</v>
      </c>
      <c r="E154" s="13">
        <v>816619</v>
      </c>
      <c r="F154" s="22">
        <f t="shared" si="9"/>
        <v>2.4163393193871998E-3</v>
      </c>
      <c r="G154" s="23">
        <f t="shared" si="10"/>
        <v>127438.00150180605</v>
      </c>
      <c r="H154" s="23">
        <f t="shared" si="11"/>
        <v>944057.00150180608</v>
      </c>
    </row>
    <row r="155" spans="1:8" x14ac:dyDescent="0.2">
      <c r="A155">
        <v>2017</v>
      </c>
      <c r="B155" s="3" t="str">
        <f t="shared" si="8"/>
        <v>5101</v>
      </c>
      <c r="C155" s="3" t="s">
        <v>161</v>
      </c>
      <c r="D155" s="13">
        <v>523884</v>
      </c>
      <c r="E155" s="13">
        <v>523884</v>
      </c>
      <c r="F155" s="22">
        <f t="shared" si="9"/>
        <v>1.5501494674968913E-3</v>
      </c>
      <c r="G155" s="23">
        <f t="shared" si="10"/>
        <v>81755.053432227476</v>
      </c>
      <c r="H155" s="23">
        <f t="shared" si="11"/>
        <v>605639.05343222746</v>
      </c>
    </row>
    <row r="156" spans="1:8" x14ac:dyDescent="0.2">
      <c r="A156">
        <v>2017</v>
      </c>
      <c r="B156" s="3" t="str">
        <f t="shared" si="8"/>
        <v>5102</v>
      </c>
      <c r="C156" s="3" t="s">
        <v>162</v>
      </c>
      <c r="D156" s="13">
        <v>1172942</v>
      </c>
      <c r="E156" s="13">
        <v>1172942</v>
      </c>
      <c r="F156" s="22">
        <f t="shared" si="9"/>
        <v>3.4706832365652292E-3</v>
      </c>
      <c r="G156" s="23">
        <f t="shared" si="10"/>
        <v>183044.21567160622</v>
      </c>
      <c r="H156" s="23">
        <f t="shared" si="11"/>
        <v>1355986.2156716061</v>
      </c>
    </row>
    <row r="157" spans="1:8" x14ac:dyDescent="0.2">
      <c r="A157">
        <v>2017</v>
      </c>
      <c r="B157" s="3" t="str">
        <f t="shared" si="8"/>
        <v>5103</v>
      </c>
      <c r="C157" s="3" t="s">
        <v>163</v>
      </c>
      <c r="D157" s="13">
        <v>615393</v>
      </c>
      <c r="E157" s="13">
        <v>615393</v>
      </c>
      <c r="F157" s="22">
        <f t="shared" si="9"/>
        <v>1.820920530597068E-3</v>
      </c>
      <c r="G157" s="23">
        <f t="shared" si="10"/>
        <v>96035.549084947736</v>
      </c>
      <c r="H157" s="23">
        <f t="shared" si="11"/>
        <v>711428.54908494768</v>
      </c>
    </row>
    <row r="158" spans="1:8" x14ac:dyDescent="0.2">
      <c r="A158">
        <v>2017</v>
      </c>
      <c r="B158" s="3" t="str">
        <f t="shared" si="8"/>
        <v>5104</v>
      </c>
      <c r="C158" s="3" t="s">
        <v>164</v>
      </c>
      <c r="D158" s="13">
        <v>262901</v>
      </c>
      <c r="E158" s="13">
        <v>262901</v>
      </c>
      <c r="F158" s="22">
        <f t="shared" si="9"/>
        <v>7.7791237211749205E-4</v>
      </c>
      <c r="G158" s="23">
        <f t="shared" si="10"/>
        <v>41027.184075837467</v>
      </c>
      <c r="H158" s="23">
        <f t="shared" si="11"/>
        <v>303928.18407583749</v>
      </c>
    </row>
    <row r="159" spans="1:8" x14ac:dyDescent="0.2">
      <c r="A159">
        <v>2017</v>
      </c>
      <c r="B159" s="3" t="str">
        <f t="shared" si="8"/>
        <v>5105</v>
      </c>
      <c r="C159" s="3" t="s">
        <v>165</v>
      </c>
      <c r="D159" s="13">
        <v>151681</v>
      </c>
      <c r="E159" s="13">
        <v>151681</v>
      </c>
      <c r="F159" s="22">
        <f t="shared" si="9"/>
        <v>4.4881733624122124E-4</v>
      </c>
      <c r="G159" s="23">
        <f t="shared" si="10"/>
        <v>23670.675683268993</v>
      </c>
      <c r="H159" s="23">
        <f t="shared" si="11"/>
        <v>175351.67568326899</v>
      </c>
    </row>
    <row r="160" spans="1:8" x14ac:dyDescent="0.2">
      <c r="A160">
        <v>2017</v>
      </c>
      <c r="B160" s="3" t="str">
        <f t="shared" si="8"/>
        <v>5106</v>
      </c>
      <c r="C160" s="3" t="s">
        <v>166</v>
      </c>
      <c r="D160" s="13">
        <v>560736</v>
      </c>
      <c r="E160" s="13">
        <v>560736</v>
      </c>
      <c r="F160" s="22">
        <f t="shared" si="9"/>
        <v>1.6591928972947002E-3</v>
      </c>
      <c r="G160" s="23">
        <f t="shared" si="10"/>
        <v>87506.015914541189</v>
      </c>
      <c r="H160" s="23">
        <f t="shared" si="11"/>
        <v>648242.0159145412</v>
      </c>
    </row>
    <row r="161" spans="1:8" x14ac:dyDescent="0.2">
      <c r="A161">
        <v>2017</v>
      </c>
      <c r="B161" s="3" t="str">
        <f t="shared" si="8"/>
        <v>5116</v>
      </c>
      <c r="C161" s="3" t="s">
        <v>167</v>
      </c>
      <c r="D161" s="13">
        <v>677974</v>
      </c>
      <c r="E161" s="13">
        <v>677974</v>
      </c>
      <c r="F161" s="22">
        <f t="shared" si="9"/>
        <v>2.0060949276495127E-3</v>
      </c>
      <c r="G161" s="23">
        <f t="shared" si="10"/>
        <v>105801.66715467734</v>
      </c>
      <c r="H161" s="23">
        <f t="shared" si="11"/>
        <v>783775.66715467733</v>
      </c>
    </row>
    <row r="162" spans="1:8" x14ac:dyDescent="0.2">
      <c r="A162">
        <v>2017</v>
      </c>
      <c r="B162" s="3" t="str">
        <f t="shared" si="8"/>
        <v>5117</v>
      </c>
      <c r="C162" s="3" t="s">
        <v>168</v>
      </c>
      <c r="D162" s="13">
        <v>142084</v>
      </c>
      <c r="E162" s="13">
        <v>142084</v>
      </c>
      <c r="F162" s="22">
        <f t="shared" si="9"/>
        <v>4.2042023986193182E-4</v>
      </c>
      <c r="G162" s="23">
        <f t="shared" si="10"/>
        <v>22173.009696544668</v>
      </c>
      <c r="H162" s="23">
        <f t="shared" si="11"/>
        <v>164257.00969654467</v>
      </c>
    </row>
    <row r="163" spans="1:8" x14ac:dyDescent="0.2">
      <c r="A163">
        <v>2017</v>
      </c>
      <c r="B163" s="3" t="str">
        <f t="shared" si="8"/>
        <v>5118</v>
      </c>
      <c r="C163" s="3" t="s">
        <v>169</v>
      </c>
      <c r="D163" s="13">
        <v>900288</v>
      </c>
      <c r="E163" s="13">
        <v>900288</v>
      </c>
      <c r="F163" s="22">
        <f t="shared" si="9"/>
        <v>2.6639121710032012E-3</v>
      </c>
      <c r="G163" s="23">
        <f t="shared" si="10"/>
        <v>140495.02092904763</v>
      </c>
      <c r="H163" s="23">
        <f t="shared" si="11"/>
        <v>1040783.0209290476</v>
      </c>
    </row>
    <row r="164" spans="1:8" x14ac:dyDescent="0.2">
      <c r="A164">
        <v>2017</v>
      </c>
      <c r="B164" s="3" t="str">
        <f t="shared" si="8"/>
        <v>5119</v>
      </c>
      <c r="C164" s="3" t="s">
        <v>170</v>
      </c>
      <c r="D164" s="13">
        <v>203428</v>
      </c>
      <c r="E164" s="13">
        <v>203428</v>
      </c>
      <c r="F164" s="22">
        <f t="shared" si="9"/>
        <v>6.019344089034167E-4</v>
      </c>
      <c r="G164" s="23">
        <f t="shared" si="10"/>
        <v>31746.086938351174</v>
      </c>
      <c r="H164" s="23">
        <f t="shared" si="11"/>
        <v>235174.08693835116</v>
      </c>
    </row>
    <row r="165" spans="1:8" x14ac:dyDescent="0.2">
      <c r="A165">
        <v>2017</v>
      </c>
      <c r="B165" s="3" t="str">
        <f t="shared" si="8"/>
        <v>5120</v>
      </c>
      <c r="C165" s="3" t="s">
        <v>366</v>
      </c>
      <c r="D165" s="13">
        <v>4316051</v>
      </c>
      <c r="E165" s="13">
        <v>4316051</v>
      </c>
      <c r="F165" s="22">
        <f t="shared" si="9"/>
        <v>1.2771003045215019E-2</v>
      </c>
      <c r="G165" s="23">
        <f t="shared" si="10"/>
        <v>673544.10541497509</v>
      </c>
      <c r="H165" s="23">
        <f t="shared" si="11"/>
        <v>4989595.1054149754</v>
      </c>
    </row>
    <row r="166" spans="1:8" x14ac:dyDescent="0.2">
      <c r="A166">
        <v>2017</v>
      </c>
      <c r="B166" s="3" t="str">
        <f t="shared" si="8"/>
        <v>5122</v>
      </c>
      <c r="C166" s="3" t="s">
        <v>172</v>
      </c>
      <c r="D166" s="13">
        <v>177925</v>
      </c>
      <c r="E166" s="13">
        <v>177925</v>
      </c>
      <c r="F166" s="22">
        <f t="shared" si="9"/>
        <v>5.2647216560227912E-4</v>
      </c>
      <c r="G166" s="23">
        <f t="shared" si="10"/>
        <v>27766.199925802415</v>
      </c>
      <c r="H166" s="23">
        <f t="shared" si="11"/>
        <v>205691.19992580242</v>
      </c>
    </row>
    <row r="167" spans="1:8" x14ac:dyDescent="0.2">
      <c r="A167">
        <v>2017</v>
      </c>
      <c r="B167" s="3" t="str">
        <f t="shared" si="8"/>
        <v>5123</v>
      </c>
      <c r="C167" s="3" t="s">
        <v>173</v>
      </c>
      <c r="D167" s="13">
        <v>179582</v>
      </c>
      <c r="E167" s="13">
        <v>179582</v>
      </c>
      <c r="F167" s="22">
        <f t="shared" si="9"/>
        <v>5.3137515494274825E-4</v>
      </c>
      <c r="G167" s="23">
        <f t="shared" si="10"/>
        <v>28024.784122947585</v>
      </c>
      <c r="H167" s="23">
        <f t="shared" si="11"/>
        <v>207606.78412294757</v>
      </c>
    </row>
    <row r="168" spans="1:8" x14ac:dyDescent="0.2">
      <c r="A168">
        <v>2017</v>
      </c>
      <c r="B168" s="3" t="str">
        <f t="shared" si="8"/>
        <v>5125</v>
      </c>
      <c r="C168" s="3" t="s">
        <v>174</v>
      </c>
      <c r="D168" s="13">
        <v>1263073</v>
      </c>
      <c r="E168" s="13">
        <v>1263073</v>
      </c>
      <c r="F168" s="22">
        <f t="shared" si="9"/>
        <v>3.7373768589223965E-3</v>
      </c>
      <c r="G168" s="23">
        <f t="shared" si="10"/>
        <v>197109.66665102166</v>
      </c>
      <c r="H168" s="23">
        <f t="shared" si="11"/>
        <v>1460182.6666510217</v>
      </c>
    </row>
    <row r="169" spans="1:8" x14ac:dyDescent="0.2">
      <c r="A169">
        <v>2017</v>
      </c>
      <c r="B169" s="3" t="str">
        <f t="shared" si="8"/>
        <v>5127</v>
      </c>
      <c r="C169" s="3" t="s">
        <v>175</v>
      </c>
      <c r="D169" s="13">
        <v>163781</v>
      </c>
      <c r="E169" s="13">
        <v>163781</v>
      </c>
      <c r="F169" s="22">
        <f t="shared" si="9"/>
        <v>4.8462069835327734E-4</v>
      </c>
      <c r="G169" s="23">
        <f t="shared" si="10"/>
        <v>25558.948939428665</v>
      </c>
      <c r="H169" s="23">
        <f t="shared" si="11"/>
        <v>189339.94893942866</v>
      </c>
    </row>
    <row r="170" spans="1:8" x14ac:dyDescent="0.2">
      <c r="A170">
        <v>2017</v>
      </c>
      <c r="B170" s="3" t="str">
        <f t="shared" si="8"/>
        <v>5128</v>
      </c>
      <c r="C170" s="3" t="s">
        <v>176</v>
      </c>
      <c r="D170" s="13">
        <v>235620</v>
      </c>
      <c r="E170" s="13">
        <v>235620</v>
      </c>
      <c r="F170" s="22">
        <f t="shared" si="9"/>
        <v>6.9718910585476459E-4</v>
      </c>
      <c r="G170" s="23">
        <f t="shared" si="10"/>
        <v>36769.830133581927</v>
      </c>
      <c r="H170" s="23">
        <f t="shared" si="11"/>
        <v>272389.83013358194</v>
      </c>
    </row>
    <row r="171" spans="1:8" x14ac:dyDescent="0.2">
      <c r="A171">
        <v>2017</v>
      </c>
      <c r="B171" s="3" t="str">
        <f t="shared" si="8"/>
        <v>5129</v>
      </c>
      <c r="C171" s="3" t="s">
        <v>177</v>
      </c>
      <c r="D171" s="13">
        <v>630381</v>
      </c>
      <c r="E171" s="13">
        <v>630381</v>
      </c>
      <c r="F171" s="22">
        <f t="shared" si="9"/>
        <v>1.8652693563272742E-3</v>
      </c>
      <c r="G171" s="23">
        <f t="shared" si="10"/>
        <v>98374.511032329639</v>
      </c>
      <c r="H171" s="23">
        <f t="shared" si="11"/>
        <v>728755.51103232964</v>
      </c>
    </row>
    <row r="172" spans="1:8" x14ac:dyDescent="0.2">
      <c r="A172">
        <v>2017</v>
      </c>
      <c r="B172" s="3" t="str">
        <f t="shared" si="8"/>
        <v>5130</v>
      </c>
      <c r="C172" s="3" t="s">
        <v>178</v>
      </c>
      <c r="D172" s="13">
        <v>488322</v>
      </c>
      <c r="E172" s="13">
        <v>488322</v>
      </c>
      <c r="F172" s="22">
        <f t="shared" si="9"/>
        <v>1.4449230903540037E-3</v>
      </c>
      <c r="G172" s="23">
        <f t="shared" si="10"/>
        <v>76205.402726810091</v>
      </c>
      <c r="H172" s="23">
        <f t="shared" si="11"/>
        <v>564527.40272681008</v>
      </c>
    </row>
    <row r="173" spans="1:8" x14ac:dyDescent="0.2">
      <c r="A173">
        <v>2017</v>
      </c>
      <c r="B173" s="3" t="str">
        <f t="shared" si="8"/>
        <v>5131</v>
      </c>
      <c r="C173" s="3" t="s">
        <v>179</v>
      </c>
      <c r="D173" s="13">
        <v>613898</v>
      </c>
      <c r="E173" s="13">
        <v>613898</v>
      </c>
      <c r="F173" s="22">
        <f t="shared" si="9"/>
        <v>1.8164968920551239E-3</v>
      </c>
      <c r="G173" s="23">
        <f t="shared" si="10"/>
        <v>95802.245901645365</v>
      </c>
      <c r="H173" s="23">
        <f t="shared" si="11"/>
        <v>709700.24590164539</v>
      </c>
    </row>
    <row r="174" spans="1:8" x14ac:dyDescent="0.2">
      <c r="A174">
        <v>2017</v>
      </c>
      <c r="B174" s="3" t="str">
        <f t="shared" si="8"/>
        <v>5132</v>
      </c>
      <c r="C174" s="3" t="s">
        <v>180</v>
      </c>
      <c r="D174" s="13">
        <v>2225382</v>
      </c>
      <c r="E174" s="13">
        <v>2225382</v>
      </c>
      <c r="F174" s="22">
        <f t="shared" si="9"/>
        <v>6.5848064118720307E-3</v>
      </c>
      <c r="G174" s="23">
        <f t="shared" si="10"/>
        <v>347283.41449083621</v>
      </c>
      <c r="H174" s="23">
        <f t="shared" si="11"/>
        <v>2572665.4144908362</v>
      </c>
    </row>
    <row r="175" spans="1:8" x14ac:dyDescent="0.2">
      <c r="A175">
        <v>2017</v>
      </c>
      <c r="B175" s="3" t="str">
        <f t="shared" si="8"/>
        <v>5133</v>
      </c>
      <c r="C175" s="3" t="s">
        <v>361</v>
      </c>
      <c r="D175" s="13">
        <v>180987</v>
      </c>
      <c r="E175" s="13">
        <v>180987</v>
      </c>
      <c r="F175" s="22">
        <f t="shared" si="9"/>
        <v>5.3553248748551172E-4</v>
      </c>
      <c r="G175" s="23">
        <f t="shared" si="10"/>
        <v>28244.042298559511</v>
      </c>
      <c r="H175" s="23">
        <f t="shared" si="11"/>
        <v>209231.04229855951</v>
      </c>
    </row>
    <row r="176" spans="1:8" x14ac:dyDescent="0.2">
      <c r="A176">
        <v>2017</v>
      </c>
      <c r="B176" s="3" t="str">
        <f t="shared" si="8"/>
        <v>5134</v>
      </c>
      <c r="C176" s="3" t="s">
        <v>182</v>
      </c>
      <c r="D176" s="13">
        <v>207445</v>
      </c>
      <c r="E176" s="13">
        <v>207445</v>
      </c>
      <c r="F176" s="22">
        <f t="shared" si="9"/>
        <v>6.1382053333351012E-4</v>
      </c>
      <c r="G176" s="23">
        <f t="shared" si="10"/>
        <v>32372.96244826799</v>
      </c>
      <c r="H176" s="23">
        <f t="shared" si="11"/>
        <v>239817.96244826799</v>
      </c>
    </row>
    <row r="177" spans="1:8" x14ac:dyDescent="0.2">
      <c r="A177">
        <v>2017</v>
      </c>
      <c r="B177" s="3" t="str">
        <f t="shared" si="8"/>
        <v>5135</v>
      </c>
      <c r="C177" s="3" t="s">
        <v>183</v>
      </c>
      <c r="D177" s="13">
        <v>1159508</v>
      </c>
      <c r="E177" s="13">
        <v>1159508</v>
      </c>
      <c r="F177" s="22">
        <f t="shared" si="9"/>
        <v>3.4309326277542078E-3</v>
      </c>
      <c r="G177" s="23">
        <f t="shared" si="10"/>
        <v>180947.76419034597</v>
      </c>
      <c r="H177" s="23">
        <f t="shared" si="11"/>
        <v>1340455.764190346</v>
      </c>
    </row>
    <row r="178" spans="1:8" x14ac:dyDescent="0.2">
      <c r="A178">
        <v>2017</v>
      </c>
      <c r="B178" s="3" t="str">
        <f t="shared" si="8"/>
        <v>5137</v>
      </c>
      <c r="C178" s="3" t="s">
        <v>184</v>
      </c>
      <c r="D178" s="13">
        <v>175399</v>
      </c>
      <c r="E178" s="13">
        <v>175399</v>
      </c>
      <c r="F178" s="22">
        <f t="shared" si="9"/>
        <v>5.1899784389194405E-4</v>
      </c>
      <c r="G178" s="23">
        <f t="shared" si="10"/>
        <v>27372.003376623958</v>
      </c>
      <c r="H178" s="23">
        <f t="shared" si="11"/>
        <v>202771.00337662396</v>
      </c>
    </row>
    <row r="179" spans="1:8" x14ac:dyDescent="0.2">
      <c r="A179">
        <v>2017</v>
      </c>
      <c r="B179" s="3" t="str">
        <f t="shared" si="8"/>
        <v>5138</v>
      </c>
      <c r="C179" s="3" t="s">
        <v>185</v>
      </c>
      <c r="D179" s="13">
        <v>182776</v>
      </c>
      <c r="E179" s="13">
        <v>182776</v>
      </c>
      <c r="F179" s="22">
        <f t="shared" si="9"/>
        <v>5.4082605895811248E-4</v>
      </c>
      <c r="G179" s="23">
        <f t="shared" si="10"/>
        <v>28523.225840317336</v>
      </c>
      <c r="H179" s="23">
        <f t="shared" si="11"/>
        <v>211299.22584031735</v>
      </c>
    </row>
    <row r="180" spans="1:8" x14ac:dyDescent="0.2">
      <c r="A180">
        <v>2017</v>
      </c>
      <c r="B180" s="3" t="str">
        <f t="shared" si="8"/>
        <v>5140</v>
      </c>
      <c r="C180" s="3" t="s">
        <v>186</v>
      </c>
      <c r="D180" s="13">
        <v>260490</v>
      </c>
      <c r="E180" s="13">
        <v>260490</v>
      </c>
      <c r="F180" s="22">
        <f t="shared" si="9"/>
        <v>7.7077833029499888E-4</v>
      </c>
      <c r="G180" s="23">
        <f t="shared" si="10"/>
        <v>40650.933925374571</v>
      </c>
      <c r="H180" s="23">
        <f t="shared" si="11"/>
        <v>301140.93392537459</v>
      </c>
    </row>
    <row r="181" spans="1:8" x14ac:dyDescent="0.2">
      <c r="A181">
        <v>2017</v>
      </c>
      <c r="B181" s="3" t="str">
        <f t="shared" si="8"/>
        <v>5141</v>
      </c>
      <c r="C181" s="3" t="s">
        <v>187</v>
      </c>
      <c r="D181" s="13">
        <v>314753</v>
      </c>
      <c r="E181" s="13">
        <v>314753</v>
      </c>
      <c r="F181" s="22">
        <f t="shared" si="9"/>
        <v>9.3134013511206488E-4</v>
      </c>
      <c r="G181" s="23">
        <f t="shared" si="10"/>
        <v>49118.981173225162</v>
      </c>
      <c r="H181" s="23">
        <f t="shared" si="11"/>
        <v>363871.98117322515</v>
      </c>
    </row>
    <row r="182" spans="1:8" x14ac:dyDescent="0.2">
      <c r="A182">
        <v>2017</v>
      </c>
      <c r="B182" s="3" t="str">
        <f t="shared" si="8"/>
        <v>5142</v>
      </c>
      <c r="C182" s="3" t="s">
        <v>188</v>
      </c>
      <c r="D182" s="13">
        <v>80886</v>
      </c>
      <c r="E182" s="13">
        <v>80886</v>
      </c>
      <c r="F182" s="22">
        <f t="shared" si="9"/>
        <v>2.3933807833022871E-4</v>
      </c>
      <c r="G182" s="23">
        <f t="shared" si="10"/>
        <v>12622.716578324878</v>
      </c>
      <c r="H182" s="23">
        <f t="shared" si="11"/>
        <v>93508.716578324878</v>
      </c>
    </row>
    <row r="183" spans="1:8" x14ac:dyDescent="0.2">
      <c r="A183">
        <v>2017</v>
      </c>
      <c r="B183" s="3" t="str">
        <f t="shared" si="8"/>
        <v>5143</v>
      </c>
      <c r="C183" s="3" t="s">
        <v>189</v>
      </c>
      <c r="D183" s="13">
        <v>443748</v>
      </c>
      <c r="E183" s="13">
        <v>443748</v>
      </c>
      <c r="F183" s="22">
        <f t="shared" si="9"/>
        <v>1.3130306058265007E-3</v>
      </c>
      <c r="G183" s="23">
        <f t="shared" si="10"/>
        <v>69249.378584656282</v>
      </c>
      <c r="H183" s="23">
        <f t="shared" si="11"/>
        <v>512997.37858465628</v>
      </c>
    </row>
    <row r="184" spans="1:8" x14ac:dyDescent="0.2">
      <c r="A184">
        <v>2017</v>
      </c>
      <c r="B184" s="3" t="str">
        <f t="shared" si="8"/>
        <v>5144</v>
      </c>
      <c r="C184" s="3" t="s">
        <v>190</v>
      </c>
      <c r="D184" s="13">
        <v>210502</v>
      </c>
      <c r="E184" s="13">
        <v>210502</v>
      </c>
      <c r="F184" s="22">
        <f t="shared" si="9"/>
        <v>6.2286606043901048E-4</v>
      </c>
      <c r="G184" s="23">
        <f t="shared" si="10"/>
        <v>32850.024542820058</v>
      </c>
      <c r="H184" s="23">
        <f t="shared" si="11"/>
        <v>243352.02454282006</v>
      </c>
    </row>
    <row r="185" spans="1:8" x14ac:dyDescent="0.2">
      <c r="A185">
        <v>2017</v>
      </c>
      <c r="B185" s="3" t="str">
        <f t="shared" si="8"/>
        <v>5145</v>
      </c>
      <c r="C185" s="3" t="s">
        <v>191</v>
      </c>
      <c r="D185" s="13">
        <v>208240</v>
      </c>
      <c r="E185" s="13">
        <v>208240</v>
      </c>
      <c r="F185" s="22">
        <f t="shared" si="9"/>
        <v>6.1617290299293857E-4</v>
      </c>
      <c r="G185" s="23">
        <f t="shared" si="10"/>
        <v>32497.026682866908</v>
      </c>
      <c r="H185" s="23">
        <f t="shared" si="11"/>
        <v>240737.02668286691</v>
      </c>
    </row>
    <row r="186" spans="1:8" x14ac:dyDescent="0.2">
      <c r="A186">
        <v>2017</v>
      </c>
      <c r="B186" s="3" t="str">
        <f t="shared" si="8"/>
        <v>5147</v>
      </c>
      <c r="C186" s="3" t="s">
        <v>192</v>
      </c>
      <c r="D186" s="13">
        <v>4272471</v>
      </c>
      <c r="E186" s="13">
        <v>4272471</v>
      </c>
      <c r="F186" s="22">
        <f t="shared" si="9"/>
        <v>1.2642051762500687E-2</v>
      </c>
      <c r="G186" s="23">
        <f t="shared" si="10"/>
        <v>666743.20057998016</v>
      </c>
      <c r="H186" s="23">
        <f t="shared" si="11"/>
        <v>4939214.2005799804</v>
      </c>
    </row>
    <row r="187" spans="1:8" x14ac:dyDescent="0.2">
      <c r="A187">
        <v>2017</v>
      </c>
      <c r="B187" s="3" t="str">
        <f t="shared" si="8"/>
        <v>5148</v>
      </c>
      <c r="C187" s="3" t="s">
        <v>193</v>
      </c>
      <c r="D187" s="13">
        <v>448724</v>
      </c>
      <c r="E187" s="13">
        <v>448724</v>
      </c>
      <c r="F187" s="22">
        <f t="shared" si="9"/>
        <v>1.3277543686256404E-3</v>
      </c>
      <c r="G187" s="23">
        <f t="shared" si="10"/>
        <v>70025.911454296831</v>
      </c>
      <c r="H187" s="23">
        <f t="shared" si="11"/>
        <v>518749.91145429685</v>
      </c>
    </row>
    <row r="188" spans="1:8" x14ac:dyDescent="0.2">
      <c r="A188">
        <v>2017</v>
      </c>
      <c r="B188" s="3" t="str">
        <f t="shared" si="8"/>
        <v>5149</v>
      </c>
      <c r="C188" s="3" t="s">
        <v>194</v>
      </c>
      <c r="D188" s="13">
        <v>870365</v>
      </c>
      <c r="E188" s="13">
        <v>870365</v>
      </c>
      <c r="F188" s="22">
        <f t="shared" si="9"/>
        <v>2.5753713441867506E-3</v>
      </c>
      <c r="G188" s="23">
        <f t="shared" si="10"/>
        <v>135825.36798325708</v>
      </c>
      <c r="H188" s="23">
        <f t="shared" si="11"/>
        <v>1006190.367983257</v>
      </c>
    </row>
    <row r="189" spans="1:8" x14ac:dyDescent="0.2">
      <c r="A189">
        <v>2017</v>
      </c>
      <c r="B189" s="3" t="str">
        <f t="shared" si="8"/>
        <v>5150</v>
      </c>
      <c r="C189" s="3" t="s">
        <v>247</v>
      </c>
      <c r="D189" s="13">
        <v>798523</v>
      </c>
      <c r="E189" s="13">
        <v>798523</v>
      </c>
      <c r="F189" s="22">
        <f t="shared" si="9"/>
        <v>2.3627940598186241E-3</v>
      </c>
      <c r="G189" s="23">
        <f t="shared" si="10"/>
        <v>124614.01862218081</v>
      </c>
      <c r="H189" s="23">
        <f t="shared" si="11"/>
        <v>923137.0186221808</v>
      </c>
    </row>
    <row r="190" spans="1:8" x14ac:dyDescent="0.2">
      <c r="A190">
        <v>2017</v>
      </c>
      <c r="B190" s="3" t="str">
        <f t="shared" si="8"/>
        <v>5151</v>
      </c>
      <c r="C190" s="3" t="s">
        <v>196</v>
      </c>
      <c r="D190" s="13">
        <v>227269</v>
      </c>
      <c r="E190" s="13">
        <v>227269</v>
      </c>
      <c r="F190" s="22">
        <f t="shared" si="9"/>
        <v>6.7247886808635303E-4</v>
      </c>
      <c r="G190" s="23">
        <f t="shared" si="10"/>
        <v>35466.609475549747</v>
      </c>
      <c r="H190" s="23">
        <f t="shared" si="11"/>
        <v>262735.60947554978</v>
      </c>
    </row>
    <row r="191" spans="1:8" x14ac:dyDescent="0.2">
      <c r="A191">
        <v>2017</v>
      </c>
      <c r="B191" s="3" t="str">
        <f t="shared" si="8"/>
        <v>5152</v>
      </c>
      <c r="C191" s="3" t="s">
        <v>197</v>
      </c>
      <c r="D191" s="13">
        <v>454649</v>
      </c>
      <c r="E191" s="13">
        <v>454649</v>
      </c>
      <c r="F191" s="22">
        <f t="shared" si="9"/>
        <v>1.345286180238362E-3</v>
      </c>
      <c r="G191" s="23">
        <f t="shared" si="10"/>
        <v>70950.541127251039</v>
      </c>
      <c r="H191" s="23">
        <f t="shared" si="11"/>
        <v>525599.541127251</v>
      </c>
    </row>
    <row r="192" spans="1:8" x14ac:dyDescent="0.2">
      <c r="A192">
        <v>2017</v>
      </c>
      <c r="B192" s="3" t="str">
        <f t="shared" si="8"/>
        <v>5153</v>
      </c>
      <c r="C192" s="3" t="s">
        <v>198</v>
      </c>
      <c r="D192" s="13">
        <v>124179</v>
      </c>
      <c r="E192" s="13">
        <v>124179</v>
      </c>
      <c r="F192" s="22">
        <f t="shared" si="9"/>
        <v>3.6744014080272817E-4</v>
      </c>
      <c r="G192" s="23">
        <f t="shared" si="10"/>
        <v>19378.83344435137</v>
      </c>
      <c r="H192" s="23">
        <f t="shared" si="11"/>
        <v>143557.83344435136</v>
      </c>
    </row>
    <row r="193" spans="1:8" x14ac:dyDescent="0.2">
      <c r="A193">
        <v>2017</v>
      </c>
      <c r="B193" s="3" t="str">
        <f t="shared" si="8"/>
        <v>5154</v>
      </c>
      <c r="C193" s="3" t="s">
        <v>199</v>
      </c>
      <c r="D193" s="13">
        <v>169977</v>
      </c>
      <c r="E193" s="13">
        <v>169977</v>
      </c>
      <c r="F193" s="22">
        <f t="shared" si="9"/>
        <v>5.0295438691908717E-4</v>
      </c>
      <c r="G193" s="23">
        <f t="shared" si="10"/>
        <v>26525.869691095217</v>
      </c>
      <c r="H193" s="23">
        <f t="shared" si="11"/>
        <v>196502.86969109523</v>
      </c>
    </row>
    <row r="194" spans="1:8" x14ac:dyDescent="0.2">
      <c r="A194">
        <v>2017</v>
      </c>
      <c r="B194" s="3" t="str">
        <f t="shared" si="8"/>
        <v>5155</v>
      </c>
      <c r="C194" s="3" t="s">
        <v>200</v>
      </c>
      <c r="D194" s="13">
        <v>177741</v>
      </c>
      <c r="E194" s="13">
        <v>177741</v>
      </c>
      <c r="F194" s="22">
        <f t="shared" si="9"/>
        <v>5.2592771778173209E-4</v>
      </c>
      <c r="G194" s="23">
        <f t="shared" si="10"/>
        <v>27737.485687857505</v>
      </c>
      <c r="H194" s="23">
        <f t="shared" si="11"/>
        <v>205478.48568785749</v>
      </c>
    </row>
    <row r="195" spans="1:8" x14ac:dyDescent="0.2">
      <c r="A195">
        <v>2017</v>
      </c>
      <c r="B195" s="3" t="str">
        <f t="shared" ref="B195:B258" si="12">LEFT(C195,4)</f>
        <v>5156</v>
      </c>
      <c r="C195" s="3" t="s">
        <v>201</v>
      </c>
      <c r="D195" s="13">
        <v>550873</v>
      </c>
      <c r="E195" s="13">
        <v>550873</v>
      </c>
      <c r="F195" s="22">
        <f t="shared" ref="F195:F258" si="13">E195/$D$340</f>
        <v>1.630008718740055E-3</v>
      </c>
      <c r="G195" s="23">
        <f t="shared" ref="G195:G258" si="14">F195*$D$341</f>
        <v>85966.839127309562</v>
      </c>
      <c r="H195" s="23">
        <f t="shared" ref="H195:H258" si="15">SUM(G195,D195)</f>
        <v>636839.83912730962</v>
      </c>
    </row>
    <row r="196" spans="1:8" x14ac:dyDescent="0.2">
      <c r="A196">
        <v>2017</v>
      </c>
      <c r="B196" s="3" t="str">
        <f t="shared" si="12"/>
        <v>5157</v>
      </c>
      <c r="C196" s="3" t="s">
        <v>202</v>
      </c>
      <c r="D196" s="13">
        <v>128016</v>
      </c>
      <c r="E196" s="13">
        <v>128016</v>
      </c>
      <c r="F196" s="22">
        <f t="shared" si="13"/>
        <v>3.7879365323446033E-4</v>
      </c>
      <c r="G196" s="23">
        <f t="shared" si="14"/>
        <v>19977.618938887292</v>
      </c>
      <c r="H196" s="23">
        <f t="shared" si="15"/>
        <v>147993.61893888729</v>
      </c>
    </row>
    <row r="197" spans="1:8" x14ac:dyDescent="0.2">
      <c r="A197">
        <v>2017</v>
      </c>
      <c r="B197" s="3" t="str">
        <f t="shared" si="12"/>
        <v>5158</v>
      </c>
      <c r="C197" s="3" t="s">
        <v>203</v>
      </c>
      <c r="D197" s="13">
        <v>568072</v>
      </c>
      <c r="E197" s="13">
        <v>568072</v>
      </c>
      <c r="F197" s="22">
        <f t="shared" si="13"/>
        <v>1.6808997951834642E-3</v>
      </c>
      <c r="G197" s="23">
        <f t="shared" si="14"/>
        <v>88650.840096953369</v>
      </c>
      <c r="H197" s="23">
        <f t="shared" si="15"/>
        <v>656722.84009695332</v>
      </c>
    </row>
    <row r="198" spans="1:8" x14ac:dyDescent="0.2">
      <c r="A198">
        <v>2017</v>
      </c>
      <c r="B198" s="3" t="str">
        <f t="shared" si="12"/>
        <v>5159</v>
      </c>
      <c r="C198" s="3" t="s">
        <v>204</v>
      </c>
      <c r="D198" s="13">
        <v>871082</v>
      </c>
      <c r="E198" s="13">
        <v>871082</v>
      </c>
      <c r="F198" s="22">
        <f t="shared" si="13"/>
        <v>2.5774929153135561E-3</v>
      </c>
      <c r="G198" s="23">
        <f t="shared" si="14"/>
        <v>135937.25987785764</v>
      </c>
      <c r="H198" s="23">
        <f t="shared" si="15"/>
        <v>1007019.2598778576</v>
      </c>
    </row>
    <row r="199" spans="1:8" x14ac:dyDescent="0.2">
      <c r="A199">
        <v>2017</v>
      </c>
      <c r="B199" s="3" t="str">
        <f t="shared" si="12"/>
        <v>5160</v>
      </c>
      <c r="C199" s="3" t="s">
        <v>205</v>
      </c>
      <c r="D199" s="13">
        <v>244947</v>
      </c>
      <c r="E199" s="13">
        <v>244947</v>
      </c>
      <c r="F199" s="22">
        <f t="shared" si="13"/>
        <v>7.2478728423651232E-4</v>
      </c>
      <c r="G199" s="23">
        <f t="shared" si="14"/>
        <v>38225.361097234927</v>
      </c>
      <c r="H199" s="23">
        <f t="shared" si="15"/>
        <v>283172.36109723494</v>
      </c>
    </row>
    <row r="200" spans="1:8" x14ac:dyDescent="0.2">
      <c r="A200">
        <v>2017</v>
      </c>
      <c r="B200" s="3" t="str">
        <f t="shared" si="12"/>
        <v>5161</v>
      </c>
      <c r="C200" s="3" t="s">
        <v>206</v>
      </c>
      <c r="D200" s="13">
        <v>336395</v>
      </c>
      <c r="E200" s="13">
        <v>336395</v>
      </c>
      <c r="F200" s="22">
        <f t="shared" si="13"/>
        <v>9.9537785104835568E-4</v>
      </c>
      <c r="G200" s="23">
        <f t="shared" si="14"/>
        <v>52496.337355853895</v>
      </c>
      <c r="H200" s="23">
        <f t="shared" si="15"/>
        <v>388891.33735585387</v>
      </c>
    </row>
    <row r="201" spans="1:8" x14ac:dyDescent="0.2">
      <c r="A201">
        <v>2017</v>
      </c>
      <c r="B201" s="3" t="str">
        <f t="shared" si="12"/>
        <v>5162</v>
      </c>
      <c r="C201" s="3" t="s">
        <v>207</v>
      </c>
      <c r="D201" s="13">
        <v>363843</v>
      </c>
      <c r="E201" s="13">
        <v>363843</v>
      </c>
      <c r="F201" s="22">
        <f t="shared" si="13"/>
        <v>1.0765952628873402E-3</v>
      </c>
      <c r="G201" s="23">
        <f t="shared" si="14"/>
        <v>56779.752590157244</v>
      </c>
      <c r="H201" s="23">
        <f t="shared" si="15"/>
        <v>420622.75259015727</v>
      </c>
    </row>
    <row r="202" spans="1:8" x14ac:dyDescent="0.2">
      <c r="A202">
        <v>2017</v>
      </c>
      <c r="B202" s="3" t="str">
        <f t="shared" si="12"/>
        <v>5163</v>
      </c>
      <c r="C202" s="3" t="s">
        <v>208</v>
      </c>
      <c r="D202" s="13">
        <v>220455</v>
      </c>
      <c r="E202" s="13">
        <v>220455</v>
      </c>
      <c r="F202" s="22">
        <f t="shared" si="13"/>
        <v>6.5231654499283646E-4</v>
      </c>
      <c r="G202" s="23">
        <f t="shared" si="14"/>
        <v>34403.246337742145</v>
      </c>
      <c r="H202" s="23">
        <f t="shared" si="15"/>
        <v>254858.24633774214</v>
      </c>
    </row>
    <row r="203" spans="1:8" x14ac:dyDescent="0.2">
      <c r="A203">
        <v>2017</v>
      </c>
      <c r="B203" s="3" t="str">
        <f t="shared" si="12"/>
        <v>5164</v>
      </c>
      <c r="C203" s="3" t="s">
        <v>209</v>
      </c>
      <c r="D203" s="13">
        <v>224486</v>
      </c>
      <c r="E203" s="13">
        <v>224486</v>
      </c>
      <c r="F203" s="22">
        <f t="shared" si="13"/>
        <v>6.6424409480058018E-4</v>
      </c>
      <c r="G203" s="23">
        <f t="shared" si="14"/>
        <v>35032.306626633028</v>
      </c>
      <c r="H203" s="23">
        <f t="shared" si="15"/>
        <v>259518.30662663304</v>
      </c>
    </row>
    <row r="204" spans="1:8" x14ac:dyDescent="0.2">
      <c r="A204">
        <v>2017</v>
      </c>
      <c r="B204" s="3" t="str">
        <f t="shared" si="12"/>
        <v>5166</v>
      </c>
      <c r="C204" s="3" t="s">
        <v>210</v>
      </c>
      <c r="D204" s="13">
        <v>174809</v>
      </c>
      <c r="E204" s="13">
        <v>174809</v>
      </c>
      <c r="F204" s="22">
        <f t="shared" si="13"/>
        <v>5.1725206011953798E-4</v>
      </c>
      <c r="G204" s="23">
        <f t="shared" si="14"/>
        <v>27279.930548431046</v>
      </c>
      <c r="H204" s="23">
        <f t="shared" si="15"/>
        <v>202088.93054843106</v>
      </c>
    </row>
    <row r="205" spans="1:8" x14ac:dyDescent="0.2">
      <c r="A205">
        <v>2017</v>
      </c>
      <c r="B205" s="3" t="str">
        <f t="shared" si="12"/>
        <v>5167</v>
      </c>
      <c r="C205" s="3" t="s">
        <v>211</v>
      </c>
      <c r="D205" s="13">
        <v>450673</v>
      </c>
      <c r="E205" s="13">
        <v>450673</v>
      </c>
      <c r="F205" s="22">
        <f t="shared" si="13"/>
        <v>1.3335213729856732E-3</v>
      </c>
      <c r="G205" s="23">
        <f t="shared" si="14"/>
        <v>70330.063898615437</v>
      </c>
      <c r="H205" s="23">
        <f t="shared" si="15"/>
        <v>521003.06389861542</v>
      </c>
    </row>
    <row r="206" spans="1:8" x14ac:dyDescent="0.2">
      <c r="A206">
        <v>2017</v>
      </c>
      <c r="B206" s="3" t="str">
        <f t="shared" si="12"/>
        <v>5168</v>
      </c>
      <c r="C206" s="3" t="s">
        <v>212</v>
      </c>
      <c r="D206" s="13">
        <v>443117</v>
      </c>
      <c r="E206" s="13">
        <v>443117</v>
      </c>
      <c r="F206" s="22">
        <f t="shared" si="13"/>
        <v>1.3111635048766901E-3</v>
      </c>
      <c r="G206" s="23">
        <f t="shared" si="14"/>
        <v>69150.907475182175</v>
      </c>
      <c r="H206" s="23">
        <f t="shared" si="15"/>
        <v>512267.9074751822</v>
      </c>
    </row>
    <row r="207" spans="1:8" x14ac:dyDescent="0.2">
      <c r="A207">
        <v>2017</v>
      </c>
      <c r="B207" s="3" t="str">
        <f t="shared" si="12"/>
        <v>5171</v>
      </c>
      <c r="C207" s="3" t="s">
        <v>213</v>
      </c>
      <c r="D207" s="13">
        <v>236462</v>
      </c>
      <c r="E207" s="13">
        <v>236462</v>
      </c>
      <c r="F207" s="22">
        <f t="shared" si="13"/>
        <v>6.9968054642487632E-4</v>
      </c>
      <c r="G207" s="23">
        <f t="shared" si="14"/>
        <v>36901.228983308087</v>
      </c>
      <c r="H207" s="23">
        <f t="shared" si="15"/>
        <v>273363.22898330807</v>
      </c>
    </row>
    <row r="208" spans="1:8" x14ac:dyDescent="0.2">
      <c r="A208">
        <v>2017</v>
      </c>
      <c r="B208" s="3" t="str">
        <f t="shared" si="12"/>
        <v>5172</v>
      </c>
      <c r="C208" s="3" t="s">
        <v>214</v>
      </c>
      <c r="D208" s="13">
        <v>582036</v>
      </c>
      <c r="E208" s="13">
        <v>582036</v>
      </c>
      <c r="F208" s="22">
        <f t="shared" si="13"/>
        <v>1.7222186504341048E-3</v>
      </c>
      <c r="G208" s="23">
        <f t="shared" si="14"/>
        <v>90830.001067946228</v>
      </c>
      <c r="H208" s="23">
        <f t="shared" si="15"/>
        <v>672866.0010679462</v>
      </c>
    </row>
    <row r="209" spans="1:8" x14ac:dyDescent="0.2">
      <c r="A209">
        <v>2017</v>
      </c>
      <c r="B209" s="3" t="str">
        <f t="shared" si="12"/>
        <v>5173</v>
      </c>
      <c r="C209" s="3" t="s">
        <v>215</v>
      </c>
      <c r="D209" s="13">
        <v>357043</v>
      </c>
      <c r="E209" s="13">
        <v>357043</v>
      </c>
      <c r="F209" s="22">
        <f t="shared" si="13"/>
        <v>1.0564743651714742E-3</v>
      </c>
      <c r="G209" s="23">
        <f t="shared" si="14"/>
        <v>55718.574231323721</v>
      </c>
      <c r="H209" s="23">
        <f t="shared" si="15"/>
        <v>412761.57423132373</v>
      </c>
    </row>
    <row r="210" spans="1:8" x14ac:dyDescent="0.2">
      <c r="A210">
        <v>2017</v>
      </c>
      <c r="B210" s="3" t="str">
        <f t="shared" si="12"/>
        <v>5174</v>
      </c>
      <c r="C210" s="3" t="s">
        <v>216</v>
      </c>
      <c r="D210" s="13">
        <v>458338</v>
      </c>
      <c r="E210" s="13">
        <v>458338</v>
      </c>
      <c r="F210" s="22">
        <f t="shared" si="13"/>
        <v>1.3562017672492195E-3</v>
      </c>
      <c r="G210" s="23">
        <f t="shared" si="14"/>
        <v>71526.230386918236</v>
      </c>
      <c r="H210" s="23">
        <f t="shared" si="15"/>
        <v>529864.23038691818</v>
      </c>
    </row>
    <row r="211" spans="1:8" x14ac:dyDescent="0.2">
      <c r="A211">
        <v>2017</v>
      </c>
      <c r="B211" s="3" t="str">
        <f t="shared" si="12"/>
        <v>5175</v>
      </c>
      <c r="C211" s="3" t="s">
        <v>217</v>
      </c>
      <c r="D211" s="13">
        <v>249684</v>
      </c>
      <c r="E211" s="13">
        <v>249684</v>
      </c>
      <c r="F211" s="22">
        <f t="shared" si="13"/>
        <v>7.388038566600503E-4</v>
      </c>
      <c r="G211" s="23">
        <f t="shared" si="14"/>
        <v>38964.596668675287</v>
      </c>
      <c r="H211" s="23">
        <f t="shared" si="15"/>
        <v>288648.59666867531</v>
      </c>
    </row>
    <row r="212" spans="1:8" x14ac:dyDescent="0.2">
      <c r="A212">
        <v>2017</v>
      </c>
      <c r="B212" s="3" t="str">
        <f t="shared" si="12"/>
        <v>5176</v>
      </c>
      <c r="C212" s="3" t="s">
        <v>218</v>
      </c>
      <c r="D212" s="13">
        <v>1831488</v>
      </c>
      <c r="E212" s="13">
        <v>1831488</v>
      </c>
      <c r="F212" s="22">
        <f t="shared" si="13"/>
        <v>5.4192915758582939E-3</v>
      </c>
      <c r="G212" s="23">
        <f t="shared" si="14"/>
        <v>285814.03383283975</v>
      </c>
      <c r="H212" s="23">
        <f t="shared" si="15"/>
        <v>2117302.0338328397</v>
      </c>
    </row>
    <row r="213" spans="1:8" x14ac:dyDescent="0.2">
      <c r="A213">
        <v>2017</v>
      </c>
      <c r="B213" s="3" t="str">
        <f t="shared" si="12"/>
        <v>5185</v>
      </c>
      <c r="C213" s="3" t="s">
        <v>219</v>
      </c>
      <c r="D213" s="13">
        <v>15560230</v>
      </c>
      <c r="E213" s="13">
        <v>15560230</v>
      </c>
      <c r="F213" s="22">
        <f t="shared" si="13"/>
        <v>4.6042028862551924E-2</v>
      </c>
      <c r="G213" s="23">
        <f t="shared" si="14"/>
        <v>2428261.6668341635</v>
      </c>
      <c r="H213" s="23">
        <f t="shared" si="15"/>
        <v>17988491.666834164</v>
      </c>
    </row>
    <row r="214" spans="1:8" x14ac:dyDescent="0.2">
      <c r="A214">
        <v>2017</v>
      </c>
      <c r="B214" s="3" t="str">
        <f t="shared" si="12"/>
        <v>5186</v>
      </c>
      <c r="C214" s="3" t="s">
        <v>220</v>
      </c>
      <c r="D214" s="13">
        <v>291953</v>
      </c>
      <c r="E214" s="13">
        <v>291953</v>
      </c>
      <c r="F214" s="22">
        <f t="shared" si="13"/>
        <v>8.6387594865298403E-4</v>
      </c>
      <c r="G214" s="23">
        <f t="shared" si="14"/>
        <v>45560.912558312732</v>
      </c>
      <c r="H214" s="23">
        <f t="shared" si="15"/>
        <v>337513.91255831276</v>
      </c>
    </row>
    <row r="215" spans="1:8" x14ac:dyDescent="0.2">
      <c r="A215">
        <v>2017</v>
      </c>
      <c r="B215" s="3" t="str">
        <f t="shared" si="12"/>
        <v>5187</v>
      </c>
      <c r="C215" s="3" t="s">
        <v>221</v>
      </c>
      <c r="D215" s="13">
        <v>363124</v>
      </c>
      <c r="E215" s="13">
        <v>363124</v>
      </c>
      <c r="F215" s="22">
        <f t="shared" si="13"/>
        <v>1.0744677738494422E-3</v>
      </c>
      <c r="G215" s="23">
        <f t="shared" si="14"/>
        <v>56667.5485842747</v>
      </c>
      <c r="H215" s="23">
        <f t="shared" si="15"/>
        <v>419791.54858427471</v>
      </c>
    </row>
    <row r="216" spans="1:8" x14ac:dyDescent="0.2">
      <c r="A216">
        <v>2017</v>
      </c>
      <c r="B216" s="3" t="str">
        <f t="shared" si="12"/>
        <v>5188</v>
      </c>
      <c r="C216" s="3" t="s">
        <v>222</v>
      </c>
      <c r="D216" s="13">
        <v>192883</v>
      </c>
      <c r="E216" s="13">
        <v>192883</v>
      </c>
      <c r="F216" s="22">
        <f t="shared" si="13"/>
        <v>5.7073222266609185E-4</v>
      </c>
      <c r="G216" s="23">
        <f t="shared" si="14"/>
        <v>30100.480203954176</v>
      </c>
      <c r="H216" s="23">
        <f t="shared" si="15"/>
        <v>222983.48020395418</v>
      </c>
    </row>
    <row r="217" spans="1:8" x14ac:dyDescent="0.2">
      <c r="A217">
        <v>2017</v>
      </c>
      <c r="B217" s="3" t="str">
        <f t="shared" si="12"/>
        <v>5189</v>
      </c>
      <c r="C217" s="3" t="s">
        <v>223</v>
      </c>
      <c r="D217" s="13">
        <v>83983</v>
      </c>
      <c r="E217" s="13">
        <v>83983</v>
      </c>
      <c r="F217" s="22">
        <f t="shared" si="13"/>
        <v>2.485019636575872E-4</v>
      </c>
      <c r="G217" s="23">
        <f t="shared" si="14"/>
        <v>13106.02089851715</v>
      </c>
      <c r="H217" s="23">
        <f t="shared" si="15"/>
        <v>97089.020898517148</v>
      </c>
    </row>
    <row r="218" spans="1:8" x14ac:dyDescent="0.2">
      <c r="A218">
        <v>2017</v>
      </c>
      <c r="B218" s="3" t="str">
        <f t="shared" si="12"/>
        <v>5190</v>
      </c>
      <c r="C218" s="3" t="s">
        <v>224</v>
      </c>
      <c r="D218" s="13">
        <v>213909</v>
      </c>
      <c r="E218" s="13">
        <v>213909</v>
      </c>
      <c r="F218" s="22">
        <f t="shared" si="13"/>
        <v>6.3294722198576877E-4</v>
      </c>
      <c r="G218" s="23">
        <f t="shared" si="14"/>
        <v>33381.706111723863</v>
      </c>
      <c r="H218" s="23">
        <f t="shared" si="15"/>
        <v>247290.70611172385</v>
      </c>
    </row>
    <row r="219" spans="1:8" x14ac:dyDescent="0.2">
      <c r="A219">
        <v>2017</v>
      </c>
      <c r="B219" s="3" t="str">
        <f t="shared" si="12"/>
        <v>5191</v>
      </c>
      <c r="C219" s="3" t="s">
        <v>225</v>
      </c>
      <c r="D219" s="13">
        <v>719034</v>
      </c>
      <c r="E219" s="13">
        <v>719034</v>
      </c>
      <c r="F219" s="22">
        <f t="shared" si="13"/>
        <v>2.1275896423867875E-3</v>
      </c>
      <c r="G219" s="23">
        <f t="shared" si="14"/>
        <v>112209.31177433983</v>
      </c>
      <c r="H219" s="23">
        <f t="shared" si="15"/>
        <v>831243.31177433988</v>
      </c>
    </row>
    <row r="220" spans="1:8" x14ac:dyDescent="0.2">
      <c r="A220">
        <v>2017</v>
      </c>
      <c r="B220" s="3" t="str">
        <f t="shared" si="12"/>
        <v>5192</v>
      </c>
      <c r="C220" s="3" t="s">
        <v>226</v>
      </c>
      <c r="D220" s="13">
        <v>254519</v>
      </c>
      <c r="E220" s="13">
        <v>254519</v>
      </c>
      <c r="F220" s="22">
        <f t="shared" si="13"/>
        <v>7.5311040672714044E-4</v>
      </c>
      <c r="G220" s="23">
        <f t="shared" si="14"/>
        <v>39719.125692934125</v>
      </c>
      <c r="H220" s="23">
        <f t="shared" si="15"/>
        <v>294238.12569293415</v>
      </c>
    </row>
    <row r="221" spans="1:8" x14ac:dyDescent="0.2">
      <c r="A221">
        <v>2017</v>
      </c>
      <c r="B221" s="3" t="str">
        <f t="shared" si="12"/>
        <v>5193</v>
      </c>
      <c r="C221" s="3" t="s">
        <v>227</v>
      </c>
      <c r="D221" s="13">
        <v>1255729</v>
      </c>
      <c r="E221" s="13">
        <v>1255729</v>
      </c>
      <c r="F221" s="22">
        <f t="shared" si="13"/>
        <v>3.7156462893892612E-3</v>
      </c>
      <c r="G221" s="23">
        <f t="shared" si="14"/>
        <v>195963.59402348148</v>
      </c>
      <c r="H221" s="23">
        <f t="shared" si="15"/>
        <v>1451692.5940234815</v>
      </c>
    </row>
    <row r="222" spans="1:8" x14ac:dyDescent="0.2">
      <c r="A222">
        <v>2017</v>
      </c>
      <c r="B222" s="3" t="str">
        <f t="shared" si="12"/>
        <v>5195</v>
      </c>
      <c r="C222" s="3" t="s">
        <v>228</v>
      </c>
      <c r="D222" s="13">
        <v>537147</v>
      </c>
      <c r="E222" s="13">
        <v>537147</v>
      </c>
      <c r="F222" s="22">
        <f t="shared" si="13"/>
        <v>1.5893940949094697E-3</v>
      </c>
      <c r="G222" s="23">
        <f t="shared" si="14"/>
        <v>83824.819398875872</v>
      </c>
      <c r="H222" s="23">
        <f t="shared" si="15"/>
        <v>620971.81939887581</v>
      </c>
    </row>
    <row r="223" spans="1:8" x14ac:dyDescent="0.2">
      <c r="A223">
        <v>2017</v>
      </c>
      <c r="B223" s="3" t="str">
        <f t="shared" si="12"/>
        <v>5196</v>
      </c>
      <c r="C223" s="3" t="s">
        <v>229</v>
      </c>
      <c r="D223" s="13">
        <v>434129</v>
      </c>
      <c r="E223" s="13">
        <v>434129</v>
      </c>
      <c r="F223" s="22">
        <f t="shared" si="13"/>
        <v>1.2845684124251893E-3</v>
      </c>
      <c r="G223" s="23">
        <f t="shared" si="14"/>
        <v>67748.27937382985</v>
      </c>
      <c r="H223" s="23">
        <f t="shared" si="15"/>
        <v>501877.27937382984</v>
      </c>
    </row>
    <row r="224" spans="1:8" x14ac:dyDescent="0.2">
      <c r="A224">
        <v>2017</v>
      </c>
      <c r="B224" s="3" t="str">
        <f t="shared" si="12"/>
        <v>5197</v>
      </c>
      <c r="C224" s="3" t="s">
        <v>230</v>
      </c>
      <c r="D224" s="13">
        <v>241353</v>
      </c>
      <c r="E224" s="13">
        <v>241353</v>
      </c>
      <c r="F224" s="22">
        <f t="shared" si="13"/>
        <v>7.1415279800256769E-4</v>
      </c>
      <c r="G224" s="23">
        <f t="shared" si="14"/>
        <v>37664.497123463203</v>
      </c>
      <c r="H224" s="23">
        <f t="shared" si="15"/>
        <v>279017.4971234632</v>
      </c>
    </row>
    <row r="225" spans="1:8" x14ac:dyDescent="0.2">
      <c r="A225">
        <v>2017</v>
      </c>
      <c r="B225" s="3" t="str">
        <f t="shared" si="12"/>
        <v>5198</v>
      </c>
      <c r="C225" s="3" t="s">
        <v>231</v>
      </c>
      <c r="D225" s="13">
        <v>1044403</v>
      </c>
      <c r="E225" s="13">
        <v>1044403</v>
      </c>
      <c r="F225" s="22">
        <f t="shared" si="13"/>
        <v>3.0903420495799749E-3</v>
      </c>
      <c r="G225" s="23">
        <f t="shared" si="14"/>
        <v>162984.97963247332</v>
      </c>
      <c r="H225" s="23">
        <f t="shared" si="15"/>
        <v>1207387.9796324733</v>
      </c>
    </row>
    <row r="226" spans="1:8" x14ac:dyDescent="0.2">
      <c r="A226">
        <v>2017</v>
      </c>
      <c r="B226" s="3" t="str">
        <f t="shared" si="12"/>
        <v>5199</v>
      </c>
      <c r="C226" s="3" t="s">
        <v>232</v>
      </c>
      <c r="D226" s="13">
        <v>314574</v>
      </c>
      <c r="E226" s="13">
        <v>314574</v>
      </c>
      <c r="F226" s="22">
        <f t="shared" si="13"/>
        <v>9.308104820692502E-4</v>
      </c>
      <c r="G226" s="23">
        <f t="shared" si="14"/>
        <v>49091.047213485283</v>
      </c>
      <c r="H226" s="23">
        <f t="shared" si="15"/>
        <v>363665.04721348529</v>
      </c>
    </row>
    <row r="227" spans="1:8" x14ac:dyDescent="0.2">
      <c r="A227">
        <v>2017</v>
      </c>
      <c r="B227" s="3" t="str">
        <f t="shared" si="12"/>
        <v>5200</v>
      </c>
      <c r="C227" s="3" t="s">
        <v>233</v>
      </c>
      <c r="D227" s="13">
        <v>704306</v>
      </c>
      <c r="E227" s="13">
        <v>704306</v>
      </c>
      <c r="F227" s="22">
        <f t="shared" si="13"/>
        <v>2.0840101450986582E-3</v>
      </c>
      <c r="G227" s="23">
        <f t="shared" si="14"/>
        <v>109910.92429361919</v>
      </c>
      <c r="H227" s="23">
        <f t="shared" si="15"/>
        <v>814216.92429361923</v>
      </c>
    </row>
    <row r="228" spans="1:8" x14ac:dyDescent="0.2">
      <c r="A228">
        <v>2017</v>
      </c>
      <c r="B228" s="3" t="str">
        <f t="shared" si="12"/>
        <v>5201</v>
      </c>
      <c r="C228" s="3" t="s">
        <v>234</v>
      </c>
      <c r="D228" s="13">
        <v>166715</v>
      </c>
      <c r="E228" s="13">
        <v>166715</v>
      </c>
      <c r="F228" s="22">
        <f t="shared" si="13"/>
        <v>4.9330227392656431E-4</v>
      </c>
      <c r="G228" s="23">
        <f t="shared" si="14"/>
        <v>26016.816190137135</v>
      </c>
      <c r="H228" s="23">
        <f t="shared" si="15"/>
        <v>192731.81619013712</v>
      </c>
    </row>
    <row r="229" spans="1:8" x14ac:dyDescent="0.2">
      <c r="A229">
        <v>2017</v>
      </c>
      <c r="B229" s="3" t="str">
        <f t="shared" si="12"/>
        <v>5202</v>
      </c>
      <c r="C229" s="3" t="s">
        <v>235</v>
      </c>
      <c r="D229" s="13">
        <v>179726</v>
      </c>
      <c r="E229" s="13">
        <v>179726</v>
      </c>
      <c r="F229" s="22">
        <f t="shared" si="13"/>
        <v>5.3180124454143716E-4</v>
      </c>
      <c r="G229" s="23">
        <f t="shared" si="14"/>
        <v>28047.256135252297</v>
      </c>
      <c r="H229" s="23">
        <f t="shared" si="15"/>
        <v>207773.2561352523</v>
      </c>
    </row>
    <row r="230" spans="1:8" x14ac:dyDescent="0.2">
      <c r="A230">
        <v>2017</v>
      </c>
      <c r="B230" s="3" t="str">
        <f t="shared" si="12"/>
        <v>5203</v>
      </c>
      <c r="C230" s="3" t="s">
        <v>236</v>
      </c>
      <c r="D230" s="13">
        <v>558201</v>
      </c>
      <c r="E230" s="13">
        <v>558201</v>
      </c>
      <c r="F230" s="22">
        <f t="shared" si="13"/>
        <v>1.6516919449844473E-3</v>
      </c>
      <c r="G230" s="23">
        <f t="shared" si="14"/>
        <v>87110.414864593695</v>
      </c>
      <c r="H230" s="23">
        <f t="shared" si="15"/>
        <v>645311.41486459365</v>
      </c>
    </row>
    <row r="231" spans="1:8" x14ac:dyDescent="0.2">
      <c r="A231">
        <v>2017</v>
      </c>
      <c r="B231" s="3" t="str">
        <f t="shared" si="12"/>
        <v>5204</v>
      </c>
      <c r="C231" s="3" t="s">
        <v>237</v>
      </c>
      <c r="D231" s="13">
        <v>875927</v>
      </c>
      <c r="E231" s="13">
        <v>875927</v>
      </c>
      <c r="F231" s="22">
        <f t="shared" si="13"/>
        <v>2.5918290549361107E-3</v>
      </c>
      <c r="G231" s="23">
        <f t="shared" si="14"/>
        <v>136693.34945852653</v>
      </c>
      <c r="H231" s="23">
        <f t="shared" si="15"/>
        <v>1012620.3494585266</v>
      </c>
    </row>
    <row r="232" spans="1:8" x14ac:dyDescent="0.2">
      <c r="A232">
        <v>2017</v>
      </c>
      <c r="B232" s="3" t="str">
        <f t="shared" si="12"/>
        <v>5205</v>
      </c>
      <c r="C232" s="3" t="s">
        <v>238</v>
      </c>
      <c r="D232" s="13">
        <v>344458</v>
      </c>
      <c r="E232" s="13">
        <v>344458</v>
      </c>
      <c r="F232" s="22">
        <f t="shared" si="13"/>
        <v>1.0192359096193892E-3</v>
      </c>
      <c r="G232" s="23">
        <f t="shared" si="14"/>
        <v>53754.613989276644</v>
      </c>
      <c r="H232" s="23">
        <f t="shared" si="15"/>
        <v>398212.61398927664</v>
      </c>
    </row>
    <row r="233" spans="1:8" x14ac:dyDescent="0.2">
      <c r="A233">
        <v>2017</v>
      </c>
      <c r="B233" s="3" t="str">
        <f t="shared" si="12"/>
        <v>5206</v>
      </c>
      <c r="C233" s="3" t="s">
        <v>239</v>
      </c>
      <c r="D233" s="13">
        <v>358309</v>
      </c>
      <c r="E233" s="13">
        <v>358309</v>
      </c>
      <c r="F233" s="22">
        <f t="shared" si="13"/>
        <v>1.060220402893281E-3</v>
      </c>
      <c r="G233" s="23">
        <f t="shared" si="14"/>
        <v>55916.140672835958</v>
      </c>
      <c r="H233" s="23">
        <f t="shared" si="15"/>
        <v>414225.14067283599</v>
      </c>
    </row>
    <row r="234" spans="1:8" x14ac:dyDescent="0.2">
      <c r="A234">
        <v>2017</v>
      </c>
      <c r="B234" s="3" t="str">
        <f t="shared" si="12"/>
        <v>5207</v>
      </c>
      <c r="C234" s="3" t="s">
        <v>240</v>
      </c>
      <c r="D234" s="13">
        <v>796004</v>
      </c>
      <c r="E234" s="13">
        <v>796004</v>
      </c>
      <c r="F234" s="22">
        <f t="shared" si="13"/>
        <v>2.3553404507971141E-3</v>
      </c>
      <c r="G234" s="23">
        <f t="shared" si="14"/>
        <v>124220.91446248938</v>
      </c>
      <c r="H234" s="23">
        <f t="shared" si="15"/>
        <v>920224.91446248943</v>
      </c>
    </row>
    <row r="235" spans="1:8" x14ac:dyDescent="0.2">
      <c r="A235">
        <v>2017</v>
      </c>
      <c r="B235" s="3" t="str">
        <f t="shared" si="12"/>
        <v>5208</v>
      </c>
      <c r="C235" s="3" t="s">
        <v>241</v>
      </c>
      <c r="D235" s="13">
        <v>250734</v>
      </c>
      <c r="E235" s="13">
        <v>250734</v>
      </c>
      <c r="F235" s="22">
        <f t="shared" si="13"/>
        <v>7.4191075998382373E-4</v>
      </c>
      <c r="G235" s="23">
        <f t="shared" si="14"/>
        <v>39128.455091730459</v>
      </c>
      <c r="H235" s="23">
        <f t="shared" si="15"/>
        <v>289862.45509173046</v>
      </c>
    </row>
    <row r="236" spans="1:8" x14ac:dyDescent="0.2">
      <c r="A236">
        <v>2017</v>
      </c>
      <c r="B236" s="3" t="str">
        <f t="shared" si="12"/>
        <v>5210</v>
      </c>
      <c r="C236" s="3" t="s">
        <v>242</v>
      </c>
      <c r="D236" s="13">
        <v>2675897</v>
      </c>
      <c r="E236" s="13">
        <v>2675897</v>
      </c>
      <c r="F236" s="22">
        <f t="shared" si="13"/>
        <v>7.9178602698813643E-3</v>
      </c>
      <c r="G236" s="23">
        <f t="shared" si="14"/>
        <v>417588.82159817283</v>
      </c>
      <c r="H236" s="23">
        <f t="shared" si="15"/>
        <v>3093485.8215981727</v>
      </c>
    </row>
    <row r="237" spans="1:8" x14ac:dyDescent="0.2">
      <c r="A237">
        <v>2017</v>
      </c>
      <c r="B237" s="3" t="str">
        <f t="shared" si="12"/>
        <v>5212</v>
      </c>
      <c r="C237" s="3" t="s">
        <v>243</v>
      </c>
      <c r="D237" s="13">
        <v>589658</v>
      </c>
      <c r="E237" s="13">
        <v>589658</v>
      </c>
      <c r="F237" s="22">
        <f t="shared" si="13"/>
        <v>1.7447718096091536E-3</v>
      </c>
      <c r="G237" s="23">
        <f t="shared" si="14"/>
        <v>92019.457163685816</v>
      </c>
      <c r="H237" s="23">
        <f t="shared" si="15"/>
        <v>681677.45716368582</v>
      </c>
    </row>
    <row r="238" spans="1:8" x14ac:dyDescent="0.2">
      <c r="A238">
        <v>2017</v>
      </c>
      <c r="B238" s="3" t="str">
        <f t="shared" si="12"/>
        <v>5213</v>
      </c>
      <c r="C238" s="3" t="s">
        <v>244</v>
      </c>
      <c r="D238" s="13">
        <v>467876</v>
      </c>
      <c r="E238" s="13">
        <v>467876</v>
      </c>
      <c r="F238" s="22">
        <f t="shared" si="13"/>
        <v>1.3844242852512683E-3</v>
      </c>
      <c r="G238" s="23">
        <f t="shared" si="14"/>
        <v>73014.689090823274</v>
      </c>
      <c r="H238" s="23">
        <f t="shared" si="15"/>
        <v>540890.68909082329</v>
      </c>
    </row>
    <row r="239" spans="1:8" x14ac:dyDescent="0.2">
      <c r="A239">
        <v>2017</v>
      </c>
      <c r="B239" s="3" t="str">
        <f t="shared" si="12"/>
        <v>5214</v>
      </c>
      <c r="C239" s="3" t="s">
        <v>245</v>
      </c>
      <c r="D239" s="13">
        <v>2361660</v>
      </c>
      <c r="E239" s="13">
        <v>2361660</v>
      </c>
      <c r="F239" s="22">
        <f t="shared" si="13"/>
        <v>6.9880469558312678E-3</v>
      </c>
      <c r="G239" s="23">
        <f t="shared" si="14"/>
        <v>368550.3651357062</v>
      </c>
      <c r="H239" s="23">
        <f t="shared" si="15"/>
        <v>2730210.365135706</v>
      </c>
    </row>
    <row r="240" spans="1:8" x14ac:dyDescent="0.2">
      <c r="A240">
        <v>2017</v>
      </c>
      <c r="B240" s="3" t="str">
        <f t="shared" si="12"/>
        <v>5215</v>
      </c>
      <c r="C240" s="3" t="s">
        <v>246</v>
      </c>
      <c r="D240" s="13">
        <v>571662</v>
      </c>
      <c r="E240" s="13">
        <v>571662</v>
      </c>
      <c r="F240" s="22">
        <f t="shared" si="13"/>
        <v>1.691522445595223E-3</v>
      </c>
      <c r="G240" s="23">
        <f t="shared" si="14"/>
        <v>89211.079848161084</v>
      </c>
      <c r="H240" s="23">
        <f t="shared" si="15"/>
        <v>660873.07984816108</v>
      </c>
    </row>
    <row r="241" spans="1:8" x14ac:dyDescent="0.2">
      <c r="A241">
        <v>2017</v>
      </c>
      <c r="B241" s="3" t="str">
        <f t="shared" si="12"/>
        <v>5216</v>
      </c>
      <c r="C241" s="3" t="s">
        <v>299</v>
      </c>
      <c r="D241" s="13">
        <v>783800</v>
      </c>
      <c r="E241" s="13">
        <v>783800</v>
      </c>
      <c r="F241" s="22">
        <f t="shared" si="13"/>
        <v>2.3192293573082272E-3</v>
      </c>
      <c r="G241" s="23">
        <f t="shared" si="14"/>
        <v>122316.41141966521</v>
      </c>
      <c r="H241" s="23">
        <f t="shared" si="15"/>
        <v>906116.41141966521</v>
      </c>
    </row>
    <row r="242" spans="1:8" x14ac:dyDescent="0.2">
      <c r="A242">
        <v>2017</v>
      </c>
      <c r="B242" s="3" t="str">
        <f t="shared" si="12"/>
        <v>5217</v>
      </c>
      <c r="C242" s="3" t="s">
        <v>248</v>
      </c>
      <c r="D242" s="13">
        <v>100110</v>
      </c>
      <c r="E242" s="13">
        <v>100110</v>
      </c>
      <c r="F242" s="22">
        <f t="shared" si="13"/>
        <v>2.9622103975520113E-4</v>
      </c>
      <c r="G242" s="23">
        <f t="shared" si="14"/>
        <v>15622.730221003681</v>
      </c>
      <c r="H242" s="23">
        <f t="shared" si="15"/>
        <v>115732.73022100369</v>
      </c>
    </row>
    <row r="243" spans="1:8" x14ac:dyDescent="0.2">
      <c r="A243">
        <v>2017</v>
      </c>
      <c r="B243" s="3" t="str">
        <f t="shared" si="12"/>
        <v>5218</v>
      </c>
      <c r="C243" s="3" t="s">
        <v>249</v>
      </c>
      <c r="D243" s="13">
        <v>213149</v>
      </c>
      <c r="E243" s="13">
        <v>213149</v>
      </c>
      <c r="F243" s="22">
        <f t="shared" si="13"/>
        <v>6.3069841577046608E-4</v>
      </c>
      <c r="G243" s="23">
        <f t="shared" si="14"/>
        <v>33263.103824560116</v>
      </c>
      <c r="H243" s="23">
        <f t="shared" si="15"/>
        <v>246412.10382456012</v>
      </c>
    </row>
    <row r="244" spans="1:8" x14ac:dyDescent="0.2">
      <c r="A244">
        <v>2017</v>
      </c>
      <c r="B244" s="3" t="str">
        <f t="shared" si="12"/>
        <v>5219</v>
      </c>
      <c r="C244" s="3" t="s">
        <v>250</v>
      </c>
      <c r="D244" s="13">
        <v>162745</v>
      </c>
      <c r="E244" s="13">
        <v>162745</v>
      </c>
      <c r="F244" s="22">
        <f t="shared" si="13"/>
        <v>4.8155522040715416E-4</v>
      </c>
      <c r="G244" s="23">
        <f t="shared" si="14"/>
        <v>25397.275295347554</v>
      </c>
      <c r="H244" s="23">
        <f t="shared" si="15"/>
        <v>188142.27529534756</v>
      </c>
    </row>
    <row r="245" spans="1:8" x14ac:dyDescent="0.2">
      <c r="A245">
        <v>2017</v>
      </c>
      <c r="B245" s="3" t="str">
        <f t="shared" si="12"/>
        <v>5220</v>
      </c>
      <c r="C245" s="3" t="s">
        <v>251</v>
      </c>
      <c r="D245" s="13">
        <v>347256</v>
      </c>
      <c r="E245" s="13">
        <v>347256</v>
      </c>
      <c r="F245" s="22">
        <f t="shared" si="13"/>
        <v>1.0275150672383589E-3</v>
      </c>
      <c r="G245" s="23">
        <f t="shared" si="14"/>
        <v>54191.257672808446</v>
      </c>
      <c r="H245" s="23">
        <f t="shared" si="15"/>
        <v>401447.25767280842</v>
      </c>
    </row>
    <row r="246" spans="1:8" x14ac:dyDescent="0.2">
      <c r="A246">
        <v>2017</v>
      </c>
      <c r="B246" s="3" t="str">
        <f t="shared" si="12"/>
        <v>5222</v>
      </c>
      <c r="C246" s="3" t="s">
        <v>252</v>
      </c>
      <c r="D246" s="13">
        <v>288184</v>
      </c>
      <c r="E246" s="13">
        <v>288184</v>
      </c>
      <c r="F246" s="22">
        <f t="shared" si="13"/>
        <v>8.5272364519841054E-4</v>
      </c>
      <c r="G246" s="23">
        <f t="shared" si="14"/>
        <v>44972.738847365144</v>
      </c>
      <c r="H246" s="23">
        <f t="shared" si="15"/>
        <v>333156.73884736514</v>
      </c>
    </row>
    <row r="247" spans="1:8" x14ac:dyDescent="0.2">
      <c r="A247">
        <v>2017</v>
      </c>
      <c r="B247" s="3" t="str">
        <f t="shared" si="12"/>
        <v>5223</v>
      </c>
      <c r="C247" s="3" t="s">
        <v>253</v>
      </c>
      <c r="D247" s="13">
        <v>299678</v>
      </c>
      <c r="E247" s="13">
        <v>299678</v>
      </c>
      <c r="F247" s="22">
        <f t="shared" si="13"/>
        <v>8.8673388024931735E-4</v>
      </c>
      <c r="G247" s="23">
        <f t="shared" si="14"/>
        <v>46766.442385075825</v>
      </c>
      <c r="H247" s="23">
        <f t="shared" si="15"/>
        <v>346444.44238507585</v>
      </c>
    </row>
    <row r="248" spans="1:8" x14ac:dyDescent="0.2">
      <c r="A248">
        <v>2017</v>
      </c>
      <c r="B248" s="3" t="str">
        <f t="shared" si="12"/>
        <v>5226</v>
      </c>
      <c r="C248" s="3" t="s">
        <v>254</v>
      </c>
      <c r="D248" s="13">
        <v>144551</v>
      </c>
      <c r="E248" s="13">
        <v>144551</v>
      </c>
      <c r="F248" s="22">
        <f t="shared" si="13"/>
        <v>4.2771998319502622E-4</v>
      </c>
      <c r="G248" s="23">
        <f t="shared" si="14"/>
        <v>22557.998962903835</v>
      </c>
      <c r="H248" s="23">
        <f t="shared" si="15"/>
        <v>167108.99896290383</v>
      </c>
    </row>
    <row r="249" spans="1:8" x14ac:dyDescent="0.2">
      <c r="A249">
        <v>2017</v>
      </c>
      <c r="B249" s="3" t="str">
        <f t="shared" si="12"/>
        <v>5227</v>
      </c>
      <c r="C249" s="3" t="s">
        <v>255</v>
      </c>
      <c r="D249" s="13">
        <v>64087</v>
      </c>
      <c r="E249" s="13">
        <v>64087</v>
      </c>
      <c r="F249" s="22">
        <f t="shared" si="13"/>
        <v>1.896305841053998E-4</v>
      </c>
      <c r="G249" s="23">
        <f t="shared" si="14"/>
        <v>10001.137865083037</v>
      </c>
      <c r="H249" s="23">
        <f t="shared" si="15"/>
        <v>74088.13786508303</v>
      </c>
    </row>
    <row r="250" spans="1:8" x14ac:dyDescent="0.2">
      <c r="A250">
        <v>2017</v>
      </c>
      <c r="B250" s="3" t="str">
        <f t="shared" si="12"/>
        <v>5228</v>
      </c>
      <c r="C250" s="3" t="s">
        <v>256</v>
      </c>
      <c r="D250" s="13">
        <v>107542</v>
      </c>
      <c r="E250" s="13">
        <v>107542</v>
      </c>
      <c r="F250" s="22">
        <f t="shared" si="13"/>
        <v>3.1821199737642434E-4</v>
      </c>
      <c r="G250" s="23">
        <f t="shared" si="14"/>
        <v>16782.535744952333</v>
      </c>
      <c r="H250" s="23">
        <f t="shared" si="15"/>
        <v>124324.53574495233</v>
      </c>
    </row>
    <row r="251" spans="1:8" x14ac:dyDescent="0.2">
      <c r="A251">
        <v>2017</v>
      </c>
      <c r="B251" s="3" t="str">
        <f t="shared" si="12"/>
        <v>5229</v>
      </c>
      <c r="C251" s="3" t="s">
        <v>257</v>
      </c>
      <c r="D251" s="13">
        <v>272890</v>
      </c>
      <c r="E251" s="13">
        <v>272890</v>
      </c>
      <c r="F251" s="22">
        <f t="shared" si="13"/>
        <v>8.074693790709902E-4</v>
      </c>
      <c r="G251" s="23">
        <f t="shared" si="14"/>
        <v>42586.023873835722</v>
      </c>
      <c r="H251" s="23">
        <f t="shared" si="15"/>
        <v>315476.02387383574</v>
      </c>
    </row>
    <row r="252" spans="1:8" x14ac:dyDescent="0.2">
      <c r="A252">
        <v>2017</v>
      </c>
      <c r="B252" s="3" t="str">
        <f t="shared" si="12"/>
        <v>5230</v>
      </c>
      <c r="C252" s="3" t="s">
        <v>258</v>
      </c>
      <c r="D252" s="13">
        <v>568686</v>
      </c>
      <c r="E252" s="13">
        <v>568686</v>
      </c>
      <c r="F252" s="22">
        <f t="shared" si="13"/>
        <v>1.6827165938889852E-3</v>
      </c>
      <c r="G252" s="23">
        <f t="shared" si="14"/>
        <v>88746.658260530414</v>
      </c>
      <c r="H252" s="23">
        <f t="shared" si="15"/>
        <v>657432.65826053044</v>
      </c>
    </row>
    <row r="253" spans="1:8" x14ac:dyDescent="0.2">
      <c r="A253">
        <v>2017</v>
      </c>
      <c r="B253" s="3" t="str">
        <f t="shared" si="12"/>
        <v>5231</v>
      </c>
      <c r="C253" s="3" t="s">
        <v>259</v>
      </c>
      <c r="D253" s="13">
        <v>1221112</v>
      </c>
      <c r="E253" s="13">
        <v>1221112</v>
      </c>
      <c r="F253" s="22">
        <f t="shared" si="13"/>
        <v>3.6132161252377696E-3</v>
      </c>
      <c r="G253" s="23">
        <f t="shared" si="14"/>
        <v>190561.41589881375</v>
      </c>
      <c r="H253" s="23">
        <f t="shared" si="15"/>
        <v>1411673.4158988139</v>
      </c>
    </row>
    <row r="254" spans="1:8" x14ac:dyDescent="0.2">
      <c r="A254">
        <v>2017</v>
      </c>
      <c r="B254" s="3" t="str">
        <f t="shared" si="12"/>
        <v>5233</v>
      </c>
      <c r="C254" s="3" t="s">
        <v>260</v>
      </c>
      <c r="D254" s="13">
        <v>3950774</v>
      </c>
      <c r="E254" s="13">
        <v>3950774</v>
      </c>
      <c r="F254" s="22">
        <f t="shared" si="13"/>
        <v>1.1690164640074068E-2</v>
      </c>
      <c r="G254" s="23">
        <f t="shared" si="14"/>
        <v>616540.5690356167</v>
      </c>
      <c r="H254" s="23">
        <f t="shared" si="15"/>
        <v>4567314.5690356167</v>
      </c>
    </row>
    <row r="255" spans="1:8" x14ac:dyDescent="0.2">
      <c r="A255">
        <v>2017</v>
      </c>
      <c r="B255" s="3" t="str">
        <f t="shared" si="12"/>
        <v>5235</v>
      </c>
      <c r="C255" s="3" t="s">
        <v>261</v>
      </c>
      <c r="D255" s="13">
        <v>168428</v>
      </c>
      <c r="E255" s="13">
        <v>168428</v>
      </c>
      <c r="F255" s="22">
        <f t="shared" si="13"/>
        <v>4.9837096477763478E-4</v>
      </c>
      <c r="G255" s="23">
        <f t="shared" si="14"/>
        <v>26284.139503178583</v>
      </c>
      <c r="H255" s="23">
        <f t="shared" si="15"/>
        <v>194712.13950317859</v>
      </c>
    </row>
    <row r="256" spans="1:8" x14ac:dyDescent="0.2">
      <c r="A256">
        <v>2017</v>
      </c>
      <c r="B256" s="3" t="str">
        <f t="shared" si="12"/>
        <v>5236</v>
      </c>
      <c r="C256" s="3" t="s">
        <v>262</v>
      </c>
      <c r="D256" s="13">
        <v>415877</v>
      </c>
      <c r="E256" s="13">
        <v>415877</v>
      </c>
      <c r="F256" s="22">
        <f t="shared" si="13"/>
        <v>1.2305615557913672E-3</v>
      </c>
      <c r="G256" s="23">
        <f t="shared" si="14"/>
        <v>64899.951814207838</v>
      </c>
      <c r="H256" s="23">
        <f t="shared" si="15"/>
        <v>480776.95181420783</v>
      </c>
    </row>
    <row r="257" spans="1:8" x14ac:dyDescent="0.2">
      <c r="A257">
        <v>2017</v>
      </c>
      <c r="B257" s="3" t="str">
        <f t="shared" si="12"/>
        <v>5237</v>
      </c>
      <c r="C257" s="3" t="s">
        <v>263</v>
      </c>
      <c r="D257" s="13">
        <v>185277</v>
      </c>
      <c r="E257" s="13">
        <v>185277</v>
      </c>
      <c r="F257" s="22">
        <f t="shared" si="13"/>
        <v>5.4822640677978614E-4</v>
      </c>
      <c r="G257" s="23">
        <f t="shared" si="14"/>
        <v>28913.520998470667</v>
      </c>
      <c r="H257" s="23">
        <f t="shared" si="15"/>
        <v>214190.52099847066</v>
      </c>
    </row>
    <row r="258" spans="1:8" x14ac:dyDescent="0.2">
      <c r="A258">
        <v>2017</v>
      </c>
      <c r="B258" s="3" t="str">
        <f t="shared" si="12"/>
        <v>5238</v>
      </c>
      <c r="C258" s="3" t="s">
        <v>264</v>
      </c>
      <c r="D258" s="13">
        <v>161223</v>
      </c>
      <c r="E258" s="13">
        <v>161223</v>
      </c>
      <c r="F258" s="22">
        <f t="shared" si="13"/>
        <v>4.7705169006545588E-4</v>
      </c>
      <c r="G258" s="23">
        <f t="shared" si="14"/>
        <v>25159.758609738052</v>
      </c>
      <c r="H258" s="23">
        <f t="shared" si="15"/>
        <v>186382.75860973806</v>
      </c>
    </row>
    <row r="259" spans="1:8" x14ac:dyDescent="0.2">
      <c r="A259">
        <v>2017</v>
      </c>
      <c r="B259" s="3" t="str">
        <f t="shared" ref="B259:B322" si="16">LEFT(C259,4)</f>
        <v>5239</v>
      </c>
      <c r="C259" s="3" t="s">
        <v>265</v>
      </c>
      <c r="D259" s="13">
        <v>135898</v>
      </c>
      <c r="E259" s="13">
        <v>135898</v>
      </c>
      <c r="F259" s="22">
        <f t="shared" ref="F259:F322" si="17">E259/$D$340</f>
        <v>4.0211614085158647E-4</v>
      </c>
      <c r="G259" s="23">
        <f t="shared" ref="G259:G322" si="18">F259*$D$341</f>
        <v>21207.649501288164</v>
      </c>
      <c r="H259" s="23">
        <f t="shared" ref="H259:H322" si="19">SUM(G259,D259)</f>
        <v>157105.64950128816</v>
      </c>
    </row>
    <row r="260" spans="1:8" x14ac:dyDescent="0.2">
      <c r="A260">
        <v>2017</v>
      </c>
      <c r="B260" s="3" t="str">
        <f t="shared" si="16"/>
        <v>5240</v>
      </c>
      <c r="C260" s="3" t="s">
        <v>266</v>
      </c>
      <c r="D260" s="13">
        <v>285104</v>
      </c>
      <c r="E260" s="13">
        <v>285104</v>
      </c>
      <c r="F260" s="22">
        <f t="shared" si="17"/>
        <v>8.4361006211534169E-4</v>
      </c>
      <c r="G260" s="23">
        <f t="shared" si="18"/>
        <v>44492.087473069951</v>
      </c>
      <c r="H260" s="23">
        <f t="shared" si="19"/>
        <v>329596.08747306996</v>
      </c>
    </row>
    <row r="261" spans="1:8" x14ac:dyDescent="0.2">
      <c r="A261">
        <v>2017</v>
      </c>
      <c r="B261" s="3" t="str">
        <f t="shared" si="16"/>
        <v>5241</v>
      </c>
      <c r="C261" s="3" t="s">
        <v>362</v>
      </c>
      <c r="D261" s="13">
        <v>171440</v>
      </c>
      <c r="E261" s="13">
        <v>171440</v>
      </c>
      <c r="F261" s="22">
        <f t="shared" si="17"/>
        <v>5.072833388835449E-4</v>
      </c>
      <c r="G261" s="23">
        <f t="shared" si="18"/>
        <v>26754.179093885436</v>
      </c>
      <c r="H261" s="23">
        <f t="shared" si="19"/>
        <v>198194.17909388544</v>
      </c>
    </row>
    <row r="262" spans="1:8" x14ac:dyDescent="0.2">
      <c r="A262">
        <v>2017</v>
      </c>
      <c r="B262" s="3" t="str">
        <f t="shared" si="16"/>
        <v>5250</v>
      </c>
      <c r="C262" s="3" t="s">
        <v>268</v>
      </c>
      <c r="D262" s="13">
        <v>463854</v>
      </c>
      <c r="E262" s="13">
        <v>463854</v>
      </c>
      <c r="F262" s="22">
        <f t="shared" si="17"/>
        <v>1.3725233660434428E-3</v>
      </c>
      <c r="G262" s="23">
        <f t="shared" si="18"/>
        <v>72387.033302701442</v>
      </c>
      <c r="H262" s="23">
        <f t="shared" si="19"/>
        <v>536241.03330270143</v>
      </c>
    </row>
    <row r="263" spans="1:8" x14ac:dyDescent="0.2">
      <c r="A263">
        <v>2017</v>
      </c>
      <c r="B263" s="3" t="str">
        <f t="shared" si="16"/>
        <v>5251</v>
      </c>
      <c r="C263" s="3" t="s">
        <v>269</v>
      </c>
      <c r="D263" s="13">
        <v>150858</v>
      </c>
      <c r="E263" s="13">
        <v>150858</v>
      </c>
      <c r="F263" s="22">
        <f t="shared" si="17"/>
        <v>4.4638211582649217E-4</v>
      </c>
      <c r="G263" s="23">
        <f t="shared" si="18"/>
        <v>23542.241890721936</v>
      </c>
      <c r="H263" s="23">
        <f t="shared" si="19"/>
        <v>174400.24189072193</v>
      </c>
    </row>
    <row r="264" spans="1:8" x14ac:dyDescent="0.2">
      <c r="A264">
        <v>2017</v>
      </c>
      <c r="B264" s="3" t="str">
        <f t="shared" si="16"/>
        <v>5267</v>
      </c>
      <c r="C264" s="3" t="s">
        <v>270</v>
      </c>
      <c r="D264" s="13">
        <v>166931</v>
      </c>
      <c r="E264" s="13">
        <v>166931</v>
      </c>
      <c r="F264" s="22">
        <f t="shared" si="17"/>
        <v>4.9394140832459768E-4</v>
      </c>
      <c r="G264" s="23">
        <f t="shared" si="18"/>
        <v>26050.524208594197</v>
      </c>
      <c r="H264" s="23">
        <f t="shared" si="19"/>
        <v>192981.5242085942</v>
      </c>
    </row>
    <row r="265" spans="1:8" x14ac:dyDescent="0.2">
      <c r="A265">
        <v>2017</v>
      </c>
      <c r="B265" s="3" t="str">
        <f t="shared" si="16"/>
        <v>5268</v>
      </c>
      <c r="C265" s="3" t="s">
        <v>271</v>
      </c>
      <c r="D265" s="13">
        <v>168756</v>
      </c>
      <c r="E265" s="13">
        <v>168756</v>
      </c>
      <c r="F265" s="22">
        <f t="shared" si="17"/>
        <v>4.9934150219687061E-4</v>
      </c>
      <c r="G265" s="23">
        <f t="shared" si="18"/>
        <v>26335.325753428198</v>
      </c>
      <c r="H265" s="23">
        <f t="shared" si="19"/>
        <v>195091.32575342819</v>
      </c>
    </row>
    <row r="266" spans="1:8" x14ac:dyDescent="0.2">
      <c r="A266">
        <v>2017</v>
      </c>
      <c r="B266" s="3" t="str">
        <f t="shared" si="16"/>
        <v>5270</v>
      </c>
      <c r="C266" s="3" t="s">
        <v>272</v>
      </c>
      <c r="D266" s="13">
        <v>233751</v>
      </c>
      <c r="E266" s="13">
        <v>233751</v>
      </c>
      <c r="F266" s="22">
        <f t="shared" si="17"/>
        <v>6.9165881793844782E-4</v>
      </c>
      <c r="G266" s="23">
        <f t="shared" si="18"/>
        <v>36478.162140543711</v>
      </c>
      <c r="H266" s="23">
        <f t="shared" si="19"/>
        <v>270229.16214054369</v>
      </c>
    </row>
    <row r="267" spans="1:8" x14ac:dyDescent="0.2">
      <c r="A267">
        <v>2017</v>
      </c>
      <c r="B267" s="3" t="str">
        <f t="shared" si="16"/>
        <v>5271</v>
      </c>
      <c r="C267" s="3" t="s">
        <v>273</v>
      </c>
      <c r="D267" s="13">
        <v>123358</v>
      </c>
      <c r="E267" s="13">
        <v>123358</v>
      </c>
      <c r="F267" s="22">
        <f t="shared" si="17"/>
        <v>3.6501083829909196E-4</v>
      </c>
      <c r="G267" s="23">
        <f t="shared" si="18"/>
        <v>19250.711763086321</v>
      </c>
      <c r="H267" s="23">
        <f t="shared" si="19"/>
        <v>142608.71176308632</v>
      </c>
    </row>
    <row r="268" spans="1:8" x14ac:dyDescent="0.2">
      <c r="A268">
        <v>2017</v>
      </c>
      <c r="B268" s="3" t="str">
        <f t="shared" si="16"/>
        <v>5272</v>
      </c>
      <c r="C268" s="3" t="s">
        <v>274</v>
      </c>
      <c r="D268" s="13">
        <v>1947803</v>
      </c>
      <c r="E268" s="13">
        <v>1947803</v>
      </c>
      <c r="F268" s="22">
        <f t="shared" si="17"/>
        <v>5.7634624902437315E-3</v>
      </c>
      <c r="G268" s="23">
        <f t="shared" si="18"/>
        <v>303965.64571632835</v>
      </c>
      <c r="H268" s="23">
        <f t="shared" si="19"/>
        <v>2251768.6457163282</v>
      </c>
    </row>
    <row r="269" spans="1:8" x14ac:dyDescent="0.2">
      <c r="A269">
        <v>2017</v>
      </c>
      <c r="B269" s="3" t="str">
        <f t="shared" si="16"/>
        <v>5274</v>
      </c>
      <c r="C269" s="3" t="s">
        <v>275</v>
      </c>
      <c r="D269" s="13">
        <v>525689</v>
      </c>
      <c r="E269" s="13">
        <v>525689</v>
      </c>
      <c r="F269" s="22">
        <f t="shared" si="17"/>
        <v>1.5554903822582351E-3</v>
      </c>
      <c r="G269" s="23">
        <f t="shared" si="18"/>
        <v>82036.733864241367</v>
      </c>
      <c r="H269" s="23">
        <f t="shared" si="19"/>
        <v>607725.7338642414</v>
      </c>
    </row>
    <row r="270" spans="1:8" x14ac:dyDescent="0.2">
      <c r="A270">
        <v>2017</v>
      </c>
      <c r="B270" s="3" t="str">
        <f t="shared" si="16"/>
        <v>5275</v>
      </c>
      <c r="C270" s="3" t="s">
        <v>276</v>
      </c>
      <c r="D270" s="13">
        <v>1222749</v>
      </c>
      <c r="E270" s="13">
        <v>1222749</v>
      </c>
      <c r="F270" s="22">
        <f t="shared" si="17"/>
        <v>3.6180599354673098E-3</v>
      </c>
      <c r="G270" s="23">
        <f t="shared" si="18"/>
        <v>190816.87898313883</v>
      </c>
      <c r="H270" s="23">
        <f t="shared" si="19"/>
        <v>1413565.8789831388</v>
      </c>
    </row>
    <row r="271" spans="1:8" x14ac:dyDescent="0.2">
      <c r="A271">
        <v>2017</v>
      </c>
      <c r="B271" s="3" t="str">
        <f t="shared" si="16"/>
        <v>5276</v>
      </c>
      <c r="C271" s="3" t="s">
        <v>277</v>
      </c>
      <c r="D271" s="13">
        <v>662553</v>
      </c>
      <c r="E271" s="13">
        <v>662553</v>
      </c>
      <c r="F271" s="22">
        <f t="shared" si="17"/>
        <v>1.960464874167693E-3</v>
      </c>
      <c r="G271" s="23">
        <f t="shared" si="18"/>
        <v>103395.13311474028</v>
      </c>
      <c r="H271" s="23">
        <f t="shared" si="19"/>
        <v>765948.13311474025</v>
      </c>
    </row>
    <row r="272" spans="1:8" x14ac:dyDescent="0.2">
      <c r="A272">
        <v>2017</v>
      </c>
      <c r="B272" s="3" t="str">
        <f t="shared" si="16"/>
        <v>5278</v>
      </c>
      <c r="C272" s="3" t="s">
        <v>278</v>
      </c>
      <c r="D272" s="13">
        <v>190242</v>
      </c>
      <c r="E272" s="13">
        <v>190242</v>
      </c>
      <c r="F272" s="22">
        <f t="shared" si="17"/>
        <v>5.62917621067915E-4</v>
      </c>
      <c r="G272" s="23">
        <f t="shared" si="18"/>
        <v>29688.337256060153</v>
      </c>
      <c r="H272" s="23">
        <f t="shared" si="19"/>
        <v>219930.33725606016</v>
      </c>
    </row>
    <row r="273" spans="1:8" x14ac:dyDescent="0.2">
      <c r="A273">
        <v>2017</v>
      </c>
      <c r="B273" s="3" t="str">
        <f t="shared" si="16"/>
        <v>5280</v>
      </c>
      <c r="C273" s="3" t="s">
        <v>279</v>
      </c>
      <c r="D273" s="13">
        <v>3505298</v>
      </c>
      <c r="E273" s="13">
        <v>3505298</v>
      </c>
      <c r="F273" s="22">
        <f t="shared" si="17"/>
        <v>1.03720209590633E-2</v>
      </c>
      <c r="G273" s="23">
        <f t="shared" si="18"/>
        <v>547021.52630330389</v>
      </c>
      <c r="H273" s="23">
        <f t="shared" si="19"/>
        <v>4052319.5263033039</v>
      </c>
    </row>
    <row r="274" spans="1:8" x14ac:dyDescent="0.2">
      <c r="A274">
        <v>2017</v>
      </c>
      <c r="B274" s="3" t="str">
        <f t="shared" si="16"/>
        <v>5281</v>
      </c>
      <c r="C274" s="3" t="s">
        <v>280</v>
      </c>
      <c r="D274" s="13">
        <v>148437</v>
      </c>
      <c r="E274" s="13">
        <v>148437</v>
      </c>
      <c r="F274" s="22">
        <f t="shared" si="17"/>
        <v>4.3921848444853446E-4</v>
      </c>
      <c r="G274" s="23">
        <f t="shared" si="18"/>
        <v>23164.431183848996</v>
      </c>
      <c r="H274" s="23">
        <f t="shared" si="19"/>
        <v>171601.431183849</v>
      </c>
    </row>
    <row r="275" spans="1:8" x14ac:dyDescent="0.2">
      <c r="A275">
        <v>2017</v>
      </c>
      <c r="B275" s="3" t="str">
        <f t="shared" si="16"/>
        <v>5283</v>
      </c>
      <c r="C275" s="3" t="s">
        <v>281</v>
      </c>
      <c r="D275" s="13">
        <v>355014</v>
      </c>
      <c r="E275" s="13">
        <v>355014</v>
      </c>
      <c r="F275" s="22">
        <f t="shared" si="17"/>
        <v>1.0504706443677252E-3</v>
      </c>
      <c r="G275" s="23">
        <f t="shared" si="18"/>
        <v>55401.937335724702</v>
      </c>
      <c r="H275" s="23">
        <f t="shared" si="19"/>
        <v>410415.93733572471</v>
      </c>
    </row>
    <row r="276" spans="1:8" x14ac:dyDescent="0.2">
      <c r="A276">
        <v>2017</v>
      </c>
      <c r="B276" s="3" t="str">
        <f t="shared" si="16"/>
        <v>5284</v>
      </c>
      <c r="C276" s="3" t="s">
        <v>282</v>
      </c>
      <c r="D276" s="13">
        <v>490735</v>
      </c>
      <c r="E276" s="13">
        <v>490735</v>
      </c>
      <c r="F276" s="22">
        <f t="shared" si="17"/>
        <v>1.4520630500875899E-3</v>
      </c>
      <c r="G276" s="23">
        <f t="shared" si="18"/>
        <v>76581.964988555002</v>
      </c>
      <c r="H276" s="23">
        <f t="shared" si="19"/>
        <v>567316.96498855506</v>
      </c>
    </row>
    <row r="277" spans="1:8" x14ac:dyDescent="0.2">
      <c r="A277">
        <v>2017</v>
      </c>
      <c r="B277" s="3" t="str">
        <f t="shared" si="16"/>
        <v>5285</v>
      </c>
      <c r="C277" s="3" t="s">
        <v>283</v>
      </c>
      <c r="D277" s="13">
        <v>271697</v>
      </c>
      <c r="E277" s="13">
        <v>271697</v>
      </c>
      <c r="F277" s="22">
        <f t="shared" si="17"/>
        <v>8.0393934510407427E-4</v>
      </c>
      <c r="G277" s="23">
        <f t="shared" si="18"/>
        <v>42399.849494116839</v>
      </c>
      <c r="H277" s="23">
        <f t="shared" si="19"/>
        <v>314096.84949411685</v>
      </c>
    </row>
    <row r="278" spans="1:8" x14ac:dyDescent="0.2">
      <c r="A278">
        <v>2017</v>
      </c>
      <c r="B278" s="3" t="str">
        <f t="shared" si="16"/>
        <v>5286</v>
      </c>
      <c r="C278" s="3" t="s">
        <v>284</v>
      </c>
      <c r="D278" s="13">
        <v>234437</v>
      </c>
      <c r="E278" s="13">
        <v>234437</v>
      </c>
      <c r="F278" s="22">
        <f t="shared" si="17"/>
        <v>6.9368866144331313E-4</v>
      </c>
      <c r="G278" s="23">
        <f t="shared" si="18"/>
        <v>36585.216310273092</v>
      </c>
      <c r="H278" s="23">
        <f t="shared" si="19"/>
        <v>271022.2163102731</v>
      </c>
    </row>
    <row r="279" spans="1:8" x14ac:dyDescent="0.2">
      <c r="A279">
        <v>2017</v>
      </c>
      <c r="B279" s="3" t="str">
        <f t="shared" si="16"/>
        <v>5287</v>
      </c>
      <c r="C279" s="3" t="s">
        <v>285</v>
      </c>
      <c r="D279" s="13">
        <v>392425</v>
      </c>
      <c r="E279" s="13">
        <v>392425</v>
      </c>
      <c r="F279" s="22">
        <f t="shared" si="17"/>
        <v>1.1611681303160004E-3</v>
      </c>
      <c r="G279" s="23">
        <f t="shared" si="18"/>
        <v>61240.134921360193</v>
      </c>
      <c r="H279" s="23">
        <f t="shared" si="19"/>
        <v>453665.13492136018</v>
      </c>
    </row>
    <row r="280" spans="1:8" x14ac:dyDescent="0.2">
      <c r="A280">
        <v>2017</v>
      </c>
      <c r="B280" s="3" t="str">
        <f t="shared" si="16"/>
        <v>5288</v>
      </c>
      <c r="C280" s="3" t="s">
        <v>286</v>
      </c>
      <c r="D280" s="13">
        <v>233377</v>
      </c>
      <c r="E280" s="13">
        <v>233377</v>
      </c>
      <c r="F280" s="22">
        <f t="shared" si="17"/>
        <v>6.9055216856407523E-4</v>
      </c>
      <c r="G280" s="23">
        <f t="shared" si="18"/>
        <v>36419.797330807873</v>
      </c>
      <c r="H280" s="23">
        <f t="shared" si="19"/>
        <v>269796.79733080789</v>
      </c>
    </row>
    <row r="281" spans="1:8" x14ac:dyDescent="0.2">
      <c r="A281">
        <v>2017</v>
      </c>
      <c r="B281" s="3" t="str">
        <f t="shared" si="16"/>
        <v>5289</v>
      </c>
      <c r="C281" s="3" t="s">
        <v>287</v>
      </c>
      <c r="D281" s="13">
        <v>313874</v>
      </c>
      <c r="E281" s="13">
        <v>313874</v>
      </c>
      <c r="F281" s="22">
        <f t="shared" si="17"/>
        <v>9.2873921318673447E-4</v>
      </c>
      <c r="G281" s="23">
        <f t="shared" si="18"/>
        <v>48981.80826478183</v>
      </c>
      <c r="H281" s="23">
        <f t="shared" si="19"/>
        <v>362855.80826478184</v>
      </c>
    </row>
    <row r="282" spans="1:8" x14ac:dyDescent="0.2">
      <c r="A282">
        <v>2017</v>
      </c>
      <c r="B282" s="3" t="str">
        <f t="shared" si="16"/>
        <v>5291</v>
      </c>
      <c r="C282" s="3" t="s">
        <v>288</v>
      </c>
      <c r="D282" s="13">
        <v>433803</v>
      </c>
      <c r="E282" s="13">
        <v>433803</v>
      </c>
      <c r="F282" s="22">
        <f t="shared" si="17"/>
        <v>1.2836037929170464E-3</v>
      </c>
      <c r="G282" s="23">
        <f t="shared" si="18"/>
        <v>67697.40523486225</v>
      </c>
      <c r="H282" s="23">
        <f t="shared" si="19"/>
        <v>501500.40523486224</v>
      </c>
    </row>
    <row r="283" spans="1:8" x14ac:dyDescent="0.2">
      <c r="A283">
        <v>2017</v>
      </c>
      <c r="B283" s="3" t="str">
        <f t="shared" si="16"/>
        <v>5292</v>
      </c>
      <c r="C283" s="3" t="s">
        <v>289</v>
      </c>
      <c r="D283" s="13">
        <v>1134310</v>
      </c>
      <c r="E283" s="13">
        <v>1134310</v>
      </c>
      <c r="F283" s="22">
        <f t="shared" si="17"/>
        <v>3.3563728658947377E-3</v>
      </c>
      <c r="G283" s="23">
        <f t="shared" si="18"/>
        <v>177015.47414830371</v>
      </c>
      <c r="H283" s="23">
        <f t="shared" si="19"/>
        <v>1311325.4741483037</v>
      </c>
    </row>
    <row r="284" spans="1:8" x14ac:dyDescent="0.2">
      <c r="A284">
        <v>2017</v>
      </c>
      <c r="B284" s="3" t="str">
        <f t="shared" si="16"/>
        <v>5293</v>
      </c>
      <c r="C284" s="3" t="s">
        <v>290</v>
      </c>
      <c r="D284" s="13">
        <v>266478</v>
      </c>
      <c r="E284" s="13">
        <v>266478</v>
      </c>
      <c r="F284" s="22">
        <f t="shared" si="17"/>
        <v>7.8849655610714695E-4</v>
      </c>
      <c r="G284" s="23">
        <f t="shared" si="18"/>
        <v>41585.395103712101</v>
      </c>
      <c r="H284" s="23">
        <f t="shared" si="19"/>
        <v>308063.3951037121</v>
      </c>
    </row>
    <row r="285" spans="1:8" x14ac:dyDescent="0.2">
      <c r="A285">
        <v>2017</v>
      </c>
      <c r="B285" s="3" t="str">
        <f t="shared" si="16"/>
        <v>5294</v>
      </c>
      <c r="C285" s="3" t="s">
        <v>291</v>
      </c>
      <c r="D285" s="13">
        <v>593203</v>
      </c>
      <c r="E285" s="13">
        <v>593203</v>
      </c>
      <c r="F285" s="22">
        <f t="shared" si="17"/>
        <v>1.7552613070213221E-3</v>
      </c>
      <c r="G285" s="23">
        <f t="shared" si="18"/>
        <v>92572.674411048298</v>
      </c>
      <c r="H285" s="23">
        <f t="shared" si="19"/>
        <v>685775.6744110483</v>
      </c>
    </row>
    <row r="286" spans="1:8" x14ac:dyDescent="0.2">
      <c r="A286">
        <v>2017</v>
      </c>
      <c r="B286" s="3" t="str">
        <f t="shared" si="16"/>
        <v>5295</v>
      </c>
      <c r="C286" s="3" t="s">
        <v>292</v>
      </c>
      <c r="D286" s="13">
        <v>184912</v>
      </c>
      <c r="E286" s="13">
        <v>184912</v>
      </c>
      <c r="F286" s="22">
        <f t="shared" si="17"/>
        <v>5.4714638800533162E-4</v>
      </c>
      <c r="G286" s="23">
        <f t="shared" si="18"/>
        <v>28856.560689503869</v>
      </c>
      <c r="H286" s="23">
        <f t="shared" si="19"/>
        <v>213768.56068950388</v>
      </c>
    </row>
    <row r="287" spans="1:8" x14ac:dyDescent="0.2">
      <c r="A287">
        <v>2017</v>
      </c>
      <c r="B287" s="3" t="str">
        <f t="shared" si="16"/>
        <v>5296</v>
      </c>
      <c r="C287" s="3" t="s">
        <v>293</v>
      </c>
      <c r="D287" s="13">
        <v>946174</v>
      </c>
      <c r="E287" s="13">
        <v>946174</v>
      </c>
      <c r="F287" s="22">
        <f t="shared" si="17"/>
        <v>2.799686805207648E-3</v>
      </c>
      <c r="G287" s="23">
        <f t="shared" si="18"/>
        <v>147655.79007219992</v>
      </c>
      <c r="H287" s="23">
        <f t="shared" si="19"/>
        <v>1093829.7900721999</v>
      </c>
    </row>
    <row r="288" spans="1:8" x14ac:dyDescent="0.2">
      <c r="A288">
        <v>2017</v>
      </c>
      <c r="B288" s="3" t="str">
        <f t="shared" si="16"/>
        <v>5297</v>
      </c>
      <c r="C288" s="3" t="s">
        <v>294</v>
      </c>
      <c r="D288" s="13">
        <v>466792</v>
      </c>
      <c r="E288" s="13">
        <v>466792</v>
      </c>
      <c r="F288" s="22">
        <f t="shared" si="17"/>
        <v>1.3812167774389155E-3</v>
      </c>
      <c r="G288" s="23">
        <f t="shared" si="18"/>
        <v>72845.524775973929</v>
      </c>
      <c r="H288" s="23">
        <f t="shared" si="19"/>
        <v>539637.52477597399</v>
      </c>
    </row>
    <row r="289" spans="1:8" x14ac:dyDescent="0.2">
      <c r="A289">
        <v>2017</v>
      </c>
      <c r="B289" s="3" t="str">
        <f t="shared" si="16"/>
        <v>5298</v>
      </c>
      <c r="C289" s="3" t="s">
        <v>295</v>
      </c>
      <c r="D289" s="13">
        <v>67323</v>
      </c>
      <c r="E289" s="13">
        <v>67323</v>
      </c>
      <c r="F289" s="22">
        <f t="shared" si="17"/>
        <v>1.9920576425371496E-4</v>
      </c>
      <c r="G289" s="23">
        <f t="shared" si="18"/>
        <v>10506.133919374995</v>
      </c>
      <c r="H289" s="23">
        <f t="shared" si="19"/>
        <v>77829.133919374988</v>
      </c>
    </row>
    <row r="290" spans="1:8" x14ac:dyDescent="0.2">
      <c r="A290">
        <v>2017</v>
      </c>
      <c r="B290" s="3" t="str">
        <f t="shared" si="16"/>
        <v>5299</v>
      </c>
      <c r="C290" s="3" t="s">
        <v>296</v>
      </c>
      <c r="D290" s="13">
        <v>115536</v>
      </c>
      <c r="E290" s="13">
        <v>115536</v>
      </c>
      <c r="F290" s="22">
        <f t="shared" si="17"/>
        <v>3.4186588801475294E-4</v>
      </c>
      <c r="G290" s="23">
        <f t="shared" si="18"/>
        <v>18030.044539145751</v>
      </c>
      <c r="H290" s="23">
        <f t="shared" si="19"/>
        <v>133566.04453914575</v>
      </c>
    </row>
    <row r="291" spans="1:8" x14ac:dyDescent="0.2">
      <c r="A291">
        <v>2017</v>
      </c>
      <c r="B291" s="3" t="str">
        <f t="shared" si="16"/>
        <v>5300</v>
      </c>
      <c r="C291" s="3" t="s">
        <v>297</v>
      </c>
      <c r="D291" s="13">
        <v>427109</v>
      </c>
      <c r="E291" s="13">
        <v>427109</v>
      </c>
      <c r="F291" s="22">
        <f t="shared" si="17"/>
        <v>1.263796544489104E-3</v>
      </c>
      <c r="G291" s="23">
        <f t="shared" si="18"/>
        <v>66652.768773975229</v>
      </c>
      <c r="H291" s="23">
        <f t="shared" si="19"/>
        <v>493761.7687739752</v>
      </c>
    </row>
    <row r="292" spans="1:8" x14ac:dyDescent="0.2">
      <c r="A292">
        <v>2017</v>
      </c>
      <c r="B292" s="3" t="str">
        <f t="shared" si="16"/>
        <v>5302</v>
      </c>
      <c r="C292" s="3" t="s">
        <v>298</v>
      </c>
      <c r="D292" s="13">
        <v>2056201</v>
      </c>
      <c r="E292" s="13">
        <v>2056201</v>
      </c>
      <c r="F292" s="22">
        <f t="shared" si="17"/>
        <v>6.0842073535679183E-3</v>
      </c>
      <c r="G292" s="23">
        <f t="shared" si="18"/>
        <v>320881.76508998091</v>
      </c>
      <c r="H292" s="23">
        <f t="shared" si="19"/>
        <v>2377082.7650899808</v>
      </c>
    </row>
    <row r="293" spans="1:8" x14ac:dyDescent="0.2">
      <c r="A293">
        <v>2017</v>
      </c>
      <c r="B293" s="3" t="str">
        <f t="shared" si="16"/>
        <v>5303</v>
      </c>
      <c r="C293" s="3" t="s">
        <v>345</v>
      </c>
      <c r="D293" s="13">
        <v>1145944</v>
      </c>
      <c r="E293" s="13">
        <v>1145944</v>
      </c>
      <c r="F293" s="22">
        <f t="shared" si="17"/>
        <v>3.3907973547221476E-3</v>
      </c>
      <c r="G293" s="23">
        <f t="shared" si="18"/>
        <v>178831.02547575507</v>
      </c>
      <c r="H293" s="23">
        <f t="shared" si="19"/>
        <v>1324775.0254757551</v>
      </c>
    </row>
    <row r="294" spans="1:8" x14ac:dyDescent="0.2">
      <c r="A294">
        <v>2017</v>
      </c>
      <c r="B294" s="3" t="str">
        <f t="shared" si="16"/>
        <v>5304</v>
      </c>
      <c r="C294" s="3" t="s">
        <v>300</v>
      </c>
      <c r="D294" s="13">
        <v>938191</v>
      </c>
      <c r="E294" s="13">
        <v>938191</v>
      </c>
      <c r="F294" s="22">
        <f t="shared" si="17"/>
        <v>2.7760654630803305E-3</v>
      </c>
      <c r="G294" s="23">
        <f t="shared" si="18"/>
        <v>146409.99789005757</v>
      </c>
      <c r="H294" s="23">
        <f t="shared" si="19"/>
        <v>1084600.9978900575</v>
      </c>
    </row>
    <row r="295" spans="1:8" x14ac:dyDescent="0.2">
      <c r="A295">
        <v>2017</v>
      </c>
      <c r="B295" s="3" t="str">
        <f t="shared" si="16"/>
        <v>5305</v>
      </c>
      <c r="C295" s="3" t="s">
        <v>301</v>
      </c>
      <c r="D295" s="13">
        <v>205383</v>
      </c>
      <c r="E295" s="13">
        <v>205383</v>
      </c>
      <c r="F295" s="22">
        <f t="shared" si="17"/>
        <v>6.0771916699672824E-4</v>
      </c>
      <c r="G295" s="23">
        <f t="shared" si="18"/>
        <v>32051.175716515816</v>
      </c>
      <c r="H295" s="23">
        <f t="shared" si="19"/>
        <v>237434.17571651581</v>
      </c>
    </row>
    <row r="296" spans="1:8" x14ac:dyDescent="0.2">
      <c r="A296">
        <v>2017</v>
      </c>
      <c r="B296" s="3" t="str">
        <f t="shared" si="16"/>
        <v>5306</v>
      </c>
      <c r="C296" s="3" t="s">
        <v>302</v>
      </c>
      <c r="D296" s="13">
        <v>847180</v>
      </c>
      <c r="E296" s="13">
        <v>847180</v>
      </c>
      <c r="F296" s="22">
        <f t="shared" si="17"/>
        <v>2.5067679598422864E-3</v>
      </c>
      <c r="G296" s="23">
        <f t="shared" si="18"/>
        <v>132207.21794655776</v>
      </c>
      <c r="H296" s="23">
        <f t="shared" si="19"/>
        <v>979387.21794655779</v>
      </c>
    </row>
    <row r="297" spans="1:8" x14ac:dyDescent="0.2">
      <c r="A297">
        <v>2017</v>
      </c>
      <c r="B297" s="3" t="str">
        <f t="shared" si="16"/>
        <v>5307</v>
      </c>
      <c r="C297" s="3" t="s">
        <v>303</v>
      </c>
      <c r="D297" s="13">
        <v>122028</v>
      </c>
      <c r="E297" s="13">
        <v>122028</v>
      </c>
      <c r="F297" s="22">
        <f t="shared" si="17"/>
        <v>3.6107542742231226E-4</v>
      </c>
      <c r="G297" s="23">
        <f t="shared" si="18"/>
        <v>19043.157760549766</v>
      </c>
      <c r="H297" s="23">
        <f t="shared" si="19"/>
        <v>141071.15776054977</v>
      </c>
    </row>
    <row r="298" spans="1:8" x14ac:dyDescent="0.2">
      <c r="A298">
        <v>2017</v>
      </c>
      <c r="B298" s="3" t="str">
        <f t="shared" si="16"/>
        <v>5308</v>
      </c>
      <c r="C298" s="3" t="s">
        <v>304</v>
      </c>
      <c r="D298" s="13">
        <v>7012565</v>
      </c>
      <c r="E298" s="13">
        <v>7012565</v>
      </c>
      <c r="F298" s="22">
        <f t="shared" si="17"/>
        <v>2.0749868101597561E-2</v>
      </c>
      <c r="G298" s="23">
        <f t="shared" si="18"/>
        <v>1094350.3261637466</v>
      </c>
      <c r="H298" s="23">
        <f t="shared" si="19"/>
        <v>8106915.3261637464</v>
      </c>
    </row>
    <row r="299" spans="1:8" x14ac:dyDescent="0.2">
      <c r="A299">
        <v>2017</v>
      </c>
      <c r="B299" s="3" t="str">
        <f t="shared" si="16"/>
        <v>5309</v>
      </c>
      <c r="C299" s="3" t="s">
        <v>305</v>
      </c>
      <c r="D299" s="13">
        <v>547604</v>
      </c>
      <c r="E299" s="13">
        <v>547604</v>
      </c>
      <c r="F299" s="22">
        <f t="shared" si="17"/>
        <v>1.6203358930587069E-3</v>
      </c>
      <c r="G299" s="23">
        <f t="shared" si="18"/>
        <v>85456.693236864434</v>
      </c>
      <c r="H299" s="23">
        <f t="shared" si="19"/>
        <v>633060.6932368644</v>
      </c>
    </row>
    <row r="300" spans="1:8" x14ac:dyDescent="0.2">
      <c r="A300">
        <v>2017</v>
      </c>
      <c r="B300" s="3" t="str">
        <f t="shared" si="16"/>
        <v>5310</v>
      </c>
      <c r="C300" s="3" t="s">
        <v>306</v>
      </c>
      <c r="D300" s="13">
        <v>78001</v>
      </c>
      <c r="E300" s="13">
        <v>78001</v>
      </c>
      <c r="F300" s="22">
        <f t="shared" si="17"/>
        <v>2.3080149157871782E-4</v>
      </c>
      <c r="G300" s="23">
        <f t="shared" si="18"/>
        <v>12172.496054025652</v>
      </c>
      <c r="H300" s="23">
        <f t="shared" si="19"/>
        <v>90173.496054025658</v>
      </c>
    </row>
    <row r="301" spans="1:8" x14ac:dyDescent="0.2">
      <c r="A301">
        <v>2017</v>
      </c>
      <c r="B301" s="3" t="str">
        <f t="shared" si="16"/>
        <v>5312</v>
      </c>
      <c r="C301" s="3" t="s">
        <v>307</v>
      </c>
      <c r="D301" s="13">
        <v>2727114</v>
      </c>
      <c r="E301" s="13">
        <v>2727114</v>
      </c>
      <c r="F301" s="22">
        <f t="shared" si="17"/>
        <v>8.0694090961039404E-3</v>
      </c>
      <c r="G301" s="23">
        <f t="shared" si="18"/>
        <v>425581.52336352237</v>
      </c>
      <c r="H301" s="23">
        <f t="shared" si="19"/>
        <v>3152695.5233635223</v>
      </c>
    </row>
    <row r="302" spans="1:8" x14ac:dyDescent="0.2">
      <c r="A302">
        <v>2017</v>
      </c>
      <c r="B302" s="3" t="str">
        <f t="shared" si="16"/>
        <v>5313</v>
      </c>
      <c r="C302" s="3" t="s">
        <v>308</v>
      </c>
      <c r="D302" s="13">
        <v>233383</v>
      </c>
      <c r="E302" s="13">
        <v>233383</v>
      </c>
      <c r="F302" s="22">
        <f t="shared" si="17"/>
        <v>6.9056992229735387E-4</v>
      </c>
      <c r="G302" s="23">
        <f t="shared" si="18"/>
        <v>36420.733664653897</v>
      </c>
      <c r="H302" s="23">
        <f t="shared" si="19"/>
        <v>269803.7336646539</v>
      </c>
    </row>
    <row r="303" spans="1:8" x14ac:dyDescent="0.2">
      <c r="A303">
        <v>2017</v>
      </c>
      <c r="B303" s="3" t="str">
        <f t="shared" si="16"/>
        <v>5314</v>
      </c>
      <c r="C303" s="3" t="s">
        <v>309</v>
      </c>
      <c r="D303" s="13">
        <v>11052967</v>
      </c>
      <c r="E303" s="13">
        <v>11052967</v>
      </c>
      <c r="F303" s="22">
        <f t="shared" si="17"/>
        <v>3.2705238009388932E-2</v>
      </c>
      <c r="G303" s="23">
        <f t="shared" si="18"/>
        <v>1724877.8501913534</v>
      </c>
      <c r="H303" s="23">
        <f t="shared" si="19"/>
        <v>12777844.850191353</v>
      </c>
    </row>
    <row r="304" spans="1:8" x14ac:dyDescent="0.2">
      <c r="A304">
        <v>2017</v>
      </c>
      <c r="B304" s="3" t="str">
        <f t="shared" si="16"/>
        <v>5316</v>
      </c>
      <c r="C304" s="3" t="s">
        <v>310</v>
      </c>
      <c r="D304" s="13">
        <v>276678</v>
      </c>
      <c r="E304" s="13">
        <v>276678</v>
      </c>
      <c r="F304" s="22">
        <f t="shared" si="17"/>
        <v>8.1867790268094624E-4</v>
      </c>
      <c r="G304" s="23">
        <f t="shared" si="18"/>
        <v>43177.162641962401</v>
      </c>
      <c r="H304" s="23">
        <f t="shared" si="19"/>
        <v>319855.16264196241</v>
      </c>
    </row>
    <row r="305" spans="1:8" x14ac:dyDescent="0.2">
      <c r="A305">
        <v>2017</v>
      </c>
      <c r="B305" s="3" t="str">
        <f t="shared" si="16"/>
        <v>5317</v>
      </c>
      <c r="C305" s="3" t="s">
        <v>311</v>
      </c>
      <c r="D305" s="13">
        <v>367258</v>
      </c>
      <c r="E305" s="13">
        <v>367258</v>
      </c>
      <c r="F305" s="22">
        <f t="shared" si="17"/>
        <v>1.0867000960784702E-3</v>
      </c>
      <c r="G305" s="23">
        <f t="shared" si="18"/>
        <v>57312.682604189089</v>
      </c>
      <c r="H305" s="23">
        <f t="shared" si="19"/>
        <v>424570.68260418909</v>
      </c>
    </row>
    <row r="306" spans="1:8" x14ac:dyDescent="0.2">
      <c r="A306">
        <v>2017</v>
      </c>
      <c r="B306" s="3" t="str">
        <f t="shared" si="16"/>
        <v>5318</v>
      </c>
      <c r="C306" s="3" t="s">
        <v>312</v>
      </c>
      <c r="D306" s="13">
        <v>453117</v>
      </c>
      <c r="E306" s="13">
        <v>453117</v>
      </c>
      <c r="F306" s="22">
        <f t="shared" si="17"/>
        <v>1.3407530603411994E-3</v>
      </c>
      <c r="G306" s="23">
        <f t="shared" si="18"/>
        <v>70711.463885231497</v>
      </c>
      <c r="H306" s="23">
        <f t="shared" si="19"/>
        <v>523828.46388523153</v>
      </c>
    </row>
    <row r="307" spans="1:8" x14ac:dyDescent="0.2">
      <c r="A307">
        <v>2017</v>
      </c>
      <c r="B307" s="3" t="str">
        <f t="shared" si="16"/>
        <v>5319</v>
      </c>
      <c r="C307" s="3" t="s">
        <v>313</v>
      </c>
      <c r="D307" s="13">
        <v>633739</v>
      </c>
      <c r="E307" s="13">
        <v>633739</v>
      </c>
      <c r="F307" s="22">
        <f t="shared" si="17"/>
        <v>1.8752055290522564E-3</v>
      </c>
      <c r="G307" s="23">
        <f t="shared" si="18"/>
        <v>98898.545874824194</v>
      </c>
      <c r="H307" s="23">
        <f t="shared" si="19"/>
        <v>732637.54587482417</v>
      </c>
    </row>
    <row r="308" spans="1:8" x14ac:dyDescent="0.2">
      <c r="A308">
        <v>2017</v>
      </c>
      <c r="B308" s="3" t="str">
        <f t="shared" si="16"/>
        <v>5320</v>
      </c>
      <c r="C308" s="3" t="s">
        <v>314</v>
      </c>
      <c r="D308" s="13">
        <v>176888</v>
      </c>
      <c r="E308" s="13">
        <v>176888</v>
      </c>
      <c r="F308" s="22">
        <f t="shared" si="17"/>
        <v>5.2340372870060949E-4</v>
      </c>
      <c r="G308" s="23">
        <f t="shared" si="18"/>
        <v>27604.3702260803</v>
      </c>
      <c r="H308" s="23">
        <f t="shared" si="19"/>
        <v>204492.3702260803</v>
      </c>
    </row>
    <row r="309" spans="1:8" x14ac:dyDescent="0.2">
      <c r="A309">
        <v>2017</v>
      </c>
      <c r="B309" s="3" t="str">
        <f t="shared" si="16"/>
        <v>5321</v>
      </c>
      <c r="C309" s="3" t="s">
        <v>315</v>
      </c>
      <c r="D309" s="13">
        <v>323988</v>
      </c>
      <c r="E309" s="13">
        <v>323988</v>
      </c>
      <c r="F309" s="22">
        <f t="shared" si="17"/>
        <v>9.586660895835391E-4</v>
      </c>
      <c r="G309" s="23">
        <f t="shared" si="18"/>
        <v>50560.155017905709</v>
      </c>
      <c r="H309" s="23">
        <f t="shared" si="19"/>
        <v>374548.15501790569</v>
      </c>
    </row>
    <row r="310" spans="1:8" x14ac:dyDescent="0.2">
      <c r="A310">
        <v>2017</v>
      </c>
      <c r="B310" s="3" t="str">
        <f t="shared" si="16"/>
        <v>5322</v>
      </c>
      <c r="C310" s="3" t="s">
        <v>316</v>
      </c>
      <c r="D310" s="13">
        <v>347319</v>
      </c>
      <c r="E310" s="13">
        <v>347319</v>
      </c>
      <c r="F310" s="22">
        <f t="shared" si="17"/>
        <v>1.0277014814377855E-3</v>
      </c>
      <c r="G310" s="23">
        <f t="shared" si="18"/>
        <v>54201.089178191767</v>
      </c>
      <c r="H310" s="23">
        <f t="shared" si="19"/>
        <v>401520.08917819179</v>
      </c>
    </row>
    <row r="311" spans="1:8" x14ac:dyDescent="0.2">
      <c r="A311">
        <v>2017</v>
      </c>
      <c r="B311" s="3" t="str">
        <f t="shared" si="16"/>
        <v>5324</v>
      </c>
      <c r="C311" s="3" t="s">
        <v>317</v>
      </c>
      <c r="D311" s="13">
        <v>20218416</v>
      </c>
      <c r="E311" s="13">
        <v>20218416</v>
      </c>
      <c r="F311" s="22">
        <f t="shared" si="17"/>
        <v>5.9825394163651922E-2</v>
      </c>
      <c r="G311" s="23">
        <f t="shared" si="18"/>
        <v>3155197.8689843602</v>
      </c>
      <c r="H311" s="23">
        <f t="shared" si="19"/>
        <v>23373613.86898436</v>
      </c>
    </row>
    <row r="312" spans="1:8" x14ac:dyDescent="0.2">
      <c r="A312">
        <v>2017</v>
      </c>
      <c r="B312" s="3" t="str">
        <f t="shared" si="16"/>
        <v>5329</v>
      </c>
      <c r="C312" s="3" t="s">
        <v>318</v>
      </c>
      <c r="D312" s="13">
        <v>143428</v>
      </c>
      <c r="E312" s="13">
        <v>143428</v>
      </c>
      <c r="F312" s="22">
        <f t="shared" si="17"/>
        <v>4.2439707611636183E-4</v>
      </c>
      <c r="G312" s="23">
        <f t="shared" si="18"/>
        <v>22382.748478055295</v>
      </c>
      <c r="H312" s="23">
        <f t="shared" si="19"/>
        <v>165810.74847805529</v>
      </c>
    </row>
    <row r="313" spans="1:8" x14ac:dyDescent="0.2">
      <c r="A313">
        <v>2017</v>
      </c>
      <c r="B313" s="3" t="str">
        <f t="shared" si="16"/>
        <v>5330</v>
      </c>
      <c r="C313" s="3" t="s">
        <v>319</v>
      </c>
      <c r="D313" s="13">
        <v>807724</v>
      </c>
      <c r="E313" s="13">
        <v>807724</v>
      </c>
      <c r="F313" s="22">
        <f t="shared" si="17"/>
        <v>2.3900194098015188E-3</v>
      </c>
      <c r="G313" s="23">
        <f t="shared" si="18"/>
        <v>126049.88657506718</v>
      </c>
      <c r="H313" s="23">
        <f t="shared" si="19"/>
        <v>933773.88657506718</v>
      </c>
    </row>
    <row r="314" spans="1:8" x14ac:dyDescent="0.2">
      <c r="A314">
        <v>2017</v>
      </c>
      <c r="B314" s="3" t="str">
        <f t="shared" si="16"/>
        <v>5331</v>
      </c>
      <c r="C314" s="3" t="s">
        <v>320</v>
      </c>
      <c r="D314" s="13">
        <v>823027</v>
      </c>
      <c r="E314" s="13">
        <v>823027</v>
      </c>
      <c r="F314" s="22">
        <f t="shared" si="17"/>
        <v>2.4353003065288575E-3</v>
      </c>
      <c r="G314" s="23">
        <f t="shared" si="18"/>
        <v>128438.00604936566</v>
      </c>
      <c r="H314" s="23">
        <f t="shared" si="19"/>
        <v>951465.00604936562</v>
      </c>
    </row>
    <row r="315" spans="1:8" x14ac:dyDescent="0.2">
      <c r="A315">
        <v>2017</v>
      </c>
      <c r="B315" s="3" t="str">
        <f t="shared" si="16"/>
        <v>5332</v>
      </c>
      <c r="C315" s="3" t="s">
        <v>321</v>
      </c>
      <c r="D315" s="13">
        <v>920473</v>
      </c>
      <c r="E315" s="13">
        <v>920473</v>
      </c>
      <c r="F315" s="22">
        <f t="shared" si="17"/>
        <v>2.723638688708313E-3</v>
      </c>
      <c r="G315" s="23">
        <f t="shared" si="18"/>
        <v>143645.00404273218</v>
      </c>
      <c r="H315" s="23">
        <f t="shared" si="19"/>
        <v>1064118.0040427321</v>
      </c>
    </row>
    <row r="316" spans="1:8" x14ac:dyDescent="0.2">
      <c r="A316">
        <v>2017</v>
      </c>
      <c r="B316" s="3" t="str">
        <f t="shared" si="16"/>
        <v>5333</v>
      </c>
      <c r="C316" s="3" t="s">
        <v>322</v>
      </c>
      <c r="D316" s="13">
        <v>311697</v>
      </c>
      <c r="E316" s="13">
        <v>311697</v>
      </c>
      <c r="F316" s="22">
        <f t="shared" si="17"/>
        <v>9.2229756696211092E-4</v>
      </c>
      <c r="G316" s="23">
        <f t="shared" si="18"/>
        <v>48642.075134314095</v>
      </c>
      <c r="H316" s="23">
        <f t="shared" si="19"/>
        <v>360339.07513431407</v>
      </c>
    </row>
    <row r="317" spans="1:8" x14ac:dyDescent="0.2">
      <c r="A317">
        <v>2017</v>
      </c>
      <c r="B317" s="3" t="str">
        <f t="shared" si="16"/>
        <v>5337</v>
      </c>
      <c r="C317" s="3" t="s">
        <v>323</v>
      </c>
      <c r="D317" s="13">
        <v>1248509</v>
      </c>
      <c r="E317" s="13">
        <v>1248509</v>
      </c>
      <c r="F317" s="22">
        <f t="shared" si="17"/>
        <v>3.6942826303438857E-3</v>
      </c>
      <c r="G317" s="23">
        <f t="shared" si="18"/>
        <v>194836.87229542588</v>
      </c>
      <c r="H317" s="23">
        <f t="shared" si="19"/>
        <v>1443345.872295426</v>
      </c>
    </row>
    <row r="318" spans="1:8" x14ac:dyDescent="0.2">
      <c r="A318">
        <v>2017</v>
      </c>
      <c r="B318" s="3" t="str">
        <f t="shared" si="16"/>
        <v>5366</v>
      </c>
      <c r="C318" s="3" t="s">
        <v>324</v>
      </c>
      <c r="D318" s="13">
        <v>628837</v>
      </c>
      <c r="E318" s="13">
        <v>628837</v>
      </c>
      <c r="F318" s="22">
        <f t="shared" si="17"/>
        <v>1.8607007289635541E-3</v>
      </c>
      <c r="G318" s="23">
        <f t="shared" si="18"/>
        <v>98133.561122618034</v>
      </c>
      <c r="H318" s="23">
        <f t="shared" si="19"/>
        <v>726970.56112261803</v>
      </c>
    </row>
    <row r="319" spans="1:8" x14ac:dyDescent="0.2">
      <c r="A319">
        <v>2017</v>
      </c>
      <c r="B319" s="3" t="str">
        <f t="shared" si="16"/>
        <v>5367</v>
      </c>
      <c r="C319" s="3" t="s">
        <v>325</v>
      </c>
      <c r="D319" s="13">
        <v>263614</v>
      </c>
      <c r="E319" s="13">
        <v>263614</v>
      </c>
      <c r="F319" s="22">
        <f t="shared" si="17"/>
        <v>7.8002210742211158E-4</v>
      </c>
      <c r="G319" s="23">
        <f t="shared" si="18"/>
        <v>41138.45174787398</v>
      </c>
      <c r="H319" s="23">
        <f t="shared" si="19"/>
        <v>304752.45174787397</v>
      </c>
    </row>
    <row r="320" spans="1:8" x14ac:dyDescent="0.2">
      <c r="A320">
        <v>2017</v>
      </c>
      <c r="B320" s="3" t="str">
        <f t="shared" si="16"/>
        <v>5368</v>
      </c>
      <c r="C320" s="3" t="s">
        <v>326</v>
      </c>
      <c r="D320" s="13">
        <v>375747</v>
      </c>
      <c r="E320" s="13">
        <v>375747</v>
      </c>
      <c r="F320" s="22">
        <f t="shared" si="17"/>
        <v>1.111818669712292E-3</v>
      </c>
      <c r="G320" s="23">
        <f t="shared" si="18"/>
        <v>58637.438940679946</v>
      </c>
      <c r="H320" s="23">
        <f t="shared" si="19"/>
        <v>434384.43894067995</v>
      </c>
    </row>
    <row r="321" spans="1:8" x14ac:dyDescent="0.2">
      <c r="A321">
        <v>2017</v>
      </c>
      <c r="B321" s="3" t="str">
        <f t="shared" si="16"/>
        <v>5405</v>
      </c>
      <c r="C321" s="3" t="s">
        <v>327</v>
      </c>
      <c r="D321" s="13">
        <v>137053</v>
      </c>
      <c r="E321" s="13">
        <v>137053</v>
      </c>
      <c r="F321" s="22">
        <f t="shared" si="17"/>
        <v>4.0553373450773726E-4</v>
      </c>
      <c r="G321" s="23">
        <f t="shared" si="18"/>
        <v>21387.89376664886</v>
      </c>
      <c r="H321" s="23">
        <f t="shared" si="19"/>
        <v>158440.89376664886</v>
      </c>
    </row>
    <row r="322" spans="1:8" x14ac:dyDescent="0.2">
      <c r="A322">
        <v>2017</v>
      </c>
      <c r="B322" s="3" t="str">
        <f t="shared" si="16"/>
        <v>5409</v>
      </c>
      <c r="C322" s="3" t="s">
        <v>328</v>
      </c>
      <c r="D322" s="13">
        <v>183536</v>
      </c>
      <c r="E322" s="13">
        <v>183536</v>
      </c>
      <c r="F322" s="22">
        <f t="shared" si="17"/>
        <v>5.4307486517341517E-4</v>
      </c>
      <c r="G322" s="23">
        <f t="shared" si="18"/>
        <v>28641.828127481083</v>
      </c>
      <c r="H322" s="23">
        <f t="shared" si="19"/>
        <v>212177.82812748107</v>
      </c>
    </row>
    <row r="323" spans="1:8" x14ac:dyDescent="0.2">
      <c r="A323">
        <v>2017</v>
      </c>
      <c r="B323" s="3" t="str">
        <f t="shared" ref="B323:B338" si="20">LEFT(C323,4)</f>
        <v>5410</v>
      </c>
      <c r="C323" s="3" t="s">
        <v>329</v>
      </c>
      <c r="D323" s="13">
        <v>137457</v>
      </c>
      <c r="E323" s="13">
        <v>137457</v>
      </c>
      <c r="F323" s="22">
        <f t="shared" ref="F323:F338" si="21">E323/$D$340</f>
        <v>4.0672915254850344E-4</v>
      </c>
      <c r="G323" s="23">
        <f t="shared" ref="G323:G338" si="22">F323*$D$341</f>
        <v>21450.940245614853</v>
      </c>
      <c r="H323" s="23">
        <f t="shared" ref="H323:H338" si="23">SUM(G323,D323)</f>
        <v>158907.94024561485</v>
      </c>
    </row>
    <row r="324" spans="1:8" x14ac:dyDescent="0.2">
      <c r="A324">
        <v>2017</v>
      </c>
      <c r="B324" s="3" t="str">
        <f t="shared" si="20"/>
        <v>5430</v>
      </c>
      <c r="C324" s="3" t="s">
        <v>330</v>
      </c>
      <c r="D324" s="13">
        <v>18461587</v>
      </c>
      <c r="E324" s="13">
        <v>18461587</v>
      </c>
      <c r="F324" s="22">
        <f t="shared" si="21"/>
        <v>5.4627015249936108E-2</v>
      </c>
      <c r="G324" s="23">
        <f t="shared" si="22"/>
        <v>2881034.7932533077</v>
      </c>
      <c r="H324" s="23">
        <f t="shared" si="23"/>
        <v>21342621.793253306</v>
      </c>
    </row>
    <row r="325" spans="1:8" x14ac:dyDescent="0.2">
      <c r="A325">
        <v>2017</v>
      </c>
      <c r="B325" s="3" t="str">
        <f t="shared" si="20"/>
        <v>5436</v>
      </c>
      <c r="C325" s="3" t="s">
        <v>331</v>
      </c>
      <c r="D325" s="13">
        <v>399970</v>
      </c>
      <c r="E325" s="13">
        <v>399970</v>
      </c>
      <c r="F325" s="22">
        <f t="shared" si="21"/>
        <v>1.1834934499139725E-3</v>
      </c>
      <c r="G325" s="23">
        <f t="shared" si="22"/>
        <v>62417.574732742396</v>
      </c>
      <c r="H325" s="23">
        <f t="shared" si="23"/>
        <v>462387.57473274239</v>
      </c>
    </row>
    <row r="326" spans="1:8" x14ac:dyDescent="0.2">
      <c r="A326">
        <v>2017</v>
      </c>
      <c r="B326" s="3" t="str">
        <f t="shared" si="20"/>
        <v>5590</v>
      </c>
      <c r="C326" s="3" t="s">
        <v>332</v>
      </c>
      <c r="D326" s="13">
        <v>109304</v>
      </c>
      <c r="E326" s="13">
        <v>109304</v>
      </c>
      <c r="F326" s="22">
        <f t="shared" si="21"/>
        <v>3.2342567704927083E-4</v>
      </c>
      <c r="G326" s="23">
        <f t="shared" si="22"/>
        <v>17057.50578440302</v>
      </c>
      <c r="H326" s="23">
        <f t="shared" si="23"/>
        <v>126361.50578440302</v>
      </c>
    </row>
    <row r="327" spans="1:8" x14ac:dyDescent="0.2">
      <c r="A327">
        <v>2017</v>
      </c>
      <c r="B327" s="3" t="str">
        <f t="shared" si="20"/>
        <v>5696</v>
      </c>
      <c r="C327" s="3" t="s">
        <v>333</v>
      </c>
      <c r="D327" s="13">
        <v>180801</v>
      </c>
      <c r="E327" s="13">
        <v>180801</v>
      </c>
      <c r="F327" s="22">
        <f t="shared" si="21"/>
        <v>5.3498212175387189E-4</v>
      </c>
      <c r="G327" s="23">
        <f t="shared" si="22"/>
        <v>28215.015949332595</v>
      </c>
      <c r="H327" s="23">
        <f t="shared" si="23"/>
        <v>209016.01594933259</v>
      </c>
    </row>
    <row r="328" spans="1:8" x14ac:dyDescent="0.2">
      <c r="A328">
        <v>2017</v>
      </c>
      <c r="B328" s="3" t="str">
        <f t="shared" si="20"/>
        <v>9291</v>
      </c>
      <c r="C328" s="3" t="s">
        <v>334</v>
      </c>
      <c r="D328" s="13">
        <v>219313</v>
      </c>
      <c r="E328" s="13">
        <v>219313</v>
      </c>
      <c r="F328" s="22">
        <f t="shared" si="21"/>
        <v>6.4893741775878951E-4</v>
      </c>
      <c r="G328" s="23">
        <f t="shared" si="22"/>
        <v>34225.030795714512</v>
      </c>
      <c r="H328" s="23">
        <f t="shared" si="23"/>
        <v>253538.03079571453</v>
      </c>
    </row>
    <row r="329" spans="1:8" x14ac:dyDescent="0.2">
      <c r="A329">
        <v>2017</v>
      </c>
      <c r="B329" s="3" t="str">
        <f t="shared" si="20"/>
        <v>9302</v>
      </c>
      <c r="C329" s="3" t="s">
        <v>335</v>
      </c>
      <c r="D329" s="13">
        <v>134841</v>
      </c>
      <c r="E329" s="13">
        <v>134841</v>
      </c>
      <c r="F329" s="22">
        <f t="shared" si="21"/>
        <v>3.9898852483898783E-4</v>
      </c>
      <c r="G329" s="23">
        <f t="shared" si="22"/>
        <v>21042.69868874595</v>
      </c>
      <c r="H329" s="23">
        <f t="shared" si="23"/>
        <v>155883.69868874596</v>
      </c>
    </row>
    <row r="330" spans="1:8" x14ac:dyDescent="0.2">
      <c r="A330">
        <v>2017</v>
      </c>
      <c r="B330" s="3" t="str">
        <f t="shared" si="20"/>
        <v>9332</v>
      </c>
      <c r="C330" s="3" t="s">
        <v>336</v>
      </c>
      <c r="D330" s="13">
        <v>207503</v>
      </c>
      <c r="E330" s="13">
        <v>207503</v>
      </c>
      <c r="F330" s="22">
        <f t="shared" si="21"/>
        <v>6.1399215275520426E-4</v>
      </c>
      <c r="G330" s="23">
        <f t="shared" si="22"/>
        <v>32382.013675446276</v>
      </c>
      <c r="H330" s="23">
        <f t="shared" si="23"/>
        <v>239885.01367544627</v>
      </c>
    </row>
    <row r="331" spans="1:8" x14ac:dyDescent="0.2">
      <c r="A331">
        <v>2017</v>
      </c>
      <c r="B331" s="3" t="str">
        <f t="shared" si="20"/>
        <v>9333</v>
      </c>
      <c r="C331" s="3" t="s">
        <v>337</v>
      </c>
      <c r="D331" s="13">
        <v>224452</v>
      </c>
      <c r="E331" s="13">
        <v>224452</v>
      </c>
      <c r="F331" s="22">
        <f t="shared" si="21"/>
        <v>6.6414349031200081E-4</v>
      </c>
      <c r="G331" s="23">
        <f t="shared" si="22"/>
        <v>35027.000734838861</v>
      </c>
      <c r="H331" s="23">
        <f t="shared" si="23"/>
        <v>259479.00073483886</v>
      </c>
    </row>
    <row r="332" spans="1:8" x14ac:dyDescent="0.2">
      <c r="A332">
        <v>2017</v>
      </c>
      <c r="B332" s="3" t="str">
        <f t="shared" si="20"/>
        <v>9335</v>
      </c>
      <c r="C332" s="3" t="s">
        <v>338</v>
      </c>
      <c r="D332" s="13">
        <v>301267</v>
      </c>
      <c r="E332" s="13">
        <v>301267</v>
      </c>
      <c r="F332" s="22">
        <f t="shared" si="21"/>
        <v>8.9143566061262785E-4</v>
      </c>
      <c r="G332" s="23">
        <f t="shared" si="22"/>
        <v>47014.414798632657</v>
      </c>
      <c r="H332" s="23">
        <f t="shared" si="23"/>
        <v>348281.41479863267</v>
      </c>
    </row>
    <row r="333" spans="1:8" x14ac:dyDescent="0.2">
      <c r="A333">
        <v>2017</v>
      </c>
      <c r="B333" s="3" t="str">
        <f t="shared" si="20"/>
        <v>9389</v>
      </c>
      <c r="C333" s="3" t="s">
        <v>339</v>
      </c>
      <c r="D333" s="13">
        <v>194366</v>
      </c>
      <c r="E333" s="13">
        <v>194366</v>
      </c>
      <c r="F333" s="22">
        <f t="shared" si="21"/>
        <v>5.7512035374147853E-4</v>
      </c>
      <c r="G333" s="23">
        <f t="shared" si="22"/>
        <v>30331.91071956449</v>
      </c>
      <c r="H333" s="23">
        <f t="shared" si="23"/>
        <v>224697.91071956448</v>
      </c>
    </row>
    <row r="334" spans="1:8" x14ac:dyDescent="0.2">
      <c r="A334">
        <v>2017</v>
      </c>
      <c r="B334" s="3" t="str">
        <f t="shared" si="20"/>
        <v>9410</v>
      </c>
      <c r="C334" s="3" t="s">
        <v>340</v>
      </c>
      <c r="D334" s="13">
        <v>252450</v>
      </c>
      <c r="E334" s="13">
        <v>252450</v>
      </c>
      <c r="F334" s="22">
        <f t="shared" si="21"/>
        <v>7.4698832770153352E-4</v>
      </c>
      <c r="G334" s="23">
        <f t="shared" si="22"/>
        <v>39396.246571694923</v>
      </c>
      <c r="H334" s="23">
        <f t="shared" si="23"/>
        <v>291846.24657169491</v>
      </c>
    </row>
    <row r="335" spans="1:8" x14ac:dyDescent="0.2">
      <c r="A335">
        <v>2017</v>
      </c>
      <c r="B335" s="3" t="str">
        <f t="shared" si="20"/>
        <v>9444</v>
      </c>
      <c r="C335" s="3" t="s">
        <v>341</v>
      </c>
      <c r="D335" s="13">
        <v>451374</v>
      </c>
      <c r="E335" s="13">
        <v>451374</v>
      </c>
      <c r="F335" s="22">
        <f t="shared" si="21"/>
        <v>1.3355956008237353E-3</v>
      </c>
      <c r="G335" s="23">
        <f t="shared" si="22"/>
        <v>70439.458902959886</v>
      </c>
      <c r="H335" s="23">
        <f t="shared" si="23"/>
        <v>521813.45890295989</v>
      </c>
    </row>
    <row r="336" spans="1:8" x14ac:dyDescent="0.2">
      <c r="A336">
        <v>2017</v>
      </c>
      <c r="B336" s="3" t="str">
        <f t="shared" si="20"/>
        <v>9445</v>
      </c>
      <c r="C336" s="3" t="s">
        <v>342</v>
      </c>
      <c r="D336" s="13">
        <v>456026</v>
      </c>
      <c r="E336" s="13">
        <v>456026</v>
      </c>
      <c r="F336" s="22">
        <f t="shared" si="21"/>
        <v>1.349360662025825E-3</v>
      </c>
      <c r="G336" s="23">
        <f t="shared" si="22"/>
        <v>71165.429744914829</v>
      </c>
      <c r="H336" s="23">
        <f t="shared" si="23"/>
        <v>527191.42974491487</v>
      </c>
    </row>
    <row r="337" spans="1:8" x14ac:dyDescent="0.2">
      <c r="A337">
        <v>2017</v>
      </c>
      <c r="B337" s="3" t="str">
        <f t="shared" si="20"/>
        <v>9446</v>
      </c>
      <c r="C337" s="3" t="s">
        <v>343</v>
      </c>
      <c r="D337" s="13">
        <v>698345</v>
      </c>
      <c r="E337" s="13">
        <v>698345</v>
      </c>
      <c r="F337" s="22">
        <f t="shared" si="21"/>
        <v>2.0663718110862641E-3</v>
      </c>
      <c r="G337" s="23">
        <f t="shared" si="22"/>
        <v>108980.67661758879</v>
      </c>
      <c r="H337" s="23">
        <f t="shared" si="23"/>
        <v>807325.67661758885</v>
      </c>
    </row>
    <row r="338" spans="1:8" x14ac:dyDescent="0.2">
      <c r="A338">
        <v>2017</v>
      </c>
      <c r="B338" s="3" t="str">
        <f t="shared" si="20"/>
        <v>9461</v>
      </c>
      <c r="C338" s="3" t="s">
        <v>344</v>
      </c>
      <c r="D338" s="13">
        <v>473607</v>
      </c>
      <c r="E338" s="13">
        <v>473607</v>
      </c>
      <c r="F338" s="22">
        <f t="shared" si="21"/>
        <v>1.4013820594879786E-3</v>
      </c>
      <c r="G338" s="23">
        <f t="shared" si="22"/>
        <v>73909.043969422535</v>
      </c>
      <c r="H338" s="23">
        <f t="shared" si="23"/>
        <v>547516.04396942258</v>
      </c>
    </row>
    <row r="340" spans="1:8" x14ac:dyDescent="0.2">
      <c r="C340" s="13" t="s">
        <v>346</v>
      </c>
      <c r="D340" s="8">
        <f>SUM(D2:D338)</f>
        <v>337957088</v>
      </c>
    </row>
    <row r="341" spans="1:8" x14ac:dyDescent="0.2">
      <c r="C341" s="13" t="s">
        <v>347</v>
      </c>
      <c r="D341" s="8">
        <v>52740110</v>
      </c>
    </row>
    <row r="342" spans="1:8" x14ac:dyDescent="0.2">
      <c r="C342" s="3"/>
      <c r="D342" s="8"/>
    </row>
    <row r="343" spans="1:8" x14ac:dyDescent="0.2">
      <c r="C343" s="3" t="s">
        <v>348</v>
      </c>
      <c r="D343" s="8">
        <v>337957088</v>
      </c>
    </row>
    <row r="344" spans="1:8" x14ac:dyDescent="0.2">
      <c r="C344" s="3" t="s">
        <v>347</v>
      </c>
      <c r="D344" s="8">
        <v>52740110</v>
      </c>
    </row>
    <row r="345" spans="1:8" x14ac:dyDescent="0.2">
      <c r="C345" s="3"/>
    </row>
    <row r="346" spans="1:8" x14ac:dyDescent="0.2">
      <c r="C346" s="15" t="s">
        <v>349</v>
      </c>
      <c r="D346" s="16">
        <f>D340-D343</f>
        <v>0</v>
      </c>
    </row>
    <row r="347" spans="1:8" x14ac:dyDescent="0.2">
      <c r="D347" s="16">
        <f>D341-D344</f>
        <v>0</v>
      </c>
    </row>
    <row r="351" spans="1:8" x14ac:dyDescent="0.2">
      <c r="D351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E825-F225-0048-A362-AEBFC5196CB5}">
  <sheetPr>
    <tabColor rgb="FFFFFF00"/>
  </sheetPr>
  <dimension ref="A1:J351"/>
  <sheetViews>
    <sheetView workbookViewId="0">
      <selection activeCell="I2" sqref="I2:J338"/>
    </sheetView>
  </sheetViews>
  <sheetFormatPr baseColWidth="10" defaultRowHeight="16" x14ac:dyDescent="0.2"/>
  <cols>
    <col min="3" max="3" width="50.83203125" bestFit="1" customWidth="1"/>
    <col min="4" max="4" width="18.83203125" bestFit="1" customWidth="1"/>
    <col min="5" max="6" width="16.83203125" bestFit="1" customWidth="1"/>
    <col min="7" max="7" width="18.6640625" customWidth="1"/>
    <col min="8" max="8" width="25.83203125" bestFit="1" customWidth="1"/>
    <col min="9" max="9" width="25.83203125" customWidth="1"/>
    <col min="10" max="10" width="18.83203125" customWidth="1"/>
  </cols>
  <sheetData>
    <row r="1" spans="1:10" x14ac:dyDescent="0.2">
      <c r="A1" t="s">
        <v>1</v>
      </c>
      <c r="B1" s="3" t="s">
        <v>5</v>
      </c>
      <c r="C1" s="3" t="s">
        <v>4</v>
      </c>
      <c r="D1" s="3" t="s">
        <v>350</v>
      </c>
      <c r="E1" s="3" t="s">
        <v>368</v>
      </c>
      <c r="F1" s="3" t="s">
        <v>351</v>
      </c>
      <c r="G1" s="3" t="s">
        <v>371</v>
      </c>
      <c r="H1" t="s">
        <v>369</v>
      </c>
      <c r="I1" t="s">
        <v>368</v>
      </c>
      <c r="J1" t="s">
        <v>351</v>
      </c>
    </row>
    <row r="2" spans="1:10" x14ac:dyDescent="0.2">
      <c r="A2">
        <v>2016</v>
      </c>
      <c r="B2" s="3" t="str">
        <f>LEFT(C2,4)</f>
        <v>4930</v>
      </c>
      <c r="C2" s="3" t="s">
        <v>9</v>
      </c>
      <c r="D2" s="13">
        <v>3003</v>
      </c>
      <c r="E2" s="13">
        <v>6430</v>
      </c>
      <c r="F2" s="13">
        <f>SUM(D2:E2)</f>
        <v>9433</v>
      </c>
      <c r="G2">
        <f>F2/$F$340</f>
        <v>9.5325514952135454E-6</v>
      </c>
      <c r="H2">
        <f>G2*$D$344</f>
        <v>1506.2227616463797</v>
      </c>
      <c r="I2" s="2">
        <f>SUM(H2,E2)</f>
        <v>7936.2227616463797</v>
      </c>
      <c r="J2" s="2">
        <f>SUM(D2,E2,H2)</f>
        <v>10939.222761646379</v>
      </c>
    </row>
    <row r="3" spans="1:10" x14ac:dyDescent="0.2">
      <c r="A3">
        <v>2016</v>
      </c>
      <c r="B3" s="3" t="str">
        <f t="shared" ref="B3:B66" si="0">LEFT(C3,4)</f>
        <v>4931</v>
      </c>
      <c r="C3" s="3" t="s">
        <v>10</v>
      </c>
      <c r="D3" s="13">
        <v>14091</v>
      </c>
      <c r="E3" s="13">
        <v>30150</v>
      </c>
      <c r="F3" s="13">
        <f>SUM(D3:E3)</f>
        <v>44241</v>
      </c>
      <c r="G3">
        <f t="shared" ref="G3:G66" si="1">F3/$F$340</f>
        <v>4.4707898939864567E-5</v>
      </c>
      <c r="H3">
        <f t="shared" ref="H3:H66" si="2">G3*$D$344</f>
        <v>7064.221477578446</v>
      </c>
      <c r="I3" s="2">
        <f t="shared" ref="I3:I66" si="3">SUM(H3,E3)</f>
        <v>37214.221477578445</v>
      </c>
      <c r="J3" s="2">
        <f t="shared" ref="J3:J66" si="4">SUM(D3,E3,H3)</f>
        <v>51305.221477578445</v>
      </c>
    </row>
    <row r="4" spans="1:10" x14ac:dyDescent="0.2">
      <c r="A4">
        <v>2016</v>
      </c>
      <c r="B4" s="3" t="str">
        <f t="shared" si="0"/>
        <v>5045</v>
      </c>
      <c r="C4" s="3" t="s">
        <v>11</v>
      </c>
      <c r="D4" s="13">
        <v>2750</v>
      </c>
      <c r="E4" s="13">
        <v>5880</v>
      </c>
      <c r="F4" s="13">
        <f>SUM(D4:E4)</f>
        <v>8630</v>
      </c>
      <c r="G4">
        <f t="shared" si="1"/>
        <v>8.7210770066461244E-6</v>
      </c>
      <c r="H4">
        <f t="shared" si="2"/>
        <v>1378.0030142063242</v>
      </c>
      <c r="I4" s="2">
        <f t="shared" si="3"/>
        <v>7258.0030142063242</v>
      </c>
      <c r="J4" s="2">
        <f t="shared" si="4"/>
        <v>10008.003014206324</v>
      </c>
    </row>
    <row r="5" spans="1:10" x14ac:dyDescent="0.2">
      <c r="A5">
        <v>2016</v>
      </c>
      <c r="B5" s="3" t="str">
        <f t="shared" si="0"/>
        <v>5046</v>
      </c>
      <c r="C5" s="3" t="s">
        <v>12</v>
      </c>
      <c r="D5" s="3">
        <v>0</v>
      </c>
      <c r="E5" s="3">
        <v>0</v>
      </c>
      <c r="F5" s="13">
        <f>SUM(D5:E5)</f>
        <v>0</v>
      </c>
      <c r="G5">
        <f t="shared" si="1"/>
        <v>0</v>
      </c>
      <c r="H5">
        <f t="shared" si="2"/>
        <v>0</v>
      </c>
      <c r="I5" s="2">
        <f t="shared" si="3"/>
        <v>0</v>
      </c>
      <c r="J5" s="2">
        <f t="shared" si="4"/>
        <v>0</v>
      </c>
    </row>
    <row r="6" spans="1:10" x14ac:dyDescent="0.2">
      <c r="A6">
        <v>2016</v>
      </c>
      <c r="B6" s="3" t="str">
        <f t="shared" si="0"/>
        <v>5047</v>
      </c>
      <c r="C6" s="3" t="s">
        <v>13</v>
      </c>
      <c r="D6" s="13">
        <v>1460</v>
      </c>
      <c r="E6" s="13">
        <v>3120</v>
      </c>
      <c r="F6" s="13">
        <f>SUM(D6:E6)</f>
        <v>4580</v>
      </c>
      <c r="G6">
        <f t="shared" si="1"/>
        <v>4.6283351900856606E-6</v>
      </c>
      <c r="H6">
        <f t="shared" si="2"/>
        <v>731.31562051737717</v>
      </c>
      <c r="I6" s="2">
        <f t="shared" si="3"/>
        <v>3851.3156205173773</v>
      </c>
      <c r="J6" s="2">
        <f t="shared" si="4"/>
        <v>5311.3156205173773</v>
      </c>
    </row>
    <row r="7" spans="1:10" x14ac:dyDescent="0.2">
      <c r="A7">
        <v>2016</v>
      </c>
      <c r="B7" s="3" t="str">
        <f t="shared" si="0"/>
        <v>5048</v>
      </c>
      <c r="C7" s="3" t="s">
        <v>14</v>
      </c>
      <c r="D7" s="13">
        <v>27378</v>
      </c>
      <c r="E7" s="13">
        <v>58580</v>
      </c>
      <c r="F7" s="13">
        <f>SUM(D7:E7)</f>
        <v>85958</v>
      </c>
      <c r="G7">
        <f t="shared" si="1"/>
        <v>8.6865160757507257E-5</v>
      </c>
      <c r="H7">
        <f t="shared" si="2"/>
        <v>13725.420984373954</v>
      </c>
      <c r="I7" s="2">
        <f t="shared" si="3"/>
        <v>72305.420984373952</v>
      </c>
      <c r="J7" s="2">
        <f t="shared" si="4"/>
        <v>99683.420984373952</v>
      </c>
    </row>
    <row r="8" spans="1:10" x14ac:dyDescent="0.2">
      <c r="A8">
        <v>2016</v>
      </c>
      <c r="B8" s="3" t="str">
        <f t="shared" si="0"/>
        <v>5049</v>
      </c>
      <c r="C8" s="3" t="s">
        <v>15</v>
      </c>
      <c r="D8" s="13">
        <v>164240</v>
      </c>
      <c r="E8" s="13">
        <v>351430</v>
      </c>
      <c r="F8" s="13">
        <f>SUM(D8:E8)</f>
        <v>515670</v>
      </c>
      <c r="G8">
        <f t="shared" si="1"/>
        <v>5.2111214136931719E-4</v>
      </c>
      <c r="H8">
        <f t="shared" si="2"/>
        <v>82340.071186068977</v>
      </c>
      <c r="I8" s="2">
        <f t="shared" si="3"/>
        <v>433770.07118606899</v>
      </c>
      <c r="J8" s="2">
        <f t="shared" si="4"/>
        <v>598010.07118606893</v>
      </c>
    </row>
    <row r="9" spans="1:10" x14ac:dyDescent="0.2">
      <c r="A9">
        <v>2016</v>
      </c>
      <c r="B9" s="3" t="str">
        <f t="shared" si="0"/>
        <v>5050</v>
      </c>
      <c r="C9" s="3" t="s">
        <v>16</v>
      </c>
      <c r="D9" s="13">
        <v>16225</v>
      </c>
      <c r="E9" s="13">
        <v>34720</v>
      </c>
      <c r="F9" s="13">
        <f>SUM(D9:E9)</f>
        <v>50945</v>
      </c>
      <c r="G9">
        <f t="shared" si="1"/>
        <v>5.1482649838190826E-5</v>
      </c>
      <c r="H9">
        <f t="shared" si="2"/>
        <v>8134.6887090082491</v>
      </c>
      <c r="I9" s="2">
        <f t="shared" si="3"/>
        <v>42854.688709008245</v>
      </c>
      <c r="J9" s="2">
        <f t="shared" si="4"/>
        <v>59079.688709008245</v>
      </c>
    </row>
    <row r="10" spans="1:10" x14ac:dyDescent="0.2">
      <c r="A10">
        <v>2016</v>
      </c>
      <c r="B10" s="3" t="str">
        <f t="shared" si="0"/>
        <v>5107</v>
      </c>
      <c r="C10" s="3" t="s">
        <v>17</v>
      </c>
      <c r="D10" s="13">
        <v>17649</v>
      </c>
      <c r="E10" s="13">
        <v>37760</v>
      </c>
      <c r="F10" s="13">
        <f>SUM(D10:E10)</f>
        <v>55409</v>
      </c>
      <c r="G10">
        <f t="shared" si="1"/>
        <v>5.5993760818221917E-5</v>
      </c>
      <c r="H10">
        <f t="shared" si="2"/>
        <v>8847.4819251631779</v>
      </c>
      <c r="I10" s="2">
        <f t="shared" si="3"/>
        <v>46607.481925163178</v>
      </c>
      <c r="J10" s="2">
        <f t="shared" si="4"/>
        <v>64256.481925163178</v>
      </c>
    </row>
    <row r="11" spans="1:10" x14ac:dyDescent="0.2">
      <c r="A11">
        <v>2016</v>
      </c>
      <c r="B11" s="3" t="str">
        <f t="shared" si="0"/>
        <v>5108</v>
      </c>
      <c r="C11" s="3" t="s">
        <v>18</v>
      </c>
      <c r="D11" s="13">
        <v>8984</v>
      </c>
      <c r="E11" s="13">
        <v>19220</v>
      </c>
      <c r="F11" s="13">
        <f>SUM(D11:E11)</f>
        <v>28204</v>
      </c>
      <c r="G11">
        <f t="shared" si="1"/>
        <v>2.8501651899820082E-5</v>
      </c>
      <c r="H11">
        <f t="shared" si="2"/>
        <v>4503.4990744698925</v>
      </c>
      <c r="I11" s="2">
        <f t="shared" si="3"/>
        <v>23723.499074469892</v>
      </c>
      <c r="J11" s="2">
        <f t="shared" si="4"/>
        <v>32707.499074469892</v>
      </c>
    </row>
    <row r="12" spans="1:10" x14ac:dyDescent="0.2">
      <c r="A12">
        <v>2016</v>
      </c>
      <c r="B12" s="3" t="str">
        <f t="shared" si="0"/>
        <v>5109</v>
      </c>
      <c r="C12" s="3" t="s">
        <v>19</v>
      </c>
      <c r="D12" s="13">
        <v>27995</v>
      </c>
      <c r="E12" s="13">
        <v>59900</v>
      </c>
      <c r="F12" s="13">
        <f>SUM(D12:E12)</f>
        <v>87895</v>
      </c>
      <c r="G12">
        <f t="shared" si="1"/>
        <v>8.8822602954711602E-5</v>
      </c>
      <c r="H12">
        <f t="shared" si="2"/>
        <v>14034.713202046914</v>
      </c>
      <c r="I12" s="2">
        <f t="shared" si="3"/>
        <v>73934.713202046914</v>
      </c>
      <c r="J12" s="2">
        <f t="shared" si="4"/>
        <v>101929.71320204691</v>
      </c>
    </row>
    <row r="13" spans="1:10" x14ac:dyDescent="0.2">
      <c r="A13">
        <v>2016</v>
      </c>
      <c r="B13" s="3" t="str">
        <f t="shared" si="0"/>
        <v>5110</v>
      </c>
      <c r="C13" s="3" t="s">
        <v>20</v>
      </c>
      <c r="D13" s="13">
        <v>17059</v>
      </c>
      <c r="E13" s="13">
        <v>36500</v>
      </c>
      <c r="F13" s="13">
        <f>SUM(D13:E13)</f>
        <v>53559</v>
      </c>
      <c r="G13">
        <f t="shared" si="1"/>
        <v>5.412423677855849E-5</v>
      </c>
      <c r="H13">
        <f t="shared" si="2"/>
        <v>8552.0815107620529</v>
      </c>
      <c r="I13" s="2">
        <f t="shared" si="3"/>
        <v>45052.081510762051</v>
      </c>
      <c r="J13" s="2">
        <f t="shared" si="4"/>
        <v>62111.081510762051</v>
      </c>
    </row>
    <row r="14" spans="1:10" x14ac:dyDescent="0.2">
      <c r="A14">
        <v>2016</v>
      </c>
      <c r="B14" s="3" t="str">
        <f t="shared" si="0"/>
        <v>5111</v>
      </c>
      <c r="C14" s="3" t="s">
        <v>21</v>
      </c>
      <c r="D14" s="13">
        <v>9876</v>
      </c>
      <c r="E14" s="13">
        <v>21130</v>
      </c>
      <c r="F14" s="13">
        <f>SUM(D14:E14)</f>
        <v>31006</v>
      </c>
      <c r="G14">
        <f t="shared" si="1"/>
        <v>3.1333222904758948E-5</v>
      </c>
      <c r="H14">
        <f t="shared" si="2"/>
        <v>4950.9109453628371</v>
      </c>
      <c r="I14" s="2">
        <f t="shared" si="3"/>
        <v>26080.910945362837</v>
      </c>
      <c r="J14" s="2">
        <f t="shared" si="4"/>
        <v>35956.910945362833</v>
      </c>
    </row>
    <row r="15" spans="1:10" x14ac:dyDescent="0.2">
      <c r="A15">
        <v>2016</v>
      </c>
      <c r="B15" s="3" t="str">
        <f t="shared" si="0"/>
        <v>5112</v>
      </c>
      <c r="C15" s="3" t="s">
        <v>22</v>
      </c>
      <c r="D15" s="13">
        <v>3251</v>
      </c>
      <c r="E15" s="13">
        <v>6960</v>
      </c>
      <c r="F15" s="13">
        <f>SUM(D15:E15)</f>
        <v>10211</v>
      </c>
      <c r="G15">
        <f t="shared" si="1"/>
        <v>1.0318762145407135E-5</v>
      </c>
      <c r="H15">
        <f t="shared" si="2"/>
        <v>1630.450611594528</v>
      </c>
      <c r="I15" s="2">
        <f t="shared" si="3"/>
        <v>8590.4506115945278</v>
      </c>
      <c r="J15" s="2">
        <f t="shared" si="4"/>
        <v>11841.450611594528</v>
      </c>
    </row>
    <row r="16" spans="1:10" x14ac:dyDescent="0.2">
      <c r="A16">
        <v>2016</v>
      </c>
      <c r="B16" s="3" t="str">
        <f t="shared" si="0"/>
        <v>5113</v>
      </c>
      <c r="C16" s="3" t="s">
        <v>23</v>
      </c>
      <c r="D16" s="13">
        <v>7911</v>
      </c>
      <c r="E16" s="13">
        <v>16930</v>
      </c>
      <c r="F16" s="13">
        <f>SUM(D16:E16)</f>
        <v>24841</v>
      </c>
      <c r="G16">
        <f t="shared" si="1"/>
        <v>2.5103160361772465E-5</v>
      </c>
      <c r="H16">
        <f t="shared" si="2"/>
        <v>3966.5090238585512</v>
      </c>
      <c r="I16" s="2">
        <f t="shared" si="3"/>
        <v>20896.509023858551</v>
      </c>
      <c r="J16" s="2">
        <f t="shared" si="4"/>
        <v>28807.509023858551</v>
      </c>
    </row>
    <row r="17" spans="1:10" x14ac:dyDescent="0.2">
      <c r="A17">
        <v>2016</v>
      </c>
      <c r="B17" s="3" t="str">
        <f t="shared" si="0"/>
        <v>5177</v>
      </c>
      <c r="C17" s="3" t="s">
        <v>24</v>
      </c>
      <c r="D17" s="13">
        <v>2336</v>
      </c>
      <c r="E17" s="13">
        <v>5000</v>
      </c>
      <c r="F17" s="13">
        <f>SUM(D17:E17)</f>
        <v>7336</v>
      </c>
      <c r="G17">
        <f t="shared" si="1"/>
        <v>7.4134207324166829E-6</v>
      </c>
      <c r="H17">
        <f t="shared" si="2"/>
        <v>1171.3824000252139</v>
      </c>
      <c r="I17" s="2">
        <f t="shared" si="3"/>
        <v>6171.3824000252134</v>
      </c>
      <c r="J17" s="2">
        <f t="shared" si="4"/>
        <v>8507.3824000252134</v>
      </c>
    </row>
    <row r="18" spans="1:10" x14ac:dyDescent="0.2">
      <c r="A18">
        <v>2016</v>
      </c>
      <c r="B18" s="3" t="str">
        <f t="shared" si="0"/>
        <v>5178</v>
      </c>
      <c r="C18" s="3" t="s">
        <v>25</v>
      </c>
      <c r="D18" s="13">
        <v>11645</v>
      </c>
      <c r="E18" s="13">
        <v>24920</v>
      </c>
      <c r="F18" s="13">
        <f>SUM(D18:E18)</f>
        <v>36565</v>
      </c>
      <c r="G18">
        <f t="shared" si="1"/>
        <v>3.6950890005563792E-5</v>
      </c>
      <c r="H18">
        <f t="shared" si="2"/>
        <v>5838.5492716632953</v>
      </c>
      <c r="I18" s="2">
        <f t="shared" si="3"/>
        <v>30758.549271663294</v>
      </c>
      <c r="J18" s="2">
        <f t="shared" si="4"/>
        <v>42403.549271663294</v>
      </c>
    </row>
    <row r="19" spans="1:10" x14ac:dyDescent="0.2">
      <c r="A19">
        <v>2016</v>
      </c>
      <c r="B19" s="3" t="str">
        <f t="shared" si="0"/>
        <v>5179</v>
      </c>
      <c r="C19" s="3" t="s">
        <v>26</v>
      </c>
      <c r="D19" s="13">
        <v>23521</v>
      </c>
      <c r="E19" s="13">
        <v>50330</v>
      </c>
      <c r="F19" s="13">
        <f>SUM(D19:E19)</f>
        <v>73851</v>
      </c>
      <c r="G19">
        <f t="shared" si="1"/>
        <v>7.4630389109828853E-5</v>
      </c>
      <c r="H19">
        <f t="shared" si="2"/>
        <v>11792.224866993192</v>
      </c>
      <c r="I19" s="2">
        <f t="shared" si="3"/>
        <v>62122.224866993194</v>
      </c>
      <c r="J19" s="2">
        <f t="shared" si="4"/>
        <v>85643.224866993187</v>
      </c>
    </row>
    <row r="20" spans="1:10" x14ac:dyDescent="0.2">
      <c r="A20">
        <v>2016</v>
      </c>
      <c r="B20" s="3" t="str">
        <f t="shared" si="0"/>
        <v>5180</v>
      </c>
      <c r="C20" s="3" t="s">
        <v>27</v>
      </c>
      <c r="D20" s="13">
        <v>1850</v>
      </c>
      <c r="E20" s="13">
        <v>3960</v>
      </c>
      <c r="F20" s="13">
        <f>SUM(D20:E20)</f>
        <v>5810</v>
      </c>
      <c r="G20">
        <f t="shared" si="1"/>
        <v>5.8713160380780981E-6</v>
      </c>
      <c r="H20">
        <f t="shared" si="2"/>
        <v>927.71697711920558</v>
      </c>
      <c r="I20" s="2">
        <f t="shared" si="3"/>
        <v>4887.7169771192057</v>
      </c>
      <c r="J20" s="2">
        <f t="shared" si="4"/>
        <v>6737.7169771192057</v>
      </c>
    </row>
    <row r="21" spans="1:10" x14ac:dyDescent="0.2">
      <c r="A21">
        <v>2016</v>
      </c>
      <c r="B21" s="3" t="str">
        <f t="shared" si="0"/>
        <v>5404</v>
      </c>
      <c r="C21" s="3" t="s">
        <v>364</v>
      </c>
      <c r="D21" s="3">
        <v>217</v>
      </c>
      <c r="E21" s="3">
        <v>460</v>
      </c>
      <c r="F21" s="13">
        <f>SUM(D21:E21)</f>
        <v>677</v>
      </c>
      <c r="G21">
        <f t="shared" si="1"/>
        <v>6.8414474316331709E-7</v>
      </c>
      <c r="H21">
        <f t="shared" si="2"/>
        <v>108.10058408084375</v>
      </c>
      <c r="I21" s="2">
        <f t="shared" si="3"/>
        <v>568.10058408084376</v>
      </c>
      <c r="J21" s="2">
        <f t="shared" si="4"/>
        <v>785.10058408084376</v>
      </c>
    </row>
    <row r="22" spans="1:10" x14ac:dyDescent="0.2">
      <c r="A22">
        <v>2016</v>
      </c>
      <c r="B22" s="3" t="str">
        <f t="shared" si="0"/>
        <v>5406</v>
      </c>
      <c r="C22" s="3" t="s">
        <v>29</v>
      </c>
      <c r="D22" s="13">
        <v>71472</v>
      </c>
      <c r="E22" s="13">
        <v>152930</v>
      </c>
      <c r="F22" s="13">
        <f>SUM(D22:E22)</f>
        <v>224402</v>
      </c>
      <c r="G22">
        <f t="shared" si="1"/>
        <v>2.2677023435056822E-4</v>
      </c>
      <c r="H22">
        <f t="shared" si="2"/>
        <v>35831.591239157307</v>
      </c>
      <c r="I22" s="2">
        <f t="shared" si="3"/>
        <v>188761.59123915731</v>
      </c>
      <c r="J22" s="2">
        <f t="shared" si="4"/>
        <v>260233.59123915731</v>
      </c>
    </row>
    <row r="23" spans="1:10" x14ac:dyDescent="0.2">
      <c r="A23">
        <v>2016</v>
      </c>
      <c r="B23" s="3" t="str">
        <f t="shared" si="0"/>
        <v>5596</v>
      </c>
      <c r="C23" s="3" t="s">
        <v>30</v>
      </c>
      <c r="D23" s="13">
        <v>82505</v>
      </c>
      <c r="E23" s="13">
        <v>176540</v>
      </c>
      <c r="F23" s="13">
        <f>SUM(D23:E23)</f>
        <v>259045</v>
      </c>
      <c r="G23">
        <f t="shared" si="1"/>
        <v>2.6177884046195193E-4</v>
      </c>
      <c r="H23">
        <f t="shared" si="2"/>
        <v>41363.243431642783</v>
      </c>
      <c r="I23" s="2">
        <f t="shared" si="3"/>
        <v>217903.24343164277</v>
      </c>
      <c r="J23" s="2">
        <f t="shared" si="4"/>
        <v>300408.24343164277</v>
      </c>
    </row>
    <row r="24" spans="1:10" x14ac:dyDescent="0.2">
      <c r="A24">
        <v>2016</v>
      </c>
      <c r="B24" s="3" t="str">
        <f t="shared" si="0"/>
        <v>5600</v>
      </c>
      <c r="C24" s="3" t="s">
        <v>31</v>
      </c>
      <c r="D24" s="13">
        <v>105961</v>
      </c>
      <c r="E24" s="13">
        <v>226730</v>
      </c>
      <c r="F24" s="13">
        <f>SUM(D24:E24)</f>
        <v>332691</v>
      </c>
      <c r="G24">
        <f t="shared" si="1"/>
        <v>3.3620206609711537E-4</v>
      </c>
      <c r="H24">
        <f t="shared" si="2"/>
        <v>53122.734739202337</v>
      </c>
      <c r="I24" s="2">
        <f t="shared" si="3"/>
        <v>279852.73473920231</v>
      </c>
      <c r="J24" s="2">
        <f t="shared" si="4"/>
        <v>385813.73473920231</v>
      </c>
    </row>
    <row r="25" spans="1:10" x14ac:dyDescent="0.2">
      <c r="A25">
        <v>2016</v>
      </c>
      <c r="B25" s="3" t="str">
        <f t="shared" si="0"/>
        <v>5604</v>
      </c>
      <c r="C25" s="3" t="s">
        <v>32</v>
      </c>
      <c r="D25" s="13">
        <v>75995</v>
      </c>
      <c r="E25" s="13">
        <v>162610</v>
      </c>
      <c r="F25" s="13">
        <f>SUM(D25:E25)</f>
        <v>238605</v>
      </c>
      <c r="G25">
        <f t="shared" si="1"/>
        <v>2.4112312620750852E-4</v>
      </c>
      <c r="H25">
        <f t="shared" si="2"/>
        <v>38099.468042259556</v>
      </c>
      <c r="I25" s="2">
        <f t="shared" si="3"/>
        <v>200709.46804225957</v>
      </c>
      <c r="J25" s="2">
        <f t="shared" si="4"/>
        <v>276704.46804225957</v>
      </c>
    </row>
    <row r="26" spans="1:10" x14ac:dyDescent="0.2">
      <c r="A26">
        <v>2016</v>
      </c>
      <c r="B26" s="3" t="str">
        <f t="shared" si="0"/>
        <v>5608</v>
      </c>
      <c r="C26" s="3" t="s">
        <v>33</v>
      </c>
      <c r="D26" s="13">
        <v>6308</v>
      </c>
      <c r="E26" s="13">
        <v>13500</v>
      </c>
      <c r="F26" s="13">
        <f>SUM(D26:E26)</f>
        <v>19808</v>
      </c>
      <c r="G26">
        <f t="shared" si="1"/>
        <v>2.0017044420353004E-5</v>
      </c>
      <c r="H26">
        <f t="shared" si="2"/>
        <v>3162.860220787818</v>
      </c>
      <c r="I26" s="2">
        <f t="shared" si="3"/>
        <v>16662.860220787818</v>
      </c>
      <c r="J26" s="2">
        <f t="shared" si="4"/>
        <v>22970.860220787818</v>
      </c>
    </row>
    <row r="27" spans="1:10" x14ac:dyDescent="0.2">
      <c r="A27">
        <v>2016</v>
      </c>
      <c r="B27" s="3" t="str">
        <f t="shared" si="0"/>
        <v>5609</v>
      </c>
      <c r="C27" s="3" t="s">
        <v>365</v>
      </c>
      <c r="D27" s="13">
        <v>73980</v>
      </c>
      <c r="E27" s="13">
        <v>158300</v>
      </c>
      <c r="F27" s="13">
        <f>SUM(D27:E27)</f>
        <v>232280</v>
      </c>
      <c r="G27">
        <f t="shared" si="1"/>
        <v>2.3473137509892952E-4</v>
      </c>
      <c r="H27">
        <f t="shared" si="2"/>
        <v>37089.517976807067</v>
      </c>
      <c r="I27" s="2">
        <f t="shared" si="3"/>
        <v>195389.51797680708</v>
      </c>
      <c r="J27" s="2">
        <f t="shared" si="4"/>
        <v>269369.51797680708</v>
      </c>
    </row>
    <row r="28" spans="1:10" x14ac:dyDescent="0.2">
      <c r="A28">
        <v>2016</v>
      </c>
      <c r="B28" s="3" t="str">
        <f t="shared" si="0"/>
        <v>5612</v>
      </c>
      <c r="C28" s="3" t="s">
        <v>35</v>
      </c>
      <c r="D28" s="13">
        <v>174198</v>
      </c>
      <c r="E28" s="13">
        <v>372740</v>
      </c>
      <c r="F28" s="13">
        <f>SUM(D28:E28)</f>
        <v>546938</v>
      </c>
      <c r="G28">
        <f t="shared" si="1"/>
        <v>5.5271012930023381E-4</v>
      </c>
      <c r="H28">
        <f t="shared" si="2"/>
        <v>87332.817217146992</v>
      </c>
      <c r="I28" s="2">
        <f t="shared" si="3"/>
        <v>460072.81721714698</v>
      </c>
      <c r="J28" s="2">
        <f t="shared" si="4"/>
        <v>634270.81721714698</v>
      </c>
    </row>
    <row r="29" spans="1:10" x14ac:dyDescent="0.2">
      <c r="A29">
        <v>2016</v>
      </c>
      <c r="B29" s="3" t="str">
        <f t="shared" si="0"/>
        <v>5624</v>
      </c>
      <c r="C29" s="3" t="s">
        <v>36</v>
      </c>
      <c r="D29" s="13">
        <v>49856</v>
      </c>
      <c r="E29" s="13">
        <v>106680</v>
      </c>
      <c r="F29" s="13">
        <f>SUM(D29:E29)</f>
        <v>156536</v>
      </c>
      <c r="G29">
        <f t="shared" si="1"/>
        <v>1.5818800814743428E-4</v>
      </c>
      <c r="H29">
        <f t="shared" si="2"/>
        <v>24995.026631726672</v>
      </c>
      <c r="I29" s="2">
        <f t="shared" si="3"/>
        <v>131675.02663172668</v>
      </c>
      <c r="J29" s="2">
        <f t="shared" si="4"/>
        <v>181531.02663172668</v>
      </c>
    </row>
    <row r="30" spans="1:10" x14ac:dyDescent="0.2">
      <c r="A30">
        <v>2016</v>
      </c>
      <c r="B30" s="3" t="str">
        <f t="shared" si="0"/>
        <v>5626</v>
      </c>
      <c r="C30" s="3" t="s">
        <v>37</v>
      </c>
      <c r="D30" s="13">
        <v>53167</v>
      </c>
      <c r="E30" s="13">
        <v>113760</v>
      </c>
      <c r="F30" s="13">
        <f>SUM(D30:E30)</f>
        <v>166927</v>
      </c>
      <c r="G30">
        <f t="shared" si="1"/>
        <v>1.6868866992913298E-4</v>
      </c>
      <c r="H30">
        <f t="shared" si="2"/>
        <v>26654.218905262929</v>
      </c>
      <c r="I30" s="2">
        <f t="shared" si="3"/>
        <v>140414.21890526294</v>
      </c>
      <c r="J30" s="2">
        <f t="shared" si="4"/>
        <v>193581.21890526294</v>
      </c>
    </row>
    <row r="31" spans="1:10" x14ac:dyDescent="0.2">
      <c r="A31">
        <v>2016</v>
      </c>
      <c r="B31" s="3" t="str">
        <f t="shared" si="0"/>
        <v>5634</v>
      </c>
      <c r="C31" s="3" t="s">
        <v>38</v>
      </c>
      <c r="D31" s="13">
        <v>45289</v>
      </c>
      <c r="E31" s="13">
        <v>96910</v>
      </c>
      <c r="F31" s="13">
        <f>SUM(D31:E31)</f>
        <v>142199</v>
      </c>
      <c r="G31">
        <f t="shared" si="1"/>
        <v>1.4369970211681023E-4</v>
      </c>
      <c r="H31">
        <f t="shared" si="2"/>
        <v>22705.753258067798</v>
      </c>
      <c r="I31" s="2">
        <f t="shared" si="3"/>
        <v>119615.75325806779</v>
      </c>
      <c r="J31" s="2">
        <f t="shared" si="4"/>
        <v>164904.75325806779</v>
      </c>
    </row>
    <row r="32" spans="1:10" x14ac:dyDescent="0.2">
      <c r="A32">
        <v>2016</v>
      </c>
      <c r="B32" s="3" t="str">
        <f t="shared" si="0"/>
        <v>5638</v>
      </c>
      <c r="C32" s="3" t="s">
        <v>39</v>
      </c>
      <c r="D32" s="13">
        <v>31384</v>
      </c>
      <c r="E32" s="13">
        <v>67150</v>
      </c>
      <c r="F32" s="13">
        <f>SUM(D32:E32)</f>
        <v>98534</v>
      </c>
      <c r="G32">
        <f t="shared" si="1"/>
        <v>9.9573882013078707E-5</v>
      </c>
      <c r="H32">
        <f t="shared" si="2"/>
        <v>15733.505098702892</v>
      </c>
      <c r="I32" s="2">
        <f t="shared" si="3"/>
        <v>82883.505098702895</v>
      </c>
      <c r="J32" s="2">
        <f t="shared" si="4"/>
        <v>114267.5050987029</v>
      </c>
    </row>
    <row r="33" spans="1:10" x14ac:dyDescent="0.2">
      <c r="A33">
        <v>2016</v>
      </c>
      <c r="B33" s="3" t="str">
        <f t="shared" si="0"/>
        <v>5655</v>
      </c>
      <c r="C33" s="3" t="s">
        <v>40</v>
      </c>
      <c r="D33" s="13">
        <v>5518</v>
      </c>
      <c r="E33" s="13">
        <v>11810</v>
      </c>
      <c r="F33" s="13">
        <f>SUM(D33:E33)</f>
        <v>17328</v>
      </c>
      <c r="G33">
        <f t="shared" si="1"/>
        <v>1.7510871653669067E-5</v>
      </c>
      <c r="H33">
        <f t="shared" si="2"/>
        <v>2766.8639895906358</v>
      </c>
      <c r="I33" s="2">
        <f t="shared" si="3"/>
        <v>14576.863989590636</v>
      </c>
      <c r="J33" s="2">
        <f t="shared" si="4"/>
        <v>20094.863989590634</v>
      </c>
    </row>
    <row r="34" spans="1:10" x14ac:dyDescent="0.2">
      <c r="A34">
        <v>2016</v>
      </c>
      <c r="B34" s="3" t="str">
        <f t="shared" si="0"/>
        <v>5657</v>
      </c>
      <c r="C34" s="3" t="s">
        <v>41</v>
      </c>
      <c r="D34" s="13">
        <v>38594</v>
      </c>
      <c r="E34" s="13">
        <v>82580</v>
      </c>
      <c r="F34" s="13">
        <f>SUM(D34:E34)</f>
        <v>121174</v>
      </c>
      <c r="G34">
        <f t="shared" si="1"/>
        <v>1.2245281404441917E-4</v>
      </c>
      <c r="H34">
        <f t="shared" si="2"/>
        <v>19348.567467373941</v>
      </c>
      <c r="I34" s="2">
        <f t="shared" si="3"/>
        <v>101928.56746737394</v>
      </c>
      <c r="J34" s="2">
        <f t="shared" si="4"/>
        <v>140522.56746737394</v>
      </c>
    </row>
    <row r="35" spans="1:10" x14ac:dyDescent="0.2">
      <c r="A35">
        <v>2016</v>
      </c>
      <c r="B35" s="3" t="str">
        <f t="shared" si="0"/>
        <v>5671</v>
      </c>
      <c r="C35" s="3" t="s">
        <v>42</v>
      </c>
      <c r="D35" s="13">
        <v>22770</v>
      </c>
      <c r="E35" s="13">
        <v>48720</v>
      </c>
      <c r="F35" s="13">
        <f>SUM(D35:E35)</f>
        <v>71490</v>
      </c>
      <c r="G35">
        <f t="shared" si="1"/>
        <v>7.2244472213804336E-5</v>
      </c>
      <c r="H35">
        <f t="shared" si="2"/>
        <v>11415.230067857487</v>
      </c>
      <c r="I35" s="2">
        <f t="shared" si="3"/>
        <v>60135.230067857483</v>
      </c>
      <c r="J35" s="2">
        <f t="shared" si="4"/>
        <v>82905.230067857483</v>
      </c>
    </row>
    <row r="36" spans="1:10" x14ac:dyDescent="0.2">
      <c r="A36">
        <v>2016</v>
      </c>
      <c r="B36" s="3" t="str">
        <f t="shared" si="0"/>
        <v>5682</v>
      </c>
      <c r="C36" s="3" t="s">
        <v>43</v>
      </c>
      <c r="D36" s="13">
        <v>136713</v>
      </c>
      <c r="E36" s="13">
        <v>292530</v>
      </c>
      <c r="F36" s="13">
        <f>SUM(D36:E36)</f>
        <v>429243</v>
      </c>
      <c r="G36">
        <f t="shared" si="1"/>
        <v>4.3377303100391686E-4</v>
      </c>
      <c r="H36">
        <f t="shared" si="2"/>
        <v>68539.762204746847</v>
      </c>
      <c r="I36" s="2">
        <f t="shared" si="3"/>
        <v>361069.76220474683</v>
      </c>
      <c r="J36" s="2">
        <f t="shared" si="4"/>
        <v>497782.76220474683</v>
      </c>
    </row>
    <row r="37" spans="1:10" x14ac:dyDescent="0.2">
      <c r="A37">
        <v>2016</v>
      </c>
      <c r="B37" s="3" t="str">
        <f t="shared" si="0"/>
        <v>5688</v>
      </c>
      <c r="C37" s="3" t="s">
        <v>44</v>
      </c>
      <c r="D37" s="13">
        <v>13997</v>
      </c>
      <c r="E37" s="13">
        <v>29950</v>
      </c>
      <c r="F37" s="13">
        <f>SUM(D37:E37)</f>
        <v>43947</v>
      </c>
      <c r="G37">
        <f t="shared" si="1"/>
        <v>4.4410796200588326E-5</v>
      </c>
      <c r="H37">
        <f t="shared" si="2"/>
        <v>7017.2767630736189</v>
      </c>
      <c r="I37" s="2">
        <f t="shared" si="3"/>
        <v>36967.27676307362</v>
      </c>
      <c r="J37" s="2">
        <f t="shared" si="4"/>
        <v>50964.27676307362</v>
      </c>
    </row>
    <row r="38" spans="1:10" x14ac:dyDescent="0.2">
      <c r="A38">
        <v>2016</v>
      </c>
      <c r="B38" s="3" t="str">
        <f t="shared" si="0"/>
        <v>9034</v>
      </c>
      <c r="C38" s="3" t="s">
        <v>45</v>
      </c>
      <c r="D38" s="13">
        <v>32289</v>
      </c>
      <c r="E38" s="13">
        <v>69090</v>
      </c>
      <c r="F38" s="13">
        <f>SUM(D38:E38)</f>
        <v>101379</v>
      </c>
      <c r="G38">
        <f t="shared" si="1"/>
        <v>1.0244890682002057E-4</v>
      </c>
      <c r="H38">
        <f t="shared" si="2"/>
        <v>16187.783033281918</v>
      </c>
      <c r="I38" s="2">
        <f t="shared" si="3"/>
        <v>85277.783033281914</v>
      </c>
      <c r="J38" s="2">
        <f t="shared" si="4"/>
        <v>117566.78303328191</v>
      </c>
    </row>
    <row r="39" spans="1:10" x14ac:dyDescent="0.2">
      <c r="A39">
        <v>2016</v>
      </c>
      <c r="B39" s="3" t="str">
        <f t="shared" si="0"/>
        <v>9042</v>
      </c>
      <c r="C39" s="3" t="s">
        <v>46</v>
      </c>
      <c r="D39" s="13">
        <v>18362</v>
      </c>
      <c r="E39" s="13">
        <v>39290</v>
      </c>
      <c r="F39" s="13">
        <f>SUM(D39:E39)</f>
        <v>57652</v>
      </c>
      <c r="G39">
        <f t="shared" si="1"/>
        <v>5.8260432397121941E-5</v>
      </c>
      <c r="H39">
        <f t="shared" si="2"/>
        <v>9205.6349681370793</v>
      </c>
      <c r="I39" s="2">
        <f t="shared" si="3"/>
        <v>48495.634968137078</v>
      </c>
      <c r="J39" s="2">
        <f t="shared" si="4"/>
        <v>66857.634968137078</v>
      </c>
    </row>
    <row r="40" spans="1:10" x14ac:dyDescent="0.2">
      <c r="A40">
        <v>2016</v>
      </c>
      <c r="B40" s="3" t="str">
        <f t="shared" si="0"/>
        <v>9047</v>
      </c>
      <c r="C40" s="3" t="s">
        <v>47</v>
      </c>
      <c r="D40" s="13">
        <v>44604</v>
      </c>
      <c r="E40" s="13">
        <v>95440</v>
      </c>
      <c r="F40" s="13">
        <f>SUM(D40:E40)</f>
        <v>140044</v>
      </c>
      <c r="G40">
        <f t="shared" si="1"/>
        <v>1.4152195924898607E-4</v>
      </c>
      <c r="H40">
        <f t="shared" si="2"/>
        <v>22361.651694265405</v>
      </c>
      <c r="I40" s="2">
        <f t="shared" si="3"/>
        <v>117801.6516942654</v>
      </c>
      <c r="J40" s="2">
        <f t="shared" si="4"/>
        <v>162405.6516942654</v>
      </c>
    </row>
    <row r="41" spans="1:10" x14ac:dyDescent="0.2">
      <c r="A41">
        <v>2016</v>
      </c>
      <c r="B41" s="3" t="str">
        <f t="shared" si="0"/>
        <v>9053</v>
      </c>
      <c r="C41" s="3" t="s">
        <v>48</v>
      </c>
      <c r="D41" s="3">
        <v>0</v>
      </c>
      <c r="E41" s="3">
        <v>0</v>
      </c>
      <c r="F41" s="13">
        <f>SUM(D41:E41)</f>
        <v>0</v>
      </c>
      <c r="G41">
        <f t="shared" si="1"/>
        <v>0</v>
      </c>
      <c r="H41">
        <f t="shared" si="2"/>
        <v>0</v>
      </c>
      <c r="I41" s="2">
        <f t="shared" si="3"/>
        <v>0</v>
      </c>
      <c r="J41" s="2">
        <f t="shared" si="4"/>
        <v>0</v>
      </c>
    </row>
    <row r="42" spans="1:10" x14ac:dyDescent="0.2">
      <c r="A42">
        <v>2016</v>
      </c>
      <c r="B42" s="3" t="str">
        <f t="shared" si="0"/>
        <v>9055</v>
      </c>
      <c r="C42" s="3" t="s">
        <v>49</v>
      </c>
      <c r="D42" s="13">
        <v>38922</v>
      </c>
      <c r="E42" s="13">
        <v>83280</v>
      </c>
      <c r="F42" s="13">
        <f>SUM(D42:E42)</f>
        <v>122202</v>
      </c>
      <c r="G42">
        <f t="shared" si="1"/>
        <v>1.2349166307835106E-4</v>
      </c>
      <c r="H42">
        <f t="shared" si="2"/>
        <v>19512.714292241162</v>
      </c>
      <c r="I42" s="2">
        <f t="shared" si="3"/>
        <v>102792.71429224116</v>
      </c>
      <c r="J42" s="2">
        <f t="shared" si="4"/>
        <v>141714.71429224117</v>
      </c>
    </row>
    <row r="43" spans="1:10" x14ac:dyDescent="0.2">
      <c r="A43">
        <v>2016</v>
      </c>
      <c r="B43" s="3" t="str">
        <f t="shared" si="0"/>
        <v>9056</v>
      </c>
      <c r="C43" s="3" t="s">
        <v>50</v>
      </c>
      <c r="D43" s="13">
        <v>10381</v>
      </c>
      <c r="E43" s="13">
        <v>22210</v>
      </c>
      <c r="F43" s="13">
        <f>SUM(D43:E43)</f>
        <v>32591</v>
      </c>
      <c r="G43">
        <f t="shared" si="1"/>
        <v>3.2934950257659771E-5</v>
      </c>
      <c r="H43">
        <f t="shared" si="2"/>
        <v>5203.9972463497461</v>
      </c>
      <c r="I43" s="2">
        <f t="shared" si="3"/>
        <v>27413.997246349747</v>
      </c>
      <c r="J43" s="2">
        <f t="shared" si="4"/>
        <v>37794.997246349747</v>
      </c>
    </row>
    <row r="44" spans="1:10" x14ac:dyDescent="0.2">
      <c r="A44">
        <v>2016</v>
      </c>
      <c r="B44" s="3" t="str">
        <f t="shared" si="0"/>
        <v>9273</v>
      </c>
      <c r="C44" s="3" t="s">
        <v>51</v>
      </c>
      <c r="D44" s="13">
        <v>11386</v>
      </c>
      <c r="E44" s="13">
        <v>24360</v>
      </c>
      <c r="F44" s="13">
        <f>SUM(D44:E44)</f>
        <v>35746</v>
      </c>
      <c r="G44">
        <f t="shared" si="1"/>
        <v>3.6123246660437124E-5</v>
      </c>
      <c r="H44">
        <f t="shared" si="2"/>
        <v>5707.7747098284199</v>
      </c>
      <c r="I44" s="2">
        <f t="shared" si="3"/>
        <v>30067.77470982842</v>
      </c>
      <c r="J44" s="2">
        <f t="shared" si="4"/>
        <v>41453.774709828416</v>
      </c>
    </row>
    <row r="45" spans="1:10" x14ac:dyDescent="0.2">
      <c r="A45">
        <v>2016</v>
      </c>
      <c r="B45" s="3" t="str">
        <f t="shared" si="0"/>
        <v>9274</v>
      </c>
      <c r="C45" s="3" t="s">
        <v>52</v>
      </c>
      <c r="D45" s="13">
        <v>63111</v>
      </c>
      <c r="E45" s="13">
        <v>135040</v>
      </c>
      <c r="F45" s="13">
        <f>SUM(D45:E45)</f>
        <v>198151</v>
      </c>
      <c r="G45">
        <f t="shared" si="1"/>
        <v>2.0024219350451173E-4</v>
      </c>
      <c r="H45">
        <f t="shared" si="2"/>
        <v>31639.939196755196</v>
      </c>
      <c r="I45" s="2">
        <f t="shared" si="3"/>
        <v>166679.93919675521</v>
      </c>
      <c r="J45" s="2">
        <f t="shared" si="4"/>
        <v>229790.93919675521</v>
      </c>
    </row>
    <row r="46" spans="1:10" x14ac:dyDescent="0.2">
      <c r="A46">
        <v>2016</v>
      </c>
      <c r="B46" s="3" t="str">
        <f t="shared" si="0"/>
        <v>9303</v>
      </c>
      <c r="C46" s="3" t="s">
        <v>363</v>
      </c>
      <c r="D46" s="13">
        <v>18200</v>
      </c>
      <c r="E46" s="13">
        <v>38940</v>
      </c>
      <c r="F46" s="13">
        <f>SUM(D46:E46)</f>
        <v>57140</v>
      </c>
      <c r="G46">
        <f t="shared" si="1"/>
        <v>5.7743028987225908E-5</v>
      </c>
      <c r="H46">
        <f t="shared" si="2"/>
        <v>9123.8809075028239</v>
      </c>
      <c r="I46" s="2">
        <f t="shared" si="3"/>
        <v>48063.880907502826</v>
      </c>
      <c r="J46" s="2">
        <f t="shared" si="4"/>
        <v>66263.880907502826</v>
      </c>
    </row>
    <row r="47" spans="1:10" x14ac:dyDescent="0.2">
      <c r="A47">
        <v>2016</v>
      </c>
      <c r="B47" s="3" t="str">
        <f t="shared" si="0"/>
        <v>9304</v>
      </c>
      <c r="C47" s="3" t="s">
        <v>54</v>
      </c>
      <c r="D47" s="3">
        <v>0</v>
      </c>
      <c r="E47" s="3">
        <v>0</v>
      </c>
      <c r="F47" s="13">
        <f>SUM(D47:E47)</f>
        <v>0</v>
      </c>
      <c r="G47">
        <f t="shared" si="1"/>
        <v>0</v>
      </c>
      <c r="H47">
        <f t="shared" si="2"/>
        <v>0</v>
      </c>
      <c r="I47" s="2">
        <f t="shared" si="3"/>
        <v>0</v>
      </c>
      <c r="J47" s="2">
        <f t="shared" si="4"/>
        <v>0</v>
      </c>
    </row>
    <row r="48" spans="1:10" x14ac:dyDescent="0.2">
      <c r="A48">
        <v>2016</v>
      </c>
      <c r="B48" s="3" t="str">
        <f t="shared" si="0"/>
        <v>9305</v>
      </c>
      <c r="C48" s="3" t="s">
        <v>55</v>
      </c>
      <c r="D48" s="13">
        <v>29576</v>
      </c>
      <c r="E48" s="13">
        <v>63290</v>
      </c>
      <c r="F48" s="13">
        <f>SUM(D48:E48)</f>
        <v>92866</v>
      </c>
      <c r="G48">
        <f t="shared" si="1"/>
        <v>9.384606457696397E-5</v>
      </c>
      <c r="H48">
        <f t="shared" si="2"/>
        <v>14828.462099337719</v>
      </c>
      <c r="I48" s="2">
        <f t="shared" si="3"/>
        <v>78118.462099337718</v>
      </c>
      <c r="J48" s="2">
        <f t="shared" si="4"/>
        <v>107694.46209933772</v>
      </c>
    </row>
    <row r="49" spans="1:10" x14ac:dyDescent="0.2">
      <c r="A49">
        <v>2016</v>
      </c>
      <c r="B49" s="3" t="str">
        <f t="shared" si="0"/>
        <v>9395</v>
      </c>
      <c r="C49" s="3" t="s">
        <v>56</v>
      </c>
      <c r="D49" s="13">
        <v>2163</v>
      </c>
      <c r="E49" s="13">
        <v>4630</v>
      </c>
      <c r="F49" s="13">
        <f>SUM(D49:E49)</f>
        <v>6793</v>
      </c>
      <c r="G49">
        <f t="shared" si="1"/>
        <v>6.8646901629370948E-6</v>
      </c>
      <c r="H49">
        <f t="shared" si="2"/>
        <v>1084.678386500992</v>
      </c>
      <c r="I49" s="2">
        <f t="shared" si="3"/>
        <v>5714.678386500992</v>
      </c>
      <c r="J49" s="2">
        <f t="shared" si="4"/>
        <v>7877.678386500992</v>
      </c>
    </row>
    <row r="50" spans="1:10" x14ac:dyDescent="0.2">
      <c r="A50">
        <v>2016</v>
      </c>
      <c r="B50" s="3" t="str">
        <f t="shared" si="0"/>
        <v>9487</v>
      </c>
      <c r="C50" s="3" t="s">
        <v>57</v>
      </c>
      <c r="D50" s="13">
        <v>14394</v>
      </c>
      <c r="E50" s="13">
        <v>30800</v>
      </c>
      <c r="F50" s="13">
        <f>SUM(D50:E50)</f>
        <v>45194</v>
      </c>
      <c r="G50">
        <f t="shared" si="1"/>
        <v>4.5670956458674965E-5</v>
      </c>
      <c r="H50">
        <f t="shared" si="2"/>
        <v>7216.3926099699438</v>
      </c>
      <c r="I50" s="2">
        <f t="shared" si="3"/>
        <v>38016.392609969946</v>
      </c>
      <c r="J50" s="2">
        <f t="shared" si="4"/>
        <v>52410.392609969946</v>
      </c>
    </row>
    <row r="51" spans="1:10" x14ac:dyDescent="0.2">
      <c r="A51">
        <v>2016</v>
      </c>
      <c r="B51" s="3" t="str">
        <f t="shared" si="0"/>
        <v>9507</v>
      </c>
      <c r="C51" s="3" t="s">
        <v>58</v>
      </c>
      <c r="D51" s="13">
        <v>77780</v>
      </c>
      <c r="E51" s="13">
        <v>166430</v>
      </c>
      <c r="F51" s="13">
        <f>SUM(D51:E51)</f>
        <v>244210</v>
      </c>
      <c r="G51">
        <f t="shared" si="1"/>
        <v>2.4678727877092122E-4</v>
      </c>
      <c r="H51">
        <f t="shared" si="2"/>
        <v>38994.451459945129</v>
      </c>
      <c r="I51" s="2">
        <f t="shared" si="3"/>
        <v>205424.45145994512</v>
      </c>
      <c r="J51" s="2">
        <f t="shared" si="4"/>
        <v>283204.45145994512</v>
      </c>
    </row>
    <row r="52" spans="1:10" x14ac:dyDescent="0.2">
      <c r="A52">
        <v>2016</v>
      </c>
      <c r="B52" s="3" t="str">
        <f t="shared" si="0"/>
        <v>4828</v>
      </c>
      <c r="C52" s="3" t="s">
        <v>59</v>
      </c>
      <c r="D52" s="13">
        <v>2755756</v>
      </c>
      <c r="E52" s="13">
        <v>5896620</v>
      </c>
      <c r="F52" s="13">
        <f>SUM(D52:E52)</f>
        <v>8652376</v>
      </c>
      <c r="G52">
        <f t="shared" si="1"/>
        <v>8.7436891525442366E-3</v>
      </c>
      <c r="H52">
        <f t="shared" si="2"/>
        <v>1381575.9221374807</v>
      </c>
      <c r="I52" s="2">
        <f t="shared" si="3"/>
        <v>7278195.9221374802</v>
      </c>
      <c r="J52" s="2">
        <f t="shared" si="4"/>
        <v>10033951.92213748</v>
      </c>
    </row>
    <row r="53" spans="1:10" x14ac:dyDescent="0.2">
      <c r="A53">
        <v>2016</v>
      </c>
      <c r="B53" s="3" t="str">
        <f t="shared" si="0"/>
        <v>4829</v>
      </c>
      <c r="C53" s="3" t="s">
        <v>60</v>
      </c>
      <c r="D53" s="13">
        <v>1065379</v>
      </c>
      <c r="E53" s="13">
        <v>2279640</v>
      </c>
      <c r="F53" s="13">
        <f>SUM(D53:E53)</f>
        <v>3345019</v>
      </c>
      <c r="G53">
        <f t="shared" si="1"/>
        <v>3.3803207749356213E-3</v>
      </c>
      <c r="H53">
        <f t="shared" si="2"/>
        <v>534118.91825926118</v>
      </c>
      <c r="I53" s="2">
        <f t="shared" si="3"/>
        <v>2813758.9182592612</v>
      </c>
      <c r="J53" s="2">
        <f t="shared" si="4"/>
        <v>3879137.9182592612</v>
      </c>
    </row>
    <row r="54" spans="1:10" x14ac:dyDescent="0.2">
      <c r="A54">
        <v>2016</v>
      </c>
      <c r="B54" s="3" t="str">
        <f t="shared" si="0"/>
        <v>4871</v>
      </c>
      <c r="C54" s="3" t="s">
        <v>61</v>
      </c>
      <c r="D54" s="13">
        <v>305950</v>
      </c>
      <c r="E54" s="13">
        <v>654660</v>
      </c>
      <c r="F54" s="13">
        <f>SUM(D54:E54)</f>
        <v>960610</v>
      </c>
      <c r="G54">
        <f t="shared" si="1"/>
        <v>9.7074783121139441E-4</v>
      </c>
      <c r="H54">
        <f t="shared" si="2"/>
        <v>153386.26598803443</v>
      </c>
      <c r="I54" s="2">
        <f t="shared" si="3"/>
        <v>808046.26598803443</v>
      </c>
      <c r="J54" s="2">
        <f t="shared" si="4"/>
        <v>1113996.2659880344</v>
      </c>
    </row>
    <row r="55" spans="1:10" x14ac:dyDescent="0.2">
      <c r="A55">
        <v>2016</v>
      </c>
      <c r="B55" s="3" t="str">
        <f t="shared" si="0"/>
        <v>4882</v>
      </c>
      <c r="C55" s="3" t="s">
        <v>62</v>
      </c>
      <c r="D55" s="13">
        <v>1785915</v>
      </c>
      <c r="E55" s="13">
        <v>3821410</v>
      </c>
      <c r="F55" s="13">
        <f>SUM(D55:E55)</f>
        <v>5607325</v>
      </c>
      <c r="G55">
        <f t="shared" si="1"/>
        <v>5.6665021003814578E-3</v>
      </c>
      <c r="H55">
        <f t="shared" si="2"/>
        <v>895354.66415231477</v>
      </c>
      <c r="I55" s="2">
        <f t="shared" si="3"/>
        <v>4716764.6641523149</v>
      </c>
      <c r="J55" s="2">
        <f t="shared" si="4"/>
        <v>6502679.6641523149</v>
      </c>
    </row>
    <row r="56" spans="1:10" x14ac:dyDescent="0.2">
      <c r="A56">
        <v>2016</v>
      </c>
      <c r="B56" s="3" t="str">
        <f t="shared" si="0"/>
        <v>4912</v>
      </c>
      <c r="C56" s="3" t="s">
        <v>63</v>
      </c>
      <c r="D56" s="13">
        <v>337386</v>
      </c>
      <c r="E56" s="13">
        <v>721920</v>
      </c>
      <c r="F56" s="13">
        <f>SUM(D56:E56)</f>
        <v>1059306</v>
      </c>
      <c r="G56">
        <f t="shared" si="1"/>
        <v>1.0704854228971356E-3</v>
      </c>
      <c r="H56">
        <f t="shared" si="2"/>
        <v>169145.63858248488</v>
      </c>
      <c r="I56" s="2">
        <f t="shared" si="3"/>
        <v>891065.63858248491</v>
      </c>
      <c r="J56" s="2">
        <f t="shared" si="4"/>
        <v>1228451.6385824848</v>
      </c>
    </row>
    <row r="57" spans="1:10" x14ac:dyDescent="0.2">
      <c r="A57">
        <v>2016</v>
      </c>
      <c r="B57" s="3" t="str">
        <f t="shared" si="0"/>
        <v>4977</v>
      </c>
      <c r="C57" s="3" t="s">
        <v>64</v>
      </c>
      <c r="D57" s="13">
        <v>169963</v>
      </c>
      <c r="E57" s="13">
        <v>363680</v>
      </c>
      <c r="F57" s="13">
        <f>SUM(D57:E57)</f>
        <v>533643</v>
      </c>
      <c r="G57">
        <f t="shared" si="1"/>
        <v>5.3927482005303108E-4</v>
      </c>
      <c r="H57">
        <f t="shared" si="2"/>
        <v>85209.926130950815</v>
      </c>
      <c r="I57" s="2">
        <f t="shared" si="3"/>
        <v>448889.9261309508</v>
      </c>
      <c r="J57" s="2">
        <f t="shared" si="4"/>
        <v>618852.9261309508</v>
      </c>
    </row>
    <row r="58" spans="1:10" x14ac:dyDescent="0.2">
      <c r="A58">
        <v>2016</v>
      </c>
      <c r="B58" s="3" t="str">
        <f t="shared" si="0"/>
        <v>4978</v>
      </c>
      <c r="C58" s="3" t="s">
        <v>65</v>
      </c>
      <c r="D58" s="13">
        <v>19593235</v>
      </c>
      <c r="E58" s="13">
        <v>41924580</v>
      </c>
      <c r="F58" s="13">
        <f>SUM(D58:E58)</f>
        <v>61517815</v>
      </c>
      <c r="G58">
        <f t="shared" si="1"/>
        <v>6.2167045410847055E-2</v>
      </c>
      <c r="H58">
        <f t="shared" si="2"/>
        <v>9822912.456244152</v>
      </c>
      <c r="I58" s="2">
        <f t="shared" si="3"/>
        <v>51747492.456244156</v>
      </c>
      <c r="J58" s="2">
        <f t="shared" si="4"/>
        <v>71340727.456244156</v>
      </c>
    </row>
    <row r="59" spans="1:10" x14ac:dyDescent="0.2">
      <c r="A59">
        <v>2016</v>
      </c>
      <c r="B59" s="3" t="str">
        <f t="shared" si="0"/>
        <v>4979</v>
      </c>
      <c r="C59" s="3" t="s">
        <v>66</v>
      </c>
      <c r="D59" s="13">
        <v>74463</v>
      </c>
      <c r="E59" s="13">
        <v>159330</v>
      </c>
      <c r="F59" s="13">
        <f>SUM(D59:E59)</f>
        <v>233793</v>
      </c>
      <c r="G59">
        <f t="shared" si="1"/>
        <v>2.3626034259731371E-4</v>
      </c>
      <c r="H59">
        <f t="shared" si="2"/>
        <v>37331.107613017281</v>
      </c>
      <c r="I59" s="2">
        <f t="shared" si="3"/>
        <v>196661.10761301729</v>
      </c>
      <c r="J59" s="2">
        <f t="shared" si="4"/>
        <v>271124.10761301726</v>
      </c>
    </row>
    <row r="60" spans="1:10" x14ac:dyDescent="0.2">
      <c r="A60">
        <v>2016</v>
      </c>
      <c r="B60" s="3" t="str">
        <f t="shared" si="0"/>
        <v>4980</v>
      </c>
      <c r="C60" s="3" t="s">
        <v>67</v>
      </c>
      <c r="D60" s="13">
        <v>1679237</v>
      </c>
      <c r="E60" s="13">
        <v>3593140</v>
      </c>
      <c r="F60" s="13">
        <f>SUM(D60:E60)</f>
        <v>5272377</v>
      </c>
      <c r="G60">
        <f t="shared" si="1"/>
        <v>5.328019214955953E-3</v>
      </c>
      <c r="H60">
        <f t="shared" si="2"/>
        <v>841871.54090754315</v>
      </c>
      <c r="I60" s="2">
        <f t="shared" si="3"/>
        <v>4435011.5409075432</v>
      </c>
      <c r="J60" s="2">
        <f t="shared" si="4"/>
        <v>6114248.5409075432</v>
      </c>
    </row>
    <row r="61" spans="1:10" x14ac:dyDescent="0.2">
      <c r="A61">
        <v>2016</v>
      </c>
      <c r="B61" s="3" t="str">
        <f t="shared" si="0"/>
        <v>4981</v>
      </c>
      <c r="C61" s="3" t="s">
        <v>68</v>
      </c>
      <c r="D61" s="13">
        <v>3467121</v>
      </c>
      <c r="E61" s="13">
        <v>7418760</v>
      </c>
      <c r="F61" s="13">
        <f>SUM(D61:E61)</f>
        <v>10885881</v>
      </c>
      <c r="G61">
        <f t="shared" si="1"/>
        <v>1.1000765525629886E-2</v>
      </c>
      <c r="H61">
        <f t="shared" si="2"/>
        <v>1738212.8424439575</v>
      </c>
      <c r="I61" s="2">
        <f t="shared" si="3"/>
        <v>9156972.8424439579</v>
      </c>
      <c r="J61" s="2">
        <f t="shared" si="4"/>
        <v>12624093.842443958</v>
      </c>
    </row>
    <row r="62" spans="1:10" x14ac:dyDescent="0.2">
      <c r="A62">
        <v>2016</v>
      </c>
      <c r="B62" s="3" t="str">
        <f t="shared" si="0"/>
        <v>4982</v>
      </c>
      <c r="C62" s="3" t="s">
        <v>69</v>
      </c>
      <c r="D62" s="13">
        <v>30921995</v>
      </c>
      <c r="E62" s="13">
        <v>66165270</v>
      </c>
      <c r="F62" s="13">
        <f>SUM(D62:E62)</f>
        <v>97087265</v>
      </c>
      <c r="G62">
        <f t="shared" si="1"/>
        <v>9.8111878844688194E-2</v>
      </c>
      <c r="H62">
        <f t="shared" si="2"/>
        <v>15502496.385984724</v>
      </c>
      <c r="I62" s="2">
        <f t="shared" si="3"/>
        <v>81667766.385984719</v>
      </c>
      <c r="J62" s="2">
        <f t="shared" si="4"/>
        <v>112589761.38598472</v>
      </c>
    </row>
    <row r="63" spans="1:10" x14ac:dyDescent="0.2">
      <c r="A63">
        <v>2016</v>
      </c>
      <c r="B63" s="3" t="str">
        <f t="shared" si="0"/>
        <v>4983</v>
      </c>
      <c r="C63" s="3" t="s">
        <v>70</v>
      </c>
      <c r="D63" s="13">
        <v>4437659</v>
      </c>
      <c r="E63" s="13">
        <v>9495470</v>
      </c>
      <c r="F63" s="13">
        <f>SUM(D63:E63)</f>
        <v>13933129</v>
      </c>
      <c r="G63">
        <f t="shared" si="1"/>
        <v>1.4080172763908959E-2</v>
      </c>
      <c r="H63">
        <f t="shared" si="2"/>
        <v>2224784.9083807124</v>
      </c>
      <c r="I63" s="2">
        <f t="shared" si="3"/>
        <v>11720254.908380713</v>
      </c>
      <c r="J63" s="2">
        <f t="shared" si="4"/>
        <v>16157913.908380713</v>
      </c>
    </row>
    <row r="64" spans="1:10" x14ac:dyDescent="0.2">
      <c r="A64">
        <v>2016</v>
      </c>
      <c r="B64" s="3" t="str">
        <f t="shared" si="0"/>
        <v>4984</v>
      </c>
      <c r="C64" s="3" t="s">
        <v>71</v>
      </c>
      <c r="D64" s="13">
        <v>1347854</v>
      </c>
      <c r="E64" s="13">
        <v>2884070</v>
      </c>
      <c r="F64" s="13">
        <f>SUM(D64:E64)</f>
        <v>4231924</v>
      </c>
      <c r="G64">
        <f t="shared" si="1"/>
        <v>4.27658575785329E-3</v>
      </c>
      <c r="H64">
        <f t="shared" si="2"/>
        <v>675736.27206165518</v>
      </c>
      <c r="I64" s="2">
        <f t="shared" si="3"/>
        <v>3559806.2720616553</v>
      </c>
      <c r="J64" s="2">
        <f t="shared" si="4"/>
        <v>4907660.2720616553</v>
      </c>
    </row>
    <row r="65" spans="1:10" x14ac:dyDescent="0.2">
      <c r="A65">
        <v>2016</v>
      </c>
      <c r="B65" s="3" t="str">
        <f t="shared" si="0"/>
        <v>4985</v>
      </c>
      <c r="C65" s="3" t="s">
        <v>72</v>
      </c>
      <c r="D65" s="13">
        <v>2793409</v>
      </c>
      <c r="E65" s="13">
        <v>5977190</v>
      </c>
      <c r="F65" s="13">
        <f>SUM(D65:E65)</f>
        <v>8770599</v>
      </c>
      <c r="G65">
        <f t="shared" si="1"/>
        <v>8.8631598231070103E-3</v>
      </c>
      <c r="H65">
        <f t="shared" si="2"/>
        <v>1400453.2860249099</v>
      </c>
      <c r="I65" s="2">
        <f t="shared" si="3"/>
        <v>7377643.2860249095</v>
      </c>
      <c r="J65" s="2">
        <f t="shared" si="4"/>
        <v>10171052.286024909</v>
      </c>
    </row>
    <row r="66" spans="1:10" x14ac:dyDescent="0.2">
      <c r="A66">
        <v>2016</v>
      </c>
      <c r="B66" s="3" t="str">
        <f t="shared" si="0"/>
        <v>4986</v>
      </c>
      <c r="C66" s="3" t="s">
        <v>73</v>
      </c>
      <c r="D66" s="13">
        <v>2908628</v>
      </c>
      <c r="E66" s="13">
        <v>6223730</v>
      </c>
      <c r="F66" s="13">
        <f>SUM(D66:E66)</f>
        <v>9132358</v>
      </c>
      <c r="G66">
        <f t="shared" si="1"/>
        <v>9.228736659358144E-3</v>
      </c>
      <c r="H66">
        <f t="shared" si="2"/>
        <v>1458217.4798159024</v>
      </c>
      <c r="I66" s="2">
        <f t="shared" si="3"/>
        <v>7681947.4798159022</v>
      </c>
      <c r="J66" s="2">
        <f t="shared" si="4"/>
        <v>10590575.479815902</v>
      </c>
    </row>
    <row r="67" spans="1:10" x14ac:dyDescent="0.2">
      <c r="A67">
        <v>2016</v>
      </c>
      <c r="B67" s="3" t="str">
        <f t="shared" ref="B67:B130" si="5">LEFT(C67,4)</f>
        <v>4987</v>
      </c>
      <c r="C67" s="3" t="s">
        <v>74</v>
      </c>
      <c r="D67" s="13">
        <v>453816</v>
      </c>
      <c r="E67" s="13">
        <v>971050</v>
      </c>
      <c r="F67" s="13">
        <f>SUM(D67:E67)</f>
        <v>1424866</v>
      </c>
      <c r="G67">
        <f t="shared" ref="G67:G130" si="6">F67/$F$340</f>
        <v>1.4399033731346278E-3</v>
      </c>
      <c r="H67">
        <f t="shared" ref="H67:H130" si="7">G67*$D$344</f>
        <v>227516.76046814697</v>
      </c>
      <c r="I67" s="2">
        <f t="shared" ref="I67:I130" si="8">SUM(H67,E67)</f>
        <v>1198566.760468147</v>
      </c>
      <c r="J67" s="2">
        <f t="shared" ref="J67:J130" si="9">SUM(D67,E67,H67)</f>
        <v>1652382.760468147</v>
      </c>
    </row>
    <row r="68" spans="1:10" x14ac:dyDescent="0.2">
      <c r="A68">
        <v>2016</v>
      </c>
      <c r="B68" s="3" t="str">
        <f t="shared" si="5"/>
        <v>4988</v>
      </c>
      <c r="C68" s="3" t="s">
        <v>75</v>
      </c>
      <c r="D68" s="13">
        <v>1670926</v>
      </c>
      <c r="E68" s="13">
        <v>3575360</v>
      </c>
      <c r="F68" s="13">
        <f>SUM(D68:E68)</f>
        <v>5246286</v>
      </c>
      <c r="G68">
        <f t="shared" si="6"/>
        <v>5.3016528626754888E-3</v>
      </c>
      <c r="H68">
        <f t="shared" si="7"/>
        <v>837705.43700908916</v>
      </c>
      <c r="I68" s="2">
        <f t="shared" si="8"/>
        <v>4413065.4370090887</v>
      </c>
      <c r="J68" s="2">
        <f t="shared" si="9"/>
        <v>6083991.4370090887</v>
      </c>
    </row>
    <row r="69" spans="1:10" x14ac:dyDescent="0.2">
      <c r="A69">
        <v>2016</v>
      </c>
      <c r="B69" s="3" t="str">
        <f t="shared" si="5"/>
        <v>4990</v>
      </c>
      <c r="C69" s="3" t="s">
        <v>76</v>
      </c>
      <c r="D69" s="13">
        <v>89067</v>
      </c>
      <c r="E69" s="13">
        <v>190580</v>
      </c>
      <c r="F69" s="13">
        <f>SUM(D69:E69)</f>
        <v>279647</v>
      </c>
      <c r="G69">
        <f t="shared" si="6"/>
        <v>2.825982643890578E-4</v>
      </c>
      <c r="H69">
        <f t="shared" si="7"/>
        <v>44652.886316773576</v>
      </c>
      <c r="I69" s="2">
        <f t="shared" si="8"/>
        <v>235232.88631677357</v>
      </c>
      <c r="J69" s="2">
        <f t="shared" si="9"/>
        <v>324299.8863167736</v>
      </c>
    </row>
    <row r="70" spans="1:10" x14ac:dyDescent="0.2">
      <c r="A70">
        <v>2016</v>
      </c>
      <c r="B70" s="3" t="str">
        <f t="shared" si="5"/>
        <v>4991</v>
      </c>
      <c r="C70" s="3" t="s">
        <v>77</v>
      </c>
      <c r="D70" s="13">
        <v>721540</v>
      </c>
      <c r="E70" s="13">
        <v>1543910</v>
      </c>
      <c r="F70" s="13">
        <f>SUM(D70:E70)</f>
        <v>2265450</v>
      </c>
      <c r="G70">
        <f t="shared" si="6"/>
        <v>2.2893585057597293E-3</v>
      </c>
      <c r="H70">
        <f t="shared" si="7"/>
        <v>361737.76692163583</v>
      </c>
      <c r="I70" s="2">
        <f t="shared" si="8"/>
        <v>1905647.7669216357</v>
      </c>
      <c r="J70" s="2">
        <f t="shared" si="9"/>
        <v>2627187.7669216357</v>
      </c>
    </row>
    <row r="71" spans="1:10" x14ac:dyDescent="0.2">
      <c r="A71">
        <v>2016</v>
      </c>
      <c r="B71" s="3" t="str">
        <f t="shared" si="5"/>
        <v>4992</v>
      </c>
      <c r="C71" s="3" t="s">
        <v>78</v>
      </c>
      <c r="D71" s="13">
        <v>171527</v>
      </c>
      <c r="E71" s="13">
        <v>367020</v>
      </c>
      <c r="F71" s="13">
        <f>SUM(D71:E71)</f>
        <v>538547</v>
      </c>
      <c r="G71">
        <f t="shared" si="6"/>
        <v>5.4423057458844154E-4</v>
      </c>
      <c r="H71">
        <f t="shared" si="7"/>
        <v>85992.976742963307</v>
      </c>
      <c r="I71" s="2">
        <f t="shared" si="8"/>
        <v>453012.97674296331</v>
      </c>
      <c r="J71" s="2">
        <f t="shared" si="9"/>
        <v>624539.97674296331</v>
      </c>
    </row>
    <row r="72" spans="1:10" x14ac:dyDescent="0.2">
      <c r="A72">
        <v>2016</v>
      </c>
      <c r="B72" s="3" t="str">
        <f t="shared" si="5"/>
        <v>4993</v>
      </c>
      <c r="C72" s="3" t="s">
        <v>79</v>
      </c>
      <c r="D72" s="13">
        <v>585315</v>
      </c>
      <c r="E72" s="13">
        <v>1252430</v>
      </c>
      <c r="F72" s="13">
        <f>SUM(D72:E72)</f>
        <v>1837745</v>
      </c>
      <c r="G72">
        <f t="shared" si="6"/>
        <v>1.8571397060925703E-3</v>
      </c>
      <c r="H72">
        <f t="shared" si="7"/>
        <v>293443.58625059109</v>
      </c>
      <c r="I72" s="2">
        <f t="shared" si="8"/>
        <v>1545873.5862505911</v>
      </c>
      <c r="J72" s="2">
        <f t="shared" si="9"/>
        <v>2131188.5862505911</v>
      </c>
    </row>
    <row r="73" spans="1:10" x14ac:dyDescent="0.2">
      <c r="A73">
        <v>2016</v>
      </c>
      <c r="B73" s="3" t="str">
        <f t="shared" si="5"/>
        <v>4994</v>
      </c>
      <c r="C73" s="3" t="s">
        <v>80</v>
      </c>
      <c r="D73" s="13">
        <v>136607</v>
      </c>
      <c r="E73" s="13">
        <v>292300</v>
      </c>
      <c r="F73" s="13">
        <f>SUM(D73:E73)</f>
        <v>428907</v>
      </c>
      <c r="G73">
        <f t="shared" si="6"/>
        <v>4.3343348501617256E-4</v>
      </c>
      <c r="H73">
        <f t="shared" si="7"/>
        <v>68486.111102455601</v>
      </c>
      <c r="I73" s="2">
        <f t="shared" si="8"/>
        <v>360786.11110245559</v>
      </c>
      <c r="J73" s="2">
        <f t="shared" si="9"/>
        <v>497393.11110245559</v>
      </c>
    </row>
    <row r="74" spans="1:10" x14ac:dyDescent="0.2">
      <c r="A74">
        <v>2016</v>
      </c>
      <c r="B74" s="3" t="str">
        <f t="shared" si="5"/>
        <v>4995</v>
      </c>
      <c r="C74" s="3" t="s">
        <v>81</v>
      </c>
      <c r="D74" s="13">
        <v>569155</v>
      </c>
      <c r="E74" s="13">
        <v>1217850</v>
      </c>
      <c r="F74" s="13">
        <f>SUM(D74:E74)</f>
        <v>1787005</v>
      </c>
      <c r="G74">
        <f t="shared" si="6"/>
        <v>1.805864219729045E-3</v>
      </c>
      <c r="H74">
        <f t="shared" si="7"/>
        <v>285341.63110101648</v>
      </c>
      <c r="I74" s="2">
        <f t="shared" si="8"/>
        <v>1503191.6311010164</v>
      </c>
      <c r="J74" s="2">
        <f t="shared" si="9"/>
        <v>2072346.6311010164</v>
      </c>
    </row>
    <row r="75" spans="1:10" x14ac:dyDescent="0.2">
      <c r="A75">
        <v>2016</v>
      </c>
      <c r="B75" s="3" t="str">
        <f t="shared" si="5"/>
        <v>4996</v>
      </c>
      <c r="C75" s="3" t="s">
        <v>82</v>
      </c>
      <c r="D75" s="13">
        <v>180364</v>
      </c>
      <c r="E75" s="13">
        <v>385930</v>
      </c>
      <c r="F75" s="13">
        <f>SUM(D75:E75)</f>
        <v>566294</v>
      </c>
      <c r="G75">
        <f t="shared" si="6"/>
        <v>5.7227040352278804E-4</v>
      </c>
      <c r="H75">
        <f t="shared" si="7"/>
        <v>90423.503931281142</v>
      </c>
      <c r="I75" s="2">
        <f t="shared" si="8"/>
        <v>476353.50393128116</v>
      </c>
      <c r="J75" s="2">
        <f t="shared" si="9"/>
        <v>656717.50393128116</v>
      </c>
    </row>
    <row r="76" spans="1:10" x14ac:dyDescent="0.2">
      <c r="A76">
        <v>2016</v>
      </c>
      <c r="B76" s="3" t="str">
        <f t="shared" si="5"/>
        <v>4997</v>
      </c>
      <c r="C76" s="3" t="s">
        <v>83</v>
      </c>
      <c r="D76" s="13">
        <v>2478737</v>
      </c>
      <c r="E76" s="13">
        <v>5303870</v>
      </c>
      <c r="F76" s="13">
        <f>SUM(D76:E76)</f>
        <v>7782607</v>
      </c>
      <c r="G76">
        <f t="shared" si="6"/>
        <v>7.8647410150015275E-3</v>
      </c>
      <c r="H76">
        <f t="shared" si="7"/>
        <v>1242694.7745519397</v>
      </c>
      <c r="I76" s="2">
        <f t="shared" si="8"/>
        <v>6546564.7745519392</v>
      </c>
      <c r="J76" s="2">
        <f t="shared" si="9"/>
        <v>9025301.7745519392</v>
      </c>
    </row>
    <row r="77" spans="1:10" x14ac:dyDescent="0.2">
      <c r="A77">
        <v>2016</v>
      </c>
      <c r="B77" s="3" t="str">
        <f t="shared" si="5"/>
        <v>4998</v>
      </c>
      <c r="C77" s="3" t="s">
        <v>84</v>
      </c>
      <c r="D77" s="13">
        <v>352150</v>
      </c>
      <c r="E77" s="13">
        <v>753510</v>
      </c>
      <c r="F77" s="13">
        <f>SUM(D77:E77)</f>
        <v>1105660</v>
      </c>
      <c r="G77">
        <f t="shared" si="6"/>
        <v>1.1173286214563561E-3</v>
      </c>
      <c r="H77">
        <f t="shared" si="7"/>
        <v>176547.25523607928</v>
      </c>
      <c r="I77" s="2">
        <f t="shared" si="8"/>
        <v>930057.25523607922</v>
      </c>
      <c r="J77" s="2">
        <f t="shared" si="9"/>
        <v>1282207.2552360792</v>
      </c>
    </row>
    <row r="78" spans="1:10" x14ac:dyDescent="0.2">
      <c r="A78">
        <v>2016</v>
      </c>
      <c r="B78" s="3" t="str">
        <f t="shared" si="5"/>
        <v>4999</v>
      </c>
      <c r="C78" s="3" t="s">
        <v>352</v>
      </c>
      <c r="D78" s="13">
        <v>4401566</v>
      </c>
      <c r="E78" s="13">
        <v>9418240</v>
      </c>
      <c r="F78" s="13">
        <f>SUM(D78:E78)</f>
        <v>13819806</v>
      </c>
      <c r="G78">
        <f t="shared" si="6"/>
        <v>1.3965653805667456E-2</v>
      </c>
      <c r="H78">
        <f t="shared" si="7"/>
        <v>2206689.9564016969</v>
      </c>
      <c r="I78" s="2">
        <f t="shared" si="8"/>
        <v>11624929.956401696</v>
      </c>
      <c r="J78" s="2">
        <f t="shared" si="9"/>
        <v>16026495.956401696</v>
      </c>
    </row>
    <row r="79" spans="1:10" x14ac:dyDescent="0.2">
      <c r="A79">
        <v>2016</v>
      </c>
      <c r="B79" s="3" t="str">
        <f t="shared" si="5"/>
        <v>5000</v>
      </c>
      <c r="C79" s="3" t="s">
        <v>86</v>
      </c>
      <c r="D79" s="13">
        <v>2661740</v>
      </c>
      <c r="E79" s="13">
        <v>5695450</v>
      </c>
      <c r="F79" s="13">
        <f>SUM(D79:E79)</f>
        <v>8357190</v>
      </c>
      <c r="G79">
        <f t="shared" si="6"/>
        <v>8.4453878967755414E-3</v>
      </c>
      <c r="H79">
        <f t="shared" si="7"/>
        <v>1334441.8320156373</v>
      </c>
      <c r="I79" s="2">
        <f t="shared" si="8"/>
        <v>7029891.8320156373</v>
      </c>
      <c r="J79" s="2">
        <f t="shared" si="9"/>
        <v>9691631.8320156373</v>
      </c>
    </row>
    <row r="80" spans="1:10" x14ac:dyDescent="0.2">
      <c r="A80">
        <v>2016</v>
      </c>
      <c r="B80" s="3" t="str">
        <f t="shared" si="5"/>
        <v>5001</v>
      </c>
      <c r="C80" s="3" t="s">
        <v>87</v>
      </c>
      <c r="D80" s="13">
        <v>152855</v>
      </c>
      <c r="E80" s="13">
        <v>327070</v>
      </c>
      <c r="F80" s="13">
        <f>SUM(D80:E80)</f>
        <v>479925</v>
      </c>
      <c r="G80">
        <f t="shared" si="6"/>
        <v>4.8498990526241501E-4</v>
      </c>
      <c r="H80">
        <f t="shared" si="7"/>
        <v>76632.456152140236</v>
      </c>
      <c r="I80" s="2">
        <f t="shared" si="8"/>
        <v>403702.45615214022</v>
      </c>
      <c r="J80" s="2">
        <f t="shared" si="9"/>
        <v>556557.45615214028</v>
      </c>
    </row>
    <row r="81" spans="1:10" x14ac:dyDescent="0.2">
      <c r="A81">
        <v>2016</v>
      </c>
      <c r="B81" s="3" t="str">
        <f t="shared" si="5"/>
        <v>5002</v>
      </c>
      <c r="C81" s="3" t="s">
        <v>88</v>
      </c>
      <c r="D81" s="13">
        <v>74931</v>
      </c>
      <c r="E81" s="13">
        <v>160330</v>
      </c>
      <c r="F81" s="13">
        <f>SUM(D81:E81)</f>
        <v>235261</v>
      </c>
      <c r="G81">
        <f t="shared" si="6"/>
        <v>2.3774383518662502E-4</v>
      </c>
      <c r="H81">
        <f t="shared" si="7"/>
        <v>37565.511833742064</v>
      </c>
      <c r="I81" s="2">
        <f t="shared" si="8"/>
        <v>197895.51183374206</v>
      </c>
      <c r="J81" s="2">
        <f t="shared" si="9"/>
        <v>272826.51183374209</v>
      </c>
    </row>
    <row r="82" spans="1:10" x14ac:dyDescent="0.2">
      <c r="A82">
        <v>2016</v>
      </c>
      <c r="B82" s="3" t="str">
        <f t="shared" si="5"/>
        <v>5004</v>
      </c>
      <c r="C82" s="3" t="s">
        <v>89</v>
      </c>
      <c r="D82" s="13">
        <v>851996</v>
      </c>
      <c r="E82" s="13">
        <v>1823060</v>
      </c>
      <c r="F82" s="13">
        <f>SUM(D82:E82)</f>
        <v>2675056</v>
      </c>
      <c r="G82">
        <f t="shared" si="6"/>
        <v>2.7032872969977701E-3</v>
      </c>
      <c r="H82">
        <f t="shared" si="7"/>
        <v>427141.97348443948</v>
      </c>
      <c r="I82" s="2">
        <f t="shared" si="8"/>
        <v>2250201.9734844393</v>
      </c>
      <c r="J82" s="2">
        <f t="shared" si="9"/>
        <v>3102197.9734844393</v>
      </c>
    </row>
    <row r="83" spans="1:10" x14ac:dyDescent="0.2">
      <c r="A83">
        <v>2016</v>
      </c>
      <c r="B83" s="3" t="str">
        <f t="shared" si="5"/>
        <v>5005</v>
      </c>
      <c r="C83" s="3" t="s">
        <v>90</v>
      </c>
      <c r="D83" s="13">
        <v>438898</v>
      </c>
      <c r="E83" s="13">
        <v>939130</v>
      </c>
      <c r="F83" s="13">
        <f>SUM(D83:E83)</f>
        <v>1378028</v>
      </c>
      <c r="G83">
        <f t="shared" si="6"/>
        <v>1.3925710666644897E-3</v>
      </c>
      <c r="H83">
        <f t="shared" si="7"/>
        <v>220037.86067910923</v>
      </c>
      <c r="I83" s="2">
        <f t="shared" si="8"/>
        <v>1159167.8606791091</v>
      </c>
      <c r="J83" s="2">
        <f t="shared" si="9"/>
        <v>1598065.8606791091</v>
      </c>
    </row>
    <row r="84" spans="1:10" x14ac:dyDescent="0.2">
      <c r="A84">
        <v>2016</v>
      </c>
      <c r="B84" s="3" t="str">
        <f t="shared" si="5"/>
        <v>5006</v>
      </c>
      <c r="C84" s="3" t="s">
        <v>91</v>
      </c>
      <c r="D84" s="13">
        <v>187796</v>
      </c>
      <c r="E84" s="13">
        <v>401840</v>
      </c>
      <c r="F84" s="13">
        <f>SUM(D84:E84)</f>
        <v>589636</v>
      </c>
      <c r="G84">
        <f t="shared" si="6"/>
        <v>5.9585874413566563E-4</v>
      </c>
      <c r="H84">
        <f t="shared" si="7"/>
        <v>94150.658781524937</v>
      </c>
      <c r="I84" s="2">
        <f t="shared" si="8"/>
        <v>495990.65878152492</v>
      </c>
      <c r="J84" s="2">
        <f t="shared" si="9"/>
        <v>683786.65878152498</v>
      </c>
    </row>
    <row r="85" spans="1:10" x14ac:dyDescent="0.2">
      <c r="A85">
        <v>2016</v>
      </c>
      <c r="B85" s="3" t="str">
        <f t="shared" si="5"/>
        <v>5007</v>
      </c>
      <c r="C85" s="3" t="s">
        <v>143</v>
      </c>
      <c r="D85" s="13">
        <v>115900</v>
      </c>
      <c r="E85" s="13">
        <v>248000</v>
      </c>
      <c r="F85" s="13">
        <f>SUM(D85:E85)</f>
        <v>363900</v>
      </c>
      <c r="G85">
        <f t="shared" si="6"/>
        <v>3.6774043136946985E-4</v>
      </c>
      <c r="H85">
        <f t="shared" si="7"/>
        <v>58106.059892199468</v>
      </c>
      <c r="I85" s="2">
        <f t="shared" si="8"/>
        <v>306106.05989219947</v>
      </c>
      <c r="J85" s="2">
        <f t="shared" si="9"/>
        <v>422006.05989219947</v>
      </c>
    </row>
    <row r="86" spans="1:10" x14ac:dyDescent="0.2">
      <c r="A86">
        <v>2016</v>
      </c>
      <c r="B86" s="3" t="str">
        <f t="shared" si="5"/>
        <v>5008</v>
      </c>
      <c r="C86" s="3" t="s">
        <v>92</v>
      </c>
      <c r="D86" s="13">
        <v>497109</v>
      </c>
      <c r="E86" s="13">
        <v>1063690</v>
      </c>
      <c r="F86" s="13">
        <f>SUM(D86:E86)</f>
        <v>1560799</v>
      </c>
      <c r="G86">
        <f t="shared" si="6"/>
        <v>1.5772709468014211E-3</v>
      </c>
      <c r="H86">
        <f t="shared" si="7"/>
        <v>249221.98453884316</v>
      </c>
      <c r="I86" s="2">
        <f t="shared" si="8"/>
        <v>1312911.9845388432</v>
      </c>
      <c r="J86" s="2">
        <f t="shared" si="9"/>
        <v>1810020.9845388432</v>
      </c>
    </row>
    <row r="87" spans="1:10" x14ac:dyDescent="0.2">
      <c r="A87">
        <v>2016</v>
      </c>
      <c r="B87" s="3" t="str">
        <f t="shared" si="5"/>
        <v>5010</v>
      </c>
      <c r="C87" s="3" t="s">
        <v>93</v>
      </c>
      <c r="D87" s="13">
        <v>1173508</v>
      </c>
      <c r="E87" s="13">
        <v>2511010</v>
      </c>
      <c r="F87" s="13">
        <f>SUM(D87:E87)</f>
        <v>3684518</v>
      </c>
      <c r="G87">
        <f t="shared" si="6"/>
        <v>3.7234026894986984E-3</v>
      </c>
      <c r="H87">
        <f t="shared" si="7"/>
        <v>588328.72652345977</v>
      </c>
      <c r="I87" s="2">
        <f t="shared" si="8"/>
        <v>3099338.7265234599</v>
      </c>
      <c r="J87" s="2">
        <f t="shared" si="9"/>
        <v>4272846.7265234599</v>
      </c>
    </row>
    <row r="88" spans="1:10" x14ac:dyDescent="0.2">
      <c r="A88">
        <v>2016</v>
      </c>
      <c r="B88" s="3" t="str">
        <f t="shared" si="5"/>
        <v>5011</v>
      </c>
      <c r="C88" s="3" t="s">
        <v>94</v>
      </c>
      <c r="D88" s="13">
        <v>381275</v>
      </c>
      <c r="E88" s="13">
        <v>815830</v>
      </c>
      <c r="F88" s="13">
        <f>SUM(D88:E88)</f>
        <v>1197105</v>
      </c>
      <c r="G88">
        <f t="shared" si="6"/>
        <v>1.2097386894601516E-3</v>
      </c>
      <c r="H88">
        <f t="shared" si="7"/>
        <v>191148.81788197701</v>
      </c>
      <c r="I88" s="2">
        <f t="shared" si="8"/>
        <v>1006978.817881977</v>
      </c>
      <c r="J88" s="2">
        <f t="shared" si="9"/>
        <v>1388253.817881977</v>
      </c>
    </row>
    <row r="89" spans="1:10" x14ac:dyDescent="0.2">
      <c r="A89">
        <v>2016</v>
      </c>
      <c r="B89" s="3" t="str">
        <f t="shared" si="5"/>
        <v>5012</v>
      </c>
      <c r="C89" s="3" t="s">
        <v>95</v>
      </c>
      <c r="D89" s="13">
        <v>232768</v>
      </c>
      <c r="E89" s="13">
        <v>498060</v>
      </c>
      <c r="F89" s="13">
        <f>SUM(D89:E89)</f>
        <v>730828</v>
      </c>
      <c r="G89">
        <f t="shared" si="6"/>
        <v>7.3854081884277797E-4</v>
      </c>
      <c r="H89">
        <f t="shared" si="7"/>
        <v>116695.61840861871</v>
      </c>
      <c r="I89" s="2">
        <f t="shared" si="8"/>
        <v>614755.61840861873</v>
      </c>
      <c r="J89" s="2">
        <f t="shared" si="9"/>
        <v>847523.61840861873</v>
      </c>
    </row>
    <row r="90" spans="1:10" x14ac:dyDescent="0.2">
      <c r="A90">
        <v>2016</v>
      </c>
      <c r="B90" s="3" t="str">
        <f t="shared" si="5"/>
        <v>5013</v>
      </c>
      <c r="C90" s="3" t="s">
        <v>96</v>
      </c>
      <c r="D90" s="13">
        <v>4785134</v>
      </c>
      <c r="E90" s="13">
        <v>10238980</v>
      </c>
      <c r="F90" s="13">
        <f>SUM(D90:E90)</f>
        <v>15024114</v>
      </c>
      <c r="G90">
        <f t="shared" si="6"/>
        <v>1.5182671512239877E-2</v>
      </c>
      <c r="H90">
        <f t="shared" si="7"/>
        <v>2398988.9197890423</v>
      </c>
      <c r="I90" s="2">
        <f t="shared" si="8"/>
        <v>12637968.919789042</v>
      </c>
      <c r="J90" s="2">
        <f t="shared" si="9"/>
        <v>17423102.919789042</v>
      </c>
    </row>
    <row r="91" spans="1:10" x14ac:dyDescent="0.2">
      <c r="A91">
        <v>2016</v>
      </c>
      <c r="B91" s="3" t="str">
        <f t="shared" si="5"/>
        <v>5014</v>
      </c>
      <c r="C91" s="3" t="s">
        <v>97</v>
      </c>
      <c r="D91" s="13">
        <v>1132261</v>
      </c>
      <c r="E91" s="13">
        <v>2422750</v>
      </c>
      <c r="F91" s="13">
        <f>SUM(D91:E91)</f>
        <v>3555011</v>
      </c>
      <c r="G91">
        <f t="shared" si="6"/>
        <v>3.5925289328475139E-3</v>
      </c>
      <c r="H91">
        <f t="shared" si="7"/>
        <v>567649.5797840833</v>
      </c>
      <c r="I91" s="2">
        <f t="shared" si="8"/>
        <v>2990399.5797840832</v>
      </c>
      <c r="J91" s="2">
        <f t="shared" si="9"/>
        <v>4122660.5797840832</v>
      </c>
    </row>
    <row r="92" spans="1:10" x14ac:dyDescent="0.2">
      <c r="A92">
        <v>2016</v>
      </c>
      <c r="B92" s="3" t="str">
        <f t="shared" si="5"/>
        <v>5015</v>
      </c>
      <c r="C92" s="3" t="s">
        <v>98</v>
      </c>
      <c r="D92" s="13">
        <v>264405</v>
      </c>
      <c r="E92" s="13">
        <v>565760</v>
      </c>
      <c r="F92" s="13">
        <f>SUM(D92:E92)</f>
        <v>830165</v>
      </c>
      <c r="G92">
        <f t="shared" si="6"/>
        <v>8.3892617534442413E-4</v>
      </c>
      <c r="H92">
        <f t="shared" si="7"/>
        <v>132557.34325476165</v>
      </c>
      <c r="I92" s="2">
        <f t="shared" si="8"/>
        <v>698317.34325476165</v>
      </c>
      <c r="J92" s="2">
        <f t="shared" si="9"/>
        <v>962722.34325476165</v>
      </c>
    </row>
    <row r="93" spans="1:10" x14ac:dyDescent="0.2">
      <c r="A93">
        <v>2016</v>
      </c>
      <c r="B93" s="3" t="str">
        <f t="shared" si="5"/>
        <v>5016</v>
      </c>
      <c r="C93" s="3" t="s">
        <v>99</v>
      </c>
      <c r="D93" s="13">
        <v>407650</v>
      </c>
      <c r="E93" s="13">
        <v>872270</v>
      </c>
      <c r="F93" s="13">
        <f>SUM(D93:E93)</f>
        <v>1279920</v>
      </c>
      <c r="G93">
        <f t="shared" si="6"/>
        <v>1.293427680457301E-3</v>
      </c>
      <c r="H93">
        <f t="shared" si="7"/>
        <v>204372.37751366841</v>
      </c>
      <c r="I93" s="2">
        <f t="shared" si="8"/>
        <v>1076642.3775136685</v>
      </c>
      <c r="J93" s="2">
        <f t="shared" si="9"/>
        <v>1484292.3775136685</v>
      </c>
    </row>
    <row r="94" spans="1:10" x14ac:dyDescent="0.2">
      <c r="A94">
        <v>2016</v>
      </c>
      <c r="B94" s="3" t="str">
        <f t="shared" si="5"/>
        <v>5017</v>
      </c>
      <c r="C94" s="3" t="s">
        <v>100</v>
      </c>
      <c r="D94" s="13">
        <v>2556996</v>
      </c>
      <c r="E94" s="13">
        <v>5471330</v>
      </c>
      <c r="F94" s="13">
        <f>SUM(D94:E94)</f>
        <v>8028326</v>
      </c>
      <c r="G94">
        <f t="shared" si="6"/>
        <v>8.1130532190566932E-3</v>
      </c>
      <c r="H94">
        <f t="shared" si="7"/>
        <v>1281930.1769444963</v>
      </c>
      <c r="I94" s="2">
        <f t="shared" si="8"/>
        <v>6753260.1769444961</v>
      </c>
      <c r="J94" s="2">
        <f t="shared" si="9"/>
        <v>9310256.1769444961</v>
      </c>
    </row>
    <row r="95" spans="1:10" x14ac:dyDescent="0.2">
      <c r="A95">
        <v>2016</v>
      </c>
      <c r="B95" s="3" t="str">
        <f t="shared" si="5"/>
        <v>5018</v>
      </c>
      <c r="C95" s="3" t="s">
        <v>101</v>
      </c>
      <c r="D95" s="13">
        <v>194268</v>
      </c>
      <c r="E95" s="13">
        <v>415680</v>
      </c>
      <c r="F95" s="13">
        <f>SUM(D95:E95)</f>
        <v>609948</v>
      </c>
      <c r="G95">
        <f t="shared" si="6"/>
        <v>6.1638510753763505E-4</v>
      </c>
      <c r="H95">
        <f t="shared" si="7"/>
        <v>97393.995655749604</v>
      </c>
      <c r="I95" s="2">
        <f t="shared" si="8"/>
        <v>513073.99565574958</v>
      </c>
      <c r="J95" s="2">
        <f t="shared" si="9"/>
        <v>707341.99565574958</v>
      </c>
    </row>
    <row r="96" spans="1:10" x14ac:dyDescent="0.2">
      <c r="A96">
        <v>2016</v>
      </c>
      <c r="B96" s="3" t="str">
        <f t="shared" si="5"/>
        <v>5019</v>
      </c>
      <c r="C96" s="3" t="s">
        <v>102</v>
      </c>
      <c r="D96" s="13">
        <v>1733778</v>
      </c>
      <c r="E96" s="13">
        <v>3709850</v>
      </c>
      <c r="F96" s="13">
        <f>SUM(D96:E96)</f>
        <v>5443628</v>
      </c>
      <c r="G96">
        <f t="shared" si="6"/>
        <v>5.5010775183702235E-3</v>
      </c>
      <c r="H96">
        <f t="shared" si="7"/>
        <v>869216.1984030063</v>
      </c>
      <c r="I96" s="2">
        <f t="shared" si="8"/>
        <v>4579066.1984030064</v>
      </c>
      <c r="J96" s="2">
        <f t="shared" si="9"/>
        <v>6312844.1984030064</v>
      </c>
    </row>
    <row r="97" spans="1:10" x14ac:dyDescent="0.2">
      <c r="A97">
        <v>2016</v>
      </c>
      <c r="B97" s="3" t="str">
        <f t="shared" si="5"/>
        <v>5020</v>
      </c>
      <c r="C97" s="3" t="s">
        <v>103</v>
      </c>
      <c r="D97" s="18">
        <v>5666089</v>
      </c>
      <c r="E97" s="18">
        <v>12124000</v>
      </c>
      <c r="F97" s="13">
        <f>SUM(D97:E97)</f>
        <v>17790089</v>
      </c>
      <c r="G97">
        <f t="shared" si="6"/>
        <v>1.7977837326082057E-2</v>
      </c>
      <c r="H97">
        <f t="shared" si="7"/>
        <v>2840648.4663961497</v>
      </c>
      <c r="I97" s="2">
        <f t="shared" si="8"/>
        <v>14964648.466396149</v>
      </c>
      <c r="J97" s="2">
        <f t="shared" si="9"/>
        <v>20630737.466396149</v>
      </c>
    </row>
    <row r="98" spans="1:10" x14ac:dyDescent="0.2">
      <c r="A98">
        <v>2016</v>
      </c>
      <c r="B98" s="3" t="str">
        <f t="shared" si="5"/>
        <v>5021</v>
      </c>
      <c r="C98" s="3" t="s">
        <v>104</v>
      </c>
      <c r="D98" s="13">
        <v>204756</v>
      </c>
      <c r="E98" s="13">
        <v>438130</v>
      </c>
      <c r="F98" s="13">
        <f>SUM(D98:E98)</f>
        <v>642886</v>
      </c>
      <c r="G98">
        <f t="shared" si="6"/>
        <v>6.4967071987192355E-4</v>
      </c>
      <c r="H98">
        <f t="shared" si="7"/>
        <v>102653.40043928701</v>
      </c>
      <c r="I98" s="2">
        <f t="shared" si="8"/>
        <v>540783.40043928707</v>
      </c>
      <c r="J98" s="2">
        <f t="shared" si="9"/>
        <v>745539.40043928707</v>
      </c>
    </row>
    <row r="99" spans="1:10" x14ac:dyDescent="0.2">
      <c r="A99">
        <v>2016</v>
      </c>
      <c r="B99" s="3" t="str">
        <f t="shared" si="5"/>
        <v>5022</v>
      </c>
      <c r="C99" s="3" t="s">
        <v>105</v>
      </c>
      <c r="D99" s="13">
        <v>3191528</v>
      </c>
      <c r="E99" s="13">
        <v>6829070</v>
      </c>
      <c r="F99" s="13">
        <f>SUM(D99:E99)</f>
        <v>10020598</v>
      </c>
      <c r="G99">
        <f t="shared" si="6"/>
        <v>1.0126350731244975E-2</v>
      </c>
      <c r="H99">
        <f t="shared" si="7"/>
        <v>1600048.0009443641</v>
      </c>
      <c r="I99" s="2">
        <f t="shared" si="8"/>
        <v>8429118.0009443648</v>
      </c>
      <c r="J99" s="2">
        <f t="shared" si="9"/>
        <v>11620646.000944365</v>
      </c>
    </row>
    <row r="100" spans="1:10" x14ac:dyDescent="0.2">
      <c r="A100">
        <v>2016</v>
      </c>
      <c r="B100" s="3" t="str">
        <f t="shared" si="5"/>
        <v>5024</v>
      </c>
      <c r="C100" s="3" t="s">
        <v>106</v>
      </c>
      <c r="D100" s="13">
        <v>442856</v>
      </c>
      <c r="E100" s="13">
        <v>947600</v>
      </c>
      <c r="F100" s="13">
        <f>SUM(D100:E100)</f>
        <v>1390456</v>
      </c>
      <c r="G100">
        <f t="shared" si="6"/>
        <v>1.405130225996888E-3</v>
      </c>
      <c r="H100">
        <f t="shared" si="7"/>
        <v>222022.31276028606</v>
      </c>
      <c r="I100" s="2">
        <f t="shared" si="8"/>
        <v>1169622.312760286</v>
      </c>
      <c r="J100" s="2">
        <f t="shared" si="9"/>
        <v>1612478.312760286</v>
      </c>
    </row>
    <row r="101" spans="1:10" x14ac:dyDescent="0.2">
      <c r="A101">
        <v>2016</v>
      </c>
      <c r="B101" s="3" t="str">
        <f t="shared" si="5"/>
        <v>5025</v>
      </c>
      <c r="C101" s="3" t="s">
        <v>107</v>
      </c>
      <c r="D101" s="13">
        <v>1279687</v>
      </c>
      <c r="E101" s="13">
        <v>2738210</v>
      </c>
      <c r="F101" s="13">
        <f>SUM(D101:E101)</f>
        <v>4017897</v>
      </c>
      <c r="G101">
        <f t="shared" si="6"/>
        <v>4.060300016427861E-3</v>
      </c>
      <c r="H101">
        <f t="shared" si="7"/>
        <v>641561.31828163925</v>
      </c>
      <c r="I101" s="2">
        <f t="shared" si="8"/>
        <v>3379771.3182816394</v>
      </c>
      <c r="J101" s="2">
        <f t="shared" si="9"/>
        <v>4659458.3182816394</v>
      </c>
    </row>
    <row r="102" spans="1:10" x14ac:dyDescent="0.2">
      <c r="A102">
        <v>2016</v>
      </c>
      <c r="B102" s="3" t="str">
        <f t="shared" si="5"/>
        <v>5026</v>
      </c>
      <c r="C102" s="3" t="s">
        <v>108</v>
      </c>
      <c r="D102" s="13">
        <v>320419</v>
      </c>
      <c r="E102" s="13">
        <v>685620</v>
      </c>
      <c r="F102" s="13">
        <f>SUM(D102:E102)</f>
        <v>1006039</v>
      </c>
      <c r="G102">
        <f t="shared" si="6"/>
        <v>1.0166562677507835E-3</v>
      </c>
      <c r="H102">
        <f t="shared" si="7"/>
        <v>160640.18243442831</v>
      </c>
      <c r="I102" s="2">
        <f t="shared" si="8"/>
        <v>846260.18243442825</v>
      </c>
      <c r="J102" s="2">
        <f t="shared" si="9"/>
        <v>1166679.1824344283</v>
      </c>
    </row>
    <row r="103" spans="1:10" x14ac:dyDescent="0.2">
      <c r="A103">
        <v>2016</v>
      </c>
      <c r="B103" s="3" t="str">
        <f t="shared" si="5"/>
        <v>5027</v>
      </c>
      <c r="C103" s="3" t="s">
        <v>109</v>
      </c>
      <c r="D103" s="13">
        <v>3493148</v>
      </c>
      <c r="E103" s="13">
        <v>7474460</v>
      </c>
      <c r="F103" s="13">
        <f>SUM(D103:E103)</f>
        <v>10967608</v>
      </c>
      <c r="G103">
        <f t="shared" si="6"/>
        <v>1.1083355034381006E-2</v>
      </c>
      <c r="H103">
        <f t="shared" si="7"/>
        <v>1751262.6746968012</v>
      </c>
      <c r="I103" s="2">
        <f t="shared" si="8"/>
        <v>9225722.6746968012</v>
      </c>
      <c r="J103" s="2">
        <f t="shared" si="9"/>
        <v>12718870.674696801</v>
      </c>
    </row>
    <row r="104" spans="1:10" x14ac:dyDescent="0.2">
      <c r="A104">
        <v>2016</v>
      </c>
      <c r="B104" s="3" t="str">
        <f t="shared" si="5"/>
        <v>5028</v>
      </c>
      <c r="C104" s="3" t="s">
        <v>110</v>
      </c>
      <c r="D104" s="13">
        <v>902353</v>
      </c>
      <c r="E104" s="13">
        <v>1930810</v>
      </c>
      <c r="F104" s="13">
        <f>SUM(D104:E104)</f>
        <v>2833163</v>
      </c>
      <c r="G104">
        <f t="shared" si="6"/>
        <v>2.8630628847486159E-3</v>
      </c>
      <c r="H104">
        <f t="shared" si="7"/>
        <v>452387.85095455759</v>
      </c>
      <c r="I104" s="2">
        <f t="shared" si="8"/>
        <v>2383197.8509545578</v>
      </c>
      <c r="J104" s="2">
        <f t="shared" si="9"/>
        <v>3285550.8509545578</v>
      </c>
    </row>
    <row r="105" spans="1:10" x14ac:dyDescent="0.2">
      <c r="A105">
        <v>2016</v>
      </c>
      <c r="B105" s="3" t="str">
        <f t="shared" si="5"/>
        <v>5029</v>
      </c>
      <c r="C105" s="3" t="s">
        <v>111</v>
      </c>
      <c r="D105" s="13">
        <v>372965</v>
      </c>
      <c r="E105" s="13">
        <v>798050</v>
      </c>
      <c r="F105" s="13">
        <f>SUM(D105:E105)</f>
        <v>1171015</v>
      </c>
      <c r="G105">
        <f t="shared" si="6"/>
        <v>1.1833733477332226E-3</v>
      </c>
      <c r="H105">
        <f t="shared" si="7"/>
        <v>186982.8736594228</v>
      </c>
      <c r="I105" s="2">
        <f t="shared" si="8"/>
        <v>985032.87365942285</v>
      </c>
      <c r="J105" s="2">
        <f t="shared" si="9"/>
        <v>1357997.8736594229</v>
      </c>
    </row>
    <row r="106" spans="1:10" x14ac:dyDescent="0.2">
      <c r="A106">
        <v>2016</v>
      </c>
      <c r="B106" s="3" t="str">
        <f t="shared" si="5"/>
        <v>5031</v>
      </c>
      <c r="C106" s="3" t="s">
        <v>112</v>
      </c>
      <c r="D106" s="13">
        <v>6373406</v>
      </c>
      <c r="E106" s="13">
        <v>13637480</v>
      </c>
      <c r="F106" s="13">
        <f>SUM(D106:E106)</f>
        <v>20010886</v>
      </c>
      <c r="G106">
        <f t="shared" si="6"/>
        <v>2.022207158484552E-2</v>
      </c>
      <c r="H106">
        <f t="shared" si="7"/>
        <v>3195256.2253695405</v>
      </c>
      <c r="I106" s="2">
        <f t="shared" si="8"/>
        <v>16832736.225369539</v>
      </c>
      <c r="J106" s="2">
        <f t="shared" si="9"/>
        <v>23206142.225369539</v>
      </c>
    </row>
    <row r="107" spans="1:10" x14ac:dyDescent="0.2">
      <c r="A107">
        <v>2016</v>
      </c>
      <c r="B107" s="3" t="str">
        <f t="shared" si="5"/>
        <v>5032</v>
      </c>
      <c r="C107" s="3" t="s">
        <v>359</v>
      </c>
      <c r="D107" s="13">
        <v>582931</v>
      </c>
      <c r="E107" s="13">
        <v>1247330</v>
      </c>
      <c r="F107" s="13">
        <f>SUM(D107:E107)</f>
        <v>1830261</v>
      </c>
      <c r="G107">
        <f t="shared" si="6"/>
        <v>1.8495767234369806E-3</v>
      </c>
      <c r="H107">
        <f t="shared" si="7"/>
        <v>292248.57181741379</v>
      </c>
      <c r="I107" s="2">
        <f t="shared" si="8"/>
        <v>1539578.5718174139</v>
      </c>
      <c r="J107" s="2">
        <f t="shared" si="9"/>
        <v>2122509.5718174139</v>
      </c>
    </row>
    <row r="108" spans="1:10" x14ac:dyDescent="0.2">
      <c r="A108">
        <v>2016</v>
      </c>
      <c r="B108" s="3" t="str">
        <f t="shared" si="5"/>
        <v>5033</v>
      </c>
      <c r="C108" s="3" t="s">
        <v>114</v>
      </c>
      <c r="D108" s="13">
        <v>392132</v>
      </c>
      <c r="E108" s="13">
        <v>839060</v>
      </c>
      <c r="F108" s="13">
        <f>SUM(D108:E108)</f>
        <v>1231192</v>
      </c>
      <c r="G108">
        <f t="shared" si="6"/>
        <v>1.2441854278061014E-3</v>
      </c>
      <c r="H108">
        <f t="shared" si="7"/>
        <v>196591.69027424249</v>
      </c>
      <c r="I108" s="2">
        <f t="shared" si="8"/>
        <v>1035651.6902742425</v>
      </c>
      <c r="J108" s="2">
        <f t="shared" si="9"/>
        <v>1427783.6902742425</v>
      </c>
    </row>
    <row r="109" spans="1:10" x14ac:dyDescent="0.2">
      <c r="A109">
        <v>2016</v>
      </c>
      <c r="B109" s="3" t="str">
        <f t="shared" si="5"/>
        <v>5034</v>
      </c>
      <c r="C109" s="3" t="s">
        <v>115</v>
      </c>
      <c r="D109" s="13">
        <v>174052</v>
      </c>
      <c r="E109" s="13">
        <v>372430</v>
      </c>
      <c r="F109" s="13">
        <f>SUM(D109:E109)</f>
        <v>546482</v>
      </c>
      <c r="G109">
        <f t="shared" si="6"/>
        <v>5.5224931688829522E-4</v>
      </c>
      <c r="H109">
        <f t="shared" si="7"/>
        <v>87260.005006894615</v>
      </c>
      <c r="I109" s="2">
        <f t="shared" si="8"/>
        <v>459690.00500689459</v>
      </c>
      <c r="J109" s="2">
        <f t="shared" si="9"/>
        <v>633742.00500689459</v>
      </c>
    </row>
    <row r="110" spans="1:10" x14ac:dyDescent="0.2">
      <c r="A110">
        <v>2016</v>
      </c>
      <c r="B110" s="3" t="str">
        <f t="shared" si="5"/>
        <v>5035</v>
      </c>
      <c r="C110" s="3" t="s">
        <v>116</v>
      </c>
      <c r="D110" s="13">
        <v>1016037</v>
      </c>
      <c r="E110" s="13">
        <v>2174060</v>
      </c>
      <c r="F110" s="13">
        <f>SUM(D110:E110)</f>
        <v>3190097</v>
      </c>
      <c r="G110">
        <f t="shared" si="6"/>
        <v>3.2237638001936016E-3</v>
      </c>
      <c r="H110">
        <f t="shared" si="7"/>
        <v>509381.60852961207</v>
      </c>
      <c r="I110" s="2">
        <f t="shared" si="8"/>
        <v>2683441.608529612</v>
      </c>
      <c r="J110" s="2">
        <f t="shared" si="9"/>
        <v>3699478.608529612</v>
      </c>
    </row>
    <row r="111" spans="1:10" x14ac:dyDescent="0.2">
      <c r="A111">
        <v>2016</v>
      </c>
      <c r="B111" s="3" t="str">
        <f t="shared" si="5"/>
        <v>5036</v>
      </c>
      <c r="C111" s="3" t="s">
        <v>117</v>
      </c>
      <c r="D111" s="13">
        <v>525844</v>
      </c>
      <c r="E111" s="13">
        <v>1125170</v>
      </c>
      <c r="F111" s="13">
        <f>SUM(D111:E111)</f>
        <v>1651014</v>
      </c>
      <c r="G111">
        <f t="shared" si="6"/>
        <v>1.6684380339572241E-3</v>
      </c>
      <c r="H111">
        <f t="shared" si="7"/>
        <v>263627.14582813904</v>
      </c>
      <c r="I111" s="2">
        <f t="shared" si="8"/>
        <v>1388797.145828139</v>
      </c>
      <c r="J111" s="2">
        <f t="shared" si="9"/>
        <v>1914641.145828139</v>
      </c>
    </row>
    <row r="112" spans="1:10" x14ac:dyDescent="0.2">
      <c r="A112">
        <v>2016</v>
      </c>
      <c r="B112" s="3" t="str">
        <f t="shared" si="5"/>
        <v>5037</v>
      </c>
      <c r="C112" s="3" t="s">
        <v>118</v>
      </c>
      <c r="D112" s="13">
        <v>1999870</v>
      </c>
      <c r="E112" s="13">
        <v>4279220</v>
      </c>
      <c r="F112" s="13">
        <f>SUM(D112:E112)</f>
        <v>6279090</v>
      </c>
      <c r="G112">
        <f t="shared" si="6"/>
        <v>6.3453565957892945E-3</v>
      </c>
      <c r="H112">
        <f t="shared" si="7"/>
        <v>1002619.3448983532</v>
      </c>
      <c r="I112" s="2">
        <f t="shared" si="8"/>
        <v>5281839.3448983533</v>
      </c>
      <c r="J112" s="2">
        <f t="shared" si="9"/>
        <v>7281709.3448983533</v>
      </c>
    </row>
    <row r="113" spans="1:10" x14ac:dyDescent="0.2">
      <c r="A113">
        <v>2016</v>
      </c>
      <c r="B113" s="3" t="str">
        <f t="shared" si="5"/>
        <v>5038</v>
      </c>
      <c r="C113" s="3" t="s">
        <v>119</v>
      </c>
      <c r="D113" s="13">
        <v>244055</v>
      </c>
      <c r="E113" s="13">
        <v>522220</v>
      </c>
      <c r="F113" s="13">
        <f>SUM(D113:E113)</f>
        <v>766275</v>
      </c>
      <c r="G113">
        <f t="shared" si="6"/>
        <v>7.743619099962641E-4</v>
      </c>
      <c r="H113">
        <f t="shared" si="7"/>
        <v>122355.65002444392</v>
      </c>
      <c r="I113" s="2">
        <f t="shared" si="8"/>
        <v>644575.65002444386</v>
      </c>
      <c r="J113" s="2">
        <f t="shared" si="9"/>
        <v>888630.65002444386</v>
      </c>
    </row>
    <row r="114" spans="1:10" x14ac:dyDescent="0.2">
      <c r="A114">
        <v>2016</v>
      </c>
      <c r="B114" s="3" t="str">
        <f t="shared" si="5"/>
        <v>5039</v>
      </c>
      <c r="C114" s="3" t="s">
        <v>120</v>
      </c>
      <c r="D114" s="13">
        <v>266134</v>
      </c>
      <c r="E114" s="13">
        <v>569460</v>
      </c>
      <c r="F114" s="13">
        <f>SUM(D114:E114)</f>
        <v>835594</v>
      </c>
      <c r="G114">
        <f t="shared" si="6"/>
        <v>8.4441247048568503E-4</v>
      </c>
      <c r="H114">
        <f t="shared" si="7"/>
        <v>133424.22371410421</v>
      </c>
      <c r="I114" s="2">
        <f t="shared" si="8"/>
        <v>702884.22371410416</v>
      </c>
      <c r="J114" s="2">
        <f t="shared" si="9"/>
        <v>969018.22371410416</v>
      </c>
    </row>
    <row r="115" spans="1:10" x14ac:dyDescent="0.2">
      <c r="A115">
        <v>2016</v>
      </c>
      <c r="B115" s="3" t="str">
        <f t="shared" si="5"/>
        <v>5040</v>
      </c>
      <c r="C115" s="3" t="s">
        <v>121</v>
      </c>
      <c r="D115" s="13">
        <v>954856</v>
      </c>
      <c r="E115" s="13">
        <v>2043150</v>
      </c>
      <c r="F115" s="13">
        <f>SUM(D115:E115)</f>
        <v>2998006</v>
      </c>
      <c r="G115">
        <f t="shared" si="6"/>
        <v>3.0296455611109065E-3</v>
      </c>
      <c r="H115">
        <f t="shared" si="7"/>
        <v>478709.30528489518</v>
      </c>
      <c r="I115" s="2">
        <f t="shared" si="8"/>
        <v>2521859.305284895</v>
      </c>
      <c r="J115" s="2">
        <f t="shared" si="9"/>
        <v>3476715.305284895</v>
      </c>
    </row>
    <row r="116" spans="1:10" x14ac:dyDescent="0.2">
      <c r="A116">
        <v>2016</v>
      </c>
      <c r="B116" s="3" t="str">
        <f t="shared" si="5"/>
        <v>5041</v>
      </c>
      <c r="C116" s="3" t="s">
        <v>122</v>
      </c>
      <c r="D116" s="13">
        <v>5052945</v>
      </c>
      <c r="E116" s="13">
        <v>10812030</v>
      </c>
      <c r="F116" s="13">
        <f>SUM(D116:E116)</f>
        <v>15864975</v>
      </c>
      <c r="G116">
        <f t="shared" si="6"/>
        <v>1.6032406568194161E-2</v>
      </c>
      <c r="H116">
        <f t="shared" si="7"/>
        <v>2533254.1564667416</v>
      </c>
      <c r="I116" s="2">
        <f t="shared" si="8"/>
        <v>13345284.156466741</v>
      </c>
      <c r="J116" s="2">
        <f t="shared" si="9"/>
        <v>18398229.156466741</v>
      </c>
    </row>
    <row r="117" spans="1:10" x14ac:dyDescent="0.2">
      <c r="A117">
        <v>2016</v>
      </c>
      <c r="B117" s="3" t="str">
        <f t="shared" si="5"/>
        <v>5042</v>
      </c>
      <c r="C117" s="3" t="s">
        <v>123</v>
      </c>
      <c r="D117" s="13">
        <v>1390985</v>
      </c>
      <c r="E117" s="13">
        <v>2976360</v>
      </c>
      <c r="F117" s="13">
        <f>SUM(D117:E117)</f>
        <v>4367345</v>
      </c>
      <c r="G117">
        <f t="shared" si="6"/>
        <v>4.4134359281101879E-3</v>
      </c>
      <c r="H117">
        <f t="shared" si="7"/>
        <v>697359.74207171716</v>
      </c>
      <c r="I117" s="2">
        <f t="shared" si="8"/>
        <v>3673719.742071717</v>
      </c>
      <c r="J117" s="2">
        <f t="shared" si="9"/>
        <v>5064704.742071717</v>
      </c>
    </row>
    <row r="118" spans="1:10" x14ac:dyDescent="0.2">
      <c r="A118">
        <v>2016</v>
      </c>
      <c r="B118" s="3" t="str">
        <f t="shared" si="5"/>
        <v>5043</v>
      </c>
      <c r="C118" s="3" t="s">
        <v>124</v>
      </c>
      <c r="D118" s="13">
        <v>2003914</v>
      </c>
      <c r="E118" s="13">
        <v>4287870</v>
      </c>
      <c r="F118" s="13">
        <f>SUM(D118:E118)</f>
        <v>6291784</v>
      </c>
      <c r="G118">
        <f t="shared" si="6"/>
        <v>6.3581845623619905E-3</v>
      </c>
      <c r="H118">
        <f t="shared" si="7"/>
        <v>1004646.2707688439</v>
      </c>
      <c r="I118" s="2">
        <f t="shared" si="8"/>
        <v>5292516.2707688436</v>
      </c>
      <c r="J118" s="2">
        <f t="shared" si="9"/>
        <v>7296430.2707688436</v>
      </c>
    </row>
    <row r="119" spans="1:10" x14ac:dyDescent="0.2">
      <c r="A119">
        <v>2016</v>
      </c>
      <c r="B119" s="3" t="str">
        <f t="shared" si="5"/>
        <v>5056</v>
      </c>
      <c r="C119" s="3" t="s">
        <v>125</v>
      </c>
      <c r="D119" s="13">
        <v>254480</v>
      </c>
      <c r="E119" s="13">
        <v>544520</v>
      </c>
      <c r="F119" s="13">
        <f>SUM(D119:E119)</f>
        <v>799000</v>
      </c>
      <c r="G119">
        <f t="shared" si="6"/>
        <v>8.0743227442760755E-4</v>
      </c>
      <c r="H119">
        <f t="shared" si="7"/>
        <v>127581.04384135029</v>
      </c>
      <c r="I119" s="2">
        <f t="shared" si="8"/>
        <v>672101.04384135024</v>
      </c>
      <c r="J119" s="2">
        <f t="shared" si="9"/>
        <v>926581.04384135024</v>
      </c>
    </row>
    <row r="120" spans="1:10" x14ac:dyDescent="0.2">
      <c r="A120">
        <v>2016</v>
      </c>
      <c r="B120" s="3" t="str">
        <f t="shared" si="5"/>
        <v>5057</v>
      </c>
      <c r="C120" s="3" t="s">
        <v>126</v>
      </c>
      <c r="D120" s="13">
        <v>393745</v>
      </c>
      <c r="E120" s="13">
        <v>842520</v>
      </c>
      <c r="F120" s="13">
        <f>SUM(D120:E120)</f>
        <v>1236265</v>
      </c>
      <c r="G120">
        <f t="shared" si="6"/>
        <v>1.2493119658889191E-3</v>
      </c>
      <c r="H120">
        <f t="shared" si="7"/>
        <v>197401.72611330028</v>
      </c>
      <c r="I120" s="2">
        <f t="shared" si="8"/>
        <v>1039921.7261133003</v>
      </c>
      <c r="J120" s="2">
        <f t="shared" si="9"/>
        <v>1433666.7261133003</v>
      </c>
    </row>
    <row r="121" spans="1:10" x14ac:dyDescent="0.2">
      <c r="A121">
        <v>2016</v>
      </c>
      <c r="B121" s="3" t="str">
        <f t="shared" si="5"/>
        <v>5058</v>
      </c>
      <c r="C121" s="3" t="s">
        <v>127</v>
      </c>
      <c r="D121" s="13">
        <v>877512</v>
      </c>
      <c r="E121" s="13">
        <v>1877650</v>
      </c>
      <c r="F121" s="13">
        <f>SUM(D121:E121)</f>
        <v>2755162</v>
      </c>
      <c r="G121">
        <f t="shared" si="6"/>
        <v>2.7842386984687313E-3</v>
      </c>
      <c r="H121">
        <f t="shared" si="7"/>
        <v>439932.97110390785</v>
      </c>
      <c r="I121" s="2">
        <f t="shared" si="8"/>
        <v>2317582.971103908</v>
      </c>
      <c r="J121" s="2">
        <f t="shared" si="9"/>
        <v>3195094.971103908</v>
      </c>
    </row>
    <row r="122" spans="1:10" x14ac:dyDescent="0.2">
      <c r="A122">
        <v>2016</v>
      </c>
      <c r="B122" s="3" t="str">
        <f t="shared" si="5"/>
        <v>5059</v>
      </c>
      <c r="C122" s="3" t="s">
        <v>128</v>
      </c>
      <c r="D122" s="13">
        <v>253520</v>
      </c>
      <c r="E122" s="13">
        <v>542470</v>
      </c>
      <c r="F122" s="13">
        <f>SUM(D122:E122)</f>
        <v>795990</v>
      </c>
      <c r="G122">
        <f t="shared" si="6"/>
        <v>8.0439050828739849E-4</v>
      </c>
      <c r="H122">
        <f t="shared" si="7"/>
        <v>127100.41938332468</v>
      </c>
      <c r="I122" s="2">
        <f t="shared" si="8"/>
        <v>669570.41938332468</v>
      </c>
      <c r="J122" s="2">
        <f t="shared" si="9"/>
        <v>923090.41938332468</v>
      </c>
    </row>
    <row r="123" spans="1:10" x14ac:dyDescent="0.2">
      <c r="A123">
        <v>2016</v>
      </c>
      <c r="B123" s="3" t="str">
        <f t="shared" si="5"/>
        <v>5060</v>
      </c>
      <c r="C123" s="3" t="s">
        <v>129</v>
      </c>
      <c r="D123" s="13">
        <v>103533</v>
      </c>
      <c r="E123" s="13">
        <v>221530</v>
      </c>
      <c r="F123" s="13">
        <f>SUM(D123:E123)</f>
        <v>325063</v>
      </c>
      <c r="G123">
        <f t="shared" si="6"/>
        <v>3.284935637324924E-4</v>
      </c>
      <c r="H123">
        <f t="shared" si="7"/>
        <v>51904.726976471655</v>
      </c>
      <c r="I123" s="2">
        <f t="shared" si="8"/>
        <v>273434.72697647166</v>
      </c>
      <c r="J123" s="2">
        <f t="shared" si="9"/>
        <v>376967.72697647166</v>
      </c>
    </row>
    <row r="124" spans="1:10" x14ac:dyDescent="0.2">
      <c r="A124">
        <v>2016</v>
      </c>
      <c r="B124" s="3" t="str">
        <f t="shared" si="5"/>
        <v>5061</v>
      </c>
      <c r="C124" s="3" t="s">
        <v>130</v>
      </c>
      <c r="D124" s="13">
        <v>238603</v>
      </c>
      <c r="E124" s="13">
        <v>510550</v>
      </c>
      <c r="F124" s="13">
        <f>SUM(D124:E124)</f>
        <v>749153</v>
      </c>
      <c r="G124">
        <f t="shared" si="6"/>
        <v>7.5705921237079535E-4</v>
      </c>
      <c r="H124">
        <f t="shared" si="7"/>
        <v>119621.67927018659</v>
      </c>
      <c r="I124" s="2">
        <f t="shared" si="8"/>
        <v>630171.67927018658</v>
      </c>
      <c r="J124" s="2">
        <f t="shared" si="9"/>
        <v>868774.67927018658</v>
      </c>
    </row>
    <row r="125" spans="1:10" x14ac:dyDescent="0.2">
      <c r="A125">
        <v>2016</v>
      </c>
      <c r="B125" s="3" t="str">
        <f t="shared" si="5"/>
        <v>5062</v>
      </c>
      <c r="C125" s="3" t="s">
        <v>131</v>
      </c>
      <c r="D125" s="13">
        <v>369752</v>
      </c>
      <c r="E125" s="13">
        <v>791180</v>
      </c>
      <c r="F125" s="13">
        <f>SUM(D125:E125)</f>
        <v>1160932</v>
      </c>
      <c r="G125">
        <f t="shared" si="6"/>
        <v>1.1731839364402896E-3</v>
      </c>
      <c r="H125">
        <f t="shared" si="7"/>
        <v>185372.86156298686</v>
      </c>
      <c r="I125" s="2">
        <f t="shared" si="8"/>
        <v>976552.86156298686</v>
      </c>
      <c r="J125" s="2">
        <f t="shared" si="9"/>
        <v>1346304.8615629869</v>
      </c>
    </row>
    <row r="126" spans="1:10" x14ac:dyDescent="0.2">
      <c r="A126">
        <v>2016</v>
      </c>
      <c r="B126" s="3" t="str">
        <f t="shared" si="5"/>
        <v>5063</v>
      </c>
      <c r="C126" s="3" t="s">
        <v>132</v>
      </c>
      <c r="D126" s="13">
        <v>360311</v>
      </c>
      <c r="E126" s="13">
        <v>770970</v>
      </c>
      <c r="F126" s="13">
        <f>SUM(D126:E126)</f>
        <v>1131281</v>
      </c>
      <c r="G126">
        <f t="shared" si="6"/>
        <v>1.1432200135753922E-3</v>
      </c>
      <c r="H126">
        <f t="shared" si="7"/>
        <v>180638.31146168537</v>
      </c>
      <c r="I126" s="2">
        <f t="shared" si="8"/>
        <v>951608.31146168534</v>
      </c>
      <c r="J126" s="2">
        <f t="shared" si="9"/>
        <v>1311919.3114616855</v>
      </c>
    </row>
    <row r="127" spans="1:10" x14ac:dyDescent="0.2">
      <c r="A127">
        <v>2016</v>
      </c>
      <c r="B127" s="3" t="str">
        <f t="shared" si="5"/>
        <v>5064</v>
      </c>
      <c r="C127" s="3" t="s">
        <v>133</v>
      </c>
      <c r="D127" s="13">
        <v>244408</v>
      </c>
      <c r="E127" s="13">
        <v>522970</v>
      </c>
      <c r="F127" s="13">
        <f>SUM(D127:E127)</f>
        <v>767378</v>
      </c>
      <c r="G127">
        <f t="shared" si="6"/>
        <v>7.7547655054531744E-4</v>
      </c>
      <c r="H127">
        <f t="shared" si="7"/>
        <v>122531.77254178686</v>
      </c>
      <c r="I127" s="2">
        <f t="shared" si="8"/>
        <v>645501.77254178689</v>
      </c>
      <c r="J127" s="2">
        <f t="shared" si="9"/>
        <v>889909.77254178689</v>
      </c>
    </row>
    <row r="128" spans="1:10" x14ac:dyDescent="0.2">
      <c r="A128">
        <v>2016</v>
      </c>
      <c r="B128" s="3" t="str">
        <f t="shared" si="5"/>
        <v>5065</v>
      </c>
      <c r="C128" s="3" t="s">
        <v>134</v>
      </c>
      <c r="D128" s="13">
        <v>275487</v>
      </c>
      <c r="E128" s="13">
        <v>589470</v>
      </c>
      <c r="F128" s="13">
        <f>SUM(D128:E128)</f>
        <v>864957</v>
      </c>
      <c r="G128">
        <f t="shared" si="6"/>
        <v>8.7408535393251592E-4</v>
      </c>
      <c r="H128">
        <f t="shared" si="7"/>
        <v>138112.7871562989</v>
      </c>
      <c r="I128" s="2">
        <f t="shared" si="8"/>
        <v>727582.78715629887</v>
      </c>
      <c r="J128" s="2">
        <f t="shared" si="9"/>
        <v>1003069.7871562989</v>
      </c>
    </row>
    <row r="129" spans="1:10" x14ac:dyDescent="0.2">
      <c r="A129">
        <v>2016</v>
      </c>
      <c r="B129" s="3" t="str">
        <f t="shared" si="5"/>
        <v>5066</v>
      </c>
      <c r="C129" s="3" t="s">
        <v>135</v>
      </c>
      <c r="D129" s="13">
        <v>338264</v>
      </c>
      <c r="E129" s="13">
        <v>723800</v>
      </c>
      <c r="F129" s="13">
        <f>SUM(D129:E129)</f>
        <v>1062064</v>
      </c>
      <c r="G129">
        <f t="shared" si="6"/>
        <v>1.0732725295465365E-3</v>
      </c>
      <c r="H129">
        <f t="shared" si="7"/>
        <v>169586.02471379208</v>
      </c>
      <c r="I129" s="2">
        <f t="shared" si="8"/>
        <v>893386.02471379214</v>
      </c>
      <c r="J129" s="2">
        <f t="shared" si="9"/>
        <v>1231650.0247137921</v>
      </c>
    </row>
    <row r="130" spans="1:10" x14ac:dyDescent="0.2">
      <c r="A130">
        <v>2016</v>
      </c>
      <c r="B130" s="3" t="str">
        <f t="shared" si="5"/>
        <v>5067</v>
      </c>
      <c r="C130" s="3" t="s">
        <v>136</v>
      </c>
      <c r="D130" s="13">
        <v>460957</v>
      </c>
      <c r="E130" s="13">
        <v>986330</v>
      </c>
      <c r="F130" s="13">
        <f>SUM(D130:E130)</f>
        <v>1447287</v>
      </c>
      <c r="G130">
        <f t="shared" si="6"/>
        <v>1.4625609939418133E-3</v>
      </c>
      <c r="H130">
        <f t="shared" si="7"/>
        <v>231096.85381478889</v>
      </c>
      <c r="I130" s="2">
        <f t="shared" si="8"/>
        <v>1217426.8538147889</v>
      </c>
      <c r="J130" s="2">
        <f t="shared" si="9"/>
        <v>1678383.8538147889</v>
      </c>
    </row>
    <row r="131" spans="1:10" x14ac:dyDescent="0.2">
      <c r="A131">
        <v>2016</v>
      </c>
      <c r="B131" s="3" t="str">
        <f t="shared" ref="B131:B194" si="10">LEFT(C131,4)</f>
        <v>5068</v>
      </c>
      <c r="C131" s="3" t="s">
        <v>137</v>
      </c>
      <c r="D131" s="13">
        <v>465598</v>
      </c>
      <c r="E131" s="13">
        <v>996260</v>
      </c>
      <c r="F131" s="13">
        <f>SUM(D131:E131)</f>
        <v>1461858</v>
      </c>
      <c r="G131">
        <f t="shared" ref="G131:G194" si="11">F131/$F$340</f>
        <v>1.4772857694996164E-3</v>
      </c>
      <c r="H131">
        <f t="shared" ref="H131:H194" si="12">G131*$D$344</f>
        <v>233423.49134897202</v>
      </c>
      <c r="I131" s="2">
        <f t="shared" ref="I131:I194" si="13">SUM(H131,E131)</f>
        <v>1229683.4913489721</v>
      </c>
      <c r="J131" s="2">
        <f t="shared" ref="J131:J194" si="14">SUM(D131,E131,H131)</f>
        <v>1695281.4913489721</v>
      </c>
    </row>
    <row r="132" spans="1:10" x14ac:dyDescent="0.2">
      <c r="A132">
        <v>2016</v>
      </c>
      <c r="B132" s="3" t="str">
        <f t="shared" si="10"/>
        <v>5069</v>
      </c>
      <c r="C132" s="3" t="s">
        <v>138</v>
      </c>
      <c r="D132" s="13">
        <v>445774</v>
      </c>
      <c r="E132" s="13">
        <v>953840</v>
      </c>
      <c r="F132" s="13">
        <f>SUM(D132:E132)</f>
        <v>1399614</v>
      </c>
      <c r="G132">
        <f t="shared" si="11"/>
        <v>1.4143848752699894E-3</v>
      </c>
      <c r="H132">
        <f t="shared" si="12"/>
        <v>223484.62464952146</v>
      </c>
      <c r="I132" s="2">
        <f t="shared" si="13"/>
        <v>1177324.6246495214</v>
      </c>
      <c r="J132" s="2">
        <f t="shared" si="14"/>
        <v>1623098.6246495214</v>
      </c>
    </row>
    <row r="133" spans="1:10" x14ac:dyDescent="0.2">
      <c r="A133">
        <v>2016</v>
      </c>
      <c r="B133" s="3" t="str">
        <f t="shared" si="10"/>
        <v>5070</v>
      </c>
      <c r="C133" s="3" t="s">
        <v>139</v>
      </c>
      <c r="D133" s="13">
        <v>1110280</v>
      </c>
      <c r="E133" s="13">
        <v>2375720</v>
      </c>
      <c r="F133" s="13">
        <f>SUM(D133:E133)</f>
        <v>3486000</v>
      </c>
      <c r="G133">
        <f t="shared" si="11"/>
        <v>3.5227896228468589E-3</v>
      </c>
      <c r="H133">
        <f t="shared" si="12"/>
        <v>556630.18627152336</v>
      </c>
      <c r="I133" s="2">
        <f t="shared" si="13"/>
        <v>2932350.1862715231</v>
      </c>
      <c r="J133" s="2">
        <f t="shared" si="14"/>
        <v>4042630.1862715231</v>
      </c>
    </row>
    <row r="134" spans="1:10" x14ac:dyDescent="0.2">
      <c r="A134">
        <v>2016</v>
      </c>
      <c r="B134" s="3" t="str">
        <f t="shared" si="10"/>
        <v>5072</v>
      </c>
      <c r="C134" s="3" t="s">
        <v>140</v>
      </c>
      <c r="D134" s="13">
        <v>138019</v>
      </c>
      <c r="E134" s="13">
        <v>295330</v>
      </c>
      <c r="F134" s="13">
        <f>SUM(D134:E134)</f>
        <v>433349</v>
      </c>
      <c r="G134">
        <f t="shared" si="11"/>
        <v>4.3792236381843467E-4</v>
      </c>
      <c r="H134">
        <f t="shared" si="12"/>
        <v>69195.391448817652</v>
      </c>
      <c r="I134" s="2">
        <f t="shared" si="13"/>
        <v>364525.39144881768</v>
      </c>
      <c r="J134" s="2">
        <f t="shared" si="14"/>
        <v>502544.39144881768</v>
      </c>
    </row>
    <row r="135" spans="1:10" x14ac:dyDescent="0.2">
      <c r="A135">
        <v>2016</v>
      </c>
      <c r="B135" s="3" t="str">
        <f t="shared" si="10"/>
        <v>5073</v>
      </c>
      <c r="C135" s="3" t="s">
        <v>141</v>
      </c>
      <c r="D135" s="13">
        <v>307310</v>
      </c>
      <c r="E135" s="13">
        <v>657570</v>
      </c>
      <c r="F135" s="13">
        <f>SUM(D135:E135)</f>
        <v>964880</v>
      </c>
      <c r="G135">
        <f t="shared" si="11"/>
        <v>9.7506289480564457E-4</v>
      </c>
      <c r="H135">
        <f t="shared" si="12"/>
        <v>154068.08207965214</v>
      </c>
      <c r="I135" s="2">
        <f t="shared" si="13"/>
        <v>811638.08207965211</v>
      </c>
      <c r="J135" s="2">
        <f t="shared" si="14"/>
        <v>1118948.0820796522</v>
      </c>
    </row>
    <row r="136" spans="1:10" x14ac:dyDescent="0.2">
      <c r="A136">
        <v>2016</v>
      </c>
      <c r="B136" s="3" t="str">
        <f t="shared" si="10"/>
        <v>5076</v>
      </c>
      <c r="C136" s="3" t="s">
        <v>142</v>
      </c>
      <c r="D136" s="13">
        <v>165014</v>
      </c>
      <c r="E136" s="13">
        <v>353090</v>
      </c>
      <c r="F136" s="13">
        <f>SUM(D136:E136)</f>
        <v>518104</v>
      </c>
      <c r="G136">
        <f t="shared" si="11"/>
        <v>5.2357182867339327E-4</v>
      </c>
      <c r="H136">
        <f t="shared" si="12"/>
        <v>82728.722325881041</v>
      </c>
      <c r="I136" s="2">
        <f t="shared" si="13"/>
        <v>435818.72232588101</v>
      </c>
      <c r="J136" s="2">
        <f t="shared" si="14"/>
        <v>600832.72232588101</v>
      </c>
    </row>
    <row r="137" spans="1:10" x14ac:dyDescent="0.2">
      <c r="A137">
        <v>2016</v>
      </c>
      <c r="B137" s="3" t="str">
        <f t="shared" si="10"/>
        <v>5077</v>
      </c>
      <c r="C137" s="3" t="s">
        <v>195</v>
      </c>
      <c r="D137" s="13">
        <v>366151</v>
      </c>
      <c r="E137" s="13">
        <v>783470</v>
      </c>
      <c r="F137" s="13">
        <f>SUM(D137:E137)</f>
        <v>1149621</v>
      </c>
      <c r="G137">
        <f t="shared" si="11"/>
        <v>1.1617535654064339E-3</v>
      </c>
      <c r="H137">
        <f t="shared" si="12"/>
        <v>183566.76746174839</v>
      </c>
      <c r="I137" s="2">
        <f t="shared" si="13"/>
        <v>967036.76746174833</v>
      </c>
      <c r="J137" s="2">
        <f t="shared" si="14"/>
        <v>1333187.7674617483</v>
      </c>
    </row>
    <row r="138" spans="1:10" x14ac:dyDescent="0.2">
      <c r="A138">
        <v>2016</v>
      </c>
      <c r="B138" s="3" t="str">
        <f t="shared" si="10"/>
        <v>5078</v>
      </c>
      <c r="C138" s="3" t="s">
        <v>144</v>
      </c>
      <c r="D138" s="13">
        <v>246139</v>
      </c>
      <c r="E138" s="13">
        <v>526680</v>
      </c>
      <c r="F138" s="13">
        <f>SUM(D138:E138)</f>
        <v>772819</v>
      </c>
      <c r="G138">
        <f t="shared" si="11"/>
        <v>7.8097497232899784E-4</v>
      </c>
      <c r="H138">
        <f t="shared" si="12"/>
        <v>123400.56911192552</v>
      </c>
      <c r="I138" s="2">
        <f t="shared" si="13"/>
        <v>650080.56911192555</v>
      </c>
      <c r="J138" s="2">
        <f t="shared" si="14"/>
        <v>896219.56911192555</v>
      </c>
    </row>
    <row r="139" spans="1:10" x14ac:dyDescent="0.2">
      <c r="A139">
        <v>2016</v>
      </c>
      <c r="B139" s="3" t="str">
        <f t="shared" si="10"/>
        <v>5079</v>
      </c>
      <c r="C139" s="3" t="s">
        <v>145</v>
      </c>
      <c r="D139" s="13">
        <v>350962</v>
      </c>
      <c r="E139" s="13">
        <v>750970</v>
      </c>
      <c r="F139" s="13">
        <f>SUM(D139:E139)</f>
        <v>1101932</v>
      </c>
      <c r="G139">
        <f t="shared" si="11"/>
        <v>1.1135612778780508E-3</v>
      </c>
      <c r="H139">
        <f t="shared" si="12"/>
        <v>175951.98348208613</v>
      </c>
      <c r="I139" s="2">
        <f t="shared" si="13"/>
        <v>926921.9834820861</v>
      </c>
      <c r="J139" s="2">
        <f t="shared" si="14"/>
        <v>1277883.9834820861</v>
      </c>
    </row>
    <row r="140" spans="1:10" x14ac:dyDescent="0.2">
      <c r="A140">
        <v>2016</v>
      </c>
      <c r="B140" s="3" t="str">
        <f t="shared" si="10"/>
        <v>5080</v>
      </c>
      <c r="C140" s="3" t="s">
        <v>146</v>
      </c>
      <c r="D140" s="13">
        <v>317392</v>
      </c>
      <c r="E140" s="13">
        <v>679140</v>
      </c>
      <c r="F140" s="13">
        <f>SUM(D140:E140)</f>
        <v>996532</v>
      </c>
      <c r="G140">
        <f t="shared" si="11"/>
        <v>1.0070489352939833E-3</v>
      </c>
      <c r="H140">
        <f t="shared" si="12"/>
        <v>159122.14365620588</v>
      </c>
      <c r="I140" s="2">
        <f t="shared" si="13"/>
        <v>838262.14365620585</v>
      </c>
      <c r="J140" s="2">
        <f t="shared" si="14"/>
        <v>1155654.1436562059</v>
      </c>
    </row>
    <row r="141" spans="1:10" x14ac:dyDescent="0.2">
      <c r="A141">
        <v>2016</v>
      </c>
      <c r="B141" s="3" t="str">
        <f t="shared" si="10"/>
        <v>5081</v>
      </c>
      <c r="C141" s="3" t="s">
        <v>147</v>
      </c>
      <c r="D141" s="13">
        <v>295008</v>
      </c>
      <c r="E141" s="13">
        <v>631240</v>
      </c>
      <c r="F141" s="13">
        <f>SUM(D141:E141)</f>
        <v>926248</v>
      </c>
      <c r="G141">
        <f t="shared" si="11"/>
        <v>9.3602319064333252E-4</v>
      </c>
      <c r="H141">
        <f t="shared" si="12"/>
        <v>147899.48272335797</v>
      </c>
      <c r="I141" s="2">
        <f t="shared" si="13"/>
        <v>779139.48272335797</v>
      </c>
      <c r="J141" s="2">
        <f t="shared" si="14"/>
        <v>1074147.4827233581</v>
      </c>
    </row>
    <row r="142" spans="1:10" x14ac:dyDescent="0.2">
      <c r="A142">
        <v>2016</v>
      </c>
      <c r="B142" s="3" t="str">
        <f t="shared" si="10"/>
        <v>5082</v>
      </c>
      <c r="C142" s="3" t="s">
        <v>148</v>
      </c>
      <c r="D142" s="13">
        <v>113916</v>
      </c>
      <c r="E142" s="13">
        <v>243750</v>
      </c>
      <c r="F142" s="13">
        <f>SUM(D142:E142)</f>
        <v>357666</v>
      </c>
      <c r="G142">
        <f t="shared" si="11"/>
        <v>3.614406406325716E-4</v>
      </c>
      <c r="H142">
        <f t="shared" si="12"/>
        <v>57110.640333617521</v>
      </c>
      <c r="I142" s="2">
        <f t="shared" si="13"/>
        <v>300860.64033361751</v>
      </c>
      <c r="J142" s="2">
        <f t="shared" si="14"/>
        <v>414776.64033361751</v>
      </c>
    </row>
    <row r="143" spans="1:10" x14ac:dyDescent="0.2">
      <c r="A143">
        <v>2016</v>
      </c>
      <c r="B143" s="3" t="str">
        <f t="shared" si="10"/>
        <v>5083</v>
      </c>
      <c r="C143" s="3" t="s">
        <v>149</v>
      </c>
      <c r="D143" s="13">
        <v>241794</v>
      </c>
      <c r="E143" s="13">
        <v>517380</v>
      </c>
      <c r="F143" s="13">
        <f>SUM(D143:E143)</f>
        <v>759174</v>
      </c>
      <c r="G143">
        <f t="shared" si="11"/>
        <v>7.6718596934456141E-4</v>
      </c>
      <c r="H143">
        <f t="shared" si="12"/>
        <v>121221.79146084264</v>
      </c>
      <c r="I143" s="2">
        <f t="shared" si="13"/>
        <v>638601.79146084259</v>
      </c>
      <c r="J143" s="2">
        <f t="shared" si="14"/>
        <v>880395.79146084259</v>
      </c>
    </row>
    <row r="144" spans="1:10" x14ac:dyDescent="0.2">
      <c r="A144">
        <v>2016</v>
      </c>
      <c r="B144" s="3" t="str">
        <f t="shared" si="10"/>
        <v>5087</v>
      </c>
      <c r="C144" s="3" t="s">
        <v>360</v>
      </c>
      <c r="D144" s="13">
        <v>251501</v>
      </c>
      <c r="E144" s="13">
        <v>538150</v>
      </c>
      <c r="F144" s="13">
        <f>SUM(D144:E144)</f>
        <v>789651</v>
      </c>
      <c r="G144">
        <f t="shared" si="11"/>
        <v>7.9798460942933009E-4</v>
      </c>
      <c r="H144">
        <f t="shared" si="12"/>
        <v>126088.23385527672</v>
      </c>
      <c r="I144" s="2">
        <f t="shared" si="13"/>
        <v>664238.23385527672</v>
      </c>
      <c r="J144" s="2">
        <f t="shared" si="14"/>
        <v>915739.23385527672</v>
      </c>
    </row>
    <row r="145" spans="1:10" x14ac:dyDescent="0.2">
      <c r="A145">
        <v>2016</v>
      </c>
      <c r="B145" s="3" t="str">
        <f t="shared" si="10"/>
        <v>5088</v>
      </c>
      <c r="C145" s="3" t="s">
        <v>151</v>
      </c>
      <c r="D145" s="13">
        <v>459902</v>
      </c>
      <c r="E145" s="13">
        <v>984070</v>
      </c>
      <c r="F145" s="13">
        <f>SUM(D145:E145)</f>
        <v>1443972</v>
      </c>
      <c r="G145">
        <f t="shared" si="11"/>
        <v>1.4592110089734435E-3</v>
      </c>
      <c r="H145">
        <f t="shared" si="12"/>
        <v>230567.52820736202</v>
      </c>
      <c r="I145" s="2">
        <f t="shared" si="13"/>
        <v>1214637.5282073619</v>
      </c>
      <c r="J145" s="2">
        <f t="shared" si="14"/>
        <v>1674539.5282073619</v>
      </c>
    </row>
    <row r="146" spans="1:10" x14ac:dyDescent="0.2">
      <c r="A146">
        <v>2016</v>
      </c>
      <c r="B146" s="3" t="str">
        <f t="shared" si="10"/>
        <v>5089</v>
      </c>
      <c r="C146" s="3" t="s">
        <v>152</v>
      </c>
      <c r="D146" s="13">
        <v>251906</v>
      </c>
      <c r="E146" s="13">
        <v>539020</v>
      </c>
      <c r="F146" s="13">
        <f>SUM(D146:E146)</f>
        <v>790926</v>
      </c>
      <c r="G146">
        <f t="shared" si="11"/>
        <v>7.9927306518639543E-4</v>
      </c>
      <c r="H146">
        <f t="shared" si="12"/>
        <v>126291.82062736398</v>
      </c>
      <c r="I146" s="2">
        <f t="shared" si="13"/>
        <v>665311.82062736398</v>
      </c>
      <c r="J146" s="2">
        <f t="shared" si="14"/>
        <v>917217.82062736398</v>
      </c>
    </row>
    <row r="147" spans="1:10" x14ac:dyDescent="0.2">
      <c r="A147">
        <v>2016</v>
      </c>
      <c r="B147" s="3" t="str">
        <f t="shared" si="10"/>
        <v>5090</v>
      </c>
      <c r="C147" s="3" t="s">
        <v>153</v>
      </c>
      <c r="D147" s="13">
        <v>177248</v>
      </c>
      <c r="E147" s="13">
        <v>379270</v>
      </c>
      <c r="F147" s="13">
        <f>SUM(D147:E147)</f>
        <v>556518</v>
      </c>
      <c r="G147">
        <f t="shared" si="11"/>
        <v>5.6239123216508553E-4</v>
      </c>
      <c r="H147">
        <f t="shared" si="12"/>
        <v>88862.512336045795</v>
      </c>
      <c r="I147" s="2">
        <f t="shared" si="13"/>
        <v>468132.51233604579</v>
      </c>
      <c r="J147" s="2">
        <f t="shared" si="14"/>
        <v>645380.51233604574</v>
      </c>
    </row>
    <row r="148" spans="1:10" x14ac:dyDescent="0.2">
      <c r="A148">
        <v>2016</v>
      </c>
      <c r="B148" s="3" t="str">
        <f t="shared" si="10"/>
        <v>5092</v>
      </c>
      <c r="C148" s="3" t="s">
        <v>154</v>
      </c>
      <c r="D148" s="13">
        <v>890519</v>
      </c>
      <c r="E148" s="13">
        <v>1905490</v>
      </c>
      <c r="F148" s="13">
        <f>SUM(D148:E148)</f>
        <v>2796009</v>
      </c>
      <c r="G148">
        <f t="shared" si="11"/>
        <v>2.8255167787109648E-3</v>
      </c>
      <c r="H148">
        <f t="shared" si="12"/>
        <v>446455.252577985</v>
      </c>
      <c r="I148" s="2">
        <f t="shared" si="13"/>
        <v>2351945.2525779852</v>
      </c>
      <c r="J148" s="2">
        <f t="shared" si="14"/>
        <v>3242464.2525779852</v>
      </c>
    </row>
    <row r="149" spans="1:10" x14ac:dyDescent="0.2">
      <c r="A149">
        <v>2016</v>
      </c>
      <c r="B149" s="3" t="str">
        <f t="shared" si="10"/>
        <v>5093</v>
      </c>
      <c r="C149" s="3" t="s">
        <v>155</v>
      </c>
      <c r="D149" s="13">
        <v>185126</v>
      </c>
      <c r="E149" s="13">
        <v>396120</v>
      </c>
      <c r="F149" s="13">
        <f>SUM(D149:E149)</f>
        <v>581246</v>
      </c>
      <c r="G149">
        <f t="shared" si="11"/>
        <v>5.8738019997740831E-4</v>
      </c>
      <c r="H149">
        <f t="shared" si="12"/>
        <v>92810.977983240926</v>
      </c>
      <c r="I149" s="2">
        <f t="shared" si="13"/>
        <v>488930.97798324091</v>
      </c>
      <c r="J149" s="2">
        <f t="shared" si="14"/>
        <v>674056.97798324097</v>
      </c>
    </row>
    <row r="150" spans="1:10" x14ac:dyDescent="0.2">
      <c r="A150">
        <v>2016</v>
      </c>
      <c r="B150" s="3" t="str">
        <f t="shared" si="10"/>
        <v>5095</v>
      </c>
      <c r="C150" s="3" t="s">
        <v>156</v>
      </c>
      <c r="D150" s="13">
        <v>398029</v>
      </c>
      <c r="E150" s="13">
        <v>851680</v>
      </c>
      <c r="F150" s="13">
        <f>SUM(D150:E150)</f>
        <v>1249709</v>
      </c>
      <c r="G150">
        <f t="shared" si="11"/>
        <v>1.2628978476128298E-3</v>
      </c>
      <c r="H150">
        <f t="shared" si="12"/>
        <v>199548.40890854821</v>
      </c>
      <c r="I150" s="2">
        <f t="shared" si="13"/>
        <v>1051228.4089085483</v>
      </c>
      <c r="J150" s="2">
        <f t="shared" si="14"/>
        <v>1449257.4089085483</v>
      </c>
    </row>
    <row r="151" spans="1:10" x14ac:dyDescent="0.2">
      <c r="A151">
        <v>2016</v>
      </c>
      <c r="B151" s="3" t="str">
        <f t="shared" si="10"/>
        <v>5096</v>
      </c>
      <c r="C151" s="3" t="s">
        <v>157</v>
      </c>
      <c r="D151" s="13">
        <v>345210</v>
      </c>
      <c r="E151" s="13">
        <v>738660</v>
      </c>
      <c r="F151" s="13">
        <f>SUM(D151:E151)</f>
        <v>1083870</v>
      </c>
      <c r="G151">
        <f t="shared" si="11"/>
        <v>1.095308659929726E-3</v>
      </c>
      <c r="H151">
        <f t="shared" si="12"/>
        <v>173067.91738213311</v>
      </c>
      <c r="I151" s="2">
        <f t="shared" si="13"/>
        <v>911727.91738213308</v>
      </c>
      <c r="J151" s="2">
        <f t="shared" si="14"/>
        <v>1256937.9173821332</v>
      </c>
    </row>
    <row r="152" spans="1:10" x14ac:dyDescent="0.2">
      <c r="A152">
        <v>2016</v>
      </c>
      <c r="B152" s="3" t="str">
        <f t="shared" si="10"/>
        <v>5098</v>
      </c>
      <c r="C152" s="3" t="s">
        <v>158</v>
      </c>
      <c r="D152" s="13">
        <v>189719</v>
      </c>
      <c r="E152" s="13">
        <v>405950</v>
      </c>
      <c r="F152" s="13">
        <f>SUM(D152:E152)</f>
        <v>595669</v>
      </c>
      <c r="G152">
        <f t="shared" si="11"/>
        <v>6.0195541361203833E-4</v>
      </c>
      <c r="H152">
        <f t="shared" si="12"/>
        <v>95113.983484271957</v>
      </c>
      <c r="I152" s="2">
        <f t="shared" si="13"/>
        <v>501063.98348427197</v>
      </c>
      <c r="J152" s="2">
        <f t="shared" si="14"/>
        <v>690782.98348427191</v>
      </c>
    </row>
    <row r="153" spans="1:10" x14ac:dyDescent="0.2">
      <c r="A153">
        <v>2016</v>
      </c>
      <c r="B153" s="3" t="str">
        <f t="shared" si="10"/>
        <v>5099</v>
      </c>
      <c r="C153" s="3" t="s">
        <v>159</v>
      </c>
      <c r="D153" s="13">
        <v>654532</v>
      </c>
      <c r="E153" s="13">
        <v>1400530</v>
      </c>
      <c r="F153" s="13">
        <f>SUM(D153:E153)</f>
        <v>2055062</v>
      </c>
      <c r="G153">
        <f t="shared" si="11"/>
        <v>2.0767501686479953E-3</v>
      </c>
      <c r="H153">
        <f t="shared" si="12"/>
        <v>328143.87374054198</v>
      </c>
      <c r="I153" s="2">
        <f t="shared" si="13"/>
        <v>1728673.873740542</v>
      </c>
      <c r="J153" s="2">
        <f t="shared" si="14"/>
        <v>2383205.8737405417</v>
      </c>
    </row>
    <row r="154" spans="1:10" x14ac:dyDescent="0.2">
      <c r="A154">
        <v>2016</v>
      </c>
      <c r="B154" s="3" t="str">
        <f t="shared" si="10"/>
        <v>5100</v>
      </c>
      <c r="C154" s="3" t="s">
        <v>160</v>
      </c>
      <c r="D154" s="13">
        <v>748687</v>
      </c>
      <c r="E154" s="13">
        <v>1602000</v>
      </c>
      <c r="F154" s="13">
        <f>SUM(D154:E154)</f>
        <v>2350687</v>
      </c>
      <c r="G154">
        <f t="shared" si="11"/>
        <v>2.3754950574185352E-3</v>
      </c>
      <c r="H154">
        <f t="shared" si="12"/>
        <v>375348.06158234319</v>
      </c>
      <c r="I154" s="2">
        <f t="shared" si="13"/>
        <v>1977348.0615823432</v>
      </c>
      <c r="J154" s="2">
        <f t="shared" si="14"/>
        <v>2726035.0615823432</v>
      </c>
    </row>
    <row r="155" spans="1:10" x14ac:dyDescent="0.2">
      <c r="A155">
        <v>2016</v>
      </c>
      <c r="B155" s="3" t="str">
        <f t="shared" si="10"/>
        <v>5101</v>
      </c>
      <c r="C155" s="3" t="s">
        <v>161</v>
      </c>
      <c r="D155" s="18">
        <v>497683</v>
      </c>
      <c r="E155" s="18">
        <v>1064920</v>
      </c>
      <c r="F155" s="13">
        <f>SUM(D155:E155)</f>
        <v>1562603</v>
      </c>
      <c r="G155">
        <f t="shared" si="11"/>
        <v>1.5790939853784767E-3</v>
      </c>
      <c r="H155">
        <f t="shared" si="12"/>
        <v>249510.03986185917</v>
      </c>
      <c r="I155" s="2">
        <f t="shared" si="13"/>
        <v>1314430.0398618593</v>
      </c>
      <c r="J155" s="2">
        <f t="shared" si="14"/>
        <v>1812113.0398618593</v>
      </c>
    </row>
    <row r="156" spans="1:10" x14ac:dyDescent="0.2">
      <c r="A156">
        <v>2016</v>
      </c>
      <c r="B156" s="3" t="str">
        <f t="shared" si="10"/>
        <v>5102</v>
      </c>
      <c r="C156" s="3" t="s">
        <v>162</v>
      </c>
      <c r="D156" s="13">
        <v>1128894</v>
      </c>
      <c r="E156" s="13">
        <v>2415550</v>
      </c>
      <c r="F156" s="13">
        <f>SUM(D156:E156)</f>
        <v>3544444</v>
      </c>
      <c r="G156">
        <f t="shared" si="11"/>
        <v>3.5818504136436637E-3</v>
      </c>
      <c r="H156">
        <f t="shared" si="12"/>
        <v>565962.28455220407</v>
      </c>
      <c r="I156" s="2">
        <f t="shared" si="13"/>
        <v>2981512.284552204</v>
      </c>
      <c r="J156" s="2">
        <f t="shared" si="14"/>
        <v>4110406.284552204</v>
      </c>
    </row>
    <row r="157" spans="1:10" x14ac:dyDescent="0.2">
      <c r="A157">
        <v>2016</v>
      </c>
      <c r="B157" s="3" t="str">
        <f t="shared" si="10"/>
        <v>5103</v>
      </c>
      <c r="C157" s="3" t="s">
        <v>163</v>
      </c>
      <c r="D157" s="13">
        <v>568687</v>
      </c>
      <c r="E157" s="13">
        <v>1216850</v>
      </c>
      <c r="F157" s="13">
        <f>SUM(D157:E157)</f>
        <v>1785537</v>
      </c>
      <c r="G157">
        <f t="shared" si="11"/>
        <v>1.8043807271397336E-3</v>
      </c>
      <c r="H157">
        <f t="shared" si="12"/>
        <v>285107.22688029171</v>
      </c>
      <c r="I157" s="2">
        <f t="shared" si="13"/>
        <v>1501957.2268802917</v>
      </c>
      <c r="J157" s="2">
        <f t="shared" si="14"/>
        <v>2070644.2268802917</v>
      </c>
    </row>
    <row r="158" spans="1:10" x14ac:dyDescent="0.2">
      <c r="A158">
        <v>2016</v>
      </c>
      <c r="B158" s="3" t="str">
        <f t="shared" si="10"/>
        <v>5104</v>
      </c>
      <c r="C158" s="3" t="s">
        <v>164</v>
      </c>
      <c r="D158" s="13">
        <v>279258</v>
      </c>
      <c r="E158" s="13">
        <v>597540</v>
      </c>
      <c r="F158" s="13">
        <f>SUM(D158:E158)</f>
        <v>876798</v>
      </c>
      <c r="G158">
        <f t="shared" si="11"/>
        <v>8.8605131833989677E-4</v>
      </c>
      <c r="H158">
        <f t="shared" si="12"/>
        <v>140003.50948436579</v>
      </c>
      <c r="I158" s="2">
        <f t="shared" si="13"/>
        <v>737543.50948436582</v>
      </c>
      <c r="J158" s="2">
        <f t="shared" si="14"/>
        <v>1016801.5094843658</v>
      </c>
    </row>
    <row r="159" spans="1:10" x14ac:dyDescent="0.2">
      <c r="A159">
        <v>2016</v>
      </c>
      <c r="B159" s="3" t="str">
        <f t="shared" si="10"/>
        <v>5105</v>
      </c>
      <c r="C159" s="3" t="s">
        <v>165</v>
      </c>
      <c r="D159" s="13">
        <v>153025</v>
      </c>
      <c r="E159" s="13">
        <v>327430</v>
      </c>
      <c r="F159" s="13">
        <f>SUM(D159:E159)</f>
        <v>480455</v>
      </c>
      <c r="G159">
        <f t="shared" si="11"/>
        <v>4.8552549863594021E-4</v>
      </c>
      <c r="H159">
        <f t="shared" si="12"/>
        <v>76717.084378968662</v>
      </c>
      <c r="I159" s="2">
        <f t="shared" si="13"/>
        <v>404147.08437896869</v>
      </c>
      <c r="J159" s="2">
        <f t="shared" si="14"/>
        <v>557172.08437896869</v>
      </c>
    </row>
    <row r="160" spans="1:10" x14ac:dyDescent="0.2">
      <c r="A160">
        <v>2016</v>
      </c>
      <c r="B160" s="3" t="str">
        <f t="shared" si="10"/>
        <v>5106</v>
      </c>
      <c r="C160" s="3" t="s">
        <v>166</v>
      </c>
      <c r="D160" s="13">
        <v>530972</v>
      </c>
      <c r="E160" s="13">
        <v>1136150</v>
      </c>
      <c r="F160" s="13">
        <f>SUM(D160:E160)</f>
        <v>1667122</v>
      </c>
      <c r="G160">
        <f t="shared" si="11"/>
        <v>1.6847160302982504E-3</v>
      </c>
      <c r="H160">
        <f t="shared" si="12"/>
        <v>266199.20522012463</v>
      </c>
      <c r="I160" s="2">
        <f t="shared" si="13"/>
        <v>1402349.2052201247</v>
      </c>
      <c r="J160" s="2">
        <f t="shared" si="14"/>
        <v>1933321.2052201247</v>
      </c>
    </row>
    <row r="161" spans="1:10" x14ac:dyDescent="0.2">
      <c r="A161">
        <v>2016</v>
      </c>
      <c r="B161" s="3" t="str">
        <f t="shared" si="10"/>
        <v>5116</v>
      </c>
      <c r="C161" s="3" t="s">
        <v>167</v>
      </c>
      <c r="D161" s="13">
        <v>694138</v>
      </c>
      <c r="E161" s="13">
        <v>1485280</v>
      </c>
      <c r="F161" s="13">
        <f>SUM(D161:E161)</f>
        <v>2179418</v>
      </c>
      <c r="G161">
        <f t="shared" si="11"/>
        <v>2.2024185640406352E-3</v>
      </c>
      <c r="H161">
        <f t="shared" si="12"/>
        <v>348000.5299206858</v>
      </c>
      <c r="I161" s="2">
        <f t="shared" si="13"/>
        <v>1833280.5299206858</v>
      </c>
      <c r="J161" s="2">
        <f t="shared" si="14"/>
        <v>2527418.529920686</v>
      </c>
    </row>
    <row r="162" spans="1:10" x14ac:dyDescent="0.2">
      <c r="A162">
        <v>2016</v>
      </c>
      <c r="B162" s="3" t="str">
        <f t="shared" si="10"/>
        <v>5117</v>
      </c>
      <c r="C162" s="3" t="s">
        <v>168</v>
      </c>
      <c r="D162" s="13">
        <v>157042</v>
      </c>
      <c r="E162" s="13">
        <v>336030</v>
      </c>
      <c r="F162" s="13">
        <f>SUM(D162:E162)</f>
        <v>493072</v>
      </c>
      <c r="G162">
        <f t="shared" si="11"/>
        <v>4.9827565258644469E-4</v>
      </c>
      <c r="H162">
        <f t="shared" si="12"/>
        <v>78731.715205184315</v>
      </c>
      <c r="I162" s="2">
        <f t="shared" si="13"/>
        <v>414761.7152051843</v>
      </c>
      <c r="J162" s="2">
        <f t="shared" si="14"/>
        <v>571803.7152051843</v>
      </c>
    </row>
    <row r="163" spans="1:10" x14ac:dyDescent="0.2">
      <c r="A163">
        <v>2016</v>
      </c>
      <c r="B163" s="3" t="str">
        <f t="shared" si="10"/>
        <v>5118</v>
      </c>
      <c r="C163" s="3" t="s">
        <v>169</v>
      </c>
      <c r="D163" s="13">
        <v>1018154</v>
      </c>
      <c r="E163" s="13">
        <v>2178590</v>
      </c>
      <c r="F163" s="13">
        <f>SUM(D163:E163)</f>
        <v>3196744</v>
      </c>
      <c r="G163">
        <f t="shared" si="11"/>
        <v>3.2304809495404354E-3</v>
      </c>
      <c r="H163">
        <f t="shared" si="12"/>
        <v>510442.97423476033</v>
      </c>
      <c r="I163" s="2">
        <f t="shared" si="13"/>
        <v>2689032.9742347603</v>
      </c>
      <c r="J163" s="2">
        <f t="shared" si="14"/>
        <v>3707186.9742347603</v>
      </c>
    </row>
    <row r="164" spans="1:10" x14ac:dyDescent="0.2">
      <c r="A164">
        <v>2016</v>
      </c>
      <c r="B164" s="3" t="str">
        <f t="shared" si="10"/>
        <v>5119</v>
      </c>
      <c r="C164" s="3" t="s">
        <v>170</v>
      </c>
      <c r="D164" s="13">
        <v>190689</v>
      </c>
      <c r="E164" s="13">
        <v>408030</v>
      </c>
      <c r="F164" s="13">
        <f>SUM(D164:E164)</f>
        <v>598719</v>
      </c>
      <c r="G164">
        <f t="shared" si="11"/>
        <v>6.050376018936456E-4</v>
      </c>
      <c r="H164">
        <f t="shared" si="12"/>
        <v>95600.994978284623</v>
      </c>
      <c r="I164" s="2">
        <f t="shared" si="13"/>
        <v>503630.99497828464</v>
      </c>
      <c r="J164" s="2">
        <f t="shared" si="14"/>
        <v>694319.99497828458</v>
      </c>
    </row>
    <row r="165" spans="1:10" x14ac:dyDescent="0.2">
      <c r="A165">
        <v>2016</v>
      </c>
      <c r="B165" s="3" t="str">
        <f t="shared" si="10"/>
        <v>5120</v>
      </c>
      <c r="C165" s="3" t="s">
        <v>366</v>
      </c>
      <c r="D165" s="13">
        <v>3835627</v>
      </c>
      <c r="E165" s="13">
        <v>8207270</v>
      </c>
      <c r="F165" s="13">
        <f>SUM(D165:E165)</f>
        <v>12042897</v>
      </c>
      <c r="G165">
        <f t="shared" si="11"/>
        <v>1.21699921344273E-2</v>
      </c>
      <c r="H165">
        <f t="shared" si="12"/>
        <v>1922960.4131838123</v>
      </c>
      <c r="I165" s="2">
        <f t="shared" si="13"/>
        <v>10130230.413183812</v>
      </c>
      <c r="J165" s="2">
        <f t="shared" si="14"/>
        <v>13965857.413183812</v>
      </c>
    </row>
    <row r="166" spans="1:10" x14ac:dyDescent="0.2">
      <c r="A166">
        <v>2016</v>
      </c>
      <c r="B166" s="3" t="str">
        <f t="shared" si="10"/>
        <v>5122</v>
      </c>
      <c r="C166" s="3" t="s">
        <v>172</v>
      </c>
      <c r="D166" s="13">
        <v>176849</v>
      </c>
      <c r="E166" s="13">
        <v>378410</v>
      </c>
      <c r="F166" s="13">
        <f>SUM(D166:E166)</f>
        <v>555259</v>
      </c>
      <c r="G166">
        <f t="shared" si="11"/>
        <v>5.6111894526457938E-4</v>
      </c>
      <c r="H166">
        <f t="shared" si="12"/>
        <v>88661.480378353343</v>
      </c>
      <c r="I166" s="2">
        <f t="shared" si="13"/>
        <v>467071.48037835333</v>
      </c>
      <c r="J166" s="2">
        <f t="shared" si="14"/>
        <v>643920.48037835339</v>
      </c>
    </row>
    <row r="167" spans="1:10" x14ac:dyDescent="0.2">
      <c r="A167">
        <v>2016</v>
      </c>
      <c r="B167" s="3" t="str">
        <f t="shared" si="10"/>
        <v>5123</v>
      </c>
      <c r="C167" s="3" t="s">
        <v>173</v>
      </c>
      <c r="D167" s="13">
        <v>176700</v>
      </c>
      <c r="E167" s="13">
        <v>378090</v>
      </c>
      <c r="F167" s="13">
        <f>SUM(D167:E167)</f>
        <v>554790</v>
      </c>
      <c r="G167">
        <f t="shared" si="11"/>
        <v>5.6064499565668634E-4</v>
      </c>
      <c r="H167">
        <f t="shared" si="12"/>
        <v>88586.592381405164</v>
      </c>
      <c r="I167" s="2">
        <f t="shared" si="13"/>
        <v>466676.59238140518</v>
      </c>
      <c r="J167" s="2">
        <f t="shared" si="14"/>
        <v>643376.59238140518</v>
      </c>
    </row>
    <row r="168" spans="1:10" x14ac:dyDescent="0.2">
      <c r="A168">
        <v>2016</v>
      </c>
      <c r="B168" s="3" t="str">
        <f t="shared" si="10"/>
        <v>5125</v>
      </c>
      <c r="C168" s="3" t="s">
        <v>174</v>
      </c>
      <c r="D168" s="13">
        <v>1202682</v>
      </c>
      <c r="E168" s="13">
        <v>2573440</v>
      </c>
      <c r="F168" s="13">
        <f>SUM(D168:E168)</f>
        <v>3776122</v>
      </c>
      <c r="G168">
        <f t="shared" si="11"/>
        <v>3.8159734355145514E-3</v>
      </c>
      <c r="H168">
        <f t="shared" si="12"/>
        <v>602955.67763740593</v>
      </c>
      <c r="I168" s="2">
        <f t="shared" si="13"/>
        <v>3176395.6776374057</v>
      </c>
      <c r="J168" s="2">
        <f t="shared" si="14"/>
        <v>4379077.6776374057</v>
      </c>
    </row>
    <row r="169" spans="1:10" x14ac:dyDescent="0.2">
      <c r="A169">
        <v>2016</v>
      </c>
      <c r="B169" s="3" t="str">
        <f t="shared" si="10"/>
        <v>5127</v>
      </c>
      <c r="C169" s="3" t="s">
        <v>175</v>
      </c>
      <c r="D169" s="13">
        <v>150682</v>
      </c>
      <c r="E169" s="13">
        <v>322420</v>
      </c>
      <c r="F169" s="13">
        <f>SUM(D169:E169)</f>
        <v>473102</v>
      </c>
      <c r="G169">
        <f t="shared" si="11"/>
        <v>4.7809489849342932E-4</v>
      </c>
      <c r="H169">
        <f t="shared" si="12"/>
        <v>75542.987488648942</v>
      </c>
      <c r="I169" s="2">
        <f t="shared" si="13"/>
        <v>397962.98748864897</v>
      </c>
      <c r="J169" s="2">
        <f t="shared" si="14"/>
        <v>548644.98748864897</v>
      </c>
    </row>
    <row r="170" spans="1:10" x14ac:dyDescent="0.2">
      <c r="A170">
        <v>2016</v>
      </c>
      <c r="B170" s="3" t="str">
        <f t="shared" si="10"/>
        <v>5128</v>
      </c>
      <c r="C170" s="3" t="s">
        <v>176</v>
      </c>
      <c r="D170" s="13">
        <v>222327</v>
      </c>
      <c r="E170" s="13">
        <v>475720</v>
      </c>
      <c r="F170" s="13">
        <f>SUM(D170:E170)</f>
        <v>698047</v>
      </c>
      <c r="G170">
        <f t="shared" si="11"/>
        <v>7.0541386341347711E-4</v>
      </c>
      <c r="H170">
        <f t="shared" si="12"/>
        <v>111461.28274133048</v>
      </c>
      <c r="I170" s="2">
        <f t="shared" si="13"/>
        <v>587181.28274133045</v>
      </c>
      <c r="J170" s="2">
        <f t="shared" si="14"/>
        <v>809508.28274133045</v>
      </c>
    </row>
    <row r="171" spans="1:10" x14ac:dyDescent="0.2">
      <c r="A171">
        <v>2016</v>
      </c>
      <c r="B171" s="3" t="str">
        <f t="shared" si="10"/>
        <v>5129</v>
      </c>
      <c r="C171" s="3" t="s">
        <v>177</v>
      </c>
      <c r="D171" s="13">
        <v>593718</v>
      </c>
      <c r="E171" s="13">
        <v>1270410</v>
      </c>
      <c r="F171" s="13">
        <f>SUM(D171:E171)</f>
        <v>1864128</v>
      </c>
      <c r="G171">
        <f t="shared" si="11"/>
        <v>1.8838011400052407E-3</v>
      </c>
      <c r="H171">
        <f t="shared" si="12"/>
        <v>297656.31551175052</v>
      </c>
      <c r="I171" s="2">
        <f t="shared" si="13"/>
        <v>1568066.3155117505</v>
      </c>
      <c r="J171" s="2">
        <f t="shared" si="14"/>
        <v>2161784.3155117505</v>
      </c>
    </row>
    <row r="172" spans="1:10" x14ac:dyDescent="0.2">
      <c r="A172">
        <v>2016</v>
      </c>
      <c r="B172" s="3" t="str">
        <f t="shared" si="10"/>
        <v>5130</v>
      </c>
      <c r="C172" s="3" t="s">
        <v>178</v>
      </c>
      <c r="D172" s="13">
        <v>491091</v>
      </c>
      <c r="E172" s="13">
        <v>1050810</v>
      </c>
      <c r="F172" s="13">
        <f>SUM(D172:E172)</f>
        <v>1541901</v>
      </c>
      <c r="G172">
        <f t="shared" si="11"/>
        <v>1.5581735060978756E-3</v>
      </c>
      <c r="H172">
        <f t="shared" si="12"/>
        <v>246204.42938676078</v>
      </c>
      <c r="I172" s="2">
        <f t="shared" si="13"/>
        <v>1297014.4293867608</v>
      </c>
      <c r="J172" s="2">
        <f t="shared" si="14"/>
        <v>1788105.4293867608</v>
      </c>
    </row>
    <row r="173" spans="1:10" x14ac:dyDescent="0.2">
      <c r="A173">
        <v>2016</v>
      </c>
      <c r="B173" s="3" t="str">
        <f t="shared" si="10"/>
        <v>5131</v>
      </c>
      <c r="C173" s="3" t="s">
        <v>179</v>
      </c>
      <c r="D173" s="13">
        <v>575785</v>
      </c>
      <c r="E173" s="13">
        <v>1232030</v>
      </c>
      <c r="F173" s="13">
        <f>SUM(D173:E173)</f>
        <v>1807815</v>
      </c>
      <c r="G173">
        <f t="shared" si="11"/>
        <v>1.8268938387914211E-3</v>
      </c>
      <c r="H173">
        <f t="shared" si="12"/>
        <v>288664.48657327995</v>
      </c>
      <c r="I173" s="2">
        <f t="shared" si="13"/>
        <v>1520694.4865732798</v>
      </c>
      <c r="J173" s="2">
        <f t="shared" si="14"/>
        <v>2096479.4865732798</v>
      </c>
    </row>
    <row r="174" spans="1:10" x14ac:dyDescent="0.2">
      <c r="A174">
        <v>2016</v>
      </c>
      <c r="B174" s="3" t="str">
        <f t="shared" si="10"/>
        <v>5132</v>
      </c>
      <c r="C174" s="3" t="s">
        <v>180</v>
      </c>
      <c r="D174" s="13">
        <v>2157444</v>
      </c>
      <c r="E174" s="13">
        <v>4616390</v>
      </c>
      <c r="F174" s="13">
        <f>SUM(D174:E174)</f>
        <v>6773834</v>
      </c>
      <c r="G174">
        <f t="shared" si="11"/>
        <v>6.8453218938861809E-3</v>
      </c>
      <c r="H174">
        <f t="shared" si="12"/>
        <v>1081618.0382077962</v>
      </c>
      <c r="I174" s="2">
        <f t="shared" si="13"/>
        <v>5698008.0382077964</v>
      </c>
      <c r="J174" s="2">
        <f t="shared" si="14"/>
        <v>7855452.0382077964</v>
      </c>
    </row>
    <row r="175" spans="1:10" x14ac:dyDescent="0.2">
      <c r="A175">
        <v>2016</v>
      </c>
      <c r="B175" s="3" t="str">
        <f t="shared" si="10"/>
        <v>5133</v>
      </c>
      <c r="C175" s="3" t="s">
        <v>361</v>
      </c>
      <c r="D175" s="13">
        <v>220478</v>
      </c>
      <c r="E175" s="13">
        <v>471770</v>
      </c>
      <c r="F175" s="13">
        <f>SUM(D175:E175)</f>
        <v>692248</v>
      </c>
      <c r="G175">
        <f t="shared" si="11"/>
        <v>6.9955366346428351E-4</v>
      </c>
      <c r="H175">
        <f t="shared" si="12"/>
        <v>110535.32219910772</v>
      </c>
      <c r="I175" s="2">
        <f t="shared" si="13"/>
        <v>582305.32219910773</v>
      </c>
      <c r="J175" s="2">
        <f t="shared" si="14"/>
        <v>802783.32219910773</v>
      </c>
    </row>
    <row r="176" spans="1:10" x14ac:dyDescent="0.2">
      <c r="A176">
        <v>2016</v>
      </c>
      <c r="B176" s="3" t="str">
        <f t="shared" si="10"/>
        <v>5134</v>
      </c>
      <c r="C176" s="3" t="s">
        <v>182</v>
      </c>
      <c r="D176" s="13">
        <v>210463</v>
      </c>
      <c r="E176" s="13">
        <v>450340</v>
      </c>
      <c r="F176" s="13">
        <f>SUM(D176:E176)</f>
        <v>660803</v>
      </c>
      <c r="G176">
        <f t="shared" si="11"/>
        <v>6.6777680755768004E-4</v>
      </c>
      <c r="H176">
        <f t="shared" si="12"/>
        <v>105514.31353378698</v>
      </c>
      <c r="I176" s="2">
        <f t="shared" si="13"/>
        <v>555854.31353378692</v>
      </c>
      <c r="J176" s="2">
        <f t="shared" si="14"/>
        <v>766317.31353378692</v>
      </c>
    </row>
    <row r="177" spans="1:10" x14ac:dyDescent="0.2">
      <c r="A177">
        <v>2016</v>
      </c>
      <c r="B177" s="3" t="str">
        <f t="shared" si="10"/>
        <v>5135</v>
      </c>
      <c r="C177" s="3" t="s">
        <v>183</v>
      </c>
      <c r="D177" s="13">
        <v>1122560</v>
      </c>
      <c r="E177" s="13">
        <v>2402000</v>
      </c>
      <c r="F177" s="13">
        <f>SUM(D177:E177)</f>
        <v>3524560</v>
      </c>
      <c r="G177">
        <f t="shared" si="11"/>
        <v>3.5617565671546541E-3</v>
      </c>
      <c r="H177">
        <f t="shared" si="12"/>
        <v>562787.2889630408</v>
      </c>
      <c r="I177" s="2">
        <f t="shared" si="13"/>
        <v>2964787.2889630408</v>
      </c>
      <c r="J177" s="2">
        <f t="shared" si="14"/>
        <v>4087347.2889630408</v>
      </c>
    </row>
    <row r="178" spans="1:10" x14ac:dyDescent="0.2">
      <c r="A178">
        <v>2016</v>
      </c>
      <c r="B178" s="3" t="str">
        <f t="shared" si="10"/>
        <v>5137</v>
      </c>
      <c r="C178" s="3" t="s">
        <v>184</v>
      </c>
      <c r="D178" s="13">
        <v>148655</v>
      </c>
      <c r="E178" s="13">
        <v>318080</v>
      </c>
      <c r="F178" s="13">
        <f>SUM(D178:E178)</f>
        <v>466735</v>
      </c>
      <c r="G178">
        <f t="shared" si="11"/>
        <v>4.7166070413638228E-4</v>
      </c>
      <c r="H178">
        <f t="shared" si="12"/>
        <v>74526.331035410054</v>
      </c>
      <c r="I178" s="2">
        <f t="shared" si="13"/>
        <v>392606.33103541005</v>
      </c>
      <c r="J178" s="2">
        <f t="shared" si="14"/>
        <v>541261.33103541005</v>
      </c>
    </row>
    <row r="179" spans="1:10" x14ac:dyDescent="0.2">
      <c r="A179">
        <v>2016</v>
      </c>
      <c r="B179" s="3" t="str">
        <f t="shared" si="10"/>
        <v>5138</v>
      </c>
      <c r="C179" s="3" t="s">
        <v>185</v>
      </c>
      <c r="D179" s="13">
        <v>198091</v>
      </c>
      <c r="E179" s="13">
        <v>423860</v>
      </c>
      <c r="F179" s="13">
        <f>SUM(D179:E179)</f>
        <v>621951</v>
      </c>
      <c r="G179">
        <f t="shared" si="11"/>
        <v>6.2851478161767829E-4</v>
      </c>
      <c r="H179">
        <f t="shared" si="12"/>
        <v>99310.585479564019</v>
      </c>
      <c r="I179" s="2">
        <f t="shared" si="13"/>
        <v>523170.58547956403</v>
      </c>
      <c r="J179" s="2">
        <f t="shared" si="14"/>
        <v>721261.58547956403</v>
      </c>
    </row>
    <row r="180" spans="1:10" x14ac:dyDescent="0.2">
      <c r="A180">
        <v>2016</v>
      </c>
      <c r="B180" s="3" t="str">
        <f t="shared" si="10"/>
        <v>5140</v>
      </c>
      <c r="C180" s="3" t="s">
        <v>186</v>
      </c>
      <c r="D180" s="13">
        <v>235609</v>
      </c>
      <c r="E180" s="13">
        <v>504140</v>
      </c>
      <c r="F180" s="13">
        <f>SUM(D180:E180)</f>
        <v>739749</v>
      </c>
      <c r="G180">
        <f t="shared" si="11"/>
        <v>7.4755596692809543E-4</v>
      </c>
      <c r="H180">
        <f t="shared" si="12"/>
        <v>118120.08710963083</v>
      </c>
      <c r="I180" s="2">
        <f t="shared" si="13"/>
        <v>622260.08710963081</v>
      </c>
      <c r="J180" s="2">
        <f t="shared" si="14"/>
        <v>857869.08710963081</v>
      </c>
    </row>
    <row r="181" spans="1:10" x14ac:dyDescent="0.2">
      <c r="A181">
        <v>2016</v>
      </c>
      <c r="B181" s="3" t="str">
        <f t="shared" si="10"/>
        <v>5141</v>
      </c>
      <c r="C181" s="3" t="s">
        <v>187</v>
      </c>
      <c r="D181" s="13">
        <v>295341</v>
      </c>
      <c r="E181" s="13">
        <v>631960</v>
      </c>
      <c r="F181" s="13">
        <f>SUM(D181:E181)</f>
        <v>927301</v>
      </c>
      <c r="G181">
        <f t="shared" si="11"/>
        <v>9.3708730351563826E-4</v>
      </c>
      <c r="H181">
        <f t="shared" si="12"/>
        <v>148067.62144571712</v>
      </c>
      <c r="I181" s="2">
        <f t="shared" si="13"/>
        <v>780027.62144571706</v>
      </c>
      <c r="J181" s="2">
        <f t="shared" si="14"/>
        <v>1075368.6214457171</v>
      </c>
    </row>
    <row r="182" spans="1:10" x14ac:dyDescent="0.2">
      <c r="A182">
        <v>2016</v>
      </c>
      <c r="B182" s="3" t="str">
        <f t="shared" si="10"/>
        <v>5142</v>
      </c>
      <c r="C182" s="3" t="s">
        <v>188</v>
      </c>
      <c r="D182" s="13">
        <v>67685</v>
      </c>
      <c r="E182" s="13">
        <v>144830</v>
      </c>
      <c r="F182" s="13">
        <f>SUM(D182:E182)</f>
        <v>212515</v>
      </c>
      <c r="G182">
        <f t="shared" si="11"/>
        <v>2.147577844805795E-4</v>
      </c>
      <c r="H182">
        <f t="shared" si="12"/>
        <v>33933.523819705326</v>
      </c>
      <c r="I182" s="2">
        <f t="shared" si="13"/>
        <v>178763.52381970533</v>
      </c>
      <c r="J182" s="2">
        <f t="shared" si="14"/>
        <v>246448.52381970533</v>
      </c>
    </row>
    <row r="183" spans="1:10" x14ac:dyDescent="0.2">
      <c r="A183">
        <v>2016</v>
      </c>
      <c r="B183" s="3" t="str">
        <f t="shared" si="10"/>
        <v>5143</v>
      </c>
      <c r="C183" s="3" t="s">
        <v>189</v>
      </c>
      <c r="D183" s="13">
        <v>431746</v>
      </c>
      <c r="E183" s="13">
        <v>923830</v>
      </c>
      <c r="F183" s="13">
        <f>SUM(D183:E183)</f>
        <v>1355576</v>
      </c>
      <c r="G183">
        <f t="shared" si="11"/>
        <v>1.3698821186977205E-3</v>
      </c>
      <c r="H183">
        <f t="shared" si="12"/>
        <v>216452.81737957732</v>
      </c>
      <c r="I183" s="2">
        <f t="shared" si="13"/>
        <v>1140282.8173795773</v>
      </c>
      <c r="J183" s="2">
        <f t="shared" si="14"/>
        <v>1572028.8173795773</v>
      </c>
    </row>
    <row r="184" spans="1:10" x14ac:dyDescent="0.2">
      <c r="A184">
        <v>2016</v>
      </c>
      <c r="B184" s="3" t="str">
        <f t="shared" si="10"/>
        <v>5144</v>
      </c>
      <c r="C184" s="3" t="s">
        <v>190</v>
      </c>
      <c r="D184" s="13">
        <v>214529</v>
      </c>
      <c r="E184" s="13">
        <v>459040</v>
      </c>
      <c r="F184" s="13">
        <f>SUM(D184:E184)</f>
        <v>673569</v>
      </c>
      <c r="G184">
        <f t="shared" si="11"/>
        <v>6.8067753398489263E-4</v>
      </c>
      <c r="H184">
        <f t="shared" si="12"/>
        <v>107552.73606905442</v>
      </c>
      <c r="I184" s="2">
        <f t="shared" si="13"/>
        <v>566592.73606905446</v>
      </c>
      <c r="J184" s="2">
        <f t="shared" si="14"/>
        <v>781121.73606905446</v>
      </c>
    </row>
    <row r="185" spans="1:10" x14ac:dyDescent="0.2">
      <c r="A185">
        <v>2016</v>
      </c>
      <c r="B185" s="3" t="str">
        <f t="shared" si="10"/>
        <v>5145</v>
      </c>
      <c r="C185" s="3" t="s">
        <v>191</v>
      </c>
      <c r="D185" s="13">
        <v>203022</v>
      </c>
      <c r="E185" s="13">
        <v>434420</v>
      </c>
      <c r="F185" s="13">
        <f>SUM(D185:E185)</f>
        <v>637442</v>
      </c>
      <c r="G185">
        <f t="shared" si="11"/>
        <v>6.441692664276383E-4</v>
      </c>
      <c r="H185">
        <f t="shared" si="12"/>
        <v>101784.12484144932</v>
      </c>
      <c r="I185" s="2">
        <f t="shared" si="13"/>
        <v>536204.12484144932</v>
      </c>
      <c r="J185" s="2">
        <f t="shared" si="14"/>
        <v>739226.12484144932</v>
      </c>
    </row>
    <row r="186" spans="1:10" x14ac:dyDescent="0.2">
      <c r="A186">
        <v>2016</v>
      </c>
      <c r="B186" s="3" t="str">
        <f t="shared" si="10"/>
        <v>5147</v>
      </c>
      <c r="C186" s="3" t="s">
        <v>192</v>
      </c>
      <c r="D186" s="13">
        <v>4120865</v>
      </c>
      <c r="E186" s="13">
        <v>8817610</v>
      </c>
      <c r="F186" s="13">
        <f>SUM(D186:E186)</f>
        <v>12938475</v>
      </c>
      <c r="G186">
        <f t="shared" si="11"/>
        <v>1.3075021648153617E-2</v>
      </c>
      <c r="H186">
        <f t="shared" si="12"/>
        <v>2065962.6360640984</v>
      </c>
      <c r="I186" s="2">
        <f t="shared" si="13"/>
        <v>10883572.636064099</v>
      </c>
      <c r="J186" s="2">
        <f t="shared" si="14"/>
        <v>15004437.636064099</v>
      </c>
    </row>
    <row r="187" spans="1:10" x14ac:dyDescent="0.2">
      <c r="A187">
        <v>2016</v>
      </c>
      <c r="B187" s="3" t="str">
        <f t="shared" si="10"/>
        <v>5148</v>
      </c>
      <c r="C187" s="3" t="s">
        <v>193</v>
      </c>
      <c r="D187" s="13">
        <v>412262</v>
      </c>
      <c r="E187" s="13">
        <v>882140</v>
      </c>
      <c r="F187" s="13">
        <f>SUM(D187:E187)</f>
        <v>1294402</v>
      </c>
      <c r="G187">
        <f t="shared" si="11"/>
        <v>1.3080625167504933E-3</v>
      </c>
      <c r="H187">
        <f t="shared" si="12"/>
        <v>206684.80389278036</v>
      </c>
      <c r="I187" s="2">
        <f t="shared" si="13"/>
        <v>1088824.8038927803</v>
      </c>
      <c r="J187" s="2">
        <f t="shared" si="14"/>
        <v>1501086.8038927803</v>
      </c>
    </row>
    <row r="188" spans="1:10" x14ac:dyDescent="0.2">
      <c r="A188">
        <v>2016</v>
      </c>
      <c r="B188" s="3" t="str">
        <f t="shared" si="10"/>
        <v>5149</v>
      </c>
      <c r="C188" s="3" t="s">
        <v>194</v>
      </c>
      <c r="D188" s="13">
        <v>732328</v>
      </c>
      <c r="E188" s="13">
        <v>1567000</v>
      </c>
      <c r="F188" s="13">
        <f>SUM(D188:E188)</f>
        <v>2299328</v>
      </c>
      <c r="G188">
        <f t="shared" si="11"/>
        <v>2.3235940384168739E-3</v>
      </c>
      <c r="H188">
        <f t="shared" si="12"/>
        <v>367147.26705086895</v>
      </c>
      <c r="I188" s="2">
        <f t="shared" si="13"/>
        <v>1934147.2670508688</v>
      </c>
      <c r="J188" s="2">
        <f t="shared" si="14"/>
        <v>2666475.2670508688</v>
      </c>
    </row>
    <row r="189" spans="1:10" x14ac:dyDescent="0.2">
      <c r="A189">
        <v>2016</v>
      </c>
      <c r="B189" s="3" t="str">
        <f t="shared" si="10"/>
        <v>5150</v>
      </c>
      <c r="C189" s="3" t="s">
        <v>247</v>
      </c>
      <c r="D189" s="13">
        <v>789613</v>
      </c>
      <c r="E189" s="13">
        <v>1689570</v>
      </c>
      <c r="F189" s="13">
        <f>SUM(D189:E189)</f>
        <v>2479183</v>
      </c>
      <c r="G189">
        <f t="shared" si="11"/>
        <v>2.5053471444458817E-3</v>
      </c>
      <c r="H189">
        <f t="shared" si="12"/>
        <v>395865.77598714689</v>
      </c>
      <c r="I189" s="2">
        <f t="shared" si="13"/>
        <v>2085435.7759871469</v>
      </c>
      <c r="J189" s="2">
        <f t="shared" si="14"/>
        <v>2875048.7759871469</v>
      </c>
    </row>
    <row r="190" spans="1:10" x14ac:dyDescent="0.2">
      <c r="A190">
        <v>2016</v>
      </c>
      <c r="B190" s="3" t="str">
        <f t="shared" si="10"/>
        <v>5151</v>
      </c>
      <c r="C190" s="3" t="s">
        <v>196</v>
      </c>
      <c r="D190" s="13">
        <v>254306</v>
      </c>
      <c r="E190" s="13">
        <v>544150</v>
      </c>
      <c r="F190" s="13">
        <f>SUM(D190:E190)</f>
        <v>798456</v>
      </c>
      <c r="G190">
        <f t="shared" si="11"/>
        <v>8.0688253330459306E-4</v>
      </c>
      <c r="H190">
        <f t="shared" si="12"/>
        <v>127494.1801519264</v>
      </c>
      <c r="I190" s="2">
        <f t="shared" si="13"/>
        <v>671644.18015192635</v>
      </c>
      <c r="J190" s="2">
        <f t="shared" si="14"/>
        <v>925950.18015192635</v>
      </c>
    </row>
    <row r="191" spans="1:10" x14ac:dyDescent="0.2">
      <c r="A191">
        <v>2016</v>
      </c>
      <c r="B191" s="3" t="str">
        <f t="shared" si="10"/>
        <v>5152</v>
      </c>
      <c r="C191" s="3" t="s">
        <v>197</v>
      </c>
      <c r="D191" s="13">
        <v>401807</v>
      </c>
      <c r="E191" s="13">
        <v>859770</v>
      </c>
      <c r="F191" s="13">
        <f>SUM(D191:E191)</f>
        <v>1261577</v>
      </c>
      <c r="G191">
        <f t="shared" si="11"/>
        <v>1.2748910969656545E-3</v>
      </c>
      <c r="H191">
        <f t="shared" si="12"/>
        <v>201443.44248590636</v>
      </c>
      <c r="I191" s="2">
        <f t="shared" si="13"/>
        <v>1061213.4424859064</v>
      </c>
      <c r="J191" s="2">
        <f t="shared" si="14"/>
        <v>1463020.4424859064</v>
      </c>
    </row>
    <row r="192" spans="1:10" x14ac:dyDescent="0.2">
      <c r="A192">
        <v>2016</v>
      </c>
      <c r="B192" s="3" t="str">
        <f t="shared" si="10"/>
        <v>5153</v>
      </c>
      <c r="C192" s="3" t="s">
        <v>198</v>
      </c>
      <c r="D192" s="13">
        <v>108743</v>
      </c>
      <c r="E192" s="13">
        <v>232680</v>
      </c>
      <c r="F192" s="13">
        <f>SUM(D192:E192)</f>
        <v>341423</v>
      </c>
      <c r="G192">
        <f t="shared" si="11"/>
        <v>3.4502621956432675E-4</v>
      </c>
      <c r="H192">
        <f t="shared" si="12"/>
        <v>54517.024695175649</v>
      </c>
      <c r="I192" s="2">
        <f t="shared" si="13"/>
        <v>287197.02469517564</v>
      </c>
      <c r="J192" s="2">
        <f t="shared" si="14"/>
        <v>395940.02469517564</v>
      </c>
    </row>
    <row r="193" spans="1:10" x14ac:dyDescent="0.2">
      <c r="A193">
        <v>2016</v>
      </c>
      <c r="B193" s="3" t="str">
        <f t="shared" si="10"/>
        <v>5154</v>
      </c>
      <c r="C193" s="3" t="s">
        <v>199</v>
      </c>
      <c r="D193" s="13">
        <v>164041</v>
      </c>
      <c r="E193" s="13">
        <v>351010</v>
      </c>
      <c r="F193" s="13">
        <f>SUM(D193:E193)</f>
        <v>515051</v>
      </c>
      <c r="G193">
        <f t="shared" si="11"/>
        <v>5.2048660873118115E-4</v>
      </c>
      <c r="H193">
        <f t="shared" si="12"/>
        <v>82241.231804169351</v>
      </c>
      <c r="I193" s="2">
        <f t="shared" si="13"/>
        <v>433251.23180416937</v>
      </c>
      <c r="J193" s="2">
        <f t="shared" si="14"/>
        <v>597292.23180416937</v>
      </c>
    </row>
    <row r="194" spans="1:10" x14ac:dyDescent="0.2">
      <c r="A194">
        <v>2016</v>
      </c>
      <c r="B194" s="3" t="str">
        <f t="shared" si="10"/>
        <v>5155</v>
      </c>
      <c r="C194" s="3" t="s">
        <v>200</v>
      </c>
      <c r="D194" s="13">
        <v>173279</v>
      </c>
      <c r="E194" s="13">
        <v>370770</v>
      </c>
      <c r="F194" s="13">
        <f>SUM(D194:E194)</f>
        <v>544049</v>
      </c>
      <c r="G194">
        <f t="shared" si="11"/>
        <v>5.4979064013775409E-4</v>
      </c>
      <c r="H194">
        <f t="shared" si="12"/>
        <v>86871.513542982211</v>
      </c>
      <c r="I194" s="2">
        <f t="shared" si="13"/>
        <v>457641.51354298223</v>
      </c>
      <c r="J194" s="2">
        <f t="shared" si="14"/>
        <v>630920.51354298217</v>
      </c>
    </row>
    <row r="195" spans="1:10" x14ac:dyDescent="0.2">
      <c r="A195">
        <v>2016</v>
      </c>
      <c r="B195" s="3" t="str">
        <f t="shared" ref="B195:B258" si="15">LEFT(C195,4)</f>
        <v>5156</v>
      </c>
      <c r="C195" s="3" t="s">
        <v>201</v>
      </c>
      <c r="D195" s="13">
        <v>520317</v>
      </c>
      <c r="E195" s="13">
        <v>1113350</v>
      </c>
      <c r="F195" s="13">
        <f>SUM(D195:E195)</f>
        <v>1633667</v>
      </c>
      <c r="G195">
        <f t="shared" ref="G195:G258" si="16">F195/$F$340</f>
        <v>1.650907961786391E-3</v>
      </c>
      <c r="H195">
        <f t="shared" ref="H195:H258" si="17">G195*$D$344</f>
        <v>260857.24799645459</v>
      </c>
      <c r="I195" s="2">
        <f t="shared" ref="I195:I258" si="18">SUM(H195,E195)</f>
        <v>1374207.2479964546</v>
      </c>
      <c r="J195" s="2">
        <f t="shared" ref="J195:J258" si="19">SUM(D195,E195,H195)</f>
        <v>1894524.2479964546</v>
      </c>
    </row>
    <row r="196" spans="1:10" x14ac:dyDescent="0.2">
      <c r="A196">
        <v>2016</v>
      </c>
      <c r="B196" s="3" t="str">
        <f t="shared" si="15"/>
        <v>5157</v>
      </c>
      <c r="C196" s="3" t="s">
        <v>202</v>
      </c>
      <c r="D196" s="13">
        <v>123838</v>
      </c>
      <c r="E196" s="13">
        <v>264980</v>
      </c>
      <c r="F196" s="13">
        <f>SUM(D196:E196)</f>
        <v>388818</v>
      </c>
      <c r="G196">
        <f t="shared" si="16"/>
        <v>3.9292140435343373E-4</v>
      </c>
      <c r="H196">
        <f t="shared" si="17"/>
        <v>62084.863960333096</v>
      </c>
      <c r="I196" s="2">
        <f t="shared" si="18"/>
        <v>327064.86396033311</v>
      </c>
      <c r="J196" s="2">
        <f t="shared" si="19"/>
        <v>450902.86396033311</v>
      </c>
    </row>
    <row r="197" spans="1:10" x14ac:dyDescent="0.2">
      <c r="A197">
        <v>2016</v>
      </c>
      <c r="B197" s="3" t="str">
        <f t="shared" si="15"/>
        <v>5158</v>
      </c>
      <c r="C197" s="3" t="s">
        <v>203</v>
      </c>
      <c r="D197" s="13">
        <v>548554</v>
      </c>
      <c r="E197" s="13">
        <v>1173770</v>
      </c>
      <c r="F197" s="13">
        <f>SUM(D197:E197)</f>
        <v>1722324</v>
      </c>
      <c r="G197">
        <f t="shared" si="16"/>
        <v>1.740500606534737E-3</v>
      </c>
      <c r="H197">
        <f t="shared" si="17"/>
        <v>275013.63423405483</v>
      </c>
      <c r="I197" s="2">
        <f t="shared" si="18"/>
        <v>1448783.6342340549</v>
      </c>
      <c r="J197" s="2">
        <f t="shared" si="19"/>
        <v>1997337.6342340549</v>
      </c>
    </row>
    <row r="198" spans="1:10" x14ac:dyDescent="0.2">
      <c r="A198">
        <v>2016</v>
      </c>
      <c r="B198" s="3" t="str">
        <f t="shared" si="15"/>
        <v>5159</v>
      </c>
      <c r="C198" s="3" t="s">
        <v>204</v>
      </c>
      <c r="D198" s="13">
        <v>802864</v>
      </c>
      <c r="E198" s="13">
        <v>1717930</v>
      </c>
      <c r="F198" s="13">
        <f>SUM(D198:E198)</f>
        <v>2520794</v>
      </c>
      <c r="G198">
        <f t="shared" si="16"/>
        <v>2.5473972875888194E-3</v>
      </c>
      <c r="H198">
        <f t="shared" si="17"/>
        <v>402510.04984857672</v>
      </c>
      <c r="I198" s="2">
        <f t="shared" si="18"/>
        <v>2120440.0498485765</v>
      </c>
      <c r="J198" s="2">
        <f t="shared" si="19"/>
        <v>2923304.0498485765</v>
      </c>
    </row>
    <row r="199" spans="1:10" x14ac:dyDescent="0.2">
      <c r="A199">
        <v>2016</v>
      </c>
      <c r="B199" s="3" t="str">
        <f t="shared" si="15"/>
        <v>5160</v>
      </c>
      <c r="C199" s="3" t="s">
        <v>205</v>
      </c>
      <c r="D199" s="13">
        <v>235933</v>
      </c>
      <c r="E199" s="13">
        <v>504840</v>
      </c>
      <c r="F199" s="13">
        <f>SUM(D199:E199)</f>
        <v>740773</v>
      </c>
      <c r="G199">
        <f t="shared" si="16"/>
        <v>7.4859077374788753E-4</v>
      </c>
      <c r="H199">
        <f t="shared" si="17"/>
        <v>118283.59523089934</v>
      </c>
      <c r="I199" s="2">
        <f t="shared" si="18"/>
        <v>623123.59523089929</v>
      </c>
      <c r="J199" s="2">
        <f t="shared" si="19"/>
        <v>859056.59523089929</v>
      </c>
    </row>
    <row r="200" spans="1:10" x14ac:dyDescent="0.2">
      <c r="A200">
        <v>2016</v>
      </c>
      <c r="B200" s="3" t="str">
        <f t="shared" si="15"/>
        <v>5161</v>
      </c>
      <c r="C200" s="3" t="s">
        <v>206</v>
      </c>
      <c r="D200" s="13">
        <v>306532</v>
      </c>
      <c r="E200" s="13">
        <v>655900</v>
      </c>
      <c r="F200" s="13">
        <f>SUM(D200:E200)</f>
        <v>962432</v>
      </c>
      <c r="G200">
        <f t="shared" si="16"/>
        <v>9.7258905975207909E-4</v>
      </c>
      <c r="H200">
        <f t="shared" si="17"/>
        <v>153677.19547724462</v>
      </c>
      <c r="I200" s="2">
        <f t="shared" si="18"/>
        <v>809577.19547724468</v>
      </c>
      <c r="J200" s="2">
        <f t="shared" si="19"/>
        <v>1116109.1954772447</v>
      </c>
    </row>
    <row r="201" spans="1:10" x14ac:dyDescent="0.2">
      <c r="A201">
        <v>2016</v>
      </c>
      <c r="B201" s="3" t="str">
        <f t="shared" si="15"/>
        <v>5162</v>
      </c>
      <c r="C201" s="3" t="s">
        <v>207</v>
      </c>
      <c r="D201" s="13">
        <v>364704</v>
      </c>
      <c r="E201" s="13">
        <v>780370</v>
      </c>
      <c r="F201" s="13">
        <f>SUM(D201:E201)</f>
        <v>1145074</v>
      </c>
      <c r="G201">
        <f t="shared" si="16"/>
        <v>1.1571585784830017E-3</v>
      </c>
      <c r="H201">
        <f t="shared" si="17"/>
        <v>182840.72114592034</v>
      </c>
      <c r="I201" s="2">
        <f t="shared" si="18"/>
        <v>963210.72114592034</v>
      </c>
      <c r="J201" s="2">
        <f t="shared" si="19"/>
        <v>1327914.7211459205</v>
      </c>
    </row>
    <row r="202" spans="1:10" x14ac:dyDescent="0.2">
      <c r="A202">
        <v>2016</v>
      </c>
      <c r="B202" s="3" t="str">
        <f t="shared" si="15"/>
        <v>5163</v>
      </c>
      <c r="C202" s="3" t="s">
        <v>208</v>
      </c>
      <c r="D202" s="13">
        <v>214976</v>
      </c>
      <c r="E202" s="13">
        <v>459990</v>
      </c>
      <c r="F202" s="13">
        <f>SUM(D202:E202)</f>
        <v>674966</v>
      </c>
      <c r="G202">
        <f t="shared" si="16"/>
        <v>6.8208927727322227E-4</v>
      </c>
      <c r="H202">
        <f t="shared" si="17"/>
        <v>107775.80330090217</v>
      </c>
      <c r="I202" s="2">
        <f t="shared" si="18"/>
        <v>567765.80330090213</v>
      </c>
      <c r="J202" s="2">
        <f t="shared" si="19"/>
        <v>782741.80330090213</v>
      </c>
    </row>
    <row r="203" spans="1:10" x14ac:dyDescent="0.2">
      <c r="A203">
        <v>2016</v>
      </c>
      <c r="B203" s="3" t="str">
        <f t="shared" si="15"/>
        <v>5164</v>
      </c>
      <c r="C203" s="3" t="s">
        <v>209</v>
      </c>
      <c r="D203" s="13">
        <v>224877</v>
      </c>
      <c r="E203" s="13">
        <v>481180</v>
      </c>
      <c r="F203" s="13">
        <f>SUM(D203:E203)</f>
        <v>706057</v>
      </c>
      <c r="G203">
        <f t="shared" si="16"/>
        <v>7.1350839722845224E-4</v>
      </c>
      <c r="H203">
        <f t="shared" si="17"/>
        <v>112740.28669773751</v>
      </c>
      <c r="I203" s="2">
        <f t="shared" si="18"/>
        <v>593920.28669773752</v>
      </c>
      <c r="J203" s="2">
        <f t="shared" si="19"/>
        <v>818797.28669773752</v>
      </c>
    </row>
    <row r="204" spans="1:10" x14ac:dyDescent="0.2">
      <c r="A204">
        <v>2016</v>
      </c>
      <c r="B204" s="3" t="str">
        <f t="shared" si="15"/>
        <v>5166</v>
      </c>
      <c r="C204" s="3" t="s">
        <v>210</v>
      </c>
      <c r="D204" s="13">
        <v>221623</v>
      </c>
      <c r="E204" s="13">
        <v>474220</v>
      </c>
      <c r="F204" s="13">
        <f>SUM(D204:E204)</f>
        <v>695843</v>
      </c>
      <c r="G204">
        <f t="shared" si="16"/>
        <v>7.0318660342244023E-4</v>
      </c>
      <c r="H204">
        <f t="shared" si="17"/>
        <v>111109.35705844394</v>
      </c>
      <c r="I204" s="2">
        <f t="shared" si="18"/>
        <v>585329.35705844394</v>
      </c>
      <c r="J204" s="2">
        <f t="shared" si="19"/>
        <v>806952.35705844394</v>
      </c>
    </row>
    <row r="205" spans="1:10" x14ac:dyDescent="0.2">
      <c r="A205">
        <v>2016</v>
      </c>
      <c r="B205" s="3" t="str">
        <f t="shared" si="15"/>
        <v>5167</v>
      </c>
      <c r="C205" s="3" t="s">
        <v>211</v>
      </c>
      <c r="D205" s="13">
        <v>426931</v>
      </c>
      <c r="E205" s="13">
        <v>913520</v>
      </c>
      <c r="F205" s="13">
        <f>SUM(D205:E205)</f>
        <v>1340451</v>
      </c>
      <c r="G205">
        <f t="shared" si="16"/>
        <v>1.3545974964815533E-3</v>
      </c>
      <c r="H205">
        <f t="shared" si="17"/>
        <v>214037.71939697352</v>
      </c>
      <c r="I205" s="2">
        <f t="shared" si="18"/>
        <v>1127557.7193969735</v>
      </c>
      <c r="J205" s="2">
        <f t="shared" si="19"/>
        <v>1554488.7193969735</v>
      </c>
    </row>
    <row r="206" spans="1:10" x14ac:dyDescent="0.2">
      <c r="A206">
        <v>2016</v>
      </c>
      <c r="B206" s="3" t="str">
        <f t="shared" si="15"/>
        <v>5168</v>
      </c>
      <c r="C206" s="3" t="s">
        <v>212</v>
      </c>
      <c r="D206" s="13">
        <v>428118</v>
      </c>
      <c r="E206" s="13">
        <v>916060</v>
      </c>
      <c r="F206" s="13">
        <f>SUM(D206:E206)</f>
        <v>1344178</v>
      </c>
      <c r="G206">
        <f t="shared" si="16"/>
        <v>1.3583638295063239E-3</v>
      </c>
      <c r="H206">
        <f t="shared" si="17"/>
        <v>214632.83147506704</v>
      </c>
      <c r="I206" s="2">
        <f t="shared" si="18"/>
        <v>1130692.831475067</v>
      </c>
      <c r="J206" s="2">
        <f t="shared" si="19"/>
        <v>1558810.831475067</v>
      </c>
    </row>
    <row r="207" spans="1:10" x14ac:dyDescent="0.2">
      <c r="A207">
        <v>2016</v>
      </c>
      <c r="B207" s="3" t="str">
        <f t="shared" si="15"/>
        <v>5171</v>
      </c>
      <c r="C207" s="3" t="s">
        <v>213</v>
      </c>
      <c r="D207" s="13">
        <v>240994</v>
      </c>
      <c r="E207" s="13">
        <v>515670</v>
      </c>
      <c r="F207" s="13">
        <f>SUM(D207:E207)</f>
        <v>756664</v>
      </c>
      <c r="G207">
        <f t="shared" si="16"/>
        <v>7.6464947997182883E-4</v>
      </c>
      <c r="H207">
        <f t="shared" si="17"/>
        <v>120821.00495265516</v>
      </c>
      <c r="I207" s="2">
        <f t="shared" si="18"/>
        <v>636491.00495265517</v>
      </c>
      <c r="J207" s="2">
        <f t="shared" si="19"/>
        <v>877485.00495265517</v>
      </c>
    </row>
    <row r="208" spans="1:10" x14ac:dyDescent="0.2">
      <c r="A208">
        <v>2016</v>
      </c>
      <c r="B208" s="3" t="str">
        <f t="shared" si="15"/>
        <v>5172</v>
      </c>
      <c r="C208" s="3" t="s">
        <v>214</v>
      </c>
      <c r="D208" s="13">
        <v>541052</v>
      </c>
      <c r="E208" s="13">
        <v>1157710</v>
      </c>
      <c r="F208" s="13">
        <f>SUM(D208:E208)</f>
        <v>1698762</v>
      </c>
      <c r="G208">
        <f t="shared" si="16"/>
        <v>1.7166899441441697E-3</v>
      </c>
      <c r="H208">
        <f t="shared" si="17"/>
        <v>271251.35068588227</v>
      </c>
      <c r="I208" s="2">
        <f t="shared" si="18"/>
        <v>1428961.3506858824</v>
      </c>
      <c r="J208" s="2">
        <f t="shared" si="19"/>
        <v>1970013.3506858824</v>
      </c>
    </row>
    <row r="209" spans="1:10" x14ac:dyDescent="0.2">
      <c r="A209">
        <v>2016</v>
      </c>
      <c r="B209" s="3" t="str">
        <f t="shared" si="15"/>
        <v>5173</v>
      </c>
      <c r="C209" s="3" t="s">
        <v>215</v>
      </c>
      <c r="D209" s="13">
        <v>296955</v>
      </c>
      <c r="E209" s="13">
        <v>635410</v>
      </c>
      <c r="F209" s="13">
        <f>SUM(D209:E209)</f>
        <v>932365</v>
      </c>
      <c r="G209">
        <f t="shared" si="16"/>
        <v>9.4220474661664121E-4</v>
      </c>
      <c r="H209">
        <f t="shared" si="17"/>
        <v>148876.22020167779</v>
      </c>
      <c r="I209" s="2">
        <f t="shared" si="18"/>
        <v>784286.22020167776</v>
      </c>
      <c r="J209" s="2">
        <f t="shared" si="19"/>
        <v>1081241.2202016779</v>
      </c>
    </row>
    <row r="210" spans="1:10" x14ac:dyDescent="0.2">
      <c r="A210">
        <v>2016</v>
      </c>
      <c r="B210" s="3" t="str">
        <f t="shared" si="15"/>
        <v>5174</v>
      </c>
      <c r="C210" s="3" t="s">
        <v>216</v>
      </c>
      <c r="D210" s="13">
        <v>443921</v>
      </c>
      <c r="E210" s="13">
        <v>949880</v>
      </c>
      <c r="F210" s="13">
        <f>SUM(D210:E210)</f>
        <v>1393801</v>
      </c>
      <c r="G210">
        <f t="shared" si="16"/>
        <v>1.4085105275713065E-3</v>
      </c>
      <c r="H210">
        <f t="shared" si="17"/>
        <v>222556.42864470324</v>
      </c>
      <c r="I210" s="2">
        <f t="shared" si="18"/>
        <v>1172436.4286447032</v>
      </c>
      <c r="J210" s="2">
        <f t="shared" si="19"/>
        <v>1616357.4286447032</v>
      </c>
    </row>
    <row r="211" spans="1:10" x14ac:dyDescent="0.2">
      <c r="A211">
        <v>2016</v>
      </c>
      <c r="B211" s="3" t="str">
        <f t="shared" si="15"/>
        <v>5175</v>
      </c>
      <c r="C211" s="3" t="s">
        <v>217</v>
      </c>
      <c r="D211" s="13">
        <v>238066</v>
      </c>
      <c r="E211" s="13">
        <v>509400</v>
      </c>
      <c r="F211" s="13">
        <f>SUM(D211:E211)</f>
        <v>747466</v>
      </c>
      <c r="G211">
        <f t="shared" si="16"/>
        <v>7.5535440855732932E-4</v>
      </c>
      <c r="H211">
        <f t="shared" si="17"/>
        <v>119352.30602743271</v>
      </c>
      <c r="I211" s="2">
        <f t="shared" si="18"/>
        <v>628752.30602743267</v>
      </c>
      <c r="J211" s="2">
        <f t="shared" si="19"/>
        <v>866818.30602743267</v>
      </c>
    </row>
    <row r="212" spans="1:10" x14ac:dyDescent="0.2">
      <c r="A212">
        <v>2016</v>
      </c>
      <c r="B212" s="3" t="str">
        <f t="shared" si="15"/>
        <v>5176</v>
      </c>
      <c r="C212" s="3" t="s">
        <v>218</v>
      </c>
      <c r="D212" s="13">
        <v>1795652</v>
      </c>
      <c r="E212" s="13">
        <v>3842240</v>
      </c>
      <c r="F212" s="13">
        <f>SUM(D212:E212)</f>
        <v>5637892</v>
      </c>
      <c r="G212">
        <f t="shared" si="16"/>
        <v>5.6973916902843726E-3</v>
      </c>
      <c r="H212">
        <f t="shared" si="17"/>
        <v>900235.47737771983</v>
      </c>
      <c r="I212" s="2">
        <f t="shared" si="18"/>
        <v>4742475.4773777202</v>
      </c>
      <c r="J212" s="2">
        <f t="shared" si="19"/>
        <v>6538127.4773777202</v>
      </c>
    </row>
    <row r="213" spans="1:10" x14ac:dyDescent="0.2">
      <c r="A213">
        <v>2016</v>
      </c>
      <c r="B213" s="3" t="str">
        <f t="shared" si="15"/>
        <v>5185</v>
      </c>
      <c r="C213" s="3" t="s">
        <v>219</v>
      </c>
      <c r="D213" s="18">
        <v>14836864</v>
      </c>
      <c r="E213" s="18">
        <v>31747150</v>
      </c>
      <c r="F213" s="13">
        <f>SUM(D213:E213)</f>
        <v>46584014</v>
      </c>
      <c r="G213">
        <f t="shared" si="16"/>
        <v>4.7075640020009406E-2</v>
      </c>
      <c r="H213">
        <f t="shared" si="17"/>
        <v>7438344.345982573</v>
      </c>
      <c r="I213" s="2">
        <f t="shared" si="18"/>
        <v>39185494.345982574</v>
      </c>
      <c r="J213" s="2">
        <f t="shared" si="19"/>
        <v>54022358.345982574</v>
      </c>
    </row>
    <row r="214" spans="1:10" x14ac:dyDescent="0.2">
      <c r="A214">
        <v>2016</v>
      </c>
      <c r="B214" s="3" t="str">
        <f t="shared" si="15"/>
        <v>5186</v>
      </c>
      <c r="C214" s="3" t="s">
        <v>220</v>
      </c>
      <c r="D214" s="13">
        <v>263973</v>
      </c>
      <c r="E214" s="13">
        <v>564840</v>
      </c>
      <c r="F214" s="13">
        <f>SUM(D214:E214)</f>
        <v>828813</v>
      </c>
      <c r="G214">
        <f t="shared" si="16"/>
        <v>8.3755990696516734E-4</v>
      </c>
      <c r="H214">
        <f t="shared" si="17"/>
        <v>132341.46143839933</v>
      </c>
      <c r="I214" s="2">
        <f t="shared" si="18"/>
        <v>697181.46143839927</v>
      </c>
      <c r="J214" s="2">
        <f t="shared" si="19"/>
        <v>961154.46143839927</v>
      </c>
    </row>
    <row r="215" spans="1:10" x14ac:dyDescent="0.2">
      <c r="A215">
        <v>2016</v>
      </c>
      <c r="B215" s="3" t="str">
        <f t="shared" si="15"/>
        <v>5187</v>
      </c>
      <c r="C215" s="3" t="s">
        <v>221</v>
      </c>
      <c r="D215" s="13">
        <v>353825</v>
      </c>
      <c r="E215" s="13">
        <v>757100</v>
      </c>
      <c r="F215" s="13">
        <f>SUM(D215:E215)</f>
        <v>1110925</v>
      </c>
      <c r="G215">
        <f t="shared" si="16"/>
        <v>1.1226491858178848E-3</v>
      </c>
      <c r="H215">
        <f t="shared" si="17"/>
        <v>177387.94884787494</v>
      </c>
      <c r="I215" s="2">
        <f t="shared" si="18"/>
        <v>934487.948847875</v>
      </c>
      <c r="J215" s="2">
        <f t="shared" si="19"/>
        <v>1288312.948847875</v>
      </c>
    </row>
    <row r="216" spans="1:10" x14ac:dyDescent="0.2">
      <c r="A216">
        <v>2016</v>
      </c>
      <c r="B216" s="3" t="str">
        <f t="shared" si="15"/>
        <v>5188</v>
      </c>
      <c r="C216" s="3" t="s">
        <v>222</v>
      </c>
      <c r="D216" s="13">
        <v>178380</v>
      </c>
      <c r="E216" s="13">
        <v>381690</v>
      </c>
      <c r="F216" s="13">
        <f>SUM(D216:E216)</f>
        <v>560070</v>
      </c>
      <c r="G216">
        <f t="shared" si="16"/>
        <v>5.6598071832123929E-4</v>
      </c>
      <c r="H216">
        <f t="shared" si="17"/>
        <v>89429.68113169595</v>
      </c>
      <c r="I216" s="2">
        <f t="shared" si="18"/>
        <v>471119.68113169598</v>
      </c>
      <c r="J216" s="2">
        <f t="shared" si="19"/>
        <v>649499.68113169598</v>
      </c>
    </row>
    <row r="217" spans="1:10" x14ac:dyDescent="0.2">
      <c r="A217">
        <v>2016</v>
      </c>
      <c r="B217" s="3" t="str">
        <f t="shared" si="15"/>
        <v>5189</v>
      </c>
      <c r="C217" s="3" t="s">
        <v>223</v>
      </c>
      <c r="D217" s="13">
        <v>74216</v>
      </c>
      <c r="E217" s="13">
        <v>158800</v>
      </c>
      <c r="F217" s="13">
        <f>SUM(D217:E217)</f>
        <v>233016</v>
      </c>
      <c r="G217">
        <f t="shared" si="16"/>
        <v>2.3547514250065509E-4</v>
      </c>
      <c r="H217">
        <f t="shared" si="17"/>
        <v>37207.039438968815</v>
      </c>
      <c r="I217" s="2">
        <f t="shared" si="18"/>
        <v>196007.03943896882</v>
      </c>
      <c r="J217" s="2">
        <f t="shared" si="19"/>
        <v>270223.03943896882</v>
      </c>
    </row>
    <row r="218" spans="1:10" x14ac:dyDescent="0.2">
      <c r="A218">
        <v>2016</v>
      </c>
      <c r="B218" s="3" t="str">
        <f t="shared" si="15"/>
        <v>5190</v>
      </c>
      <c r="C218" s="3" t="s">
        <v>224</v>
      </c>
      <c r="D218" s="13">
        <v>208648</v>
      </c>
      <c r="E218" s="13">
        <v>446450</v>
      </c>
      <c r="F218" s="13">
        <f>SUM(D218:E218)</f>
        <v>655098</v>
      </c>
      <c r="G218">
        <f t="shared" si="16"/>
        <v>6.6201159964077204E-4</v>
      </c>
      <c r="H218">
        <f t="shared" si="17"/>
        <v>104603.36252613379</v>
      </c>
      <c r="I218" s="2">
        <f t="shared" si="18"/>
        <v>551053.36252613377</v>
      </c>
      <c r="J218" s="2">
        <f t="shared" si="19"/>
        <v>759701.36252613377</v>
      </c>
    </row>
    <row r="219" spans="1:10" x14ac:dyDescent="0.2">
      <c r="A219">
        <v>2016</v>
      </c>
      <c r="B219" s="3" t="str">
        <f t="shared" si="15"/>
        <v>5191</v>
      </c>
      <c r="C219" s="3" t="s">
        <v>225</v>
      </c>
      <c r="D219" s="13">
        <v>697011</v>
      </c>
      <c r="E219" s="13">
        <v>1491430</v>
      </c>
      <c r="F219" s="13">
        <f>SUM(D219:E219)</f>
        <v>2188441</v>
      </c>
      <c r="G219">
        <f t="shared" si="16"/>
        <v>2.2115367885865182E-3</v>
      </c>
      <c r="H219">
        <f t="shared" si="17"/>
        <v>349441.28556346492</v>
      </c>
      <c r="I219" s="2">
        <f t="shared" si="18"/>
        <v>1840871.285563465</v>
      </c>
      <c r="J219" s="2">
        <f t="shared" si="19"/>
        <v>2537882.2855634647</v>
      </c>
    </row>
    <row r="220" spans="1:10" x14ac:dyDescent="0.2">
      <c r="A220">
        <v>2016</v>
      </c>
      <c r="B220" s="3" t="str">
        <f t="shared" si="15"/>
        <v>5192</v>
      </c>
      <c r="C220" s="3" t="s">
        <v>226</v>
      </c>
      <c r="D220" s="13">
        <v>242538</v>
      </c>
      <c r="E220" s="13">
        <v>518970</v>
      </c>
      <c r="F220" s="13">
        <f>SUM(D220:E220)</f>
        <v>761508</v>
      </c>
      <c r="G220">
        <f t="shared" si="16"/>
        <v>7.6954460129514219E-4</v>
      </c>
      <c r="H220">
        <f t="shared" si="17"/>
        <v>121594.47501068708</v>
      </c>
      <c r="I220" s="2">
        <f t="shared" si="18"/>
        <v>640564.47501068702</v>
      </c>
      <c r="J220" s="2">
        <f t="shared" si="19"/>
        <v>883102.47501068702</v>
      </c>
    </row>
    <row r="221" spans="1:10" x14ac:dyDescent="0.2">
      <c r="A221">
        <v>2016</v>
      </c>
      <c r="B221" s="3" t="str">
        <f t="shared" si="15"/>
        <v>5193</v>
      </c>
      <c r="C221" s="3" t="s">
        <v>227</v>
      </c>
      <c r="D221" s="13">
        <v>1219713</v>
      </c>
      <c r="E221" s="13">
        <v>2609880</v>
      </c>
      <c r="F221" s="13">
        <f>SUM(D221:E221)</f>
        <v>3829593</v>
      </c>
      <c r="G221">
        <f t="shared" si="16"/>
        <v>3.8700087435820339E-3</v>
      </c>
      <c r="H221">
        <f t="shared" si="17"/>
        <v>611493.70766899653</v>
      </c>
      <c r="I221" s="2">
        <f t="shared" si="18"/>
        <v>3221373.7076689964</v>
      </c>
      <c r="J221" s="2">
        <f t="shared" si="19"/>
        <v>4441086.7076689964</v>
      </c>
    </row>
    <row r="222" spans="1:10" x14ac:dyDescent="0.2">
      <c r="A222">
        <v>2016</v>
      </c>
      <c r="B222" s="3" t="str">
        <f t="shared" si="15"/>
        <v>5195</v>
      </c>
      <c r="C222" s="3" t="s">
        <v>228</v>
      </c>
      <c r="D222" s="13">
        <v>519310</v>
      </c>
      <c r="E222" s="13">
        <v>1111190</v>
      </c>
      <c r="F222" s="13">
        <f>SUM(D222:E222)</f>
        <v>1630500</v>
      </c>
      <c r="G222">
        <f t="shared" si="16"/>
        <v>1.6477075387411942E-3</v>
      </c>
      <c r="H222">
        <f t="shared" si="17"/>
        <v>260351.55442217979</v>
      </c>
      <c r="I222" s="2">
        <f t="shared" si="18"/>
        <v>1371541.5544221797</v>
      </c>
      <c r="J222" s="2">
        <f t="shared" si="19"/>
        <v>1890851.5544221797</v>
      </c>
    </row>
    <row r="223" spans="1:10" x14ac:dyDescent="0.2">
      <c r="A223">
        <v>2016</v>
      </c>
      <c r="B223" s="3" t="str">
        <f t="shared" si="15"/>
        <v>5196</v>
      </c>
      <c r="C223" s="3" t="s">
        <v>229</v>
      </c>
      <c r="D223" s="13">
        <v>336492</v>
      </c>
      <c r="E223" s="13">
        <v>720010</v>
      </c>
      <c r="F223" s="13">
        <f>SUM(D223:E223)</f>
        <v>1056502</v>
      </c>
      <c r="G223">
        <f t="shared" si="16"/>
        <v>1.0676518307851269E-3</v>
      </c>
      <c r="H223">
        <f t="shared" si="17"/>
        <v>168697.90735979259</v>
      </c>
      <c r="I223" s="2">
        <f t="shared" si="18"/>
        <v>888707.90735979262</v>
      </c>
      <c r="J223" s="2">
        <f t="shared" si="19"/>
        <v>1225199.9073597926</v>
      </c>
    </row>
    <row r="224" spans="1:10" x14ac:dyDescent="0.2">
      <c r="A224">
        <v>2016</v>
      </c>
      <c r="B224" s="3" t="str">
        <f t="shared" si="15"/>
        <v>5197</v>
      </c>
      <c r="C224" s="3" t="s">
        <v>230</v>
      </c>
      <c r="D224" s="13">
        <v>229918</v>
      </c>
      <c r="E224" s="13">
        <v>491970</v>
      </c>
      <c r="F224" s="13">
        <f>SUM(D224:E224)</f>
        <v>721888</v>
      </c>
      <c r="G224">
        <f t="shared" si="16"/>
        <v>7.2950647024029635E-4</v>
      </c>
      <c r="H224">
        <f t="shared" si="17"/>
        <v>115268.11586551274</v>
      </c>
      <c r="I224" s="2">
        <f t="shared" si="18"/>
        <v>607238.11586551275</v>
      </c>
      <c r="J224" s="2">
        <f t="shared" si="19"/>
        <v>837156.11586551275</v>
      </c>
    </row>
    <row r="225" spans="1:10" x14ac:dyDescent="0.2">
      <c r="A225">
        <v>2016</v>
      </c>
      <c r="B225" s="3" t="str">
        <f t="shared" si="15"/>
        <v>5198</v>
      </c>
      <c r="C225" s="3" t="s">
        <v>231</v>
      </c>
      <c r="D225" s="13">
        <v>905856</v>
      </c>
      <c r="E225" s="13">
        <v>1938300</v>
      </c>
      <c r="F225" s="13">
        <f>SUM(D225:E225)</f>
        <v>2844156</v>
      </c>
      <c r="G225">
        <f t="shared" si="16"/>
        <v>2.8741718997583564E-3</v>
      </c>
      <c r="H225">
        <f t="shared" si="17"/>
        <v>454143.168119699</v>
      </c>
      <c r="I225" s="2">
        <f t="shared" si="18"/>
        <v>2392443.1681196988</v>
      </c>
      <c r="J225" s="2">
        <f t="shared" si="19"/>
        <v>3298299.1681196988</v>
      </c>
    </row>
    <row r="226" spans="1:10" x14ac:dyDescent="0.2">
      <c r="A226">
        <v>2016</v>
      </c>
      <c r="B226" s="3" t="str">
        <f t="shared" si="15"/>
        <v>5199</v>
      </c>
      <c r="C226" s="3" t="s">
        <v>232</v>
      </c>
      <c r="D226" s="13">
        <v>265593</v>
      </c>
      <c r="E226" s="13">
        <v>568300</v>
      </c>
      <c r="F226" s="13">
        <f>SUM(D226:E226)</f>
        <v>833893</v>
      </c>
      <c r="G226">
        <f t="shared" si="16"/>
        <v>8.4269351892272959E-4</v>
      </c>
      <c r="H226">
        <f t="shared" si="17"/>
        <v>133152.61500875483</v>
      </c>
      <c r="I226" s="2">
        <f t="shared" si="18"/>
        <v>701452.61500875489</v>
      </c>
      <c r="J226" s="2">
        <f t="shared" si="19"/>
        <v>967045.61500875489</v>
      </c>
    </row>
    <row r="227" spans="1:10" x14ac:dyDescent="0.2">
      <c r="A227">
        <v>2016</v>
      </c>
      <c r="B227" s="3" t="str">
        <f t="shared" si="15"/>
        <v>5200</v>
      </c>
      <c r="C227" s="3" t="s">
        <v>233</v>
      </c>
      <c r="D227" s="13">
        <v>640201</v>
      </c>
      <c r="E227" s="13">
        <v>1369870</v>
      </c>
      <c r="F227" s="13">
        <f>SUM(D227:E227)</f>
        <v>2010071</v>
      </c>
      <c r="G227">
        <f t="shared" si="16"/>
        <v>2.0312843545569159E-3</v>
      </c>
      <c r="H227">
        <f t="shared" si="17"/>
        <v>320959.89533820632</v>
      </c>
      <c r="I227" s="2">
        <f t="shared" si="18"/>
        <v>1690829.8953382063</v>
      </c>
      <c r="J227" s="2">
        <f t="shared" si="19"/>
        <v>2331030.8953382066</v>
      </c>
    </row>
    <row r="228" spans="1:10" x14ac:dyDescent="0.2">
      <c r="A228">
        <v>2016</v>
      </c>
      <c r="B228" s="3" t="str">
        <f t="shared" si="15"/>
        <v>5201</v>
      </c>
      <c r="C228" s="3" t="s">
        <v>234</v>
      </c>
      <c r="D228" s="13">
        <v>179801</v>
      </c>
      <c r="E228" s="13">
        <v>384730</v>
      </c>
      <c r="F228" s="13">
        <f>SUM(D228:E228)</f>
        <v>564531</v>
      </c>
      <c r="G228">
        <f t="shared" si="16"/>
        <v>5.704887976406655E-4</v>
      </c>
      <c r="H228">
        <f t="shared" si="17"/>
        <v>90141.995320151836</v>
      </c>
      <c r="I228" s="2">
        <f t="shared" si="18"/>
        <v>474871.99532015185</v>
      </c>
      <c r="J228" s="2">
        <f t="shared" si="19"/>
        <v>654672.99532015179</v>
      </c>
    </row>
    <row r="229" spans="1:10" x14ac:dyDescent="0.2">
      <c r="A229">
        <v>2016</v>
      </c>
      <c r="B229" s="3" t="str">
        <f t="shared" si="15"/>
        <v>5202</v>
      </c>
      <c r="C229" s="3" t="s">
        <v>235</v>
      </c>
      <c r="D229" s="13">
        <v>179055</v>
      </c>
      <c r="E229" s="13">
        <v>383130</v>
      </c>
      <c r="F229" s="13">
        <f>SUM(D229:E229)</f>
        <v>562185</v>
      </c>
      <c r="G229">
        <f t="shared" si="16"/>
        <v>5.6811803904766533E-4</v>
      </c>
      <c r="H229">
        <f t="shared" si="17"/>
        <v>89767.395659511283</v>
      </c>
      <c r="I229" s="2">
        <f t="shared" si="18"/>
        <v>472897.39565951127</v>
      </c>
      <c r="J229" s="2">
        <f t="shared" si="19"/>
        <v>651952.39565951133</v>
      </c>
    </row>
    <row r="230" spans="1:10" x14ac:dyDescent="0.2">
      <c r="A230">
        <v>2016</v>
      </c>
      <c r="B230" s="3" t="str">
        <f t="shared" si="15"/>
        <v>5203</v>
      </c>
      <c r="C230" s="3" t="s">
        <v>236</v>
      </c>
      <c r="D230" s="13">
        <v>543563</v>
      </c>
      <c r="E230" s="13">
        <v>1163090</v>
      </c>
      <c r="F230" s="13">
        <f>SUM(D230:E230)</f>
        <v>1706653</v>
      </c>
      <c r="G230">
        <f t="shared" si="16"/>
        <v>1.7246642220884853E-3</v>
      </c>
      <c r="H230">
        <f t="shared" si="17"/>
        <v>272511.3532102278</v>
      </c>
      <c r="I230" s="2">
        <f t="shared" si="18"/>
        <v>1435601.3532102278</v>
      </c>
      <c r="J230" s="2">
        <f t="shared" si="19"/>
        <v>1979164.3532102278</v>
      </c>
    </row>
    <row r="231" spans="1:10" x14ac:dyDescent="0.2">
      <c r="A231">
        <v>2016</v>
      </c>
      <c r="B231" s="3" t="str">
        <f t="shared" si="15"/>
        <v>5204</v>
      </c>
      <c r="C231" s="3" t="s">
        <v>237</v>
      </c>
      <c r="D231" s="13">
        <v>865936</v>
      </c>
      <c r="E231" s="13">
        <v>1852880</v>
      </c>
      <c r="F231" s="13">
        <f>SUM(D231:E231)</f>
        <v>2718816</v>
      </c>
      <c r="G231">
        <f t="shared" si="16"/>
        <v>2.7475091196873221E-3</v>
      </c>
      <c r="H231">
        <f t="shared" si="17"/>
        <v>434129.39085427363</v>
      </c>
      <c r="I231" s="2">
        <f t="shared" si="18"/>
        <v>2287009.3908542735</v>
      </c>
      <c r="J231" s="2">
        <f t="shared" si="19"/>
        <v>3152945.3908542735</v>
      </c>
    </row>
    <row r="232" spans="1:10" x14ac:dyDescent="0.2">
      <c r="A232">
        <v>2016</v>
      </c>
      <c r="B232" s="3" t="str">
        <f t="shared" si="15"/>
        <v>5205</v>
      </c>
      <c r="C232" s="3" t="s">
        <v>238</v>
      </c>
      <c r="D232" s="13">
        <v>323097</v>
      </c>
      <c r="E232" s="13">
        <v>691350</v>
      </c>
      <c r="F232" s="13">
        <f>SUM(D232:E232)</f>
        <v>1014447</v>
      </c>
      <c r="G232">
        <f t="shared" si="16"/>
        <v>1.02515300187267E-3</v>
      </c>
      <c r="H232">
        <f t="shared" si="17"/>
        <v>161982.73739890649</v>
      </c>
      <c r="I232" s="2">
        <f t="shared" si="18"/>
        <v>853332.73739890649</v>
      </c>
      <c r="J232" s="2">
        <f t="shared" si="19"/>
        <v>1176429.7373989066</v>
      </c>
    </row>
    <row r="233" spans="1:10" x14ac:dyDescent="0.2">
      <c r="A233">
        <v>2016</v>
      </c>
      <c r="B233" s="3" t="str">
        <f t="shared" si="15"/>
        <v>5206</v>
      </c>
      <c r="C233" s="3" t="s">
        <v>239</v>
      </c>
      <c r="D233" s="13">
        <v>386969</v>
      </c>
      <c r="E233" s="13">
        <v>828020</v>
      </c>
      <c r="F233" s="13">
        <f>SUM(D233:E233)</f>
        <v>1214989</v>
      </c>
      <c r="G233">
        <f t="shared" si="16"/>
        <v>1.2278114288792547E-3</v>
      </c>
      <c r="H233">
        <f t="shared" si="17"/>
        <v>194004.46167178766</v>
      </c>
      <c r="I233" s="2">
        <f t="shared" si="18"/>
        <v>1022024.4616717877</v>
      </c>
      <c r="J233" s="2">
        <f t="shared" si="19"/>
        <v>1408993.4616717878</v>
      </c>
    </row>
    <row r="234" spans="1:10" x14ac:dyDescent="0.2">
      <c r="A234">
        <v>2016</v>
      </c>
      <c r="B234" s="3" t="str">
        <f t="shared" si="15"/>
        <v>5207</v>
      </c>
      <c r="C234" s="3" t="s">
        <v>240</v>
      </c>
      <c r="D234" s="13">
        <v>775315</v>
      </c>
      <c r="E234" s="13">
        <v>1658980</v>
      </c>
      <c r="F234" s="13">
        <f>SUM(D234:E234)</f>
        <v>2434295</v>
      </c>
      <c r="G234">
        <f t="shared" si="16"/>
        <v>2.4599854173689025E-3</v>
      </c>
      <c r="H234">
        <f t="shared" si="17"/>
        <v>388698.24420247786</v>
      </c>
      <c r="I234" s="2">
        <f t="shared" si="18"/>
        <v>2047678.2442024779</v>
      </c>
      <c r="J234" s="2">
        <f t="shared" si="19"/>
        <v>2822993.2442024779</v>
      </c>
    </row>
    <row r="235" spans="1:10" x14ac:dyDescent="0.2">
      <c r="A235">
        <v>2016</v>
      </c>
      <c r="B235" s="3" t="str">
        <f t="shared" si="15"/>
        <v>5208</v>
      </c>
      <c r="C235" s="3" t="s">
        <v>241</v>
      </c>
      <c r="D235" s="13">
        <v>238554</v>
      </c>
      <c r="E235" s="13">
        <v>510450</v>
      </c>
      <c r="F235" s="13">
        <f>SUM(D235:E235)</f>
        <v>749004</v>
      </c>
      <c r="G235">
        <f t="shared" si="16"/>
        <v>7.5690863989408741E-4</v>
      </c>
      <c r="H235">
        <f t="shared" si="17"/>
        <v>119597.88756113485</v>
      </c>
      <c r="I235" s="2">
        <f t="shared" si="18"/>
        <v>630047.88756113488</v>
      </c>
      <c r="J235" s="2">
        <f t="shared" si="19"/>
        <v>868601.88756113488</v>
      </c>
    </row>
    <row r="236" spans="1:10" x14ac:dyDescent="0.2">
      <c r="A236">
        <v>2016</v>
      </c>
      <c r="B236" s="3" t="str">
        <f t="shared" si="15"/>
        <v>5210</v>
      </c>
      <c r="C236" s="3" t="s">
        <v>242</v>
      </c>
      <c r="D236" s="13">
        <v>2620859</v>
      </c>
      <c r="E236" s="13">
        <v>5607980</v>
      </c>
      <c r="F236" s="13">
        <f>SUM(D236:E236)</f>
        <v>8228839</v>
      </c>
      <c r="G236">
        <f t="shared" si="16"/>
        <v>8.3156823400107639E-3</v>
      </c>
      <c r="H236">
        <f t="shared" si="17"/>
        <v>1313947.2706162869</v>
      </c>
      <c r="I236" s="2">
        <f t="shared" si="18"/>
        <v>6921927.2706162874</v>
      </c>
      <c r="J236" s="2">
        <f t="shared" si="19"/>
        <v>9542786.2706162874</v>
      </c>
    </row>
    <row r="237" spans="1:10" x14ac:dyDescent="0.2">
      <c r="A237">
        <v>2016</v>
      </c>
      <c r="B237" s="3" t="str">
        <f t="shared" si="15"/>
        <v>5212</v>
      </c>
      <c r="C237" s="3" t="s">
        <v>243</v>
      </c>
      <c r="D237" s="13">
        <v>551710</v>
      </c>
      <c r="E237" s="13">
        <v>1180520</v>
      </c>
      <c r="F237" s="13">
        <f>SUM(D237:E237)</f>
        <v>1732230</v>
      </c>
      <c r="G237">
        <f t="shared" si="16"/>
        <v>1.7505111498519834E-3</v>
      </c>
      <c r="H237">
        <f t="shared" si="17"/>
        <v>276595.38369624811</v>
      </c>
      <c r="I237" s="2">
        <f t="shared" si="18"/>
        <v>1457115.3836962481</v>
      </c>
      <c r="J237" s="2">
        <f t="shared" si="19"/>
        <v>2008825.3836962481</v>
      </c>
    </row>
    <row r="238" spans="1:10" x14ac:dyDescent="0.2">
      <c r="A238">
        <v>2016</v>
      </c>
      <c r="B238" s="3" t="str">
        <f t="shared" si="15"/>
        <v>5213</v>
      </c>
      <c r="C238" s="3" t="s">
        <v>244</v>
      </c>
      <c r="D238" s="13">
        <v>477057</v>
      </c>
      <c r="E238" s="13">
        <v>1020780</v>
      </c>
      <c r="F238" s="13">
        <f>SUM(D238:E238)</f>
        <v>1497837</v>
      </c>
      <c r="G238">
        <f t="shared" si="16"/>
        <v>1.5136444751336978E-3</v>
      </c>
      <c r="H238">
        <f t="shared" si="17"/>
        <v>239168.47054342504</v>
      </c>
      <c r="I238" s="2">
        <f t="shared" si="18"/>
        <v>1259948.4705434251</v>
      </c>
      <c r="J238" s="2">
        <f t="shared" si="19"/>
        <v>1737005.4705434251</v>
      </c>
    </row>
    <row r="239" spans="1:10" x14ac:dyDescent="0.2">
      <c r="A239">
        <v>2016</v>
      </c>
      <c r="B239" s="3" t="str">
        <f t="shared" si="15"/>
        <v>5214</v>
      </c>
      <c r="C239" s="3" t="s">
        <v>245</v>
      </c>
      <c r="D239" s="13">
        <v>2289254</v>
      </c>
      <c r="E239" s="13">
        <v>4898430</v>
      </c>
      <c r="F239" s="13">
        <f>SUM(D239:E239)</f>
        <v>7187684</v>
      </c>
      <c r="G239">
        <f t="shared" si="16"/>
        <v>7.2635394743265635E-3</v>
      </c>
      <c r="H239">
        <f t="shared" si="17"/>
        <v>1147699.9092888262</v>
      </c>
      <c r="I239" s="2">
        <f t="shared" si="18"/>
        <v>6046129.9092888264</v>
      </c>
      <c r="J239" s="2">
        <f t="shared" si="19"/>
        <v>8335383.9092888264</v>
      </c>
    </row>
    <row r="240" spans="1:10" x14ac:dyDescent="0.2">
      <c r="A240">
        <v>2016</v>
      </c>
      <c r="B240" s="3" t="str">
        <f t="shared" si="15"/>
        <v>5215</v>
      </c>
      <c r="C240" s="3" t="s">
        <v>246</v>
      </c>
      <c r="D240" s="13">
        <v>520880</v>
      </c>
      <c r="E240" s="13">
        <v>1114550</v>
      </c>
      <c r="F240" s="13">
        <f>SUM(D240:E240)</f>
        <v>1635430</v>
      </c>
      <c r="G240">
        <f t="shared" si="16"/>
        <v>1.6526895676685135E-3</v>
      </c>
      <c r="H240">
        <f t="shared" si="17"/>
        <v>261138.75660758387</v>
      </c>
      <c r="I240" s="2">
        <f t="shared" si="18"/>
        <v>1375688.756607584</v>
      </c>
      <c r="J240" s="2">
        <f t="shared" si="19"/>
        <v>1896568.756607584</v>
      </c>
    </row>
    <row r="241" spans="1:10" x14ac:dyDescent="0.2">
      <c r="A241">
        <v>2016</v>
      </c>
      <c r="B241" s="3" t="str">
        <f t="shared" si="15"/>
        <v>5216</v>
      </c>
      <c r="C241" s="3" t="s">
        <v>299</v>
      </c>
      <c r="D241" s="13">
        <v>736708</v>
      </c>
      <c r="E241" s="13">
        <v>1576370</v>
      </c>
      <c r="F241" s="13">
        <f>SUM(D241:E241)</f>
        <v>2313078</v>
      </c>
      <c r="G241">
        <f t="shared" si="16"/>
        <v>2.3374891495224802E-3</v>
      </c>
      <c r="H241">
        <f t="shared" si="17"/>
        <v>369342.81067141786</v>
      </c>
      <c r="I241" s="2">
        <f t="shared" si="18"/>
        <v>1945712.810671418</v>
      </c>
      <c r="J241" s="2">
        <f t="shared" si="19"/>
        <v>2682420.810671418</v>
      </c>
    </row>
    <row r="242" spans="1:10" x14ac:dyDescent="0.2">
      <c r="A242">
        <v>2016</v>
      </c>
      <c r="B242" s="3" t="str">
        <f t="shared" si="15"/>
        <v>5217</v>
      </c>
      <c r="C242" s="3" t="s">
        <v>248</v>
      </c>
      <c r="D242" s="13">
        <v>94538</v>
      </c>
      <c r="E242" s="13">
        <v>202290</v>
      </c>
      <c r="F242" s="13">
        <f>SUM(D242:E242)</f>
        <v>296828</v>
      </c>
      <c r="G242">
        <f t="shared" si="16"/>
        <v>2.9996058467308875E-4</v>
      </c>
      <c r="H242">
        <f t="shared" si="17"/>
        <v>47396.277949111798</v>
      </c>
      <c r="I242" s="2">
        <f t="shared" si="18"/>
        <v>249686.2779491118</v>
      </c>
      <c r="J242" s="2">
        <f t="shared" si="19"/>
        <v>344224.27794911177</v>
      </c>
    </row>
    <row r="243" spans="1:10" x14ac:dyDescent="0.2">
      <c r="A243">
        <v>2016</v>
      </c>
      <c r="B243" s="3" t="str">
        <f t="shared" si="15"/>
        <v>5218</v>
      </c>
      <c r="C243" s="3" t="s">
        <v>249</v>
      </c>
      <c r="D243" s="13">
        <v>231696</v>
      </c>
      <c r="E243" s="13">
        <v>495770</v>
      </c>
      <c r="F243" s="13">
        <f>SUM(D243:E243)</f>
        <v>727466</v>
      </c>
      <c r="G243">
        <f t="shared" si="16"/>
        <v>7.351433378582653E-4</v>
      </c>
      <c r="H243">
        <f t="shared" si="17"/>
        <v>116158.78803390704</v>
      </c>
      <c r="I243" s="2">
        <f t="shared" si="18"/>
        <v>611928.78803390707</v>
      </c>
      <c r="J243" s="2">
        <f t="shared" si="19"/>
        <v>843624.78803390707</v>
      </c>
    </row>
    <row r="244" spans="1:10" x14ac:dyDescent="0.2">
      <c r="A244">
        <v>2016</v>
      </c>
      <c r="B244" s="3" t="str">
        <f t="shared" si="15"/>
        <v>5219</v>
      </c>
      <c r="C244" s="3" t="s">
        <v>250</v>
      </c>
      <c r="D244" s="13">
        <v>130147</v>
      </c>
      <c r="E244" s="13">
        <v>278480</v>
      </c>
      <c r="F244" s="13">
        <f>SUM(D244:E244)</f>
        <v>408627</v>
      </c>
      <c r="G244">
        <f t="shared" si="16"/>
        <v>4.1293945932732165E-4</v>
      </c>
      <c r="H244">
        <f t="shared" si="17"/>
        <v>65247.883857020584</v>
      </c>
      <c r="I244" s="2">
        <f t="shared" si="18"/>
        <v>343727.88385702058</v>
      </c>
      <c r="J244" s="2">
        <f t="shared" si="19"/>
        <v>473874.88385702058</v>
      </c>
    </row>
    <row r="245" spans="1:10" x14ac:dyDescent="0.2">
      <c r="A245">
        <v>2016</v>
      </c>
      <c r="B245" s="3" t="str">
        <f t="shared" si="15"/>
        <v>5220</v>
      </c>
      <c r="C245" s="3" t="s">
        <v>251</v>
      </c>
      <c r="D245" s="13">
        <v>302054</v>
      </c>
      <c r="E245" s="13">
        <v>646320</v>
      </c>
      <c r="F245" s="13">
        <f>SUM(D245:E245)</f>
        <v>948374</v>
      </c>
      <c r="G245">
        <f t="shared" si="16"/>
        <v>9.5838269815770702E-4</v>
      </c>
      <c r="H245">
        <f t="shared" si="17"/>
        <v>151432.47167959542</v>
      </c>
      <c r="I245" s="2">
        <f t="shared" si="18"/>
        <v>797752.47167959542</v>
      </c>
      <c r="J245" s="2">
        <f t="shared" si="19"/>
        <v>1099806.4716795953</v>
      </c>
    </row>
    <row r="246" spans="1:10" x14ac:dyDescent="0.2">
      <c r="A246">
        <v>2016</v>
      </c>
      <c r="B246" s="3" t="str">
        <f t="shared" si="15"/>
        <v>5222</v>
      </c>
      <c r="C246" s="3" t="s">
        <v>252</v>
      </c>
      <c r="D246" s="13">
        <v>274345</v>
      </c>
      <c r="E246" s="13">
        <v>587030</v>
      </c>
      <c r="F246" s="13">
        <f>SUM(D246:E246)</f>
        <v>861375</v>
      </c>
      <c r="G246">
        <f t="shared" si="16"/>
        <v>8.7046555117031355E-4</v>
      </c>
      <c r="H246">
        <f t="shared" si="17"/>
        <v>137540.82808365847</v>
      </c>
      <c r="I246" s="2">
        <f t="shared" si="18"/>
        <v>724570.82808365847</v>
      </c>
      <c r="J246" s="2">
        <f t="shared" si="19"/>
        <v>998915.82808365847</v>
      </c>
    </row>
    <row r="247" spans="1:10" x14ac:dyDescent="0.2">
      <c r="A247">
        <v>2016</v>
      </c>
      <c r="B247" s="3" t="str">
        <f t="shared" si="15"/>
        <v>5223</v>
      </c>
      <c r="C247" s="3" t="s">
        <v>253</v>
      </c>
      <c r="D247" s="13">
        <v>291222</v>
      </c>
      <c r="E247" s="13">
        <v>623140</v>
      </c>
      <c r="F247" s="13">
        <f>SUM(D247:E247)</f>
        <v>914362</v>
      </c>
      <c r="G247">
        <f t="shared" si="16"/>
        <v>9.2401175132687872E-4</v>
      </c>
      <c r="H247">
        <f t="shared" si="17"/>
        <v>146001.57497980568</v>
      </c>
      <c r="I247" s="2">
        <f t="shared" si="18"/>
        <v>769141.57497980562</v>
      </c>
      <c r="J247" s="2">
        <f t="shared" si="19"/>
        <v>1060363.5749798056</v>
      </c>
    </row>
    <row r="248" spans="1:10" x14ac:dyDescent="0.2">
      <c r="A248">
        <v>2016</v>
      </c>
      <c r="B248" s="3" t="str">
        <f t="shared" si="15"/>
        <v>5226</v>
      </c>
      <c r="C248" s="3" t="s">
        <v>254</v>
      </c>
      <c r="D248" s="13">
        <v>150779</v>
      </c>
      <c r="E248" s="13">
        <v>322630</v>
      </c>
      <c r="F248" s="13">
        <f>SUM(D248:E248)</f>
        <v>473409</v>
      </c>
      <c r="G248">
        <f t="shared" si="16"/>
        <v>4.7840513842865992E-4</v>
      </c>
      <c r="H248">
        <f t="shared" si="17"/>
        <v>75592.007989849561</v>
      </c>
      <c r="I248" s="2">
        <f t="shared" si="18"/>
        <v>398222.00798984955</v>
      </c>
      <c r="J248" s="2">
        <f t="shared" si="19"/>
        <v>549001.00798984955</v>
      </c>
    </row>
    <row r="249" spans="1:10" x14ac:dyDescent="0.2">
      <c r="A249">
        <v>2016</v>
      </c>
      <c r="B249" s="3" t="str">
        <f t="shared" si="15"/>
        <v>5227</v>
      </c>
      <c r="C249" s="3" t="s">
        <v>255</v>
      </c>
      <c r="D249" s="13">
        <v>57095</v>
      </c>
      <c r="E249" s="13">
        <v>122170</v>
      </c>
      <c r="F249" s="13">
        <f>SUM(D249:E249)</f>
        <v>179265</v>
      </c>
      <c r="G249">
        <f t="shared" si="16"/>
        <v>1.8115687944338557E-4</v>
      </c>
      <c r="H249">
        <f t="shared" si="17"/>
        <v>28624.300155468911</v>
      </c>
      <c r="I249" s="2">
        <f t="shared" si="18"/>
        <v>150794.30015546893</v>
      </c>
      <c r="J249" s="2">
        <f t="shared" si="19"/>
        <v>207889.30015546893</v>
      </c>
    </row>
    <row r="250" spans="1:10" x14ac:dyDescent="0.2">
      <c r="A250">
        <v>2016</v>
      </c>
      <c r="B250" s="3" t="str">
        <f t="shared" si="15"/>
        <v>5228</v>
      </c>
      <c r="C250" s="3" t="s">
        <v>256</v>
      </c>
      <c r="D250" s="13">
        <v>94168</v>
      </c>
      <c r="E250" s="13">
        <v>201500</v>
      </c>
      <c r="F250" s="13">
        <f>SUM(D250:E250)</f>
        <v>295668</v>
      </c>
      <c r="G250">
        <f t="shared" si="16"/>
        <v>2.9878834257254306E-4</v>
      </c>
      <c r="H250">
        <f t="shared" si="17"/>
        <v>47211.053905487315</v>
      </c>
      <c r="I250" s="2">
        <f t="shared" si="18"/>
        <v>248711.05390548732</v>
      </c>
      <c r="J250" s="2">
        <f t="shared" si="19"/>
        <v>342879.05390548729</v>
      </c>
    </row>
    <row r="251" spans="1:10" x14ac:dyDescent="0.2">
      <c r="A251">
        <v>2016</v>
      </c>
      <c r="B251" s="3" t="str">
        <f t="shared" si="15"/>
        <v>5229</v>
      </c>
      <c r="C251" s="3" t="s">
        <v>257</v>
      </c>
      <c r="D251" s="13">
        <v>266943</v>
      </c>
      <c r="E251" s="13">
        <v>571190</v>
      </c>
      <c r="F251" s="13">
        <f>SUM(D251:E251)</f>
        <v>838133</v>
      </c>
      <c r="G251">
        <f t="shared" si="16"/>
        <v>8.4697826591093126E-4</v>
      </c>
      <c r="H251">
        <f t="shared" si="17"/>
        <v>133829.6408233823</v>
      </c>
      <c r="I251" s="2">
        <f t="shared" si="18"/>
        <v>705019.6408233823</v>
      </c>
      <c r="J251" s="2">
        <f t="shared" si="19"/>
        <v>971962.6408233823</v>
      </c>
    </row>
    <row r="252" spans="1:10" x14ac:dyDescent="0.2">
      <c r="A252">
        <v>2016</v>
      </c>
      <c r="B252" s="3" t="str">
        <f t="shared" si="15"/>
        <v>5230</v>
      </c>
      <c r="C252" s="3" t="s">
        <v>258</v>
      </c>
      <c r="D252" s="13">
        <v>549528</v>
      </c>
      <c r="E252" s="13">
        <v>1175850</v>
      </c>
      <c r="F252" s="13">
        <f>SUM(D252:E252)</f>
        <v>1725378</v>
      </c>
      <c r="G252">
        <f t="shared" si="16"/>
        <v>1.7435868370304841E-3</v>
      </c>
      <c r="H252">
        <f t="shared" si="17"/>
        <v>275501.28443166619</v>
      </c>
      <c r="I252" s="2">
        <f t="shared" si="18"/>
        <v>1451351.2844316661</v>
      </c>
      <c r="J252" s="2">
        <f t="shared" si="19"/>
        <v>2000879.2844316661</v>
      </c>
    </row>
    <row r="253" spans="1:10" x14ac:dyDescent="0.2">
      <c r="A253">
        <v>2016</v>
      </c>
      <c r="B253" s="3" t="str">
        <f t="shared" si="15"/>
        <v>5231</v>
      </c>
      <c r="C253" s="3" t="s">
        <v>259</v>
      </c>
      <c r="D253" s="13">
        <v>1037709</v>
      </c>
      <c r="E253" s="13">
        <v>2220440</v>
      </c>
      <c r="F253" s="13">
        <f>SUM(D253:E253)</f>
        <v>3258149</v>
      </c>
      <c r="G253">
        <f t="shared" si="16"/>
        <v>3.2925339893542368E-3</v>
      </c>
      <c r="H253">
        <f t="shared" si="17"/>
        <v>520247.8728543825</v>
      </c>
      <c r="I253" s="2">
        <f t="shared" si="18"/>
        <v>2740687.8728543827</v>
      </c>
      <c r="J253" s="2">
        <f t="shared" si="19"/>
        <v>3778396.8728543827</v>
      </c>
    </row>
    <row r="254" spans="1:10" x14ac:dyDescent="0.2">
      <c r="A254">
        <v>2016</v>
      </c>
      <c r="B254" s="3" t="str">
        <f t="shared" si="15"/>
        <v>5233</v>
      </c>
      <c r="C254" s="3" t="s">
        <v>260</v>
      </c>
      <c r="D254" s="13">
        <v>3714996</v>
      </c>
      <c r="E254" s="13">
        <v>7949150</v>
      </c>
      <c r="F254" s="13">
        <f>SUM(D254:E254)</f>
        <v>11664146</v>
      </c>
      <c r="G254">
        <f t="shared" si="16"/>
        <v>1.178724397251024E-2</v>
      </c>
      <c r="H254">
        <f t="shared" si="17"/>
        <v>1862483.0065055203</v>
      </c>
      <c r="I254" s="2">
        <f t="shared" si="18"/>
        <v>9811633.006505521</v>
      </c>
      <c r="J254" s="2">
        <f t="shared" si="19"/>
        <v>13526629.006505521</v>
      </c>
    </row>
    <row r="255" spans="1:10" x14ac:dyDescent="0.2">
      <c r="A255">
        <v>2016</v>
      </c>
      <c r="B255" s="3" t="str">
        <f t="shared" si="15"/>
        <v>5235</v>
      </c>
      <c r="C255" s="3" t="s">
        <v>261</v>
      </c>
      <c r="D255" s="13">
        <v>145521</v>
      </c>
      <c r="E255" s="13">
        <v>311380</v>
      </c>
      <c r="F255" s="13">
        <f>SUM(D255:E255)</f>
        <v>456901</v>
      </c>
      <c r="G255">
        <f t="shared" si="16"/>
        <v>4.6172292067365246E-4</v>
      </c>
      <c r="H255">
        <f t="shared" si="17"/>
        <v>72956.078237993483</v>
      </c>
      <c r="I255" s="2">
        <f t="shared" si="18"/>
        <v>384336.07823799347</v>
      </c>
      <c r="J255" s="2">
        <f t="shared" si="19"/>
        <v>529857.07823799353</v>
      </c>
    </row>
    <row r="256" spans="1:10" x14ac:dyDescent="0.2">
      <c r="A256">
        <v>2016</v>
      </c>
      <c r="B256" s="3" t="str">
        <f t="shared" si="15"/>
        <v>5236</v>
      </c>
      <c r="C256" s="3" t="s">
        <v>262</v>
      </c>
      <c r="D256" s="13">
        <v>404642</v>
      </c>
      <c r="E256" s="13">
        <v>865830</v>
      </c>
      <c r="F256" s="13">
        <f>SUM(D256:E256)</f>
        <v>1270472</v>
      </c>
      <c r="G256">
        <f t="shared" si="16"/>
        <v>1.2838799706590632E-3</v>
      </c>
      <c r="H256">
        <f t="shared" si="17"/>
        <v>202863.7596135269</v>
      </c>
      <c r="I256" s="2">
        <f t="shared" si="18"/>
        <v>1068693.759613527</v>
      </c>
      <c r="J256" s="2">
        <f t="shared" si="19"/>
        <v>1473335.759613527</v>
      </c>
    </row>
    <row r="257" spans="1:10" x14ac:dyDescent="0.2">
      <c r="A257">
        <v>2016</v>
      </c>
      <c r="B257" s="3" t="str">
        <f t="shared" si="15"/>
        <v>5237</v>
      </c>
      <c r="C257" s="3" t="s">
        <v>263</v>
      </c>
      <c r="D257" s="13">
        <v>183103</v>
      </c>
      <c r="E257" s="13">
        <v>391790</v>
      </c>
      <c r="F257" s="13">
        <f>SUM(D257:E257)</f>
        <v>574893</v>
      </c>
      <c r="G257">
        <f t="shared" si="16"/>
        <v>5.8096015336985061E-4</v>
      </c>
      <c r="H257">
        <f t="shared" si="17"/>
        <v>91796.5569925975</v>
      </c>
      <c r="I257" s="2">
        <f t="shared" si="18"/>
        <v>483586.55699259753</v>
      </c>
      <c r="J257" s="2">
        <f t="shared" si="19"/>
        <v>666689.55699259753</v>
      </c>
    </row>
    <row r="258" spans="1:10" x14ac:dyDescent="0.2">
      <c r="A258">
        <v>2016</v>
      </c>
      <c r="B258" s="3" t="str">
        <f t="shared" si="15"/>
        <v>5238</v>
      </c>
      <c r="C258" s="3" t="s">
        <v>264</v>
      </c>
      <c r="D258" s="13">
        <v>148284</v>
      </c>
      <c r="E258" s="13">
        <v>317290</v>
      </c>
      <c r="F258" s="13">
        <f>SUM(D258:E258)</f>
        <v>465574</v>
      </c>
      <c r="G258">
        <f t="shared" si="16"/>
        <v>4.7048745148230159E-4</v>
      </c>
      <c r="H258">
        <f t="shared" si="17"/>
        <v>74340.947315885889</v>
      </c>
      <c r="I258" s="2">
        <f t="shared" si="18"/>
        <v>391630.94731588592</v>
      </c>
      <c r="J258" s="2">
        <f t="shared" si="19"/>
        <v>539914.94731588592</v>
      </c>
    </row>
    <row r="259" spans="1:10" x14ac:dyDescent="0.2">
      <c r="A259">
        <v>2016</v>
      </c>
      <c r="B259" s="3" t="str">
        <f t="shared" ref="B259:B322" si="20">LEFT(C259,4)</f>
        <v>5239</v>
      </c>
      <c r="C259" s="3" t="s">
        <v>265</v>
      </c>
      <c r="D259" s="13">
        <v>146088</v>
      </c>
      <c r="E259" s="13">
        <v>312590</v>
      </c>
      <c r="F259" s="13">
        <f>SUM(D259:E259)</f>
        <v>458678</v>
      </c>
      <c r="G259">
        <f t="shared" ref="G259:G322" si="21">F259/$F$340</f>
        <v>4.6351867430526435E-4</v>
      </c>
      <c r="H259">
        <f t="shared" ref="H259:H322" si="22">G259*$D$344</f>
        <v>73239.822311718235</v>
      </c>
      <c r="I259" s="2">
        <f t="shared" ref="I259:I322" si="23">SUM(H259,E259)</f>
        <v>385829.82231171825</v>
      </c>
      <c r="J259" s="2">
        <f t="shared" ref="J259:J322" si="24">SUM(D259,E259,H259)</f>
        <v>531917.82231171825</v>
      </c>
    </row>
    <row r="260" spans="1:10" x14ac:dyDescent="0.2">
      <c r="A260">
        <v>2016</v>
      </c>
      <c r="B260" s="3" t="str">
        <f t="shared" si="20"/>
        <v>5240</v>
      </c>
      <c r="C260" s="3" t="s">
        <v>266</v>
      </c>
      <c r="D260" s="13">
        <v>298848</v>
      </c>
      <c r="E260" s="13">
        <v>639460</v>
      </c>
      <c r="F260" s="13">
        <f>SUM(D260:E260)</f>
        <v>938308</v>
      </c>
      <c r="G260">
        <f t="shared" si="21"/>
        <v>9.4821046627486811E-4</v>
      </c>
      <c r="H260">
        <f t="shared" si="22"/>
        <v>149825.17407345396</v>
      </c>
      <c r="I260" s="2">
        <f t="shared" si="23"/>
        <v>789285.17407345399</v>
      </c>
      <c r="J260" s="2">
        <f t="shared" si="24"/>
        <v>1088133.174073454</v>
      </c>
    </row>
    <row r="261" spans="1:10" x14ac:dyDescent="0.2">
      <c r="A261">
        <v>2016</v>
      </c>
      <c r="B261" s="3" t="str">
        <f t="shared" si="20"/>
        <v>5241</v>
      </c>
      <c r="C261" s="3" t="s">
        <v>362</v>
      </c>
      <c r="D261" s="13">
        <v>180270</v>
      </c>
      <c r="E261" s="13">
        <v>385730</v>
      </c>
      <c r="F261" s="13">
        <f>SUM(D261:E261)</f>
        <v>566000</v>
      </c>
      <c r="G261">
        <f t="shared" si="21"/>
        <v>5.7197330078351174E-4</v>
      </c>
      <c r="H261">
        <f t="shared" si="22"/>
        <v>90376.559216776295</v>
      </c>
      <c r="I261" s="2">
        <f t="shared" si="23"/>
        <v>476106.55921677628</v>
      </c>
      <c r="J261" s="2">
        <f t="shared" si="24"/>
        <v>656376.55921677628</v>
      </c>
    </row>
    <row r="262" spans="1:10" x14ac:dyDescent="0.2">
      <c r="A262">
        <v>2016</v>
      </c>
      <c r="B262" s="3" t="str">
        <f t="shared" si="20"/>
        <v>5250</v>
      </c>
      <c r="C262" s="3" t="s">
        <v>268</v>
      </c>
      <c r="D262" s="13">
        <v>444151</v>
      </c>
      <c r="E262" s="13">
        <v>950370</v>
      </c>
      <c r="F262" s="13">
        <f>SUM(D262:E262)</f>
        <v>1394521</v>
      </c>
      <c r="G262">
        <f t="shared" si="21"/>
        <v>1.4092381261164729E-3</v>
      </c>
      <c r="H262">
        <f t="shared" si="22"/>
        <v>222671.39529247017</v>
      </c>
      <c r="I262" s="2">
        <f t="shared" si="23"/>
        <v>1173041.3952924702</v>
      </c>
      <c r="J262" s="2">
        <f t="shared" si="24"/>
        <v>1617192.3952924702</v>
      </c>
    </row>
    <row r="263" spans="1:10" x14ac:dyDescent="0.2">
      <c r="A263">
        <v>2016</v>
      </c>
      <c r="B263" s="3" t="str">
        <f t="shared" si="20"/>
        <v>5251</v>
      </c>
      <c r="C263" s="3" t="s">
        <v>269</v>
      </c>
      <c r="D263" s="13">
        <v>145628</v>
      </c>
      <c r="E263" s="13">
        <v>311610</v>
      </c>
      <c r="F263" s="13">
        <f>SUM(D263:E263)</f>
        <v>457238</v>
      </c>
      <c r="G263">
        <f t="shared" si="21"/>
        <v>4.6206347721493171E-4</v>
      </c>
      <c r="H263">
        <f t="shared" si="22"/>
        <v>73009.889016184388</v>
      </c>
      <c r="I263" s="2">
        <f t="shared" si="23"/>
        <v>384619.88901618437</v>
      </c>
      <c r="J263" s="2">
        <f t="shared" si="24"/>
        <v>530247.88901618437</v>
      </c>
    </row>
    <row r="264" spans="1:10" x14ac:dyDescent="0.2">
      <c r="A264">
        <v>2016</v>
      </c>
      <c r="B264" s="3" t="str">
        <f t="shared" si="20"/>
        <v>5267</v>
      </c>
      <c r="C264" s="3" t="s">
        <v>270</v>
      </c>
      <c r="D264" s="13">
        <v>171075</v>
      </c>
      <c r="E264" s="13">
        <v>366060</v>
      </c>
      <c r="F264" s="13">
        <f>SUM(D264:E264)</f>
        <v>537135</v>
      </c>
      <c r="G264">
        <f t="shared" si="21"/>
        <v>5.4280367299708765E-4</v>
      </c>
      <c r="H264">
        <f t="shared" si="22"/>
        <v>85767.514372620397</v>
      </c>
      <c r="I264" s="2">
        <f t="shared" si="23"/>
        <v>451827.51437262038</v>
      </c>
      <c r="J264" s="2">
        <f t="shared" si="24"/>
        <v>622902.51437262038</v>
      </c>
    </row>
    <row r="265" spans="1:10" x14ac:dyDescent="0.2">
      <c r="A265">
        <v>2016</v>
      </c>
      <c r="B265" s="3" t="str">
        <f t="shared" si="20"/>
        <v>5268</v>
      </c>
      <c r="C265" s="3" t="s">
        <v>271</v>
      </c>
      <c r="D265" s="13">
        <v>170067</v>
      </c>
      <c r="E265" s="13">
        <v>363900</v>
      </c>
      <c r="F265" s="13">
        <f>SUM(D265:E265)</f>
        <v>533967</v>
      </c>
      <c r="G265">
        <f t="shared" si="21"/>
        <v>5.3960223939835588E-4</v>
      </c>
      <c r="H265">
        <f t="shared" si="22"/>
        <v>85261.661122445919</v>
      </c>
      <c r="I265" s="2">
        <f t="shared" si="23"/>
        <v>449161.66112244595</v>
      </c>
      <c r="J265" s="2">
        <f t="shared" si="24"/>
        <v>619228.66112244595</v>
      </c>
    </row>
    <row r="266" spans="1:10" x14ac:dyDescent="0.2">
      <c r="A266">
        <v>2016</v>
      </c>
      <c r="B266" s="3" t="str">
        <f t="shared" si="20"/>
        <v>5270</v>
      </c>
      <c r="C266" s="3" t="s">
        <v>272</v>
      </c>
      <c r="D266" s="13">
        <v>222977</v>
      </c>
      <c r="E266" s="13">
        <v>477110</v>
      </c>
      <c r="F266" s="13">
        <f>SUM(D266:E266)</f>
        <v>700087</v>
      </c>
      <c r="G266">
        <f t="shared" si="21"/>
        <v>7.0747539262478159E-4</v>
      </c>
      <c r="H266">
        <f t="shared" si="22"/>
        <v>111787.02157667009</v>
      </c>
      <c r="I266" s="2">
        <f t="shared" si="23"/>
        <v>588897.02157667011</v>
      </c>
      <c r="J266" s="2">
        <f t="shared" si="24"/>
        <v>811874.02157667011</v>
      </c>
    </row>
    <row r="267" spans="1:10" x14ac:dyDescent="0.2">
      <c r="A267">
        <v>2016</v>
      </c>
      <c r="B267" s="3" t="str">
        <f t="shared" si="20"/>
        <v>5271</v>
      </c>
      <c r="C267" s="3" t="s">
        <v>273</v>
      </c>
      <c r="D267" s="13">
        <v>125337</v>
      </c>
      <c r="E267" s="13">
        <v>268190</v>
      </c>
      <c r="F267" s="13">
        <f>SUM(D267:E267)</f>
        <v>393527</v>
      </c>
      <c r="G267">
        <f t="shared" si="21"/>
        <v>3.9768010094952833E-4</v>
      </c>
      <c r="H267">
        <f t="shared" si="22"/>
        <v>62836.77777190871</v>
      </c>
      <c r="I267" s="2">
        <f t="shared" si="23"/>
        <v>331026.77777190873</v>
      </c>
      <c r="J267" s="2">
        <f t="shared" si="24"/>
        <v>456363.77777190873</v>
      </c>
    </row>
    <row r="268" spans="1:10" x14ac:dyDescent="0.2">
      <c r="A268">
        <v>2016</v>
      </c>
      <c r="B268" s="3" t="str">
        <f t="shared" si="20"/>
        <v>5272</v>
      </c>
      <c r="C268" s="3" t="s">
        <v>274</v>
      </c>
      <c r="D268" s="13">
        <v>1788720</v>
      </c>
      <c r="E268" s="13">
        <v>3827410</v>
      </c>
      <c r="F268" s="13">
        <f>SUM(D268:E268)</f>
        <v>5616130</v>
      </c>
      <c r="G268">
        <f t="shared" si="21"/>
        <v>5.6754000242567205E-3</v>
      </c>
      <c r="H268">
        <f t="shared" si="22"/>
        <v>896760.61044896441</v>
      </c>
      <c r="I268" s="2">
        <f t="shared" si="23"/>
        <v>4724170.6104489639</v>
      </c>
      <c r="J268" s="2">
        <f t="shared" si="24"/>
        <v>6512890.6104489639</v>
      </c>
    </row>
    <row r="269" spans="1:10" x14ac:dyDescent="0.2">
      <c r="A269">
        <v>2016</v>
      </c>
      <c r="B269" s="3" t="str">
        <f t="shared" si="20"/>
        <v>5274</v>
      </c>
      <c r="C269" s="3" t="s">
        <v>275</v>
      </c>
      <c r="D269" s="13">
        <v>475101</v>
      </c>
      <c r="E269" s="13">
        <v>1016600</v>
      </c>
      <c r="F269" s="13">
        <f>SUM(D269:E269)</f>
        <v>1491701</v>
      </c>
      <c r="G269">
        <f t="shared" si="21"/>
        <v>1.5074437186432248E-3</v>
      </c>
      <c r="H269">
        <f t="shared" si="22"/>
        <v>238188.69922301135</v>
      </c>
      <c r="I269" s="2">
        <f t="shared" si="23"/>
        <v>1254788.6992230113</v>
      </c>
      <c r="J269" s="2">
        <f t="shared" si="24"/>
        <v>1729889.6992230113</v>
      </c>
    </row>
    <row r="270" spans="1:10" x14ac:dyDescent="0.2">
      <c r="A270">
        <v>2016</v>
      </c>
      <c r="B270" s="3" t="str">
        <f t="shared" si="20"/>
        <v>5275</v>
      </c>
      <c r="C270" s="3" t="s">
        <v>276</v>
      </c>
      <c r="D270" s="13">
        <v>1132608</v>
      </c>
      <c r="E270" s="13">
        <v>2423500</v>
      </c>
      <c r="F270" s="13">
        <f>SUM(D270:E270)</f>
        <v>3556108</v>
      </c>
      <c r="G270">
        <f t="shared" si="21"/>
        <v>3.5936375100753576E-3</v>
      </c>
      <c r="H270">
        <f t="shared" si="22"/>
        <v>567824.74424602813</v>
      </c>
      <c r="I270" s="2">
        <f t="shared" si="23"/>
        <v>2991324.7442460284</v>
      </c>
      <c r="J270" s="2">
        <f t="shared" si="24"/>
        <v>4123932.7442460284</v>
      </c>
    </row>
    <row r="271" spans="1:10" x14ac:dyDescent="0.2">
      <c r="A271">
        <v>2016</v>
      </c>
      <c r="B271" s="3" t="str">
        <f t="shared" si="20"/>
        <v>5276</v>
      </c>
      <c r="C271" s="3" t="s">
        <v>277</v>
      </c>
      <c r="D271" s="18">
        <v>624653</v>
      </c>
      <c r="E271" s="18">
        <v>1336600</v>
      </c>
      <c r="F271" s="13">
        <f>SUM(D271:E271)</f>
        <v>1961253</v>
      </c>
      <c r="G271">
        <f t="shared" si="21"/>
        <v>1.9819511520875704E-3</v>
      </c>
      <c r="H271">
        <f t="shared" si="22"/>
        <v>313164.83726780949</v>
      </c>
      <c r="I271" s="2">
        <f t="shared" si="23"/>
        <v>1649764.8372678095</v>
      </c>
      <c r="J271" s="2">
        <f t="shared" si="24"/>
        <v>2274417.8372678095</v>
      </c>
    </row>
    <row r="272" spans="1:10" x14ac:dyDescent="0.2">
      <c r="A272">
        <v>2016</v>
      </c>
      <c r="B272" s="3" t="str">
        <f t="shared" si="20"/>
        <v>5278</v>
      </c>
      <c r="C272" s="3" t="s">
        <v>278</v>
      </c>
      <c r="D272" s="13">
        <v>161128</v>
      </c>
      <c r="E272" s="13">
        <v>344770</v>
      </c>
      <c r="F272" s="13">
        <f>SUM(D272:E272)</f>
        <v>505898</v>
      </c>
      <c r="G272">
        <f t="shared" si="21"/>
        <v>5.1123701222575448E-4</v>
      </c>
      <c r="H272">
        <f t="shared" si="22"/>
        <v>80779.718294432329</v>
      </c>
      <c r="I272" s="2">
        <f t="shared" si="23"/>
        <v>425549.71829443233</v>
      </c>
      <c r="J272" s="2">
        <f t="shared" si="24"/>
        <v>586677.71829443239</v>
      </c>
    </row>
    <row r="273" spans="1:10" x14ac:dyDescent="0.2">
      <c r="A273">
        <v>2016</v>
      </c>
      <c r="B273" s="3" t="str">
        <f t="shared" si="20"/>
        <v>5280</v>
      </c>
      <c r="C273" s="3" t="s">
        <v>279</v>
      </c>
      <c r="D273" s="13">
        <v>3424293</v>
      </c>
      <c r="E273" s="13">
        <v>7327120</v>
      </c>
      <c r="F273" s="13">
        <f>SUM(D273:E273)</f>
        <v>10751413</v>
      </c>
      <c r="G273">
        <f t="shared" si="21"/>
        <v>1.08648784128918E-2</v>
      </c>
      <c r="H273">
        <f t="shared" si="22"/>
        <v>1716741.5435662873</v>
      </c>
      <c r="I273" s="2">
        <f t="shared" si="23"/>
        <v>9043861.5435662866</v>
      </c>
      <c r="J273" s="2">
        <f t="shared" si="24"/>
        <v>12468154.543566287</v>
      </c>
    </row>
    <row r="274" spans="1:10" x14ac:dyDescent="0.2">
      <c r="A274">
        <v>2016</v>
      </c>
      <c r="B274" s="3" t="str">
        <f t="shared" si="20"/>
        <v>5281</v>
      </c>
      <c r="C274" s="3" t="s">
        <v>280</v>
      </c>
      <c r="D274" s="13">
        <v>147741</v>
      </c>
      <c r="E274" s="13">
        <v>316130</v>
      </c>
      <c r="F274" s="13">
        <f>SUM(D274:E274)</f>
        <v>463871</v>
      </c>
      <c r="G274">
        <f t="shared" si="21"/>
        <v>4.687664788122763E-4</v>
      </c>
      <c r="H274">
        <f t="shared" si="22"/>
        <v>74069.019258737171</v>
      </c>
      <c r="I274" s="2">
        <f t="shared" si="23"/>
        <v>390199.01925873716</v>
      </c>
      <c r="J274" s="2">
        <f t="shared" si="24"/>
        <v>537940.01925873721</v>
      </c>
    </row>
    <row r="275" spans="1:10" x14ac:dyDescent="0.2">
      <c r="A275">
        <v>2016</v>
      </c>
      <c r="B275" s="3" t="str">
        <f t="shared" si="20"/>
        <v>5283</v>
      </c>
      <c r="C275" s="3" t="s">
        <v>281</v>
      </c>
      <c r="D275" s="13">
        <v>334369</v>
      </c>
      <c r="E275" s="13">
        <v>715470</v>
      </c>
      <c r="F275" s="13">
        <f>SUM(D275:E275)</f>
        <v>1049839</v>
      </c>
      <c r="G275">
        <f t="shared" si="21"/>
        <v>1.0609185125817337E-3</v>
      </c>
      <c r="H275">
        <f t="shared" si="22"/>
        <v>167633.9868402495</v>
      </c>
      <c r="I275" s="2">
        <f t="shared" si="23"/>
        <v>883103.9868402495</v>
      </c>
      <c r="J275" s="2">
        <f t="shared" si="24"/>
        <v>1217472.9868402495</v>
      </c>
    </row>
    <row r="276" spans="1:10" x14ac:dyDescent="0.2">
      <c r="A276">
        <v>2016</v>
      </c>
      <c r="B276" s="3" t="str">
        <f t="shared" si="20"/>
        <v>5284</v>
      </c>
      <c r="C276" s="3" t="s">
        <v>282</v>
      </c>
      <c r="D276" s="13">
        <v>451109</v>
      </c>
      <c r="E276" s="13">
        <v>965260</v>
      </c>
      <c r="F276" s="13">
        <f>SUM(D276:E276)</f>
        <v>1416369</v>
      </c>
      <c r="G276">
        <f t="shared" si="21"/>
        <v>1.4313166997481303E-3</v>
      </c>
      <c r="H276">
        <f t="shared" si="22"/>
        <v>226159.99434859757</v>
      </c>
      <c r="I276" s="2">
        <f t="shared" si="23"/>
        <v>1191419.9943485975</v>
      </c>
      <c r="J276" s="2">
        <f t="shared" si="24"/>
        <v>1642528.9943485975</v>
      </c>
    </row>
    <row r="277" spans="1:10" x14ac:dyDescent="0.2">
      <c r="A277">
        <v>2016</v>
      </c>
      <c r="B277" s="3" t="str">
        <f t="shared" si="20"/>
        <v>5285</v>
      </c>
      <c r="C277" s="3" t="s">
        <v>283</v>
      </c>
      <c r="D277" s="13">
        <v>257211</v>
      </c>
      <c r="E277" s="13">
        <v>550370</v>
      </c>
      <c r="F277" s="13">
        <f>SUM(D277:E277)</f>
        <v>807581</v>
      </c>
      <c r="G277">
        <f t="shared" si="21"/>
        <v>8.1610383431104103E-4</v>
      </c>
      <c r="H277">
        <f t="shared" si="22"/>
        <v>128951.22273647248</v>
      </c>
      <c r="I277" s="2">
        <f t="shared" si="23"/>
        <v>679321.2227364725</v>
      </c>
      <c r="J277" s="2">
        <f t="shared" si="24"/>
        <v>936532.2227364725</v>
      </c>
    </row>
    <row r="278" spans="1:10" x14ac:dyDescent="0.2">
      <c r="A278">
        <v>2016</v>
      </c>
      <c r="B278" s="3" t="str">
        <f t="shared" si="20"/>
        <v>5286</v>
      </c>
      <c r="C278" s="3" t="s">
        <v>284</v>
      </c>
      <c r="D278" s="13">
        <v>239461</v>
      </c>
      <c r="E278" s="13">
        <v>512390</v>
      </c>
      <c r="F278" s="13">
        <f>SUM(D278:E278)</f>
        <v>751851</v>
      </c>
      <c r="G278">
        <f t="shared" si="21"/>
        <v>7.5978568580809913E-4</v>
      </c>
      <c r="H278">
        <f t="shared" si="22"/>
        <v>120052.48484751322</v>
      </c>
      <c r="I278" s="2">
        <f t="shared" si="23"/>
        <v>632442.48484751326</v>
      </c>
      <c r="J278" s="2">
        <f t="shared" si="24"/>
        <v>871903.48484751326</v>
      </c>
    </row>
    <row r="279" spans="1:10" x14ac:dyDescent="0.2">
      <c r="A279">
        <v>2016</v>
      </c>
      <c r="B279" s="3" t="str">
        <f t="shared" si="20"/>
        <v>5287</v>
      </c>
      <c r="C279" s="3" t="s">
        <v>285</v>
      </c>
      <c r="D279" s="13">
        <v>385186</v>
      </c>
      <c r="E279" s="13">
        <v>824200</v>
      </c>
      <c r="F279" s="13">
        <f>SUM(D279:E279)</f>
        <v>1209386</v>
      </c>
      <c r="G279">
        <f t="shared" si="21"/>
        <v>1.2221492974229119E-3</v>
      </c>
      <c r="H279">
        <f t="shared" si="22"/>
        <v>193109.79760590146</v>
      </c>
      <c r="I279" s="2">
        <f t="shared" si="23"/>
        <v>1017309.7976059015</v>
      </c>
      <c r="J279" s="2">
        <f t="shared" si="24"/>
        <v>1402495.7976059015</v>
      </c>
    </row>
    <row r="280" spans="1:10" x14ac:dyDescent="0.2">
      <c r="A280">
        <v>2016</v>
      </c>
      <c r="B280" s="3" t="str">
        <f t="shared" si="20"/>
        <v>5288</v>
      </c>
      <c r="C280" s="3" t="s">
        <v>286</v>
      </c>
      <c r="D280" s="13">
        <v>225823</v>
      </c>
      <c r="E280" s="13">
        <v>483200</v>
      </c>
      <c r="F280" s="13">
        <f>SUM(D280:E280)</f>
        <v>709023</v>
      </c>
      <c r="G280">
        <f t="shared" si="21"/>
        <v>7.1650569901312341E-4</v>
      </c>
      <c r="H280">
        <f t="shared" si="22"/>
        <v>113213.88541617735</v>
      </c>
      <c r="I280" s="2">
        <f t="shared" si="23"/>
        <v>596413.88541617733</v>
      </c>
      <c r="J280" s="2">
        <f t="shared" si="24"/>
        <v>822236.88541617733</v>
      </c>
    </row>
    <row r="281" spans="1:10" x14ac:dyDescent="0.2">
      <c r="A281">
        <v>2016</v>
      </c>
      <c r="B281" s="3" t="str">
        <f t="shared" si="20"/>
        <v>5289</v>
      </c>
      <c r="C281" s="3" t="s">
        <v>287</v>
      </c>
      <c r="D281" s="13">
        <v>289417</v>
      </c>
      <c r="E281" s="13">
        <v>619280</v>
      </c>
      <c r="F281" s="13">
        <f>SUM(D281:E281)</f>
        <v>908697</v>
      </c>
      <c r="G281">
        <f t="shared" si="21"/>
        <v>9.1828696555136893E-4</v>
      </c>
      <c r="H281">
        <f t="shared" si="22"/>
        <v>145097.01100813955</v>
      </c>
      <c r="I281" s="2">
        <f t="shared" si="23"/>
        <v>764377.01100813958</v>
      </c>
      <c r="J281" s="2">
        <f t="shared" si="24"/>
        <v>1053794.0110081395</v>
      </c>
    </row>
    <row r="282" spans="1:10" x14ac:dyDescent="0.2">
      <c r="A282">
        <v>2016</v>
      </c>
      <c r="B282" s="3" t="str">
        <f t="shared" si="20"/>
        <v>5291</v>
      </c>
      <c r="C282" s="3" t="s">
        <v>288</v>
      </c>
      <c r="D282" s="13">
        <v>415029</v>
      </c>
      <c r="E282" s="13">
        <v>888060</v>
      </c>
      <c r="F282" s="13">
        <f>SUM(D282:E282)</f>
        <v>1303089</v>
      </c>
      <c r="G282">
        <f t="shared" si="21"/>
        <v>1.3168411953086317E-3</v>
      </c>
      <c r="H282">
        <f t="shared" si="22"/>
        <v>208071.90843326823</v>
      </c>
      <c r="I282" s="2">
        <f t="shared" si="23"/>
        <v>1096131.9084332683</v>
      </c>
      <c r="J282" s="2">
        <f t="shared" si="24"/>
        <v>1511160.9084332683</v>
      </c>
    </row>
    <row r="283" spans="1:10" x14ac:dyDescent="0.2">
      <c r="A283">
        <v>2016</v>
      </c>
      <c r="B283" s="3" t="str">
        <f t="shared" si="20"/>
        <v>5292</v>
      </c>
      <c r="C283" s="3" t="s">
        <v>289</v>
      </c>
      <c r="D283" s="13">
        <v>1078110</v>
      </c>
      <c r="E283" s="13">
        <v>2306880</v>
      </c>
      <c r="F283" s="13">
        <f>SUM(D283:E283)</f>
        <v>3384990</v>
      </c>
      <c r="G283">
        <f t="shared" si="21"/>
        <v>3.4207136102812358E-3</v>
      </c>
      <c r="H283">
        <f t="shared" si="22"/>
        <v>540501.32364522188</v>
      </c>
      <c r="I283" s="2">
        <f t="shared" si="23"/>
        <v>2847381.323645222</v>
      </c>
      <c r="J283" s="2">
        <f t="shared" si="24"/>
        <v>3925491.323645222</v>
      </c>
    </row>
    <row r="284" spans="1:10" x14ac:dyDescent="0.2">
      <c r="A284">
        <v>2016</v>
      </c>
      <c r="B284" s="3" t="str">
        <f t="shared" si="20"/>
        <v>5293</v>
      </c>
      <c r="C284" s="3" t="s">
        <v>290</v>
      </c>
      <c r="D284" s="13">
        <v>234913</v>
      </c>
      <c r="E284" s="13">
        <v>502650</v>
      </c>
      <c r="F284" s="13">
        <f>SUM(D284:E284)</f>
        <v>737563</v>
      </c>
      <c r="G284">
        <f t="shared" si="21"/>
        <v>7.4534689690068775E-4</v>
      </c>
      <c r="H284">
        <f t="shared" si="22"/>
        <v>117771.03559293848</v>
      </c>
      <c r="I284" s="2">
        <f t="shared" si="23"/>
        <v>620421.03559293854</v>
      </c>
      <c r="J284" s="2">
        <f t="shared" si="24"/>
        <v>855334.03559293854</v>
      </c>
    </row>
    <row r="285" spans="1:10" x14ac:dyDescent="0.2">
      <c r="A285">
        <v>2016</v>
      </c>
      <c r="B285" s="3" t="str">
        <f t="shared" si="20"/>
        <v>5294</v>
      </c>
      <c r="C285" s="3" t="s">
        <v>291</v>
      </c>
      <c r="D285" s="13">
        <v>565546</v>
      </c>
      <c r="E285" s="13">
        <v>1210130</v>
      </c>
      <c r="F285" s="13">
        <f>SUM(D285:E285)</f>
        <v>1775676</v>
      </c>
      <c r="G285">
        <f t="shared" si="21"/>
        <v>1.7944156587315601E-3</v>
      </c>
      <c r="H285">
        <f t="shared" si="22"/>
        <v>283532.66283358389</v>
      </c>
      <c r="I285" s="2">
        <f t="shared" si="23"/>
        <v>1493662.662833584</v>
      </c>
      <c r="J285" s="2">
        <f t="shared" si="24"/>
        <v>2059208.662833584</v>
      </c>
    </row>
    <row r="286" spans="1:10" x14ac:dyDescent="0.2">
      <c r="A286">
        <v>2016</v>
      </c>
      <c r="B286" s="3" t="str">
        <f t="shared" si="20"/>
        <v>5295</v>
      </c>
      <c r="C286" s="3" t="s">
        <v>292</v>
      </c>
      <c r="D286" s="13">
        <v>167586</v>
      </c>
      <c r="E286" s="13">
        <v>358590</v>
      </c>
      <c r="F286" s="13">
        <f>SUM(D286:E286)</f>
        <v>526176</v>
      </c>
      <c r="G286">
        <f t="shared" si="21"/>
        <v>5.317290168075355E-4</v>
      </c>
      <c r="H286">
        <f t="shared" si="22"/>
        <v>84017.626188067996</v>
      </c>
      <c r="I286" s="2">
        <f t="shared" si="23"/>
        <v>442607.62618806801</v>
      </c>
      <c r="J286" s="2">
        <f t="shared" si="24"/>
        <v>610193.62618806795</v>
      </c>
    </row>
    <row r="287" spans="1:10" x14ac:dyDescent="0.2">
      <c r="A287">
        <v>2016</v>
      </c>
      <c r="B287" s="3" t="str">
        <f t="shared" si="20"/>
        <v>5296</v>
      </c>
      <c r="C287" s="3" t="s">
        <v>293</v>
      </c>
      <c r="D287" s="13">
        <v>888454</v>
      </c>
      <c r="E287" s="13">
        <v>1901070</v>
      </c>
      <c r="F287" s="13">
        <f>SUM(D287:E287)</f>
        <v>2789524</v>
      </c>
      <c r="G287">
        <f t="shared" si="21"/>
        <v>2.8189633390367928E-3</v>
      </c>
      <c r="H287">
        <f t="shared" si="22"/>
        <v>445419.75436858425</v>
      </c>
      <c r="I287" s="2">
        <f t="shared" si="23"/>
        <v>2346489.7543685841</v>
      </c>
      <c r="J287" s="2">
        <f t="shared" si="24"/>
        <v>3234943.7543685841</v>
      </c>
    </row>
    <row r="288" spans="1:10" x14ac:dyDescent="0.2">
      <c r="A288">
        <v>2016</v>
      </c>
      <c r="B288" s="3" t="str">
        <f t="shared" si="20"/>
        <v>5297</v>
      </c>
      <c r="C288" s="3" t="s">
        <v>294</v>
      </c>
      <c r="D288" s="13">
        <v>449027</v>
      </c>
      <c r="E288" s="13">
        <v>960800</v>
      </c>
      <c r="F288" s="13">
        <f>SUM(D288:E288)</f>
        <v>1409827</v>
      </c>
      <c r="G288">
        <f t="shared" si="21"/>
        <v>1.4247056585224664E-3</v>
      </c>
      <c r="H288">
        <f t="shared" si="22"/>
        <v>225115.39461291535</v>
      </c>
      <c r="I288" s="2">
        <f t="shared" si="23"/>
        <v>1185915.3946129153</v>
      </c>
      <c r="J288" s="2">
        <f t="shared" si="24"/>
        <v>1634942.3946129153</v>
      </c>
    </row>
    <row r="289" spans="1:10" x14ac:dyDescent="0.2">
      <c r="A289">
        <v>2016</v>
      </c>
      <c r="B289" s="3" t="str">
        <f t="shared" si="20"/>
        <v>5298</v>
      </c>
      <c r="C289" s="3" t="s">
        <v>295</v>
      </c>
      <c r="D289" s="13">
        <v>66940</v>
      </c>
      <c r="E289" s="13">
        <v>143230</v>
      </c>
      <c r="F289" s="13">
        <f>SUM(D289:E289)</f>
        <v>210170</v>
      </c>
      <c r="G289">
        <f t="shared" si="21"/>
        <v>2.1238803644111425E-4</v>
      </c>
      <c r="H289">
        <f t="shared" si="22"/>
        <v>33559.08383496444</v>
      </c>
      <c r="I289" s="2">
        <f t="shared" si="23"/>
        <v>176789.08383496443</v>
      </c>
      <c r="J289" s="2">
        <f t="shared" si="24"/>
        <v>243729.08383496443</v>
      </c>
    </row>
    <row r="290" spans="1:10" x14ac:dyDescent="0.2">
      <c r="A290">
        <v>2016</v>
      </c>
      <c r="B290" s="3" t="str">
        <f t="shared" si="20"/>
        <v>5299</v>
      </c>
      <c r="C290" s="3" t="s">
        <v>296</v>
      </c>
      <c r="D290" s="13">
        <v>117010</v>
      </c>
      <c r="E290" s="13">
        <v>250370</v>
      </c>
      <c r="F290" s="13">
        <f>SUM(D290:E290)</f>
        <v>367380</v>
      </c>
      <c r="G290">
        <f t="shared" si="21"/>
        <v>3.7125715767110696E-4</v>
      </c>
      <c r="H290">
        <f t="shared" si="22"/>
        <v>58661.732023072924</v>
      </c>
      <c r="I290" s="2">
        <f t="shared" si="23"/>
        <v>309031.73202307289</v>
      </c>
      <c r="J290" s="2">
        <f t="shared" si="24"/>
        <v>426041.73202307289</v>
      </c>
    </row>
    <row r="291" spans="1:10" x14ac:dyDescent="0.2">
      <c r="A291">
        <v>2016</v>
      </c>
      <c r="B291" s="3" t="str">
        <f t="shared" si="20"/>
        <v>5300</v>
      </c>
      <c r="C291" s="3" t="s">
        <v>297</v>
      </c>
      <c r="D291" s="13">
        <v>400280</v>
      </c>
      <c r="E291" s="13">
        <v>856500</v>
      </c>
      <c r="F291" s="13">
        <f>SUM(D291:E291)</f>
        <v>1256780</v>
      </c>
      <c r="G291">
        <f t="shared" si="21"/>
        <v>1.270043471658484E-3</v>
      </c>
      <c r="H291">
        <f t="shared" si="22"/>
        <v>200677.47719515924</v>
      </c>
      <c r="I291" s="2">
        <f t="shared" si="23"/>
        <v>1057177.4771951593</v>
      </c>
      <c r="J291" s="2">
        <f t="shared" si="24"/>
        <v>1457457.4771951593</v>
      </c>
    </row>
    <row r="292" spans="1:10" x14ac:dyDescent="0.2">
      <c r="A292">
        <v>2016</v>
      </c>
      <c r="B292" s="3" t="str">
        <f t="shared" si="20"/>
        <v>5302</v>
      </c>
      <c r="C292" s="3" t="s">
        <v>298</v>
      </c>
      <c r="D292" s="13">
        <v>2009709</v>
      </c>
      <c r="E292" s="13">
        <v>4300270</v>
      </c>
      <c r="F292" s="13">
        <f>SUM(D292:E292)</f>
        <v>6309979</v>
      </c>
      <c r="G292">
        <f t="shared" si="21"/>
        <v>6.376571583930464E-3</v>
      </c>
      <c r="H292">
        <f t="shared" si="22"/>
        <v>1007551.5737634539</v>
      </c>
      <c r="I292" s="2">
        <f t="shared" si="23"/>
        <v>5307821.5737634543</v>
      </c>
      <c r="J292" s="2">
        <f t="shared" si="24"/>
        <v>7317530.5737634543</v>
      </c>
    </row>
    <row r="293" spans="1:10" x14ac:dyDescent="0.2">
      <c r="A293">
        <v>2016</v>
      </c>
      <c r="B293" s="3" t="str">
        <f t="shared" si="20"/>
        <v>5303</v>
      </c>
      <c r="C293" s="3" t="s">
        <v>345</v>
      </c>
      <c r="D293" s="13">
        <v>1075548</v>
      </c>
      <c r="E293" s="13">
        <v>2301400</v>
      </c>
      <c r="F293" s="13">
        <f>SUM(D293:E293)</f>
        <v>3376948</v>
      </c>
      <c r="G293">
        <f t="shared" si="21"/>
        <v>3.412586738753142E-3</v>
      </c>
      <c r="H293">
        <f t="shared" si="22"/>
        <v>539217.21006002522</v>
      </c>
      <c r="I293" s="2">
        <f t="shared" si="23"/>
        <v>2840617.2100600251</v>
      </c>
      <c r="J293" s="2">
        <f t="shared" si="24"/>
        <v>3916165.2100600251</v>
      </c>
    </row>
    <row r="294" spans="1:10" x14ac:dyDescent="0.2">
      <c r="A294">
        <v>2016</v>
      </c>
      <c r="B294" s="3" t="str">
        <f t="shared" si="20"/>
        <v>5304</v>
      </c>
      <c r="C294" s="3" t="s">
        <v>300</v>
      </c>
      <c r="D294" s="13">
        <v>879113</v>
      </c>
      <c r="E294" s="13">
        <v>1881080</v>
      </c>
      <c r="F294" s="13">
        <f>SUM(D294:E294)</f>
        <v>2760193</v>
      </c>
      <c r="G294">
        <f t="shared" si="21"/>
        <v>2.7893227933030807E-3</v>
      </c>
      <c r="H294">
        <f t="shared" si="22"/>
        <v>440736.30055517919</v>
      </c>
      <c r="I294" s="2">
        <f t="shared" si="23"/>
        <v>2321816.3005551794</v>
      </c>
      <c r="J294" s="2">
        <f t="shared" si="24"/>
        <v>3200929.3005551794</v>
      </c>
    </row>
    <row r="295" spans="1:10" x14ac:dyDescent="0.2">
      <c r="A295">
        <v>2016</v>
      </c>
      <c r="B295" s="3" t="str">
        <f t="shared" si="20"/>
        <v>5305</v>
      </c>
      <c r="C295" s="3" t="s">
        <v>301</v>
      </c>
      <c r="D295" s="13">
        <v>201643</v>
      </c>
      <c r="E295" s="13">
        <v>431470</v>
      </c>
      <c r="F295" s="13">
        <f>SUM(D295:E295)</f>
        <v>633113</v>
      </c>
      <c r="G295">
        <f t="shared" si="21"/>
        <v>6.3979458017482599E-4</v>
      </c>
      <c r="H295">
        <f t="shared" si="22"/>
        <v>101092.8878717507</v>
      </c>
      <c r="I295" s="2">
        <f t="shared" si="23"/>
        <v>532562.88787175075</v>
      </c>
      <c r="J295" s="2">
        <f t="shared" si="24"/>
        <v>734205.88787175075</v>
      </c>
    </row>
    <row r="296" spans="1:10" x14ac:dyDescent="0.2">
      <c r="A296">
        <v>2016</v>
      </c>
      <c r="B296" s="3" t="str">
        <f t="shared" si="20"/>
        <v>5306</v>
      </c>
      <c r="C296" s="3" t="s">
        <v>302</v>
      </c>
      <c r="D296" s="13">
        <v>859725</v>
      </c>
      <c r="E296" s="13">
        <v>1839590</v>
      </c>
      <c r="F296" s="13">
        <f>SUM(D296:E296)</f>
        <v>2699315</v>
      </c>
      <c r="G296">
        <f t="shared" si="21"/>
        <v>2.7278023152021999E-3</v>
      </c>
      <c r="H296">
        <f t="shared" si="22"/>
        <v>431015.55113468645</v>
      </c>
      <c r="I296" s="2">
        <f t="shared" si="23"/>
        <v>2270605.5511346865</v>
      </c>
      <c r="J296" s="2">
        <f t="shared" si="24"/>
        <v>3130330.5511346865</v>
      </c>
    </row>
    <row r="297" spans="1:10" x14ac:dyDescent="0.2">
      <c r="A297">
        <v>2016</v>
      </c>
      <c r="B297" s="3" t="str">
        <f t="shared" si="20"/>
        <v>5307</v>
      </c>
      <c r="C297" s="3" t="s">
        <v>303</v>
      </c>
      <c r="D297" s="13">
        <v>116916</v>
      </c>
      <c r="E297" s="13">
        <v>250170</v>
      </c>
      <c r="F297" s="13">
        <f>SUM(D297:E297)</f>
        <v>367086</v>
      </c>
      <c r="G297">
        <f t="shared" si="21"/>
        <v>3.7096005493183072E-4</v>
      </c>
      <c r="H297">
        <f t="shared" si="22"/>
        <v>58614.787308568099</v>
      </c>
      <c r="I297" s="2">
        <f t="shared" si="23"/>
        <v>308784.78730856808</v>
      </c>
      <c r="J297" s="2">
        <f t="shared" si="24"/>
        <v>425700.78730856808</v>
      </c>
    </row>
    <row r="298" spans="1:10" x14ac:dyDescent="0.2">
      <c r="A298">
        <v>2016</v>
      </c>
      <c r="B298" s="3" t="str">
        <f t="shared" si="20"/>
        <v>5308</v>
      </c>
      <c r="C298" s="3" t="s">
        <v>304</v>
      </c>
      <c r="D298" s="13">
        <v>8009102</v>
      </c>
      <c r="E298" s="13">
        <v>17137460</v>
      </c>
      <c r="F298" s="13">
        <f>SUM(D298:E298)</f>
        <v>25146562</v>
      </c>
      <c r="G298">
        <f t="shared" si="21"/>
        <v>2.5411947121019837E-2</v>
      </c>
      <c r="H298">
        <f t="shared" si="22"/>
        <v>4015299.9111154363</v>
      </c>
      <c r="I298" s="2">
        <f t="shared" si="23"/>
        <v>21152759.911115438</v>
      </c>
      <c r="J298" s="2">
        <f t="shared" si="24"/>
        <v>29161861.911115438</v>
      </c>
    </row>
    <row r="299" spans="1:10" x14ac:dyDescent="0.2">
      <c r="A299">
        <v>2016</v>
      </c>
      <c r="B299" s="3" t="str">
        <f t="shared" si="20"/>
        <v>5309</v>
      </c>
      <c r="C299" s="3" t="s">
        <v>305</v>
      </c>
      <c r="D299" s="13">
        <v>538162</v>
      </c>
      <c r="E299" s="13">
        <v>1151530</v>
      </c>
      <c r="F299" s="13">
        <f>SUM(D299:E299)</f>
        <v>1689692</v>
      </c>
      <c r="G299">
        <f t="shared" si="21"/>
        <v>1.7075242235821441E-3</v>
      </c>
      <c r="H299">
        <f t="shared" si="22"/>
        <v>269803.09027581837</v>
      </c>
      <c r="I299" s="2">
        <f t="shared" si="23"/>
        <v>1421333.0902758185</v>
      </c>
      <c r="J299" s="2">
        <f t="shared" si="24"/>
        <v>1959495.0902758185</v>
      </c>
    </row>
    <row r="300" spans="1:10" x14ac:dyDescent="0.2">
      <c r="A300">
        <v>2016</v>
      </c>
      <c r="B300" s="3" t="str">
        <f t="shared" si="20"/>
        <v>5310</v>
      </c>
      <c r="C300" s="3" t="s">
        <v>306</v>
      </c>
      <c r="D300" s="13">
        <v>76070</v>
      </c>
      <c r="E300" s="13">
        <v>162770</v>
      </c>
      <c r="F300" s="13">
        <f>SUM(D300:E300)</f>
        <v>238840</v>
      </c>
      <c r="G300">
        <f t="shared" si="21"/>
        <v>2.4136060628822251E-4</v>
      </c>
      <c r="H300">
        <f t="shared" si="22"/>
        <v>38136.991878683482</v>
      </c>
      <c r="I300" s="2">
        <f t="shared" si="23"/>
        <v>200906.99187868348</v>
      </c>
      <c r="J300" s="2">
        <f t="shared" si="24"/>
        <v>276976.9918786835</v>
      </c>
    </row>
    <row r="301" spans="1:10" x14ac:dyDescent="0.2">
      <c r="A301">
        <v>2016</v>
      </c>
      <c r="B301" s="3" t="str">
        <f t="shared" si="20"/>
        <v>5312</v>
      </c>
      <c r="C301" s="3" t="s">
        <v>307</v>
      </c>
      <c r="D301" s="13">
        <v>2628103</v>
      </c>
      <c r="E301" s="13">
        <v>5623480</v>
      </c>
      <c r="F301" s="13">
        <f>SUM(D301:E301)</f>
        <v>8251583</v>
      </c>
      <c r="G301">
        <f t="shared" si="21"/>
        <v>8.3386663696097384E-3</v>
      </c>
      <c r="H301">
        <f t="shared" si="22"/>
        <v>1317578.9392785241</v>
      </c>
      <c r="I301" s="2">
        <f t="shared" si="23"/>
        <v>6941058.9392785244</v>
      </c>
      <c r="J301" s="2">
        <f t="shared" si="24"/>
        <v>9569161.9392785244</v>
      </c>
    </row>
    <row r="302" spans="1:10" x14ac:dyDescent="0.2">
      <c r="A302">
        <v>2016</v>
      </c>
      <c r="B302" s="3" t="str">
        <f t="shared" si="20"/>
        <v>5313</v>
      </c>
      <c r="C302" s="3" t="s">
        <v>308</v>
      </c>
      <c r="D302" s="13">
        <v>201642</v>
      </c>
      <c r="E302" s="13">
        <v>431460</v>
      </c>
      <c r="F302" s="13">
        <f>SUM(D302:E302)</f>
        <v>633102</v>
      </c>
      <c r="G302">
        <f t="shared" si="21"/>
        <v>6.3978346408594144E-4</v>
      </c>
      <c r="H302">
        <f t="shared" si="22"/>
        <v>101091.13143685425</v>
      </c>
      <c r="I302" s="2">
        <f t="shared" si="23"/>
        <v>532551.13143685425</v>
      </c>
      <c r="J302" s="2">
        <f t="shared" si="24"/>
        <v>734193.13143685425</v>
      </c>
    </row>
    <row r="303" spans="1:10" x14ac:dyDescent="0.2">
      <c r="A303">
        <v>2016</v>
      </c>
      <c r="B303" s="3" t="str">
        <f t="shared" si="20"/>
        <v>5314</v>
      </c>
      <c r="C303" s="3" t="s">
        <v>309</v>
      </c>
      <c r="D303" s="13">
        <v>10575662</v>
      </c>
      <c r="E303" s="13">
        <v>22629250</v>
      </c>
      <c r="F303" s="13">
        <f>SUM(D303:E303)</f>
        <v>33204912</v>
      </c>
      <c r="G303">
        <f t="shared" si="21"/>
        <v>3.3555341199409963E-2</v>
      </c>
      <c r="H303">
        <f t="shared" si="22"/>
        <v>5302024.1972718127</v>
      </c>
      <c r="I303" s="2">
        <f t="shared" si="23"/>
        <v>27931274.197271813</v>
      </c>
      <c r="J303" s="2">
        <f t="shared" si="24"/>
        <v>38506936.197271809</v>
      </c>
    </row>
    <row r="304" spans="1:10" x14ac:dyDescent="0.2">
      <c r="A304">
        <v>2016</v>
      </c>
      <c r="B304" s="3" t="str">
        <f t="shared" si="20"/>
        <v>5316</v>
      </c>
      <c r="C304" s="3" t="s">
        <v>310</v>
      </c>
      <c r="D304" s="13">
        <v>278661</v>
      </c>
      <c r="E304" s="13">
        <v>596260</v>
      </c>
      <c r="F304" s="13">
        <f>SUM(D304:E304)</f>
        <v>874921</v>
      </c>
      <c r="G304">
        <f t="shared" si="21"/>
        <v>8.8415450935478953E-4</v>
      </c>
      <c r="H304">
        <f t="shared" si="22"/>
        <v>139703.79782067338</v>
      </c>
      <c r="I304" s="2">
        <f t="shared" si="23"/>
        <v>735963.79782067332</v>
      </c>
      <c r="J304" s="2">
        <f t="shared" si="24"/>
        <v>1014624.7978206733</v>
      </c>
    </row>
    <row r="305" spans="1:10" x14ac:dyDescent="0.2">
      <c r="A305">
        <v>2016</v>
      </c>
      <c r="B305" s="3" t="str">
        <f t="shared" si="20"/>
        <v>5317</v>
      </c>
      <c r="C305" s="3" t="s">
        <v>311</v>
      </c>
      <c r="D305" s="13">
        <v>349954</v>
      </c>
      <c r="E305" s="13">
        <v>748810</v>
      </c>
      <c r="F305" s="13">
        <f>SUM(D305:E305)</f>
        <v>1098764</v>
      </c>
      <c r="G305">
        <f t="shared" si="21"/>
        <v>1.110359844279319E-3</v>
      </c>
      <c r="H305">
        <f t="shared" si="22"/>
        <v>175446.13023191167</v>
      </c>
      <c r="I305" s="2">
        <f t="shared" si="23"/>
        <v>924256.13023191167</v>
      </c>
      <c r="J305" s="2">
        <f t="shared" si="24"/>
        <v>1274210.1302319118</v>
      </c>
    </row>
    <row r="306" spans="1:10" x14ac:dyDescent="0.2">
      <c r="A306">
        <v>2016</v>
      </c>
      <c r="B306" s="3" t="str">
        <f t="shared" si="20"/>
        <v>5318</v>
      </c>
      <c r="C306" s="3" t="s">
        <v>312</v>
      </c>
      <c r="D306" s="13">
        <v>445996</v>
      </c>
      <c r="E306" s="13">
        <v>954320</v>
      </c>
      <c r="F306" s="13">
        <f>SUM(D306:E306)</f>
        <v>1400316</v>
      </c>
      <c r="G306">
        <f t="shared" si="21"/>
        <v>1.4150942838515267E-3</v>
      </c>
      <c r="H306">
        <f t="shared" si="22"/>
        <v>223596.71713109422</v>
      </c>
      <c r="I306" s="2">
        <f t="shared" si="23"/>
        <v>1177916.7171310943</v>
      </c>
      <c r="J306" s="2">
        <f t="shared" si="24"/>
        <v>1623912.7171310943</v>
      </c>
    </row>
    <row r="307" spans="1:10" x14ac:dyDescent="0.2">
      <c r="A307">
        <v>2016</v>
      </c>
      <c r="B307" s="3" t="str">
        <f t="shared" si="20"/>
        <v>5319</v>
      </c>
      <c r="C307" s="3" t="s">
        <v>313</v>
      </c>
      <c r="D307" s="13">
        <v>557739</v>
      </c>
      <c r="E307" s="13">
        <v>1193420</v>
      </c>
      <c r="F307" s="13">
        <f>SUM(D307:E307)</f>
        <v>1751159</v>
      </c>
      <c r="G307">
        <f t="shared" si="21"/>
        <v>1.7696399177151126E-3</v>
      </c>
      <c r="H307">
        <f t="shared" si="22"/>
        <v>279617.88880122046</v>
      </c>
      <c r="I307" s="2">
        <f t="shared" si="23"/>
        <v>1473037.8888012203</v>
      </c>
      <c r="J307" s="2">
        <f t="shared" si="24"/>
        <v>2030776.8888012203</v>
      </c>
    </row>
    <row r="308" spans="1:10" x14ac:dyDescent="0.2">
      <c r="A308">
        <v>2016</v>
      </c>
      <c r="B308" s="3" t="str">
        <f t="shared" si="20"/>
        <v>5320</v>
      </c>
      <c r="C308" s="3" t="s">
        <v>314</v>
      </c>
      <c r="D308" s="13">
        <v>176718</v>
      </c>
      <c r="E308" s="13">
        <v>378130</v>
      </c>
      <c r="F308" s="13">
        <f>SUM(D308:E308)</f>
        <v>554848</v>
      </c>
      <c r="G308">
        <f t="shared" si="21"/>
        <v>5.6070360776171364E-4</v>
      </c>
      <c r="H308">
        <f t="shared" si="22"/>
        <v>88595.853583586388</v>
      </c>
      <c r="I308" s="2">
        <f t="shared" si="23"/>
        <v>466725.8535835864</v>
      </c>
      <c r="J308" s="2">
        <f t="shared" si="24"/>
        <v>643443.8535835864</v>
      </c>
    </row>
    <row r="309" spans="1:10" x14ac:dyDescent="0.2">
      <c r="A309">
        <v>2016</v>
      </c>
      <c r="B309" s="3" t="str">
        <f t="shared" si="20"/>
        <v>5321</v>
      </c>
      <c r="C309" s="3" t="s">
        <v>315</v>
      </c>
      <c r="D309" s="13">
        <v>292980</v>
      </c>
      <c r="E309" s="13">
        <v>626900</v>
      </c>
      <c r="F309" s="13">
        <f>SUM(D309:E309)</f>
        <v>919880</v>
      </c>
      <c r="G309">
        <f t="shared" si="21"/>
        <v>9.2958798573275058E-4</v>
      </c>
      <c r="H309">
        <f t="shared" si="22"/>
        <v>146882.66659421942</v>
      </c>
      <c r="I309" s="2">
        <f t="shared" si="23"/>
        <v>773782.66659421939</v>
      </c>
      <c r="J309" s="2">
        <f t="shared" si="24"/>
        <v>1066762.6665942194</v>
      </c>
    </row>
    <row r="310" spans="1:10" x14ac:dyDescent="0.2">
      <c r="A310">
        <v>2016</v>
      </c>
      <c r="B310" s="3" t="str">
        <f t="shared" si="20"/>
        <v>5322</v>
      </c>
      <c r="C310" s="3" t="s">
        <v>316</v>
      </c>
      <c r="D310" s="13">
        <v>322193</v>
      </c>
      <c r="E310" s="13">
        <v>689410</v>
      </c>
      <c r="F310" s="13">
        <f>SUM(D310:E310)</f>
        <v>1011603</v>
      </c>
      <c r="G310">
        <f t="shared" si="21"/>
        <v>1.022278987619263E-3</v>
      </c>
      <c r="H310">
        <f t="shared" si="22"/>
        <v>161528.61914022715</v>
      </c>
      <c r="I310" s="2">
        <f t="shared" si="23"/>
        <v>850938.61914022709</v>
      </c>
      <c r="J310" s="2">
        <f t="shared" si="24"/>
        <v>1173131.6191402271</v>
      </c>
    </row>
    <row r="311" spans="1:10" x14ac:dyDescent="0.2">
      <c r="A311">
        <v>2016</v>
      </c>
      <c r="B311" s="3" t="str">
        <f t="shared" si="20"/>
        <v>5324</v>
      </c>
      <c r="C311" s="3" t="s">
        <v>317</v>
      </c>
      <c r="D311" s="13">
        <v>15563333</v>
      </c>
      <c r="E311" s="13">
        <v>33301610</v>
      </c>
      <c r="F311" s="13">
        <f>SUM(D311:E311)</f>
        <v>48864943</v>
      </c>
      <c r="G311">
        <f t="shared" si="21"/>
        <v>4.9380640883936677E-2</v>
      </c>
      <c r="H311">
        <f t="shared" si="22"/>
        <v>7802553.7361552985</v>
      </c>
      <c r="I311" s="2">
        <f t="shared" si="23"/>
        <v>41104163.736155301</v>
      </c>
      <c r="J311" s="2">
        <f t="shared" si="24"/>
        <v>56667496.736155301</v>
      </c>
    </row>
    <row r="312" spans="1:10" x14ac:dyDescent="0.2">
      <c r="A312">
        <v>2016</v>
      </c>
      <c r="B312" s="3" t="str">
        <f t="shared" si="20"/>
        <v>5329</v>
      </c>
      <c r="C312" s="3" t="s">
        <v>318</v>
      </c>
      <c r="D312" s="13">
        <v>119223</v>
      </c>
      <c r="E312" s="13">
        <v>255110</v>
      </c>
      <c r="F312" s="13">
        <f>SUM(D312:E312)</f>
        <v>374333</v>
      </c>
      <c r="G312">
        <f t="shared" si="21"/>
        <v>3.7828353639963661E-4</v>
      </c>
      <c r="H312">
        <f t="shared" si="22"/>
        <v>59771.958553522127</v>
      </c>
      <c r="I312" s="2">
        <f t="shared" si="23"/>
        <v>314881.95855352213</v>
      </c>
      <c r="J312" s="2">
        <f t="shared" si="24"/>
        <v>434104.95855352213</v>
      </c>
    </row>
    <row r="313" spans="1:10" x14ac:dyDescent="0.2">
      <c r="A313">
        <v>2016</v>
      </c>
      <c r="B313" s="3" t="str">
        <f t="shared" si="20"/>
        <v>5330</v>
      </c>
      <c r="C313" s="3" t="s">
        <v>319</v>
      </c>
      <c r="D313" s="13">
        <v>779184</v>
      </c>
      <c r="E313" s="13">
        <v>1667260</v>
      </c>
      <c r="F313" s="13">
        <f>SUM(D313:E313)</f>
        <v>2446444</v>
      </c>
      <c r="G313">
        <f t="shared" si="21"/>
        <v>2.4722626322650487E-3</v>
      </c>
      <c r="H313">
        <f t="shared" si="22"/>
        <v>390638.14670764504</v>
      </c>
      <c r="I313" s="2">
        <f t="shared" si="23"/>
        <v>2057898.1467076452</v>
      </c>
      <c r="J313" s="2">
        <f t="shared" si="24"/>
        <v>2837082.1467076452</v>
      </c>
    </row>
    <row r="314" spans="1:10" x14ac:dyDescent="0.2">
      <c r="A314">
        <v>2016</v>
      </c>
      <c r="B314" s="3" t="str">
        <f t="shared" si="20"/>
        <v>5331</v>
      </c>
      <c r="C314" s="3" t="s">
        <v>320</v>
      </c>
      <c r="D314" s="13">
        <v>799962</v>
      </c>
      <c r="E314" s="13">
        <v>1711720</v>
      </c>
      <c r="F314" s="13">
        <f>SUM(D314:E314)</f>
        <v>2511682</v>
      </c>
      <c r="G314">
        <f t="shared" si="21"/>
        <v>2.5381891237783259E-3</v>
      </c>
      <c r="H314">
        <f t="shared" si="22"/>
        <v>401055.08305072639</v>
      </c>
      <c r="I314" s="2">
        <f t="shared" si="23"/>
        <v>2112775.0830507264</v>
      </c>
      <c r="J314" s="2">
        <f t="shared" si="24"/>
        <v>2912737.0830507264</v>
      </c>
    </row>
    <row r="315" spans="1:10" x14ac:dyDescent="0.2">
      <c r="A315">
        <v>2016</v>
      </c>
      <c r="B315" s="3" t="str">
        <f t="shared" si="20"/>
        <v>5332</v>
      </c>
      <c r="C315" s="3" t="s">
        <v>321</v>
      </c>
      <c r="D315" s="13">
        <v>898048</v>
      </c>
      <c r="E315" s="13">
        <v>1921600</v>
      </c>
      <c r="F315" s="13">
        <f>SUM(D315:E315)</f>
        <v>2819648</v>
      </c>
      <c r="G315">
        <f t="shared" si="21"/>
        <v>2.8494052537237232E-3</v>
      </c>
      <c r="H315">
        <f t="shared" si="22"/>
        <v>450229.83117043262</v>
      </c>
      <c r="I315" s="2">
        <f t="shared" si="23"/>
        <v>2371829.8311704327</v>
      </c>
      <c r="J315" s="2">
        <f t="shared" si="24"/>
        <v>3269877.8311704327</v>
      </c>
    </row>
    <row r="316" spans="1:10" x14ac:dyDescent="0.2">
      <c r="A316">
        <v>2016</v>
      </c>
      <c r="B316" s="3" t="str">
        <f t="shared" si="20"/>
        <v>5333</v>
      </c>
      <c r="C316" s="3" t="s">
        <v>322</v>
      </c>
      <c r="D316" s="13">
        <v>305588</v>
      </c>
      <c r="E316" s="13">
        <v>653880</v>
      </c>
      <c r="F316" s="13">
        <f>SUM(D316:E316)</f>
        <v>959468</v>
      </c>
      <c r="G316">
        <f t="shared" si="21"/>
        <v>9.6959377907447782E-4</v>
      </c>
      <c r="H316">
        <f t="shared" si="22"/>
        <v>153203.9161106041</v>
      </c>
      <c r="I316" s="2">
        <f t="shared" si="23"/>
        <v>807083.91611060407</v>
      </c>
      <c r="J316" s="2">
        <f t="shared" si="24"/>
        <v>1112671.9161106041</v>
      </c>
    </row>
    <row r="317" spans="1:10" x14ac:dyDescent="0.2">
      <c r="A317">
        <v>2016</v>
      </c>
      <c r="B317" s="3" t="str">
        <f t="shared" si="20"/>
        <v>5337</v>
      </c>
      <c r="C317" s="3" t="s">
        <v>323</v>
      </c>
      <c r="D317" s="13">
        <v>1216904</v>
      </c>
      <c r="E317" s="13">
        <v>2603870</v>
      </c>
      <c r="F317" s="13">
        <f>SUM(D317:E317)</f>
        <v>3820774</v>
      </c>
      <c r="G317">
        <f t="shared" si="21"/>
        <v>3.8610966719572815E-3</v>
      </c>
      <c r="H317">
        <f t="shared" si="22"/>
        <v>610085.5259097513</v>
      </c>
      <c r="I317" s="2">
        <f t="shared" si="23"/>
        <v>3213955.5259097512</v>
      </c>
      <c r="J317" s="2">
        <f t="shared" si="24"/>
        <v>4430859.5259097517</v>
      </c>
    </row>
    <row r="318" spans="1:10" x14ac:dyDescent="0.2">
      <c r="A318">
        <v>2016</v>
      </c>
      <c r="B318" s="3" t="str">
        <f t="shared" si="20"/>
        <v>5366</v>
      </c>
      <c r="C318" s="3" t="s">
        <v>324</v>
      </c>
      <c r="D318" s="13">
        <v>615581</v>
      </c>
      <c r="E318" s="13">
        <v>1317190</v>
      </c>
      <c r="F318" s="13">
        <f>SUM(D318:E318)</f>
        <v>1932771</v>
      </c>
      <c r="G318">
        <f t="shared" si="21"/>
        <v>1.9531685663050332E-3</v>
      </c>
      <c r="H318">
        <f t="shared" si="22"/>
        <v>308616.94829322957</v>
      </c>
      <c r="I318" s="2">
        <f t="shared" si="23"/>
        <v>1625806.9482932296</v>
      </c>
      <c r="J318" s="2">
        <f t="shared" si="24"/>
        <v>2241387.9482932296</v>
      </c>
    </row>
    <row r="319" spans="1:10" x14ac:dyDescent="0.2">
      <c r="A319">
        <v>2016</v>
      </c>
      <c r="B319" s="3" t="str">
        <f t="shared" si="20"/>
        <v>5367</v>
      </c>
      <c r="C319" s="3" t="s">
        <v>325</v>
      </c>
      <c r="D319" s="13">
        <v>255798</v>
      </c>
      <c r="E319" s="13">
        <v>547340</v>
      </c>
      <c r="F319" s="13">
        <f>SUM(D319:E319)</f>
        <v>803138</v>
      </c>
      <c r="G319">
        <f t="shared" si="21"/>
        <v>8.1161394495524392E-4</v>
      </c>
      <c r="H319">
        <f t="shared" si="22"/>
        <v>128241.78271421076</v>
      </c>
      <c r="I319" s="2">
        <f t="shared" si="23"/>
        <v>675581.7827142108</v>
      </c>
      <c r="J319" s="2">
        <f t="shared" si="24"/>
        <v>931379.7827142108</v>
      </c>
    </row>
    <row r="320" spans="1:10" x14ac:dyDescent="0.2">
      <c r="A320">
        <v>2016</v>
      </c>
      <c r="B320" s="3" t="str">
        <f t="shared" si="20"/>
        <v>5368</v>
      </c>
      <c r="C320" s="3" t="s">
        <v>326</v>
      </c>
      <c r="D320" s="13">
        <v>338950</v>
      </c>
      <c r="E320" s="13">
        <v>725270</v>
      </c>
      <c r="F320" s="13">
        <f>SUM(D320:E320)</f>
        <v>1064220</v>
      </c>
      <c r="G320">
        <f t="shared" si="21"/>
        <v>1.0754512829678955E-3</v>
      </c>
      <c r="H320">
        <f t="shared" si="22"/>
        <v>169930.28595349411</v>
      </c>
      <c r="I320" s="2">
        <f t="shared" si="23"/>
        <v>895200.28595349414</v>
      </c>
      <c r="J320" s="2">
        <f t="shared" si="24"/>
        <v>1234150.285953494</v>
      </c>
    </row>
    <row r="321" spans="1:10" x14ac:dyDescent="0.2">
      <c r="A321">
        <v>2016</v>
      </c>
      <c r="B321" s="3" t="str">
        <f t="shared" si="20"/>
        <v>5405</v>
      </c>
      <c r="C321" s="3" t="s">
        <v>327</v>
      </c>
      <c r="D321" s="13">
        <v>120066</v>
      </c>
      <c r="E321" s="13">
        <v>256910</v>
      </c>
      <c r="F321" s="13">
        <f>SUM(D321:E321)</f>
        <v>376976</v>
      </c>
      <c r="G321">
        <f t="shared" si="21"/>
        <v>3.8095442939251788E-4</v>
      </c>
      <c r="H321">
        <f t="shared" si="22"/>
        <v>60193.981956366537</v>
      </c>
      <c r="I321" s="2">
        <f t="shared" si="23"/>
        <v>317103.98195636657</v>
      </c>
      <c r="J321" s="2">
        <f t="shared" si="24"/>
        <v>437169.98195636657</v>
      </c>
    </row>
    <row r="322" spans="1:10" x14ac:dyDescent="0.2">
      <c r="A322">
        <v>2016</v>
      </c>
      <c r="B322" s="3" t="str">
        <f t="shared" si="20"/>
        <v>5409</v>
      </c>
      <c r="C322" s="3" t="s">
        <v>328</v>
      </c>
      <c r="D322" s="13">
        <v>161478</v>
      </c>
      <c r="E322" s="13">
        <v>345520</v>
      </c>
      <c r="F322" s="13">
        <f>SUM(D322:E322)</f>
        <v>506998</v>
      </c>
      <c r="G322">
        <f t="shared" si="21"/>
        <v>5.1234862111420297E-4</v>
      </c>
      <c r="H322">
        <f t="shared" si="22"/>
        <v>80955.361784076231</v>
      </c>
      <c r="I322" s="2">
        <f t="shared" si="23"/>
        <v>426475.3617840762</v>
      </c>
      <c r="J322" s="2">
        <f t="shared" si="24"/>
        <v>587953.3617840762</v>
      </c>
    </row>
    <row r="323" spans="1:10" x14ac:dyDescent="0.2">
      <c r="A323">
        <v>2016</v>
      </c>
      <c r="B323" s="3" t="str">
        <f t="shared" ref="B323:B338" si="25">LEFT(C323,4)</f>
        <v>5410</v>
      </c>
      <c r="C323" s="3" t="s">
        <v>329</v>
      </c>
      <c r="D323" s="13">
        <v>106184</v>
      </c>
      <c r="E323" s="13">
        <v>227210</v>
      </c>
      <c r="F323" s="13">
        <f>SUM(D323:E323)</f>
        <v>333394</v>
      </c>
      <c r="G323">
        <f t="shared" ref="G323:G338" si="26">F323/$F$340</f>
        <v>3.3691248523218747E-4</v>
      </c>
      <c r="H323">
        <f t="shared" ref="H323:H338" si="27">G323*$D$344</f>
        <v>53234.986896674767</v>
      </c>
      <c r="I323" s="2">
        <f t="shared" ref="I323:I338" si="28">SUM(H323,E323)</f>
        <v>280444.98689667479</v>
      </c>
      <c r="J323" s="2">
        <f t="shared" ref="J323:J338" si="29">SUM(D323,E323,H323)</f>
        <v>386628.98689667479</v>
      </c>
    </row>
    <row r="324" spans="1:10" x14ac:dyDescent="0.2">
      <c r="A324">
        <v>2016</v>
      </c>
      <c r="B324" s="3" t="str">
        <f t="shared" si="25"/>
        <v>5430</v>
      </c>
      <c r="C324" s="3" t="s">
        <v>330</v>
      </c>
      <c r="D324" s="13">
        <v>15704339</v>
      </c>
      <c r="E324" s="13">
        <v>33603330</v>
      </c>
      <c r="F324" s="13">
        <f>SUM(D324:E324)</f>
        <v>49307669</v>
      </c>
      <c r="G324">
        <f t="shared" si="26"/>
        <v>4.9828039208252364E-2</v>
      </c>
      <c r="H324">
        <f t="shared" si="27"/>
        <v>7873246.4085153798</v>
      </c>
      <c r="I324" s="2">
        <f t="shared" si="28"/>
        <v>41476576.408515379</v>
      </c>
      <c r="J324" s="2">
        <f t="shared" si="29"/>
        <v>57180915.408515379</v>
      </c>
    </row>
    <row r="325" spans="1:10" x14ac:dyDescent="0.2">
      <c r="A325">
        <v>2016</v>
      </c>
      <c r="B325" s="3" t="str">
        <f t="shared" si="25"/>
        <v>5436</v>
      </c>
      <c r="C325" s="3" t="s">
        <v>331</v>
      </c>
      <c r="D325" s="13">
        <v>416607</v>
      </c>
      <c r="E325" s="13">
        <v>891430</v>
      </c>
      <c r="F325" s="13">
        <f>SUM(D325:E325)</f>
        <v>1308037</v>
      </c>
      <c r="G325">
        <f t="shared" si="26"/>
        <v>1.3218414141995803E-3</v>
      </c>
      <c r="H325">
        <f t="shared" si="27"/>
        <v>208861.98478486648</v>
      </c>
      <c r="I325" s="2">
        <f t="shared" si="28"/>
        <v>1100291.9847848665</v>
      </c>
      <c r="J325" s="2">
        <f t="shared" si="29"/>
        <v>1516898.9847848665</v>
      </c>
    </row>
    <row r="326" spans="1:10" x14ac:dyDescent="0.2">
      <c r="A326">
        <v>2016</v>
      </c>
      <c r="B326" s="3" t="str">
        <f t="shared" si="25"/>
        <v>5590</v>
      </c>
      <c r="C326" s="3" t="s">
        <v>332</v>
      </c>
      <c r="D326" s="13">
        <v>96961</v>
      </c>
      <c r="E326" s="13">
        <v>207470</v>
      </c>
      <c r="F326" s="13">
        <f>SUM(D326:E326)</f>
        <v>304431</v>
      </c>
      <c r="G326">
        <f t="shared" si="26"/>
        <v>3.0764382319933793E-4</v>
      </c>
      <c r="H326">
        <f t="shared" si="27"/>
        <v>48610.293814350574</v>
      </c>
      <c r="I326" s="2">
        <f t="shared" si="28"/>
        <v>256080.29381435056</v>
      </c>
      <c r="J326" s="2">
        <f t="shared" si="29"/>
        <v>353041.29381435056</v>
      </c>
    </row>
    <row r="327" spans="1:10" x14ac:dyDescent="0.2">
      <c r="A327">
        <v>2016</v>
      </c>
      <c r="B327" s="3" t="str">
        <f t="shared" si="25"/>
        <v>5696</v>
      </c>
      <c r="C327" s="3" t="s">
        <v>333</v>
      </c>
      <c r="D327" s="13">
        <v>170897</v>
      </c>
      <c r="E327" s="13">
        <v>365680</v>
      </c>
      <c r="F327" s="13">
        <f>SUM(D327:E327)</f>
        <v>536577</v>
      </c>
      <c r="G327">
        <f t="shared" si="26"/>
        <v>5.4223978412458376E-4</v>
      </c>
      <c r="H327">
        <f t="shared" si="27"/>
        <v>85678.415220601033</v>
      </c>
      <c r="I327" s="2">
        <f t="shared" si="28"/>
        <v>451358.41522060102</v>
      </c>
      <c r="J327" s="2">
        <f t="shared" si="29"/>
        <v>622255.41522060102</v>
      </c>
    </row>
    <row r="328" spans="1:10" x14ac:dyDescent="0.2">
      <c r="A328">
        <v>2016</v>
      </c>
      <c r="B328" s="3" t="str">
        <f t="shared" si="25"/>
        <v>9291</v>
      </c>
      <c r="C328" s="3" t="s">
        <v>334</v>
      </c>
      <c r="D328" s="13">
        <v>237125</v>
      </c>
      <c r="E328" s="13">
        <v>507390</v>
      </c>
      <c r="F328" s="13">
        <f>SUM(D328:E328)</f>
        <v>744515</v>
      </c>
      <c r="G328">
        <f t="shared" si="26"/>
        <v>7.5237226507568239E-4</v>
      </c>
      <c r="H328">
        <f t="shared" si="27"/>
        <v>118881.102447488</v>
      </c>
      <c r="I328" s="2">
        <f t="shared" si="28"/>
        <v>626271.102447488</v>
      </c>
      <c r="J328" s="2">
        <f t="shared" si="29"/>
        <v>863396.102447488</v>
      </c>
    </row>
    <row r="329" spans="1:10" x14ac:dyDescent="0.2">
      <c r="A329">
        <v>2016</v>
      </c>
      <c r="B329" s="3" t="str">
        <f t="shared" si="25"/>
        <v>9302</v>
      </c>
      <c r="C329" s="3" t="s">
        <v>335</v>
      </c>
      <c r="D329" s="13">
        <v>128118</v>
      </c>
      <c r="E329" s="13">
        <v>274140</v>
      </c>
      <c r="F329" s="13">
        <f>SUM(D329:E329)</f>
        <v>402258</v>
      </c>
      <c r="G329">
        <f t="shared" si="26"/>
        <v>4.065032438632047E-4</v>
      </c>
      <c r="H329">
        <f t="shared" si="27"/>
        <v>64230.908051982333</v>
      </c>
      <c r="I329" s="2">
        <f t="shared" si="28"/>
        <v>338370.90805198235</v>
      </c>
      <c r="J329" s="2">
        <f t="shared" si="29"/>
        <v>466488.90805198235</v>
      </c>
    </row>
    <row r="330" spans="1:10" x14ac:dyDescent="0.2">
      <c r="A330">
        <v>2016</v>
      </c>
      <c r="B330" s="3" t="str">
        <f t="shared" si="25"/>
        <v>9332</v>
      </c>
      <c r="C330" s="3" t="s">
        <v>336</v>
      </c>
      <c r="D330" s="13">
        <v>229416</v>
      </c>
      <c r="E330" s="13">
        <v>490890</v>
      </c>
      <c r="F330" s="13">
        <f>SUM(D330:E330)</f>
        <v>720306</v>
      </c>
      <c r="G330">
        <f t="shared" si="26"/>
        <v>7.2790777454800036E-4</v>
      </c>
      <c r="H330">
        <f t="shared" si="27"/>
        <v>115015.50859222485</v>
      </c>
      <c r="I330" s="2">
        <f t="shared" si="28"/>
        <v>605905.50859222491</v>
      </c>
      <c r="J330" s="2">
        <f t="shared" si="29"/>
        <v>835321.50859222491</v>
      </c>
    </row>
    <row r="331" spans="1:10" x14ac:dyDescent="0.2">
      <c r="A331">
        <v>2016</v>
      </c>
      <c r="B331" s="3" t="str">
        <f t="shared" si="25"/>
        <v>9333</v>
      </c>
      <c r="C331" s="3" t="s">
        <v>337</v>
      </c>
      <c r="D331" s="13">
        <v>220961</v>
      </c>
      <c r="E331" s="13">
        <v>472800</v>
      </c>
      <c r="F331" s="13">
        <f>SUM(D331:E331)</f>
        <v>693761</v>
      </c>
      <c r="G331">
        <f t="shared" si="26"/>
        <v>7.0108263096266765E-4</v>
      </c>
      <c r="H331">
        <f t="shared" si="27"/>
        <v>110776.91183531792</v>
      </c>
      <c r="I331" s="2">
        <f t="shared" si="28"/>
        <v>583576.91183531797</v>
      </c>
      <c r="J331" s="2">
        <f t="shared" si="29"/>
        <v>804537.91183531797</v>
      </c>
    </row>
    <row r="332" spans="1:10" x14ac:dyDescent="0.2">
      <c r="A332">
        <v>2016</v>
      </c>
      <c r="B332" s="3" t="str">
        <f t="shared" si="25"/>
        <v>9335</v>
      </c>
      <c r="C332" s="3" t="s">
        <v>338</v>
      </c>
      <c r="D332" s="13">
        <v>292262</v>
      </c>
      <c r="E332" s="13">
        <v>625370</v>
      </c>
      <c r="F332" s="13">
        <f>SUM(D332:E332)</f>
        <v>917632</v>
      </c>
      <c r="G332">
        <f t="shared" si="26"/>
        <v>9.2731626138617569E-4</v>
      </c>
      <c r="H332">
        <f t="shared" si="27"/>
        <v>146523.71517174711</v>
      </c>
      <c r="I332" s="2">
        <f t="shared" si="28"/>
        <v>771893.71517174714</v>
      </c>
      <c r="J332" s="2">
        <f t="shared" si="29"/>
        <v>1064155.7151717471</v>
      </c>
    </row>
    <row r="333" spans="1:10" x14ac:dyDescent="0.2">
      <c r="A333">
        <v>2016</v>
      </c>
      <c r="B333" s="3" t="str">
        <f t="shared" si="25"/>
        <v>9389</v>
      </c>
      <c r="C333" s="3" t="s">
        <v>339</v>
      </c>
      <c r="D333" s="13">
        <v>179823</v>
      </c>
      <c r="E333" s="13">
        <v>384780</v>
      </c>
      <c r="F333" s="13">
        <f>SUM(D333:E333)</f>
        <v>564603</v>
      </c>
      <c r="G333">
        <f t="shared" si="26"/>
        <v>5.705615574951821E-4</v>
      </c>
      <c r="H333">
        <f t="shared" si="27"/>
        <v>90153.491984928536</v>
      </c>
      <c r="I333" s="2">
        <f t="shared" si="28"/>
        <v>474933.49198492855</v>
      </c>
      <c r="J333" s="2">
        <f t="shared" si="29"/>
        <v>654756.49198492849</v>
      </c>
    </row>
    <row r="334" spans="1:10" x14ac:dyDescent="0.2">
      <c r="A334">
        <v>2016</v>
      </c>
      <c r="B334" s="3" t="str">
        <f t="shared" si="25"/>
        <v>9410</v>
      </c>
      <c r="C334" s="3" t="s">
        <v>340</v>
      </c>
      <c r="D334" s="13">
        <v>255732</v>
      </c>
      <c r="E334" s="13">
        <v>547200</v>
      </c>
      <c r="F334" s="13">
        <f>SUM(D334:E334)</f>
        <v>802932</v>
      </c>
      <c r="G334">
        <f t="shared" si="26"/>
        <v>8.1140577092704363E-4</v>
      </c>
      <c r="H334">
        <f t="shared" si="27"/>
        <v>128208.88947887745</v>
      </c>
      <c r="I334" s="2">
        <f t="shared" si="28"/>
        <v>675408.88947887742</v>
      </c>
      <c r="J334" s="2">
        <f t="shared" si="29"/>
        <v>931140.88947887742</v>
      </c>
    </row>
    <row r="335" spans="1:10" x14ac:dyDescent="0.2">
      <c r="A335">
        <v>2016</v>
      </c>
      <c r="B335" s="3" t="str">
        <f t="shared" si="25"/>
        <v>9444</v>
      </c>
      <c r="C335" s="3" t="s">
        <v>341</v>
      </c>
      <c r="D335" s="13">
        <v>398755</v>
      </c>
      <c r="E335" s="13">
        <v>853240</v>
      </c>
      <c r="F335" s="13">
        <f>SUM(D335:E335)</f>
        <v>1251995</v>
      </c>
      <c r="G335">
        <f t="shared" si="26"/>
        <v>1.2652079729937329E-3</v>
      </c>
      <c r="H335">
        <f t="shared" si="27"/>
        <v>199913.42801520822</v>
      </c>
      <c r="I335" s="2">
        <f t="shared" si="28"/>
        <v>1053153.4280152083</v>
      </c>
      <c r="J335" s="2">
        <f t="shared" si="29"/>
        <v>1451908.4280152083</v>
      </c>
    </row>
    <row r="336" spans="1:10" x14ac:dyDescent="0.2">
      <c r="A336">
        <v>2016</v>
      </c>
      <c r="B336" s="3" t="str">
        <f t="shared" si="25"/>
        <v>9445</v>
      </c>
      <c r="C336" s="3" t="s">
        <v>342</v>
      </c>
      <c r="D336" s="13">
        <v>438036</v>
      </c>
      <c r="E336" s="13">
        <v>937290</v>
      </c>
      <c r="F336" s="13">
        <f>SUM(D336:E336)</f>
        <v>1375326</v>
      </c>
      <c r="G336">
        <f t="shared" si="26"/>
        <v>1.3898405510130462E-3</v>
      </c>
      <c r="H336">
        <f t="shared" si="27"/>
        <v>219606.41639818391</v>
      </c>
      <c r="I336" s="2">
        <f t="shared" si="28"/>
        <v>1156896.4163981839</v>
      </c>
      <c r="J336" s="2">
        <f t="shared" si="29"/>
        <v>1594932.4163981839</v>
      </c>
    </row>
    <row r="337" spans="1:10" x14ac:dyDescent="0.2">
      <c r="A337">
        <v>2016</v>
      </c>
      <c r="B337" s="3" t="str">
        <f t="shared" si="25"/>
        <v>9446</v>
      </c>
      <c r="C337" s="3" t="s">
        <v>343</v>
      </c>
      <c r="D337" s="13">
        <v>670520</v>
      </c>
      <c r="E337" s="13">
        <v>1434740</v>
      </c>
      <c r="F337" s="13">
        <f>SUM(D337:E337)</f>
        <v>2105260</v>
      </c>
      <c r="G337">
        <f t="shared" si="26"/>
        <v>2.1274779349955758E-3</v>
      </c>
      <c r="H337">
        <f t="shared" si="27"/>
        <v>336159.28455249197</v>
      </c>
      <c r="I337" s="2">
        <f t="shared" si="28"/>
        <v>1770899.284552492</v>
      </c>
      <c r="J337" s="2">
        <f t="shared" si="29"/>
        <v>2441419.2845524922</v>
      </c>
    </row>
    <row r="338" spans="1:10" x14ac:dyDescent="0.2">
      <c r="A338">
        <v>2016</v>
      </c>
      <c r="B338" s="3" t="str">
        <f t="shared" si="25"/>
        <v>9461</v>
      </c>
      <c r="C338" s="3" t="s">
        <v>344</v>
      </c>
      <c r="D338" s="13">
        <v>464679</v>
      </c>
      <c r="E338" s="13">
        <v>994350</v>
      </c>
      <c r="F338" s="13">
        <f>SUM(D338:E338)</f>
        <v>1459029</v>
      </c>
      <c r="G338">
        <f t="shared" si="26"/>
        <v>1.4744269135492339E-3</v>
      </c>
      <c r="H338">
        <f t="shared" si="27"/>
        <v>232971.76822878784</v>
      </c>
      <c r="I338" s="2">
        <f t="shared" si="28"/>
        <v>1227321.7682287879</v>
      </c>
      <c r="J338" s="2">
        <f t="shared" si="29"/>
        <v>1692000.7682287879</v>
      </c>
    </row>
    <row r="340" spans="1:10" x14ac:dyDescent="0.2">
      <c r="C340" s="13" t="s">
        <v>346</v>
      </c>
      <c r="D340" s="2">
        <f>SUM(D2:D338)</f>
        <v>315170739</v>
      </c>
      <c r="E340" s="2">
        <f t="shared" ref="E340:F340" si="30">SUM(E2:E338)</f>
        <v>674385940</v>
      </c>
      <c r="F340" s="2">
        <f t="shared" si="30"/>
        <v>989556679</v>
      </c>
      <c r="J340" s="2">
        <f>SUM(J2:J338)</f>
        <v>1147565032.0000005</v>
      </c>
    </row>
    <row r="341" spans="1:10" x14ac:dyDescent="0.2">
      <c r="C341" s="13" t="s">
        <v>369</v>
      </c>
      <c r="D341" s="2">
        <v>158008353</v>
      </c>
      <c r="J341" s="2">
        <f>SUM(F343,D344)</f>
        <v>1147565032</v>
      </c>
    </row>
    <row r="342" spans="1:10" x14ac:dyDescent="0.2">
      <c r="C342" s="3"/>
    </row>
    <row r="343" spans="1:10" x14ac:dyDescent="0.2">
      <c r="C343" s="3" t="s">
        <v>348</v>
      </c>
      <c r="D343" s="2">
        <v>315170739</v>
      </c>
      <c r="E343" s="2">
        <v>674385940</v>
      </c>
      <c r="F343" s="2">
        <f>SUM(D343:E343)</f>
        <v>989556679</v>
      </c>
      <c r="H343" s="21" t="s">
        <v>349</v>
      </c>
      <c r="I343" s="21"/>
      <c r="J343" s="16">
        <f>J341-J340</f>
        <v>0</v>
      </c>
    </row>
    <row r="344" spans="1:10" x14ac:dyDescent="0.2">
      <c r="C344" s="13" t="s">
        <v>369</v>
      </c>
      <c r="D344" s="2">
        <v>158008353</v>
      </c>
    </row>
    <row r="345" spans="1:10" x14ac:dyDescent="0.2">
      <c r="C345" s="3"/>
    </row>
    <row r="346" spans="1:10" x14ac:dyDescent="0.2">
      <c r="C346" s="15" t="s">
        <v>349</v>
      </c>
      <c r="D346" s="16">
        <f>D340-D343</f>
        <v>0</v>
      </c>
      <c r="E346" s="16">
        <f t="shared" ref="E346:F346" si="31">E340-E343</f>
        <v>0</v>
      </c>
      <c r="F346" s="16">
        <f t="shared" si="31"/>
        <v>0</v>
      </c>
    </row>
    <row r="347" spans="1:10" x14ac:dyDescent="0.2">
      <c r="D347" s="16">
        <f>D341-D344</f>
        <v>0</v>
      </c>
      <c r="E347" s="16"/>
      <c r="F347" s="16"/>
    </row>
    <row r="351" spans="1:10" x14ac:dyDescent="0.2">
      <c r="D351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62C8-663F-CE4C-9845-917DF2E2F826}">
  <sheetPr>
    <tabColor rgb="FFFFFF00"/>
  </sheetPr>
  <dimension ref="A1:G297"/>
  <sheetViews>
    <sheetView topLeftCell="A265" workbookViewId="0">
      <selection activeCell="G288" sqref="F2:G288"/>
    </sheetView>
  </sheetViews>
  <sheetFormatPr baseColWidth="10" defaultRowHeight="16" x14ac:dyDescent="0.2"/>
  <cols>
    <col min="2" max="2" width="11.83203125" bestFit="1" customWidth="1"/>
    <col min="3" max="3" width="36.5" bestFit="1" customWidth="1"/>
    <col min="4" max="4" width="18.83203125" bestFit="1" customWidth="1"/>
    <col min="5" max="5" width="18.83203125" customWidth="1"/>
    <col min="6" max="6" width="17.1640625" bestFit="1" customWidth="1"/>
    <col min="7" max="7" width="16.83203125" bestFit="1" customWidth="1"/>
  </cols>
  <sheetData>
    <row r="1" spans="1:7" x14ac:dyDescent="0.2">
      <c r="A1" t="s">
        <v>1</v>
      </c>
      <c r="B1" s="3" t="s">
        <v>5</v>
      </c>
      <c r="C1" s="3" t="s">
        <v>4</v>
      </c>
      <c r="D1" s="3" t="s">
        <v>350</v>
      </c>
      <c r="E1" s="3" t="s">
        <v>370</v>
      </c>
      <c r="F1" s="3" t="s">
        <v>368</v>
      </c>
      <c r="G1" s="3" t="s">
        <v>351</v>
      </c>
    </row>
    <row r="2" spans="1:7" x14ac:dyDescent="0.2">
      <c r="A2">
        <v>2015</v>
      </c>
      <c r="B2" s="3" t="str">
        <f>LEFT(C2,4)</f>
        <v>4828</v>
      </c>
      <c r="C2" s="3" t="s">
        <v>59</v>
      </c>
      <c r="D2" s="19">
        <v>2378336</v>
      </c>
      <c r="E2" s="20">
        <f>D2/$D$290</f>
        <v>8.1725409467810154E-3</v>
      </c>
      <c r="F2" s="19">
        <f>E2*$D$291</f>
        <v>383088.19195453892</v>
      </c>
      <c r="G2" s="5">
        <f>SUM(F2,D2)</f>
        <v>2761424.1919545392</v>
      </c>
    </row>
    <row r="3" spans="1:7" x14ac:dyDescent="0.2">
      <c r="A3">
        <v>2015</v>
      </c>
      <c r="B3" s="3" t="str">
        <f t="shared" ref="B3:B66" si="0">LEFT(C3,4)</f>
        <v>4829</v>
      </c>
      <c r="C3" s="3" t="s">
        <v>60</v>
      </c>
      <c r="D3" s="19">
        <v>772397</v>
      </c>
      <c r="E3" s="20">
        <f t="shared" ref="E3:E66" si="1">D3/$D$290</f>
        <v>2.6541439517674607E-3</v>
      </c>
      <c r="F3" s="19">
        <f t="shared" ref="F3:F66" si="2">E3*$D$291</f>
        <v>124413.10655900174</v>
      </c>
      <c r="G3" s="5">
        <f t="shared" ref="G3:G66" si="3">SUM(F3,D3)</f>
        <v>896810.10655900172</v>
      </c>
    </row>
    <row r="4" spans="1:7" x14ac:dyDescent="0.2">
      <c r="A4">
        <v>2015</v>
      </c>
      <c r="B4" s="3" t="str">
        <f t="shared" si="0"/>
        <v>4871</v>
      </c>
      <c r="C4" s="3" t="s">
        <v>61</v>
      </c>
      <c r="D4" s="19">
        <v>324409</v>
      </c>
      <c r="E4" s="20">
        <f t="shared" si="1"/>
        <v>1.114748225652003E-3</v>
      </c>
      <c r="F4" s="19">
        <f t="shared" si="2"/>
        <v>52253.868782114892</v>
      </c>
      <c r="G4" s="5">
        <f t="shared" si="3"/>
        <v>376662.86878211488</v>
      </c>
    </row>
    <row r="5" spans="1:7" x14ac:dyDescent="0.2">
      <c r="A5">
        <v>2015</v>
      </c>
      <c r="B5" s="3" t="str">
        <f t="shared" si="0"/>
        <v>4882</v>
      </c>
      <c r="C5" s="3" t="s">
        <v>62</v>
      </c>
      <c r="D5" s="19">
        <v>1504400</v>
      </c>
      <c r="E5" s="20">
        <f t="shared" si="1"/>
        <v>5.1694842950438281E-3</v>
      </c>
      <c r="F5" s="19">
        <f t="shared" si="2"/>
        <v>242319.78827903554</v>
      </c>
      <c r="G5" s="5">
        <f t="shared" si="3"/>
        <v>1746719.7882790356</v>
      </c>
    </row>
    <row r="6" spans="1:7" x14ac:dyDescent="0.2">
      <c r="A6">
        <v>2015</v>
      </c>
      <c r="B6" s="3" t="str">
        <f t="shared" si="0"/>
        <v>4912</v>
      </c>
      <c r="C6" s="3" t="s">
        <v>63</v>
      </c>
      <c r="D6" s="19">
        <v>273028</v>
      </c>
      <c r="E6" s="20">
        <f t="shared" si="1"/>
        <v>9.3819061294019305E-4</v>
      </c>
      <c r="F6" s="19">
        <f t="shared" si="2"/>
        <v>43977.723447386677</v>
      </c>
      <c r="G6" s="5">
        <f t="shared" si="3"/>
        <v>317005.7234473867</v>
      </c>
    </row>
    <row r="7" spans="1:7" x14ac:dyDescent="0.2">
      <c r="A7">
        <v>2015</v>
      </c>
      <c r="B7" s="3" t="str">
        <f t="shared" si="0"/>
        <v>4977</v>
      </c>
      <c r="C7" s="3" t="s">
        <v>64</v>
      </c>
      <c r="D7" s="19">
        <v>172942</v>
      </c>
      <c r="E7" s="20">
        <f t="shared" si="1"/>
        <v>5.9427077436417829E-4</v>
      </c>
      <c r="F7" s="19">
        <f t="shared" si="2"/>
        <v>27856.466913422606</v>
      </c>
      <c r="G7" s="5">
        <f t="shared" si="3"/>
        <v>200798.4669134226</v>
      </c>
    </row>
    <row r="8" spans="1:7" x14ac:dyDescent="0.2">
      <c r="A8">
        <v>2015</v>
      </c>
      <c r="B8" s="3" t="str">
        <f t="shared" si="0"/>
        <v>4978</v>
      </c>
      <c r="C8" s="3" t="s">
        <v>65</v>
      </c>
      <c r="D8" s="19">
        <v>17911502</v>
      </c>
      <c r="E8" s="20">
        <f t="shared" si="1"/>
        <v>6.154827724650766E-2</v>
      </c>
      <c r="F8" s="19">
        <f t="shared" si="2"/>
        <v>2885078.0194094134</v>
      </c>
      <c r="G8" s="5">
        <f t="shared" si="3"/>
        <v>20796580.019409414</v>
      </c>
    </row>
    <row r="9" spans="1:7" x14ac:dyDescent="0.2">
      <c r="A9">
        <v>2015</v>
      </c>
      <c r="B9" s="3" t="str">
        <f t="shared" si="0"/>
        <v>4979</v>
      </c>
      <c r="C9" s="3" t="s">
        <v>66</v>
      </c>
      <c r="D9" s="19">
        <v>73865</v>
      </c>
      <c r="E9" s="20">
        <f t="shared" si="1"/>
        <v>2.5381810519370672E-4</v>
      </c>
      <c r="F9" s="19">
        <f t="shared" si="2"/>
        <v>11897.734087497316</v>
      </c>
      <c r="G9" s="5">
        <f t="shared" si="3"/>
        <v>85762.734087497316</v>
      </c>
    </row>
    <row r="10" spans="1:7" x14ac:dyDescent="0.2">
      <c r="A10">
        <v>2015</v>
      </c>
      <c r="B10" s="3" t="str">
        <f t="shared" si="0"/>
        <v>4980</v>
      </c>
      <c r="C10" s="3" t="s">
        <v>67</v>
      </c>
      <c r="D10" s="19">
        <v>1524185</v>
      </c>
      <c r="E10" s="20">
        <f t="shared" si="1"/>
        <v>5.2374703670841384E-3</v>
      </c>
      <c r="F10" s="19">
        <f t="shared" si="2"/>
        <v>245506.63819335404</v>
      </c>
      <c r="G10" s="5">
        <f t="shared" si="3"/>
        <v>1769691.638193354</v>
      </c>
    </row>
    <row r="11" spans="1:7" x14ac:dyDescent="0.2">
      <c r="A11">
        <v>2015</v>
      </c>
      <c r="B11" s="3" t="str">
        <f t="shared" si="0"/>
        <v>4981</v>
      </c>
      <c r="C11" s="3" t="s">
        <v>68</v>
      </c>
      <c r="D11" s="19">
        <v>3323093</v>
      </c>
      <c r="E11" s="20">
        <f t="shared" si="1"/>
        <v>1.1418955779360597E-2</v>
      </c>
      <c r="F11" s="19">
        <f t="shared" si="2"/>
        <v>535264.02033471491</v>
      </c>
      <c r="G11" s="5">
        <f t="shared" si="3"/>
        <v>3858357.020334715</v>
      </c>
    </row>
    <row r="12" spans="1:7" x14ac:dyDescent="0.2">
      <c r="A12">
        <v>2015</v>
      </c>
      <c r="B12" s="3" t="str">
        <f t="shared" si="0"/>
        <v>4982</v>
      </c>
      <c r="C12" s="3" t="s">
        <v>69</v>
      </c>
      <c r="D12" s="19">
        <v>31321265</v>
      </c>
      <c r="E12" s="20">
        <f t="shared" si="1"/>
        <v>0.10762748439138922</v>
      </c>
      <c r="F12" s="19">
        <f t="shared" si="2"/>
        <v>5045042.7435732298</v>
      </c>
      <c r="G12" s="5">
        <f t="shared" si="3"/>
        <v>36366307.743573233</v>
      </c>
    </row>
    <row r="13" spans="1:7" x14ac:dyDescent="0.2">
      <c r="A13">
        <v>2015</v>
      </c>
      <c r="B13" s="3" t="str">
        <f t="shared" si="0"/>
        <v>4983</v>
      </c>
      <c r="C13" s="3" t="s">
        <v>70</v>
      </c>
      <c r="D13" s="19">
        <v>3193477</v>
      </c>
      <c r="E13" s="20">
        <f t="shared" si="1"/>
        <v>1.0973563678598565E-2</v>
      </c>
      <c r="F13" s="19">
        <f t="shared" si="2"/>
        <v>514386.24735041853</v>
      </c>
      <c r="G13" s="5">
        <f t="shared" si="3"/>
        <v>3707863.2473504185</v>
      </c>
    </row>
    <row r="14" spans="1:7" x14ac:dyDescent="0.2">
      <c r="A14">
        <v>2015</v>
      </c>
      <c r="B14" s="3" t="str">
        <f t="shared" si="0"/>
        <v>4984</v>
      </c>
      <c r="C14" s="3" t="s">
        <v>71</v>
      </c>
      <c r="D14" s="19">
        <v>1247830</v>
      </c>
      <c r="E14" s="20">
        <f t="shared" si="1"/>
        <v>4.2878473729623372E-3</v>
      </c>
      <c r="F14" s="19">
        <f t="shared" si="2"/>
        <v>200993.02140935184</v>
      </c>
      <c r="G14" s="5">
        <f t="shared" si="3"/>
        <v>1448823.0214093518</v>
      </c>
    </row>
    <row r="15" spans="1:7" x14ac:dyDescent="0.2">
      <c r="A15">
        <v>2015</v>
      </c>
      <c r="B15" s="3" t="str">
        <f t="shared" si="0"/>
        <v>4985</v>
      </c>
      <c r="C15" s="3" t="s">
        <v>72</v>
      </c>
      <c r="D15" s="19">
        <v>2666809</v>
      </c>
      <c r="E15" s="20">
        <f t="shared" si="1"/>
        <v>9.1638043362015E-3</v>
      </c>
      <c r="F15" s="19">
        <f t="shared" si="2"/>
        <v>429553.70397542312</v>
      </c>
      <c r="G15" s="5">
        <f t="shared" si="3"/>
        <v>3096362.7039754232</v>
      </c>
    </row>
    <row r="16" spans="1:7" x14ac:dyDescent="0.2">
      <c r="A16">
        <v>2015</v>
      </c>
      <c r="B16" s="3" t="str">
        <f t="shared" si="0"/>
        <v>4986</v>
      </c>
      <c r="C16" s="3" t="s">
        <v>73</v>
      </c>
      <c r="D16" s="19">
        <v>3112879</v>
      </c>
      <c r="E16" s="20">
        <f t="shared" si="1"/>
        <v>1.0696609347827532E-2</v>
      </c>
      <c r="F16" s="19">
        <f t="shared" si="2"/>
        <v>501404.00174039882</v>
      </c>
      <c r="G16" s="5">
        <f t="shared" si="3"/>
        <v>3614283.0017403988</v>
      </c>
    </row>
    <row r="17" spans="1:7" x14ac:dyDescent="0.2">
      <c r="A17">
        <v>2015</v>
      </c>
      <c r="B17" s="3" t="str">
        <f t="shared" si="0"/>
        <v>4987</v>
      </c>
      <c r="C17" s="3" t="s">
        <v>74</v>
      </c>
      <c r="D17" s="19">
        <v>428601</v>
      </c>
      <c r="E17" s="20">
        <f t="shared" si="1"/>
        <v>1.4727772788753523E-3</v>
      </c>
      <c r="F17" s="19">
        <f t="shared" si="2"/>
        <v>69036.495331150567</v>
      </c>
      <c r="G17" s="5">
        <f t="shared" si="3"/>
        <v>497637.4953311506</v>
      </c>
    </row>
    <row r="18" spans="1:7" x14ac:dyDescent="0.2">
      <c r="A18">
        <v>2015</v>
      </c>
      <c r="B18" s="3" t="str">
        <f t="shared" si="0"/>
        <v>4988</v>
      </c>
      <c r="C18" s="3" t="s">
        <v>75</v>
      </c>
      <c r="D18" s="19">
        <v>1505056</v>
      </c>
      <c r="E18" s="20">
        <f t="shared" si="1"/>
        <v>5.171738470593914E-3</v>
      </c>
      <c r="F18" s="19">
        <f t="shared" si="2"/>
        <v>242425.452850367</v>
      </c>
      <c r="G18" s="5">
        <f t="shared" si="3"/>
        <v>1747481.4528503669</v>
      </c>
    </row>
    <row r="19" spans="1:7" x14ac:dyDescent="0.2">
      <c r="A19">
        <v>2015</v>
      </c>
      <c r="B19" s="3" t="str">
        <f t="shared" si="0"/>
        <v>4990</v>
      </c>
      <c r="C19" s="3" t="s">
        <v>76</v>
      </c>
      <c r="D19" s="19">
        <v>67172</v>
      </c>
      <c r="E19" s="20">
        <f t="shared" si="1"/>
        <v>2.3081932934504389E-4</v>
      </c>
      <c r="F19" s="19">
        <f t="shared" si="2"/>
        <v>10819.665526641435</v>
      </c>
      <c r="G19" s="5">
        <f t="shared" si="3"/>
        <v>77991.665526641431</v>
      </c>
    </row>
    <row r="20" spans="1:7" x14ac:dyDescent="0.2">
      <c r="A20">
        <v>2015</v>
      </c>
      <c r="B20" s="3" t="str">
        <f t="shared" si="0"/>
        <v>4991</v>
      </c>
      <c r="C20" s="3" t="s">
        <v>77</v>
      </c>
      <c r="D20" s="19">
        <v>656120</v>
      </c>
      <c r="E20" s="20">
        <f t="shared" si="1"/>
        <v>2.2545878992715745E-3</v>
      </c>
      <c r="F20" s="19">
        <f t="shared" si="2"/>
        <v>105683.90021645892</v>
      </c>
      <c r="G20" s="5">
        <f t="shared" si="3"/>
        <v>761803.90021645895</v>
      </c>
    </row>
    <row r="21" spans="1:7" x14ac:dyDescent="0.2">
      <c r="A21">
        <v>2015</v>
      </c>
      <c r="B21" s="3" t="str">
        <f t="shared" si="0"/>
        <v>4992</v>
      </c>
      <c r="C21" s="3" t="s">
        <v>78</v>
      </c>
      <c r="D21" s="19">
        <v>158666</v>
      </c>
      <c r="E21" s="20">
        <f t="shared" si="1"/>
        <v>5.4521496620408411E-4</v>
      </c>
      <c r="F21" s="19">
        <f t="shared" si="2"/>
        <v>25556.973894630057</v>
      </c>
      <c r="G21" s="5">
        <f t="shared" si="3"/>
        <v>184222.97389463006</v>
      </c>
    </row>
    <row r="22" spans="1:7" x14ac:dyDescent="0.2">
      <c r="A22">
        <v>2015</v>
      </c>
      <c r="B22" s="3" t="str">
        <f t="shared" si="0"/>
        <v>4993</v>
      </c>
      <c r="C22" s="3" t="s">
        <v>79</v>
      </c>
      <c r="D22" s="19">
        <v>534321</v>
      </c>
      <c r="E22" s="20">
        <f t="shared" si="1"/>
        <v>1.8360569117336569E-3</v>
      </c>
      <c r="F22" s="19">
        <f t="shared" si="2"/>
        <v>86065.243015848551</v>
      </c>
      <c r="G22" s="5">
        <f t="shared" si="3"/>
        <v>620386.24301584857</v>
      </c>
    </row>
    <row r="23" spans="1:7" x14ac:dyDescent="0.2">
      <c r="A23">
        <v>2015</v>
      </c>
      <c r="B23" s="3" t="str">
        <f t="shared" si="0"/>
        <v>4994</v>
      </c>
      <c r="C23" s="3" t="s">
        <v>80</v>
      </c>
      <c r="D23" s="19">
        <v>116172</v>
      </c>
      <c r="E23" s="20">
        <f t="shared" si="1"/>
        <v>3.9919524695814385E-4</v>
      </c>
      <c r="F23" s="19">
        <f t="shared" si="2"/>
        <v>18712.293568168119</v>
      </c>
      <c r="G23" s="5">
        <f t="shared" si="3"/>
        <v>134884.29356816813</v>
      </c>
    </row>
    <row r="24" spans="1:7" x14ac:dyDescent="0.2">
      <c r="A24">
        <v>2015</v>
      </c>
      <c r="B24" s="3" t="str">
        <f t="shared" si="0"/>
        <v>4995</v>
      </c>
      <c r="C24" s="3" t="s">
        <v>81</v>
      </c>
      <c r="D24" s="19">
        <v>552857</v>
      </c>
      <c r="E24" s="20">
        <f t="shared" si="1"/>
        <v>1.8997511159964411E-3</v>
      </c>
      <c r="F24" s="19">
        <f t="shared" si="2"/>
        <v>89050.91145212893</v>
      </c>
      <c r="G24" s="5">
        <f t="shared" si="3"/>
        <v>641907.9114521289</v>
      </c>
    </row>
    <row r="25" spans="1:7" x14ac:dyDescent="0.2">
      <c r="A25">
        <v>2015</v>
      </c>
      <c r="B25" s="3" t="str">
        <f t="shared" si="0"/>
        <v>4996</v>
      </c>
      <c r="C25" s="3" t="s">
        <v>82</v>
      </c>
      <c r="D25" s="19">
        <v>174982</v>
      </c>
      <c r="E25" s="20">
        <f t="shared" si="1"/>
        <v>6.0128071052602977E-4</v>
      </c>
      <c r="F25" s="19">
        <f t="shared" si="2"/>
        <v>28185.057958416775</v>
      </c>
      <c r="G25" s="5">
        <f t="shared" si="3"/>
        <v>203167.05795841679</v>
      </c>
    </row>
    <row r="26" spans="1:7" x14ac:dyDescent="0.2">
      <c r="A26">
        <v>2015</v>
      </c>
      <c r="B26" s="3" t="str">
        <f t="shared" si="0"/>
        <v>4997</v>
      </c>
      <c r="C26" s="3" t="s">
        <v>83</v>
      </c>
      <c r="D26" s="19">
        <v>2365919</v>
      </c>
      <c r="E26" s="20">
        <f t="shared" si="1"/>
        <v>8.1298731147605684E-3</v>
      </c>
      <c r="F26" s="19">
        <f t="shared" si="2"/>
        <v>381088.13557919936</v>
      </c>
      <c r="G26" s="5">
        <f t="shared" si="3"/>
        <v>2747007.1355791995</v>
      </c>
    </row>
    <row r="27" spans="1:7" x14ac:dyDescent="0.2">
      <c r="A27">
        <v>2015</v>
      </c>
      <c r="B27" s="3" t="str">
        <f t="shared" si="0"/>
        <v>4998</v>
      </c>
      <c r="C27" s="3" t="s">
        <v>84</v>
      </c>
      <c r="D27" s="19">
        <v>285658</v>
      </c>
      <c r="E27" s="20">
        <f t="shared" si="1"/>
        <v>9.8159036476577364E-4</v>
      </c>
      <c r="F27" s="19">
        <f t="shared" si="2"/>
        <v>46012.088593600594</v>
      </c>
      <c r="G27" s="5">
        <f t="shared" si="3"/>
        <v>331670.08859360061</v>
      </c>
    </row>
    <row r="28" spans="1:7" x14ac:dyDescent="0.2">
      <c r="A28">
        <v>2015</v>
      </c>
      <c r="B28" s="3" t="str">
        <f t="shared" si="0"/>
        <v>4999</v>
      </c>
      <c r="C28" s="3" t="s">
        <v>352</v>
      </c>
      <c r="D28" s="19">
        <v>3365446</v>
      </c>
      <c r="E28" s="20">
        <f t="shared" si="1"/>
        <v>1.1564490988312996E-2</v>
      </c>
      <c r="F28" s="19">
        <f t="shared" si="2"/>
        <v>542085.98922130221</v>
      </c>
      <c r="G28" s="5">
        <f t="shared" si="3"/>
        <v>3907531.9892213023</v>
      </c>
    </row>
    <row r="29" spans="1:7" x14ac:dyDescent="0.2">
      <c r="A29">
        <v>2015</v>
      </c>
      <c r="B29" s="3" t="str">
        <f t="shared" si="0"/>
        <v>5000</v>
      </c>
      <c r="C29" s="3" t="s">
        <v>86</v>
      </c>
      <c r="D29" s="19">
        <v>2596464</v>
      </c>
      <c r="E29" s="20">
        <f t="shared" si="1"/>
        <v>8.9220818071302048E-3</v>
      </c>
      <c r="F29" s="19">
        <f t="shared" si="2"/>
        <v>418222.95051458245</v>
      </c>
      <c r="G29" s="5">
        <f t="shared" si="3"/>
        <v>3014686.9505145825</v>
      </c>
    </row>
    <row r="30" spans="1:7" x14ac:dyDescent="0.2">
      <c r="A30">
        <v>2015</v>
      </c>
      <c r="B30" s="3" t="str">
        <f t="shared" si="0"/>
        <v>5001</v>
      </c>
      <c r="C30" s="3" t="s">
        <v>87</v>
      </c>
      <c r="D30" s="19">
        <v>180461</v>
      </c>
      <c r="E30" s="20">
        <f t="shared" si="1"/>
        <v>6.2010788710974759E-4</v>
      </c>
      <c r="F30" s="19">
        <f t="shared" si="2"/>
        <v>29067.582632692789</v>
      </c>
      <c r="G30" s="5">
        <f t="shared" si="3"/>
        <v>209528.58263269279</v>
      </c>
    </row>
    <row r="31" spans="1:7" x14ac:dyDescent="0.2">
      <c r="A31">
        <v>2015</v>
      </c>
      <c r="B31" s="3" t="str">
        <f t="shared" si="0"/>
        <v>5002</v>
      </c>
      <c r="C31" s="3" t="s">
        <v>88</v>
      </c>
      <c r="D31" s="19">
        <v>67440</v>
      </c>
      <c r="E31" s="20">
        <f t="shared" si="1"/>
        <v>2.3174024252709105E-4</v>
      </c>
      <c r="F31" s="19">
        <f t="shared" si="2"/>
        <v>10862.833369807337</v>
      </c>
      <c r="G31" s="5">
        <f t="shared" si="3"/>
        <v>78302.83336980734</v>
      </c>
    </row>
    <row r="32" spans="1:7" x14ac:dyDescent="0.2">
      <c r="A32">
        <v>2015</v>
      </c>
      <c r="B32" s="3" t="str">
        <f t="shared" si="0"/>
        <v>5004</v>
      </c>
      <c r="C32" s="3" t="s">
        <v>89</v>
      </c>
      <c r="D32" s="19">
        <v>708787</v>
      </c>
      <c r="E32" s="20">
        <f t="shared" si="1"/>
        <v>2.4355645207599242E-3</v>
      </c>
      <c r="F32" s="19">
        <f t="shared" si="2"/>
        <v>114167.1867687668</v>
      </c>
      <c r="G32" s="5">
        <f t="shared" si="3"/>
        <v>822954.18676876684</v>
      </c>
    </row>
    <row r="33" spans="1:7" x14ac:dyDescent="0.2">
      <c r="A33">
        <v>2015</v>
      </c>
      <c r="B33" s="3" t="str">
        <f t="shared" si="0"/>
        <v>5005</v>
      </c>
      <c r="C33" s="3" t="s">
        <v>90</v>
      </c>
      <c r="D33" s="19">
        <v>394178</v>
      </c>
      <c r="E33" s="20">
        <f t="shared" si="1"/>
        <v>1.3544914786305412E-3</v>
      </c>
      <c r="F33" s="19">
        <f t="shared" si="2"/>
        <v>63491.843594957245</v>
      </c>
      <c r="G33" s="5">
        <f t="shared" si="3"/>
        <v>457669.84359495726</v>
      </c>
    </row>
    <row r="34" spans="1:7" x14ac:dyDescent="0.2">
      <c r="A34">
        <v>2015</v>
      </c>
      <c r="B34" s="3" t="str">
        <f t="shared" si="0"/>
        <v>5006</v>
      </c>
      <c r="C34" s="3" t="s">
        <v>91</v>
      </c>
      <c r="D34" s="19">
        <v>174067</v>
      </c>
      <c r="E34" s="20">
        <f t="shared" si="1"/>
        <v>5.9813654798284636E-4</v>
      </c>
      <c r="F34" s="19">
        <f t="shared" si="2"/>
        <v>28037.67521029439</v>
      </c>
      <c r="G34" s="5">
        <f t="shared" si="3"/>
        <v>202104.6752102944</v>
      </c>
    </row>
    <row r="35" spans="1:7" x14ac:dyDescent="0.2">
      <c r="A35">
        <v>2015</v>
      </c>
      <c r="B35" s="3" t="str">
        <f t="shared" si="0"/>
        <v>5007</v>
      </c>
      <c r="C35" s="3" t="s">
        <v>143</v>
      </c>
      <c r="D35" s="19">
        <v>108005</v>
      </c>
      <c r="E35" s="20">
        <f t="shared" si="1"/>
        <v>3.7113144860822166E-4</v>
      </c>
      <c r="F35" s="19">
        <f t="shared" si="2"/>
        <v>17396.801869899784</v>
      </c>
      <c r="G35" s="5">
        <f t="shared" si="3"/>
        <v>125401.80186989979</v>
      </c>
    </row>
    <row r="36" spans="1:7" x14ac:dyDescent="0.2">
      <c r="A36">
        <v>2015</v>
      </c>
      <c r="B36" s="3" t="str">
        <f t="shared" si="0"/>
        <v>5008</v>
      </c>
      <c r="C36" s="3" t="s">
        <v>92</v>
      </c>
      <c r="D36" s="19">
        <v>455875</v>
      </c>
      <c r="E36" s="20">
        <f t="shared" si="1"/>
        <v>1.5664973763647337E-3</v>
      </c>
      <c r="F36" s="19">
        <f t="shared" si="2"/>
        <v>73429.628743489317</v>
      </c>
      <c r="G36" s="5">
        <f t="shared" si="3"/>
        <v>529304.62874348927</v>
      </c>
    </row>
    <row r="37" spans="1:7" x14ac:dyDescent="0.2">
      <c r="A37">
        <v>2015</v>
      </c>
      <c r="B37" s="3" t="str">
        <f t="shared" si="0"/>
        <v>5010</v>
      </c>
      <c r="C37" s="3" t="s">
        <v>93</v>
      </c>
      <c r="D37" s="19">
        <v>1013440</v>
      </c>
      <c r="E37" s="20">
        <f t="shared" si="1"/>
        <v>3.4824263254248987E-3</v>
      </c>
      <c r="F37" s="19">
        <f t="shared" si="2"/>
        <v>163238.87678377147</v>
      </c>
      <c r="G37" s="5">
        <f t="shared" si="3"/>
        <v>1176678.8767837714</v>
      </c>
    </row>
    <row r="38" spans="1:7" x14ac:dyDescent="0.2">
      <c r="A38">
        <v>2015</v>
      </c>
      <c r="B38" s="3" t="str">
        <f t="shared" si="0"/>
        <v>5011</v>
      </c>
      <c r="C38" s="3" t="s">
        <v>94</v>
      </c>
      <c r="D38" s="19">
        <v>292495</v>
      </c>
      <c r="E38" s="20">
        <f t="shared" si="1"/>
        <v>1.005083959637626E-3</v>
      </c>
      <c r="F38" s="19">
        <f t="shared" si="2"/>
        <v>47113.351816456066</v>
      </c>
      <c r="G38" s="5">
        <f t="shared" si="3"/>
        <v>339608.35181645607</v>
      </c>
    </row>
    <row r="39" spans="1:7" x14ac:dyDescent="0.2">
      <c r="A39">
        <v>2015</v>
      </c>
      <c r="B39" s="3" t="str">
        <f t="shared" si="0"/>
        <v>5012</v>
      </c>
      <c r="C39" s="3" t="s">
        <v>95</v>
      </c>
      <c r="D39" s="19">
        <v>216871</v>
      </c>
      <c r="E39" s="20">
        <f t="shared" si="1"/>
        <v>7.4522150262593069E-4</v>
      </c>
      <c r="F39" s="19">
        <f t="shared" si="2"/>
        <v>34932.288489672108</v>
      </c>
      <c r="G39" s="5">
        <f t="shared" si="3"/>
        <v>251803.28848967212</v>
      </c>
    </row>
    <row r="40" spans="1:7" x14ac:dyDescent="0.2">
      <c r="A40">
        <v>2015</v>
      </c>
      <c r="B40" s="3" t="str">
        <f t="shared" si="0"/>
        <v>5013</v>
      </c>
      <c r="C40" s="3" t="s">
        <v>96</v>
      </c>
      <c r="D40" s="19">
        <v>4068536</v>
      </c>
      <c r="E40" s="20">
        <f t="shared" si="1"/>
        <v>1.3980479231467986E-2</v>
      </c>
      <c r="F40" s="19">
        <f t="shared" si="2"/>
        <v>655335.53717471031</v>
      </c>
      <c r="G40" s="5">
        <f t="shared" si="3"/>
        <v>4723871.5371747101</v>
      </c>
    </row>
    <row r="41" spans="1:7" x14ac:dyDescent="0.2">
      <c r="A41">
        <v>2015</v>
      </c>
      <c r="B41" s="3" t="str">
        <f t="shared" si="0"/>
        <v>5014</v>
      </c>
      <c r="C41" s="3" t="s">
        <v>97</v>
      </c>
      <c r="D41" s="19">
        <v>1046996</v>
      </c>
      <c r="E41" s="20">
        <f t="shared" si="1"/>
        <v>3.5977329028009227E-3</v>
      </c>
      <c r="F41" s="19">
        <f t="shared" si="2"/>
        <v>168643.87732584227</v>
      </c>
      <c r="G41" s="5">
        <f t="shared" si="3"/>
        <v>1215639.8773258422</v>
      </c>
    </row>
    <row r="42" spans="1:7" x14ac:dyDescent="0.2">
      <c r="A42">
        <v>2015</v>
      </c>
      <c r="B42" s="3" t="str">
        <f t="shared" si="0"/>
        <v>5015</v>
      </c>
      <c r="C42" s="3" t="s">
        <v>98</v>
      </c>
      <c r="D42" s="19">
        <v>281374</v>
      </c>
      <c r="E42" s="20">
        <f t="shared" si="1"/>
        <v>9.6686949882588552E-4</v>
      </c>
      <c r="F42" s="19">
        <f t="shared" si="2"/>
        <v>45322.047399112838</v>
      </c>
      <c r="G42" s="5">
        <f t="shared" si="3"/>
        <v>326696.04739911284</v>
      </c>
    </row>
    <row r="43" spans="1:7" x14ac:dyDescent="0.2">
      <c r="A43">
        <v>2015</v>
      </c>
      <c r="B43" s="3" t="str">
        <f t="shared" si="0"/>
        <v>5016</v>
      </c>
      <c r="C43" s="3" t="s">
        <v>99</v>
      </c>
      <c r="D43" s="19">
        <v>366770</v>
      </c>
      <c r="E43" s="20">
        <f t="shared" si="1"/>
        <v>1.2603109245501363E-3</v>
      </c>
      <c r="F43" s="19">
        <f t="shared" si="2"/>
        <v>59077.126261035541</v>
      </c>
      <c r="G43" s="5">
        <f t="shared" si="3"/>
        <v>425847.12626103556</v>
      </c>
    </row>
    <row r="44" spans="1:7" x14ac:dyDescent="0.2">
      <c r="A44">
        <v>2015</v>
      </c>
      <c r="B44" s="3" t="str">
        <f t="shared" si="0"/>
        <v>5017</v>
      </c>
      <c r="C44" s="3" t="s">
        <v>100</v>
      </c>
      <c r="D44" s="19">
        <v>2510305</v>
      </c>
      <c r="E44" s="20">
        <f t="shared" si="1"/>
        <v>8.6260185278316925E-3</v>
      </c>
      <c r="F44" s="19">
        <f t="shared" si="2"/>
        <v>404344.97215887025</v>
      </c>
      <c r="G44" s="5">
        <f t="shared" si="3"/>
        <v>2914649.9721588702</v>
      </c>
    </row>
    <row r="45" spans="1:7" x14ac:dyDescent="0.2">
      <c r="A45">
        <v>2015</v>
      </c>
      <c r="B45" s="3" t="str">
        <f t="shared" si="0"/>
        <v>5018</v>
      </c>
      <c r="C45" s="3" t="s">
        <v>101</v>
      </c>
      <c r="D45" s="19">
        <v>191095</v>
      </c>
      <c r="E45" s="20">
        <f t="shared" si="1"/>
        <v>6.5664889747500687E-4</v>
      </c>
      <c r="F45" s="19">
        <f t="shared" si="2"/>
        <v>30780.443991745742</v>
      </c>
      <c r="G45" s="5">
        <f t="shared" si="3"/>
        <v>221875.44399174573</v>
      </c>
    </row>
    <row r="46" spans="1:7" x14ac:dyDescent="0.2">
      <c r="A46">
        <v>2015</v>
      </c>
      <c r="B46" s="3" t="str">
        <f t="shared" si="0"/>
        <v>5019</v>
      </c>
      <c r="C46" s="3" t="s">
        <v>102</v>
      </c>
      <c r="D46" s="19">
        <v>1531446</v>
      </c>
      <c r="E46" s="20">
        <f t="shared" si="1"/>
        <v>5.2624209290798264E-3</v>
      </c>
      <c r="F46" s="19">
        <f t="shared" si="2"/>
        <v>246676.19680987496</v>
      </c>
      <c r="G46" s="5">
        <f t="shared" si="3"/>
        <v>1778122.1968098748</v>
      </c>
    </row>
    <row r="47" spans="1:7" x14ac:dyDescent="0.2">
      <c r="A47">
        <v>2015</v>
      </c>
      <c r="B47" s="3" t="str">
        <f t="shared" si="0"/>
        <v>5020</v>
      </c>
      <c r="C47" s="3" t="s">
        <v>103</v>
      </c>
      <c r="D47" s="19">
        <v>4813107</v>
      </c>
      <c r="E47" s="20">
        <f t="shared" si="1"/>
        <v>1.6539006279490506E-2</v>
      </c>
      <c r="F47" s="19">
        <f t="shared" si="2"/>
        <v>775266.59745037486</v>
      </c>
      <c r="G47" s="5">
        <f t="shared" si="3"/>
        <v>5588373.5974503746</v>
      </c>
    </row>
    <row r="48" spans="1:7" x14ac:dyDescent="0.2">
      <c r="A48">
        <v>2015</v>
      </c>
      <c r="B48" s="3" t="str">
        <f t="shared" si="0"/>
        <v>5021</v>
      </c>
      <c r="C48" s="3" t="s">
        <v>104</v>
      </c>
      <c r="D48" s="19">
        <v>198054</v>
      </c>
      <c r="E48" s="20">
        <f t="shared" si="1"/>
        <v>6.8056171401928369E-4</v>
      </c>
      <c r="F48" s="19">
        <f t="shared" si="2"/>
        <v>31901.358247684198</v>
      </c>
      <c r="G48" s="5">
        <f t="shared" si="3"/>
        <v>229955.3582476842</v>
      </c>
    </row>
    <row r="49" spans="1:7" x14ac:dyDescent="0.2">
      <c r="A49">
        <v>2015</v>
      </c>
      <c r="B49" s="3" t="str">
        <f t="shared" si="0"/>
        <v>5022</v>
      </c>
      <c r="C49" s="3" t="s">
        <v>105</v>
      </c>
      <c r="D49" s="19">
        <v>2865935</v>
      </c>
      <c r="E49" s="20">
        <f t="shared" si="1"/>
        <v>9.8480497029489727E-3</v>
      </c>
      <c r="F49" s="19">
        <f t="shared" si="2"/>
        <v>461627.7335957709</v>
      </c>
      <c r="G49" s="5">
        <f t="shared" si="3"/>
        <v>3327562.7335957708</v>
      </c>
    </row>
    <row r="50" spans="1:7" x14ac:dyDescent="0.2">
      <c r="A50">
        <v>2015</v>
      </c>
      <c r="B50" s="3" t="str">
        <f t="shared" si="0"/>
        <v>5024</v>
      </c>
      <c r="C50" s="3" t="s">
        <v>106</v>
      </c>
      <c r="D50" s="19">
        <v>410937</v>
      </c>
      <c r="E50" s="20">
        <f t="shared" si="1"/>
        <v>1.4120794786974379E-3</v>
      </c>
      <c r="F50" s="19">
        <f t="shared" si="2"/>
        <v>66191.283459201033</v>
      </c>
      <c r="G50" s="5">
        <f t="shared" si="3"/>
        <v>477128.28345920105</v>
      </c>
    </row>
    <row r="51" spans="1:7" x14ac:dyDescent="0.2">
      <c r="A51">
        <v>2015</v>
      </c>
      <c r="B51" s="3" t="str">
        <f t="shared" si="0"/>
        <v>5025</v>
      </c>
      <c r="C51" s="3" t="s">
        <v>107</v>
      </c>
      <c r="D51" s="19">
        <v>1138246</v>
      </c>
      <c r="E51" s="20">
        <f t="shared" si="1"/>
        <v>3.9112900963151143E-3</v>
      </c>
      <c r="F51" s="19">
        <f t="shared" si="2"/>
        <v>183341.88362766494</v>
      </c>
      <c r="G51" s="5">
        <f t="shared" si="3"/>
        <v>1321587.883627665</v>
      </c>
    </row>
    <row r="52" spans="1:7" x14ac:dyDescent="0.2">
      <c r="A52">
        <v>2015</v>
      </c>
      <c r="B52" s="3" t="str">
        <f t="shared" si="0"/>
        <v>5026</v>
      </c>
      <c r="C52" s="3" t="s">
        <v>108</v>
      </c>
      <c r="D52" s="19">
        <v>310906</v>
      </c>
      <c r="E52" s="20">
        <f t="shared" si="1"/>
        <v>1.0683486334983358E-3</v>
      </c>
      <c r="F52" s="19">
        <f t="shared" si="2"/>
        <v>50078.885997528465</v>
      </c>
      <c r="G52" s="5">
        <f t="shared" si="3"/>
        <v>360984.88599752844</v>
      </c>
    </row>
    <row r="53" spans="1:7" x14ac:dyDescent="0.2">
      <c r="A53">
        <v>2015</v>
      </c>
      <c r="B53" s="3" t="str">
        <f t="shared" si="0"/>
        <v>5027</v>
      </c>
      <c r="C53" s="3" t="s">
        <v>109</v>
      </c>
      <c r="D53" s="19">
        <v>3411987</v>
      </c>
      <c r="E53" s="20">
        <f t="shared" si="1"/>
        <v>1.1724417183856492E-2</v>
      </c>
      <c r="F53" s="19">
        <f t="shared" si="2"/>
        <v>549582.53619437758</v>
      </c>
      <c r="G53" s="5">
        <f t="shared" si="3"/>
        <v>3961569.5361943776</v>
      </c>
    </row>
    <row r="54" spans="1:7" x14ac:dyDescent="0.2">
      <c r="A54">
        <v>2015</v>
      </c>
      <c r="B54" s="3" t="str">
        <f t="shared" si="0"/>
        <v>5028</v>
      </c>
      <c r="C54" s="3" t="s">
        <v>110</v>
      </c>
      <c r="D54" s="19">
        <v>820372</v>
      </c>
      <c r="E54" s="20">
        <f t="shared" si="1"/>
        <v>2.818997720083552E-3</v>
      </c>
      <c r="F54" s="19">
        <f t="shared" si="2"/>
        <v>132140.63370782303</v>
      </c>
      <c r="G54" s="5">
        <f t="shared" si="3"/>
        <v>952512.633707823</v>
      </c>
    </row>
    <row r="55" spans="1:7" x14ac:dyDescent="0.2">
      <c r="A55">
        <v>2015</v>
      </c>
      <c r="B55" s="3" t="str">
        <f t="shared" si="0"/>
        <v>5029</v>
      </c>
      <c r="C55" s="3" t="s">
        <v>111</v>
      </c>
      <c r="D55" s="19">
        <v>389565</v>
      </c>
      <c r="E55" s="20">
        <f t="shared" si="1"/>
        <v>1.3386400886723937E-3</v>
      </c>
      <c r="F55" s="19">
        <f t="shared" si="2"/>
        <v>62748.809040762091</v>
      </c>
      <c r="G55" s="5">
        <f t="shared" si="3"/>
        <v>452313.80904076208</v>
      </c>
    </row>
    <row r="56" spans="1:7" x14ac:dyDescent="0.2">
      <c r="A56">
        <v>2015</v>
      </c>
      <c r="B56" s="3" t="str">
        <f t="shared" si="0"/>
        <v>5031</v>
      </c>
      <c r="C56" s="3" t="s">
        <v>112</v>
      </c>
      <c r="D56" s="19">
        <v>5840097</v>
      </c>
      <c r="E56" s="20">
        <f t="shared" si="1"/>
        <v>2.0067993700500251E-2</v>
      </c>
      <c r="F56" s="19">
        <f t="shared" si="2"/>
        <v>940688.02749869099</v>
      </c>
      <c r="G56" s="5">
        <f t="shared" si="3"/>
        <v>6780785.0274986913</v>
      </c>
    </row>
    <row r="57" spans="1:7" x14ac:dyDescent="0.2">
      <c r="A57">
        <v>2015</v>
      </c>
      <c r="B57" s="3" t="str">
        <f t="shared" si="0"/>
        <v>5032</v>
      </c>
      <c r="C57" s="3" t="s">
        <v>359</v>
      </c>
      <c r="D57" s="19">
        <v>502064</v>
      </c>
      <c r="E57" s="20">
        <f t="shared" si="1"/>
        <v>1.7252140142959883E-3</v>
      </c>
      <c r="F57" s="19">
        <f t="shared" si="2"/>
        <v>80869.477653899041</v>
      </c>
      <c r="G57" s="5">
        <f t="shared" si="3"/>
        <v>582933.477653899</v>
      </c>
    </row>
    <row r="58" spans="1:7" x14ac:dyDescent="0.2">
      <c r="A58">
        <v>2015</v>
      </c>
      <c r="B58" s="3" t="str">
        <f t="shared" si="0"/>
        <v>5033</v>
      </c>
      <c r="C58" s="3" t="s">
        <v>114</v>
      </c>
      <c r="D58" s="19">
        <v>353946</v>
      </c>
      <c r="E58" s="20">
        <f t="shared" si="1"/>
        <v>1.2162445415405364E-3</v>
      </c>
      <c r="F58" s="19">
        <f t="shared" si="2"/>
        <v>57011.512750738846</v>
      </c>
      <c r="G58" s="5">
        <f t="shared" si="3"/>
        <v>410957.51275073882</v>
      </c>
    </row>
    <row r="59" spans="1:7" x14ac:dyDescent="0.2">
      <c r="A59">
        <v>2015</v>
      </c>
      <c r="B59" s="3" t="str">
        <f t="shared" si="0"/>
        <v>5034</v>
      </c>
      <c r="C59" s="3" t="s">
        <v>115</v>
      </c>
      <c r="D59" s="19">
        <v>188521</v>
      </c>
      <c r="E59" s="20">
        <f t="shared" si="1"/>
        <v>6.4780400743549426E-4</v>
      </c>
      <c r="F59" s="19">
        <f t="shared" si="2"/>
        <v>30365.8394085031</v>
      </c>
      <c r="G59" s="5">
        <f t="shared" si="3"/>
        <v>218886.83940850309</v>
      </c>
    </row>
    <row r="60" spans="1:7" x14ac:dyDescent="0.2">
      <c r="A60">
        <v>2015</v>
      </c>
      <c r="B60" s="3" t="str">
        <f t="shared" si="0"/>
        <v>5035</v>
      </c>
      <c r="C60" s="3" t="s">
        <v>116</v>
      </c>
      <c r="D60" s="19">
        <v>933849</v>
      </c>
      <c r="E60" s="20">
        <f t="shared" si="1"/>
        <v>3.2089322915729752E-3</v>
      </c>
      <c r="F60" s="19">
        <f t="shared" si="2"/>
        <v>150418.83273370718</v>
      </c>
      <c r="G60" s="5">
        <f t="shared" si="3"/>
        <v>1084267.8327337073</v>
      </c>
    </row>
    <row r="61" spans="1:7" x14ac:dyDescent="0.2">
      <c r="A61">
        <v>2015</v>
      </c>
      <c r="B61" s="3" t="str">
        <f t="shared" si="0"/>
        <v>5036</v>
      </c>
      <c r="C61" s="3" t="s">
        <v>117</v>
      </c>
      <c r="D61" s="19">
        <v>484351</v>
      </c>
      <c r="E61" s="20">
        <f t="shared" si="1"/>
        <v>1.6643478382004609E-3</v>
      </c>
      <c r="F61" s="19">
        <f t="shared" si="2"/>
        <v>78016.373153907974</v>
      </c>
      <c r="G61" s="5">
        <f t="shared" si="3"/>
        <v>562367.37315390795</v>
      </c>
    </row>
    <row r="62" spans="1:7" x14ac:dyDescent="0.2">
      <c r="A62">
        <v>2015</v>
      </c>
      <c r="B62" s="3" t="str">
        <f t="shared" si="0"/>
        <v>5037</v>
      </c>
      <c r="C62" s="3" t="s">
        <v>118</v>
      </c>
      <c r="D62" s="19">
        <v>1758445</v>
      </c>
      <c r="E62" s="20">
        <f t="shared" si="1"/>
        <v>6.0424447030034195E-3</v>
      </c>
      <c r="F62" s="19">
        <f t="shared" si="2"/>
        <v>283239.84319351811</v>
      </c>
      <c r="G62" s="5">
        <f t="shared" si="3"/>
        <v>2041684.843193518</v>
      </c>
    </row>
    <row r="63" spans="1:7" x14ac:dyDescent="0.2">
      <c r="A63">
        <v>2015</v>
      </c>
      <c r="B63" s="3" t="str">
        <f t="shared" si="0"/>
        <v>5038</v>
      </c>
      <c r="C63" s="3" t="s">
        <v>119</v>
      </c>
      <c r="D63" s="19">
        <v>271429</v>
      </c>
      <c r="E63" s="20">
        <f t="shared" si="1"/>
        <v>9.3269606003685938E-4</v>
      </c>
      <c r="F63" s="19">
        <f t="shared" si="2"/>
        <v>43720.166054766247</v>
      </c>
      <c r="G63" s="5">
        <f t="shared" si="3"/>
        <v>315149.16605476628</v>
      </c>
    </row>
    <row r="64" spans="1:7" x14ac:dyDescent="0.2">
      <c r="A64">
        <v>2015</v>
      </c>
      <c r="B64" s="3" t="str">
        <f t="shared" si="0"/>
        <v>5039</v>
      </c>
      <c r="C64" s="3" t="s">
        <v>120</v>
      </c>
      <c r="D64" s="19">
        <v>272572</v>
      </c>
      <c r="E64" s="20">
        <f t="shared" si="1"/>
        <v>9.3662368603342617E-4</v>
      </c>
      <c r="F64" s="19">
        <f t="shared" si="2"/>
        <v>43904.273684387976</v>
      </c>
      <c r="G64" s="5">
        <f t="shared" si="3"/>
        <v>316476.27368438797</v>
      </c>
    </row>
    <row r="65" spans="1:7" x14ac:dyDescent="0.2">
      <c r="A65">
        <v>2015</v>
      </c>
      <c r="B65" s="3" t="str">
        <f t="shared" si="0"/>
        <v>5040</v>
      </c>
      <c r="C65" s="3" t="s">
        <v>121</v>
      </c>
      <c r="D65" s="19">
        <v>878130</v>
      </c>
      <c r="E65" s="20">
        <f t="shared" si="1"/>
        <v>3.0174682557875809E-3</v>
      </c>
      <c r="F65" s="19">
        <f t="shared" si="2"/>
        <v>141443.94820624133</v>
      </c>
      <c r="G65" s="5">
        <f t="shared" si="3"/>
        <v>1019573.9482062414</v>
      </c>
    </row>
    <row r="66" spans="1:7" x14ac:dyDescent="0.2">
      <c r="A66">
        <v>2015</v>
      </c>
      <c r="B66" s="3" t="str">
        <f t="shared" si="0"/>
        <v>5041</v>
      </c>
      <c r="C66" s="3" t="s">
        <v>122</v>
      </c>
      <c r="D66" s="19">
        <v>4956202</v>
      </c>
      <c r="E66" s="20">
        <f t="shared" si="1"/>
        <v>1.7030715502569006E-2</v>
      </c>
      <c r="F66" s="19">
        <f t="shared" si="2"/>
        <v>798315.4874422577</v>
      </c>
      <c r="G66" s="5">
        <f t="shared" si="3"/>
        <v>5754517.4874422578</v>
      </c>
    </row>
    <row r="67" spans="1:7" x14ac:dyDescent="0.2">
      <c r="A67">
        <v>2015</v>
      </c>
      <c r="B67" s="3" t="str">
        <f t="shared" ref="B67:B130" si="4">LEFT(C67,4)</f>
        <v>5042</v>
      </c>
      <c r="C67" s="3" t="s">
        <v>123</v>
      </c>
      <c r="D67" s="19">
        <v>1183756</v>
      </c>
      <c r="E67" s="20">
        <f t="shared" ref="E67:E130" si="5">D67/$D$290</f>
        <v>4.067673525102301E-3</v>
      </c>
      <c r="F67" s="19">
        <f t="shared" ref="F67:F130" si="6">E67*$D$291</f>
        <v>190672.36326378488</v>
      </c>
      <c r="G67" s="5">
        <f t="shared" ref="G67:G130" si="7">SUM(F67,D67)</f>
        <v>1374428.3632637849</v>
      </c>
    </row>
    <row r="68" spans="1:7" x14ac:dyDescent="0.2">
      <c r="A68">
        <v>2015</v>
      </c>
      <c r="B68" s="3" t="str">
        <f t="shared" si="4"/>
        <v>5043</v>
      </c>
      <c r="C68" s="3" t="s">
        <v>124</v>
      </c>
      <c r="D68" s="19">
        <v>1913068</v>
      </c>
      <c r="E68" s="20">
        <f t="shared" si="5"/>
        <v>6.5737669378828148E-3</v>
      </c>
      <c r="F68" s="19">
        <f t="shared" si="6"/>
        <v>308145.59473770141</v>
      </c>
      <c r="G68" s="5">
        <f t="shared" si="7"/>
        <v>2221213.5947377016</v>
      </c>
    </row>
    <row r="69" spans="1:7" x14ac:dyDescent="0.2">
      <c r="A69">
        <v>2015</v>
      </c>
      <c r="B69" s="3" t="str">
        <f t="shared" si="4"/>
        <v>5056</v>
      </c>
      <c r="C69" s="3" t="s">
        <v>125</v>
      </c>
      <c r="D69" s="19">
        <v>233614</v>
      </c>
      <c r="E69" s="20">
        <f t="shared" si="5"/>
        <v>8.0275452280136191E-4</v>
      </c>
      <c r="F69" s="19">
        <f t="shared" si="6"/>
        <v>37629.151169249271</v>
      </c>
      <c r="G69" s="5">
        <f t="shared" si="7"/>
        <v>271243.15116924926</v>
      </c>
    </row>
    <row r="70" spans="1:7" x14ac:dyDescent="0.2">
      <c r="A70">
        <v>2015</v>
      </c>
      <c r="B70" s="3" t="str">
        <f t="shared" si="4"/>
        <v>5057</v>
      </c>
      <c r="C70" s="3" t="s">
        <v>126</v>
      </c>
      <c r="D70" s="19">
        <v>379454</v>
      </c>
      <c r="E70" s="20">
        <f t="shared" si="5"/>
        <v>1.3038962335094129E-3</v>
      </c>
      <c r="F70" s="19">
        <f t="shared" si="6"/>
        <v>61120.189405499303</v>
      </c>
      <c r="G70" s="5">
        <f t="shared" si="7"/>
        <v>440574.18940549932</v>
      </c>
    </row>
    <row r="71" spans="1:7" x14ac:dyDescent="0.2">
      <c r="A71">
        <v>2015</v>
      </c>
      <c r="B71" s="3" t="str">
        <f t="shared" si="4"/>
        <v>5058</v>
      </c>
      <c r="C71" s="3" t="s">
        <v>127</v>
      </c>
      <c r="D71" s="19">
        <v>811694</v>
      </c>
      <c r="E71" s="20">
        <f t="shared" si="5"/>
        <v>2.7891780014499502E-3</v>
      </c>
      <c r="F71" s="19">
        <f t="shared" si="6"/>
        <v>130742.83317426448</v>
      </c>
      <c r="G71" s="5">
        <f t="shared" si="7"/>
        <v>942436.83317426452</v>
      </c>
    </row>
    <row r="72" spans="1:7" x14ac:dyDescent="0.2">
      <c r="A72">
        <v>2015</v>
      </c>
      <c r="B72" s="3" t="str">
        <f t="shared" si="4"/>
        <v>5059</v>
      </c>
      <c r="C72" s="3" t="s">
        <v>128</v>
      </c>
      <c r="D72" s="19">
        <v>246348</v>
      </c>
      <c r="E72" s="20">
        <f t="shared" si="5"/>
        <v>8.4651164392146843E-4</v>
      </c>
      <c r="F72" s="19">
        <f t="shared" si="6"/>
        <v>39680.268015796231</v>
      </c>
      <c r="G72" s="5">
        <f t="shared" si="7"/>
        <v>286028.2680157962</v>
      </c>
    </row>
    <row r="73" spans="1:7" x14ac:dyDescent="0.2">
      <c r="A73">
        <v>2015</v>
      </c>
      <c r="B73" s="3" t="str">
        <f t="shared" si="4"/>
        <v>5060</v>
      </c>
      <c r="C73" s="3" t="s">
        <v>129</v>
      </c>
      <c r="D73" s="19">
        <v>90844</v>
      </c>
      <c r="E73" s="20">
        <f t="shared" si="5"/>
        <v>3.1216207876825418E-4</v>
      </c>
      <c r="F73" s="19">
        <f t="shared" si="6"/>
        <v>14632.610240907145</v>
      </c>
      <c r="G73" s="5">
        <f t="shared" si="7"/>
        <v>105476.61024090715</v>
      </c>
    </row>
    <row r="74" spans="1:7" x14ac:dyDescent="0.2">
      <c r="A74">
        <v>2015</v>
      </c>
      <c r="B74" s="3" t="str">
        <f t="shared" si="4"/>
        <v>5061</v>
      </c>
      <c r="C74" s="3" t="s">
        <v>130</v>
      </c>
      <c r="D74" s="19">
        <v>228160</v>
      </c>
      <c r="E74" s="20">
        <f t="shared" si="5"/>
        <v>7.8401325229805893E-4</v>
      </c>
      <c r="F74" s="19">
        <f t="shared" si="6"/>
        <v>36750.653346014857</v>
      </c>
      <c r="G74" s="5">
        <f t="shared" si="7"/>
        <v>264910.65334601485</v>
      </c>
    </row>
    <row r="75" spans="1:7" x14ac:dyDescent="0.2">
      <c r="A75">
        <v>2015</v>
      </c>
      <c r="B75" s="3" t="str">
        <f t="shared" si="4"/>
        <v>5062</v>
      </c>
      <c r="C75" s="3" t="s">
        <v>131</v>
      </c>
      <c r="D75" s="19">
        <v>397463</v>
      </c>
      <c r="E75" s="20">
        <f t="shared" si="5"/>
        <v>1.3657795375970521E-3</v>
      </c>
      <c r="F75" s="19">
        <f t="shared" si="6"/>
        <v>64020.971821822859</v>
      </c>
      <c r="G75" s="5">
        <f t="shared" si="7"/>
        <v>461483.97182182287</v>
      </c>
    </row>
    <row r="76" spans="1:7" x14ac:dyDescent="0.2">
      <c r="A76">
        <v>2015</v>
      </c>
      <c r="B76" s="3" t="str">
        <f t="shared" si="4"/>
        <v>5063</v>
      </c>
      <c r="C76" s="3" t="s">
        <v>132</v>
      </c>
      <c r="D76" s="19">
        <v>332630</v>
      </c>
      <c r="E76" s="20">
        <f t="shared" si="5"/>
        <v>1.1429975811356214E-3</v>
      </c>
      <c r="F76" s="19">
        <f t="shared" si="6"/>
        <v>53578.05847863308</v>
      </c>
      <c r="G76" s="5">
        <f t="shared" si="7"/>
        <v>386208.05847863306</v>
      </c>
    </row>
    <row r="77" spans="1:7" x14ac:dyDescent="0.2">
      <c r="A77">
        <v>2015</v>
      </c>
      <c r="B77" s="3" t="str">
        <f t="shared" si="4"/>
        <v>5064</v>
      </c>
      <c r="C77" s="3" t="s">
        <v>133</v>
      </c>
      <c r="D77" s="19">
        <v>242776</v>
      </c>
      <c r="E77" s="20">
        <f t="shared" si="5"/>
        <v>8.3423738315179506E-4</v>
      </c>
      <c r="F77" s="19">
        <f t="shared" si="6"/>
        <v>39104.911538973101</v>
      </c>
      <c r="G77" s="5">
        <f t="shared" si="7"/>
        <v>281880.9115389731</v>
      </c>
    </row>
    <row r="78" spans="1:7" x14ac:dyDescent="0.2">
      <c r="A78">
        <v>2015</v>
      </c>
      <c r="B78" s="3" t="str">
        <f t="shared" si="4"/>
        <v>5065</v>
      </c>
      <c r="C78" s="3" t="s">
        <v>134</v>
      </c>
      <c r="D78" s="19">
        <v>245414</v>
      </c>
      <c r="E78" s="20">
        <f t="shared" si="5"/>
        <v>8.4330219275716969E-4</v>
      </c>
      <c r="F78" s="19">
        <f t="shared" si="6"/>
        <v>39529.824860882232</v>
      </c>
      <c r="G78" s="5">
        <f t="shared" si="7"/>
        <v>284943.82486088225</v>
      </c>
    </row>
    <row r="79" spans="1:7" x14ac:dyDescent="0.2">
      <c r="A79">
        <v>2015</v>
      </c>
      <c r="B79" s="3" t="str">
        <f t="shared" si="4"/>
        <v>5066</v>
      </c>
      <c r="C79" s="3" t="s">
        <v>135</v>
      </c>
      <c r="D79" s="19">
        <v>335678</v>
      </c>
      <c r="E79" s="20">
        <f t="shared" si="5"/>
        <v>1.1534712504597995E-3</v>
      </c>
      <c r="F79" s="19">
        <f t="shared" si="6"/>
        <v>54069.012157624369</v>
      </c>
      <c r="G79" s="5">
        <f t="shared" si="7"/>
        <v>389747.01215762435</v>
      </c>
    </row>
    <row r="80" spans="1:7" x14ac:dyDescent="0.2">
      <c r="A80">
        <v>2015</v>
      </c>
      <c r="B80" s="3" t="str">
        <f t="shared" si="4"/>
        <v>5067</v>
      </c>
      <c r="C80" s="3" t="s">
        <v>136</v>
      </c>
      <c r="D80" s="19">
        <v>480491</v>
      </c>
      <c r="E80" s="20">
        <f t="shared" si="5"/>
        <v>1.6510839393844086E-3</v>
      </c>
      <c r="F80" s="19">
        <f t="shared" si="6"/>
        <v>77394.627353085671</v>
      </c>
      <c r="G80" s="5">
        <f t="shared" si="7"/>
        <v>557885.62735308567</v>
      </c>
    </row>
    <row r="81" spans="1:7" x14ac:dyDescent="0.2">
      <c r="A81">
        <v>2015</v>
      </c>
      <c r="B81" s="3" t="str">
        <f t="shared" si="4"/>
        <v>5068</v>
      </c>
      <c r="C81" s="3" t="s">
        <v>137</v>
      </c>
      <c r="D81" s="19">
        <v>364148</v>
      </c>
      <c r="E81" s="20">
        <f t="shared" si="5"/>
        <v>1.251301094836227E-3</v>
      </c>
      <c r="F81" s="19">
        <f t="shared" si="6"/>
        <v>58654.790123793027</v>
      </c>
      <c r="G81" s="5">
        <f t="shared" si="7"/>
        <v>422802.79012379301</v>
      </c>
    </row>
    <row r="82" spans="1:7" x14ac:dyDescent="0.2">
      <c r="A82">
        <v>2015</v>
      </c>
      <c r="B82" s="3" t="str">
        <f t="shared" si="4"/>
        <v>5069</v>
      </c>
      <c r="C82" s="3" t="s">
        <v>138</v>
      </c>
      <c r="D82" s="19">
        <v>414398</v>
      </c>
      <c r="E82" s="20">
        <f t="shared" si="5"/>
        <v>1.4239723164700695E-3</v>
      </c>
      <c r="F82" s="19">
        <f t="shared" si="6"/>
        <v>66748.760717399477</v>
      </c>
      <c r="G82" s="5">
        <f t="shared" si="7"/>
        <v>481146.76071739948</v>
      </c>
    </row>
    <row r="83" spans="1:7" x14ac:dyDescent="0.2">
      <c r="A83">
        <v>2015</v>
      </c>
      <c r="B83" s="3" t="str">
        <f t="shared" si="4"/>
        <v>5070</v>
      </c>
      <c r="C83" s="3" t="s">
        <v>139</v>
      </c>
      <c r="D83" s="19">
        <v>1020141</v>
      </c>
      <c r="E83" s="20">
        <f t="shared" si="5"/>
        <v>3.5054525912192941E-3</v>
      </c>
      <c r="F83" s="19">
        <f t="shared" si="6"/>
        <v>164318.23393696063</v>
      </c>
      <c r="G83" s="5">
        <f t="shared" si="7"/>
        <v>1184459.2339369606</v>
      </c>
    </row>
    <row r="84" spans="1:7" x14ac:dyDescent="0.2">
      <c r="A84">
        <v>2015</v>
      </c>
      <c r="B84" s="3" t="str">
        <f t="shared" si="4"/>
        <v>5072</v>
      </c>
      <c r="C84" s="3" t="s">
        <v>140</v>
      </c>
      <c r="D84" s="19">
        <v>135455</v>
      </c>
      <c r="E84" s="20">
        <f t="shared" si="5"/>
        <v>4.6545632490372361E-4</v>
      </c>
      <c r="F84" s="19">
        <f t="shared" si="6"/>
        <v>21818.284313571367</v>
      </c>
      <c r="G84" s="5">
        <f t="shared" si="7"/>
        <v>157273.28431357138</v>
      </c>
    </row>
    <row r="85" spans="1:7" x14ac:dyDescent="0.2">
      <c r="A85">
        <v>2015</v>
      </c>
      <c r="B85" s="3" t="str">
        <f t="shared" si="4"/>
        <v>5073</v>
      </c>
      <c r="C85" s="3" t="s">
        <v>141</v>
      </c>
      <c r="D85" s="19">
        <v>268593</v>
      </c>
      <c r="E85" s="20">
        <f t="shared" si="5"/>
        <v>9.2295087427459919E-4</v>
      </c>
      <c r="F85" s="19">
        <f t="shared" si="6"/>
        <v>43263.360072607684</v>
      </c>
      <c r="G85" s="5">
        <f t="shared" si="7"/>
        <v>311856.3600726077</v>
      </c>
    </row>
    <row r="86" spans="1:7" x14ac:dyDescent="0.2">
      <c r="A86">
        <v>2015</v>
      </c>
      <c r="B86" s="3" t="str">
        <f t="shared" si="4"/>
        <v>5076</v>
      </c>
      <c r="C86" s="3" t="s">
        <v>142</v>
      </c>
      <c r="D86" s="19">
        <v>154212</v>
      </c>
      <c r="E86" s="20">
        <f t="shared" si="5"/>
        <v>5.299099389173749E-4</v>
      </c>
      <c r="F86" s="19">
        <f t="shared" si="6"/>
        <v>24839.550113059446</v>
      </c>
      <c r="G86" s="5">
        <f t="shared" si="7"/>
        <v>179051.55011305943</v>
      </c>
    </row>
    <row r="87" spans="1:7" x14ac:dyDescent="0.2">
      <c r="A87">
        <v>2015</v>
      </c>
      <c r="B87" s="3" t="str">
        <f t="shared" si="4"/>
        <v>5077</v>
      </c>
      <c r="C87" s="3" t="s">
        <v>195</v>
      </c>
      <c r="D87" s="19">
        <v>351302</v>
      </c>
      <c r="E87" s="20">
        <f t="shared" si="5"/>
        <v>1.2071591144758621E-3</v>
      </c>
      <c r="F87" s="19">
        <f t="shared" si="6"/>
        <v>56585.63298457973</v>
      </c>
      <c r="G87" s="5">
        <f t="shared" si="7"/>
        <v>407887.63298457972</v>
      </c>
    </row>
    <row r="88" spans="1:7" x14ac:dyDescent="0.2">
      <c r="A88">
        <v>2015</v>
      </c>
      <c r="B88" s="3" t="str">
        <f t="shared" si="4"/>
        <v>5078</v>
      </c>
      <c r="C88" s="3" t="s">
        <v>144</v>
      </c>
      <c r="D88" s="19">
        <v>279143</v>
      </c>
      <c r="E88" s="20">
        <f t="shared" si="5"/>
        <v>9.592032402096646E-4</v>
      </c>
      <c r="F88" s="19">
        <f t="shared" si="6"/>
        <v>44962.691212160877</v>
      </c>
      <c r="G88" s="5">
        <f t="shared" si="7"/>
        <v>324105.69121216086</v>
      </c>
    </row>
    <row r="89" spans="1:7" x14ac:dyDescent="0.2">
      <c r="A89">
        <v>2015</v>
      </c>
      <c r="B89" s="3" t="str">
        <f t="shared" si="4"/>
        <v>5079</v>
      </c>
      <c r="C89" s="3" t="s">
        <v>145</v>
      </c>
      <c r="D89" s="19">
        <v>316333</v>
      </c>
      <c r="E89" s="20">
        <f t="shared" si="5"/>
        <v>1.0869971254347909E-3</v>
      </c>
      <c r="F89" s="19">
        <f t="shared" si="6"/>
        <v>50953.034821637972</v>
      </c>
      <c r="G89" s="5">
        <f t="shared" si="7"/>
        <v>367286.03482163796</v>
      </c>
    </row>
    <row r="90" spans="1:7" x14ac:dyDescent="0.2">
      <c r="A90">
        <v>2015</v>
      </c>
      <c r="B90" s="3" t="str">
        <f t="shared" si="4"/>
        <v>5080</v>
      </c>
      <c r="C90" s="3" t="s">
        <v>146</v>
      </c>
      <c r="D90" s="19">
        <v>293224</v>
      </c>
      <c r="E90" s="20">
        <f t="shared" si="5"/>
        <v>1.007588980942523E-3</v>
      </c>
      <c r="F90" s="19">
        <f t="shared" si="6"/>
        <v>47230.774792828983</v>
      </c>
      <c r="G90" s="5">
        <f t="shared" si="7"/>
        <v>340454.774792829</v>
      </c>
    </row>
    <row r="91" spans="1:7" x14ac:dyDescent="0.2">
      <c r="A91">
        <v>2015</v>
      </c>
      <c r="B91" s="3" t="str">
        <f t="shared" si="4"/>
        <v>5081</v>
      </c>
      <c r="C91" s="3" t="s">
        <v>147</v>
      </c>
      <c r="D91" s="19">
        <v>250613</v>
      </c>
      <c r="E91" s="20">
        <f t="shared" si="5"/>
        <v>8.6116722124024122E-4</v>
      </c>
      <c r="F91" s="19">
        <f t="shared" si="6"/>
        <v>40367.248803492381</v>
      </c>
      <c r="G91" s="5">
        <f t="shared" si="7"/>
        <v>290980.2488034924</v>
      </c>
    </row>
    <row r="92" spans="1:7" x14ac:dyDescent="0.2">
      <c r="A92">
        <v>2015</v>
      </c>
      <c r="B92" s="3" t="str">
        <f t="shared" si="4"/>
        <v>5082</v>
      </c>
      <c r="C92" s="3" t="s">
        <v>148</v>
      </c>
      <c r="D92" s="19">
        <v>115636</v>
      </c>
      <c r="E92" s="20">
        <f t="shared" si="5"/>
        <v>3.9735342059404953E-4</v>
      </c>
      <c r="F92" s="19">
        <f t="shared" si="6"/>
        <v>18625.957881836315</v>
      </c>
      <c r="G92" s="5">
        <f t="shared" si="7"/>
        <v>134261.95788183631</v>
      </c>
    </row>
    <row r="93" spans="1:7" x14ac:dyDescent="0.2">
      <c r="A93">
        <v>2015</v>
      </c>
      <c r="B93" s="3" t="str">
        <f t="shared" si="4"/>
        <v>5083</v>
      </c>
      <c r="C93" s="3" t="s">
        <v>149</v>
      </c>
      <c r="D93" s="19">
        <v>185711</v>
      </c>
      <c r="E93" s="20">
        <f t="shared" si="5"/>
        <v>6.3814816399686552E-4</v>
      </c>
      <c r="F93" s="19">
        <f t="shared" si="6"/>
        <v>29913.221351427794</v>
      </c>
      <c r="G93" s="5">
        <f t="shared" si="7"/>
        <v>215624.22135142778</v>
      </c>
    </row>
    <row r="94" spans="1:7" x14ac:dyDescent="0.2">
      <c r="A94">
        <v>2015</v>
      </c>
      <c r="B94" s="3" t="str">
        <f t="shared" si="4"/>
        <v>5087</v>
      </c>
      <c r="C94" s="3" t="s">
        <v>360</v>
      </c>
      <c r="D94" s="19">
        <v>228802</v>
      </c>
      <c r="E94" s="20">
        <f t="shared" si="5"/>
        <v>7.8621932044311226E-4</v>
      </c>
      <c r="F94" s="19">
        <f t="shared" si="6"/>
        <v>36854.062880763027</v>
      </c>
      <c r="G94" s="5">
        <f t="shared" si="7"/>
        <v>265656.06288076303</v>
      </c>
    </row>
    <row r="95" spans="1:7" x14ac:dyDescent="0.2">
      <c r="A95">
        <v>2015</v>
      </c>
      <c r="B95" s="3" t="str">
        <f t="shared" si="4"/>
        <v>5088</v>
      </c>
      <c r="C95" s="3" t="s">
        <v>151</v>
      </c>
      <c r="D95" s="19">
        <v>438187</v>
      </c>
      <c r="E95" s="20">
        <f t="shared" si="5"/>
        <v>1.5057171063496211E-3</v>
      </c>
      <c r="F95" s="19">
        <f t="shared" si="6"/>
        <v>70580.551094539856</v>
      </c>
      <c r="G95" s="5">
        <f t="shared" si="7"/>
        <v>508767.55109453987</v>
      </c>
    </row>
    <row r="96" spans="1:7" x14ac:dyDescent="0.2">
      <c r="A96">
        <v>2015</v>
      </c>
      <c r="B96" s="3" t="str">
        <f t="shared" si="4"/>
        <v>5089</v>
      </c>
      <c r="C96" s="3" t="s">
        <v>152</v>
      </c>
      <c r="D96" s="19">
        <v>234870</v>
      </c>
      <c r="E96" s="20">
        <f t="shared" si="5"/>
        <v>8.0707044428140389E-4</v>
      </c>
      <c r="F96" s="19">
        <f t="shared" si="6"/>
        <v>37831.460165579025</v>
      </c>
      <c r="G96" s="5">
        <f t="shared" si="7"/>
        <v>272701.46016557905</v>
      </c>
    </row>
    <row r="97" spans="1:7" x14ac:dyDescent="0.2">
      <c r="A97">
        <v>2015</v>
      </c>
      <c r="B97" s="3" t="str">
        <f t="shared" si="4"/>
        <v>5090</v>
      </c>
      <c r="C97" s="3" t="s">
        <v>153</v>
      </c>
      <c r="D97" s="19">
        <v>170906</v>
      </c>
      <c r="E97" s="20">
        <f t="shared" si="5"/>
        <v>5.8727458317519307E-4</v>
      </c>
      <c r="F97" s="19">
        <f t="shared" si="6"/>
        <v>27528.520164595084</v>
      </c>
      <c r="G97" s="5">
        <f t="shared" si="7"/>
        <v>198434.52016459507</v>
      </c>
    </row>
    <row r="98" spans="1:7" x14ac:dyDescent="0.2">
      <c r="A98">
        <v>2015</v>
      </c>
      <c r="B98" s="3" t="str">
        <f t="shared" si="4"/>
        <v>5092</v>
      </c>
      <c r="C98" s="3" t="s">
        <v>154</v>
      </c>
      <c r="D98" s="19">
        <v>802217</v>
      </c>
      <c r="E98" s="20">
        <f t="shared" si="5"/>
        <v>2.7566127244862903E-3</v>
      </c>
      <c r="F98" s="19">
        <f t="shared" si="6"/>
        <v>129216.33448141656</v>
      </c>
      <c r="G98" s="5">
        <f t="shared" si="7"/>
        <v>931433.3344814165</v>
      </c>
    </row>
    <row r="99" spans="1:7" x14ac:dyDescent="0.2">
      <c r="A99">
        <v>2015</v>
      </c>
      <c r="B99" s="3" t="str">
        <f t="shared" si="4"/>
        <v>5093</v>
      </c>
      <c r="C99" s="3" t="s">
        <v>155</v>
      </c>
      <c r="D99" s="19">
        <v>198890</v>
      </c>
      <c r="E99" s="20">
        <f t="shared" si="5"/>
        <v>6.8343441334835621E-4</v>
      </c>
      <c r="F99" s="19">
        <f t="shared" si="6"/>
        <v>32036.016146515143</v>
      </c>
      <c r="G99" s="5">
        <f t="shared" si="7"/>
        <v>230926.01614651515</v>
      </c>
    </row>
    <row r="100" spans="1:7" x14ac:dyDescent="0.2">
      <c r="A100">
        <v>2015</v>
      </c>
      <c r="B100" s="3" t="str">
        <f t="shared" si="4"/>
        <v>5095</v>
      </c>
      <c r="C100" s="3" t="s">
        <v>156</v>
      </c>
      <c r="D100" s="19">
        <v>337355</v>
      </c>
      <c r="E100" s="20">
        <f t="shared" si="5"/>
        <v>1.1592338303340274E-3</v>
      </c>
      <c r="F100" s="19">
        <f t="shared" si="6"/>
        <v>54339.133325494578</v>
      </c>
      <c r="G100" s="5">
        <f t="shared" si="7"/>
        <v>391694.13332549459</v>
      </c>
    </row>
    <row r="101" spans="1:7" x14ac:dyDescent="0.2">
      <c r="A101">
        <v>2015</v>
      </c>
      <c r="B101" s="3" t="str">
        <f t="shared" si="4"/>
        <v>5096</v>
      </c>
      <c r="C101" s="3" t="s">
        <v>157</v>
      </c>
      <c r="D101" s="19">
        <v>313123</v>
      </c>
      <c r="E101" s="20">
        <f t="shared" si="5"/>
        <v>1.0759667847095246E-3</v>
      </c>
      <c r="F101" s="19">
        <f t="shared" si="6"/>
        <v>50435.98714789714</v>
      </c>
      <c r="G101" s="5">
        <f t="shared" si="7"/>
        <v>363558.98714789713</v>
      </c>
    </row>
    <row r="102" spans="1:7" x14ac:dyDescent="0.2">
      <c r="A102">
        <v>2015</v>
      </c>
      <c r="B102" s="3" t="str">
        <f t="shared" si="4"/>
        <v>5098</v>
      </c>
      <c r="C102" s="3" t="s">
        <v>158</v>
      </c>
      <c r="D102" s="19">
        <v>166297</v>
      </c>
      <c r="E102" s="20">
        <f t="shared" si="5"/>
        <v>5.7143693818991197E-4</v>
      </c>
      <c r="F102" s="19">
        <f t="shared" si="6"/>
        <v>26786.129906566588</v>
      </c>
      <c r="G102" s="5">
        <f t="shared" si="7"/>
        <v>193083.12990656658</v>
      </c>
    </row>
    <row r="103" spans="1:7" x14ac:dyDescent="0.2">
      <c r="A103">
        <v>2015</v>
      </c>
      <c r="B103" s="3" t="str">
        <f t="shared" si="4"/>
        <v>5099</v>
      </c>
      <c r="C103" s="3" t="s">
        <v>159</v>
      </c>
      <c r="D103" s="19">
        <v>621022</v>
      </c>
      <c r="E103" s="20">
        <f t="shared" si="5"/>
        <v>2.1339826348555626E-3</v>
      </c>
      <c r="F103" s="19">
        <f t="shared" si="6"/>
        <v>100030.52350214253</v>
      </c>
      <c r="G103" s="5">
        <f t="shared" si="7"/>
        <v>721052.52350214252</v>
      </c>
    </row>
    <row r="104" spans="1:7" x14ac:dyDescent="0.2">
      <c r="A104">
        <v>2015</v>
      </c>
      <c r="B104" s="3" t="str">
        <f t="shared" si="4"/>
        <v>5100</v>
      </c>
      <c r="C104" s="3" t="s">
        <v>160</v>
      </c>
      <c r="D104" s="19">
        <v>675914</v>
      </c>
      <c r="E104" s="20">
        <f t="shared" si="5"/>
        <v>2.3226048975008339E-3</v>
      </c>
      <c r="F104" s="19">
        <f t="shared" si="6"/>
        <v>108872.19979715238</v>
      </c>
      <c r="G104" s="5">
        <f t="shared" si="7"/>
        <v>784786.19979715243</v>
      </c>
    </row>
    <row r="105" spans="1:7" x14ac:dyDescent="0.2">
      <c r="A105">
        <v>2015</v>
      </c>
      <c r="B105" s="3" t="str">
        <f t="shared" si="4"/>
        <v>5101</v>
      </c>
      <c r="C105" s="3" t="s">
        <v>161</v>
      </c>
      <c r="D105" s="19">
        <v>437151</v>
      </c>
      <c r="E105" s="20">
        <f t="shared" si="5"/>
        <v>1.5021571583772298E-3</v>
      </c>
      <c r="F105" s="19">
        <f t="shared" si="6"/>
        <v>70413.678387376145</v>
      </c>
      <c r="G105" s="5">
        <f t="shared" si="7"/>
        <v>507564.67838737613</v>
      </c>
    </row>
    <row r="106" spans="1:7" x14ac:dyDescent="0.2">
      <c r="A106">
        <v>2015</v>
      </c>
      <c r="B106" s="3" t="str">
        <f t="shared" si="4"/>
        <v>5102</v>
      </c>
      <c r="C106" s="3" t="s">
        <v>162</v>
      </c>
      <c r="D106" s="19">
        <v>1005393</v>
      </c>
      <c r="E106" s="20">
        <f t="shared" si="5"/>
        <v>3.4547748762609677E-3</v>
      </c>
      <c r="F106" s="19">
        <f t="shared" si="6"/>
        <v>161942.71397050278</v>
      </c>
      <c r="G106" s="5">
        <f t="shared" si="7"/>
        <v>1167335.7139705028</v>
      </c>
    </row>
    <row r="107" spans="1:7" x14ac:dyDescent="0.2">
      <c r="A107">
        <v>2015</v>
      </c>
      <c r="B107" s="3" t="str">
        <f t="shared" si="4"/>
        <v>5103</v>
      </c>
      <c r="C107" s="3" t="s">
        <v>163</v>
      </c>
      <c r="D107" s="19">
        <v>609234</v>
      </c>
      <c r="E107" s="20">
        <f t="shared" si="5"/>
        <v>2.0934761998183541E-3</v>
      </c>
      <c r="F107" s="19">
        <f t="shared" si="6"/>
        <v>98131.782699009535</v>
      </c>
      <c r="G107" s="5">
        <f t="shared" si="7"/>
        <v>707365.78269900952</v>
      </c>
    </row>
    <row r="108" spans="1:7" x14ac:dyDescent="0.2">
      <c r="A108">
        <v>2015</v>
      </c>
      <c r="B108" s="3" t="str">
        <f t="shared" si="4"/>
        <v>5104</v>
      </c>
      <c r="C108" s="3" t="s">
        <v>164</v>
      </c>
      <c r="D108" s="19">
        <v>223641</v>
      </c>
      <c r="E108" s="20">
        <f t="shared" si="5"/>
        <v>7.6848486920227119E-4</v>
      </c>
      <c r="F108" s="19">
        <f t="shared" si="6"/>
        <v>36022.759751736099</v>
      </c>
      <c r="G108" s="5">
        <f t="shared" si="7"/>
        <v>259663.7597517361</v>
      </c>
    </row>
    <row r="109" spans="1:7" x14ac:dyDescent="0.2">
      <c r="A109">
        <v>2015</v>
      </c>
      <c r="B109" s="3" t="str">
        <f t="shared" si="4"/>
        <v>5105</v>
      </c>
      <c r="C109" s="3" t="s">
        <v>165</v>
      </c>
      <c r="D109" s="19">
        <v>168872</v>
      </c>
      <c r="E109" s="20">
        <f t="shared" si="5"/>
        <v>5.8028526447264121E-4</v>
      </c>
      <c r="F109" s="19">
        <f t="shared" si="6"/>
        <v>27200.8955638509</v>
      </c>
      <c r="G109" s="5">
        <f t="shared" si="7"/>
        <v>196072.89556385091</v>
      </c>
    </row>
    <row r="110" spans="1:7" x14ac:dyDescent="0.2">
      <c r="A110">
        <v>2015</v>
      </c>
      <c r="B110" s="3" t="str">
        <f t="shared" si="4"/>
        <v>5106</v>
      </c>
      <c r="C110" s="3" t="s">
        <v>166</v>
      </c>
      <c r="D110" s="19">
        <v>464511</v>
      </c>
      <c r="E110" s="20">
        <f t="shared" si="5"/>
        <v>1.5961727727832383E-3</v>
      </c>
      <c r="F110" s="19">
        <f t="shared" si="6"/>
        <v>74820.664167297975</v>
      </c>
      <c r="G110" s="5">
        <f t="shared" si="7"/>
        <v>539331.664167298</v>
      </c>
    </row>
    <row r="111" spans="1:7" x14ac:dyDescent="0.2">
      <c r="A111">
        <v>2015</v>
      </c>
      <c r="B111" s="3" t="str">
        <f t="shared" si="4"/>
        <v>5116</v>
      </c>
      <c r="C111" s="3" t="s">
        <v>167</v>
      </c>
      <c r="D111" s="19">
        <v>602453</v>
      </c>
      <c r="E111" s="20">
        <f t="shared" si="5"/>
        <v>2.0701750345666309E-3</v>
      </c>
      <c r="F111" s="19">
        <f t="shared" si="6"/>
        <v>97039.539622487238</v>
      </c>
      <c r="G111" s="5">
        <f t="shared" si="7"/>
        <v>699492.53962248727</v>
      </c>
    </row>
    <row r="112" spans="1:7" x14ac:dyDescent="0.2">
      <c r="A112">
        <v>2015</v>
      </c>
      <c r="B112" s="3" t="str">
        <f t="shared" si="4"/>
        <v>5117</v>
      </c>
      <c r="C112" s="3" t="s">
        <v>168</v>
      </c>
      <c r="D112" s="19">
        <v>145072</v>
      </c>
      <c r="E112" s="20">
        <f t="shared" si="5"/>
        <v>4.9850267591770696E-4</v>
      </c>
      <c r="F112" s="19">
        <f t="shared" si="6"/>
        <v>23367.333372252226</v>
      </c>
      <c r="G112" s="5">
        <f t="shared" si="7"/>
        <v>168439.33337225224</v>
      </c>
    </row>
    <row r="113" spans="1:7" x14ac:dyDescent="0.2">
      <c r="A113">
        <v>2015</v>
      </c>
      <c r="B113" s="3" t="str">
        <f t="shared" si="4"/>
        <v>5118</v>
      </c>
      <c r="C113" s="3" t="s">
        <v>169</v>
      </c>
      <c r="D113" s="19">
        <v>890700</v>
      </c>
      <c r="E113" s="20">
        <f t="shared" si="5"/>
        <v>3.060661833020166E-3</v>
      </c>
      <c r="F113" s="19">
        <f t="shared" si="6"/>
        <v>143468.64890995543</v>
      </c>
      <c r="G113" s="5">
        <f t="shared" si="7"/>
        <v>1034168.6489099554</v>
      </c>
    </row>
    <row r="114" spans="1:7" x14ac:dyDescent="0.2">
      <c r="A114">
        <v>2015</v>
      </c>
      <c r="B114" s="3" t="str">
        <f t="shared" si="4"/>
        <v>5119</v>
      </c>
      <c r="C114" s="3" t="s">
        <v>170</v>
      </c>
      <c r="D114" s="19">
        <v>154073</v>
      </c>
      <c r="E114" s="20">
        <f t="shared" si="5"/>
        <v>5.2943230111026837E-4</v>
      </c>
      <c r="F114" s="19">
        <f t="shared" si="6"/>
        <v>24817.160821268175</v>
      </c>
      <c r="G114" s="5">
        <f t="shared" si="7"/>
        <v>178890.16082126816</v>
      </c>
    </row>
    <row r="115" spans="1:7" x14ac:dyDescent="0.2">
      <c r="A115">
        <v>2015</v>
      </c>
      <c r="B115" s="3" t="str">
        <f t="shared" si="4"/>
        <v>5120</v>
      </c>
      <c r="C115" s="3" t="s">
        <v>366</v>
      </c>
      <c r="D115" s="19">
        <v>3264063</v>
      </c>
      <c r="E115" s="20">
        <f t="shared" si="5"/>
        <v>1.1216114342285059E-2</v>
      </c>
      <c r="F115" s="19">
        <f t="shared" si="6"/>
        <v>525755.81965530012</v>
      </c>
      <c r="G115" s="5">
        <f t="shared" si="7"/>
        <v>3789818.8196553001</v>
      </c>
    </row>
    <row r="116" spans="1:7" x14ac:dyDescent="0.2">
      <c r="A116">
        <v>2015</v>
      </c>
      <c r="B116" s="3" t="str">
        <f t="shared" si="4"/>
        <v>5122</v>
      </c>
      <c r="C116" s="3" t="s">
        <v>172</v>
      </c>
      <c r="D116" s="19">
        <v>159902</v>
      </c>
      <c r="E116" s="20">
        <f t="shared" si="5"/>
        <v>5.4946216281979412E-4</v>
      </c>
      <c r="F116" s="19">
        <f t="shared" si="6"/>
        <v>25756.061410126524</v>
      </c>
      <c r="G116" s="5">
        <f t="shared" si="7"/>
        <v>185658.06141012651</v>
      </c>
    </row>
    <row r="117" spans="1:7" x14ac:dyDescent="0.2">
      <c r="A117">
        <v>2015</v>
      </c>
      <c r="B117" s="3" t="str">
        <f t="shared" si="4"/>
        <v>5123</v>
      </c>
      <c r="C117" s="3" t="s">
        <v>173</v>
      </c>
      <c r="D117" s="19">
        <v>168090</v>
      </c>
      <c r="E117" s="20">
        <f t="shared" si="5"/>
        <v>5.7759812227726472E-4</v>
      </c>
      <c r="F117" s="19">
        <f t="shared" si="6"/>
        <v>27074.935663269796</v>
      </c>
      <c r="G117" s="5">
        <f t="shared" si="7"/>
        <v>195164.9356632698</v>
      </c>
    </row>
    <row r="118" spans="1:7" x14ac:dyDescent="0.2">
      <c r="A118">
        <v>2015</v>
      </c>
      <c r="B118" s="3" t="str">
        <f t="shared" si="4"/>
        <v>5125</v>
      </c>
      <c r="C118" s="3" t="s">
        <v>174</v>
      </c>
      <c r="D118" s="19">
        <v>1137078</v>
      </c>
      <c r="E118" s="20">
        <f t="shared" si="5"/>
        <v>3.9072765642381322E-3</v>
      </c>
      <c r="F118" s="19">
        <f t="shared" si="6"/>
        <v>183153.7491470016</v>
      </c>
      <c r="G118" s="5">
        <f t="shared" si="7"/>
        <v>1320231.7491470017</v>
      </c>
    </row>
    <row r="119" spans="1:7" x14ac:dyDescent="0.2">
      <c r="A119">
        <v>2015</v>
      </c>
      <c r="B119" s="3" t="str">
        <f t="shared" si="4"/>
        <v>5127</v>
      </c>
      <c r="C119" s="3" t="s">
        <v>175</v>
      </c>
      <c r="D119" s="19">
        <v>140638</v>
      </c>
      <c r="E119" s="20">
        <f t="shared" si="5"/>
        <v>4.8326637349532965E-4</v>
      </c>
      <c r="F119" s="19">
        <f t="shared" si="6"/>
        <v>22653.13107151489</v>
      </c>
      <c r="G119" s="5">
        <f t="shared" si="7"/>
        <v>163291.13107151489</v>
      </c>
    </row>
    <row r="120" spans="1:7" x14ac:dyDescent="0.2">
      <c r="A120">
        <v>2015</v>
      </c>
      <c r="B120" s="3" t="str">
        <f t="shared" si="4"/>
        <v>5128</v>
      </c>
      <c r="C120" s="3" t="s">
        <v>176</v>
      </c>
      <c r="D120" s="19">
        <v>213771</v>
      </c>
      <c r="E120" s="20">
        <f t="shared" si="5"/>
        <v>7.3456914865448967E-4</v>
      </c>
      <c r="F120" s="19">
        <f t="shared" si="6"/>
        <v>34432.958960514297</v>
      </c>
      <c r="G120" s="5">
        <f t="shared" si="7"/>
        <v>248203.95896051428</v>
      </c>
    </row>
    <row r="121" spans="1:7" x14ac:dyDescent="0.2">
      <c r="A121">
        <v>2015</v>
      </c>
      <c r="B121" s="3" t="str">
        <f t="shared" si="4"/>
        <v>5129</v>
      </c>
      <c r="C121" s="3" t="s">
        <v>177</v>
      </c>
      <c r="D121" s="19">
        <v>549795</v>
      </c>
      <c r="E121" s="20">
        <f t="shared" si="5"/>
        <v>1.8892293392672305E-3</v>
      </c>
      <c r="F121" s="19">
        <f t="shared" si="6"/>
        <v>88557.702736554333</v>
      </c>
      <c r="G121" s="5">
        <f t="shared" si="7"/>
        <v>638352.70273655432</v>
      </c>
    </row>
    <row r="122" spans="1:7" x14ac:dyDescent="0.2">
      <c r="A122">
        <v>2015</v>
      </c>
      <c r="B122" s="3" t="str">
        <f t="shared" si="4"/>
        <v>5130</v>
      </c>
      <c r="C122" s="3" t="s">
        <v>178</v>
      </c>
      <c r="D122" s="19">
        <v>488148</v>
      </c>
      <c r="E122" s="20">
        <f t="shared" si="5"/>
        <v>1.6773952536938679E-3</v>
      </c>
      <c r="F122" s="19">
        <f t="shared" si="6"/>
        <v>78627.971290105459</v>
      </c>
      <c r="G122" s="5">
        <f t="shared" si="7"/>
        <v>566775.97129010549</v>
      </c>
    </row>
    <row r="123" spans="1:7" x14ac:dyDescent="0.2">
      <c r="A123">
        <v>2015</v>
      </c>
      <c r="B123" s="3" t="str">
        <f t="shared" si="4"/>
        <v>5131</v>
      </c>
      <c r="C123" s="3" t="s">
        <v>179</v>
      </c>
      <c r="D123" s="19">
        <v>537277</v>
      </c>
      <c r="E123" s="20">
        <f t="shared" si="5"/>
        <v>1.8462144466819084E-3</v>
      </c>
      <c r="F123" s="19">
        <f t="shared" si="6"/>
        <v>86541.377883006775</v>
      </c>
      <c r="G123" s="5">
        <f t="shared" si="7"/>
        <v>623818.37788300682</v>
      </c>
    </row>
    <row r="124" spans="1:7" x14ac:dyDescent="0.2">
      <c r="A124">
        <v>2015</v>
      </c>
      <c r="B124" s="3" t="str">
        <f t="shared" si="4"/>
        <v>5132</v>
      </c>
      <c r="C124" s="3" t="s">
        <v>180</v>
      </c>
      <c r="D124" s="19">
        <v>2015212</v>
      </c>
      <c r="E124" s="20">
        <f t="shared" si="5"/>
        <v>6.9247585649985796E-3</v>
      </c>
      <c r="F124" s="19">
        <f t="shared" si="6"/>
        <v>324598.34164940956</v>
      </c>
      <c r="G124" s="5">
        <f t="shared" si="7"/>
        <v>2339810.3416494094</v>
      </c>
    </row>
    <row r="125" spans="1:7" x14ac:dyDescent="0.2">
      <c r="A125">
        <v>2015</v>
      </c>
      <c r="B125" s="3" t="str">
        <f t="shared" si="4"/>
        <v>5133</v>
      </c>
      <c r="C125" s="3" t="s">
        <v>361</v>
      </c>
      <c r="D125" s="19">
        <v>199660</v>
      </c>
      <c r="E125" s="20">
        <f t="shared" si="5"/>
        <v>6.8608032062513348E-4</v>
      </c>
      <c r="F125" s="19">
        <f t="shared" si="6"/>
        <v>32160.043158596276</v>
      </c>
      <c r="G125" s="5">
        <f t="shared" si="7"/>
        <v>231820.04315859627</v>
      </c>
    </row>
    <row r="126" spans="1:7" x14ac:dyDescent="0.2">
      <c r="A126">
        <v>2015</v>
      </c>
      <c r="B126" s="3" t="str">
        <f t="shared" si="4"/>
        <v>5134</v>
      </c>
      <c r="C126" s="3" t="s">
        <v>182</v>
      </c>
      <c r="D126" s="19">
        <v>199868</v>
      </c>
      <c r="E126" s="20">
        <f t="shared" si="5"/>
        <v>6.8679505921418501E-4</v>
      </c>
      <c r="F126" s="19">
        <f t="shared" si="6"/>
        <v>32193.546559262351</v>
      </c>
      <c r="G126" s="5">
        <f t="shared" si="7"/>
        <v>232061.54655926235</v>
      </c>
    </row>
    <row r="127" spans="1:7" x14ac:dyDescent="0.2">
      <c r="A127">
        <v>2015</v>
      </c>
      <c r="B127" s="3" t="str">
        <f t="shared" si="4"/>
        <v>5135</v>
      </c>
      <c r="C127" s="3" t="s">
        <v>183</v>
      </c>
      <c r="D127" s="19">
        <v>974157</v>
      </c>
      <c r="E127" s="20">
        <f t="shared" si="5"/>
        <v>3.3474403831474414E-3</v>
      </c>
      <c r="F127" s="19">
        <f t="shared" si="6"/>
        <v>156911.40520509201</v>
      </c>
      <c r="G127" s="5">
        <f t="shared" si="7"/>
        <v>1131068.4052050919</v>
      </c>
    </row>
    <row r="128" spans="1:7" x14ac:dyDescent="0.2">
      <c r="A128">
        <v>2015</v>
      </c>
      <c r="B128" s="3" t="str">
        <f t="shared" si="4"/>
        <v>5137</v>
      </c>
      <c r="C128" s="3" t="s">
        <v>184</v>
      </c>
      <c r="D128" s="19">
        <v>152976</v>
      </c>
      <c r="E128" s="20">
        <f t="shared" si="5"/>
        <v>5.2566274230166489E-4</v>
      </c>
      <c r="F128" s="19">
        <f t="shared" si="6"/>
        <v>24640.462597562975</v>
      </c>
      <c r="G128" s="5">
        <f t="shared" si="7"/>
        <v>177616.46259756299</v>
      </c>
    </row>
    <row r="129" spans="1:7" x14ac:dyDescent="0.2">
      <c r="A129">
        <v>2015</v>
      </c>
      <c r="B129" s="3" t="str">
        <f t="shared" si="4"/>
        <v>5138</v>
      </c>
      <c r="C129" s="3" t="s">
        <v>185</v>
      </c>
      <c r="D129" s="19">
        <v>172732</v>
      </c>
      <c r="E129" s="20">
        <f t="shared" si="5"/>
        <v>5.9354916328869351E-4</v>
      </c>
      <c r="F129" s="19">
        <f t="shared" si="6"/>
        <v>27822.641364673203</v>
      </c>
      <c r="G129" s="5">
        <f t="shared" si="7"/>
        <v>200554.64136467321</v>
      </c>
    </row>
    <row r="130" spans="1:7" x14ac:dyDescent="0.2">
      <c r="A130">
        <v>2015</v>
      </c>
      <c r="B130" s="3" t="str">
        <f t="shared" si="4"/>
        <v>5140</v>
      </c>
      <c r="C130" s="3" t="s">
        <v>186</v>
      </c>
      <c r="D130" s="19">
        <v>206320</v>
      </c>
      <c r="E130" s="20">
        <f t="shared" si="5"/>
        <v>7.0896570044764865E-4</v>
      </c>
      <c r="F130" s="19">
        <f t="shared" si="6"/>
        <v>33232.79627607725</v>
      </c>
      <c r="G130" s="5">
        <f t="shared" si="7"/>
        <v>239552.79627607725</v>
      </c>
    </row>
    <row r="131" spans="1:7" x14ac:dyDescent="0.2">
      <c r="A131">
        <v>2015</v>
      </c>
      <c r="B131" s="3" t="str">
        <f t="shared" ref="B131:B194" si="8">LEFT(C131,4)</f>
        <v>5141</v>
      </c>
      <c r="C131" s="3" t="s">
        <v>187</v>
      </c>
      <c r="D131" s="19">
        <v>264112</v>
      </c>
      <c r="E131" s="20">
        <f t="shared" ref="E131:E194" si="9">D131/$D$290</f>
        <v>9.0755306842104201E-4</v>
      </c>
      <c r="F131" s="19">
        <f t="shared" ref="F131:F194" si="10">E131*$D$291</f>
        <v>42541.587291912147</v>
      </c>
      <c r="G131" s="5">
        <f t="shared" ref="G131:G194" si="11">SUM(F131,D131)</f>
        <v>306653.58729191218</v>
      </c>
    </row>
    <row r="132" spans="1:7" x14ac:dyDescent="0.2">
      <c r="A132">
        <v>2015</v>
      </c>
      <c r="B132" s="3" t="str">
        <f t="shared" si="8"/>
        <v>5142</v>
      </c>
      <c r="C132" s="3" t="s">
        <v>188</v>
      </c>
      <c r="D132" s="19">
        <v>71804</v>
      </c>
      <c r="E132" s="20">
        <f t="shared" si="9"/>
        <v>2.4673600792430672E-4</v>
      </c>
      <c r="F132" s="19">
        <f t="shared" si="10"/>
        <v>11565.760487628202</v>
      </c>
      <c r="G132" s="5">
        <f t="shared" si="11"/>
        <v>83369.760487628198</v>
      </c>
    </row>
    <row r="133" spans="1:7" x14ac:dyDescent="0.2">
      <c r="A133">
        <v>2015</v>
      </c>
      <c r="B133" s="3" t="str">
        <f t="shared" si="8"/>
        <v>5143</v>
      </c>
      <c r="C133" s="3" t="s">
        <v>189</v>
      </c>
      <c r="D133" s="19">
        <v>401111</v>
      </c>
      <c r="E133" s="20">
        <f t="shared" si="9"/>
        <v>1.3783149528511865E-3</v>
      </c>
      <c r="F133" s="19">
        <f t="shared" si="10"/>
        <v>64608.56992581243</v>
      </c>
      <c r="G133" s="5">
        <f t="shared" si="11"/>
        <v>465719.56992581242</v>
      </c>
    </row>
    <row r="134" spans="1:7" x14ac:dyDescent="0.2">
      <c r="A134">
        <v>2015</v>
      </c>
      <c r="B134" s="3" t="str">
        <f t="shared" si="8"/>
        <v>5144</v>
      </c>
      <c r="C134" s="3" t="s">
        <v>190</v>
      </c>
      <c r="D134" s="19">
        <v>205555</v>
      </c>
      <c r="E134" s="20">
        <f t="shared" si="9"/>
        <v>7.0633697438695438E-4</v>
      </c>
      <c r="F134" s="19">
        <f t="shared" si="10"/>
        <v>33109.574634204437</v>
      </c>
      <c r="G134" s="5">
        <f t="shared" si="11"/>
        <v>238664.57463420444</v>
      </c>
    </row>
    <row r="135" spans="1:7" x14ac:dyDescent="0.2">
      <c r="A135">
        <v>2015</v>
      </c>
      <c r="B135" s="3" t="str">
        <f t="shared" si="8"/>
        <v>5145</v>
      </c>
      <c r="C135" s="3" t="s">
        <v>191</v>
      </c>
      <c r="D135" s="19">
        <v>180266</v>
      </c>
      <c r="E135" s="20">
        <f t="shared" si="9"/>
        <v>6.1943781968251178E-4</v>
      </c>
      <c r="F135" s="19">
        <f t="shared" si="10"/>
        <v>29036.173194568346</v>
      </c>
      <c r="G135" s="5">
        <f t="shared" si="11"/>
        <v>209302.17319456834</v>
      </c>
    </row>
    <row r="136" spans="1:7" x14ac:dyDescent="0.2">
      <c r="A136">
        <v>2015</v>
      </c>
      <c r="B136" s="3" t="str">
        <f t="shared" si="8"/>
        <v>5147</v>
      </c>
      <c r="C136" s="3" t="s">
        <v>192</v>
      </c>
      <c r="D136" s="19">
        <v>3704635</v>
      </c>
      <c r="E136" s="20">
        <f t="shared" si="9"/>
        <v>1.2730026888706256E-2</v>
      </c>
      <c r="F136" s="19">
        <f t="shared" si="10"/>
        <v>596720.53233920818</v>
      </c>
      <c r="G136" s="5">
        <f t="shared" si="11"/>
        <v>4301355.5323392078</v>
      </c>
    </row>
    <row r="137" spans="1:7" x14ac:dyDescent="0.2">
      <c r="A137">
        <v>2015</v>
      </c>
      <c r="B137" s="3" t="str">
        <f t="shared" si="8"/>
        <v>5148</v>
      </c>
      <c r="C137" s="3" t="s">
        <v>193</v>
      </c>
      <c r="D137" s="19">
        <v>380123</v>
      </c>
      <c r="E137" s="20">
        <f t="shared" si="9"/>
        <v>1.3061950802213142E-3</v>
      </c>
      <c r="F137" s="19">
        <f t="shared" si="10"/>
        <v>61227.947939372389</v>
      </c>
      <c r="G137" s="5">
        <f t="shared" si="11"/>
        <v>441350.94793937239</v>
      </c>
    </row>
    <row r="138" spans="1:7" x14ac:dyDescent="0.2">
      <c r="A138">
        <v>2015</v>
      </c>
      <c r="B138" s="3" t="str">
        <f t="shared" si="8"/>
        <v>5149</v>
      </c>
      <c r="C138" s="3" t="s">
        <v>194</v>
      </c>
      <c r="D138" s="19">
        <v>650256</v>
      </c>
      <c r="E138" s="20">
        <f t="shared" si="9"/>
        <v>2.2344377690494679E-3</v>
      </c>
      <c r="F138" s="19">
        <f t="shared" si="10"/>
        <v>104739.36203614234</v>
      </c>
      <c r="G138" s="5">
        <f t="shared" si="11"/>
        <v>754995.36203614238</v>
      </c>
    </row>
    <row r="139" spans="1:7" x14ac:dyDescent="0.2">
      <c r="A139">
        <v>2015</v>
      </c>
      <c r="B139" s="3" t="str">
        <f t="shared" si="8"/>
        <v>5150</v>
      </c>
      <c r="C139" s="3" t="s">
        <v>247</v>
      </c>
      <c r="D139" s="19">
        <v>645864</v>
      </c>
      <c r="E139" s="20">
        <f t="shared" si="9"/>
        <v>2.2193457888421879E-3</v>
      </c>
      <c r="F139" s="19">
        <f t="shared" si="10"/>
        <v>104031.92484515491</v>
      </c>
      <c r="G139" s="5">
        <f t="shared" si="11"/>
        <v>749895.92484515486</v>
      </c>
    </row>
    <row r="140" spans="1:7" x14ac:dyDescent="0.2">
      <c r="A140">
        <v>2015</v>
      </c>
      <c r="B140" s="3" t="str">
        <f t="shared" si="8"/>
        <v>5151</v>
      </c>
      <c r="C140" s="3" t="s">
        <v>196</v>
      </c>
      <c r="D140" s="19">
        <v>257556</v>
      </c>
      <c r="E140" s="20">
        <f t="shared" si="9"/>
        <v>8.8502505789305255E-4</v>
      </c>
      <c r="F140" s="19">
        <f t="shared" si="10"/>
        <v>41485.585874764212</v>
      </c>
      <c r="G140" s="5">
        <f t="shared" si="11"/>
        <v>299041.58587476419</v>
      </c>
    </row>
    <row r="141" spans="1:7" x14ac:dyDescent="0.2">
      <c r="A141">
        <v>2015</v>
      </c>
      <c r="B141" s="3" t="str">
        <f t="shared" si="8"/>
        <v>5152</v>
      </c>
      <c r="C141" s="3" t="s">
        <v>197</v>
      </c>
      <c r="D141" s="19">
        <v>405764</v>
      </c>
      <c r="E141" s="20">
        <f t="shared" si="9"/>
        <v>1.3943037925379979E-3</v>
      </c>
      <c r="F141" s="19">
        <f t="shared" si="10"/>
        <v>65358.047441674142</v>
      </c>
      <c r="G141" s="5">
        <f t="shared" si="11"/>
        <v>471122.04744167416</v>
      </c>
    </row>
    <row r="142" spans="1:7" x14ac:dyDescent="0.2">
      <c r="A142">
        <v>2015</v>
      </c>
      <c r="B142" s="3" t="str">
        <f t="shared" si="8"/>
        <v>5153</v>
      </c>
      <c r="C142" s="3" t="s">
        <v>198</v>
      </c>
      <c r="D142" s="19">
        <v>137786</v>
      </c>
      <c r="E142" s="20">
        <f t="shared" si="9"/>
        <v>4.7346620784160392E-4</v>
      </c>
      <c r="F142" s="19">
        <f t="shared" si="10"/>
        <v>22193.747904689706</v>
      </c>
      <c r="G142" s="5">
        <f t="shared" si="11"/>
        <v>159979.74790468969</v>
      </c>
    </row>
    <row r="143" spans="1:7" x14ac:dyDescent="0.2">
      <c r="A143">
        <v>2015</v>
      </c>
      <c r="B143" s="3" t="str">
        <f t="shared" si="8"/>
        <v>5154</v>
      </c>
      <c r="C143" s="3" t="s">
        <v>199</v>
      </c>
      <c r="D143" s="19">
        <v>142385</v>
      </c>
      <c r="E143" s="20">
        <f t="shared" si="9"/>
        <v>4.8926949039471916E-4</v>
      </c>
      <c r="F143" s="19">
        <f t="shared" si="10"/>
        <v>22934.527422301566</v>
      </c>
      <c r="G143" s="5">
        <f t="shared" si="11"/>
        <v>165319.52742230156</v>
      </c>
    </row>
    <row r="144" spans="1:7" x14ac:dyDescent="0.2">
      <c r="A144">
        <v>2015</v>
      </c>
      <c r="B144" s="3" t="str">
        <f t="shared" si="8"/>
        <v>5155</v>
      </c>
      <c r="C144" s="3" t="s">
        <v>200</v>
      </c>
      <c r="D144" s="19">
        <v>175569</v>
      </c>
      <c r="E144" s="20">
        <f t="shared" si="9"/>
        <v>6.0329778529417033E-4</v>
      </c>
      <c r="F144" s="19">
        <f t="shared" si="10"/>
        <v>28279.608420873432</v>
      </c>
      <c r="G144" s="5">
        <f t="shared" si="11"/>
        <v>203848.60842087344</v>
      </c>
    </row>
    <row r="145" spans="1:7" x14ac:dyDescent="0.2">
      <c r="A145">
        <v>2015</v>
      </c>
      <c r="B145" s="3" t="str">
        <f t="shared" si="8"/>
        <v>5156</v>
      </c>
      <c r="C145" s="3" t="s">
        <v>201</v>
      </c>
      <c r="D145" s="19">
        <v>528383</v>
      </c>
      <c r="E145" s="20">
        <f t="shared" si="9"/>
        <v>1.8156524995135224E-3</v>
      </c>
      <c r="F145" s="19">
        <f t="shared" si="10"/>
        <v>85108.785356448847</v>
      </c>
      <c r="G145" s="5">
        <f t="shared" si="11"/>
        <v>613491.78535644885</v>
      </c>
    </row>
    <row r="146" spans="1:7" x14ac:dyDescent="0.2">
      <c r="A146">
        <v>2015</v>
      </c>
      <c r="B146" s="3" t="str">
        <f t="shared" si="8"/>
        <v>5157</v>
      </c>
      <c r="C146" s="3" t="s">
        <v>202</v>
      </c>
      <c r="D146" s="19">
        <v>114718</v>
      </c>
      <c r="E146" s="20">
        <f t="shared" si="9"/>
        <v>3.9419894932121637E-4</v>
      </c>
      <c r="F146" s="19">
        <f t="shared" si="10"/>
        <v>18478.091911588941</v>
      </c>
      <c r="G146" s="5">
        <f t="shared" si="11"/>
        <v>133196.09191158894</v>
      </c>
    </row>
    <row r="147" spans="1:7" x14ac:dyDescent="0.2">
      <c r="A147">
        <v>2015</v>
      </c>
      <c r="B147" s="3" t="str">
        <f t="shared" si="8"/>
        <v>5158</v>
      </c>
      <c r="C147" s="3" t="s">
        <v>203</v>
      </c>
      <c r="D147" s="19">
        <v>533727</v>
      </c>
      <c r="E147" s="20">
        <f t="shared" si="9"/>
        <v>1.8340157832630001E-3</v>
      </c>
      <c r="F147" s="19">
        <f t="shared" si="10"/>
        <v>85969.56503510024</v>
      </c>
      <c r="G147" s="5">
        <f t="shared" si="11"/>
        <v>619696.56503510021</v>
      </c>
    </row>
    <row r="148" spans="1:7" x14ac:dyDescent="0.2">
      <c r="A148">
        <v>2015</v>
      </c>
      <c r="B148" s="3" t="str">
        <f t="shared" si="8"/>
        <v>5159</v>
      </c>
      <c r="C148" s="3" t="s">
        <v>204</v>
      </c>
      <c r="D148" s="19">
        <v>755530</v>
      </c>
      <c r="E148" s="20">
        <f t="shared" si="9"/>
        <v>2.5961848374331719E-3</v>
      </c>
      <c r="F148" s="19">
        <f t="shared" si="10"/>
        <v>121696.27069825827</v>
      </c>
      <c r="G148" s="5">
        <f t="shared" si="11"/>
        <v>877226.2706982583</v>
      </c>
    </row>
    <row r="149" spans="1:7" x14ac:dyDescent="0.2">
      <c r="A149">
        <v>2015</v>
      </c>
      <c r="B149" s="3" t="str">
        <f t="shared" si="8"/>
        <v>5160</v>
      </c>
      <c r="C149" s="3" t="s">
        <v>205</v>
      </c>
      <c r="D149" s="19">
        <v>245047</v>
      </c>
      <c r="E149" s="20">
        <f t="shared" si="9"/>
        <v>8.4204109149667978E-4</v>
      </c>
      <c r="F149" s="19">
        <f t="shared" si="10"/>
        <v>39470.710687591614</v>
      </c>
      <c r="G149" s="5">
        <f t="shared" si="11"/>
        <v>284517.71068759164</v>
      </c>
    </row>
    <row r="150" spans="1:7" x14ac:dyDescent="0.2">
      <c r="A150">
        <v>2015</v>
      </c>
      <c r="B150" s="3" t="str">
        <f t="shared" si="8"/>
        <v>5161</v>
      </c>
      <c r="C150" s="3" t="s">
        <v>206</v>
      </c>
      <c r="D150" s="19">
        <v>285167</v>
      </c>
      <c r="E150" s="20">
        <f t="shared" si="9"/>
        <v>9.7990316934642606E-4</v>
      </c>
      <c r="F150" s="19">
        <f t="shared" si="10"/>
        <v>45933.001239143661</v>
      </c>
      <c r="G150" s="5">
        <f t="shared" si="11"/>
        <v>331100.00123914366</v>
      </c>
    </row>
    <row r="151" spans="1:7" x14ac:dyDescent="0.2">
      <c r="A151">
        <v>2015</v>
      </c>
      <c r="B151" s="3" t="str">
        <f t="shared" si="8"/>
        <v>5162</v>
      </c>
      <c r="C151" s="3" t="s">
        <v>207</v>
      </c>
      <c r="D151" s="19">
        <v>332894</v>
      </c>
      <c r="E151" s="20">
        <f t="shared" si="9"/>
        <v>1.143904749344802E-3</v>
      </c>
      <c r="F151" s="19">
        <f t="shared" si="10"/>
        <v>53620.582025632313</v>
      </c>
      <c r="G151" s="5">
        <f t="shared" si="11"/>
        <v>386514.58202563232</v>
      </c>
    </row>
    <row r="152" spans="1:7" x14ac:dyDescent="0.2">
      <c r="A152">
        <v>2015</v>
      </c>
      <c r="B152" s="3" t="str">
        <f t="shared" si="8"/>
        <v>5163</v>
      </c>
      <c r="C152" s="3" t="s">
        <v>208</v>
      </c>
      <c r="D152" s="19">
        <v>199454</v>
      </c>
      <c r="E152" s="20">
        <f t="shared" si="9"/>
        <v>6.8537245452251518E-4</v>
      </c>
      <c r="F152" s="19">
        <f t="shared" si="10"/>
        <v>32126.861906013535</v>
      </c>
      <c r="G152" s="5">
        <f t="shared" si="11"/>
        <v>231580.86190601354</v>
      </c>
    </row>
    <row r="153" spans="1:7" x14ac:dyDescent="0.2">
      <c r="A153">
        <v>2015</v>
      </c>
      <c r="B153" s="3" t="str">
        <f t="shared" si="8"/>
        <v>5164</v>
      </c>
      <c r="C153" s="3" t="s">
        <v>209</v>
      </c>
      <c r="D153" s="19">
        <v>192976</v>
      </c>
      <c r="E153" s="20">
        <f t="shared" si="9"/>
        <v>6.6311247096541997E-4</v>
      </c>
      <c r="F153" s="19">
        <f t="shared" si="10"/>
        <v>31083.424264115372</v>
      </c>
      <c r="G153" s="5">
        <f t="shared" si="11"/>
        <v>224059.42426411537</v>
      </c>
    </row>
    <row r="154" spans="1:7" x14ac:dyDescent="0.2">
      <c r="A154">
        <v>2015</v>
      </c>
      <c r="B154" s="3" t="str">
        <f t="shared" si="8"/>
        <v>5166</v>
      </c>
      <c r="C154" s="3" t="s">
        <v>210</v>
      </c>
      <c r="D154" s="19">
        <v>135551</v>
      </c>
      <c r="E154" s="20">
        <f t="shared" si="9"/>
        <v>4.6578620425251658E-4</v>
      </c>
      <c r="F154" s="19">
        <f t="shared" si="10"/>
        <v>21833.74742157109</v>
      </c>
      <c r="G154" s="5">
        <f t="shared" si="11"/>
        <v>157384.74742157108</v>
      </c>
    </row>
    <row r="155" spans="1:7" x14ac:dyDescent="0.2">
      <c r="A155">
        <v>2015</v>
      </c>
      <c r="B155" s="3" t="str">
        <f t="shared" si="8"/>
        <v>5167</v>
      </c>
      <c r="C155" s="3" t="s">
        <v>211</v>
      </c>
      <c r="D155" s="19">
        <v>406609</v>
      </c>
      <c r="E155" s="20">
        <f t="shared" si="9"/>
        <v>1.3972074180560196E-3</v>
      </c>
      <c r="F155" s="19">
        <f t="shared" si="10"/>
        <v>65494.155006880057</v>
      </c>
      <c r="G155" s="5">
        <f t="shared" si="11"/>
        <v>472103.15500688006</v>
      </c>
    </row>
    <row r="156" spans="1:7" x14ac:dyDescent="0.2">
      <c r="A156">
        <v>2015</v>
      </c>
      <c r="B156" s="3" t="str">
        <f t="shared" si="8"/>
        <v>5168</v>
      </c>
      <c r="C156" s="3" t="s">
        <v>212</v>
      </c>
      <c r="D156" s="19">
        <v>408182</v>
      </c>
      <c r="E156" s="20">
        <f t="shared" si="9"/>
        <v>1.4026126286357219E-3</v>
      </c>
      <c r="F156" s="19">
        <f t="shared" si="10"/>
        <v>65747.524474417238</v>
      </c>
      <c r="G156" s="5">
        <f t="shared" si="11"/>
        <v>473929.52447441721</v>
      </c>
    </row>
    <row r="157" spans="1:7" x14ac:dyDescent="0.2">
      <c r="A157">
        <v>2015</v>
      </c>
      <c r="B157" s="3" t="str">
        <f t="shared" si="8"/>
        <v>5171</v>
      </c>
      <c r="C157" s="3" t="s">
        <v>213</v>
      </c>
      <c r="D157" s="19">
        <v>221130</v>
      </c>
      <c r="E157" s="20">
        <f t="shared" si="9"/>
        <v>7.5985646248540397E-4</v>
      </c>
      <c r="F157" s="19">
        <f t="shared" si="10"/>
        <v>35618.302833118272</v>
      </c>
      <c r="G157" s="5">
        <f t="shared" si="11"/>
        <v>256748.30283311827</v>
      </c>
    </row>
    <row r="158" spans="1:7" x14ac:dyDescent="0.2">
      <c r="A158">
        <v>2015</v>
      </c>
      <c r="B158" s="3" t="str">
        <f t="shared" si="8"/>
        <v>5172</v>
      </c>
      <c r="C158" s="3" t="s">
        <v>214</v>
      </c>
      <c r="D158" s="19">
        <v>510165</v>
      </c>
      <c r="E158" s="20">
        <f t="shared" si="9"/>
        <v>1.7530510205936152E-3</v>
      </c>
      <c r="F158" s="19">
        <f t="shared" si="10"/>
        <v>82174.338465417561</v>
      </c>
      <c r="G158" s="5">
        <f t="shared" si="11"/>
        <v>592339.3384654175</v>
      </c>
    </row>
    <row r="159" spans="1:7" x14ac:dyDescent="0.2">
      <c r="A159">
        <v>2015</v>
      </c>
      <c r="B159" s="3" t="str">
        <f t="shared" si="8"/>
        <v>5173</v>
      </c>
      <c r="C159" s="3" t="s">
        <v>215</v>
      </c>
      <c r="D159" s="19">
        <v>272754</v>
      </c>
      <c r="E159" s="20">
        <f t="shared" si="9"/>
        <v>9.3724908229884626E-4</v>
      </c>
      <c r="F159" s="19">
        <f t="shared" si="10"/>
        <v>43933.58915997079</v>
      </c>
      <c r="G159" s="5">
        <f t="shared" si="11"/>
        <v>316687.58915997081</v>
      </c>
    </row>
    <row r="160" spans="1:7" x14ac:dyDescent="0.2">
      <c r="A160">
        <v>2015</v>
      </c>
      <c r="B160" s="3" t="str">
        <f t="shared" si="8"/>
        <v>5174</v>
      </c>
      <c r="C160" s="3" t="s">
        <v>216</v>
      </c>
      <c r="D160" s="19">
        <v>377979</v>
      </c>
      <c r="E160" s="20">
        <f t="shared" si="9"/>
        <v>1.2988277747649369E-3</v>
      </c>
      <c r="F160" s="19">
        <f t="shared" si="10"/>
        <v>60882.60519404518</v>
      </c>
      <c r="G160" s="5">
        <f t="shared" si="11"/>
        <v>438861.60519404517</v>
      </c>
    </row>
    <row r="161" spans="1:7" x14ac:dyDescent="0.2">
      <c r="A161">
        <v>2015</v>
      </c>
      <c r="B161" s="3" t="str">
        <f t="shared" si="8"/>
        <v>5175</v>
      </c>
      <c r="C161" s="3" t="s">
        <v>217</v>
      </c>
      <c r="D161" s="19">
        <v>229757</v>
      </c>
      <c r="E161" s="20">
        <f t="shared" si="9"/>
        <v>7.8950093271495936E-4</v>
      </c>
      <c r="F161" s="19">
        <f t="shared" si="10"/>
        <v>37007.888590551964</v>
      </c>
      <c r="G161" s="5">
        <f t="shared" si="11"/>
        <v>266764.88859055197</v>
      </c>
    </row>
    <row r="162" spans="1:7" x14ac:dyDescent="0.2">
      <c r="A162">
        <v>2015</v>
      </c>
      <c r="B162" s="3" t="str">
        <f t="shared" si="8"/>
        <v>5176</v>
      </c>
      <c r="C162" s="3" t="s">
        <v>218</v>
      </c>
      <c r="D162" s="19">
        <v>1534816</v>
      </c>
      <c r="E162" s="20">
        <f t="shared" si="9"/>
        <v>5.2740010687197482E-3</v>
      </c>
      <c r="F162" s="19">
        <f t="shared" si="10"/>
        <v>247219.016330282</v>
      </c>
      <c r="G162" s="5">
        <f t="shared" si="11"/>
        <v>1782035.016330282</v>
      </c>
    </row>
    <row r="163" spans="1:7" x14ac:dyDescent="0.2">
      <c r="A163">
        <v>2015</v>
      </c>
      <c r="B163" s="3" t="str">
        <f t="shared" si="8"/>
        <v>5185</v>
      </c>
      <c r="C163" s="3" t="s">
        <v>219</v>
      </c>
      <c r="D163" s="19">
        <v>13351573</v>
      </c>
      <c r="E163" s="20">
        <f t="shared" si="9"/>
        <v>4.587925215210796E-2</v>
      </c>
      <c r="F163" s="19">
        <f t="shared" si="10"/>
        <v>2150591.8256793991</v>
      </c>
      <c r="G163" s="5">
        <f t="shared" si="11"/>
        <v>15502164.825679399</v>
      </c>
    </row>
    <row r="164" spans="1:7" x14ac:dyDescent="0.2">
      <c r="A164">
        <v>2015</v>
      </c>
      <c r="B164" s="3" t="str">
        <f t="shared" si="8"/>
        <v>5186</v>
      </c>
      <c r="C164" s="3" t="s">
        <v>220</v>
      </c>
      <c r="D164" s="19">
        <v>232040</v>
      </c>
      <c r="E164" s="20">
        <f t="shared" si="9"/>
        <v>7.9734587597844319E-4</v>
      </c>
      <c r="F164" s="19">
        <f t="shared" si="10"/>
        <v>37375.62062767044</v>
      </c>
      <c r="G164" s="5">
        <f t="shared" si="11"/>
        <v>269415.62062767043</v>
      </c>
    </row>
    <row r="165" spans="1:7" x14ac:dyDescent="0.2">
      <c r="A165">
        <v>2015</v>
      </c>
      <c r="B165" s="3" t="str">
        <f t="shared" si="8"/>
        <v>5187</v>
      </c>
      <c r="C165" s="3" t="s">
        <v>221</v>
      </c>
      <c r="D165" s="19">
        <v>335954</v>
      </c>
      <c r="E165" s="20">
        <f t="shared" si="9"/>
        <v>1.1544196535875793E-3</v>
      </c>
      <c r="F165" s="19">
        <f t="shared" si="10"/>
        <v>54113.46859312358</v>
      </c>
      <c r="G165" s="5">
        <f t="shared" si="11"/>
        <v>390067.4685931236</v>
      </c>
    </row>
    <row r="166" spans="1:7" x14ac:dyDescent="0.2">
      <c r="A166">
        <v>2015</v>
      </c>
      <c r="B166" s="3" t="str">
        <f t="shared" si="8"/>
        <v>5188</v>
      </c>
      <c r="C166" s="3" t="s">
        <v>222</v>
      </c>
      <c r="D166" s="19">
        <v>176565</v>
      </c>
      <c r="E166" s="20">
        <f t="shared" si="9"/>
        <v>6.0672028353789785E-4</v>
      </c>
      <c r="F166" s="19">
        <f t="shared" si="10"/>
        <v>28440.038166370588</v>
      </c>
      <c r="G166" s="5">
        <f t="shared" si="11"/>
        <v>205005.03816637059</v>
      </c>
    </row>
    <row r="167" spans="1:7" x14ac:dyDescent="0.2">
      <c r="A167">
        <v>2015</v>
      </c>
      <c r="B167" s="3" t="str">
        <f t="shared" si="8"/>
        <v>5189</v>
      </c>
      <c r="C167" s="3" t="s">
        <v>223</v>
      </c>
      <c r="D167" s="19">
        <v>56140</v>
      </c>
      <c r="E167" s="20">
        <f t="shared" si="9"/>
        <v>1.9291069417958024E-4</v>
      </c>
      <c r="F167" s="19">
        <f t="shared" si="10"/>
        <v>9042.6966990062847</v>
      </c>
      <c r="G167" s="5">
        <f t="shared" si="11"/>
        <v>65182.696699006287</v>
      </c>
    </row>
    <row r="168" spans="1:7" x14ac:dyDescent="0.2">
      <c r="A168">
        <v>2015</v>
      </c>
      <c r="B168" s="3" t="str">
        <f t="shared" si="8"/>
        <v>5190</v>
      </c>
      <c r="C168" s="3" t="s">
        <v>224</v>
      </c>
      <c r="D168" s="19">
        <v>193941</v>
      </c>
      <c r="E168" s="20">
        <f t="shared" si="9"/>
        <v>6.6642844566943305E-4</v>
      </c>
      <c r="F168" s="19">
        <f t="shared" si="10"/>
        <v>31238.860714320948</v>
      </c>
      <c r="G168" s="5">
        <f t="shared" si="11"/>
        <v>225179.86071432094</v>
      </c>
    </row>
    <row r="169" spans="1:7" x14ac:dyDescent="0.2">
      <c r="A169">
        <v>2015</v>
      </c>
      <c r="B169" s="3" t="str">
        <f t="shared" si="8"/>
        <v>5191</v>
      </c>
      <c r="C169" s="3" t="s">
        <v>225</v>
      </c>
      <c r="D169" s="19">
        <v>669950</v>
      </c>
      <c r="E169" s="20">
        <f t="shared" si="9"/>
        <v>2.302111142957068E-3</v>
      </c>
      <c r="F169" s="19">
        <f t="shared" si="10"/>
        <v>107911.55421266942</v>
      </c>
      <c r="G169" s="5">
        <f t="shared" si="11"/>
        <v>777861.55421266938</v>
      </c>
    </row>
    <row r="170" spans="1:7" x14ac:dyDescent="0.2">
      <c r="A170">
        <v>2015</v>
      </c>
      <c r="B170" s="3" t="str">
        <f t="shared" si="8"/>
        <v>5192</v>
      </c>
      <c r="C170" s="3" t="s">
        <v>226</v>
      </c>
      <c r="D170" s="19">
        <v>215881</v>
      </c>
      <c r="E170" s="20">
        <f t="shared" si="9"/>
        <v>7.4181962184150278E-4</v>
      </c>
      <c r="F170" s="19">
        <f t="shared" si="10"/>
        <v>34772.82518842494</v>
      </c>
      <c r="G170" s="5">
        <f t="shared" si="11"/>
        <v>250653.82518842493</v>
      </c>
    </row>
    <row r="171" spans="1:7" x14ac:dyDescent="0.2">
      <c r="A171">
        <v>2015</v>
      </c>
      <c r="B171" s="3" t="str">
        <f t="shared" si="8"/>
        <v>5193</v>
      </c>
      <c r="C171" s="3" t="s">
        <v>227</v>
      </c>
      <c r="D171" s="19">
        <v>1142511</v>
      </c>
      <c r="E171" s="20">
        <f t="shared" si="9"/>
        <v>3.9259456736338866E-3</v>
      </c>
      <c r="F171" s="19">
        <f t="shared" si="10"/>
        <v>184028.86441536105</v>
      </c>
      <c r="G171" s="5">
        <f t="shared" si="11"/>
        <v>1326539.8644153611</v>
      </c>
    </row>
    <row r="172" spans="1:7" x14ac:dyDescent="0.2">
      <c r="A172">
        <v>2015</v>
      </c>
      <c r="B172" s="3" t="str">
        <f t="shared" si="8"/>
        <v>5195</v>
      </c>
      <c r="C172" s="3" t="s">
        <v>228</v>
      </c>
      <c r="D172" s="19">
        <v>465085</v>
      </c>
      <c r="E172" s="20">
        <f t="shared" si="9"/>
        <v>1.5981451763895631E-3</v>
      </c>
      <c r="F172" s="19">
        <f t="shared" si="10"/>
        <v>74913.120667213007</v>
      </c>
      <c r="G172" s="5">
        <f t="shared" si="11"/>
        <v>539998.12066721299</v>
      </c>
    </row>
    <row r="173" spans="1:7" x14ac:dyDescent="0.2">
      <c r="A173">
        <v>2015</v>
      </c>
      <c r="B173" s="3" t="str">
        <f t="shared" si="8"/>
        <v>5196</v>
      </c>
      <c r="C173" s="3" t="s">
        <v>229</v>
      </c>
      <c r="D173" s="19">
        <v>413807</v>
      </c>
      <c r="E173" s="20">
        <f t="shared" si="9"/>
        <v>1.4219414967290623E-3</v>
      </c>
      <c r="F173" s="19">
        <f t="shared" si="10"/>
        <v>66653.565958776162</v>
      </c>
      <c r="G173" s="5">
        <f t="shared" si="11"/>
        <v>480460.56595877616</v>
      </c>
    </row>
    <row r="174" spans="1:7" x14ac:dyDescent="0.2">
      <c r="A174">
        <v>2015</v>
      </c>
      <c r="B174" s="3" t="str">
        <f t="shared" si="8"/>
        <v>5197</v>
      </c>
      <c r="C174" s="3" t="s">
        <v>230</v>
      </c>
      <c r="D174" s="19">
        <v>193144</v>
      </c>
      <c r="E174" s="20">
        <f t="shared" si="9"/>
        <v>6.6368975982580771E-4</v>
      </c>
      <c r="F174" s="19">
        <f t="shared" si="10"/>
        <v>31110.484703114889</v>
      </c>
      <c r="G174" s="5">
        <f t="shared" si="11"/>
        <v>224254.4847031149</v>
      </c>
    </row>
    <row r="175" spans="1:7" x14ac:dyDescent="0.2">
      <c r="A175">
        <v>2015</v>
      </c>
      <c r="B175" s="3" t="str">
        <f t="shared" si="8"/>
        <v>5198</v>
      </c>
      <c r="C175" s="3" t="s">
        <v>231</v>
      </c>
      <c r="D175" s="19">
        <v>1055976</v>
      </c>
      <c r="E175" s="20">
        <f t="shared" si="9"/>
        <v>3.6285903668859358E-3</v>
      </c>
      <c r="F175" s="19">
        <f t="shared" si="10"/>
        <v>170090.3222199833</v>
      </c>
      <c r="G175" s="5">
        <f t="shared" si="11"/>
        <v>1226066.3222199832</v>
      </c>
    </row>
    <row r="176" spans="1:7" x14ac:dyDescent="0.2">
      <c r="A176">
        <v>2015</v>
      </c>
      <c r="B176" s="3" t="str">
        <f t="shared" si="8"/>
        <v>5199</v>
      </c>
      <c r="C176" s="3" t="s">
        <v>232</v>
      </c>
      <c r="D176" s="19">
        <v>321241</v>
      </c>
      <c r="E176" s="20">
        <f t="shared" si="9"/>
        <v>1.1038622071418336E-3</v>
      </c>
      <c r="F176" s="19">
        <f t="shared" si="10"/>
        <v>51743.586218123943</v>
      </c>
      <c r="G176" s="5">
        <f t="shared" si="11"/>
        <v>372984.58621812396</v>
      </c>
    </row>
    <row r="177" spans="1:7" x14ac:dyDescent="0.2">
      <c r="A177">
        <v>2015</v>
      </c>
      <c r="B177" s="3" t="str">
        <f t="shared" si="8"/>
        <v>5200</v>
      </c>
      <c r="C177" s="3" t="s">
        <v>233</v>
      </c>
      <c r="D177" s="19">
        <v>577147</v>
      </c>
      <c r="E177" s="20">
        <f t="shared" si="9"/>
        <v>1.9832174637275063E-3</v>
      </c>
      <c r="F177" s="19">
        <f t="shared" si="10"/>
        <v>92963.399924142868</v>
      </c>
      <c r="G177" s="5">
        <f t="shared" si="11"/>
        <v>670110.39992414287</v>
      </c>
    </row>
    <row r="178" spans="1:7" x14ac:dyDescent="0.2">
      <c r="A178">
        <v>2015</v>
      </c>
      <c r="B178" s="3" t="str">
        <f t="shared" si="8"/>
        <v>5201</v>
      </c>
      <c r="C178" s="3" t="s">
        <v>234</v>
      </c>
      <c r="D178" s="19">
        <v>191265</v>
      </c>
      <c r="E178" s="20">
        <f t="shared" si="9"/>
        <v>6.5723305882182785E-4</v>
      </c>
      <c r="F178" s="19">
        <f t="shared" si="10"/>
        <v>30807.826578828593</v>
      </c>
      <c r="G178" s="5">
        <f t="shared" si="11"/>
        <v>222072.82657882859</v>
      </c>
    </row>
    <row r="179" spans="1:7" x14ac:dyDescent="0.2">
      <c r="A179">
        <v>2015</v>
      </c>
      <c r="B179" s="3" t="str">
        <f t="shared" si="8"/>
        <v>5202</v>
      </c>
      <c r="C179" s="3" t="s">
        <v>235</v>
      </c>
      <c r="D179" s="19">
        <v>161268</v>
      </c>
      <c r="E179" s="20">
        <f t="shared" si="9"/>
        <v>5.5415607105366131E-4</v>
      </c>
      <c r="F179" s="19">
        <f t="shared" si="10"/>
        <v>25976.088551039287</v>
      </c>
      <c r="G179" s="5">
        <f t="shared" si="11"/>
        <v>187244.08855103928</v>
      </c>
    </row>
    <row r="180" spans="1:7" x14ac:dyDescent="0.2">
      <c r="A180">
        <v>2015</v>
      </c>
      <c r="B180" s="3" t="str">
        <f t="shared" si="8"/>
        <v>5203</v>
      </c>
      <c r="C180" s="3" t="s">
        <v>236</v>
      </c>
      <c r="D180" s="19">
        <v>498204</v>
      </c>
      <c r="E180" s="20">
        <f t="shared" si="9"/>
        <v>1.7119501154799358E-3</v>
      </c>
      <c r="F180" s="19">
        <f t="shared" si="10"/>
        <v>80247.731853076722</v>
      </c>
      <c r="G180" s="5">
        <f t="shared" si="11"/>
        <v>578451.73185307672</v>
      </c>
    </row>
    <row r="181" spans="1:7" x14ac:dyDescent="0.2">
      <c r="A181">
        <v>2015</v>
      </c>
      <c r="B181" s="3" t="str">
        <f t="shared" si="8"/>
        <v>5204</v>
      </c>
      <c r="C181" s="3" t="s">
        <v>237</v>
      </c>
      <c r="D181" s="19">
        <v>760975</v>
      </c>
      <c r="E181" s="20">
        <f t="shared" si="9"/>
        <v>2.6148951817475253E-3</v>
      </c>
      <c r="F181" s="19">
        <f t="shared" si="10"/>
        <v>122573.3188551177</v>
      </c>
      <c r="G181" s="5">
        <f t="shared" si="11"/>
        <v>883548.31885511766</v>
      </c>
    </row>
    <row r="182" spans="1:7" x14ac:dyDescent="0.2">
      <c r="A182">
        <v>2015</v>
      </c>
      <c r="B182" s="3" t="str">
        <f t="shared" si="8"/>
        <v>5205</v>
      </c>
      <c r="C182" s="3" t="s">
        <v>238</v>
      </c>
      <c r="D182" s="19">
        <v>308763</v>
      </c>
      <c r="E182" s="20">
        <f t="shared" si="9"/>
        <v>1.0609847642851751E-3</v>
      </c>
      <c r="F182" s="19">
        <f t="shared" si="10"/>
        <v>49733.704326242922</v>
      </c>
      <c r="G182" s="5">
        <f t="shared" si="11"/>
        <v>358496.70432624291</v>
      </c>
    </row>
    <row r="183" spans="1:7" x14ac:dyDescent="0.2">
      <c r="A183">
        <v>2015</v>
      </c>
      <c r="B183" s="3" t="str">
        <f t="shared" si="8"/>
        <v>5206</v>
      </c>
      <c r="C183" s="3" t="s">
        <v>239</v>
      </c>
      <c r="D183" s="19">
        <v>319794</v>
      </c>
      <c r="E183" s="20">
        <f t="shared" si="9"/>
        <v>1.0988899632074223E-3</v>
      </c>
      <c r="F183" s="19">
        <f t="shared" si="10"/>
        <v>51510.512079836408</v>
      </c>
      <c r="G183" s="5">
        <f t="shared" si="11"/>
        <v>371304.51207983639</v>
      </c>
    </row>
    <row r="184" spans="1:7" x14ac:dyDescent="0.2">
      <c r="A184">
        <v>2015</v>
      </c>
      <c r="B184" s="3" t="str">
        <f t="shared" si="8"/>
        <v>5207</v>
      </c>
      <c r="C184" s="3" t="s">
        <v>240</v>
      </c>
      <c r="D184" s="19">
        <v>718134</v>
      </c>
      <c r="E184" s="20">
        <f t="shared" si="9"/>
        <v>2.4676830861054271E-3</v>
      </c>
      <c r="F184" s="19">
        <f t="shared" si="10"/>
        <v>115672.74583619842</v>
      </c>
      <c r="G184" s="5">
        <f t="shared" si="11"/>
        <v>833806.74583619845</v>
      </c>
    </row>
    <row r="185" spans="1:7" x14ac:dyDescent="0.2">
      <c r="A185">
        <v>2015</v>
      </c>
      <c r="B185" s="3" t="str">
        <f t="shared" si="8"/>
        <v>5208</v>
      </c>
      <c r="C185" s="3" t="s">
        <v>241</v>
      </c>
      <c r="D185" s="19">
        <v>157998</v>
      </c>
      <c r="E185" s="20">
        <f t="shared" si="9"/>
        <v>5.4291955573539932E-4</v>
      </c>
      <c r="F185" s="19">
        <f t="shared" si="10"/>
        <v>25449.376434798629</v>
      </c>
      <c r="G185" s="5">
        <f t="shared" si="11"/>
        <v>183447.37643479864</v>
      </c>
    </row>
    <row r="186" spans="1:7" x14ac:dyDescent="0.2">
      <c r="A186">
        <v>2015</v>
      </c>
      <c r="B186" s="3" t="str">
        <f t="shared" si="8"/>
        <v>5210</v>
      </c>
      <c r="C186" s="3" t="s">
        <v>242</v>
      </c>
      <c r="D186" s="19">
        <v>2290490</v>
      </c>
      <c r="E186" s="20">
        <f t="shared" si="9"/>
        <v>7.8706807251761098E-3</v>
      </c>
      <c r="F186" s="19">
        <f t="shared" si="10"/>
        <v>368938.48169053986</v>
      </c>
      <c r="G186" s="5">
        <f t="shared" si="11"/>
        <v>2659428.48169054</v>
      </c>
    </row>
    <row r="187" spans="1:7" x14ac:dyDescent="0.2">
      <c r="A187">
        <v>2015</v>
      </c>
      <c r="B187" s="3" t="str">
        <f t="shared" si="8"/>
        <v>5212</v>
      </c>
      <c r="C187" s="3" t="s">
        <v>243</v>
      </c>
      <c r="D187" s="19">
        <v>519536</v>
      </c>
      <c r="E187" s="20">
        <f t="shared" si="9"/>
        <v>1.7852520557763165E-3</v>
      </c>
      <c r="F187" s="19">
        <f t="shared" si="10"/>
        <v>83683.763309849121</v>
      </c>
      <c r="G187" s="5">
        <f t="shared" si="11"/>
        <v>603219.76330984908</v>
      </c>
    </row>
    <row r="188" spans="1:7" x14ac:dyDescent="0.2">
      <c r="A188">
        <v>2015</v>
      </c>
      <c r="B188" s="3" t="str">
        <f t="shared" si="8"/>
        <v>5213</v>
      </c>
      <c r="C188" s="3" t="s">
        <v>244</v>
      </c>
      <c r="D188" s="19">
        <v>438374</v>
      </c>
      <c r="E188" s="20">
        <f t="shared" si="9"/>
        <v>1.5063596838311242E-3</v>
      </c>
      <c r="F188" s="19">
        <f t="shared" si="10"/>
        <v>70610.671940330983</v>
      </c>
      <c r="G188" s="5">
        <f t="shared" si="11"/>
        <v>508984.671940331</v>
      </c>
    </row>
    <row r="189" spans="1:7" x14ac:dyDescent="0.2">
      <c r="A189">
        <v>2015</v>
      </c>
      <c r="B189" s="3" t="str">
        <f t="shared" si="8"/>
        <v>5214</v>
      </c>
      <c r="C189" s="3" t="s">
        <v>245</v>
      </c>
      <c r="D189" s="19">
        <v>2082033</v>
      </c>
      <c r="E189" s="20">
        <f t="shared" si="9"/>
        <v>7.1543717729745989E-3</v>
      </c>
      <c r="F189" s="19">
        <f t="shared" si="10"/>
        <v>335361.47018742701</v>
      </c>
      <c r="G189" s="5">
        <f t="shared" si="11"/>
        <v>2417394.470187427</v>
      </c>
    </row>
    <row r="190" spans="1:7" x14ac:dyDescent="0.2">
      <c r="A190">
        <v>2015</v>
      </c>
      <c r="B190" s="3" t="str">
        <f t="shared" si="8"/>
        <v>5215</v>
      </c>
      <c r="C190" s="3" t="s">
        <v>246</v>
      </c>
      <c r="D190" s="19">
        <v>474956</v>
      </c>
      <c r="E190" s="20">
        <f t="shared" si="9"/>
        <v>1.6320643331805614E-3</v>
      </c>
      <c r="F190" s="19">
        <f t="shared" si="10"/>
        <v>76503.082532476474</v>
      </c>
      <c r="G190" s="5">
        <f t="shared" si="11"/>
        <v>551459.08253247652</v>
      </c>
    </row>
    <row r="191" spans="1:7" x14ac:dyDescent="0.2">
      <c r="A191">
        <v>2015</v>
      </c>
      <c r="B191" s="3" t="str">
        <f t="shared" si="8"/>
        <v>5216</v>
      </c>
      <c r="C191" s="3" t="s">
        <v>299</v>
      </c>
      <c r="D191" s="19">
        <v>675515</v>
      </c>
      <c r="E191" s="20">
        <f t="shared" si="9"/>
        <v>2.3212338364574127E-3</v>
      </c>
      <c r="F191" s="19">
        <f t="shared" si="10"/>
        <v>108807.93125452852</v>
      </c>
      <c r="G191" s="5">
        <f t="shared" si="11"/>
        <v>784322.93125452846</v>
      </c>
    </row>
    <row r="192" spans="1:7" x14ac:dyDescent="0.2">
      <c r="A192">
        <v>2015</v>
      </c>
      <c r="B192" s="3" t="str">
        <f t="shared" si="8"/>
        <v>5217</v>
      </c>
      <c r="C192" s="3" t="s">
        <v>248</v>
      </c>
      <c r="D192" s="19">
        <v>89578</v>
      </c>
      <c r="E192" s="20">
        <f t="shared" si="9"/>
        <v>3.0781179485604628E-4</v>
      </c>
      <c r="F192" s="19">
        <f t="shared" si="10"/>
        <v>14428.690504160759</v>
      </c>
      <c r="G192" s="5">
        <f t="shared" si="11"/>
        <v>104006.69050416075</v>
      </c>
    </row>
    <row r="193" spans="1:7" x14ac:dyDescent="0.2">
      <c r="A193">
        <v>2015</v>
      </c>
      <c r="B193" s="3" t="str">
        <f t="shared" si="8"/>
        <v>5218</v>
      </c>
      <c r="C193" s="3" t="s">
        <v>249</v>
      </c>
      <c r="D193" s="19">
        <v>189881</v>
      </c>
      <c r="E193" s="20">
        <f t="shared" si="9"/>
        <v>6.5247729821006194E-4</v>
      </c>
      <c r="F193" s="19">
        <f t="shared" si="10"/>
        <v>30584.900105165882</v>
      </c>
      <c r="G193" s="5">
        <f t="shared" si="11"/>
        <v>220465.90010516587</v>
      </c>
    </row>
    <row r="194" spans="1:7" x14ac:dyDescent="0.2">
      <c r="A194">
        <v>2015</v>
      </c>
      <c r="B194" s="3" t="str">
        <f t="shared" si="8"/>
        <v>5219</v>
      </c>
      <c r="C194" s="3" t="s">
        <v>250</v>
      </c>
      <c r="D194" s="19">
        <v>152033</v>
      </c>
      <c r="E194" s="20">
        <f t="shared" si="9"/>
        <v>5.224223649484169E-4</v>
      </c>
      <c r="F194" s="19">
        <f t="shared" si="10"/>
        <v>24488.569776274006</v>
      </c>
      <c r="G194" s="5">
        <f t="shared" si="11"/>
        <v>176521.569776274</v>
      </c>
    </row>
    <row r="195" spans="1:7" x14ac:dyDescent="0.2">
      <c r="A195">
        <v>2015</v>
      </c>
      <c r="B195" s="3" t="str">
        <f t="shared" ref="B195:B258" si="12">LEFT(C195,4)</f>
        <v>5220</v>
      </c>
      <c r="C195" s="3" t="s">
        <v>251</v>
      </c>
      <c r="D195" s="19">
        <v>440523</v>
      </c>
      <c r="E195" s="20">
        <f t="shared" ref="E195:E258" si="13">D195/$D$290</f>
        <v>1.5137441705035844E-3</v>
      </c>
      <c r="F195" s="19">
        <f t="shared" ref="F195:F258" si="14">E195*$D$291</f>
        <v>70956.820055866512</v>
      </c>
      <c r="G195" s="5">
        <f t="shared" ref="G195:G258" si="15">SUM(F195,D195)</f>
        <v>511479.8200558665</v>
      </c>
    </row>
    <row r="196" spans="1:7" x14ac:dyDescent="0.2">
      <c r="A196">
        <v>2015</v>
      </c>
      <c r="B196" s="3" t="str">
        <f t="shared" si="12"/>
        <v>5222</v>
      </c>
      <c r="C196" s="3" t="s">
        <v>252</v>
      </c>
      <c r="D196" s="19">
        <v>263006</v>
      </c>
      <c r="E196" s="20">
        <f t="shared" si="13"/>
        <v>9.0375258342348917E-4</v>
      </c>
      <c r="F196" s="19">
        <f t="shared" si="14"/>
        <v>42363.439401831973</v>
      </c>
      <c r="G196" s="5">
        <f t="shared" si="15"/>
        <v>305369.43940183194</v>
      </c>
    </row>
    <row r="197" spans="1:7" x14ac:dyDescent="0.2">
      <c r="A197">
        <v>2015</v>
      </c>
      <c r="B197" s="3" t="str">
        <f t="shared" si="12"/>
        <v>5223</v>
      </c>
      <c r="C197" s="3" t="s">
        <v>253</v>
      </c>
      <c r="D197" s="19">
        <v>283966</v>
      </c>
      <c r="E197" s="20">
        <f t="shared" si="13"/>
        <v>9.7577624124329685E-4</v>
      </c>
      <c r="F197" s="19">
        <f t="shared" si="14"/>
        <v>45739.551315105433</v>
      </c>
      <c r="G197" s="5">
        <f t="shared" si="15"/>
        <v>329705.5513151054</v>
      </c>
    </row>
    <row r="198" spans="1:7" x14ac:dyDescent="0.2">
      <c r="A198">
        <v>2015</v>
      </c>
      <c r="B198" s="3" t="str">
        <f t="shared" si="12"/>
        <v>5226</v>
      </c>
      <c r="C198" s="3" t="s">
        <v>254</v>
      </c>
      <c r="D198" s="19">
        <v>175671</v>
      </c>
      <c r="E198" s="20">
        <f t="shared" si="13"/>
        <v>6.0364828210226291E-4</v>
      </c>
      <c r="F198" s="19">
        <f t="shared" si="14"/>
        <v>28296.037973123141</v>
      </c>
      <c r="G198" s="5">
        <f t="shared" si="15"/>
        <v>203967.03797312314</v>
      </c>
    </row>
    <row r="199" spans="1:7" x14ac:dyDescent="0.2">
      <c r="A199">
        <v>2015</v>
      </c>
      <c r="B199" s="3" t="str">
        <f t="shared" si="12"/>
        <v>5227</v>
      </c>
      <c r="C199" s="3" t="s">
        <v>255</v>
      </c>
      <c r="D199" s="19">
        <v>60481</v>
      </c>
      <c r="E199" s="20">
        <f t="shared" si="13"/>
        <v>2.0782742598281426E-4</v>
      </c>
      <c r="F199" s="19">
        <f t="shared" si="14"/>
        <v>9741.9191138688839</v>
      </c>
      <c r="G199" s="5">
        <f t="shared" si="15"/>
        <v>70222.919113868877</v>
      </c>
    </row>
    <row r="200" spans="1:7" x14ac:dyDescent="0.2">
      <c r="A200">
        <v>2015</v>
      </c>
      <c r="B200" s="3" t="str">
        <f t="shared" si="12"/>
        <v>5228</v>
      </c>
      <c r="C200" s="3" t="s">
        <v>256</v>
      </c>
      <c r="D200" s="19">
        <v>93538</v>
      </c>
      <c r="E200" s="20">
        <f t="shared" si="13"/>
        <v>3.2141931799375804E-4</v>
      </c>
      <c r="F200" s="19">
        <f t="shared" si="14"/>
        <v>15066.543709149446</v>
      </c>
      <c r="G200" s="5">
        <f t="shared" si="15"/>
        <v>108604.54370914944</v>
      </c>
    </row>
    <row r="201" spans="1:7" x14ac:dyDescent="0.2">
      <c r="A201">
        <v>2015</v>
      </c>
      <c r="B201" s="3" t="str">
        <f t="shared" si="12"/>
        <v>5229</v>
      </c>
      <c r="C201" s="3" t="s">
        <v>257</v>
      </c>
      <c r="D201" s="19">
        <v>253486</v>
      </c>
      <c r="E201" s="20">
        <f t="shared" si="13"/>
        <v>8.7103954800151547E-4</v>
      </c>
      <c r="F201" s="19">
        <f t="shared" si="14"/>
        <v>40830.014525192506</v>
      </c>
      <c r="G201" s="5">
        <f t="shared" si="15"/>
        <v>294316.0145251925</v>
      </c>
    </row>
    <row r="202" spans="1:7" x14ac:dyDescent="0.2">
      <c r="A202">
        <v>2015</v>
      </c>
      <c r="B202" s="3" t="str">
        <f t="shared" si="12"/>
        <v>5230</v>
      </c>
      <c r="C202" s="3" t="s">
        <v>258</v>
      </c>
      <c r="D202" s="19">
        <v>572108</v>
      </c>
      <c r="E202" s="20">
        <f t="shared" si="13"/>
        <v>1.9659022341590895E-3</v>
      </c>
      <c r="F202" s="19">
        <f t="shared" si="14"/>
        <v>92151.747828198917</v>
      </c>
      <c r="G202" s="5">
        <f t="shared" si="15"/>
        <v>664259.74782819895</v>
      </c>
    </row>
    <row r="203" spans="1:7" x14ac:dyDescent="0.2">
      <c r="A203">
        <v>2015</v>
      </c>
      <c r="B203" s="3" t="str">
        <f t="shared" si="12"/>
        <v>5231</v>
      </c>
      <c r="C203" s="3" t="s">
        <v>259</v>
      </c>
      <c r="D203" s="19">
        <v>1065109</v>
      </c>
      <c r="E203" s="20">
        <f t="shared" si="13"/>
        <v>3.6599735761830877E-3</v>
      </c>
      <c r="F203" s="19">
        <f t="shared" si="14"/>
        <v>171561.41144249885</v>
      </c>
      <c r="G203" s="5">
        <f t="shared" si="15"/>
        <v>1236670.4114424989</v>
      </c>
    </row>
    <row r="204" spans="1:7" x14ac:dyDescent="0.2">
      <c r="A204">
        <v>2015</v>
      </c>
      <c r="B204" s="3" t="str">
        <f t="shared" si="12"/>
        <v>5233</v>
      </c>
      <c r="C204" s="3" t="s">
        <v>260</v>
      </c>
      <c r="D204" s="19">
        <v>3140264</v>
      </c>
      <c r="E204" s="20">
        <f t="shared" si="13"/>
        <v>1.0790710868313954E-2</v>
      </c>
      <c r="F204" s="19">
        <f t="shared" si="14"/>
        <v>505815.01437136217</v>
      </c>
      <c r="G204" s="5">
        <f t="shared" si="15"/>
        <v>3646079.014371362</v>
      </c>
    </row>
    <row r="205" spans="1:7" x14ac:dyDescent="0.2">
      <c r="A205">
        <v>2015</v>
      </c>
      <c r="B205" s="3" t="str">
        <f t="shared" si="12"/>
        <v>5235</v>
      </c>
      <c r="C205" s="3" t="s">
        <v>261</v>
      </c>
      <c r="D205" s="19">
        <v>151118</v>
      </c>
      <c r="E205" s="20">
        <f t="shared" si="13"/>
        <v>5.1927820240523349E-4</v>
      </c>
      <c r="F205" s="19">
        <f t="shared" si="14"/>
        <v>24341.18702815162</v>
      </c>
      <c r="G205" s="5">
        <f t="shared" si="15"/>
        <v>175459.18702815162</v>
      </c>
    </row>
    <row r="206" spans="1:7" x14ac:dyDescent="0.2">
      <c r="A206">
        <v>2015</v>
      </c>
      <c r="B206" s="3" t="str">
        <f t="shared" si="12"/>
        <v>5236</v>
      </c>
      <c r="C206" s="3" t="s">
        <v>262</v>
      </c>
      <c r="D206" s="19">
        <v>373553</v>
      </c>
      <c r="E206" s="20">
        <f t="shared" si="13"/>
        <v>1.2836189622882925E-3</v>
      </c>
      <c r="F206" s="19">
        <f t="shared" si="14"/>
        <v>60169.691485641168</v>
      </c>
      <c r="G206" s="5">
        <f t="shared" si="15"/>
        <v>433722.69148564117</v>
      </c>
    </row>
    <row r="207" spans="1:7" x14ac:dyDescent="0.2">
      <c r="A207">
        <v>2015</v>
      </c>
      <c r="B207" s="3" t="str">
        <f t="shared" si="12"/>
        <v>5237</v>
      </c>
      <c r="C207" s="3" t="s">
        <v>263</v>
      </c>
      <c r="D207" s="19">
        <v>182990</v>
      </c>
      <c r="E207" s="20">
        <f t="shared" si="13"/>
        <v>6.2879814620451352E-4</v>
      </c>
      <c r="F207" s="19">
        <f t="shared" si="14"/>
        <v>29474.938884060564</v>
      </c>
      <c r="G207" s="5">
        <f t="shared" si="15"/>
        <v>212464.93888406057</v>
      </c>
    </row>
    <row r="208" spans="1:7" x14ac:dyDescent="0.2">
      <c r="A208">
        <v>2015</v>
      </c>
      <c r="B208" s="3" t="str">
        <f t="shared" si="12"/>
        <v>5238</v>
      </c>
      <c r="C208" s="3" t="s">
        <v>264</v>
      </c>
      <c r="D208" s="19">
        <v>147976</v>
      </c>
      <c r="E208" s="20">
        <f t="shared" si="13"/>
        <v>5.0848152621869554E-4</v>
      </c>
      <c r="F208" s="19">
        <f t="shared" si="14"/>
        <v>23835.092389243928</v>
      </c>
      <c r="G208" s="5">
        <f t="shared" si="15"/>
        <v>171811.09238924392</v>
      </c>
    </row>
    <row r="209" spans="1:7" x14ac:dyDescent="0.2">
      <c r="A209">
        <v>2015</v>
      </c>
      <c r="B209" s="3" t="str">
        <f t="shared" si="12"/>
        <v>5239</v>
      </c>
      <c r="C209" s="3" t="s">
        <v>265</v>
      </c>
      <c r="D209" s="19">
        <v>133213</v>
      </c>
      <c r="E209" s="20">
        <f t="shared" si="13"/>
        <v>4.5775226761212014E-4</v>
      </c>
      <c r="F209" s="19">
        <f t="shared" si="14"/>
        <v>21457.156312161103</v>
      </c>
      <c r="G209" s="5">
        <f t="shared" si="15"/>
        <v>154670.1563121611</v>
      </c>
    </row>
    <row r="210" spans="1:7" x14ac:dyDescent="0.2">
      <c r="A210">
        <v>2015</v>
      </c>
      <c r="B210" s="3" t="str">
        <f t="shared" si="12"/>
        <v>5240</v>
      </c>
      <c r="C210" s="3" t="s">
        <v>266</v>
      </c>
      <c r="D210" s="19">
        <v>272656</v>
      </c>
      <c r="E210" s="20">
        <f t="shared" si="13"/>
        <v>9.3691233046362015E-4</v>
      </c>
      <c r="F210" s="19">
        <f t="shared" si="14"/>
        <v>43917.803903887747</v>
      </c>
      <c r="G210" s="5">
        <f t="shared" si="15"/>
        <v>316573.80390388775</v>
      </c>
    </row>
    <row r="211" spans="1:7" x14ac:dyDescent="0.2">
      <c r="A211">
        <v>2015</v>
      </c>
      <c r="B211" s="3" t="str">
        <f t="shared" si="12"/>
        <v>5241</v>
      </c>
      <c r="C211" s="3" t="s">
        <v>362</v>
      </c>
      <c r="D211" s="19">
        <v>154576</v>
      </c>
      <c r="E211" s="20">
        <f t="shared" si="13"/>
        <v>5.3116073144821507E-4</v>
      </c>
      <c r="F211" s="19">
        <f t="shared" si="14"/>
        <v>24898.181064225071</v>
      </c>
      <c r="G211" s="5">
        <f t="shared" si="15"/>
        <v>179474.18106422506</v>
      </c>
    </row>
    <row r="212" spans="1:7" x14ac:dyDescent="0.2">
      <c r="A212">
        <v>2015</v>
      </c>
      <c r="B212" s="3" t="str">
        <f t="shared" si="12"/>
        <v>5250</v>
      </c>
      <c r="C212" s="3" t="s">
        <v>268</v>
      </c>
      <c r="D212" s="19">
        <v>427270</v>
      </c>
      <c r="E212" s="20">
        <f t="shared" si="13"/>
        <v>1.4682036391540658E-3</v>
      </c>
      <c r="F212" s="19">
        <f t="shared" si="14"/>
        <v>68822.105781696038</v>
      </c>
      <c r="G212" s="5">
        <f t="shared" si="15"/>
        <v>496092.10578169604</v>
      </c>
    </row>
    <row r="213" spans="1:7" x14ac:dyDescent="0.2">
      <c r="A213">
        <v>2015</v>
      </c>
      <c r="B213" s="3" t="str">
        <f t="shared" si="12"/>
        <v>5251</v>
      </c>
      <c r="C213" s="3" t="s">
        <v>269</v>
      </c>
      <c r="D213" s="19">
        <v>137719</v>
      </c>
      <c r="E213" s="20">
        <f t="shared" si="13"/>
        <v>4.7323597954609215E-4</v>
      </c>
      <c r="F213" s="19">
        <f t="shared" si="14"/>
        <v>22182.955943898232</v>
      </c>
      <c r="G213" s="5">
        <f t="shared" si="15"/>
        <v>159901.95594389824</v>
      </c>
    </row>
    <row r="214" spans="1:7" x14ac:dyDescent="0.2">
      <c r="A214">
        <v>2015</v>
      </c>
      <c r="B214" s="3" t="str">
        <f t="shared" si="12"/>
        <v>5267</v>
      </c>
      <c r="C214" s="3" t="s">
        <v>270</v>
      </c>
      <c r="D214" s="19">
        <v>128395</v>
      </c>
      <c r="E214" s="20">
        <f t="shared" si="13"/>
        <v>4.4119644779457083E-4</v>
      </c>
      <c r="F214" s="19">
        <f t="shared" si="14"/>
        <v>20681.101579424867</v>
      </c>
      <c r="G214" s="5">
        <f t="shared" si="15"/>
        <v>149076.10157942487</v>
      </c>
    </row>
    <row r="215" spans="1:7" x14ac:dyDescent="0.2">
      <c r="A215">
        <v>2015</v>
      </c>
      <c r="B215" s="3" t="str">
        <f t="shared" si="12"/>
        <v>5268</v>
      </c>
      <c r="C215" s="3" t="s">
        <v>271</v>
      </c>
      <c r="D215" s="19">
        <v>136481</v>
      </c>
      <c r="E215" s="20">
        <f t="shared" si="13"/>
        <v>4.689819104439489E-4</v>
      </c>
      <c r="F215" s="19">
        <f t="shared" si="14"/>
        <v>21983.546280318435</v>
      </c>
      <c r="G215" s="5">
        <f t="shared" si="15"/>
        <v>158464.54628031843</v>
      </c>
    </row>
    <row r="216" spans="1:7" x14ac:dyDescent="0.2">
      <c r="A216">
        <v>2015</v>
      </c>
      <c r="B216" s="3" t="str">
        <f t="shared" si="12"/>
        <v>5270</v>
      </c>
      <c r="C216" s="3" t="s">
        <v>272</v>
      </c>
      <c r="D216" s="19">
        <v>206713</v>
      </c>
      <c r="E216" s="20">
        <f t="shared" si="13"/>
        <v>7.1031614403177002E-4</v>
      </c>
      <c r="F216" s="19">
        <f t="shared" si="14"/>
        <v>33296.098374451125</v>
      </c>
      <c r="G216" s="5">
        <f t="shared" si="15"/>
        <v>240009.09837445113</v>
      </c>
    </row>
    <row r="217" spans="1:7" x14ac:dyDescent="0.2">
      <c r="A217">
        <v>2015</v>
      </c>
      <c r="B217" s="3" t="str">
        <f t="shared" si="12"/>
        <v>5271</v>
      </c>
      <c r="C217" s="3" t="s">
        <v>273</v>
      </c>
      <c r="D217" s="19">
        <v>120965</v>
      </c>
      <c r="E217" s="20">
        <f t="shared" si="13"/>
        <v>4.1566516069527833E-4</v>
      </c>
      <c r="F217" s="19">
        <f t="shared" si="14"/>
        <v>19484.32144986276</v>
      </c>
      <c r="G217" s="5">
        <f t="shared" si="15"/>
        <v>140449.32144986276</v>
      </c>
    </row>
    <row r="218" spans="1:7" x14ac:dyDescent="0.2">
      <c r="A218">
        <v>2015</v>
      </c>
      <c r="B218" s="3" t="str">
        <f t="shared" si="12"/>
        <v>5272</v>
      </c>
      <c r="C218" s="3" t="s">
        <v>274</v>
      </c>
      <c r="D218" s="19">
        <v>1642661</v>
      </c>
      <c r="E218" s="20">
        <f t="shared" si="13"/>
        <v>5.6445827184133145E-3</v>
      </c>
      <c r="F218" s="19">
        <f t="shared" si="14"/>
        <v>264590.04635351559</v>
      </c>
      <c r="G218" s="5">
        <f t="shared" si="15"/>
        <v>1907251.0463535157</v>
      </c>
    </row>
    <row r="219" spans="1:7" x14ac:dyDescent="0.2">
      <c r="A219">
        <v>2015</v>
      </c>
      <c r="B219" s="3" t="str">
        <f t="shared" si="12"/>
        <v>5274</v>
      </c>
      <c r="C219" s="3" t="s">
        <v>275</v>
      </c>
      <c r="D219" s="19">
        <v>444716</v>
      </c>
      <c r="E219" s="20">
        <f t="shared" si="13"/>
        <v>1.5281523383107625E-3</v>
      </c>
      <c r="F219" s="19">
        <f t="shared" si="14"/>
        <v>71632.203512562861</v>
      </c>
      <c r="G219" s="5">
        <f t="shared" si="15"/>
        <v>516348.20351256285</v>
      </c>
    </row>
    <row r="220" spans="1:7" x14ac:dyDescent="0.2">
      <c r="A220">
        <v>2015</v>
      </c>
      <c r="B220" s="3" t="str">
        <f t="shared" si="12"/>
        <v>5275</v>
      </c>
      <c r="C220" s="3" t="s">
        <v>276</v>
      </c>
      <c r="D220" s="19">
        <v>1066636</v>
      </c>
      <c r="E220" s="20">
        <f t="shared" si="13"/>
        <v>3.6652207195748267E-3</v>
      </c>
      <c r="F220" s="19">
        <f t="shared" si="14"/>
        <v>171807.37150411951</v>
      </c>
      <c r="G220" s="5">
        <f t="shared" si="15"/>
        <v>1238443.3715041196</v>
      </c>
    </row>
    <row r="221" spans="1:7" x14ac:dyDescent="0.2">
      <c r="A221">
        <v>2015</v>
      </c>
      <c r="B221" s="3" t="str">
        <f t="shared" si="12"/>
        <v>5276</v>
      </c>
      <c r="C221" s="3" t="s">
        <v>277</v>
      </c>
      <c r="D221" s="19">
        <v>607026</v>
      </c>
      <c r="E221" s="20">
        <f t="shared" si="13"/>
        <v>2.0858889747961146E-3</v>
      </c>
      <c r="F221" s="19">
        <f t="shared" si="14"/>
        <v>97776.131215015834</v>
      </c>
      <c r="G221" s="5">
        <f t="shared" si="15"/>
        <v>704802.13121501589</v>
      </c>
    </row>
    <row r="222" spans="1:7" x14ac:dyDescent="0.2">
      <c r="A222">
        <v>2015</v>
      </c>
      <c r="B222" s="3" t="str">
        <f t="shared" si="12"/>
        <v>5278</v>
      </c>
      <c r="C222" s="3" t="s">
        <v>278</v>
      </c>
      <c r="D222" s="19">
        <v>167721</v>
      </c>
      <c r="E222" s="20">
        <f t="shared" si="13"/>
        <v>5.7633014853034168E-4</v>
      </c>
      <c r="F222" s="19">
        <f t="shared" si="14"/>
        <v>27015.499341895855</v>
      </c>
      <c r="G222" s="5">
        <f t="shared" si="15"/>
        <v>194736.49934189586</v>
      </c>
    </row>
    <row r="223" spans="1:7" x14ac:dyDescent="0.2">
      <c r="A223">
        <v>2015</v>
      </c>
      <c r="B223" s="3" t="str">
        <f t="shared" si="12"/>
        <v>5280</v>
      </c>
      <c r="C223" s="3" t="s">
        <v>279</v>
      </c>
      <c r="D223" s="19">
        <v>2793839</v>
      </c>
      <c r="E223" s="20">
        <f t="shared" si="13"/>
        <v>9.6003103120054206E-3</v>
      </c>
      <c r="F223" s="19">
        <f t="shared" si="14"/>
        <v>450014.9394879769</v>
      </c>
      <c r="G223" s="5">
        <f t="shared" si="15"/>
        <v>3243853.939487977</v>
      </c>
    </row>
    <row r="224" spans="1:7" x14ac:dyDescent="0.2">
      <c r="A224">
        <v>2015</v>
      </c>
      <c r="B224" s="3" t="str">
        <f t="shared" si="12"/>
        <v>5281</v>
      </c>
      <c r="C224" s="3" t="s">
        <v>280</v>
      </c>
      <c r="D224" s="19">
        <v>120345</v>
      </c>
      <c r="E224" s="20">
        <f t="shared" si="13"/>
        <v>4.1353468990099014E-4</v>
      </c>
      <c r="F224" s="19">
        <f t="shared" si="14"/>
        <v>19384.4555440312</v>
      </c>
      <c r="G224" s="5">
        <f t="shared" si="15"/>
        <v>139729.4555440312</v>
      </c>
    </row>
    <row r="225" spans="1:7" x14ac:dyDescent="0.2">
      <c r="A225">
        <v>2015</v>
      </c>
      <c r="B225" s="3" t="str">
        <f t="shared" si="12"/>
        <v>5283</v>
      </c>
      <c r="C225" s="3" t="s">
        <v>281</v>
      </c>
      <c r="D225" s="19">
        <v>339359</v>
      </c>
      <c r="E225" s="20">
        <f t="shared" si="13"/>
        <v>1.1661200617400815E-3</v>
      </c>
      <c r="F225" s="19">
        <f t="shared" si="14"/>
        <v>54661.925704988847</v>
      </c>
      <c r="G225" s="5">
        <f t="shared" si="15"/>
        <v>394020.92570498883</v>
      </c>
    </row>
    <row r="226" spans="1:7" x14ac:dyDescent="0.2">
      <c r="A226">
        <v>2015</v>
      </c>
      <c r="B226" s="3" t="str">
        <f t="shared" si="12"/>
        <v>5284</v>
      </c>
      <c r="C226" s="3" t="s">
        <v>282</v>
      </c>
      <c r="D226" s="19">
        <v>430609</v>
      </c>
      <c r="E226" s="20">
        <f t="shared" si="13"/>
        <v>1.4796772552542728E-3</v>
      </c>
      <c r="F226" s="19">
        <f t="shared" si="14"/>
        <v>69359.932006811505</v>
      </c>
      <c r="G226" s="5">
        <f t="shared" si="15"/>
        <v>499968.93200681149</v>
      </c>
    </row>
    <row r="227" spans="1:7" x14ac:dyDescent="0.2">
      <c r="A227">
        <v>2015</v>
      </c>
      <c r="B227" s="3" t="str">
        <f t="shared" si="12"/>
        <v>5285</v>
      </c>
      <c r="C227" s="3" t="s">
        <v>283</v>
      </c>
      <c r="D227" s="19">
        <v>228601</v>
      </c>
      <c r="E227" s="20">
        <f t="shared" si="13"/>
        <v>7.8552863555657684E-4</v>
      </c>
      <c r="F227" s="19">
        <f t="shared" si="14"/>
        <v>36821.686998388599</v>
      </c>
      <c r="G227" s="5">
        <f t="shared" si="15"/>
        <v>265422.68699838861</v>
      </c>
    </row>
    <row r="228" spans="1:7" x14ac:dyDescent="0.2">
      <c r="A228">
        <v>2015</v>
      </c>
      <c r="B228" s="3" t="str">
        <f t="shared" si="12"/>
        <v>5286</v>
      </c>
      <c r="C228" s="3" t="s">
        <v>284</v>
      </c>
      <c r="D228" s="19">
        <v>198668</v>
      </c>
      <c r="E228" s="20">
        <f t="shared" si="13"/>
        <v>6.8267156735427232E-4</v>
      </c>
      <c r="F228" s="19">
        <f t="shared" si="14"/>
        <v>32000.257709265778</v>
      </c>
      <c r="G228" s="5">
        <f t="shared" si="15"/>
        <v>230668.25770926577</v>
      </c>
    </row>
    <row r="229" spans="1:7" x14ac:dyDescent="0.2">
      <c r="A229">
        <v>2015</v>
      </c>
      <c r="B229" s="3" t="str">
        <f t="shared" si="12"/>
        <v>5287</v>
      </c>
      <c r="C229" s="3" t="s">
        <v>285</v>
      </c>
      <c r="D229" s="19">
        <v>331294</v>
      </c>
      <c r="E229" s="20">
        <f t="shared" si="13"/>
        <v>1.1384067601982518E-3</v>
      </c>
      <c r="F229" s="19">
        <f t="shared" si="14"/>
        <v>53362.863558970224</v>
      </c>
      <c r="G229" s="5">
        <f t="shared" si="15"/>
        <v>384656.86355897022</v>
      </c>
    </row>
    <row r="230" spans="1:7" x14ac:dyDescent="0.2">
      <c r="A230">
        <v>2015</v>
      </c>
      <c r="B230" s="3" t="str">
        <f t="shared" si="12"/>
        <v>5288</v>
      </c>
      <c r="C230" s="3" t="s">
        <v>286</v>
      </c>
      <c r="D230" s="19">
        <v>197088</v>
      </c>
      <c r="E230" s="20">
        <f t="shared" si="13"/>
        <v>6.7724230307205399E-4</v>
      </c>
      <c r="F230" s="19">
        <f t="shared" si="14"/>
        <v>31745.760723436957</v>
      </c>
      <c r="G230" s="5">
        <f t="shared" si="15"/>
        <v>228833.76072343695</v>
      </c>
    </row>
    <row r="231" spans="1:7" x14ac:dyDescent="0.2">
      <c r="A231">
        <v>2015</v>
      </c>
      <c r="B231" s="3" t="str">
        <f t="shared" si="12"/>
        <v>5289</v>
      </c>
      <c r="C231" s="3" t="s">
        <v>287</v>
      </c>
      <c r="D231" s="19">
        <v>268098</v>
      </c>
      <c r="E231" s="20">
        <f t="shared" si="13"/>
        <v>9.2124993388238523E-4</v>
      </c>
      <c r="F231" s="19">
        <f t="shared" si="14"/>
        <v>43183.628421984096</v>
      </c>
      <c r="G231" s="5">
        <f t="shared" si="15"/>
        <v>311281.62842198409</v>
      </c>
    </row>
    <row r="232" spans="1:7" x14ac:dyDescent="0.2">
      <c r="A232">
        <v>2015</v>
      </c>
      <c r="B232" s="3" t="str">
        <f t="shared" si="12"/>
        <v>5291</v>
      </c>
      <c r="C232" s="3" t="s">
        <v>288</v>
      </c>
      <c r="D232" s="19">
        <v>379095</v>
      </c>
      <c r="E232" s="20">
        <f t="shared" si="13"/>
        <v>1.3026626221946558E-3</v>
      </c>
      <c r="F232" s="19">
        <f t="shared" si="14"/>
        <v>61062.363824542001</v>
      </c>
      <c r="G232" s="5">
        <f t="shared" si="15"/>
        <v>440157.36382454203</v>
      </c>
    </row>
    <row r="233" spans="1:7" x14ac:dyDescent="0.2">
      <c r="A233">
        <v>2015</v>
      </c>
      <c r="B233" s="3" t="str">
        <f t="shared" si="12"/>
        <v>5292</v>
      </c>
      <c r="C233" s="3" t="s">
        <v>289</v>
      </c>
      <c r="D233" s="19">
        <v>1007235</v>
      </c>
      <c r="E233" s="20">
        <f t="shared" si="13"/>
        <v>3.4611044362659335E-3</v>
      </c>
      <c r="F233" s="19">
        <f t="shared" si="14"/>
        <v>162239.41235524754</v>
      </c>
      <c r="G233" s="5">
        <f t="shared" si="15"/>
        <v>1169474.4123552474</v>
      </c>
    </row>
    <row r="234" spans="1:7" x14ac:dyDescent="0.2">
      <c r="A234">
        <v>2015</v>
      </c>
      <c r="B234" s="3" t="str">
        <f t="shared" si="12"/>
        <v>5293</v>
      </c>
      <c r="C234" s="3" t="s">
        <v>290</v>
      </c>
      <c r="D234" s="19">
        <v>238867</v>
      </c>
      <c r="E234" s="20">
        <f t="shared" si="13"/>
        <v>8.2080510841812959E-4</v>
      </c>
      <c r="F234" s="19">
        <f t="shared" si="14"/>
        <v>38475.273110109272</v>
      </c>
      <c r="G234" s="5">
        <f t="shared" si="15"/>
        <v>277342.27311010926</v>
      </c>
    </row>
    <row r="235" spans="1:7" x14ac:dyDescent="0.2">
      <c r="A235">
        <v>2015</v>
      </c>
      <c r="B235" s="3" t="str">
        <f t="shared" si="12"/>
        <v>5294</v>
      </c>
      <c r="C235" s="3" t="s">
        <v>291</v>
      </c>
      <c r="D235" s="19">
        <v>517595</v>
      </c>
      <c r="E235" s="20">
        <f t="shared" si="13"/>
        <v>1.7785823076929077E-3</v>
      </c>
      <c r="F235" s="19">
        <f t="shared" si="14"/>
        <v>83371.118594979664</v>
      </c>
      <c r="G235" s="5">
        <f t="shared" si="15"/>
        <v>600966.11859497963</v>
      </c>
    </row>
    <row r="236" spans="1:7" x14ac:dyDescent="0.2">
      <c r="A236">
        <v>2015</v>
      </c>
      <c r="B236" s="3" t="str">
        <f t="shared" si="12"/>
        <v>5295</v>
      </c>
      <c r="C236" s="3" t="s">
        <v>292</v>
      </c>
      <c r="D236" s="19">
        <v>154310</v>
      </c>
      <c r="E236" s="20">
        <f t="shared" si="13"/>
        <v>5.3024669075260112E-4</v>
      </c>
      <c r="F236" s="19">
        <f t="shared" si="14"/>
        <v>24855.3353691425</v>
      </c>
      <c r="G236" s="5">
        <f t="shared" si="15"/>
        <v>179165.3353691425</v>
      </c>
    </row>
    <row r="237" spans="1:7" x14ac:dyDescent="0.2">
      <c r="A237">
        <v>2015</v>
      </c>
      <c r="B237" s="3" t="str">
        <f t="shared" si="12"/>
        <v>5296</v>
      </c>
      <c r="C237" s="3" t="s">
        <v>293</v>
      </c>
      <c r="D237" s="19">
        <v>818457</v>
      </c>
      <c r="E237" s="20">
        <f t="shared" si="13"/>
        <v>2.8124173143237747E-3</v>
      </c>
      <c r="F237" s="19">
        <f t="shared" si="14"/>
        <v>131832.17691803683</v>
      </c>
      <c r="G237" s="5">
        <f t="shared" si="15"/>
        <v>950289.17691803677</v>
      </c>
    </row>
    <row r="238" spans="1:7" x14ac:dyDescent="0.2">
      <c r="A238">
        <v>2015</v>
      </c>
      <c r="B238" s="3" t="str">
        <f t="shared" si="12"/>
        <v>5297</v>
      </c>
      <c r="C238" s="3" t="s">
        <v>294</v>
      </c>
      <c r="D238" s="19">
        <v>368475</v>
      </c>
      <c r="E238" s="20">
        <f t="shared" si="13"/>
        <v>1.2661697192344289E-3</v>
      </c>
      <c r="F238" s="19">
        <f t="shared" si="14"/>
        <v>59351.757502072345</v>
      </c>
      <c r="G238" s="5">
        <f t="shared" si="15"/>
        <v>427826.75750207237</v>
      </c>
    </row>
    <row r="239" spans="1:7" x14ac:dyDescent="0.2">
      <c r="A239">
        <v>2015</v>
      </c>
      <c r="B239" s="3" t="str">
        <f t="shared" si="12"/>
        <v>5298</v>
      </c>
      <c r="C239" s="3" t="s">
        <v>295</v>
      </c>
      <c r="D239" s="19">
        <v>57945</v>
      </c>
      <c r="E239" s="20">
        <f t="shared" si="13"/>
        <v>1.9911311318553218E-4</v>
      </c>
      <c r="F239" s="19">
        <f t="shared" si="14"/>
        <v>9333.4353442094616</v>
      </c>
      <c r="G239" s="5">
        <f t="shared" si="15"/>
        <v>67278.435344209458</v>
      </c>
    </row>
    <row r="240" spans="1:7" x14ac:dyDescent="0.2">
      <c r="A240">
        <v>2015</v>
      </c>
      <c r="B240" s="3" t="str">
        <f t="shared" si="12"/>
        <v>5299</v>
      </c>
      <c r="C240" s="3" t="s">
        <v>296</v>
      </c>
      <c r="D240" s="19">
        <v>103661</v>
      </c>
      <c r="E240" s="20">
        <f t="shared" si="13"/>
        <v>3.5620440807533789E-4</v>
      </c>
      <c r="F240" s="19">
        <f t="shared" si="14"/>
        <v>16697.096232912194</v>
      </c>
      <c r="G240" s="5">
        <f t="shared" si="15"/>
        <v>120358.0962329122</v>
      </c>
    </row>
    <row r="241" spans="1:7" x14ac:dyDescent="0.2">
      <c r="A241">
        <v>2015</v>
      </c>
      <c r="B241" s="3" t="str">
        <f t="shared" si="12"/>
        <v>5300</v>
      </c>
      <c r="C241" s="3" t="s">
        <v>297</v>
      </c>
      <c r="D241" s="19">
        <v>368587</v>
      </c>
      <c r="E241" s="20">
        <f t="shared" si="13"/>
        <v>1.2665545784746872E-3</v>
      </c>
      <c r="F241" s="19">
        <f t="shared" si="14"/>
        <v>59369.797794738683</v>
      </c>
      <c r="G241" s="5">
        <f t="shared" si="15"/>
        <v>427956.79779473867</v>
      </c>
    </row>
    <row r="242" spans="1:7" x14ac:dyDescent="0.2">
      <c r="A242">
        <v>2015</v>
      </c>
      <c r="B242" s="3" t="str">
        <f t="shared" si="12"/>
        <v>5302</v>
      </c>
      <c r="C242" s="3" t="s">
        <v>298</v>
      </c>
      <c r="D242" s="19">
        <v>1895294</v>
      </c>
      <c r="E242" s="20">
        <f t="shared" si="13"/>
        <v>6.5126911509510756E-3</v>
      </c>
      <c r="F242" s="19">
        <f t="shared" si="14"/>
        <v>305282.66472116887</v>
      </c>
      <c r="G242" s="5">
        <f t="shared" si="15"/>
        <v>2200576.664721169</v>
      </c>
    </row>
    <row r="243" spans="1:7" x14ac:dyDescent="0.2">
      <c r="A243">
        <v>2015</v>
      </c>
      <c r="B243" s="3" t="str">
        <f t="shared" si="12"/>
        <v>5303</v>
      </c>
      <c r="C243" s="3" t="s">
        <v>345</v>
      </c>
      <c r="D243" s="19">
        <v>1180299</v>
      </c>
      <c r="E243" s="20">
        <f t="shared" si="13"/>
        <v>4.0557944323025364E-3</v>
      </c>
      <c r="F243" s="19">
        <f t="shared" si="14"/>
        <v>190115.53030175311</v>
      </c>
      <c r="G243" s="5">
        <f t="shared" si="15"/>
        <v>1370414.5303017532</v>
      </c>
    </row>
    <row r="244" spans="1:7" x14ac:dyDescent="0.2">
      <c r="A244">
        <v>2015</v>
      </c>
      <c r="B244" s="3" t="str">
        <f t="shared" si="12"/>
        <v>5304</v>
      </c>
      <c r="C244" s="3" t="s">
        <v>300</v>
      </c>
      <c r="D244" s="19">
        <v>840832</v>
      </c>
      <c r="E244" s="20">
        <f t="shared" si="13"/>
        <v>2.8893032562950626E-3</v>
      </c>
      <c r="F244" s="19">
        <f t="shared" si="14"/>
        <v>135436.20860026457</v>
      </c>
      <c r="G244" s="5">
        <f t="shared" si="15"/>
        <v>976268.20860026451</v>
      </c>
    </row>
    <row r="245" spans="1:7" x14ac:dyDescent="0.2">
      <c r="A245">
        <v>2015</v>
      </c>
      <c r="B245" s="3" t="str">
        <f t="shared" si="12"/>
        <v>5305</v>
      </c>
      <c r="C245" s="3" t="s">
        <v>301</v>
      </c>
      <c r="D245" s="19">
        <v>171801</v>
      </c>
      <c r="E245" s="20">
        <f t="shared" si="13"/>
        <v>5.9035002085404463E-4</v>
      </c>
      <c r="F245" s="19">
        <f t="shared" si="14"/>
        <v>27672.681431884197</v>
      </c>
      <c r="G245" s="5">
        <f t="shared" si="15"/>
        <v>199473.68143188421</v>
      </c>
    </row>
    <row r="246" spans="1:7" x14ac:dyDescent="0.2">
      <c r="A246">
        <v>2015</v>
      </c>
      <c r="B246" s="3" t="str">
        <f t="shared" si="12"/>
        <v>5306</v>
      </c>
      <c r="C246" s="3" t="s">
        <v>302</v>
      </c>
      <c r="D246" s="19">
        <v>815782</v>
      </c>
      <c r="E246" s="20">
        <f t="shared" si="13"/>
        <v>2.8032253637193861E-3</v>
      </c>
      <c r="F246" s="19">
        <f t="shared" si="14"/>
        <v>131401.30385658614</v>
      </c>
      <c r="G246" s="5">
        <f t="shared" si="15"/>
        <v>947183.30385658611</v>
      </c>
    </row>
    <row r="247" spans="1:7" x14ac:dyDescent="0.2">
      <c r="A247">
        <v>2015</v>
      </c>
      <c r="B247" s="3" t="str">
        <f t="shared" si="12"/>
        <v>5307</v>
      </c>
      <c r="C247" s="3" t="s">
        <v>303</v>
      </c>
      <c r="D247" s="19">
        <v>83246</v>
      </c>
      <c r="E247" s="20">
        <f t="shared" si="13"/>
        <v>2.8605350280857389E-4</v>
      </c>
      <c r="F247" s="19">
        <f t="shared" si="14"/>
        <v>13408.769672345516</v>
      </c>
      <c r="G247" s="5">
        <f t="shared" si="15"/>
        <v>96654.769672345516</v>
      </c>
    </row>
    <row r="248" spans="1:7" x14ac:dyDescent="0.2">
      <c r="A248">
        <v>2015</v>
      </c>
      <c r="B248" s="3" t="str">
        <f t="shared" si="12"/>
        <v>5308</v>
      </c>
      <c r="C248" s="3" t="s">
        <v>304</v>
      </c>
      <c r="D248" s="19">
        <v>6601665</v>
      </c>
      <c r="E248" s="20">
        <f t="shared" si="13"/>
        <v>2.2684926574475215E-2</v>
      </c>
      <c r="F248" s="19">
        <f t="shared" si="14"/>
        <v>1063356.8632605153</v>
      </c>
      <c r="G248" s="5">
        <f t="shared" si="15"/>
        <v>7665021.863260515</v>
      </c>
    </row>
    <row r="249" spans="1:7" x14ac:dyDescent="0.2">
      <c r="A249">
        <v>2015</v>
      </c>
      <c r="B249" s="3" t="str">
        <f t="shared" si="12"/>
        <v>5309</v>
      </c>
      <c r="C249" s="3" t="s">
        <v>305</v>
      </c>
      <c r="D249" s="19">
        <v>496098</v>
      </c>
      <c r="E249" s="20">
        <f t="shared" si="13"/>
        <v>1.7047133872657892E-3</v>
      </c>
      <c r="F249" s="19">
        <f t="shared" si="14"/>
        <v>79908.509921332748</v>
      </c>
      <c r="G249" s="5">
        <f t="shared" si="15"/>
        <v>576006.5099213327</v>
      </c>
    </row>
    <row r="250" spans="1:7" x14ac:dyDescent="0.2">
      <c r="A250">
        <v>2015</v>
      </c>
      <c r="B250" s="3" t="str">
        <f t="shared" si="12"/>
        <v>5310</v>
      </c>
      <c r="C250" s="3" t="s">
        <v>306</v>
      </c>
      <c r="D250" s="19">
        <v>61333</v>
      </c>
      <c r="E250" s="20">
        <f t="shared" si="13"/>
        <v>2.1075510520335224E-4</v>
      </c>
      <c r="F250" s="19">
        <f t="shared" si="14"/>
        <v>9879.1541973664498</v>
      </c>
      <c r="G250" s="5">
        <f t="shared" si="15"/>
        <v>71212.154197366443</v>
      </c>
    </row>
    <row r="251" spans="1:7" x14ac:dyDescent="0.2">
      <c r="A251">
        <v>2015</v>
      </c>
      <c r="B251" s="3" t="str">
        <f t="shared" si="12"/>
        <v>5312</v>
      </c>
      <c r="C251" s="3" t="s">
        <v>307</v>
      </c>
      <c r="D251" s="19">
        <v>2344296</v>
      </c>
      <c r="E251" s="20">
        <f t="shared" si="13"/>
        <v>8.0555712276881592E-3</v>
      </c>
      <c r="F251" s="19">
        <f t="shared" si="14"/>
        <v>377605.23157630279</v>
      </c>
      <c r="G251" s="5">
        <f t="shared" si="15"/>
        <v>2721901.231576303</v>
      </c>
    </row>
    <row r="252" spans="1:7" x14ac:dyDescent="0.2">
      <c r="A252">
        <v>2015</v>
      </c>
      <c r="B252" s="3" t="str">
        <f t="shared" si="12"/>
        <v>5313</v>
      </c>
      <c r="C252" s="3" t="s">
        <v>308</v>
      </c>
      <c r="D252" s="19">
        <v>243566</v>
      </c>
      <c r="E252" s="20">
        <f t="shared" si="13"/>
        <v>8.3695201529290417E-4</v>
      </c>
      <c r="F252" s="19">
        <f t="shared" si="14"/>
        <v>39232.160031887513</v>
      </c>
      <c r="G252" s="5">
        <f t="shared" si="15"/>
        <v>282798.16003188753</v>
      </c>
    </row>
    <row r="253" spans="1:7" x14ac:dyDescent="0.2">
      <c r="A253">
        <v>2015</v>
      </c>
      <c r="B253" s="3" t="str">
        <f t="shared" si="12"/>
        <v>5314</v>
      </c>
      <c r="C253" s="3" t="s">
        <v>309</v>
      </c>
      <c r="D253" s="19">
        <v>9206865</v>
      </c>
      <c r="E253" s="20">
        <f t="shared" si="13"/>
        <v>3.1637027402345586E-2</v>
      </c>
      <c r="F253" s="19">
        <f t="shared" si="14"/>
        <v>1482986.9566030728</v>
      </c>
      <c r="G253" s="5">
        <f t="shared" si="15"/>
        <v>10689851.956603073</v>
      </c>
    </row>
    <row r="254" spans="1:7" x14ac:dyDescent="0.2">
      <c r="A254">
        <v>2015</v>
      </c>
      <c r="B254" s="3" t="str">
        <f t="shared" si="12"/>
        <v>5316</v>
      </c>
      <c r="C254" s="3" t="s">
        <v>310</v>
      </c>
      <c r="D254" s="19">
        <v>236020</v>
      </c>
      <c r="E254" s="20">
        <f t="shared" si="13"/>
        <v>8.1102212398048679E-4</v>
      </c>
      <c r="F254" s="19">
        <f t="shared" si="14"/>
        <v>38016.695313492404</v>
      </c>
      <c r="G254" s="5">
        <f t="shared" si="15"/>
        <v>274036.69531349238</v>
      </c>
    </row>
    <row r="255" spans="1:7" x14ac:dyDescent="0.2">
      <c r="A255">
        <v>2015</v>
      </c>
      <c r="B255" s="3" t="str">
        <f t="shared" si="12"/>
        <v>5317</v>
      </c>
      <c r="C255" s="3" t="s">
        <v>311</v>
      </c>
      <c r="D255" s="19">
        <v>314881</v>
      </c>
      <c r="E255" s="20">
        <f t="shared" si="13"/>
        <v>1.0820077002842965E-3</v>
      </c>
      <c r="F255" s="19">
        <f t="shared" si="14"/>
        <v>50719.15531314211</v>
      </c>
      <c r="G255" s="5">
        <f t="shared" si="15"/>
        <v>365600.15531314211</v>
      </c>
    </row>
    <row r="256" spans="1:7" x14ac:dyDescent="0.2">
      <c r="A256">
        <v>2015</v>
      </c>
      <c r="B256" s="3" t="str">
        <f t="shared" si="12"/>
        <v>5318</v>
      </c>
      <c r="C256" s="3" t="s">
        <v>312</v>
      </c>
      <c r="D256" s="19">
        <v>439303</v>
      </c>
      <c r="E256" s="20">
        <f t="shared" si="13"/>
        <v>1.5095519537793398E-3</v>
      </c>
      <c r="F256" s="19">
        <f t="shared" si="14"/>
        <v>70760.309725036655</v>
      </c>
      <c r="G256" s="5">
        <f t="shared" si="15"/>
        <v>510063.30972503667</v>
      </c>
    </row>
    <row r="257" spans="1:7" x14ac:dyDescent="0.2">
      <c r="A257">
        <v>2015</v>
      </c>
      <c r="B257" s="3" t="str">
        <f t="shared" si="12"/>
        <v>5319</v>
      </c>
      <c r="C257" s="3" t="s">
        <v>313</v>
      </c>
      <c r="D257" s="19">
        <v>470074</v>
      </c>
      <c r="E257" s="20">
        <f t="shared" si="13"/>
        <v>1.61528859379715E-3</v>
      </c>
      <c r="F257" s="19">
        <f t="shared" si="14"/>
        <v>75716.719061073745</v>
      </c>
      <c r="G257" s="5">
        <f t="shared" si="15"/>
        <v>545790.71906107373</v>
      </c>
    </row>
    <row r="258" spans="1:7" x14ac:dyDescent="0.2">
      <c r="A258">
        <v>2015</v>
      </c>
      <c r="B258" s="3" t="str">
        <f t="shared" si="12"/>
        <v>5320</v>
      </c>
      <c r="C258" s="3" t="s">
        <v>314</v>
      </c>
      <c r="D258" s="19">
        <v>172862</v>
      </c>
      <c r="E258" s="20">
        <f t="shared" si="13"/>
        <v>5.9399587490685079E-4</v>
      </c>
      <c r="F258" s="19">
        <f t="shared" si="14"/>
        <v>27843.580990089504</v>
      </c>
      <c r="G258" s="5">
        <f t="shared" si="15"/>
        <v>200705.58099008951</v>
      </c>
    </row>
    <row r="259" spans="1:7" x14ac:dyDescent="0.2">
      <c r="A259">
        <v>2015</v>
      </c>
      <c r="B259" s="3" t="str">
        <f t="shared" ref="B259:B288" si="16">LEFT(C259,4)</f>
        <v>5321</v>
      </c>
      <c r="C259" s="3" t="s">
        <v>315</v>
      </c>
      <c r="D259" s="19">
        <v>260917</v>
      </c>
      <c r="E259" s="20">
        <f t="shared" ref="E259:E288" si="17">D259/$D$290</f>
        <v>8.9657427134402453E-4</v>
      </c>
      <c r="F259" s="19">
        <f t="shared" ref="F259:F288" si="18">E259*$D$291</f>
        <v>42026.955728796274</v>
      </c>
      <c r="G259" s="5">
        <f t="shared" ref="G259:G288" si="19">SUM(F259,D259)</f>
        <v>302943.95572879625</v>
      </c>
    </row>
    <row r="260" spans="1:7" x14ac:dyDescent="0.2">
      <c r="A260">
        <v>2015</v>
      </c>
      <c r="B260" s="3" t="str">
        <f t="shared" si="16"/>
        <v>5322</v>
      </c>
      <c r="C260" s="3" t="s">
        <v>316</v>
      </c>
      <c r="D260" s="19">
        <v>312424</v>
      </c>
      <c r="E260" s="20">
        <f t="shared" si="17"/>
        <v>1.0735648507011254E-3</v>
      </c>
      <c r="F260" s="19">
        <f t="shared" si="18"/>
        <v>50323.396392774128</v>
      </c>
      <c r="G260" s="5">
        <f t="shared" si="19"/>
        <v>362747.39639277413</v>
      </c>
    </row>
    <row r="261" spans="1:7" x14ac:dyDescent="0.2">
      <c r="A261">
        <v>2015</v>
      </c>
      <c r="B261" s="3" t="str">
        <f t="shared" si="16"/>
        <v>5324</v>
      </c>
      <c r="C261" s="3" t="s">
        <v>317</v>
      </c>
      <c r="D261" s="19">
        <v>15565329</v>
      </c>
      <c r="E261" s="20">
        <f t="shared" si="17"/>
        <v>5.3486256190301951E-2</v>
      </c>
      <c r="F261" s="19">
        <f t="shared" si="18"/>
        <v>2507170.4518569079</v>
      </c>
      <c r="G261" s="5">
        <f t="shared" si="19"/>
        <v>18072499.451856907</v>
      </c>
    </row>
    <row r="262" spans="1:7" x14ac:dyDescent="0.2">
      <c r="A262">
        <v>2015</v>
      </c>
      <c r="B262" s="3" t="str">
        <f t="shared" si="16"/>
        <v>5329</v>
      </c>
      <c r="C262" s="3" t="s">
        <v>318</v>
      </c>
      <c r="D262" s="19">
        <v>147512</v>
      </c>
      <c r="E262" s="20">
        <f t="shared" si="17"/>
        <v>5.0688710936619592E-4</v>
      </c>
      <c r="F262" s="19">
        <f t="shared" si="18"/>
        <v>23760.354033911917</v>
      </c>
      <c r="G262" s="5">
        <f t="shared" si="19"/>
        <v>171272.35403391192</v>
      </c>
    </row>
    <row r="263" spans="1:7" x14ac:dyDescent="0.2">
      <c r="A263">
        <v>2015</v>
      </c>
      <c r="B263" s="3" t="str">
        <f t="shared" si="16"/>
        <v>5330</v>
      </c>
      <c r="C263" s="3" t="s">
        <v>319</v>
      </c>
      <c r="D263" s="19">
        <v>725639</v>
      </c>
      <c r="E263" s="20">
        <f t="shared" si="17"/>
        <v>2.4934720914459641E-3</v>
      </c>
      <c r="F263" s="19">
        <f t="shared" si="18"/>
        <v>116881.60651888532</v>
      </c>
      <c r="G263" s="5">
        <f t="shared" si="19"/>
        <v>842520.60651888535</v>
      </c>
    </row>
    <row r="264" spans="1:7" x14ac:dyDescent="0.2">
      <c r="A264">
        <v>2015</v>
      </c>
      <c r="B264" s="3" t="str">
        <f t="shared" si="16"/>
        <v>5331</v>
      </c>
      <c r="C264" s="3" t="s">
        <v>320</v>
      </c>
      <c r="D264" s="19">
        <v>728905</v>
      </c>
      <c r="E264" s="20">
        <f t="shared" si="17"/>
        <v>2.5046948617913596E-3</v>
      </c>
      <c r="F264" s="19">
        <f t="shared" si="18"/>
        <v>117407.67433895932</v>
      </c>
      <c r="G264" s="5">
        <f t="shared" si="19"/>
        <v>846312.67433895927</v>
      </c>
    </row>
    <row r="265" spans="1:7" x14ac:dyDescent="0.2">
      <c r="A265">
        <v>2015</v>
      </c>
      <c r="B265" s="3" t="str">
        <f t="shared" si="16"/>
        <v>5332</v>
      </c>
      <c r="C265" s="3" t="s">
        <v>321</v>
      </c>
      <c r="D265" s="19">
        <v>824439</v>
      </c>
      <c r="E265" s="20">
        <f t="shared" si="17"/>
        <v>2.8329729212454393E-3</v>
      </c>
      <c r="F265" s="19">
        <f t="shared" si="18"/>
        <v>132795.72183526974</v>
      </c>
      <c r="G265" s="5">
        <f t="shared" si="19"/>
        <v>957234.72183526971</v>
      </c>
    </row>
    <row r="266" spans="1:7" x14ac:dyDescent="0.2">
      <c r="A266">
        <v>2015</v>
      </c>
      <c r="B266" s="3" t="str">
        <f t="shared" si="16"/>
        <v>5333</v>
      </c>
      <c r="C266" s="3" t="s">
        <v>322</v>
      </c>
      <c r="D266" s="19">
        <v>312160</v>
      </c>
      <c r="E266" s="20">
        <f t="shared" si="17"/>
        <v>1.0726576824919446E-3</v>
      </c>
      <c r="F266" s="19">
        <f t="shared" si="18"/>
        <v>50280.87284577488</v>
      </c>
      <c r="G266" s="5">
        <f t="shared" si="19"/>
        <v>362440.87284577487</v>
      </c>
    </row>
    <row r="267" spans="1:7" x14ac:dyDescent="0.2">
      <c r="A267">
        <v>2015</v>
      </c>
      <c r="B267" s="3" t="str">
        <f t="shared" si="16"/>
        <v>5337</v>
      </c>
      <c r="C267" s="3" t="s">
        <v>323</v>
      </c>
      <c r="D267" s="19">
        <v>1074546</v>
      </c>
      <c r="E267" s="20">
        <f t="shared" si="17"/>
        <v>3.6924014034180842E-3</v>
      </c>
      <c r="F267" s="19">
        <f t="shared" si="18"/>
        <v>173081.46717368023</v>
      </c>
      <c r="G267" s="5">
        <f t="shared" si="19"/>
        <v>1247627.4671736802</v>
      </c>
    </row>
    <row r="268" spans="1:7" x14ac:dyDescent="0.2">
      <c r="A268">
        <v>2015</v>
      </c>
      <c r="B268" s="3" t="str">
        <f t="shared" si="16"/>
        <v>5366</v>
      </c>
      <c r="C268" s="3" t="s">
        <v>324</v>
      </c>
      <c r="D268" s="19">
        <v>529714</v>
      </c>
      <c r="E268" s="20">
        <f t="shared" si="17"/>
        <v>1.8202261392348089E-3</v>
      </c>
      <c r="F268" s="19">
        <f t="shared" si="18"/>
        <v>85323.174905903375</v>
      </c>
      <c r="G268" s="5">
        <f t="shared" si="19"/>
        <v>615037.1749059034</v>
      </c>
    </row>
    <row r="269" spans="1:7" x14ac:dyDescent="0.2">
      <c r="A269">
        <v>2015</v>
      </c>
      <c r="B269" s="3" t="str">
        <f t="shared" si="16"/>
        <v>5367</v>
      </c>
      <c r="C269" s="3" t="s">
        <v>325</v>
      </c>
      <c r="D269" s="19">
        <v>232773</v>
      </c>
      <c r="E269" s="20">
        <f t="shared" si="17"/>
        <v>7.9986464225620651E-4</v>
      </c>
      <c r="F269" s="19">
        <f t="shared" si="18"/>
        <v>37493.68790021001</v>
      </c>
      <c r="G269" s="5">
        <f t="shared" si="19"/>
        <v>270266.68790021003</v>
      </c>
    </row>
    <row r="270" spans="1:7" x14ac:dyDescent="0.2">
      <c r="A270">
        <v>2015</v>
      </c>
      <c r="B270" s="3" t="str">
        <f t="shared" si="16"/>
        <v>5368</v>
      </c>
      <c r="C270" s="3" t="s">
        <v>326</v>
      </c>
      <c r="D270" s="19">
        <v>332971</v>
      </c>
      <c r="E270" s="20">
        <f t="shared" si="17"/>
        <v>1.1441693400724797E-3</v>
      </c>
      <c r="F270" s="19">
        <f t="shared" si="18"/>
        <v>53632.984726840434</v>
      </c>
      <c r="G270" s="5">
        <f t="shared" si="19"/>
        <v>386603.98472684046</v>
      </c>
    </row>
    <row r="271" spans="1:7" x14ac:dyDescent="0.2">
      <c r="A271">
        <v>2015</v>
      </c>
      <c r="B271" s="3" t="str">
        <f t="shared" si="16"/>
        <v>5405</v>
      </c>
      <c r="C271" s="3" t="s">
        <v>327</v>
      </c>
      <c r="D271" s="19">
        <v>90347</v>
      </c>
      <c r="E271" s="20">
        <f t="shared" si="17"/>
        <v>3.1045426588960698E-4</v>
      </c>
      <c r="F271" s="19">
        <f t="shared" si="18"/>
        <v>14552.556442200228</v>
      </c>
      <c r="G271" s="5">
        <f t="shared" si="19"/>
        <v>104899.55644220024</v>
      </c>
    </row>
    <row r="272" spans="1:7" x14ac:dyDescent="0.2">
      <c r="A272">
        <v>2015</v>
      </c>
      <c r="B272" s="3" t="str">
        <f t="shared" si="16"/>
        <v>5409</v>
      </c>
      <c r="C272" s="3" t="s">
        <v>328</v>
      </c>
      <c r="D272" s="19">
        <v>149265</v>
      </c>
      <c r="E272" s="20">
        <f t="shared" si="17"/>
        <v>5.1291084372488498E-4</v>
      </c>
      <c r="F272" s="19">
        <f t="shared" si="18"/>
        <v>24042.716828948578</v>
      </c>
      <c r="G272" s="5">
        <f t="shared" si="19"/>
        <v>173307.71682894859</v>
      </c>
    </row>
    <row r="273" spans="1:7" x14ac:dyDescent="0.2">
      <c r="A273">
        <v>2015</v>
      </c>
      <c r="B273" s="3" t="str">
        <f t="shared" si="16"/>
        <v>5410</v>
      </c>
      <c r="C273" s="3" t="s">
        <v>329</v>
      </c>
      <c r="D273" s="19">
        <v>164055</v>
      </c>
      <c r="E273" s="20">
        <f t="shared" si="17"/>
        <v>5.6373288089830846E-4</v>
      </c>
      <c r="F273" s="19">
        <f t="shared" si="18"/>
        <v>26425.001905156325</v>
      </c>
      <c r="G273" s="5">
        <f t="shared" si="19"/>
        <v>190480.00190515633</v>
      </c>
    </row>
    <row r="274" spans="1:7" x14ac:dyDescent="0.2">
      <c r="A274">
        <v>2015</v>
      </c>
      <c r="B274" s="3" t="str">
        <f t="shared" si="16"/>
        <v>5430</v>
      </c>
      <c r="C274" s="3" t="s">
        <v>330</v>
      </c>
      <c r="D274" s="19">
        <v>16201599</v>
      </c>
      <c r="E274" s="20">
        <f t="shared" si="17"/>
        <v>5.5672634661724139E-2</v>
      </c>
      <c r="F274" s="19">
        <f t="shared" si="18"/>
        <v>2609657.0323463404</v>
      </c>
      <c r="G274" s="5">
        <f t="shared" si="19"/>
        <v>18811256.032346342</v>
      </c>
    </row>
    <row r="275" spans="1:7" x14ac:dyDescent="0.2">
      <c r="A275">
        <v>2015</v>
      </c>
      <c r="B275" s="3" t="str">
        <f t="shared" si="16"/>
        <v>5436</v>
      </c>
      <c r="C275" s="3" t="s">
        <v>331</v>
      </c>
      <c r="D275" s="19">
        <v>378324</v>
      </c>
      <c r="E275" s="20">
        <f t="shared" si="17"/>
        <v>1.3000132786746619E-3</v>
      </c>
      <c r="F275" s="19">
        <f t="shared" si="18"/>
        <v>60938.175738419202</v>
      </c>
      <c r="G275" s="5">
        <f t="shared" si="19"/>
        <v>439262.17573841917</v>
      </c>
    </row>
    <row r="276" spans="1:7" x14ac:dyDescent="0.2">
      <c r="A276">
        <v>2015</v>
      </c>
      <c r="B276" s="3" t="str">
        <f t="shared" si="16"/>
        <v>5590</v>
      </c>
      <c r="C276" s="3" t="s">
        <v>332</v>
      </c>
      <c r="D276" s="19">
        <v>85354</v>
      </c>
      <c r="E276" s="20">
        <f t="shared" si="17"/>
        <v>2.9329710350915376E-4</v>
      </c>
      <c r="F276" s="19">
        <f t="shared" si="18"/>
        <v>13748.313752172826</v>
      </c>
      <c r="G276" s="5">
        <f t="shared" si="19"/>
        <v>99102.31375217282</v>
      </c>
    </row>
    <row r="277" spans="1:7" x14ac:dyDescent="0.2">
      <c r="A277">
        <v>2015</v>
      </c>
      <c r="B277" s="3" t="str">
        <f t="shared" si="16"/>
        <v>5696</v>
      </c>
      <c r="C277" s="3" t="s">
        <v>333</v>
      </c>
      <c r="D277" s="19">
        <v>174983</v>
      </c>
      <c r="E277" s="20">
        <f t="shared" si="17"/>
        <v>6.0128414676924639E-4</v>
      </c>
      <c r="F277" s="19">
        <f t="shared" si="18"/>
        <v>28185.219032458441</v>
      </c>
      <c r="G277" s="5">
        <f t="shared" si="19"/>
        <v>203168.21903245844</v>
      </c>
    </row>
    <row r="278" spans="1:7" x14ac:dyDescent="0.2">
      <c r="A278">
        <v>2015</v>
      </c>
      <c r="B278" s="3" t="str">
        <f t="shared" si="16"/>
        <v>9291</v>
      </c>
      <c r="C278" s="3" t="s">
        <v>334</v>
      </c>
      <c r="D278" s="19">
        <v>221389</v>
      </c>
      <c r="E278" s="20">
        <f t="shared" si="17"/>
        <v>7.6074644947850181E-4</v>
      </c>
      <c r="F278" s="19">
        <f t="shared" si="18"/>
        <v>35660.0210099092</v>
      </c>
      <c r="G278" s="5">
        <f t="shared" si="19"/>
        <v>257049.02100990919</v>
      </c>
    </row>
    <row r="279" spans="1:7" x14ac:dyDescent="0.2">
      <c r="A279">
        <v>2015</v>
      </c>
      <c r="B279" s="3" t="str">
        <f t="shared" si="16"/>
        <v>9302</v>
      </c>
      <c r="C279" s="3" t="s">
        <v>335</v>
      </c>
      <c r="D279" s="19">
        <v>100472</v>
      </c>
      <c r="E279" s="20">
        <f t="shared" si="17"/>
        <v>3.4524622845762002E-4</v>
      </c>
      <c r="F279" s="19">
        <f t="shared" si="18"/>
        <v>16183.431114046305</v>
      </c>
      <c r="G279" s="5">
        <f t="shared" si="19"/>
        <v>116655.43111404631</v>
      </c>
    </row>
    <row r="280" spans="1:7" x14ac:dyDescent="0.2">
      <c r="A280">
        <v>2015</v>
      </c>
      <c r="B280" s="3" t="str">
        <f t="shared" si="16"/>
        <v>9332</v>
      </c>
      <c r="C280" s="3" t="s">
        <v>336</v>
      </c>
      <c r="D280" s="19">
        <v>197143</v>
      </c>
      <c r="E280" s="20">
        <f t="shared" si="17"/>
        <v>6.7743129644896665E-4</v>
      </c>
      <c r="F280" s="19">
        <f t="shared" si="18"/>
        <v>31754.619795728468</v>
      </c>
      <c r="G280" s="5">
        <f t="shared" si="19"/>
        <v>228897.61979572847</v>
      </c>
    </row>
    <row r="281" spans="1:7" x14ac:dyDescent="0.2">
      <c r="A281">
        <v>2015</v>
      </c>
      <c r="B281" s="3" t="str">
        <f t="shared" si="16"/>
        <v>9333</v>
      </c>
      <c r="C281" s="3" t="s">
        <v>337</v>
      </c>
      <c r="D281" s="19">
        <v>230945</v>
      </c>
      <c r="E281" s="20">
        <f t="shared" si="17"/>
        <v>7.9358318965627294E-4</v>
      </c>
      <c r="F281" s="19">
        <f t="shared" si="18"/>
        <v>37199.244552048571</v>
      </c>
      <c r="G281" s="5">
        <f t="shared" si="19"/>
        <v>268144.24455204856</v>
      </c>
    </row>
    <row r="282" spans="1:7" x14ac:dyDescent="0.2">
      <c r="A282">
        <v>2015</v>
      </c>
      <c r="B282" s="3" t="str">
        <f t="shared" si="16"/>
        <v>9335</v>
      </c>
      <c r="C282" s="3" t="s">
        <v>338</v>
      </c>
      <c r="D282" s="19">
        <v>249524</v>
      </c>
      <c r="E282" s="20">
        <f t="shared" si="17"/>
        <v>8.5742515237737058E-4</v>
      </c>
      <c r="F282" s="19">
        <f t="shared" si="18"/>
        <v>40191.83917212049</v>
      </c>
      <c r="G282" s="5">
        <f t="shared" si="19"/>
        <v>289715.8391721205</v>
      </c>
    </row>
    <row r="283" spans="1:7" x14ac:dyDescent="0.2">
      <c r="A283">
        <v>2015</v>
      </c>
      <c r="B283" s="3" t="str">
        <f t="shared" si="16"/>
        <v>9389</v>
      </c>
      <c r="C283" s="3" t="s">
        <v>339</v>
      </c>
      <c r="D283" s="19">
        <v>185385</v>
      </c>
      <c r="E283" s="20">
        <f t="shared" si="17"/>
        <v>6.3702794870825591E-4</v>
      </c>
      <c r="F283" s="19">
        <f t="shared" si="18"/>
        <v>29860.711213845392</v>
      </c>
      <c r="G283" s="5">
        <f t="shared" si="19"/>
        <v>215245.71121384538</v>
      </c>
    </row>
    <row r="284" spans="1:7" x14ac:dyDescent="0.2">
      <c r="A284">
        <v>2015</v>
      </c>
      <c r="B284" s="3" t="str">
        <f t="shared" si="16"/>
        <v>9410</v>
      </c>
      <c r="C284" s="3" t="s">
        <v>340</v>
      </c>
      <c r="D284" s="19">
        <v>237572</v>
      </c>
      <c r="E284" s="20">
        <f t="shared" si="17"/>
        <v>8.1635517345264054E-4</v>
      </c>
      <c r="F284" s="19">
        <f t="shared" si="18"/>
        <v>38266.68222615464</v>
      </c>
      <c r="G284" s="5">
        <f t="shared" si="19"/>
        <v>275838.68222615466</v>
      </c>
    </row>
    <row r="285" spans="1:7" x14ac:dyDescent="0.2">
      <c r="A285">
        <v>2015</v>
      </c>
      <c r="B285" s="3" t="str">
        <f t="shared" si="16"/>
        <v>9444</v>
      </c>
      <c r="C285" s="3" t="s">
        <v>341</v>
      </c>
      <c r="D285" s="19">
        <v>373997</v>
      </c>
      <c r="E285" s="20">
        <f t="shared" si="17"/>
        <v>1.2851446542764603E-3</v>
      </c>
      <c r="F285" s="19">
        <f t="shared" si="18"/>
        <v>60241.208360139899</v>
      </c>
      <c r="G285" s="5">
        <f t="shared" si="19"/>
        <v>434238.20836013992</v>
      </c>
    </row>
    <row r="286" spans="1:7" x14ac:dyDescent="0.2">
      <c r="A286">
        <v>2015</v>
      </c>
      <c r="B286" s="3" t="str">
        <f t="shared" si="16"/>
        <v>9445</v>
      </c>
      <c r="C286" s="3" t="s">
        <v>342</v>
      </c>
      <c r="D286" s="19">
        <v>393402</v>
      </c>
      <c r="E286" s="20">
        <f t="shared" si="17"/>
        <v>1.3518249538944645E-3</v>
      </c>
      <c r="F286" s="19">
        <f t="shared" si="18"/>
        <v>63366.850138626134</v>
      </c>
      <c r="G286" s="5">
        <f t="shared" si="19"/>
        <v>456768.85013862612</v>
      </c>
    </row>
    <row r="287" spans="1:7" x14ac:dyDescent="0.2">
      <c r="A287">
        <v>2015</v>
      </c>
      <c r="B287" s="3" t="str">
        <f t="shared" si="16"/>
        <v>9446</v>
      </c>
      <c r="C287" s="3" t="s">
        <v>343</v>
      </c>
      <c r="D287" s="19">
        <v>654948</v>
      </c>
      <c r="E287" s="20">
        <f t="shared" si="17"/>
        <v>2.2505606222217264E-3</v>
      </c>
      <c r="F287" s="19">
        <f t="shared" si="18"/>
        <v>105495.12143962893</v>
      </c>
      <c r="G287" s="5">
        <f t="shared" si="19"/>
        <v>760443.12143962889</v>
      </c>
    </row>
    <row r="288" spans="1:7" x14ac:dyDescent="0.2">
      <c r="A288">
        <v>2015</v>
      </c>
      <c r="B288" s="3" t="str">
        <f t="shared" si="16"/>
        <v>9461</v>
      </c>
      <c r="C288" s="3" t="s">
        <v>344</v>
      </c>
      <c r="D288" s="19">
        <v>441821</v>
      </c>
      <c r="E288" s="20">
        <f t="shared" si="17"/>
        <v>1.5182044141987233E-3</v>
      </c>
      <c r="F288" s="19">
        <f t="shared" si="18"/>
        <v>71165.89416194614</v>
      </c>
      <c r="G288" s="5">
        <f t="shared" si="19"/>
        <v>512986.89416194614</v>
      </c>
    </row>
    <row r="290" spans="3:5" x14ac:dyDescent="0.2">
      <c r="C290" s="13" t="s">
        <v>346</v>
      </c>
      <c r="D290" s="5">
        <f>SUM(D2:D288)</f>
        <v>291015489</v>
      </c>
      <c r="E290" s="5"/>
    </row>
    <row r="291" spans="3:5" x14ac:dyDescent="0.2">
      <c r="C291" s="13" t="s">
        <v>369</v>
      </c>
      <c r="D291" s="5">
        <v>46875041</v>
      </c>
      <c r="E291" s="5"/>
    </row>
    <row r="292" spans="3:5" x14ac:dyDescent="0.2">
      <c r="C292" s="3"/>
    </row>
    <row r="293" spans="3:5" x14ac:dyDescent="0.2">
      <c r="C293" s="3" t="s">
        <v>348</v>
      </c>
      <c r="D293" s="5">
        <v>291015489</v>
      </c>
      <c r="E293" s="5"/>
    </row>
    <row r="294" spans="3:5" x14ac:dyDescent="0.2">
      <c r="C294" s="13" t="s">
        <v>369</v>
      </c>
      <c r="D294" s="5">
        <v>46875041</v>
      </c>
      <c r="E294" s="5"/>
    </row>
    <row r="295" spans="3:5" x14ac:dyDescent="0.2">
      <c r="C295" s="3"/>
    </row>
    <row r="296" spans="3:5" x14ac:dyDescent="0.2">
      <c r="C296" s="15" t="s">
        <v>349</v>
      </c>
      <c r="D296" s="16">
        <f>D290-D293</f>
        <v>0</v>
      </c>
      <c r="E296" s="16"/>
    </row>
    <row r="297" spans="3:5" x14ac:dyDescent="0.2">
      <c r="D297" s="16">
        <f>D291-D294</f>
        <v>0</v>
      </c>
      <c r="E29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Yearly Data --&gt;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2025-01-20T12:23:33Z</dcterms:created>
  <dcterms:modified xsi:type="dcterms:W3CDTF">2025-02-07T08:00:14Z</dcterms:modified>
</cp:coreProperties>
</file>